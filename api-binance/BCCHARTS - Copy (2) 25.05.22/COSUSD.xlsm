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DB6EA685-AFE8-47F8-8E6F-B38EB3F6A1B0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6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16" i="5"/>
  <c r="C122" i="5"/>
  <c r="C133" i="5" s="1"/>
  <c r="D136" i="5" s="1"/>
  <c r="C122" i="3"/>
  <c r="C133" i="3" s="1"/>
  <c r="D136" i="3" s="1"/>
  <c r="C122" i="4"/>
  <c r="C133" i="4" s="1"/>
  <c r="D136" i="4" s="1"/>
  <c r="C118" i="4"/>
  <c r="C118" i="3"/>
  <c r="C116" i="3"/>
  <c r="R765" i="1"/>
  <c r="C136" i="5" l="1"/>
  <c r="C138" i="5" s="1"/>
  <c r="C136" i="3"/>
  <c r="C138" i="3" s="1"/>
  <c r="C136" i="4"/>
  <c r="C138" i="4" s="1"/>
  <c r="R764" i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S180" i="1" l="1"/>
  <c r="T180" i="1" s="1"/>
  <c r="R179" i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S167" i="1" l="1"/>
  <c r="T167" i="1" s="1"/>
  <c r="R166" i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S156" i="1" l="1"/>
  <c r="T156" i="1" s="1"/>
  <c r="R155" i="1"/>
  <c r="S155" i="1" l="1"/>
  <c r="T155" i="1" s="1"/>
  <c r="R154" i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S143" i="1" l="1"/>
  <c r="T143" i="1" s="1"/>
  <c r="R142" i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S132" i="1" l="1"/>
  <c r="T132" i="1" s="1"/>
  <c r="R131" i="1"/>
  <c r="S131" i="1" l="1"/>
  <c r="T131" i="1" s="1"/>
  <c r="R130" i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R125" i="1" l="1"/>
  <c r="S126" i="1"/>
  <c r="T126" i="1" s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R120" i="1" l="1"/>
  <c r="S121" i="1"/>
  <c r="T121" i="1" s="1"/>
  <c r="R119" i="1" l="1"/>
  <c r="S120" i="1"/>
  <c r="T120" i="1" s="1"/>
  <c r="S119" i="1" l="1"/>
  <c r="T119" i="1" s="1"/>
  <c r="R118" i="1"/>
  <c r="R117" i="1" l="1"/>
  <c r="S118" i="1"/>
  <c r="T118" i="1" s="1"/>
  <c r="R116" i="1" l="1"/>
  <c r="S117" i="1"/>
  <c r="T117" i="1" s="1"/>
  <c r="S116" i="1" l="1"/>
  <c r="T116" i="1" s="1"/>
  <c r="R115" i="1"/>
  <c r="R114" i="1" l="1"/>
  <c r="S115" i="1"/>
  <c r="T115" i="1" s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R109" i="1" l="1"/>
  <c r="S110" i="1"/>
  <c r="T110" i="1" s="1"/>
  <c r="R108" i="1" l="1"/>
  <c r="S109" i="1"/>
  <c r="T109" i="1" s="1"/>
  <c r="S108" i="1" l="1"/>
  <c r="T108" i="1" s="1"/>
  <c r="R107" i="1"/>
  <c r="S107" i="1" l="1"/>
  <c r="T107" i="1" s="1"/>
  <c r="R106" i="1"/>
  <c r="R105" i="1" l="1"/>
  <c r="S106" i="1"/>
  <c r="T106" i="1" s="1"/>
  <c r="R104" i="1" l="1"/>
  <c r="S105" i="1"/>
  <c r="T105" i="1" s="1"/>
  <c r="R103" i="1" l="1"/>
  <c r="S104" i="1"/>
  <c r="T104" i="1" s="1"/>
  <c r="S103" i="1" l="1"/>
  <c r="T103" i="1" s="1"/>
  <c r="R102" i="1"/>
  <c r="R101" i="1" l="1"/>
  <c r="S102" i="1"/>
  <c r="T102" i="1" s="1"/>
  <c r="R100" i="1" l="1"/>
  <c r="S101" i="1"/>
  <c r="T101" i="1" s="1"/>
  <c r="R99" i="1" l="1"/>
  <c r="S100" i="1"/>
  <c r="T100" i="1" s="1"/>
  <c r="R98" i="1" l="1"/>
  <c r="S99" i="1"/>
  <c r="T99" i="1" s="1"/>
  <c r="R97" i="1" l="1"/>
  <c r="S98" i="1"/>
  <c r="T98" i="1" s="1"/>
  <c r="R96" i="1" l="1"/>
  <c r="S97" i="1"/>
  <c r="T97" i="1" s="1"/>
  <c r="R95" i="1" l="1"/>
  <c r="S96" i="1"/>
  <c r="T96" i="1" s="1"/>
  <c r="S95" i="1" l="1"/>
  <c r="T95" i="1" s="1"/>
  <c r="R94" i="1"/>
  <c r="R93" i="1" l="1"/>
  <c r="S94" i="1"/>
  <c r="T94" i="1" s="1"/>
  <c r="R92" i="1" l="1"/>
  <c r="S93" i="1"/>
  <c r="T93" i="1" s="1"/>
  <c r="S92" i="1" l="1"/>
  <c r="T92" i="1" s="1"/>
  <c r="R91" i="1"/>
  <c r="S91" i="1" l="1"/>
  <c r="T91" i="1" s="1"/>
  <c r="R90" i="1"/>
  <c r="R89" i="1" l="1"/>
  <c r="S90" i="1"/>
  <c r="T90" i="1" s="1"/>
  <c r="R88" i="1" l="1"/>
  <c r="S89" i="1"/>
  <c r="T89" i="1" s="1"/>
  <c r="R87" i="1" l="1"/>
  <c r="S88" i="1"/>
  <c r="T88" i="1" s="1"/>
  <c r="R86" i="1" l="1"/>
  <c r="S87" i="1"/>
  <c r="T87" i="1" s="1"/>
  <c r="S86" i="1" l="1"/>
  <c r="T86" i="1" s="1"/>
  <c r="R85" i="1"/>
  <c r="S85" i="1" l="1"/>
  <c r="T85" i="1" s="1"/>
  <c r="R84" i="1"/>
  <c r="S84" i="1" l="1"/>
  <c r="T84" i="1" s="1"/>
  <c r="R83" i="1"/>
  <c r="S83" i="1" l="1"/>
  <c r="T83" i="1" s="1"/>
  <c r="R82" i="1"/>
  <c r="R81" i="1" l="1"/>
  <c r="S82" i="1"/>
  <c r="T82" i="1" s="1"/>
  <c r="R80" i="1" l="1"/>
  <c r="S81" i="1"/>
  <c r="T81" i="1" s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S74" i="1" l="1"/>
  <c r="T74" i="1" s="1"/>
  <c r="R73" i="1"/>
  <c r="R72" i="1" l="1"/>
  <c r="S73" i="1"/>
  <c r="T73" i="1" s="1"/>
  <c r="S72" i="1" l="1"/>
  <c r="T72" i="1" s="1"/>
  <c r="R71" i="1"/>
  <c r="S71" i="1" l="1"/>
  <c r="T71" i="1" s="1"/>
  <c r="R70" i="1"/>
  <c r="S70" i="1" l="1"/>
  <c r="T70" i="1" s="1"/>
  <c r="R69" i="1"/>
  <c r="S69" i="1" l="1"/>
  <c r="T69" i="1" s="1"/>
  <c r="R68" i="1"/>
  <c r="S68" i="1" l="1"/>
  <c r="T68" i="1" s="1"/>
  <c r="R67" i="1"/>
  <c r="S67" i="1" l="1"/>
  <c r="T67" i="1" s="1"/>
  <c r="R66" i="1"/>
  <c r="S66" i="1" l="1"/>
  <c r="T66" i="1" s="1"/>
  <c r="R65" i="1"/>
  <c r="R64" i="1" l="1"/>
  <c r="S65" i="1"/>
  <c r="T65" i="1" s="1"/>
  <c r="R63" i="1" l="1"/>
  <c r="S64" i="1"/>
  <c r="T64" i="1" s="1"/>
  <c r="R62" i="1" l="1"/>
  <c r="S63" i="1"/>
  <c r="T63" i="1" s="1"/>
  <c r="S62" i="1" l="1"/>
  <c r="T62" i="1" s="1"/>
  <c r="R61" i="1"/>
  <c r="S61" i="1" l="1"/>
  <c r="T61" i="1" s="1"/>
  <c r="R60" i="1"/>
  <c r="S60" i="1" l="1"/>
  <c r="T60" i="1" s="1"/>
  <c r="R59" i="1"/>
  <c r="S59" i="1" l="1"/>
  <c r="T59" i="1" s="1"/>
  <c r="R58" i="1"/>
  <c r="R57" i="1" l="1"/>
  <c r="S58" i="1"/>
  <c r="T58" i="1" s="1"/>
  <c r="R56" i="1" l="1"/>
  <c r="S57" i="1"/>
  <c r="T57" i="1" s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S50" i="1" l="1"/>
  <c r="T50" i="1" s="1"/>
  <c r="R49" i="1"/>
  <c r="R48" i="1" l="1"/>
  <c r="S49" i="1"/>
  <c r="T49" i="1" s="1"/>
  <c r="S48" i="1" l="1"/>
  <c r="T48" i="1" s="1"/>
  <c r="R47" i="1"/>
  <c r="S47" i="1" l="1"/>
  <c r="T47" i="1" s="1"/>
  <c r="R46" i="1"/>
  <c r="S46" i="1" l="1"/>
  <c r="T46" i="1" s="1"/>
  <c r="R45" i="1"/>
  <c r="S45" i="1" l="1"/>
  <c r="T45" i="1" s="1"/>
  <c r="R44" i="1"/>
  <c r="S44" i="1" l="1"/>
  <c r="T44" i="1" s="1"/>
  <c r="R43" i="1"/>
  <c r="R42" i="1" l="1"/>
  <c r="S43" i="1"/>
  <c r="T43" i="1" s="1"/>
  <c r="S42" i="1" l="1"/>
  <c r="T42" i="1" s="1"/>
  <c r="R41" i="1"/>
  <c r="R40" i="1" l="1"/>
  <c r="S41" i="1"/>
  <c r="T41" i="1" s="1"/>
  <c r="R39" i="1" l="1"/>
  <c r="S40" i="1"/>
  <c r="T40" i="1" s="1"/>
  <c r="R38" i="1" l="1"/>
  <c r="S39" i="1"/>
  <c r="T39" i="1" s="1"/>
  <c r="S38" i="1" l="1"/>
  <c r="T38" i="1" s="1"/>
  <c r="R37" i="1"/>
  <c r="S37" i="1" l="1"/>
  <c r="T37" i="1" s="1"/>
  <c r="R36" i="1"/>
  <c r="S36" i="1" l="1"/>
  <c r="T36" i="1" s="1"/>
  <c r="R35" i="1"/>
  <c r="S35" i="1" l="1"/>
  <c r="T35" i="1" s="1"/>
  <c r="R34" i="1"/>
  <c r="S34" i="1" l="1"/>
  <c r="T34" i="1" s="1"/>
  <c r="R33" i="1"/>
  <c r="S33" i="1" l="1"/>
  <c r="T33" i="1" s="1"/>
  <c r="R32" i="1"/>
  <c r="R31" i="1" l="1"/>
  <c r="S32" i="1"/>
  <c r="T32" i="1" s="1"/>
  <c r="R30" i="1" l="1"/>
  <c r="S31" i="1"/>
  <c r="T31" i="1" s="1"/>
  <c r="R29" i="1" l="1"/>
  <c r="S30" i="1"/>
  <c r="T30" i="1" s="1"/>
  <c r="R28" i="1" l="1"/>
  <c r="S29" i="1"/>
  <c r="T29" i="1" s="1"/>
  <c r="S28" i="1" l="1"/>
  <c r="T28" i="1" s="1"/>
  <c r="R27" i="1"/>
  <c r="S27" i="1" l="1"/>
  <c r="T27" i="1" s="1"/>
  <c r="R26" i="1"/>
  <c r="R25" i="1" l="1"/>
  <c r="S26" i="1"/>
  <c r="T26" i="1" s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<sst xmlns="http://schemas.openxmlformats.org/spreadsheetml/2006/main" count="9410" uniqueCount="34">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</sst>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9">
                  <c:v>43830</c:v>
                </c:pt>
                <c:pt idx="760">
                  <c:v>43829</c:v>
                </c:pt>
                <c:pt idx="761">
                  <c:v>43828</c:v>
                </c:pt>
                <c:pt idx="762">
                  <c:v>43827</c:v>
                </c:pt>
                <c:pt idx="763">
                  <c:v>43826</c:v>
                </c:pt>
                <c:pt idx="764">
                  <c:v>43825</c:v>
                </c:pt>
                <c:pt idx="765">
                  <c:v>43824</c:v>
                </c:pt>
                <c:pt idx="766">
                  <c:v>43823</c:v>
                </c:pt>
                <c:pt idx="767">
                  <c:v>43822</c:v>
                </c:pt>
                <c:pt idx="768">
                  <c:v>43821</c:v>
                </c:pt>
                <c:pt idx="769">
                  <c:v>43820</c:v>
                </c:pt>
                <c:pt idx="770">
                  <c:v>43819</c:v>
                </c:pt>
                <c:pt idx="771">
                  <c:v>43818</c:v>
                </c:pt>
                <c:pt idx="772">
                  <c:v>43817</c:v>
                </c:pt>
                <c:pt idx="773">
                  <c:v>43816</c:v>
                </c:pt>
                <c:pt idx="774">
                  <c:v>43815</c:v>
                </c:pt>
                <c:pt idx="775">
                  <c:v>43814</c:v>
                </c:pt>
                <c:pt idx="776">
                  <c:v>43813</c:v>
                </c:pt>
                <c:pt idx="777">
                  <c:v>43812</c:v>
                </c:pt>
                <c:pt idx="778">
                  <c:v>43811</c:v>
                </c:pt>
                <c:pt idx="779">
                  <c:v>43810</c:v>
                </c:pt>
                <c:pt idx="780">
                  <c:v>43809</c:v>
                </c:pt>
                <c:pt idx="781">
                  <c:v>43808</c:v>
                </c:pt>
                <c:pt idx="782">
                  <c:v>43807</c:v>
                </c:pt>
                <c:pt idx="783">
                  <c:v>43806</c:v>
                </c:pt>
                <c:pt idx="784">
                  <c:v>43805</c:v>
                </c:pt>
                <c:pt idx="785">
                  <c:v>43804</c:v>
                </c:pt>
                <c:pt idx="786">
                  <c:v>43803</c:v>
                </c:pt>
                <c:pt idx="787">
                  <c:v>43802</c:v>
                </c:pt>
                <c:pt idx="788">
                  <c:v>43801</c:v>
                </c:pt>
                <c:pt idx="789">
                  <c:v>43800</c:v>
                </c:pt>
                <c:pt idx="790">
                  <c:v>43799</c:v>
                </c:pt>
                <c:pt idx="791">
                  <c:v>43798</c:v>
                </c:pt>
                <c:pt idx="792">
                  <c:v>43797</c:v>
                </c:pt>
                <c:pt idx="793">
                  <c:v>43796</c:v>
                </c:pt>
                <c:pt idx="794">
                  <c:v>43795</c:v>
                </c:pt>
                <c:pt idx="795">
                  <c:v>43794</c:v>
                </c:pt>
                <c:pt idx="796">
                  <c:v>43793</c:v>
                </c:pt>
                <c:pt idx="797">
                  <c:v>43792</c:v>
                </c:pt>
                <c:pt idx="798">
                  <c:v>43791</c:v>
                </c:pt>
                <c:pt idx="799">
                  <c:v>43790</c:v>
                </c:pt>
                <c:pt idx="800">
                  <c:v>43789</c:v>
                </c:pt>
                <c:pt idx="801">
                  <c:v>43788</c:v>
                </c:pt>
                <c:pt idx="802">
                  <c:v>43787</c:v>
                </c:pt>
                <c:pt idx="803">
                  <c:v>43786</c:v>
                </c:pt>
                <c:pt idx="804">
                  <c:v>43785</c:v>
                </c:pt>
                <c:pt idx="805">
                  <c:v>43784</c:v>
                </c:pt>
                <c:pt idx="806">
                  <c:v>43783</c:v>
                </c:pt>
                <c:pt idx="807">
                  <c:v>43782</c:v>
                </c:pt>
                <c:pt idx="808">
                  <c:v>43781</c:v>
                </c:pt>
                <c:pt idx="809">
                  <c:v>43780</c:v>
                </c:pt>
                <c:pt idx="810">
                  <c:v>43779</c:v>
                </c:pt>
                <c:pt idx="811">
                  <c:v>43778</c:v>
                </c:pt>
                <c:pt idx="812">
                  <c:v>43777</c:v>
                </c:pt>
                <c:pt idx="813">
                  <c:v>43776</c:v>
                </c:pt>
                <c:pt idx="814">
                  <c:v>43775</c:v>
                </c:pt>
                <c:pt idx="815">
                  <c:v>43774</c:v>
                </c:pt>
                <c:pt idx="816">
                  <c:v>43773</c:v>
                </c:pt>
                <c:pt idx="817">
                  <c:v>43772</c:v>
                </c:pt>
                <c:pt idx="818">
                  <c:v>43771</c:v>
                </c:pt>
                <c:pt idx="819">
                  <c:v>43770</c:v>
                </c:pt>
                <c:pt idx="820">
                  <c:v>43769</c:v>
                </c:pt>
                <c:pt idx="821">
                  <c:v>43768</c:v>
                </c:pt>
                <c:pt idx="822">
                  <c:v>43767</c:v>
                </c:pt>
                <c:pt idx="823">
                  <c:v>43766</c:v>
                </c:pt>
                <c:pt idx="824">
                  <c:v>43765</c:v>
                </c:pt>
                <c:pt idx="825">
                  <c:v>43764</c:v>
                </c:pt>
                <c:pt idx="826">
                  <c:v>43763</c:v>
                </c:pt>
                <c:pt idx="827">
                  <c:v>43762</c:v>
                </c:pt>
                <c:pt idx="828">
                  <c:v>43761</c:v>
                </c:pt>
                <c:pt idx="829">
                  <c:v>43760</c:v>
                </c:pt>
                <c:pt idx="830">
                  <c:v>43759</c:v>
                </c:pt>
                <c:pt idx="831">
                  <c:v>43758</c:v>
                </c:pt>
                <c:pt idx="832">
                  <c:v>43757</c:v>
                </c:pt>
                <c:pt idx="833">
                  <c:v>43756</c:v>
                </c:pt>
                <c:pt idx="834">
                  <c:v>43755</c:v>
                </c:pt>
                <c:pt idx="835">
                  <c:v>43754</c:v>
                </c:pt>
                <c:pt idx="836">
                  <c:v>43753</c:v>
                </c:pt>
                <c:pt idx="837">
                  <c:v>43752</c:v>
                </c:pt>
                <c:pt idx="838">
                  <c:v>43751</c:v>
                </c:pt>
                <c:pt idx="839">
                  <c:v>43750</c:v>
                </c:pt>
                <c:pt idx="840">
                  <c:v>43749</c:v>
                </c:pt>
                <c:pt idx="841">
                  <c:v>43748</c:v>
                </c:pt>
                <c:pt idx="842">
                  <c:v>43747</c:v>
                </c:pt>
                <c:pt idx="843">
                  <c:v>43746</c:v>
                </c:pt>
                <c:pt idx="844">
                  <c:v>43745</c:v>
                </c:pt>
                <c:pt idx="845">
                  <c:v>43744</c:v>
                </c:pt>
                <c:pt idx="846">
                  <c:v>43743</c:v>
                </c:pt>
                <c:pt idx="847">
                  <c:v>43742</c:v>
                </c:pt>
                <c:pt idx="848">
                  <c:v>43741</c:v>
                </c:pt>
                <c:pt idx="849">
                  <c:v>43740</c:v>
                </c:pt>
                <c:pt idx="850">
                  <c:v>43739</c:v>
                </c:pt>
                <c:pt idx="851">
                  <c:v>43738</c:v>
                </c:pt>
                <c:pt idx="852">
                  <c:v>43737</c:v>
                </c:pt>
                <c:pt idx="853">
                  <c:v>43736</c:v>
                </c:pt>
                <c:pt idx="854">
                  <c:v>43735</c:v>
                </c:pt>
                <c:pt idx="855">
                  <c:v>43734</c:v>
                </c:pt>
                <c:pt idx="856">
                  <c:v>43733</c:v>
                </c:pt>
                <c:pt idx="857">
                  <c:v>43732</c:v>
                </c:pt>
                <c:pt idx="858">
                  <c:v>43731</c:v>
                </c:pt>
                <c:pt idx="859">
                  <c:v>43730</c:v>
                </c:pt>
                <c:pt idx="860">
                  <c:v>43729</c:v>
                </c:pt>
                <c:pt idx="861">
                  <c:v>43728</c:v>
                </c:pt>
                <c:pt idx="862">
                  <c:v>43727</c:v>
                </c:pt>
                <c:pt idx="863">
                  <c:v>43726</c:v>
                </c:pt>
                <c:pt idx="864">
                  <c:v>43725</c:v>
                </c:pt>
                <c:pt idx="865">
                  <c:v>43724</c:v>
                </c:pt>
                <c:pt idx="866">
                  <c:v>43723</c:v>
                </c:pt>
                <c:pt idx="867">
                  <c:v>43722</c:v>
                </c:pt>
                <c:pt idx="868">
                  <c:v>43721</c:v>
                </c:pt>
                <c:pt idx="869">
                  <c:v>43720</c:v>
                </c:pt>
                <c:pt idx="870">
                  <c:v>43719</c:v>
                </c:pt>
                <c:pt idx="871">
                  <c:v>43718</c:v>
                </c:pt>
                <c:pt idx="872">
                  <c:v>43717</c:v>
                </c:pt>
                <c:pt idx="873">
                  <c:v>43716</c:v>
                </c:pt>
                <c:pt idx="874">
                  <c:v>43715</c:v>
                </c:pt>
                <c:pt idx="875">
                  <c:v>43714</c:v>
                </c:pt>
                <c:pt idx="876">
                  <c:v>43713</c:v>
                </c:pt>
                <c:pt idx="877">
                  <c:v>43712</c:v>
                </c:pt>
                <c:pt idx="878">
                  <c:v>43711</c:v>
                </c:pt>
                <c:pt idx="879">
                  <c:v>43710</c:v>
                </c:pt>
                <c:pt idx="880">
                  <c:v>43709</c:v>
                </c:pt>
                <c:pt idx="881">
                  <c:v>43708</c:v>
                </c:pt>
                <c:pt idx="882">
                  <c:v>43707</c:v>
                </c:pt>
                <c:pt idx="883">
                  <c:v>43706</c:v>
                </c:pt>
                <c:pt idx="884">
                  <c:v>43705</c:v>
                </c:pt>
                <c:pt idx="885">
                  <c:v>43704</c:v>
                </c:pt>
                <c:pt idx="886">
                  <c:v>43703</c:v>
                </c:pt>
                <c:pt idx="887">
                  <c:v>43702</c:v>
                </c:pt>
                <c:pt idx="888">
                  <c:v>43701</c:v>
                </c:pt>
                <c:pt idx="889">
                  <c:v>43700</c:v>
                </c:pt>
                <c:pt idx="890">
                  <c:v>43699</c:v>
                </c:pt>
                <c:pt idx="891">
                  <c:v>43698</c:v>
                </c:pt>
                <c:pt idx="892">
                  <c:v>43697</c:v>
                </c:pt>
                <c:pt idx="893">
                  <c:v>43696</c:v>
                </c:pt>
                <c:pt idx="894">
                  <c:v>43695</c:v>
                </c:pt>
                <c:pt idx="895">
                  <c:v>43694</c:v>
                </c:pt>
                <c:pt idx="896">
                  <c:v>43693</c:v>
                </c:pt>
                <c:pt idx="897">
                  <c:v>43692</c:v>
                </c:pt>
                <c:pt idx="898">
                  <c:v>43691</c:v>
                </c:pt>
                <c:pt idx="899">
                  <c:v>43690</c:v>
                </c:pt>
                <c:pt idx="900">
                  <c:v>43689</c:v>
                </c:pt>
                <c:pt idx="901">
                  <c:v>43688</c:v>
                </c:pt>
                <c:pt idx="902">
                  <c:v>43687</c:v>
                </c:pt>
                <c:pt idx="903">
                  <c:v>43686</c:v>
                </c:pt>
                <c:pt idx="904">
                  <c:v>43685</c:v>
                </c:pt>
                <c:pt idx="905">
                  <c:v>43684</c:v>
                </c:pt>
                <c:pt idx="906">
                  <c:v>43683</c:v>
                </c:pt>
                <c:pt idx="907">
                  <c:v>43682</c:v>
                </c:pt>
                <c:pt idx="908">
                  <c:v>43681</c:v>
                </c:pt>
                <c:pt idx="909">
                  <c:v>43680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1.393E-2</c:v>
                </c:pt>
                <c:pt idx="1">
                  <c:v>1.422E-2</c:v>
                </c:pt>
                <c:pt idx="2">
                  <c:v>1.3899999999999999E-2</c:v>
                </c:pt>
                <c:pt idx="3">
                  <c:v>1.396E-2</c:v>
                </c:pt>
                <c:pt idx="4">
                  <c:v>1.451E-2</c:v>
                </c:pt>
                <c:pt idx="5">
                  <c:v>1.38E-2</c:v>
                </c:pt>
                <c:pt idx="6">
                  <c:v>1.5879999999999998E-2</c:v>
                </c:pt>
                <c:pt idx="7">
                  <c:v>1.8519999999999998E-2</c:v>
                </c:pt>
                <c:pt idx="8">
                  <c:v>1.9460000000000002E-2</c:v>
                </c:pt>
                <c:pt idx="9">
                  <c:v>1.9820000000000001E-2</c:v>
                </c:pt>
                <c:pt idx="10">
                  <c:v>1.9990000000000001E-2</c:v>
                </c:pt>
                <c:pt idx="11">
                  <c:v>2.1139999999999999E-2</c:v>
                </c:pt>
                <c:pt idx="12">
                  <c:v>2.137E-2</c:v>
                </c:pt>
                <c:pt idx="13">
                  <c:v>2.0879999999999999E-2</c:v>
                </c:pt>
                <c:pt idx="14">
                  <c:v>2.0899999999999998E-2</c:v>
                </c:pt>
                <c:pt idx="15">
                  <c:v>2.2190000000000001E-2</c:v>
                </c:pt>
                <c:pt idx="16">
                  <c:v>2.1080000000000002E-2</c:v>
                </c:pt>
                <c:pt idx="17">
                  <c:v>2.036E-2</c:v>
                </c:pt>
                <c:pt idx="18">
                  <c:v>2.2110000000000001E-2</c:v>
                </c:pt>
                <c:pt idx="19">
                  <c:v>2.307E-2</c:v>
                </c:pt>
                <c:pt idx="20">
                  <c:v>2.1340000000000001E-2</c:v>
                </c:pt>
                <c:pt idx="21">
                  <c:v>2.3189999999999999E-2</c:v>
                </c:pt>
                <c:pt idx="22">
                  <c:v>2.2919999999999999E-2</c:v>
                </c:pt>
                <c:pt idx="23">
                  <c:v>2.528E-2</c:v>
                </c:pt>
                <c:pt idx="24">
                  <c:v>2.5579999999999999E-2</c:v>
                </c:pt>
                <c:pt idx="25">
                  <c:v>2.6759999999999999E-2</c:v>
                </c:pt>
                <c:pt idx="26">
                  <c:v>2.7150000000000001E-2</c:v>
                </c:pt>
                <c:pt idx="27">
                  <c:v>2.665E-2</c:v>
                </c:pt>
                <c:pt idx="28">
                  <c:v>2.7390000000000001E-2</c:v>
                </c:pt>
                <c:pt idx="29">
                  <c:v>2.5489999999999999E-2</c:v>
                </c:pt>
                <c:pt idx="30">
                  <c:v>2.513E-2</c:v>
                </c:pt>
                <c:pt idx="31">
                  <c:v>2.7400000000000001E-2</c:v>
                </c:pt>
                <c:pt idx="32">
                  <c:v>2.7859999999999999E-2</c:v>
                </c:pt>
                <c:pt idx="33">
                  <c:v>2.9049999999999999E-2</c:v>
                </c:pt>
                <c:pt idx="34">
                  <c:v>2.7400000000000001E-2</c:v>
                </c:pt>
                <c:pt idx="35">
                  <c:v>2.6409999999999999E-2</c:v>
                </c:pt>
                <c:pt idx="36">
                  <c:v>2.5479999999999999E-2</c:v>
                </c:pt>
                <c:pt idx="37">
                  <c:v>2.572E-2</c:v>
                </c:pt>
                <c:pt idx="38">
                  <c:v>2.5499999999999998E-2</c:v>
                </c:pt>
                <c:pt idx="39">
                  <c:v>2.598E-2</c:v>
                </c:pt>
                <c:pt idx="40">
                  <c:v>2.8000000000000001E-2</c:v>
                </c:pt>
                <c:pt idx="41">
                  <c:v>3.2129999999999999E-2</c:v>
                </c:pt>
                <c:pt idx="42">
                  <c:v>2.5479999999999999E-2</c:v>
                </c:pt>
                <c:pt idx="43">
                  <c:v>2.5080000000000002E-2</c:v>
                </c:pt>
                <c:pt idx="44">
                  <c:v>2.1329999999999998E-2</c:v>
                </c:pt>
                <c:pt idx="45">
                  <c:v>2.0820000000000002E-2</c:v>
                </c:pt>
                <c:pt idx="46">
                  <c:v>2.4590000000000001E-2</c:v>
                </c:pt>
                <c:pt idx="47">
                  <c:v>2.6249999999999999E-2</c:v>
                </c:pt>
                <c:pt idx="48">
                  <c:v>2.581E-2</c:v>
                </c:pt>
                <c:pt idx="49">
                  <c:v>2.9499999999999998E-2</c:v>
                </c:pt>
                <c:pt idx="50">
                  <c:v>2.359E-2</c:v>
                </c:pt>
                <c:pt idx="51">
                  <c:v>2.461E-2</c:v>
                </c:pt>
                <c:pt idx="52">
                  <c:v>2.5780000000000001E-2</c:v>
                </c:pt>
                <c:pt idx="53">
                  <c:v>2.6339999999999999E-2</c:v>
                </c:pt>
                <c:pt idx="54">
                  <c:v>2.9909999999999999E-2</c:v>
                </c:pt>
                <c:pt idx="55">
                  <c:v>4.9700000000000001E-2</c:v>
                </c:pt>
                <c:pt idx="56">
                  <c:v>2.4379999999999999E-2</c:v>
                </c:pt>
                <c:pt idx="57">
                  <c:v>2.121E-2</c:v>
                </c:pt>
                <c:pt idx="58">
                  <c:v>2.1080000000000002E-2</c:v>
                </c:pt>
                <c:pt idx="59">
                  <c:v>2.2239999999999999E-2</c:v>
                </c:pt>
                <c:pt idx="60">
                  <c:v>2.1190000000000001E-2</c:v>
                </c:pt>
                <c:pt idx="61">
                  <c:v>2.085E-2</c:v>
                </c:pt>
                <c:pt idx="62">
                  <c:v>1.9910000000000001E-2</c:v>
                </c:pt>
                <c:pt idx="63">
                  <c:v>2.2769999999999999E-2</c:v>
                </c:pt>
                <c:pt idx="64">
                  <c:v>2.3390000000000001E-2</c:v>
                </c:pt>
                <c:pt idx="65">
                  <c:v>2.3089999999999999E-2</c:v>
                </c:pt>
                <c:pt idx="66">
                  <c:v>2.1590000000000002E-2</c:v>
                </c:pt>
                <c:pt idx="67">
                  <c:v>2.2429999999999999E-2</c:v>
                </c:pt>
                <c:pt idx="68">
                  <c:v>2.4930000000000001E-2</c:v>
                </c:pt>
                <c:pt idx="69">
                  <c:v>2.0209999999999999E-2</c:v>
                </c:pt>
                <c:pt idx="70">
                  <c:v>1.9179999999999999E-2</c:v>
                </c:pt>
                <c:pt idx="71">
                  <c:v>2.0979999999999999E-2</c:v>
                </c:pt>
                <c:pt idx="72">
                  <c:v>2.1170000000000001E-2</c:v>
                </c:pt>
                <c:pt idx="73">
                  <c:v>2.2509999999999999E-2</c:v>
                </c:pt>
                <c:pt idx="74">
                  <c:v>2.3609999999999999E-2</c:v>
                </c:pt>
                <c:pt idx="75">
                  <c:v>2.3980000000000001E-2</c:v>
                </c:pt>
                <c:pt idx="76">
                  <c:v>2.3859999999999999E-2</c:v>
                </c:pt>
                <c:pt idx="77">
                  <c:v>2.3619999999999999E-2</c:v>
                </c:pt>
                <c:pt idx="78">
                  <c:v>2.1129999999999999E-2</c:v>
                </c:pt>
                <c:pt idx="79">
                  <c:v>2.1520000000000001E-2</c:v>
                </c:pt>
                <c:pt idx="80">
                  <c:v>2.1930000000000002E-2</c:v>
                </c:pt>
                <c:pt idx="81">
                  <c:v>2.1839999999999998E-2</c:v>
                </c:pt>
                <c:pt idx="82">
                  <c:v>2.1489999999999999E-2</c:v>
                </c:pt>
                <c:pt idx="83">
                  <c:v>2.163E-2</c:v>
                </c:pt>
                <c:pt idx="84">
                  <c:v>2.1360000000000001E-2</c:v>
                </c:pt>
                <c:pt idx="85">
                  <c:v>2.0160000000000001E-2</c:v>
                </c:pt>
                <c:pt idx="86">
                  <c:v>2.0500000000000001E-2</c:v>
                </c:pt>
                <c:pt idx="87">
                  <c:v>2.0500000000000001E-2</c:v>
                </c:pt>
                <c:pt idx="88">
                  <c:v>2.121E-2</c:v>
                </c:pt>
                <c:pt idx="89">
                  <c:v>2.001E-2</c:v>
                </c:pt>
                <c:pt idx="90">
                  <c:v>2.0029999999999999E-2</c:v>
                </c:pt>
                <c:pt idx="91">
                  <c:v>1.968E-2</c:v>
                </c:pt>
                <c:pt idx="92">
                  <c:v>1.8700000000000001E-2</c:v>
                </c:pt>
                <c:pt idx="93">
                  <c:v>2.085E-2</c:v>
                </c:pt>
                <c:pt idx="94">
                  <c:v>2.0979999999999999E-2</c:v>
                </c:pt>
                <c:pt idx="95">
                  <c:v>2.0799999999999999E-2</c:v>
                </c:pt>
                <c:pt idx="96">
                  <c:v>2.1590000000000002E-2</c:v>
                </c:pt>
                <c:pt idx="97">
                  <c:v>2.205E-2</c:v>
                </c:pt>
                <c:pt idx="98">
                  <c:v>2.1319999999999999E-2</c:v>
                </c:pt>
                <c:pt idx="99">
                  <c:v>2.239E-2</c:v>
                </c:pt>
                <c:pt idx="100">
                  <c:v>2.2089999999999999E-2</c:v>
                </c:pt>
                <c:pt idx="101">
                  <c:v>2.205E-2</c:v>
                </c:pt>
                <c:pt idx="102">
                  <c:v>2.2939999999999999E-2</c:v>
                </c:pt>
                <c:pt idx="103">
                  <c:v>2.2759999999999999E-2</c:v>
                </c:pt>
                <c:pt idx="104">
                  <c:v>2.2190000000000001E-2</c:v>
                </c:pt>
                <c:pt idx="105">
                  <c:v>2.2370000000000001E-2</c:v>
                </c:pt>
                <c:pt idx="106">
                  <c:v>2.2610000000000002E-2</c:v>
                </c:pt>
                <c:pt idx="107">
                  <c:v>2.2589999999999999E-2</c:v>
                </c:pt>
                <c:pt idx="108">
                  <c:v>2.308E-2</c:v>
                </c:pt>
                <c:pt idx="109">
                  <c:v>2.171E-2</c:v>
                </c:pt>
                <c:pt idx="110">
                  <c:v>2.1010000000000001E-2</c:v>
                </c:pt>
                <c:pt idx="111">
                  <c:v>2.0219999999999998E-2</c:v>
                </c:pt>
                <c:pt idx="112">
                  <c:v>2.0920000000000001E-2</c:v>
                </c:pt>
                <c:pt idx="113">
                  <c:v>1.9599999999999999E-2</c:v>
                </c:pt>
                <c:pt idx="114">
                  <c:v>1.9810000000000001E-2</c:v>
                </c:pt>
                <c:pt idx="115">
                  <c:v>1.8360000000000001E-2</c:v>
                </c:pt>
                <c:pt idx="116">
                  <c:v>1.924E-2</c:v>
                </c:pt>
                <c:pt idx="117">
                  <c:v>1.881E-2</c:v>
                </c:pt>
                <c:pt idx="118">
                  <c:v>1.8530000000000001E-2</c:v>
                </c:pt>
                <c:pt idx="119">
                  <c:v>1.704E-2</c:v>
                </c:pt>
                <c:pt idx="120">
                  <c:v>1.652E-2</c:v>
                </c:pt>
                <c:pt idx="121">
                  <c:v>1.618E-2</c:v>
                </c:pt>
                <c:pt idx="122">
                  <c:v>1.6799999999999999E-2</c:v>
                </c:pt>
                <c:pt idx="123">
                  <c:v>1.754E-2</c:v>
                </c:pt>
                <c:pt idx="124">
                  <c:v>1.822E-2</c:v>
                </c:pt>
                <c:pt idx="125">
                  <c:v>1.8499999999999999E-2</c:v>
                </c:pt>
                <c:pt idx="126">
                  <c:v>2.0320000000000001E-2</c:v>
                </c:pt>
                <c:pt idx="127">
                  <c:v>0.02</c:v>
                </c:pt>
                <c:pt idx="128">
                  <c:v>1.7770000000000001E-2</c:v>
                </c:pt>
                <c:pt idx="129">
                  <c:v>2.069E-2</c:v>
                </c:pt>
                <c:pt idx="130">
                  <c:v>2.2939999999999999E-2</c:v>
                </c:pt>
                <c:pt idx="131">
                  <c:v>2.4240000000000001E-2</c:v>
                </c:pt>
                <c:pt idx="132">
                  <c:v>2.3210000000000001E-2</c:v>
                </c:pt>
                <c:pt idx="133">
                  <c:v>2.3730000000000001E-2</c:v>
                </c:pt>
                <c:pt idx="134">
                  <c:v>2.3519999999999999E-2</c:v>
                </c:pt>
                <c:pt idx="135">
                  <c:v>2.1170000000000001E-2</c:v>
                </c:pt>
                <c:pt idx="136">
                  <c:v>2.026E-2</c:v>
                </c:pt>
                <c:pt idx="137">
                  <c:v>2.129E-2</c:v>
                </c:pt>
                <c:pt idx="138">
                  <c:v>2.121E-2</c:v>
                </c:pt>
                <c:pt idx="139">
                  <c:v>2.0629999999999999E-2</c:v>
                </c:pt>
                <c:pt idx="140">
                  <c:v>2.232E-2</c:v>
                </c:pt>
                <c:pt idx="141">
                  <c:v>2.2689999999999998E-2</c:v>
                </c:pt>
                <c:pt idx="142">
                  <c:v>2.2519999999999998E-2</c:v>
                </c:pt>
                <c:pt idx="143">
                  <c:v>2.9690000000000001E-2</c:v>
                </c:pt>
                <c:pt idx="144">
                  <c:v>2.8029999999999999E-2</c:v>
                </c:pt>
                <c:pt idx="145">
                  <c:v>2.818E-2</c:v>
                </c:pt>
                <c:pt idx="146">
                  <c:v>2.6290000000000001E-2</c:v>
                </c:pt>
                <c:pt idx="147">
                  <c:v>2.5899999999999999E-2</c:v>
                </c:pt>
                <c:pt idx="148">
                  <c:v>2.742E-2</c:v>
                </c:pt>
                <c:pt idx="149">
                  <c:v>2.4920000000000001E-2</c:v>
                </c:pt>
                <c:pt idx="150">
                  <c:v>2.4170000000000001E-2</c:v>
                </c:pt>
                <c:pt idx="151">
                  <c:v>2.4930000000000001E-2</c:v>
                </c:pt>
                <c:pt idx="152">
                  <c:v>2.5739999999999999E-2</c:v>
                </c:pt>
                <c:pt idx="153">
                  <c:v>2.6710000000000001E-2</c:v>
                </c:pt>
                <c:pt idx="154">
                  <c:v>2.4649999999999998E-2</c:v>
                </c:pt>
                <c:pt idx="155">
                  <c:v>2.7689999999999999E-2</c:v>
                </c:pt>
                <c:pt idx="156">
                  <c:v>2.274E-2</c:v>
                </c:pt>
                <c:pt idx="157">
                  <c:v>2.4760000000000001E-2</c:v>
                </c:pt>
                <c:pt idx="158">
                  <c:v>2.7459999999999998E-2</c:v>
                </c:pt>
                <c:pt idx="159">
                  <c:v>2.3709999999999998E-2</c:v>
                </c:pt>
                <c:pt idx="160">
                  <c:v>1.8460000000000001E-2</c:v>
                </c:pt>
                <c:pt idx="161">
                  <c:v>1.796E-2</c:v>
                </c:pt>
                <c:pt idx="162">
                  <c:v>1.719E-2</c:v>
                </c:pt>
                <c:pt idx="163">
                  <c:v>1.703E-2</c:v>
                </c:pt>
                <c:pt idx="164">
                  <c:v>1.8169999999999999E-2</c:v>
                </c:pt>
                <c:pt idx="165">
                  <c:v>1.8689999999999998E-2</c:v>
                </c:pt>
                <c:pt idx="166">
                  <c:v>1.8350000000000002E-2</c:v>
                </c:pt>
                <c:pt idx="167">
                  <c:v>1.9480000000000001E-2</c:v>
                </c:pt>
                <c:pt idx="168">
                  <c:v>1.7180000000000001E-2</c:v>
                </c:pt>
                <c:pt idx="169">
                  <c:v>1.738E-2</c:v>
                </c:pt>
                <c:pt idx="170">
                  <c:v>1.6230000000000001E-2</c:v>
                </c:pt>
                <c:pt idx="171">
                  <c:v>1.5779999999999999E-2</c:v>
                </c:pt>
                <c:pt idx="172">
                  <c:v>1.4760000000000001E-2</c:v>
                </c:pt>
                <c:pt idx="173">
                  <c:v>1.489E-2</c:v>
                </c:pt>
                <c:pt idx="174">
                  <c:v>1.455E-2</c:v>
                </c:pt>
                <c:pt idx="175">
                  <c:v>1.3769999999999999E-2</c:v>
                </c:pt>
                <c:pt idx="176">
                  <c:v>1.3440000000000001E-2</c:v>
                </c:pt>
                <c:pt idx="177">
                  <c:v>1.307E-2</c:v>
                </c:pt>
                <c:pt idx="178">
                  <c:v>1.336E-2</c:v>
                </c:pt>
                <c:pt idx="179">
                  <c:v>1.366E-2</c:v>
                </c:pt>
                <c:pt idx="180">
                  <c:v>1.4E-2</c:v>
                </c:pt>
                <c:pt idx="181">
                  <c:v>1.372E-2</c:v>
                </c:pt>
                <c:pt idx="182">
                  <c:v>1.325E-2</c:v>
                </c:pt>
                <c:pt idx="183">
                  <c:v>1.2930000000000001E-2</c:v>
                </c:pt>
                <c:pt idx="184">
                  <c:v>1.3299999999999999E-2</c:v>
                </c:pt>
                <c:pt idx="185">
                  <c:v>1.3100000000000001E-2</c:v>
                </c:pt>
                <c:pt idx="186">
                  <c:v>1.4370000000000001E-2</c:v>
                </c:pt>
                <c:pt idx="187">
                  <c:v>1.227E-2</c:v>
                </c:pt>
                <c:pt idx="188">
                  <c:v>1.1560000000000001E-2</c:v>
                </c:pt>
                <c:pt idx="189">
                  <c:v>1.1310000000000001E-2</c:v>
                </c:pt>
                <c:pt idx="190">
                  <c:v>1.1270000000000001E-2</c:v>
                </c:pt>
                <c:pt idx="191">
                  <c:v>1.0330000000000001E-2</c:v>
                </c:pt>
                <c:pt idx="192">
                  <c:v>1.11E-2</c:v>
                </c:pt>
                <c:pt idx="193">
                  <c:v>1.1820000000000001E-2</c:v>
                </c:pt>
                <c:pt idx="194">
                  <c:v>1.1809999999999999E-2</c:v>
                </c:pt>
                <c:pt idx="195">
                  <c:v>1.204E-2</c:v>
                </c:pt>
                <c:pt idx="196">
                  <c:v>1.2840000000000001E-2</c:v>
                </c:pt>
                <c:pt idx="197">
                  <c:v>1.2840000000000001E-2</c:v>
                </c:pt>
                <c:pt idx="198">
                  <c:v>1.248E-2</c:v>
                </c:pt>
                <c:pt idx="199">
                  <c:v>1.2749999999999999E-2</c:v>
                </c:pt>
                <c:pt idx="200">
                  <c:v>1.345E-2</c:v>
                </c:pt>
                <c:pt idx="201">
                  <c:v>1.32E-2</c:v>
                </c:pt>
                <c:pt idx="202">
                  <c:v>1.363E-2</c:v>
                </c:pt>
                <c:pt idx="203">
                  <c:v>1.358E-2</c:v>
                </c:pt>
                <c:pt idx="204">
                  <c:v>1.602E-2</c:v>
                </c:pt>
                <c:pt idx="205">
                  <c:v>1.2699999999999999E-2</c:v>
                </c:pt>
                <c:pt idx="206">
                  <c:v>1.238E-2</c:v>
                </c:pt>
                <c:pt idx="207">
                  <c:v>1.2869999999999999E-2</c:v>
                </c:pt>
                <c:pt idx="208">
                  <c:v>1.2670000000000001E-2</c:v>
                </c:pt>
                <c:pt idx="209">
                  <c:v>1.255E-2</c:v>
                </c:pt>
                <c:pt idx="210">
                  <c:v>1.197E-2</c:v>
                </c:pt>
                <c:pt idx="211">
                  <c:v>1.176E-2</c:v>
                </c:pt>
                <c:pt idx="212">
                  <c:v>1.188E-2</c:v>
                </c:pt>
                <c:pt idx="213">
                  <c:v>1.1599999999999999E-2</c:v>
                </c:pt>
                <c:pt idx="214">
                  <c:v>1.1140000000000001E-2</c:v>
                </c:pt>
                <c:pt idx="215">
                  <c:v>1.0370000000000001E-2</c:v>
                </c:pt>
                <c:pt idx="216">
                  <c:v>1.044E-2</c:v>
                </c:pt>
                <c:pt idx="217">
                  <c:v>1.1690000000000001E-2</c:v>
                </c:pt>
                <c:pt idx="218">
                  <c:v>1.112E-2</c:v>
                </c:pt>
                <c:pt idx="219">
                  <c:v>1.022E-2</c:v>
                </c:pt>
                <c:pt idx="220">
                  <c:v>1.099E-2</c:v>
                </c:pt>
                <c:pt idx="221">
                  <c:v>1.409E-2</c:v>
                </c:pt>
                <c:pt idx="222">
                  <c:v>1.4250000000000001E-2</c:v>
                </c:pt>
                <c:pt idx="223">
                  <c:v>1.482E-2</c:v>
                </c:pt>
                <c:pt idx="224">
                  <c:v>1.6480000000000002E-2</c:v>
                </c:pt>
                <c:pt idx="225">
                  <c:v>1.712E-2</c:v>
                </c:pt>
                <c:pt idx="226">
                  <c:v>1.7100000000000001E-2</c:v>
                </c:pt>
                <c:pt idx="227">
                  <c:v>1.6119999999999999E-2</c:v>
                </c:pt>
                <c:pt idx="228">
                  <c:v>1.626E-2</c:v>
                </c:pt>
                <c:pt idx="229">
                  <c:v>1.536E-2</c:v>
                </c:pt>
                <c:pt idx="230">
                  <c:v>1.5820000000000001E-2</c:v>
                </c:pt>
                <c:pt idx="231">
                  <c:v>1.7729999999999999E-2</c:v>
                </c:pt>
                <c:pt idx="232">
                  <c:v>1.652E-2</c:v>
                </c:pt>
                <c:pt idx="233">
                  <c:v>1.532E-2</c:v>
                </c:pt>
                <c:pt idx="234">
                  <c:v>1.5010000000000001E-2</c:v>
                </c:pt>
                <c:pt idx="235">
                  <c:v>1.77E-2</c:v>
                </c:pt>
                <c:pt idx="236">
                  <c:v>1.516E-2</c:v>
                </c:pt>
                <c:pt idx="237">
                  <c:v>1.5350000000000001E-2</c:v>
                </c:pt>
                <c:pt idx="238">
                  <c:v>1.7350000000000001E-2</c:v>
                </c:pt>
                <c:pt idx="239">
                  <c:v>1.486E-2</c:v>
                </c:pt>
                <c:pt idx="240">
                  <c:v>1.452E-2</c:v>
                </c:pt>
                <c:pt idx="241">
                  <c:v>1.5570000000000001E-2</c:v>
                </c:pt>
                <c:pt idx="242">
                  <c:v>1.374E-2</c:v>
                </c:pt>
                <c:pt idx="243">
                  <c:v>1.3259999999999999E-2</c:v>
                </c:pt>
                <c:pt idx="244">
                  <c:v>1.388E-2</c:v>
                </c:pt>
                <c:pt idx="245">
                  <c:v>1.555E-2</c:v>
                </c:pt>
                <c:pt idx="246">
                  <c:v>1.729E-2</c:v>
                </c:pt>
                <c:pt idx="247">
                  <c:v>1.562E-2</c:v>
                </c:pt>
                <c:pt idx="248">
                  <c:v>1.404E-2</c:v>
                </c:pt>
                <c:pt idx="249">
                  <c:v>1.1339999999999999E-2</c:v>
                </c:pt>
                <c:pt idx="250">
                  <c:v>1.396E-2</c:v>
                </c:pt>
                <c:pt idx="251">
                  <c:v>1.409E-2</c:v>
                </c:pt>
                <c:pt idx="252">
                  <c:v>1.6879999999999999E-2</c:v>
                </c:pt>
                <c:pt idx="253">
                  <c:v>1.4919999999999999E-2</c:v>
                </c:pt>
                <c:pt idx="254">
                  <c:v>2.385E-2</c:v>
                </c:pt>
                <c:pt idx="255">
                  <c:v>2.1839999999999998E-2</c:v>
                </c:pt>
                <c:pt idx="256">
                  <c:v>2.3949999999999999E-2</c:v>
                </c:pt>
                <c:pt idx="257">
                  <c:v>2.4109999999999999E-2</c:v>
                </c:pt>
                <c:pt idx="258">
                  <c:v>2.614E-2</c:v>
                </c:pt>
                <c:pt idx="259">
                  <c:v>2.4799999999999999E-2</c:v>
                </c:pt>
                <c:pt idx="260">
                  <c:v>2.614E-2</c:v>
                </c:pt>
                <c:pt idx="261">
                  <c:v>3.0839999999999999E-2</c:v>
                </c:pt>
                <c:pt idx="262">
                  <c:v>2.9399999999999999E-2</c:v>
                </c:pt>
                <c:pt idx="263">
                  <c:v>3.1850000000000003E-2</c:v>
                </c:pt>
                <c:pt idx="264">
                  <c:v>3.2579999999999998E-2</c:v>
                </c:pt>
                <c:pt idx="265">
                  <c:v>3.3480000000000003E-2</c:v>
                </c:pt>
                <c:pt idx="266">
                  <c:v>3.2210000000000003E-2</c:v>
                </c:pt>
                <c:pt idx="267">
                  <c:v>3.3640000000000003E-2</c:v>
                </c:pt>
                <c:pt idx="268">
                  <c:v>3.125E-2</c:v>
                </c:pt>
                <c:pt idx="269">
                  <c:v>3.5659999999999997E-2</c:v>
                </c:pt>
                <c:pt idx="270">
                  <c:v>3.6179999999999997E-2</c:v>
                </c:pt>
                <c:pt idx="271">
                  <c:v>3.7699999999999997E-2</c:v>
                </c:pt>
                <c:pt idx="272">
                  <c:v>3.3619999999999997E-2</c:v>
                </c:pt>
                <c:pt idx="273">
                  <c:v>3.1510000000000003E-2</c:v>
                </c:pt>
                <c:pt idx="274">
                  <c:v>3.1510000000000003E-2</c:v>
                </c:pt>
                <c:pt idx="275">
                  <c:v>3.2050000000000002E-2</c:v>
                </c:pt>
                <c:pt idx="276">
                  <c:v>2.886E-2</c:v>
                </c:pt>
                <c:pt idx="277">
                  <c:v>2.529E-2</c:v>
                </c:pt>
                <c:pt idx="278">
                  <c:v>2.469E-2</c:v>
                </c:pt>
                <c:pt idx="279">
                  <c:v>2.6460000000000001E-2</c:v>
                </c:pt>
                <c:pt idx="280">
                  <c:v>2.7519999999999999E-2</c:v>
                </c:pt>
                <c:pt idx="281">
                  <c:v>3.1629999999999998E-2</c:v>
                </c:pt>
                <c:pt idx="282">
                  <c:v>3.1040000000000002E-2</c:v>
                </c:pt>
                <c:pt idx="283">
                  <c:v>3.1019999999999999E-2</c:v>
                </c:pt>
                <c:pt idx="284">
                  <c:v>3.6339999999999997E-2</c:v>
                </c:pt>
                <c:pt idx="285">
                  <c:v>4.1079999999999998E-2</c:v>
                </c:pt>
                <c:pt idx="286">
                  <c:v>3.9699999999999999E-2</c:v>
                </c:pt>
                <c:pt idx="287">
                  <c:v>3.8089999999999999E-2</c:v>
                </c:pt>
                <c:pt idx="288">
                  <c:v>3.8530000000000002E-2</c:v>
                </c:pt>
                <c:pt idx="289">
                  <c:v>3.7699999999999997E-2</c:v>
                </c:pt>
                <c:pt idx="290">
                  <c:v>3.9190000000000003E-2</c:v>
                </c:pt>
                <c:pt idx="291">
                  <c:v>3.8780000000000002E-2</c:v>
                </c:pt>
                <c:pt idx="292">
                  <c:v>3.8490000000000003E-2</c:v>
                </c:pt>
                <c:pt idx="293">
                  <c:v>4.1090000000000002E-2</c:v>
                </c:pt>
                <c:pt idx="294">
                  <c:v>3.9260000000000003E-2</c:v>
                </c:pt>
                <c:pt idx="295">
                  <c:v>3.5909999999999997E-2</c:v>
                </c:pt>
                <c:pt idx="296">
                  <c:v>4.0689999999999997E-2</c:v>
                </c:pt>
                <c:pt idx="297">
                  <c:v>4.2509999999999999E-2</c:v>
                </c:pt>
                <c:pt idx="298">
                  <c:v>4.2659999999999997E-2</c:v>
                </c:pt>
                <c:pt idx="299">
                  <c:v>3.6920000000000001E-2</c:v>
                </c:pt>
                <c:pt idx="300">
                  <c:v>3.8989999999999997E-2</c:v>
                </c:pt>
                <c:pt idx="301">
                  <c:v>4.156E-2</c:v>
                </c:pt>
                <c:pt idx="302">
                  <c:v>4.0349999999999997E-2</c:v>
                </c:pt>
                <c:pt idx="303">
                  <c:v>4.2139999999999997E-2</c:v>
                </c:pt>
                <c:pt idx="304">
                  <c:v>4.1009999999999998E-2</c:v>
                </c:pt>
                <c:pt idx="305">
                  <c:v>4.2750000000000003E-2</c:v>
                </c:pt>
                <c:pt idx="306">
                  <c:v>3.8109999999999998E-2</c:v>
                </c:pt>
                <c:pt idx="307">
                  <c:v>3.925E-2</c:v>
                </c:pt>
                <c:pt idx="308">
                  <c:v>3.8260000000000002E-2</c:v>
                </c:pt>
                <c:pt idx="309">
                  <c:v>4.07E-2</c:v>
                </c:pt>
                <c:pt idx="310">
                  <c:v>3.2779999999999997E-2</c:v>
                </c:pt>
                <c:pt idx="311">
                  <c:v>3.4349999999999999E-2</c:v>
                </c:pt>
                <c:pt idx="312">
                  <c:v>3.7650000000000003E-2</c:v>
                </c:pt>
                <c:pt idx="313">
                  <c:v>3.424E-2</c:v>
                </c:pt>
                <c:pt idx="314">
                  <c:v>3.8519999999999999E-2</c:v>
                </c:pt>
                <c:pt idx="315">
                  <c:v>3.141E-2</c:v>
                </c:pt>
                <c:pt idx="316">
                  <c:v>3.3989999999999999E-2</c:v>
                </c:pt>
                <c:pt idx="317">
                  <c:v>3.2390000000000002E-2</c:v>
                </c:pt>
                <c:pt idx="318">
                  <c:v>3.075E-2</c:v>
                </c:pt>
                <c:pt idx="319">
                  <c:v>3.0360000000000002E-2</c:v>
                </c:pt>
                <c:pt idx="320">
                  <c:v>3.1739999999999997E-2</c:v>
                </c:pt>
                <c:pt idx="321">
                  <c:v>2.477E-2</c:v>
                </c:pt>
                <c:pt idx="322">
                  <c:v>2.673E-2</c:v>
                </c:pt>
                <c:pt idx="323">
                  <c:v>2.4559999999999998E-2</c:v>
                </c:pt>
                <c:pt idx="324">
                  <c:v>2.419E-2</c:v>
                </c:pt>
                <c:pt idx="325">
                  <c:v>1.857E-2</c:v>
                </c:pt>
                <c:pt idx="326">
                  <c:v>1.7309999999999999E-2</c:v>
                </c:pt>
                <c:pt idx="327">
                  <c:v>1.754E-2</c:v>
                </c:pt>
                <c:pt idx="328">
                  <c:v>1.7510000000000001E-2</c:v>
                </c:pt>
                <c:pt idx="329">
                  <c:v>1.6150000000000001E-2</c:v>
                </c:pt>
                <c:pt idx="330">
                  <c:v>1.6670000000000001E-2</c:v>
                </c:pt>
                <c:pt idx="331">
                  <c:v>1.388E-2</c:v>
                </c:pt>
                <c:pt idx="332">
                  <c:v>1.421E-2</c:v>
                </c:pt>
                <c:pt idx="333">
                  <c:v>1.281E-2</c:v>
                </c:pt>
                <c:pt idx="334">
                  <c:v>1.3809999999999999E-2</c:v>
                </c:pt>
                <c:pt idx="335">
                  <c:v>1.337E-2</c:v>
                </c:pt>
                <c:pt idx="336">
                  <c:v>1.499E-2</c:v>
                </c:pt>
                <c:pt idx="337">
                  <c:v>1.5259999999999999E-2</c:v>
                </c:pt>
                <c:pt idx="338">
                  <c:v>1.4250000000000001E-2</c:v>
                </c:pt>
                <c:pt idx="339">
                  <c:v>1.8419999999999999E-2</c:v>
                </c:pt>
                <c:pt idx="340">
                  <c:v>1.7680000000000001E-2</c:v>
                </c:pt>
                <c:pt idx="341">
                  <c:v>1.7489999999999999E-2</c:v>
                </c:pt>
                <c:pt idx="342">
                  <c:v>1.8890000000000001E-2</c:v>
                </c:pt>
                <c:pt idx="343">
                  <c:v>1.882E-2</c:v>
                </c:pt>
                <c:pt idx="344">
                  <c:v>1.8370000000000001E-2</c:v>
                </c:pt>
                <c:pt idx="345">
                  <c:v>1.6209999999999999E-2</c:v>
                </c:pt>
                <c:pt idx="346">
                  <c:v>1.6670000000000001E-2</c:v>
                </c:pt>
                <c:pt idx="347">
                  <c:v>1.7080000000000001E-2</c:v>
                </c:pt>
                <c:pt idx="348">
                  <c:v>1.6729999999999998E-2</c:v>
                </c:pt>
                <c:pt idx="349">
                  <c:v>1.6660000000000001E-2</c:v>
                </c:pt>
                <c:pt idx="350">
                  <c:v>1.5720000000000001E-2</c:v>
                </c:pt>
                <c:pt idx="351">
                  <c:v>1.337E-2</c:v>
                </c:pt>
                <c:pt idx="352">
                  <c:v>1.3259999999999999E-2</c:v>
                </c:pt>
                <c:pt idx="353">
                  <c:v>1.163E-2</c:v>
                </c:pt>
                <c:pt idx="354">
                  <c:v>1.082E-2</c:v>
                </c:pt>
                <c:pt idx="355">
                  <c:v>1.099E-2</c:v>
                </c:pt>
                <c:pt idx="356">
                  <c:v>1.166E-2</c:v>
                </c:pt>
                <c:pt idx="357">
                  <c:v>1.102E-2</c:v>
                </c:pt>
                <c:pt idx="358">
                  <c:v>1.0359999999999999E-2</c:v>
                </c:pt>
                <c:pt idx="359">
                  <c:v>9.5600000000000008E-3</c:v>
                </c:pt>
                <c:pt idx="360">
                  <c:v>9.3699999999999999E-3</c:v>
                </c:pt>
                <c:pt idx="361">
                  <c:v>9.5499999999999995E-3</c:v>
                </c:pt>
                <c:pt idx="362">
                  <c:v>9.2499999999999995E-3</c:v>
                </c:pt>
                <c:pt idx="363">
                  <c:v>9.1900000000000003E-3</c:v>
                </c:pt>
                <c:pt idx="364">
                  <c:v>7.9500000000000005E-3</c:v>
                </c:pt>
                <c:pt idx="365">
                  <c:v>7.5799999999999999E-3</c:v>
                </c:pt>
                <c:pt idx="366">
                  <c:v>7.7499999999999999E-3</c:v>
                </c:pt>
                <c:pt idx="367">
                  <c:v>8.0099999999999998E-3</c:v>
                </c:pt>
                <c:pt idx="368">
                  <c:v>8.2299999999999995E-3</c:v>
                </c:pt>
                <c:pt idx="369">
                  <c:v>8.0599999999999995E-3</c:v>
                </c:pt>
                <c:pt idx="370">
                  <c:v>8.1099999999999992E-3</c:v>
                </c:pt>
                <c:pt idx="371">
                  <c:v>8.1099999999999992E-3</c:v>
                </c:pt>
                <c:pt idx="372">
                  <c:v>8.9999999999999993E-3</c:v>
                </c:pt>
                <c:pt idx="373">
                  <c:v>9.0200000000000002E-3</c:v>
                </c:pt>
                <c:pt idx="374">
                  <c:v>9.0799999999999995E-3</c:v>
                </c:pt>
                <c:pt idx="375">
                  <c:v>8.0199999999999994E-3</c:v>
                </c:pt>
                <c:pt idx="376">
                  <c:v>7.9799999999999992E-3</c:v>
                </c:pt>
                <c:pt idx="377">
                  <c:v>7.7200000000000003E-3</c:v>
                </c:pt>
                <c:pt idx="378">
                  <c:v>7.5399999999999998E-3</c:v>
                </c:pt>
                <c:pt idx="379">
                  <c:v>7.1300000000000001E-3</c:v>
                </c:pt>
                <c:pt idx="380">
                  <c:v>6.8199999999999997E-3</c:v>
                </c:pt>
                <c:pt idx="381">
                  <c:v>6.8300000000000001E-3</c:v>
                </c:pt>
                <c:pt idx="382">
                  <c:v>7.6299999999999996E-3</c:v>
                </c:pt>
                <c:pt idx="383">
                  <c:v>8.1499999999999993E-3</c:v>
                </c:pt>
                <c:pt idx="384">
                  <c:v>7.7499999999999999E-3</c:v>
                </c:pt>
                <c:pt idx="385">
                  <c:v>7.9799999999999992E-3</c:v>
                </c:pt>
                <c:pt idx="386">
                  <c:v>7.8399999999999997E-3</c:v>
                </c:pt>
                <c:pt idx="387">
                  <c:v>7.7299999999999999E-3</c:v>
                </c:pt>
                <c:pt idx="388">
                  <c:v>7.6899999999999998E-3</c:v>
                </c:pt>
                <c:pt idx="389">
                  <c:v>7.6400000000000001E-3</c:v>
                </c:pt>
                <c:pt idx="390">
                  <c:v>7.6699999999999997E-3</c:v>
                </c:pt>
                <c:pt idx="391">
                  <c:v>7.3600000000000002E-3</c:v>
                </c:pt>
                <c:pt idx="392">
                  <c:v>7.0600000000000003E-3</c:v>
                </c:pt>
                <c:pt idx="393">
                  <c:v>7.5500000000000003E-3</c:v>
                </c:pt>
                <c:pt idx="394">
                  <c:v>6.3099999999999996E-3</c:v>
                </c:pt>
                <c:pt idx="395">
                  <c:v>6.4000000000000003E-3</c:v>
                </c:pt>
                <c:pt idx="396">
                  <c:v>6.4200000000000004E-3</c:v>
                </c:pt>
                <c:pt idx="397">
                  <c:v>6.5599999999999999E-3</c:v>
                </c:pt>
                <c:pt idx="398">
                  <c:v>6.45E-3</c:v>
                </c:pt>
                <c:pt idx="399">
                  <c:v>6.1999999999999998E-3</c:v>
                </c:pt>
                <c:pt idx="400">
                  <c:v>5.8900000000000003E-3</c:v>
                </c:pt>
                <c:pt idx="401">
                  <c:v>6.5399999999999998E-3</c:v>
                </c:pt>
                <c:pt idx="402">
                  <c:v>6.4700000000000001E-3</c:v>
                </c:pt>
                <c:pt idx="403">
                  <c:v>6.9800000000000001E-3</c:v>
                </c:pt>
                <c:pt idx="404">
                  <c:v>6.4999999999999997E-3</c:v>
                </c:pt>
                <c:pt idx="405">
                  <c:v>6.3699999999999998E-3</c:v>
                </c:pt>
                <c:pt idx="406">
                  <c:v>6.0600000000000003E-3</c:v>
                </c:pt>
                <c:pt idx="407">
                  <c:v>6.4700000000000001E-3</c:v>
                </c:pt>
                <c:pt idx="408">
                  <c:v>6.5399999999999998E-3</c:v>
                </c:pt>
                <c:pt idx="409">
                  <c:v>6.79E-3</c:v>
                </c:pt>
                <c:pt idx="410">
                  <c:v>6.5799999999999999E-3</c:v>
                </c:pt>
                <c:pt idx="411">
                  <c:v>6.5399999999999998E-3</c:v>
                </c:pt>
                <c:pt idx="412">
                  <c:v>6.0600000000000003E-3</c:v>
                </c:pt>
                <c:pt idx="413">
                  <c:v>6.1799999999999997E-3</c:v>
                </c:pt>
                <c:pt idx="414">
                  <c:v>6.28E-3</c:v>
                </c:pt>
                <c:pt idx="415">
                  <c:v>6.3299999999999997E-3</c:v>
                </c:pt>
                <c:pt idx="416">
                  <c:v>6.3299999999999997E-3</c:v>
                </c:pt>
                <c:pt idx="417">
                  <c:v>6.3699999999999998E-3</c:v>
                </c:pt>
                <c:pt idx="418">
                  <c:v>6.13E-3</c:v>
                </c:pt>
                <c:pt idx="419">
                  <c:v>5.8900000000000003E-3</c:v>
                </c:pt>
                <c:pt idx="420">
                  <c:v>6.28E-3</c:v>
                </c:pt>
                <c:pt idx="421">
                  <c:v>6.3099999999999996E-3</c:v>
                </c:pt>
                <c:pt idx="422">
                  <c:v>6.4000000000000003E-3</c:v>
                </c:pt>
                <c:pt idx="423">
                  <c:v>6.3899999999999998E-3</c:v>
                </c:pt>
                <c:pt idx="424">
                  <c:v>6.3099999999999996E-3</c:v>
                </c:pt>
                <c:pt idx="425">
                  <c:v>6.3E-3</c:v>
                </c:pt>
                <c:pt idx="426">
                  <c:v>6.0800000000000003E-3</c:v>
                </c:pt>
                <c:pt idx="427">
                  <c:v>6.0800000000000003E-3</c:v>
                </c:pt>
                <c:pt idx="428">
                  <c:v>6.9199999999999999E-3</c:v>
                </c:pt>
                <c:pt idx="429">
                  <c:v>6.8399999999999997E-3</c:v>
                </c:pt>
                <c:pt idx="430">
                  <c:v>6.28E-3</c:v>
                </c:pt>
                <c:pt idx="431">
                  <c:v>5.9500000000000004E-3</c:v>
                </c:pt>
                <c:pt idx="432">
                  <c:v>6.0400000000000002E-3</c:v>
                </c:pt>
                <c:pt idx="433">
                  <c:v>5.7800000000000004E-3</c:v>
                </c:pt>
                <c:pt idx="434">
                  <c:v>5.4599999999999996E-3</c:v>
                </c:pt>
                <c:pt idx="435">
                  <c:v>5.4900000000000001E-3</c:v>
                </c:pt>
                <c:pt idx="436">
                  <c:v>5.7499999999999999E-3</c:v>
                </c:pt>
                <c:pt idx="437">
                  <c:v>5.96E-3</c:v>
                </c:pt>
                <c:pt idx="438">
                  <c:v>5.7999999999999996E-3</c:v>
                </c:pt>
                <c:pt idx="439">
                  <c:v>5.8799999999999998E-3</c:v>
                </c:pt>
                <c:pt idx="440">
                  <c:v>6.3699999999999998E-3</c:v>
                </c:pt>
                <c:pt idx="441">
                  <c:v>6.2599999999999999E-3</c:v>
                </c:pt>
                <c:pt idx="442">
                  <c:v>6.3600000000000002E-3</c:v>
                </c:pt>
                <c:pt idx="443">
                  <c:v>6.5500000000000003E-3</c:v>
                </c:pt>
                <c:pt idx="444">
                  <c:v>6.1999999999999998E-3</c:v>
                </c:pt>
                <c:pt idx="445">
                  <c:v>5.94E-3</c:v>
                </c:pt>
                <c:pt idx="446">
                  <c:v>5.7499999999999999E-3</c:v>
                </c:pt>
                <c:pt idx="447">
                  <c:v>6.2300000000000003E-3</c:v>
                </c:pt>
                <c:pt idx="448">
                  <c:v>5.5599999999999998E-3</c:v>
                </c:pt>
                <c:pt idx="449">
                  <c:v>5.8199999999999997E-3</c:v>
                </c:pt>
                <c:pt idx="450">
                  <c:v>5.7999999999999996E-3</c:v>
                </c:pt>
                <c:pt idx="451">
                  <c:v>5.8300000000000001E-3</c:v>
                </c:pt>
                <c:pt idx="452">
                  <c:v>5.8500000000000002E-3</c:v>
                </c:pt>
                <c:pt idx="453">
                  <c:v>5.7800000000000004E-3</c:v>
                </c:pt>
                <c:pt idx="454">
                  <c:v>5.7800000000000004E-3</c:v>
                </c:pt>
                <c:pt idx="455">
                  <c:v>5.7800000000000004E-3</c:v>
                </c:pt>
                <c:pt idx="456">
                  <c:v>5.9800000000000001E-3</c:v>
                </c:pt>
                <c:pt idx="457">
                  <c:v>6.1799999999999997E-3</c:v>
                </c:pt>
                <c:pt idx="458">
                  <c:v>6.4400000000000004E-3</c:v>
                </c:pt>
                <c:pt idx="459">
                  <c:v>6.43E-3</c:v>
                </c:pt>
                <c:pt idx="460">
                  <c:v>6.6299999999999996E-3</c:v>
                </c:pt>
                <c:pt idx="461">
                  <c:v>6.6100000000000004E-3</c:v>
                </c:pt>
                <c:pt idx="462">
                  <c:v>6.8300000000000001E-3</c:v>
                </c:pt>
                <c:pt idx="463">
                  <c:v>6.6499999999999997E-3</c:v>
                </c:pt>
                <c:pt idx="464">
                  <c:v>6.4000000000000003E-3</c:v>
                </c:pt>
                <c:pt idx="465">
                  <c:v>7.1300000000000001E-3</c:v>
                </c:pt>
                <c:pt idx="466">
                  <c:v>7.26E-3</c:v>
                </c:pt>
                <c:pt idx="467">
                  <c:v>7.1599999999999997E-3</c:v>
                </c:pt>
                <c:pt idx="468">
                  <c:v>7.1300000000000001E-3</c:v>
                </c:pt>
                <c:pt idx="469">
                  <c:v>7.2199999999999999E-3</c:v>
                </c:pt>
                <c:pt idx="470">
                  <c:v>7.3400000000000002E-3</c:v>
                </c:pt>
                <c:pt idx="471">
                  <c:v>7.4599999999999996E-3</c:v>
                </c:pt>
                <c:pt idx="472">
                  <c:v>7.5199999999999998E-3</c:v>
                </c:pt>
                <c:pt idx="473">
                  <c:v>7.7000000000000002E-3</c:v>
                </c:pt>
                <c:pt idx="474">
                  <c:v>7.5700000000000003E-3</c:v>
                </c:pt>
                <c:pt idx="475">
                  <c:v>7.7600000000000004E-3</c:v>
                </c:pt>
                <c:pt idx="476">
                  <c:v>7.4000000000000003E-3</c:v>
                </c:pt>
                <c:pt idx="477">
                  <c:v>6.8700000000000002E-3</c:v>
                </c:pt>
                <c:pt idx="478">
                  <c:v>7.1500000000000001E-3</c:v>
                </c:pt>
                <c:pt idx="479">
                  <c:v>7.4400000000000004E-3</c:v>
                </c:pt>
                <c:pt idx="480">
                  <c:v>7.43E-3</c:v>
                </c:pt>
                <c:pt idx="481">
                  <c:v>7.45E-3</c:v>
                </c:pt>
                <c:pt idx="482">
                  <c:v>7.4200000000000004E-3</c:v>
                </c:pt>
                <c:pt idx="483">
                  <c:v>7.7999999999999996E-3</c:v>
                </c:pt>
                <c:pt idx="484">
                  <c:v>8.5500000000000003E-3</c:v>
                </c:pt>
                <c:pt idx="485">
                  <c:v>8.1399999999999997E-3</c:v>
                </c:pt>
                <c:pt idx="486">
                  <c:v>8.43E-3</c:v>
                </c:pt>
                <c:pt idx="487">
                  <c:v>8.0999999999999996E-3</c:v>
                </c:pt>
                <c:pt idx="488">
                  <c:v>7.4400000000000004E-3</c:v>
                </c:pt>
                <c:pt idx="489">
                  <c:v>7.5700000000000003E-3</c:v>
                </c:pt>
                <c:pt idx="490">
                  <c:v>7.2100000000000003E-3</c:v>
                </c:pt>
                <c:pt idx="491">
                  <c:v>6.7499999999999999E-3</c:v>
                </c:pt>
                <c:pt idx="492">
                  <c:v>7.0899999999999999E-3</c:v>
                </c:pt>
                <c:pt idx="493">
                  <c:v>7.1000000000000004E-3</c:v>
                </c:pt>
                <c:pt idx="494">
                  <c:v>7.7999999999999996E-3</c:v>
                </c:pt>
                <c:pt idx="495">
                  <c:v>8.1200000000000005E-3</c:v>
                </c:pt>
                <c:pt idx="496">
                  <c:v>7.7999999999999996E-3</c:v>
                </c:pt>
                <c:pt idx="497">
                  <c:v>7.9000000000000008E-3</c:v>
                </c:pt>
                <c:pt idx="498">
                  <c:v>7.5599999999999999E-3</c:v>
                </c:pt>
                <c:pt idx="499">
                  <c:v>7.5700000000000003E-3</c:v>
                </c:pt>
                <c:pt idx="500">
                  <c:v>7.9600000000000001E-3</c:v>
                </c:pt>
                <c:pt idx="501">
                  <c:v>7.8399999999999997E-3</c:v>
                </c:pt>
                <c:pt idx="502">
                  <c:v>8.3099999999999997E-3</c:v>
                </c:pt>
                <c:pt idx="503">
                  <c:v>8.26E-3</c:v>
                </c:pt>
                <c:pt idx="504">
                  <c:v>7.8899999999999994E-3</c:v>
                </c:pt>
                <c:pt idx="505">
                  <c:v>7.5799999999999999E-3</c:v>
                </c:pt>
                <c:pt idx="506">
                  <c:v>7.1599999999999997E-3</c:v>
                </c:pt>
                <c:pt idx="507">
                  <c:v>7.3000000000000001E-3</c:v>
                </c:pt>
                <c:pt idx="508">
                  <c:v>7.3000000000000001E-3</c:v>
                </c:pt>
                <c:pt idx="509">
                  <c:v>6.7600000000000004E-3</c:v>
                </c:pt>
                <c:pt idx="510">
                  <c:v>7.6400000000000001E-3</c:v>
                </c:pt>
                <c:pt idx="511">
                  <c:v>7.4400000000000004E-3</c:v>
                </c:pt>
                <c:pt idx="512">
                  <c:v>9.1599999999999997E-3</c:v>
                </c:pt>
                <c:pt idx="513">
                  <c:v>9.7400000000000004E-3</c:v>
                </c:pt>
                <c:pt idx="514">
                  <c:v>1.008E-2</c:v>
                </c:pt>
                <c:pt idx="515">
                  <c:v>9.5999999999999992E-3</c:v>
                </c:pt>
                <c:pt idx="516">
                  <c:v>9.4299999999999991E-3</c:v>
                </c:pt>
                <c:pt idx="517">
                  <c:v>9.6699999999999998E-3</c:v>
                </c:pt>
                <c:pt idx="518">
                  <c:v>8.9999999999999993E-3</c:v>
                </c:pt>
                <c:pt idx="519">
                  <c:v>9.1999999999999998E-3</c:v>
                </c:pt>
                <c:pt idx="520">
                  <c:v>8.8500000000000002E-3</c:v>
                </c:pt>
                <c:pt idx="521">
                  <c:v>9.5200000000000007E-3</c:v>
                </c:pt>
                <c:pt idx="522">
                  <c:v>9.3699999999999999E-3</c:v>
                </c:pt>
                <c:pt idx="523">
                  <c:v>9.5300000000000003E-3</c:v>
                </c:pt>
                <c:pt idx="524">
                  <c:v>9.2599999999999991E-3</c:v>
                </c:pt>
                <c:pt idx="525">
                  <c:v>1.01E-2</c:v>
                </c:pt>
                <c:pt idx="526">
                  <c:v>9.5399999999999999E-3</c:v>
                </c:pt>
                <c:pt idx="527">
                  <c:v>9.9600000000000001E-3</c:v>
                </c:pt>
                <c:pt idx="528">
                  <c:v>9.9000000000000008E-3</c:v>
                </c:pt>
                <c:pt idx="529">
                  <c:v>9.6699999999999998E-3</c:v>
                </c:pt>
                <c:pt idx="530">
                  <c:v>9.7599999999999996E-3</c:v>
                </c:pt>
                <c:pt idx="531">
                  <c:v>1.0160000000000001E-2</c:v>
                </c:pt>
                <c:pt idx="532">
                  <c:v>9.8600000000000007E-3</c:v>
                </c:pt>
                <c:pt idx="533">
                  <c:v>9.4500000000000001E-3</c:v>
                </c:pt>
                <c:pt idx="534">
                  <c:v>8.9800000000000001E-3</c:v>
                </c:pt>
                <c:pt idx="535">
                  <c:v>9.92E-3</c:v>
                </c:pt>
                <c:pt idx="536">
                  <c:v>9.0399999999999994E-3</c:v>
                </c:pt>
                <c:pt idx="537">
                  <c:v>8.8000000000000005E-3</c:v>
                </c:pt>
                <c:pt idx="538">
                  <c:v>8.5699999999999995E-3</c:v>
                </c:pt>
                <c:pt idx="539">
                  <c:v>8.1300000000000001E-3</c:v>
                </c:pt>
                <c:pt idx="540">
                  <c:v>8.0400000000000003E-3</c:v>
                </c:pt>
                <c:pt idx="541">
                  <c:v>8.2100000000000003E-3</c:v>
                </c:pt>
                <c:pt idx="542">
                  <c:v>8.0800000000000004E-3</c:v>
                </c:pt>
                <c:pt idx="543">
                  <c:v>7.6899999999999998E-3</c:v>
                </c:pt>
                <c:pt idx="544">
                  <c:v>8.3000000000000001E-3</c:v>
                </c:pt>
                <c:pt idx="545">
                  <c:v>8.3099999999999997E-3</c:v>
                </c:pt>
                <c:pt idx="546">
                  <c:v>8.5900000000000004E-3</c:v>
                </c:pt>
                <c:pt idx="547">
                  <c:v>8.5699999999999995E-3</c:v>
                </c:pt>
                <c:pt idx="548">
                  <c:v>8.4700000000000001E-3</c:v>
                </c:pt>
                <c:pt idx="549">
                  <c:v>8.0300000000000007E-3</c:v>
                </c:pt>
                <c:pt idx="550">
                  <c:v>9.3600000000000003E-3</c:v>
                </c:pt>
                <c:pt idx="551">
                  <c:v>9.8799999999999999E-3</c:v>
                </c:pt>
                <c:pt idx="552">
                  <c:v>1.03E-2</c:v>
                </c:pt>
                <c:pt idx="553">
                  <c:v>1.01E-2</c:v>
                </c:pt>
                <c:pt idx="554">
                  <c:v>1.0059999999999999E-2</c:v>
                </c:pt>
                <c:pt idx="555">
                  <c:v>1.0160000000000001E-2</c:v>
                </c:pt>
                <c:pt idx="556">
                  <c:v>9.5999999999999992E-3</c:v>
                </c:pt>
                <c:pt idx="557">
                  <c:v>9.5099999999999994E-3</c:v>
                </c:pt>
                <c:pt idx="558">
                  <c:v>9.9100000000000004E-3</c:v>
                </c:pt>
                <c:pt idx="559">
                  <c:v>9.4999999999999998E-3</c:v>
                </c:pt>
                <c:pt idx="560">
                  <c:v>9.4500000000000001E-3</c:v>
                </c:pt>
                <c:pt idx="561">
                  <c:v>9.7199999999999995E-3</c:v>
                </c:pt>
                <c:pt idx="562">
                  <c:v>9.9000000000000008E-3</c:v>
                </c:pt>
                <c:pt idx="563">
                  <c:v>8.8900000000000003E-3</c:v>
                </c:pt>
                <c:pt idx="564">
                  <c:v>9.2999999999999992E-3</c:v>
                </c:pt>
                <c:pt idx="565">
                  <c:v>9.3699999999999999E-3</c:v>
                </c:pt>
                <c:pt idx="566">
                  <c:v>8.9499999999999996E-3</c:v>
                </c:pt>
                <c:pt idx="567">
                  <c:v>8.2100000000000003E-3</c:v>
                </c:pt>
                <c:pt idx="568">
                  <c:v>8.5000000000000006E-3</c:v>
                </c:pt>
                <c:pt idx="569">
                  <c:v>8.5699999999999995E-3</c:v>
                </c:pt>
                <c:pt idx="570">
                  <c:v>8.77E-3</c:v>
                </c:pt>
                <c:pt idx="571">
                  <c:v>8.4799999999999997E-3</c:v>
                </c:pt>
                <c:pt idx="572">
                  <c:v>8.3199999999999993E-3</c:v>
                </c:pt>
                <c:pt idx="573">
                  <c:v>7.9799999999999992E-3</c:v>
                </c:pt>
                <c:pt idx="574">
                  <c:v>7.8899999999999994E-3</c:v>
                </c:pt>
                <c:pt idx="575">
                  <c:v>8.2000000000000007E-3</c:v>
                </c:pt>
                <c:pt idx="576">
                  <c:v>8.0400000000000003E-3</c:v>
                </c:pt>
                <c:pt idx="577">
                  <c:v>7.5900000000000004E-3</c:v>
                </c:pt>
                <c:pt idx="578">
                  <c:v>7.5300000000000002E-3</c:v>
                </c:pt>
                <c:pt idx="579">
                  <c:v>7.4000000000000003E-3</c:v>
                </c:pt>
                <c:pt idx="580">
                  <c:v>7.9600000000000001E-3</c:v>
                </c:pt>
                <c:pt idx="581">
                  <c:v>8.3099999999999997E-3</c:v>
                </c:pt>
                <c:pt idx="582">
                  <c:v>8.5900000000000004E-3</c:v>
                </c:pt>
                <c:pt idx="583">
                  <c:v>8.9999999999999993E-3</c:v>
                </c:pt>
                <c:pt idx="584">
                  <c:v>8.9999999999999993E-3</c:v>
                </c:pt>
                <c:pt idx="585">
                  <c:v>8.9599999999999992E-3</c:v>
                </c:pt>
                <c:pt idx="586">
                  <c:v>9.2399999999999999E-3</c:v>
                </c:pt>
                <c:pt idx="587">
                  <c:v>9.4199999999999996E-3</c:v>
                </c:pt>
                <c:pt idx="588">
                  <c:v>8.8000000000000005E-3</c:v>
                </c:pt>
                <c:pt idx="589">
                  <c:v>9.1800000000000007E-3</c:v>
                </c:pt>
                <c:pt idx="590">
                  <c:v>9.4400000000000005E-3</c:v>
                </c:pt>
                <c:pt idx="591">
                  <c:v>8.3700000000000007E-3</c:v>
                </c:pt>
                <c:pt idx="592">
                  <c:v>8.7399999999999995E-3</c:v>
                </c:pt>
                <c:pt idx="593">
                  <c:v>8.8000000000000005E-3</c:v>
                </c:pt>
                <c:pt idx="594">
                  <c:v>8.4600000000000005E-3</c:v>
                </c:pt>
                <c:pt idx="595">
                  <c:v>7.7799999999999996E-3</c:v>
                </c:pt>
                <c:pt idx="596">
                  <c:v>9.1000000000000004E-3</c:v>
                </c:pt>
                <c:pt idx="597">
                  <c:v>9.1999999999999998E-3</c:v>
                </c:pt>
                <c:pt idx="598">
                  <c:v>9.5999999999999992E-3</c:v>
                </c:pt>
                <c:pt idx="599">
                  <c:v>9.2399999999999999E-3</c:v>
                </c:pt>
                <c:pt idx="600">
                  <c:v>8.5000000000000006E-3</c:v>
                </c:pt>
                <c:pt idx="601">
                  <c:v>8.3499999999999998E-3</c:v>
                </c:pt>
                <c:pt idx="602">
                  <c:v>8.94E-3</c:v>
                </c:pt>
                <c:pt idx="603">
                  <c:v>8.0199999999999994E-3</c:v>
                </c:pt>
                <c:pt idx="604">
                  <c:v>8.2199999999999999E-3</c:v>
                </c:pt>
                <c:pt idx="605">
                  <c:v>7.9299999999999995E-3</c:v>
                </c:pt>
                <c:pt idx="606">
                  <c:v>7.8700000000000003E-3</c:v>
                </c:pt>
                <c:pt idx="607">
                  <c:v>8.7899999999999992E-3</c:v>
                </c:pt>
                <c:pt idx="608">
                  <c:v>8.8100000000000001E-3</c:v>
                </c:pt>
                <c:pt idx="609">
                  <c:v>9.4000000000000004E-3</c:v>
                </c:pt>
                <c:pt idx="610">
                  <c:v>9.7800000000000005E-3</c:v>
                </c:pt>
                <c:pt idx="611">
                  <c:v>1.005E-2</c:v>
                </c:pt>
                <c:pt idx="612">
                  <c:v>8.9800000000000001E-3</c:v>
                </c:pt>
                <c:pt idx="613">
                  <c:v>8.7299999999999999E-3</c:v>
                </c:pt>
                <c:pt idx="614">
                  <c:v>9.0799999999999995E-3</c:v>
                </c:pt>
                <c:pt idx="615">
                  <c:v>6.6699999999999997E-3</c:v>
                </c:pt>
                <c:pt idx="616">
                  <c:v>6.11E-3</c:v>
                </c:pt>
                <c:pt idx="617">
                  <c:v>6.1799999999999997E-3</c:v>
                </c:pt>
                <c:pt idx="618">
                  <c:v>6.7000000000000002E-3</c:v>
                </c:pt>
                <c:pt idx="619">
                  <c:v>7.6E-3</c:v>
                </c:pt>
                <c:pt idx="620">
                  <c:v>6.8399999999999997E-3</c:v>
                </c:pt>
                <c:pt idx="621">
                  <c:v>5.9100000000000003E-3</c:v>
                </c:pt>
                <c:pt idx="622">
                  <c:v>5.4200000000000003E-3</c:v>
                </c:pt>
                <c:pt idx="623">
                  <c:v>5.5399999999999998E-3</c:v>
                </c:pt>
                <c:pt idx="624">
                  <c:v>5.2300000000000003E-3</c:v>
                </c:pt>
                <c:pt idx="625">
                  <c:v>5.3400000000000001E-3</c:v>
                </c:pt>
                <c:pt idx="626">
                  <c:v>4.8700000000000002E-3</c:v>
                </c:pt>
                <c:pt idx="627">
                  <c:v>4.7499999999999999E-3</c:v>
                </c:pt>
                <c:pt idx="628">
                  <c:v>5.3899999999999998E-3</c:v>
                </c:pt>
                <c:pt idx="629">
                  <c:v>5.45E-3</c:v>
                </c:pt>
                <c:pt idx="630">
                  <c:v>5.3699999999999998E-3</c:v>
                </c:pt>
                <c:pt idx="631">
                  <c:v>5.4900000000000001E-3</c:v>
                </c:pt>
                <c:pt idx="632">
                  <c:v>5.4099999999999999E-3</c:v>
                </c:pt>
                <c:pt idx="633">
                  <c:v>5.3200000000000001E-3</c:v>
                </c:pt>
                <c:pt idx="634">
                  <c:v>5.4599999999999996E-3</c:v>
                </c:pt>
                <c:pt idx="635">
                  <c:v>5.62E-3</c:v>
                </c:pt>
                <c:pt idx="636">
                  <c:v>5.5799999999999999E-3</c:v>
                </c:pt>
                <c:pt idx="637">
                  <c:v>5.4999999999999997E-3</c:v>
                </c:pt>
                <c:pt idx="638">
                  <c:v>5.5300000000000002E-3</c:v>
                </c:pt>
                <c:pt idx="639">
                  <c:v>5.3400000000000001E-3</c:v>
                </c:pt>
                <c:pt idx="640">
                  <c:v>5.4799999999999996E-3</c:v>
                </c:pt>
                <c:pt idx="641">
                  <c:v>5.4999999999999997E-3</c:v>
                </c:pt>
                <c:pt idx="642">
                  <c:v>5.28E-3</c:v>
                </c:pt>
                <c:pt idx="643">
                  <c:v>5.1900000000000002E-3</c:v>
                </c:pt>
                <c:pt idx="644">
                  <c:v>5.1799999999999997E-3</c:v>
                </c:pt>
                <c:pt idx="645">
                  <c:v>5.2599999999999999E-3</c:v>
                </c:pt>
                <c:pt idx="646">
                  <c:v>5.0699999999999999E-3</c:v>
                </c:pt>
                <c:pt idx="647">
                  <c:v>4.9699999999999996E-3</c:v>
                </c:pt>
                <c:pt idx="648">
                  <c:v>5.3200000000000001E-3</c:v>
                </c:pt>
                <c:pt idx="649">
                  <c:v>5.7099999999999998E-3</c:v>
                </c:pt>
                <c:pt idx="650">
                  <c:v>5.1000000000000004E-3</c:v>
                </c:pt>
                <c:pt idx="651">
                  <c:v>5.2199999999999998E-3</c:v>
                </c:pt>
                <c:pt idx="652">
                  <c:v>4.9199999999999999E-3</c:v>
                </c:pt>
                <c:pt idx="653">
                  <c:v>5.2100000000000002E-3</c:v>
                </c:pt>
                <c:pt idx="654">
                  <c:v>5.2399999999999999E-3</c:v>
                </c:pt>
                <c:pt idx="655">
                  <c:v>5.3400000000000001E-3</c:v>
                </c:pt>
                <c:pt idx="656">
                  <c:v>5.2599999999999999E-3</c:v>
                </c:pt>
                <c:pt idx="657">
                  <c:v>5.3499999999999997E-3</c:v>
                </c:pt>
                <c:pt idx="658">
                  <c:v>5.9899999999999997E-3</c:v>
                </c:pt>
                <c:pt idx="659">
                  <c:v>5.8100000000000001E-3</c:v>
                </c:pt>
                <c:pt idx="660">
                  <c:v>5.5300000000000002E-3</c:v>
                </c:pt>
                <c:pt idx="661">
                  <c:v>5.5399999999999998E-3</c:v>
                </c:pt>
                <c:pt idx="662">
                  <c:v>5.2900000000000004E-3</c:v>
                </c:pt>
                <c:pt idx="663">
                  <c:v>5.2399999999999999E-3</c:v>
                </c:pt>
                <c:pt idx="664">
                  <c:v>5.1900000000000002E-3</c:v>
                </c:pt>
                <c:pt idx="665">
                  <c:v>5.3E-3</c:v>
                </c:pt>
                <c:pt idx="666">
                  <c:v>5.0800000000000003E-3</c:v>
                </c:pt>
                <c:pt idx="667">
                  <c:v>4.8799999999999998E-3</c:v>
                </c:pt>
                <c:pt idx="668">
                  <c:v>4.7499999999999999E-3</c:v>
                </c:pt>
                <c:pt idx="669">
                  <c:v>4.3800000000000002E-3</c:v>
                </c:pt>
                <c:pt idx="670">
                  <c:v>4.8300000000000001E-3</c:v>
                </c:pt>
                <c:pt idx="671">
                  <c:v>4.7099999999999998E-3</c:v>
                </c:pt>
                <c:pt idx="672">
                  <c:v>5.0600000000000003E-3</c:v>
                </c:pt>
                <c:pt idx="673">
                  <c:v>5.11E-3</c:v>
                </c:pt>
                <c:pt idx="674">
                  <c:v>4.9500000000000004E-3</c:v>
                </c:pt>
                <c:pt idx="675">
                  <c:v>5.0499999999999998E-3</c:v>
                </c:pt>
                <c:pt idx="676">
                  <c:v>4.5900000000000003E-3</c:v>
                </c:pt>
                <c:pt idx="677">
                  <c:v>4.96E-3</c:v>
                </c:pt>
                <c:pt idx="678">
                  <c:v>5.0000000000000001E-3</c:v>
                </c:pt>
                <c:pt idx="679">
                  <c:v>5.2300000000000003E-3</c:v>
                </c:pt>
                <c:pt idx="680">
                  <c:v>4.6100000000000004E-3</c:v>
                </c:pt>
                <c:pt idx="681">
                  <c:v>4.81E-3</c:v>
                </c:pt>
                <c:pt idx="682">
                  <c:v>4.4900000000000001E-3</c:v>
                </c:pt>
                <c:pt idx="683">
                  <c:v>5.5799999999999999E-3</c:v>
                </c:pt>
                <c:pt idx="684">
                  <c:v>5.4999999999999997E-3</c:v>
                </c:pt>
                <c:pt idx="685">
                  <c:v>6.1199999999999996E-3</c:v>
                </c:pt>
                <c:pt idx="686">
                  <c:v>4.7999999999999996E-3</c:v>
                </c:pt>
                <c:pt idx="687">
                  <c:v>1.047E-2</c:v>
                </c:pt>
                <c:pt idx="688">
                  <c:v>1.0659999999999999E-2</c:v>
                </c:pt>
                <c:pt idx="689">
                  <c:v>9.5700000000000004E-3</c:v>
                </c:pt>
                <c:pt idx="690">
                  <c:v>9.1599999999999997E-3</c:v>
                </c:pt>
                <c:pt idx="691">
                  <c:v>1.129E-2</c:v>
                </c:pt>
                <c:pt idx="692">
                  <c:v>1.025E-2</c:v>
                </c:pt>
                <c:pt idx="693">
                  <c:v>9.4400000000000005E-3</c:v>
                </c:pt>
                <c:pt idx="694">
                  <c:v>8.2299999999999995E-3</c:v>
                </c:pt>
                <c:pt idx="695">
                  <c:v>8.3300000000000006E-3</c:v>
                </c:pt>
                <c:pt idx="696">
                  <c:v>8.26E-3</c:v>
                </c:pt>
                <c:pt idx="697">
                  <c:v>7.8200000000000006E-3</c:v>
                </c:pt>
                <c:pt idx="698">
                  <c:v>8.43E-3</c:v>
                </c:pt>
                <c:pt idx="699">
                  <c:v>9.0500000000000008E-3</c:v>
                </c:pt>
                <c:pt idx="700">
                  <c:v>9.2700000000000005E-3</c:v>
                </c:pt>
                <c:pt idx="701">
                  <c:v>9.4800000000000006E-3</c:v>
                </c:pt>
                <c:pt idx="702">
                  <c:v>9.5200000000000007E-3</c:v>
                </c:pt>
                <c:pt idx="703">
                  <c:v>1.064E-2</c:v>
                </c:pt>
                <c:pt idx="704">
                  <c:v>1.1950000000000001E-2</c:v>
                </c:pt>
                <c:pt idx="705">
                  <c:v>1.1440000000000001E-2</c:v>
                </c:pt>
                <c:pt idx="706">
                  <c:v>1.124E-2</c:v>
                </c:pt>
                <c:pt idx="707">
                  <c:v>9.7300000000000008E-3</c:v>
                </c:pt>
                <c:pt idx="708">
                  <c:v>9.4500000000000001E-3</c:v>
                </c:pt>
                <c:pt idx="709">
                  <c:v>1.001E-2</c:v>
                </c:pt>
                <c:pt idx="710">
                  <c:v>9.6200000000000001E-3</c:v>
                </c:pt>
                <c:pt idx="711">
                  <c:v>9.1400000000000006E-3</c:v>
                </c:pt>
                <c:pt idx="712">
                  <c:v>1.01E-2</c:v>
                </c:pt>
                <c:pt idx="713">
                  <c:v>1.106E-2</c:v>
                </c:pt>
                <c:pt idx="714">
                  <c:v>1.04E-2</c:v>
                </c:pt>
                <c:pt idx="715">
                  <c:v>1.0489999999999999E-2</c:v>
                </c:pt>
                <c:pt idx="716">
                  <c:v>9.2700000000000005E-3</c:v>
                </c:pt>
                <c:pt idx="717">
                  <c:v>8.9499999999999996E-3</c:v>
                </c:pt>
                <c:pt idx="718">
                  <c:v>9.5399999999999999E-3</c:v>
                </c:pt>
                <c:pt idx="719">
                  <c:v>8.2000000000000007E-3</c:v>
                </c:pt>
                <c:pt idx="720">
                  <c:v>8.7100000000000007E-3</c:v>
                </c:pt>
                <c:pt idx="721">
                  <c:v>7.9299999999999995E-3</c:v>
                </c:pt>
                <c:pt idx="722">
                  <c:v>7.3699999999999998E-3</c:v>
                </c:pt>
                <c:pt idx="723">
                  <c:v>7.3000000000000001E-3</c:v>
                </c:pt>
                <c:pt idx="724">
                  <c:v>7.0600000000000003E-3</c:v>
                </c:pt>
                <c:pt idx="725">
                  <c:v>7.4099999999999999E-3</c:v>
                </c:pt>
                <c:pt idx="726">
                  <c:v>7.5199999999999998E-3</c:v>
                </c:pt>
                <c:pt idx="727">
                  <c:v>7.5799999999999999E-3</c:v>
                </c:pt>
                <c:pt idx="728">
                  <c:v>7.4900000000000001E-3</c:v>
                </c:pt>
                <c:pt idx="729">
                  <c:v>7.5599999999999999E-3</c:v>
                </c:pt>
                <c:pt idx="730">
                  <c:v>8.0300000000000007E-3</c:v>
                </c:pt>
                <c:pt idx="731">
                  <c:v>8.2500000000000004E-3</c:v>
                </c:pt>
                <c:pt idx="732">
                  <c:v>8.6199999999999992E-3</c:v>
                </c:pt>
                <c:pt idx="733">
                  <c:v>8.5500000000000003E-3</c:v>
                </c:pt>
                <c:pt idx="734">
                  <c:v>8.8100000000000001E-3</c:v>
                </c:pt>
                <c:pt idx="735">
                  <c:v>8.3499999999999998E-3</c:v>
                </c:pt>
                <c:pt idx="736">
                  <c:v>9.4800000000000006E-3</c:v>
                </c:pt>
                <c:pt idx="737">
                  <c:v>8.6999999999999994E-3</c:v>
                </c:pt>
                <c:pt idx="738">
                  <c:v>7.9500000000000005E-3</c:v>
                </c:pt>
                <c:pt idx="739">
                  <c:v>7.8499999999999993E-3</c:v>
                </c:pt>
                <c:pt idx="740">
                  <c:v>8.26E-3</c:v>
                </c:pt>
                <c:pt idx="741">
                  <c:v>8.1799999999999998E-3</c:v>
                </c:pt>
                <c:pt idx="742">
                  <c:v>7.8700000000000003E-3</c:v>
                </c:pt>
                <c:pt idx="743">
                  <c:v>8.2199999999999999E-3</c:v>
                </c:pt>
                <c:pt idx="744">
                  <c:v>8.3800000000000003E-3</c:v>
                </c:pt>
                <c:pt idx="745">
                  <c:v>8.4799999999999997E-3</c:v>
                </c:pt>
                <c:pt idx="746">
                  <c:v>8.4200000000000004E-3</c:v>
                </c:pt>
                <c:pt idx="747">
                  <c:v>8.4799999999999997E-3</c:v>
                </c:pt>
                <c:pt idx="748">
                  <c:v>8.6999999999999994E-3</c:v>
                </c:pt>
                <c:pt idx="749">
                  <c:v>8.7500000000000008E-3</c:v>
                </c:pt>
                <c:pt idx="750">
                  <c:v>8.8699999999999994E-3</c:v>
                </c:pt>
                <c:pt idx="751">
                  <c:v>9.1699999999999993E-3</c:v>
                </c:pt>
                <c:pt idx="752">
                  <c:v>9.2899999999999996E-3</c:v>
                </c:pt>
                <c:pt idx="753">
                  <c:v>9.0900000000000009E-3</c:v>
                </c:pt>
                <c:pt idx="754">
                  <c:v>9.2999999999999992E-3</c:v>
                </c:pt>
                <c:pt idx="755">
                  <c:v>9.2999999999999992E-3</c:v>
                </c:pt>
                <c:pt idx="756">
                  <c:v>8.8299999999999993E-3</c:v>
                </c:pt>
                <c:pt idx="757">
                  <c:v>9.4800000000000006E-3</c:v>
                </c:pt>
                <c:pt idx="759">
                  <c:v>9.2800000000000001E-3</c:v>
                </c:pt>
                <c:pt idx="760">
                  <c:v>9.5600000000000008E-3</c:v>
                </c:pt>
                <c:pt idx="761">
                  <c:v>9.4299999999999991E-3</c:v>
                </c:pt>
                <c:pt idx="762">
                  <c:v>9.6600000000000002E-3</c:v>
                </c:pt>
                <c:pt idx="763">
                  <c:v>9.6799999999999994E-3</c:v>
                </c:pt>
                <c:pt idx="764">
                  <c:v>9.9500000000000005E-3</c:v>
                </c:pt>
                <c:pt idx="765">
                  <c:v>1.0290000000000001E-2</c:v>
                </c:pt>
                <c:pt idx="766">
                  <c:v>1.055E-2</c:v>
                </c:pt>
                <c:pt idx="767">
                  <c:v>1.055E-2</c:v>
                </c:pt>
                <c:pt idx="768">
                  <c:v>1.154E-2</c:v>
                </c:pt>
                <c:pt idx="769">
                  <c:v>1.1299999999999999E-2</c:v>
                </c:pt>
                <c:pt idx="770">
                  <c:v>1.157E-2</c:v>
                </c:pt>
                <c:pt idx="771">
                  <c:v>1.129E-2</c:v>
                </c:pt>
                <c:pt idx="772">
                  <c:v>1.1390000000000001E-2</c:v>
                </c:pt>
                <c:pt idx="773">
                  <c:v>1.0240000000000001E-2</c:v>
                </c:pt>
                <c:pt idx="774">
                  <c:v>1.073E-2</c:v>
                </c:pt>
                <c:pt idx="775">
                  <c:v>1.1259999999999999E-2</c:v>
                </c:pt>
                <c:pt idx="776">
                  <c:v>1.119E-2</c:v>
                </c:pt>
                <c:pt idx="777">
                  <c:v>1.155E-2</c:v>
                </c:pt>
                <c:pt idx="778">
                  <c:v>1.133E-2</c:v>
                </c:pt>
                <c:pt idx="779">
                  <c:v>1.1440000000000001E-2</c:v>
                </c:pt>
                <c:pt idx="780">
                  <c:v>1.154E-2</c:v>
                </c:pt>
                <c:pt idx="781">
                  <c:v>1.2239999999999999E-2</c:v>
                </c:pt>
                <c:pt idx="782">
                  <c:v>1.2959999999999999E-2</c:v>
                </c:pt>
                <c:pt idx="783">
                  <c:v>1.345E-2</c:v>
                </c:pt>
                <c:pt idx="784">
                  <c:v>1.302E-2</c:v>
                </c:pt>
                <c:pt idx="785">
                  <c:v>1.251E-2</c:v>
                </c:pt>
                <c:pt idx="786">
                  <c:v>1.1979999999999999E-2</c:v>
                </c:pt>
                <c:pt idx="787">
                  <c:v>1.2120000000000001E-2</c:v>
                </c:pt>
                <c:pt idx="788">
                  <c:v>1.184E-2</c:v>
                </c:pt>
                <c:pt idx="789">
                  <c:v>1.2E-2</c:v>
                </c:pt>
                <c:pt idx="790">
                  <c:v>1.23E-2</c:v>
                </c:pt>
                <c:pt idx="791">
                  <c:v>1.238E-2</c:v>
                </c:pt>
                <c:pt idx="792">
                  <c:v>1.187E-2</c:v>
                </c:pt>
                <c:pt idx="793">
                  <c:v>1.1990000000000001E-2</c:v>
                </c:pt>
                <c:pt idx="794">
                  <c:v>1.1950000000000001E-2</c:v>
                </c:pt>
                <c:pt idx="795">
                  <c:v>1.137E-2</c:v>
                </c:pt>
                <c:pt idx="796">
                  <c:v>1.085E-2</c:v>
                </c:pt>
                <c:pt idx="797">
                  <c:v>1.174E-2</c:v>
                </c:pt>
                <c:pt idx="798">
                  <c:v>1.153E-2</c:v>
                </c:pt>
                <c:pt idx="799">
                  <c:v>1.179E-2</c:v>
                </c:pt>
                <c:pt idx="800">
                  <c:v>1.2749999999999999E-2</c:v>
                </c:pt>
                <c:pt idx="801">
                  <c:v>1.306E-2</c:v>
                </c:pt>
                <c:pt idx="802">
                  <c:v>1.34E-2</c:v>
                </c:pt>
                <c:pt idx="803">
                  <c:v>1.434E-2</c:v>
                </c:pt>
                <c:pt idx="804">
                  <c:v>1.389E-2</c:v>
                </c:pt>
                <c:pt idx="805">
                  <c:v>1.389E-2</c:v>
                </c:pt>
                <c:pt idx="806">
                  <c:v>1.4370000000000001E-2</c:v>
                </c:pt>
                <c:pt idx="807">
                  <c:v>1.49E-2</c:v>
                </c:pt>
                <c:pt idx="808">
                  <c:v>1.455E-2</c:v>
                </c:pt>
                <c:pt idx="809">
                  <c:v>1.456E-2</c:v>
                </c:pt>
                <c:pt idx="810">
                  <c:v>1.507E-2</c:v>
                </c:pt>
                <c:pt idx="811">
                  <c:v>1.4959999999999999E-2</c:v>
                </c:pt>
                <c:pt idx="812">
                  <c:v>1.4500000000000001E-2</c:v>
                </c:pt>
                <c:pt idx="813">
                  <c:v>1.5350000000000001E-2</c:v>
                </c:pt>
                <c:pt idx="814">
                  <c:v>1.5650000000000001E-2</c:v>
                </c:pt>
                <c:pt idx="815">
                  <c:v>1.618E-2</c:v>
                </c:pt>
                <c:pt idx="816">
                  <c:v>1.6490000000000001E-2</c:v>
                </c:pt>
                <c:pt idx="817">
                  <c:v>1.592E-2</c:v>
                </c:pt>
                <c:pt idx="818">
                  <c:v>1.538E-2</c:v>
                </c:pt>
                <c:pt idx="819">
                  <c:v>1.5350000000000001E-2</c:v>
                </c:pt>
                <c:pt idx="820">
                  <c:v>1.5389999999999999E-2</c:v>
                </c:pt>
                <c:pt idx="821">
                  <c:v>1.529E-2</c:v>
                </c:pt>
                <c:pt idx="822">
                  <c:v>1.5959999999999998E-2</c:v>
                </c:pt>
                <c:pt idx="823">
                  <c:v>1.7219999999999999E-2</c:v>
                </c:pt>
                <c:pt idx="824">
                  <c:v>1.6799999999999999E-2</c:v>
                </c:pt>
                <c:pt idx="825">
                  <c:v>1.435E-2</c:v>
                </c:pt>
                <c:pt idx="826">
                  <c:v>1.516E-2</c:v>
                </c:pt>
                <c:pt idx="827">
                  <c:v>1.376E-2</c:v>
                </c:pt>
                <c:pt idx="828">
                  <c:v>1.3849999999999999E-2</c:v>
                </c:pt>
                <c:pt idx="829">
                  <c:v>1.5959999999999998E-2</c:v>
                </c:pt>
                <c:pt idx="830">
                  <c:v>1.6879999999999999E-2</c:v>
                </c:pt>
                <c:pt idx="831">
                  <c:v>1.5869999999999999E-2</c:v>
                </c:pt>
                <c:pt idx="832">
                  <c:v>1.601E-2</c:v>
                </c:pt>
                <c:pt idx="833">
                  <c:v>1.668E-2</c:v>
                </c:pt>
                <c:pt idx="834">
                  <c:v>1.6639999999999999E-2</c:v>
                </c:pt>
                <c:pt idx="835">
                  <c:v>1.6140000000000002E-2</c:v>
                </c:pt>
                <c:pt idx="836">
                  <c:v>1.636E-2</c:v>
                </c:pt>
                <c:pt idx="837">
                  <c:v>1.7260000000000001E-2</c:v>
                </c:pt>
                <c:pt idx="838">
                  <c:v>1.702E-2</c:v>
                </c:pt>
                <c:pt idx="839">
                  <c:v>1.754E-2</c:v>
                </c:pt>
                <c:pt idx="840">
                  <c:v>1.6879999999999999E-2</c:v>
                </c:pt>
                <c:pt idx="841">
                  <c:v>1.7399999999999999E-2</c:v>
                </c:pt>
                <c:pt idx="842">
                  <c:v>1.8190000000000001E-2</c:v>
                </c:pt>
                <c:pt idx="843">
                  <c:v>1.755E-2</c:v>
                </c:pt>
                <c:pt idx="844">
                  <c:v>1.7080000000000001E-2</c:v>
                </c:pt>
                <c:pt idx="845">
                  <c:v>1.6539999999999999E-2</c:v>
                </c:pt>
                <c:pt idx="846">
                  <c:v>1.8190000000000001E-2</c:v>
                </c:pt>
                <c:pt idx="847">
                  <c:v>1.8599999999999998E-2</c:v>
                </c:pt>
                <c:pt idx="848">
                  <c:v>1.8450000000000001E-2</c:v>
                </c:pt>
                <c:pt idx="849">
                  <c:v>1.9740000000000001E-2</c:v>
                </c:pt>
                <c:pt idx="850">
                  <c:v>1.796E-2</c:v>
                </c:pt>
                <c:pt idx="851">
                  <c:v>1.6230000000000001E-2</c:v>
                </c:pt>
                <c:pt idx="852">
                  <c:v>1.5890000000000001E-2</c:v>
                </c:pt>
                <c:pt idx="853">
                  <c:v>1.6160000000000001E-2</c:v>
                </c:pt>
                <c:pt idx="854">
                  <c:v>1.5679999999999999E-2</c:v>
                </c:pt>
                <c:pt idx="855">
                  <c:v>1.5789999999999998E-2</c:v>
                </c:pt>
                <c:pt idx="856">
                  <c:v>1.6449999999999999E-2</c:v>
                </c:pt>
                <c:pt idx="857">
                  <c:v>1.5509999999999999E-2</c:v>
                </c:pt>
                <c:pt idx="858">
                  <c:v>1.9189999999999999E-2</c:v>
                </c:pt>
                <c:pt idx="859">
                  <c:v>1.959E-2</c:v>
                </c:pt>
                <c:pt idx="860">
                  <c:v>2.0369999999999999E-2</c:v>
                </c:pt>
                <c:pt idx="861">
                  <c:v>2.0709999999999999E-2</c:v>
                </c:pt>
                <c:pt idx="862">
                  <c:v>2.0400000000000001E-2</c:v>
                </c:pt>
                <c:pt idx="863">
                  <c:v>2.1989999999999999E-2</c:v>
                </c:pt>
                <c:pt idx="864">
                  <c:v>2.249E-2</c:v>
                </c:pt>
                <c:pt idx="865">
                  <c:v>2.1440000000000001E-2</c:v>
                </c:pt>
                <c:pt idx="866">
                  <c:v>2.017E-2</c:v>
                </c:pt>
                <c:pt idx="867">
                  <c:v>1.9689999999999999E-2</c:v>
                </c:pt>
                <c:pt idx="868">
                  <c:v>1.9949999999999999E-2</c:v>
                </c:pt>
                <c:pt idx="869">
                  <c:v>1.9699999999999999E-2</c:v>
                </c:pt>
                <c:pt idx="870">
                  <c:v>1.9300000000000001E-2</c:v>
                </c:pt>
                <c:pt idx="871">
                  <c:v>2.0709999999999999E-2</c:v>
                </c:pt>
                <c:pt idx="872">
                  <c:v>2.1299999999999999E-2</c:v>
                </c:pt>
                <c:pt idx="873">
                  <c:v>2.1649999999999999E-2</c:v>
                </c:pt>
                <c:pt idx="874">
                  <c:v>2.121E-2</c:v>
                </c:pt>
                <c:pt idx="875">
                  <c:v>2.087E-2</c:v>
                </c:pt>
                <c:pt idx="876">
                  <c:v>2.3E-2</c:v>
                </c:pt>
                <c:pt idx="877">
                  <c:v>2.3900000000000001E-2</c:v>
                </c:pt>
                <c:pt idx="878">
                  <c:v>2.0789999999999999E-2</c:v>
                </c:pt>
                <c:pt idx="879">
                  <c:v>2.0549999999999999E-2</c:v>
                </c:pt>
                <c:pt idx="880">
                  <c:v>2.0240000000000001E-2</c:v>
                </c:pt>
                <c:pt idx="881">
                  <c:v>2.1069999999999998E-2</c:v>
                </c:pt>
                <c:pt idx="882">
                  <c:v>2.2380000000000001E-2</c:v>
                </c:pt>
                <c:pt idx="883">
                  <c:v>2.1659999999999999E-2</c:v>
                </c:pt>
                <c:pt idx="884">
                  <c:v>2.4639999999999999E-2</c:v>
                </c:pt>
                <c:pt idx="885">
                  <c:v>2.3740000000000001E-2</c:v>
                </c:pt>
                <c:pt idx="886">
                  <c:v>2.4899999999999999E-2</c:v>
                </c:pt>
                <c:pt idx="887">
                  <c:v>2.7009999999999999E-2</c:v>
                </c:pt>
                <c:pt idx="888">
                  <c:v>2.811E-2</c:v>
                </c:pt>
                <c:pt idx="889">
                  <c:v>2.8809999999999999E-2</c:v>
                </c:pt>
                <c:pt idx="890">
                  <c:v>2.964E-2</c:v>
                </c:pt>
                <c:pt idx="891">
                  <c:v>2.9080000000000002E-2</c:v>
                </c:pt>
                <c:pt idx="892">
                  <c:v>3.4860000000000002E-2</c:v>
                </c:pt>
                <c:pt idx="893">
                  <c:v>3.3340000000000002E-2</c:v>
                </c:pt>
                <c:pt idx="894">
                  <c:v>3.0669999999999999E-2</c:v>
                </c:pt>
                <c:pt idx="895">
                  <c:v>3.5150000000000001E-2</c:v>
                </c:pt>
                <c:pt idx="896">
                  <c:v>3.288E-2</c:v>
                </c:pt>
                <c:pt idx="897">
                  <c:v>3.4130000000000001E-2</c:v>
                </c:pt>
                <c:pt idx="898">
                  <c:v>2.5999999999999999E-2</c:v>
                </c:pt>
                <c:pt idx="899">
                  <c:v>3.066E-2</c:v>
                </c:pt>
                <c:pt idx="900">
                  <c:v>3.0280000000000001E-2</c:v>
                </c:pt>
                <c:pt idx="901">
                  <c:v>2.4989999999999998E-2</c:v>
                </c:pt>
                <c:pt idx="902">
                  <c:v>2.6769999999999999E-2</c:v>
                </c:pt>
                <c:pt idx="903">
                  <c:v>2.2790000000000001E-2</c:v>
                </c:pt>
                <c:pt idx="904">
                  <c:v>2.801E-2</c:v>
                </c:pt>
                <c:pt idx="905">
                  <c:v>3.7190000000000001E-2</c:v>
                </c:pt>
                <c:pt idx="906">
                  <c:v>1.9300000000000001E-2</c:v>
                </c:pt>
                <c:pt idx="907">
                  <c:v>1.7569999999999999E-2</c:v>
                </c:pt>
                <c:pt idx="908">
                  <c:v>2.07E-2</c:v>
                </c:pt>
                <c:pt idx="909">
                  <c:v>2.2259999999999999E-2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6A-46F5-8DDA-DE6B6A5D890E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9">
                  <c:v>43830</c:v>
                </c:pt>
                <c:pt idx="760">
                  <c:v>43829</c:v>
                </c:pt>
                <c:pt idx="761">
                  <c:v>43828</c:v>
                </c:pt>
                <c:pt idx="762">
                  <c:v>43827</c:v>
                </c:pt>
                <c:pt idx="763">
                  <c:v>43826</c:v>
                </c:pt>
                <c:pt idx="764">
                  <c:v>43825</c:v>
                </c:pt>
                <c:pt idx="765">
                  <c:v>43824</c:v>
                </c:pt>
                <c:pt idx="766">
                  <c:v>43823</c:v>
                </c:pt>
                <c:pt idx="767">
                  <c:v>43822</c:v>
                </c:pt>
                <c:pt idx="768">
                  <c:v>43821</c:v>
                </c:pt>
                <c:pt idx="769">
                  <c:v>43820</c:v>
                </c:pt>
                <c:pt idx="770">
                  <c:v>43819</c:v>
                </c:pt>
                <c:pt idx="771">
                  <c:v>43818</c:v>
                </c:pt>
                <c:pt idx="772">
                  <c:v>43817</c:v>
                </c:pt>
                <c:pt idx="773">
                  <c:v>43816</c:v>
                </c:pt>
                <c:pt idx="774">
                  <c:v>43815</c:v>
                </c:pt>
                <c:pt idx="775">
                  <c:v>43814</c:v>
                </c:pt>
                <c:pt idx="776">
                  <c:v>43813</c:v>
                </c:pt>
                <c:pt idx="777">
                  <c:v>43812</c:v>
                </c:pt>
                <c:pt idx="778">
                  <c:v>43811</c:v>
                </c:pt>
                <c:pt idx="779">
                  <c:v>43810</c:v>
                </c:pt>
                <c:pt idx="780">
                  <c:v>43809</c:v>
                </c:pt>
                <c:pt idx="781">
                  <c:v>43808</c:v>
                </c:pt>
                <c:pt idx="782">
                  <c:v>43807</c:v>
                </c:pt>
                <c:pt idx="783">
                  <c:v>43806</c:v>
                </c:pt>
                <c:pt idx="784">
                  <c:v>43805</c:v>
                </c:pt>
                <c:pt idx="785">
                  <c:v>43804</c:v>
                </c:pt>
                <c:pt idx="786">
                  <c:v>43803</c:v>
                </c:pt>
                <c:pt idx="787">
                  <c:v>43802</c:v>
                </c:pt>
                <c:pt idx="788">
                  <c:v>43801</c:v>
                </c:pt>
                <c:pt idx="789">
                  <c:v>43800</c:v>
                </c:pt>
                <c:pt idx="790">
                  <c:v>43799</c:v>
                </c:pt>
                <c:pt idx="791">
                  <c:v>43798</c:v>
                </c:pt>
                <c:pt idx="792">
                  <c:v>43797</c:v>
                </c:pt>
                <c:pt idx="793">
                  <c:v>43796</c:v>
                </c:pt>
                <c:pt idx="794">
                  <c:v>43795</c:v>
                </c:pt>
                <c:pt idx="795">
                  <c:v>43794</c:v>
                </c:pt>
                <c:pt idx="796">
                  <c:v>43793</c:v>
                </c:pt>
                <c:pt idx="797">
                  <c:v>43792</c:v>
                </c:pt>
                <c:pt idx="798">
                  <c:v>43791</c:v>
                </c:pt>
                <c:pt idx="799">
                  <c:v>43790</c:v>
                </c:pt>
                <c:pt idx="800">
                  <c:v>43789</c:v>
                </c:pt>
                <c:pt idx="801">
                  <c:v>43788</c:v>
                </c:pt>
                <c:pt idx="802">
                  <c:v>43787</c:v>
                </c:pt>
                <c:pt idx="803">
                  <c:v>43786</c:v>
                </c:pt>
                <c:pt idx="804">
                  <c:v>43785</c:v>
                </c:pt>
                <c:pt idx="805">
                  <c:v>43784</c:v>
                </c:pt>
                <c:pt idx="806">
                  <c:v>43783</c:v>
                </c:pt>
                <c:pt idx="807">
                  <c:v>43782</c:v>
                </c:pt>
                <c:pt idx="808">
                  <c:v>43781</c:v>
                </c:pt>
                <c:pt idx="809">
                  <c:v>43780</c:v>
                </c:pt>
                <c:pt idx="810">
                  <c:v>43779</c:v>
                </c:pt>
                <c:pt idx="811">
                  <c:v>43778</c:v>
                </c:pt>
                <c:pt idx="812">
                  <c:v>43777</c:v>
                </c:pt>
                <c:pt idx="813">
                  <c:v>43776</c:v>
                </c:pt>
                <c:pt idx="814">
                  <c:v>43775</c:v>
                </c:pt>
                <c:pt idx="815">
                  <c:v>43774</c:v>
                </c:pt>
                <c:pt idx="816">
                  <c:v>43773</c:v>
                </c:pt>
                <c:pt idx="817">
                  <c:v>43772</c:v>
                </c:pt>
                <c:pt idx="818">
                  <c:v>43771</c:v>
                </c:pt>
                <c:pt idx="819">
                  <c:v>43770</c:v>
                </c:pt>
                <c:pt idx="820">
                  <c:v>43769</c:v>
                </c:pt>
                <c:pt idx="821">
                  <c:v>43768</c:v>
                </c:pt>
                <c:pt idx="822">
                  <c:v>43767</c:v>
                </c:pt>
                <c:pt idx="823">
                  <c:v>43766</c:v>
                </c:pt>
                <c:pt idx="824">
                  <c:v>43765</c:v>
                </c:pt>
                <c:pt idx="825">
                  <c:v>43764</c:v>
                </c:pt>
                <c:pt idx="826">
                  <c:v>43763</c:v>
                </c:pt>
                <c:pt idx="827">
                  <c:v>43762</c:v>
                </c:pt>
                <c:pt idx="828">
                  <c:v>43761</c:v>
                </c:pt>
                <c:pt idx="829">
                  <c:v>43760</c:v>
                </c:pt>
                <c:pt idx="830">
                  <c:v>43759</c:v>
                </c:pt>
                <c:pt idx="831">
                  <c:v>43758</c:v>
                </c:pt>
                <c:pt idx="832">
                  <c:v>43757</c:v>
                </c:pt>
                <c:pt idx="833">
                  <c:v>43756</c:v>
                </c:pt>
                <c:pt idx="834">
                  <c:v>43755</c:v>
                </c:pt>
                <c:pt idx="835">
                  <c:v>43754</c:v>
                </c:pt>
                <c:pt idx="836">
                  <c:v>43753</c:v>
                </c:pt>
                <c:pt idx="837">
                  <c:v>43752</c:v>
                </c:pt>
                <c:pt idx="838">
                  <c:v>43751</c:v>
                </c:pt>
                <c:pt idx="839">
                  <c:v>43750</c:v>
                </c:pt>
                <c:pt idx="840">
                  <c:v>43749</c:v>
                </c:pt>
                <c:pt idx="841">
                  <c:v>43748</c:v>
                </c:pt>
                <c:pt idx="842">
                  <c:v>43747</c:v>
                </c:pt>
                <c:pt idx="843">
                  <c:v>43746</c:v>
                </c:pt>
                <c:pt idx="844">
                  <c:v>43745</c:v>
                </c:pt>
                <c:pt idx="845">
                  <c:v>43744</c:v>
                </c:pt>
                <c:pt idx="846">
                  <c:v>43743</c:v>
                </c:pt>
                <c:pt idx="847">
                  <c:v>43742</c:v>
                </c:pt>
                <c:pt idx="848">
                  <c:v>43741</c:v>
                </c:pt>
                <c:pt idx="849">
                  <c:v>43740</c:v>
                </c:pt>
                <c:pt idx="850">
                  <c:v>43739</c:v>
                </c:pt>
                <c:pt idx="851">
                  <c:v>43738</c:v>
                </c:pt>
                <c:pt idx="852">
                  <c:v>43737</c:v>
                </c:pt>
                <c:pt idx="853">
                  <c:v>43736</c:v>
                </c:pt>
                <c:pt idx="854">
                  <c:v>43735</c:v>
                </c:pt>
                <c:pt idx="855">
                  <c:v>43734</c:v>
                </c:pt>
                <c:pt idx="856">
                  <c:v>43733</c:v>
                </c:pt>
                <c:pt idx="857">
                  <c:v>43732</c:v>
                </c:pt>
                <c:pt idx="858">
                  <c:v>43731</c:v>
                </c:pt>
                <c:pt idx="859">
                  <c:v>43730</c:v>
                </c:pt>
                <c:pt idx="860">
                  <c:v>43729</c:v>
                </c:pt>
                <c:pt idx="861">
                  <c:v>43728</c:v>
                </c:pt>
                <c:pt idx="862">
                  <c:v>43727</c:v>
                </c:pt>
                <c:pt idx="863">
                  <c:v>43726</c:v>
                </c:pt>
                <c:pt idx="864">
                  <c:v>43725</c:v>
                </c:pt>
                <c:pt idx="865">
                  <c:v>43724</c:v>
                </c:pt>
                <c:pt idx="866">
                  <c:v>43723</c:v>
                </c:pt>
                <c:pt idx="867">
                  <c:v>43722</c:v>
                </c:pt>
                <c:pt idx="868">
                  <c:v>43721</c:v>
                </c:pt>
                <c:pt idx="869">
                  <c:v>43720</c:v>
                </c:pt>
                <c:pt idx="870">
                  <c:v>43719</c:v>
                </c:pt>
                <c:pt idx="871">
                  <c:v>43718</c:v>
                </c:pt>
                <c:pt idx="872">
                  <c:v>43717</c:v>
                </c:pt>
                <c:pt idx="873">
                  <c:v>43716</c:v>
                </c:pt>
                <c:pt idx="874">
                  <c:v>43715</c:v>
                </c:pt>
                <c:pt idx="875">
                  <c:v>43714</c:v>
                </c:pt>
                <c:pt idx="876">
                  <c:v>43713</c:v>
                </c:pt>
                <c:pt idx="877">
                  <c:v>43712</c:v>
                </c:pt>
                <c:pt idx="878">
                  <c:v>43711</c:v>
                </c:pt>
                <c:pt idx="879">
                  <c:v>43710</c:v>
                </c:pt>
                <c:pt idx="880">
                  <c:v>43709</c:v>
                </c:pt>
                <c:pt idx="881">
                  <c:v>43708</c:v>
                </c:pt>
                <c:pt idx="882">
                  <c:v>43707</c:v>
                </c:pt>
                <c:pt idx="883">
                  <c:v>43706</c:v>
                </c:pt>
                <c:pt idx="884">
                  <c:v>43705</c:v>
                </c:pt>
                <c:pt idx="885">
                  <c:v>43704</c:v>
                </c:pt>
                <c:pt idx="886">
                  <c:v>43703</c:v>
                </c:pt>
                <c:pt idx="887">
                  <c:v>43702</c:v>
                </c:pt>
                <c:pt idx="888">
                  <c:v>43701</c:v>
                </c:pt>
                <c:pt idx="889">
                  <c:v>43700</c:v>
                </c:pt>
                <c:pt idx="890">
                  <c:v>43699</c:v>
                </c:pt>
                <c:pt idx="891">
                  <c:v>43698</c:v>
                </c:pt>
                <c:pt idx="892">
                  <c:v>43697</c:v>
                </c:pt>
                <c:pt idx="893">
                  <c:v>43696</c:v>
                </c:pt>
                <c:pt idx="894">
                  <c:v>43695</c:v>
                </c:pt>
                <c:pt idx="895">
                  <c:v>43694</c:v>
                </c:pt>
                <c:pt idx="896">
                  <c:v>43693</c:v>
                </c:pt>
                <c:pt idx="897">
                  <c:v>43692</c:v>
                </c:pt>
                <c:pt idx="898">
                  <c:v>43691</c:v>
                </c:pt>
                <c:pt idx="899">
                  <c:v>43690</c:v>
                </c:pt>
                <c:pt idx="900">
                  <c:v>43689</c:v>
                </c:pt>
                <c:pt idx="901">
                  <c:v>43688</c:v>
                </c:pt>
                <c:pt idx="902">
                  <c:v>43687</c:v>
                </c:pt>
                <c:pt idx="903">
                  <c:v>43686</c:v>
                </c:pt>
                <c:pt idx="904">
                  <c:v>43685</c:v>
                </c:pt>
                <c:pt idx="905">
                  <c:v>43684</c:v>
                </c:pt>
                <c:pt idx="906">
                  <c:v>43683</c:v>
                </c:pt>
                <c:pt idx="907">
                  <c:v>43682</c:v>
                </c:pt>
                <c:pt idx="908">
                  <c:v>43681</c:v>
                </c:pt>
                <c:pt idx="909">
                  <c:v>43680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-221.43233238029305</c:v>
                </c:pt>
                <c:pt idx="1">
                  <c:v>-221.40370143637637</c:v>
                </c:pt>
                <c:pt idx="2">
                  <c:v>-220.40866205333901</c:v>
                </c:pt>
                <c:pt idx="3">
                  <c:v>-220.59057095550924</c:v>
                </c:pt>
                <c:pt idx="4">
                  <c:v>-221.83788438440297</c:v>
                </c:pt>
                <c:pt idx="5">
                  <c:v>-222.01737609367882</c:v>
                </c:pt>
                <c:pt idx="6">
                  <c:v>-221.01300336416574</c:v>
                </c:pt>
                <c:pt idx="7">
                  <c:v>-219.21227107692829</c:v>
                </c:pt>
                <c:pt idx="8">
                  <c:v>-217.94496723568153</c:v>
                </c:pt>
                <c:pt idx="9">
                  <c:v>-216.93005257114569</c:v>
                </c:pt>
                <c:pt idx="10">
                  <c:v>-217.35629560174272</c:v>
                </c:pt>
                <c:pt idx="11">
                  <c:v>-216.74606020338271</c:v>
                </c:pt>
                <c:pt idx="12">
                  <c:v>-216.33987816168573</c:v>
                </c:pt>
                <c:pt idx="13">
                  <c:v>-216.48457293944696</c:v>
                </c:pt>
                <c:pt idx="14">
                  <c:v>-216.68645738884086</c:v>
                </c:pt>
                <c:pt idx="15">
                  <c:v>-215.38471717681401</c:v>
                </c:pt>
                <c:pt idx="16">
                  <c:v>-216.3222364845534</c:v>
                </c:pt>
                <c:pt idx="17">
                  <c:v>-217.12614687587546</c:v>
                </c:pt>
                <c:pt idx="18">
                  <c:v>-216.60892295242448</c:v>
                </c:pt>
                <c:pt idx="19">
                  <c:v>-215.78601937482449</c:v>
                </c:pt>
                <c:pt idx="20">
                  <c:v>-217.35966696750944</c:v>
                </c:pt>
                <c:pt idx="21">
                  <c:v>-215.66977198477971</c:v>
                </c:pt>
                <c:pt idx="22">
                  <c:v>-216.15450728583781</c:v>
                </c:pt>
                <c:pt idx="23">
                  <c:v>-214.99086548650624</c:v>
                </c:pt>
                <c:pt idx="24">
                  <c:v>-213.88138596680187</c:v>
                </c:pt>
                <c:pt idx="25">
                  <c:v>-211.25835494663104</c:v>
                </c:pt>
                <c:pt idx="26">
                  <c:v>-210.46713261792519</c:v>
                </c:pt>
                <c:pt idx="27">
                  <c:v>-210.84913727034623</c:v>
                </c:pt>
                <c:pt idx="28">
                  <c:v>-208.61791227019236</c:v>
                </c:pt>
                <c:pt idx="29">
                  <c:v>-206.07592241326313</c:v>
                </c:pt>
                <c:pt idx="30">
                  <c:v>-201.40128510463629</c:v>
                </c:pt>
                <c:pt idx="31">
                  <c:v>-198.1666510384085</c:v>
                </c:pt>
                <c:pt idx="32">
                  <c:v>-193.93647585282571</c:v>
                </c:pt>
                <c:pt idx="33">
                  <c:v>-194.12033844820783</c:v>
                </c:pt>
                <c:pt idx="34">
                  <c:v>-190.15974137400332</c:v>
                </c:pt>
                <c:pt idx="35">
                  <c:v>-188.86050198177193</c:v>
                </c:pt>
                <c:pt idx="36">
                  <c:v>-191.89134323937196</c:v>
                </c:pt>
                <c:pt idx="37">
                  <c:v>-188.49048151741923</c:v>
                </c:pt>
                <c:pt idx="38">
                  <c:v>-186.76497595177634</c:v>
                </c:pt>
                <c:pt idx="39">
                  <c:v>-188.4280652772936</c:v>
                </c:pt>
                <c:pt idx="40">
                  <c:v>-185.43333662852373</c:v>
                </c:pt>
                <c:pt idx="41">
                  <c:v>-176.56026358148551</c:v>
                </c:pt>
                <c:pt idx="42">
                  <c:v>-174.93489122519779</c:v>
                </c:pt>
                <c:pt idx="43">
                  <c:v>-171.49012683046095</c:v>
                </c:pt>
                <c:pt idx="44">
                  <c:v>-178.05734302310543</c:v>
                </c:pt>
                <c:pt idx="45">
                  <c:v>-176.43765256866891</c:v>
                </c:pt>
                <c:pt idx="46">
                  <c:v>-171.83679171571086</c:v>
                </c:pt>
                <c:pt idx="47">
                  <c:v>-170.4706485541933</c:v>
                </c:pt>
                <c:pt idx="48">
                  <c:v>-170.56549379216554</c:v>
                </c:pt>
                <c:pt idx="49">
                  <c:v>-157.57374943004979</c:v>
                </c:pt>
                <c:pt idx="50">
                  <c:v>-164.3299664222337</c:v>
                </c:pt>
                <c:pt idx="51">
                  <c:v>-161.77891564823366</c:v>
                </c:pt>
                <c:pt idx="52">
                  <c:v>-150.39352947700485</c:v>
                </c:pt>
                <c:pt idx="53">
                  <c:v>-157.41287269727175</c:v>
                </c:pt>
                <c:pt idx="54">
                  <c:v>-134.20298596814163</c:v>
                </c:pt>
                <c:pt idx="55">
                  <c:v>-61.327966647493199</c:v>
                </c:pt>
                <c:pt idx="56">
                  <c:v>-98.56250512126428</c:v>
                </c:pt>
                <c:pt idx="57">
                  <c:v>-103.4932348770587</c:v>
                </c:pt>
                <c:pt idx="58">
                  <c:v>-103.15577702101474</c:v>
                </c:pt>
                <c:pt idx="59">
                  <c:v>-102.25771601919656</c:v>
                </c:pt>
                <c:pt idx="60">
                  <c:v>-103.05495669533944</c:v>
                </c:pt>
                <c:pt idx="61">
                  <c:v>-104.69604511797679</c:v>
                </c:pt>
                <c:pt idx="62">
                  <c:v>-105.11244322433483</c:v>
                </c:pt>
                <c:pt idx="63">
                  <c:v>-103.49789189904315</c:v>
                </c:pt>
                <c:pt idx="64">
                  <c:v>-103.30375896280968</c:v>
                </c:pt>
                <c:pt idx="65">
                  <c:v>-103.62275729876995</c:v>
                </c:pt>
                <c:pt idx="66">
                  <c:v>-104.46344984764494</c:v>
                </c:pt>
                <c:pt idx="67">
                  <c:v>-102.62081950129574</c:v>
                </c:pt>
                <c:pt idx="68">
                  <c:v>-95.589186631062248</c:v>
                </c:pt>
                <c:pt idx="69">
                  <c:v>-100.45086982721598</c:v>
                </c:pt>
                <c:pt idx="70">
                  <c:v>-101.3158055600591</c:v>
                </c:pt>
                <c:pt idx="71">
                  <c:v>-100.48513739391625</c:v>
                </c:pt>
                <c:pt idx="72">
                  <c:v>-100.89886325553918</c:v>
                </c:pt>
                <c:pt idx="73">
                  <c:v>-100.64993917850693</c:v>
                </c:pt>
                <c:pt idx="74">
                  <c:v>-99.005815115338493</c:v>
                </c:pt>
                <c:pt idx="75">
                  <c:v>-97.361644718195635</c:v>
                </c:pt>
                <c:pt idx="76">
                  <c:v>-96.385836058012131</c:v>
                </c:pt>
                <c:pt idx="77">
                  <c:v>-78.767719046016637</c:v>
                </c:pt>
                <c:pt idx="78">
                  <c:v>-82.603400500166273</c:v>
                </c:pt>
                <c:pt idx="79">
                  <c:v>-79.191580767029023</c:v>
                </c:pt>
                <c:pt idx="80">
                  <c:v>-78.429232711093547</c:v>
                </c:pt>
                <c:pt idx="81">
                  <c:v>-77.892429700476256</c:v>
                </c:pt>
                <c:pt idx="82">
                  <c:v>-78.09299491568612</c:v>
                </c:pt>
                <c:pt idx="83">
                  <c:v>-78.09299491568612</c:v>
                </c:pt>
                <c:pt idx="84">
                  <c:v>-76.446888189943991</c:v>
                </c:pt>
                <c:pt idx="85">
                  <c:v>-78.656542723564684</c:v>
                </c:pt>
                <c:pt idx="86">
                  <c:v>-78.328473813867717</c:v>
                </c:pt>
                <c:pt idx="87">
                  <c:v>-78.577515799648992</c:v>
                </c:pt>
                <c:pt idx="88">
                  <c:v>-77.754125739806881</c:v>
                </c:pt>
                <c:pt idx="89">
                  <c:v>-79.625016243277472</c:v>
                </c:pt>
                <c:pt idx="90">
                  <c:v>-78.920280521834854</c:v>
                </c:pt>
                <c:pt idx="91">
                  <c:v>-79.408004543005049</c:v>
                </c:pt>
                <c:pt idx="92">
                  <c:v>-80.389693829005054</c:v>
                </c:pt>
                <c:pt idx="93">
                  <c:v>-78.271356454005058</c:v>
                </c:pt>
                <c:pt idx="94">
                  <c:v>-77.009345788671723</c:v>
                </c:pt>
                <c:pt idx="95">
                  <c:v>-76.658947327626947</c:v>
                </c:pt>
                <c:pt idx="96">
                  <c:v>-75.121036209361449</c:v>
                </c:pt>
                <c:pt idx="97">
                  <c:v>-74.47278510491202</c:v>
                </c:pt>
                <c:pt idx="98">
                  <c:v>-73.721845362288903</c:v>
                </c:pt>
                <c:pt idx="99">
                  <c:v>-72.138730443711708</c:v>
                </c:pt>
                <c:pt idx="100">
                  <c:v>-72.614406570100087</c:v>
                </c:pt>
                <c:pt idx="101">
                  <c:v>-73.365924734243436</c:v>
                </c:pt>
                <c:pt idx="102">
                  <c:v>-70.592187853704985</c:v>
                </c:pt>
                <c:pt idx="103">
                  <c:v>-68.539292029556449</c:v>
                </c:pt>
                <c:pt idx="104">
                  <c:v>-68.274467599886449</c:v>
                </c:pt>
                <c:pt idx="105">
                  <c:v>-65.278456427221641</c:v>
                </c:pt>
                <c:pt idx="106">
                  <c:v>-64.202466039933057</c:v>
                </c:pt>
                <c:pt idx="107">
                  <c:v>-66.857030466550512</c:v>
                </c:pt>
                <c:pt idx="108">
                  <c:v>-68.165435070490616</c:v>
                </c:pt>
                <c:pt idx="109">
                  <c:v>-63.597119298684845</c:v>
                </c:pt>
                <c:pt idx="110">
                  <c:v>-63.084326863446755</c:v>
                </c:pt>
                <c:pt idx="111">
                  <c:v>-63.142388715820381</c:v>
                </c:pt>
                <c:pt idx="112">
                  <c:v>-60.361496478665735</c:v>
                </c:pt>
                <c:pt idx="113">
                  <c:v>-60.463487360285995</c:v>
                </c:pt>
                <c:pt idx="114">
                  <c:v>-61.881583061822575</c:v>
                </c:pt>
                <c:pt idx="115">
                  <c:v>-63.765380304471705</c:v>
                </c:pt>
                <c:pt idx="116">
                  <c:v>-63.64600535452918</c:v>
                </c:pt>
                <c:pt idx="117">
                  <c:v>-63.185606591047318</c:v>
                </c:pt>
                <c:pt idx="118">
                  <c:v>-62.720166898637956</c:v>
                </c:pt>
                <c:pt idx="119">
                  <c:v>-64.159057995917962</c:v>
                </c:pt>
                <c:pt idx="120">
                  <c:v>-64.275437360225055</c:v>
                </c:pt>
                <c:pt idx="121">
                  <c:v>-61.850019929618284</c:v>
                </c:pt>
                <c:pt idx="122">
                  <c:v>-61.094951937820738</c:v>
                </c:pt>
                <c:pt idx="123">
                  <c:v>-59.551558550912766</c:v>
                </c:pt>
                <c:pt idx="124">
                  <c:v>-59.893030818437026</c:v>
                </c:pt>
                <c:pt idx="125">
                  <c:v>-59.368429261881474</c:v>
                </c:pt>
                <c:pt idx="126">
                  <c:v>-59.257758117782878</c:v>
                </c:pt>
                <c:pt idx="127">
                  <c:v>-60.882740439187948</c:v>
                </c:pt>
                <c:pt idx="128">
                  <c:v>-64.316025691874785</c:v>
                </c:pt>
                <c:pt idx="129">
                  <c:v>-62.756774885574778</c:v>
                </c:pt>
                <c:pt idx="130">
                  <c:v>-62.140199201394331</c:v>
                </c:pt>
                <c:pt idx="131">
                  <c:v>-61.17591203543688</c:v>
                </c:pt>
                <c:pt idx="132">
                  <c:v>-61.693264752735587</c:v>
                </c:pt>
                <c:pt idx="133">
                  <c:v>-61.566291848618178</c:v>
                </c:pt>
                <c:pt idx="134">
                  <c:v>-58.15707846397698</c:v>
                </c:pt>
                <c:pt idx="135">
                  <c:v>-58.493127757002725</c:v>
                </c:pt>
                <c:pt idx="136">
                  <c:v>-59.204694722152432</c:v>
                </c:pt>
                <c:pt idx="137">
                  <c:v>-59.016224750657109</c:v>
                </c:pt>
                <c:pt idx="138">
                  <c:v>-58.921911624984162</c:v>
                </c:pt>
                <c:pt idx="139">
                  <c:v>-59.1072629057863</c:v>
                </c:pt>
                <c:pt idx="140">
                  <c:v>-57.852637579147128</c:v>
                </c:pt>
                <c:pt idx="141">
                  <c:v>-56.726177127076852</c:v>
                </c:pt>
                <c:pt idx="142">
                  <c:v>-58.815887023264523</c:v>
                </c:pt>
                <c:pt idx="143">
                  <c:v>-54.321047759830542</c:v>
                </c:pt>
                <c:pt idx="144">
                  <c:v>-55.162036839527843</c:v>
                </c:pt>
                <c:pt idx="145">
                  <c:v>-52.808163772378109</c:v>
                </c:pt>
                <c:pt idx="146">
                  <c:v>-50.261855156264588</c:v>
                </c:pt>
                <c:pt idx="147">
                  <c:v>-49.773873843029854</c:v>
                </c:pt>
                <c:pt idx="148">
                  <c:v>-47.590974313373295</c:v>
                </c:pt>
                <c:pt idx="149">
                  <c:v>-49.656985104041468</c:v>
                </c:pt>
                <c:pt idx="150">
                  <c:v>-48.641001718297282</c:v>
                </c:pt>
                <c:pt idx="151">
                  <c:v>-47.066149669066519</c:v>
                </c:pt>
                <c:pt idx="152">
                  <c:v>-46.087403890485128</c:v>
                </c:pt>
                <c:pt idx="153">
                  <c:v>-45.028654026153902</c:v>
                </c:pt>
                <c:pt idx="154">
                  <c:v>-46.467680767981257</c:v>
                </c:pt>
                <c:pt idx="155">
                  <c:v>-42.064019361763329</c:v>
                </c:pt>
                <c:pt idx="156">
                  <c:v>-47.094799882820645</c:v>
                </c:pt>
                <c:pt idx="157">
                  <c:v>-43.895291433079535</c:v>
                </c:pt>
                <c:pt idx="158">
                  <c:v>-41.404712434175181</c:v>
                </c:pt>
                <c:pt idx="159">
                  <c:v>-42.391018909243328</c:v>
                </c:pt>
                <c:pt idx="160">
                  <c:v>-54.405153290000072</c:v>
                </c:pt>
                <c:pt idx="161">
                  <c:v>-54.948287315482837</c:v>
                </c:pt>
                <c:pt idx="162">
                  <c:v>-56.087911007286124</c:v>
                </c:pt>
                <c:pt idx="163">
                  <c:v>-56.621001769854466</c:v>
                </c:pt>
                <c:pt idx="164">
                  <c:v>-55.337912927659353</c:v>
                </c:pt>
                <c:pt idx="165">
                  <c:v>-54.094219512882276</c:v>
                </c:pt>
                <c:pt idx="166">
                  <c:v>-54.535665338215601</c:v>
                </c:pt>
                <c:pt idx="167">
                  <c:v>-53.582425101007011</c:v>
                </c:pt>
                <c:pt idx="168">
                  <c:v>-56.563242576230131</c:v>
                </c:pt>
                <c:pt idx="169">
                  <c:v>-55.477874836697559</c:v>
                </c:pt>
                <c:pt idx="170">
                  <c:v>-56.028527638594113</c:v>
                </c:pt>
                <c:pt idx="171">
                  <c:v>-55.692136968832521</c:v>
                </c:pt>
                <c:pt idx="172">
                  <c:v>-57.249455546897046</c:v>
                </c:pt>
                <c:pt idx="173">
                  <c:v>-57.466159540105735</c:v>
                </c:pt>
                <c:pt idx="174">
                  <c:v>-57.741212680994629</c:v>
                </c:pt>
                <c:pt idx="175">
                  <c:v>-59.870423231613678</c:v>
                </c:pt>
                <c:pt idx="176">
                  <c:v>-60.616052184479649</c:v>
                </c:pt>
                <c:pt idx="177">
                  <c:v>-61.571111741082831</c:v>
                </c:pt>
                <c:pt idx="178">
                  <c:v>-61.350201148109853</c:v>
                </c:pt>
                <c:pt idx="179">
                  <c:v>-60.862842962080009</c:v>
                </c:pt>
                <c:pt idx="180">
                  <c:v>-57.764327405097397</c:v>
                </c:pt>
                <c:pt idx="181">
                  <c:v>-57.893971432556853</c:v>
                </c:pt>
                <c:pt idx="182">
                  <c:v>-58.529322158522959</c:v>
                </c:pt>
                <c:pt idx="183">
                  <c:v>-59.306445930613862</c:v>
                </c:pt>
                <c:pt idx="184">
                  <c:v>-59.037046873000001</c:v>
                </c:pt>
                <c:pt idx="185">
                  <c:v>-59.268736333571432</c:v>
                </c:pt>
                <c:pt idx="186">
                  <c:v>-57.005942237181188</c:v>
                </c:pt>
                <c:pt idx="187">
                  <c:v>-61.32720256658186</c:v>
                </c:pt>
                <c:pt idx="188">
                  <c:v>-61.318003391830473</c:v>
                </c:pt>
                <c:pt idx="189">
                  <c:v>-61.924744197430478</c:v>
                </c:pt>
                <c:pt idx="190">
                  <c:v>-61.237124108839083</c:v>
                </c:pt>
                <c:pt idx="191">
                  <c:v>-61.574417755681189</c:v>
                </c:pt>
                <c:pt idx="192">
                  <c:v>-61.07571231178688</c:v>
                </c:pt>
                <c:pt idx="193">
                  <c:v>-60.408085022395127</c:v>
                </c:pt>
                <c:pt idx="194">
                  <c:v>-60.228045991475128</c:v>
                </c:pt>
                <c:pt idx="195">
                  <c:v>-59.909276743475125</c:v>
                </c:pt>
                <c:pt idx="196">
                  <c:v>-59.320626762156941</c:v>
                </c:pt>
                <c:pt idx="197">
                  <c:v>-56.49082269206604</c:v>
                </c:pt>
                <c:pt idx="198">
                  <c:v>-57.694958638219887</c:v>
                </c:pt>
                <c:pt idx="199">
                  <c:v>-57.735228658442118</c:v>
                </c:pt>
                <c:pt idx="200">
                  <c:v>-57.197409722777884</c:v>
                </c:pt>
                <c:pt idx="201">
                  <c:v>-56.667034788830513</c:v>
                </c:pt>
                <c:pt idx="202">
                  <c:v>-56.357481730901938</c:v>
                </c:pt>
                <c:pt idx="203">
                  <c:v>-54.569309339753609</c:v>
                </c:pt>
                <c:pt idx="204">
                  <c:v>-51.353835443516772</c:v>
                </c:pt>
                <c:pt idx="205">
                  <c:v>-58.067236702659621</c:v>
                </c:pt>
                <c:pt idx="206">
                  <c:v>-58.477548755905225</c:v>
                </c:pt>
                <c:pt idx="207">
                  <c:v>-58.313932071376925</c:v>
                </c:pt>
                <c:pt idx="208">
                  <c:v>-58.523327622055938</c:v>
                </c:pt>
                <c:pt idx="209">
                  <c:v>-58.804292942148955</c:v>
                </c:pt>
                <c:pt idx="210">
                  <c:v>-57.003694994659419</c:v>
                </c:pt>
                <c:pt idx="211">
                  <c:v>-57.4830704528895</c:v>
                </c:pt>
                <c:pt idx="212">
                  <c:v>-57.325334883504887</c:v>
                </c:pt>
                <c:pt idx="213">
                  <c:v>-56.986537289219164</c:v>
                </c:pt>
                <c:pt idx="214">
                  <c:v>-57.303956489219168</c:v>
                </c:pt>
                <c:pt idx="215">
                  <c:v>-57.724831210265322</c:v>
                </c:pt>
                <c:pt idx="216">
                  <c:v>-57.614496881085834</c:v>
                </c:pt>
                <c:pt idx="217">
                  <c:v>-56.566444195085829</c:v>
                </c:pt>
                <c:pt idx="218">
                  <c:v>-57.502812067488435</c:v>
                </c:pt>
                <c:pt idx="219">
                  <c:v>-57.984058505311964</c:v>
                </c:pt>
                <c:pt idx="220">
                  <c:v>-57.984058505311964</c:v>
                </c:pt>
                <c:pt idx="221">
                  <c:v>-55.469726502977636</c:v>
                </c:pt>
                <c:pt idx="222">
                  <c:v>-55.942694393063356</c:v>
                </c:pt>
                <c:pt idx="223">
                  <c:v>-55.493608152755662</c:v>
                </c:pt>
                <c:pt idx="224">
                  <c:v>-54.854428114224689</c:v>
                </c:pt>
                <c:pt idx="225">
                  <c:v>-53.741362965566637</c:v>
                </c:pt>
                <c:pt idx="226">
                  <c:v>-53.619503359003254</c:v>
                </c:pt>
                <c:pt idx="227">
                  <c:v>-54.36029703684801</c:v>
                </c:pt>
                <c:pt idx="228">
                  <c:v>-53.201943075683168</c:v>
                </c:pt>
                <c:pt idx="229">
                  <c:v>-54.362227221393233</c:v>
                </c:pt>
                <c:pt idx="230">
                  <c:v>-54.690470210488471</c:v>
                </c:pt>
                <c:pt idx="231">
                  <c:v>-52.552876271406198</c:v>
                </c:pt>
                <c:pt idx="232">
                  <c:v>-44.286277096241164</c:v>
                </c:pt>
                <c:pt idx="233">
                  <c:v>-46.652791600155759</c:v>
                </c:pt>
                <c:pt idx="234">
                  <c:v>-48.942622638714589</c:v>
                </c:pt>
                <c:pt idx="235">
                  <c:v>-45.305640085065107</c:v>
                </c:pt>
                <c:pt idx="236">
                  <c:v>-46.150385635348918</c:v>
                </c:pt>
                <c:pt idx="237">
                  <c:v>-43.745804746878342</c:v>
                </c:pt>
                <c:pt idx="238">
                  <c:v>-43.108619686118601</c:v>
                </c:pt>
                <c:pt idx="239">
                  <c:v>-46.063064841429458</c:v>
                </c:pt>
                <c:pt idx="240">
                  <c:v>-46.145294735988273</c:v>
                </c:pt>
                <c:pt idx="241">
                  <c:v>-45.488103976488276</c:v>
                </c:pt>
                <c:pt idx="242">
                  <c:v>-47.079648867726377</c:v>
                </c:pt>
                <c:pt idx="243">
                  <c:v>-47.57674824538595</c:v>
                </c:pt>
                <c:pt idx="244">
                  <c:v>-47.254301679713144</c:v>
                </c:pt>
                <c:pt idx="245">
                  <c:v>-46.79551840661005</c:v>
                </c:pt>
                <c:pt idx="246">
                  <c:v>-45.990029170010047</c:v>
                </c:pt>
                <c:pt idx="247">
                  <c:v>-47.490831440434761</c:v>
                </c:pt>
                <c:pt idx="248">
                  <c:v>-49.15696673775949</c:v>
                </c:pt>
                <c:pt idx="249">
                  <c:v>-50.203400808185883</c:v>
                </c:pt>
                <c:pt idx="250">
                  <c:v>-49.549536491610489</c:v>
                </c:pt>
                <c:pt idx="251">
                  <c:v>-49.823376739675005</c:v>
                </c:pt>
                <c:pt idx="252">
                  <c:v>-48.916201732953397</c:v>
                </c:pt>
                <c:pt idx="253">
                  <c:v>-50.206660798270761</c:v>
                </c:pt>
                <c:pt idx="254">
                  <c:v>-47.580934496284577</c:v>
                </c:pt>
                <c:pt idx="255">
                  <c:v>-48.436363295469199</c:v>
                </c:pt>
                <c:pt idx="256">
                  <c:v>-47.767287085469199</c:v>
                </c:pt>
                <c:pt idx="257">
                  <c:v>-47.611795148964667</c:v>
                </c:pt>
                <c:pt idx="258">
                  <c:v>-46.352476863701</c:v>
                </c:pt>
                <c:pt idx="259">
                  <c:v>-46.931498095541762</c:v>
                </c:pt>
                <c:pt idx="260">
                  <c:v>-46.032280610411135</c:v>
                </c:pt>
                <c:pt idx="261">
                  <c:v>-44.052623818439564</c:v>
                </c:pt>
                <c:pt idx="262">
                  <c:v>-45.230872794439563</c:v>
                </c:pt>
                <c:pt idx="263">
                  <c:v>-43.179616793287643</c:v>
                </c:pt>
                <c:pt idx="264">
                  <c:v>-43.526736775389345</c:v>
                </c:pt>
                <c:pt idx="265">
                  <c:v>-40.271670071163989</c:v>
                </c:pt>
                <c:pt idx="266">
                  <c:v>-40.786645109643985</c:v>
                </c:pt>
                <c:pt idx="267">
                  <c:v>-39.38430753943738</c:v>
                </c:pt>
                <c:pt idx="268">
                  <c:v>-39.579604420499109</c:v>
                </c:pt>
                <c:pt idx="269">
                  <c:v>-37.73872095791792</c:v>
                </c:pt>
                <c:pt idx="270">
                  <c:v>-36.784467441491486</c:v>
                </c:pt>
                <c:pt idx="271">
                  <c:v>-35.307418911778797</c:v>
                </c:pt>
                <c:pt idx="272">
                  <c:v>-35.776258411304248</c:v>
                </c:pt>
                <c:pt idx="273">
                  <c:v>-37.230039906046187</c:v>
                </c:pt>
                <c:pt idx="274">
                  <c:v>-35.705071104124791</c:v>
                </c:pt>
                <c:pt idx="275">
                  <c:v>-35.587357433718616</c:v>
                </c:pt>
                <c:pt idx="276">
                  <c:v>-37.147944042209332</c:v>
                </c:pt>
                <c:pt idx="277">
                  <c:v>-38.31499676419967</c:v>
                </c:pt>
                <c:pt idx="278">
                  <c:v>-38.177020339429049</c:v>
                </c:pt>
                <c:pt idx="279">
                  <c:v>-37.613841429429051</c:v>
                </c:pt>
                <c:pt idx="280">
                  <c:v>-38.569419807746236</c:v>
                </c:pt>
                <c:pt idx="281">
                  <c:v>-36.11581057437418</c:v>
                </c:pt>
                <c:pt idx="282">
                  <c:v>-33.281084599247599</c:v>
                </c:pt>
                <c:pt idx="283">
                  <c:v>-33.693646824468978</c:v>
                </c:pt>
                <c:pt idx="284">
                  <c:v>-32.233040869769269</c:v>
                </c:pt>
                <c:pt idx="285">
                  <c:v>-32.039401918574001</c:v>
                </c:pt>
                <c:pt idx="286">
                  <c:v>-31.586078625032016</c:v>
                </c:pt>
                <c:pt idx="287">
                  <c:v>-27.007870491749806</c:v>
                </c:pt>
                <c:pt idx="288">
                  <c:v>-27.678360580625856</c:v>
                </c:pt>
                <c:pt idx="289">
                  <c:v>-29.520882157547067</c:v>
                </c:pt>
                <c:pt idx="290">
                  <c:v>-28.014899629451037</c:v>
                </c:pt>
                <c:pt idx="291">
                  <c:v>-26.853343897903418</c:v>
                </c:pt>
                <c:pt idx="292">
                  <c:v>-26.907987444771766</c:v>
                </c:pt>
                <c:pt idx="293">
                  <c:v>-26.014020141944009</c:v>
                </c:pt>
                <c:pt idx="294">
                  <c:v>-26.881511838444009</c:v>
                </c:pt>
                <c:pt idx="295">
                  <c:v>-28.115385090455018</c:v>
                </c:pt>
                <c:pt idx="296">
                  <c:v>-26.759989557317791</c:v>
                </c:pt>
                <c:pt idx="297">
                  <c:v>-25.689474616586921</c:v>
                </c:pt>
                <c:pt idx="298">
                  <c:v>-24.02473788117485</c:v>
                </c:pt>
                <c:pt idx="299">
                  <c:v>-27.563523917982806</c:v>
                </c:pt>
                <c:pt idx="300">
                  <c:v>-25.551272601949755</c:v>
                </c:pt>
                <c:pt idx="301">
                  <c:v>-23.295882739666833</c:v>
                </c:pt>
                <c:pt idx="302">
                  <c:v>-24.168427009906182</c:v>
                </c:pt>
                <c:pt idx="303">
                  <c:v>-23.237873038110969</c:v>
                </c:pt>
                <c:pt idx="304">
                  <c:v>-24.44401783911097</c:v>
                </c:pt>
                <c:pt idx="305">
                  <c:v>-23.241930435016371</c:v>
                </c:pt>
                <c:pt idx="306">
                  <c:v>-27.211828592370903</c:v>
                </c:pt>
                <c:pt idx="307">
                  <c:v>-25.853954078008478</c:v>
                </c:pt>
                <c:pt idx="308">
                  <c:v>-22.974925926302486</c:v>
                </c:pt>
                <c:pt idx="309">
                  <c:v>-7.5060161335731737</c:v>
                </c:pt>
                <c:pt idx="310">
                  <c:v>-10.064401201574523</c:v>
                </c:pt>
                <c:pt idx="311">
                  <c:v>-9.0630733063022451</c:v>
                </c:pt>
                <c:pt idx="312">
                  <c:v>-7.6172305914422083</c:v>
                </c:pt>
                <c:pt idx="313">
                  <c:v>-9.0799959333499025</c:v>
                </c:pt>
                <c:pt idx="314">
                  <c:v>-6.8044784605796345</c:v>
                </c:pt>
                <c:pt idx="315">
                  <c:v>-12.409973916901022</c:v>
                </c:pt>
                <c:pt idx="316">
                  <c:v>-10.647241971369107</c:v>
                </c:pt>
                <c:pt idx="317">
                  <c:v>-13.209729303425579</c:v>
                </c:pt>
                <c:pt idx="318">
                  <c:v>-14.557510361175074</c:v>
                </c:pt>
                <c:pt idx="319">
                  <c:v>-15.640447288068227</c:v>
                </c:pt>
                <c:pt idx="320">
                  <c:v>-15.585796893745153</c:v>
                </c:pt>
                <c:pt idx="321">
                  <c:v>-19.62611722981385</c:v>
                </c:pt>
                <c:pt idx="322">
                  <c:v>-17.527971326166792</c:v>
                </c:pt>
                <c:pt idx="323">
                  <c:v>-19.901005765415313</c:v>
                </c:pt>
                <c:pt idx="324">
                  <c:v>-19.470750211195881</c:v>
                </c:pt>
                <c:pt idx="325">
                  <c:v>-20.53877424267603</c:v>
                </c:pt>
                <c:pt idx="326">
                  <c:v>-21.563887282195115</c:v>
                </c:pt>
                <c:pt idx="327">
                  <c:v>-21.605518853032322</c:v>
                </c:pt>
                <c:pt idx="328">
                  <c:v>-21.26481506348593</c:v>
                </c:pt>
                <c:pt idx="329">
                  <c:v>-22.571533236651494</c:v>
                </c:pt>
                <c:pt idx="330">
                  <c:v>-22.539370754950895</c:v>
                </c:pt>
                <c:pt idx="331">
                  <c:v>-23.754313559310901</c:v>
                </c:pt>
                <c:pt idx="332">
                  <c:v>-23.306801716533123</c:v>
                </c:pt>
                <c:pt idx="333">
                  <c:v>-23.547110944322821</c:v>
                </c:pt>
                <c:pt idx="334">
                  <c:v>-23.516886297656153</c:v>
                </c:pt>
                <c:pt idx="335">
                  <c:v>-23.342393781056156</c:v>
                </c:pt>
                <c:pt idx="336">
                  <c:v>-22.890893952587685</c:v>
                </c:pt>
                <c:pt idx="337">
                  <c:v>-22.224378181627422</c:v>
                </c:pt>
                <c:pt idx="338">
                  <c:v>-22.140138969643601</c:v>
                </c:pt>
                <c:pt idx="339">
                  <c:v>-21.462284718661039</c:v>
                </c:pt>
                <c:pt idx="340">
                  <c:v>-22.656148213698952</c:v>
                </c:pt>
                <c:pt idx="341">
                  <c:v>-22.386793270509763</c:v>
                </c:pt>
                <c:pt idx="342">
                  <c:v>-21.585387599520441</c:v>
                </c:pt>
                <c:pt idx="343">
                  <c:v>-22.646141624391735</c:v>
                </c:pt>
                <c:pt idx="344">
                  <c:v>-22.179598676942192</c:v>
                </c:pt>
                <c:pt idx="345">
                  <c:v>-23.820626547732232</c:v>
                </c:pt>
                <c:pt idx="346">
                  <c:v>-22.892886949808037</c:v>
                </c:pt>
                <c:pt idx="347">
                  <c:v>-23.280373095194708</c:v>
                </c:pt>
                <c:pt idx="348">
                  <c:v>-23.407715242018234</c:v>
                </c:pt>
                <c:pt idx="349">
                  <c:v>-21.55150430065974</c:v>
                </c:pt>
                <c:pt idx="350">
                  <c:v>-23.084514725043309</c:v>
                </c:pt>
                <c:pt idx="351">
                  <c:v>-24.558403815059229</c:v>
                </c:pt>
                <c:pt idx="352">
                  <c:v>-25.914289538312243</c:v>
                </c:pt>
                <c:pt idx="353">
                  <c:v>-27.020909268965948</c:v>
                </c:pt>
                <c:pt idx="354">
                  <c:v>-27.681954939232615</c:v>
                </c:pt>
                <c:pt idx="355">
                  <c:v>-28.067658072153669</c:v>
                </c:pt>
                <c:pt idx="356">
                  <c:v>-27.568002810293201</c:v>
                </c:pt>
                <c:pt idx="357">
                  <c:v>-27.116438991054498</c:v>
                </c:pt>
                <c:pt idx="358">
                  <c:v>-27.654318058714498</c:v>
                </c:pt>
                <c:pt idx="359">
                  <c:v>-25.96729190383645</c:v>
                </c:pt>
                <c:pt idx="360">
                  <c:v>-26.226036634564846</c:v>
                </c:pt>
                <c:pt idx="361">
                  <c:v>-26.226036634564846</c:v>
                </c:pt>
                <c:pt idx="362">
                  <c:v>-26.226036634564846</c:v>
                </c:pt>
                <c:pt idx="363">
                  <c:v>-25.108412435983841</c:v>
                </c:pt>
                <c:pt idx="364">
                  <c:v>-27.356349108539401</c:v>
                </c:pt>
                <c:pt idx="365">
                  <c:v>-27.373781418833516</c:v>
                </c:pt>
                <c:pt idx="366">
                  <c:v>-27.391303611599472</c:v>
                </c:pt>
                <c:pt idx="367">
                  <c:v>-27.363700342832352</c:v>
                </c:pt>
                <c:pt idx="368">
                  <c:v>-27.038703728613172</c:v>
                </c:pt>
                <c:pt idx="369">
                  <c:v>-26.759904546192114</c:v>
                </c:pt>
                <c:pt idx="370">
                  <c:v>-26.81191250377702</c:v>
                </c:pt>
                <c:pt idx="371">
                  <c:v>-27.06893499732541</c:v>
                </c:pt>
                <c:pt idx="372">
                  <c:v>-26.564770598861127</c:v>
                </c:pt>
                <c:pt idx="373">
                  <c:v>-27.067991646214065</c:v>
                </c:pt>
                <c:pt idx="374">
                  <c:v>-23.494361812435038</c:v>
                </c:pt>
                <c:pt idx="375">
                  <c:v>-24.288030780135038</c:v>
                </c:pt>
                <c:pt idx="376">
                  <c:v>-24.46050468756361</c:v>
                </c:pt>
                <c:pt idx="377">
                  <c:v>-24.520724482776377</c:v>
                </c:pt>
                <c:pt idx="378">
                  <c:v>-24.58228219012091</c:v>
                </c:pt>
                <c:pt idx="379">
                  <c:v>-24.557127287939096</c:v>
                </c:pt>
                <c:pt idx="380">
                  <c:v>-24.78300130521307</c:v>
                </c:pt>
                <c:pt idx="381">
                  <c:v>-24.78300130521307</c:v>
                </c:pt>
                <c:pt idx="382">
                  <c:v>-24.752152080789227</c:v>
                </c:pt>
                <c:pt idx="383">
                  <c:v>-24.627968491344781</c:v>
                </c:pt>
                <c:pt idx="384">
                  <c:v>-24.992984718011446</c:v>
                </c:pt>
                <c:pt idx="385">
                  <c:v>-25.073725120933776</c:v>
                </c:pt>
                <c:pt idx="386">
                  <c:v>-24.575310363770509</c:v>
                </c:pt>
                <c:pt idx="387">
                  <c:v>-24.483060352016413</c:v>
                </c:pt>
                <c:pt idx="388">
                  <c:v>-24.69027427546569</c:v>
                </c:pt>
                <c:pt idx="389">
                  <c:v>-24.641643730942612</c:v>
                </c:pt>
                <c:pt idx="390">
                  <c:v>-24.587274247129276</c:v>
                </c:pt>
                <c:pt idx="391">
                  <c:v>-24.525010760699374</c:v>
                </c:pt>
                <c:pt idx="392">
                  <c:v>-24.486272870434668</c:v>
                </c:pt>
                <c:pt idx="393">
                  <c:v>-23.840067173012791</c:v>
                </c:pt>
                <c:pt idx="394">
                  <c:v>-24.607814782543176</c:v>
                </c:pt>
                <c:pt idx="395">
                  <c:v>-24.712074565499702</c:v>
                </c:pt>
                <c:pt idx="396">
                  <c:v>-24.639919595261606</c:v>
                </c:pt>
                <c:pt idx="397">
                  <c:v>-24.493869144146849</c:v>
                </c:pt>
                <c:pt idx="398">
                  <c:v>-24.556041327604479</c:v>
                </c:pt>
                <c:pt idx="399">
                  <c:v>-24.696463269004479</c:v>
                </c:pt>
                <c:pt idx="400">
                  <c:v>-24.478893988290192</c:v>
                </c:pt>
                <c:pt idx="401">
                  <c:v>-24.243278541290195</c:v>
                </c:pt>
                <c:pt idx="402">
                  <c:v>-24.202824770121769</c:v>
                </c:pt>
                <c:pt idx="403">
                  <c:v>-23.089490857310448</c:v>
                </c:pt>
                <c:pt idx="404">
                  <c:v>-22.423943050320972</c:v>
                </c:pt>
                <c:pt idx="405">
                  <c:v>-22.442003162850387</c:v>
                </c:pt>
                <c:pt idx="406">
                  <c:v>-22.566717353350388</c:v>
                </c:pt>
                <c:pt idx="407">
                  <c:v>-22.149407581350388</c:v>
                </c:pt>
                <c:pt idx="408">
                  <c:v>-22.325210485350389</c:v>
                </c:pt>
                <c:pt idx="409">
                  <c:v>-22.01017843841009</c:v>
                </c:pt>
                <c:pt idx="410">
                  <c:v>-21.587593691032314</c:v>
                </c:pt>
                <c:pt idx="411">
                  <c:v>-21.597680678349388</c:v>
                </c:pt>
                <c:pt idx="412">
                  <c:v>-21.61579917837161</c:v>
                </c:pt>
                <c:pt idx="413">
                  <c:v>-21.512909830621609</c:v>
                </c:pt>
                <c:pt idx="414">
                  <c:v>-21.346958334784397</c:v>
                </c:pt>
                <c:pt idx="415">
                  <c:v>-21.226026510899153</c:v>
                </c:pt>
                <c:pt idx="416">
                  <c:v>-21.096627841184866</c:v>
                </c:pt>
                <c:pt idx="417">
                  <c:v>-20.998571553962645</c:v>
                </c:pt>
                <c:pt idx="418">
                  <c:v>-21.02320919767693</c:v>
                </c:pt>
                <c:pt idx="419">
                  <c:v>-21.106932715934992</c:v>
                </c:pt>
                <c:pt idx="420">
                  <c:v>-20.92652693193499</c:v>
                </c:pt>
                <c:pt idx="421">
                  <c:v>-21.008442673753173</c:v>
                </c:pt>
                <c:pt idx="422">
                  <c:v>-21.48867469215995</c:v>
                </c:pt>
                <c:pt idx="423">
                  <c:v>-21.298673575387223</c:v>
                </c:pt>
                <c:pt idx="424">
                  <c:v>-21.307053408746199</c:v>
                </c:pt>
                <c:pt idx="425">
                  <c:v>-21.330542927160835</c:v>
                </c:pt>
                <c:pt idx="426">
                  <c:v>-21.466982544930065</c:v>
                </c:pt>
                <c:pt idx="427">
                  <c:v>-21.471499532730064</c:v>
                </c:pt>
                <c:pt idx="428">
                  <c:v>-21.192355414744881</c:v>
                </c:pt>
                <c:pt idx="429">
                  <c:v>-20.972974851099046</c:v>
                </c:pt>
                <c:pt idx="430">
                  <c:v>-20.494651473810908</c:v>
                </c:pt>
                <c:pt idx="431">
                  <c:v>-20.602682003477579</c:v>
                </c:pt>
                <c:pt idx="432">
                  <c:v>-20.303799476410909</c:v>
                </c:pt>
                <c:pt idx="433">
                  <c:v>-20.534568804410913</c:v>
                </c:pt>
                <c:pt idx="434">
                  <c:v>-20.662785502910911</c:v>
                </c:pt>
                <c:pt idx="435">
                  <c:v>-20.57710721157758</c:v>
                </c:pt>
                <c:pt idx="436">
                  <c:v>-20.533383252502105</c:v>
                </c:pt>
                <c:pt idx="437">
                  <c:v>-20.392104893028421</c:v>
                </c:pt>
                <c:pt idx="438">
                  <c:v>-20.467039088545661</c:v>
                </c:pt>
                <c:pt idx="439">
                  <c:v>-20.329220525035023</c:v>
                </c:pt>
                <c:pt idx="440">
                  <c:v>-20.226800517387137</c:v>
                </c:pt>
                <c:pt idx="441">
                  <c:v>-20.268696107932588</c:v>
                </c:pt>
                <c:pt idx="442">
                  <c:v>-20.297991776280416</c:v>
                </c:pt>
                <c:pt idx="443">
                  <c:v>-20.240790124227782</c:v>
                </c:pt>
                <c:pt idx="444">
                  <c:v>-20.342602377908637</c:v>
                </c:pt>
                <c:pt idx="445">
                  <c:v>-20.143599374643326</c:v>
                </c:pt>
                <c:pt idx="446">
                  <c:v>-20.152552610403326</c:v>
                </c:pt>
                <c:pt idx="447">
                  <c:v>-19.982203330705651</c:v>
                </c:pt>
                <c:pt idx="448">
                  <c:v>-20.297472628105655</c:v>
                </c:pt>
                <c:pt idx="449">
                  <c:v>-20.262316319415998</c:v>
                </c:pt>
                <c:pt idx="450">
                  <c:v>-20.266658755415996</c:v>
                </c:pt>
                <c:pt idx="451">
                  <c:v>-20.301746691415996</c:v>
                </c:pt>
                <c:pt idx="452">
                  <c:v>-20.116778221890996</c:v>
                </c:pt>
                <c:pt idx="453">
                  <c:v>-20.137906872195344</c:v>
                </c:pt>
                <c:pt idx="454">
                  <c:v>-20.11536410158665</c:v>
                </c:pt>
                <c:pt idx="455">
                  <c:v>-20.099700662351356</c:v>
                </c:pt>
                <c:pt idx="456">
                  <c:v>-20.05451495056564</c:v>
                </c:pt>
                <c:pt idx="457">
                  <c:v>-20.102722255481723</c:v>
                </c:pt>
                <c:pt idx="458">
                  <c:v>-20.052401609943264</c:v>
                </c:pt>
                <c:pt idx="459">
                  <c:v>-20.068655095327877</c:v>
                </c:pt>
                <c:pt idx="460">
                  <c:v>-20.0191547415501</c:v>
                </c:pt>
                <c:pt idx="461">
                  <c:v>-20.0191547415501</c:v>
                </c:pt>
                <c:pt idx="462">
                  <c:v>-19.925325376978673</c:v>
                </c:pt>
                <c:pt idx="463">
                  <c:v>-20.012936330728675</c:v>
                </c:pt>
                <c:pt idx="464">
                  <c:v>-20.006056590514383</c:v>
                </c:pt>
                <c:pt idx="465">
                  <c:v>-19.729249926133434</c:v>
                </c:pt>
                <c:pt idx="466">
                  <c:v>-19.744825610004401</c:v>
                </c:pt>
                <c:pt idx="467">
                  <c:v>-19.767302026432976</c:v>
                </c:pt>
                <c:pt idx="468">
                  <c:v>-19.757729388824277</c:v>
                </c:pt>
                <c:pt idx="469">
                  <c:v>-19.603729910376</c:v>
                </c:pt>
                <c:pt idx="470">
                  <c:v>-19.59651662702306</c:v>
                </c:pt>
                <c:pt idx="471">
                  <c:v>-19.386371293023057</c:v>
                </c:pt>
                <c:pt idx="472">
                  <c:v>-19.356674208594487</c:v>
                </c:pt>
                <c:pt idx="473">
                  <c:v>-19.247925802825254</c:v>
                </c:pt>
                <c:pt idx="474">
                  <c:v>-19.275622781007073</c:v>
                </c:pt>
                <c:pt idx="475">
                  <c:v>-19.193444057586021</c:v>
                </c:pt>
                <c:pt idx="476">
                  <c:v>-19.384163667996983</c:v>
                </c:pt>
                <c:pt idx="477">
                  <c:v>-19.68655830493141</c:v>
                </c:pt>
                <c:pt idx="478">
                  <c:v>-19.644030920331407</c:v>
                </c:pt>
                <c:pt idx="479">
                  <c:v>-19.506945407331408</c:v>
                </c:pt>
                <c:pt idx="480">
                  <c:v>-19.53425307266474</c:v>
                </c:pt>
                <c:pt idx="481">
                  <c:v>-19.467717702686961</c:v>
                </c:pt>
                <c:pt idx="482">
                  <c:v>-19.4476916971485</c:v>
                </c:pt>
                <c:pt idx="483">
                  <c:v>-19.282997240686964</c:v>
                </c:pt>
                <c:pt idx="484">
                  <c:v>-18.923396341112888</c:v>
                </c:pt>
                <c:pt idx="485">
                  <c:v>-18.950807384883973</c:v>
                </c:pt>
                <c:pt idx="486">
                  <c:v>-18.256917627676426</c:v>
                </c:pt>
                <c:pt idx="487">
                  <c:v>-18.154252482076426</c:v>
                </c:pt>
                <c:pt idx="488">
                  <c:v>-18.737194355682483</c:v>
                </c:pt>
                <c:pt idx="489">
                  <c:v>-18.755539231149154</c:v>
                </c:pt>
                <c:pt idx="490">
                  <c:v>-18.898801854113859</c:v>
                </c:pt>
                <c:pt idx="491">
                  <c:v>-19.143649604513858</c:v>
                </c:pt>
                <c:pt idx="492">
                  <c:v>-18.819239580513859</c:v>
                </c:pt>
                <c:pt idx="493">
                  <c:v>-19.009376649085286</c:v>
                </c:pt>
                <c:pt idx="494">
                  <c:v>-18.860936130009659</c:v>
                </c:pt>
                <c:pt idx="495">
                  <c:v>-18.590599433108249</c:v>
                </c:pt>
                <c:pt idx="496">
                  <c:v>-18.671861409353863</c:v>
                </c:pt>
                <c:pt idx="497">
                  <c:v>-18.320849846353862</c:v>
                </c:pt>
                <c:pt idx="498">
                  <c:v>-18.354198519728868</c:v>
                </c:pt>
                <c:pt idx="499">
                  <c:v>-18.171904898076235</c:v>
                </c:pt>
                <c:pt idx="500">
                  <c:v>-18.037925986076232</c:v>
                </c:pt>
                <c:pt idx="501">
                  <c:v>-18.087134986564603</c:v>
                </c:pt>
                <c:pt idx="502">
                  <c:v>-17.850654486579529</c:v>
                </c:pt>
                <c:pt idx="503">
                  <c:v>-17.357730769779529</c:v>
                </c:pt>
                <c:pt idx="504">
                  <c:v>-17.6955565250672</c:v>
                </c:pt>
                <c:pt idx="505">
                  <c:v>-17.84038235649577</c:v>
                </c:pt>
                <c:pt idx="506">
                  <c:v>-17.963101426085935</c:v>
                </c:pt>
                <c:pt idx="507">
                  <c:v>-17.914732345948948</c:v>
                </c:pt>
                <c:pt idx="508">
                  <c:v>-18.133879497091804</c:v>
                </c:pt>
                <c:pt idx="509">
                  <c:v>-18.21572977536767</c:v>
                </c:pt>
                <c:pt idx="510">
                  <c:v>-17.953962450367669</c:v>
                </c:pt>
                <c:pt idx="511">
                  <c:v>-18.131279344321158</c:v>
                </c:pt>
                <c:pt idx="512">
                  <c:v>-17.04664534665449</c:v>
                </c:pt>
                <c:pt idx="513">
                  <c:v>-16.776344326022912</c:v>
                </c:pt>
                <c:pt idx="514">
                  <c:v>-15.916157218772913</c:v>
                </c:pt>
                <c:pt idx="515">
                  <c:v>-16.196568764621968</c:v>
                </c:pt>
                <c:pt idx="516">
                  <c:v>-16.092858791188004</c:v>
                </c:pt>
                <c:pt idx="517">
                  <c:v>-15.560056327514532</c:v>
                </c:pt>
                <c:pt idx="518">
                  <c:v>-16.007354540635014</c:v>
                </c:pt>
                <c:pt idx="519">
                  <c:v>-15.995297536576187</c:v>
                </c:pt>
                <c:pt idx="520">
                  <c:v>-16.253692316068939</c:v>
                </c:pt>
                <c:pt idx="521">
                  <c:v>-16.075684115211796</c:v>
                </c:pt>
                <c:pt idx="522">
                  <c:v>-16.14171314965624</c:v>
                </c:pt>
                <c:pt idx="523">
                  <c:v>-16.102782415856243</c:v>
                </c:pt>
                <c:pt idx="524">
                  <c:v>-16.352038074189576</c:v>
                </c:pt>
                <c:pt idx="525">
                  <c:v>-15.592982887836634</c:v>
                </c:pt>
                <c:pt idx="526">
                  <c:v>-15.897378827534309</c:v>
                </c:pt>
                <c:pt idx="527">
                  <c:v>-15.645932281690936</c:v>
                </c:pt>
                <c:pt idx="528">
                  <c:v>-15.388806711262365</c:v>
                </c:pt>
                <c:pt idx="529">
                  <c:v>-15.413501798040144</c:v>
                </c:pt>
                <c:pt idx="530">
                  <c:v>-15.555713833829618</c:v>
                </c:pt>
                <c:pt idx="531">
                  <c:v>-15.326419374214233</c:v>
                </c:pt>
                <c:pt idx="532">
                  <c:v>-15.273446433618078</c:v>
                </c:pt>
                <c:pt idx="533">
                  <c:v>-15.980857681804128</c:v>
                </c:pt>
                <c:pt idx="534">
                  <c:v>-16.389734081717798</c:v>
                </c:pt>
                <c:pt idx="535">
                  <c:v>-15.729503451684241</c:v>
                </c:pt>
                <c:pt idx="536">
                  <c:v>-16.83529351953424</c:v>
                </c:pt>
                <c:pt idx="537">
                  <c:v>-17.300670668889076</c:v>
                </c:pt>
                <c:pt idx="538">
                  <c:v>-17.585242940000189</c:v>
                </c:pt>
                <c:pt idx="539">
                  <c:v>-17.642434581694303</c:v>
                </c:pt>
                <c:pt idx="540">
                  <c:v>-17.881423679694301</c:v>
                </c:pt>
                <c:pt idx="541">
                  <c:v>-17.7804891464943</c:v>
                </c:pt>
                <c:pt idx="542">
                  <c:v>-18.245457005925068</c:v>
                </c:pt>
                <c:pt idx="543">
                  <c:v>-18.570751184606227</c:v>
                </c:pt>
                <c:pt idx="544">
                  <c:v>-17.604272963341522</c:v>
                </c:pt>
                <c:pt idx="545">
                  <c:v>-17.687934960444085</c:v>
                </c:pt>
                <c:pt idx="546">
                  <c:v>-17.390524498153763</c:v>
                </c:pt>
                <c:pt idx="547">
                  <c:v>-17.063409020190132</c:v>
                </c:pt>
                <c:pt idx="548">
                  <c:v>-17.463404185023464</c:v>
                </c:pt>
                <c:pt idx="549">
                  <c:v>-17.984236078126909</c:v>
                </c:pt>
                <c:pt idx="550">
                  <c:v>-17.052858050417822</c:v>
                </c:pt>
                <c:pt idx="551">
                  <c:v>-16.870195798029471</c:v>
                </c:pt>
                <c:pt idx="552">
                  <c:v>-16.309406531282484</c:v>
                </c:pt>
                <c:pt idx="553">
                  <c:v>-16.206569131754179</c:v>
                </c:pt>
                <c:pt idx="554">
                  <c:v>-16.005852704325608</c:v>
                </c:pt>
                <c:pt idx="555">
                  <c:v>-15.032715037977781</c:v>
                </c:pt>
                <c:pt idx="556">
                  <c:v>-15.47405405807582</c:v>
                </c:pt>
                <c:pt idx="557">
                  <c:v>-15.268876969075819</c:v>
                </c:pt>
                <c:pt idx="558">
                  <c:v>-15.135538863075819</c:v>
                </c:pt>
                <c:pt idx="559">
                  <c:v>-15.529074314045971</c:v>
                </c:pt>
                <c:pt idx="560">
                  <c:v>-15.687174794045969</c:v>
                </c:pt>
                <c:pt idx="561">
                  <c:v>-15.628288528785102</c:v>
                </c:pt>
                <c:pt idx="562">
                  <c:v>-14.781072306128848</c:v>
                </c:pt>
                <c:pt idx="563">
                  <c:v>-16.009739199213357</c:v>
                </c:pt>
                <c:pt idx="564">
                  <c:v>-15.502051664392845</c:v>
                </c:pt>
                <c:pt idx="565">
                  <c:v>-15.419515245705339</c:v>
                </c:pt>
                <c:pt idx="566">
                  <c:v>-16.010195952133909</c:v>
                </c:pt>
                <c:pt idx="567">
                  <c:v>-16.697920729041957</c:v>
                </c:pt>
                <c:pt idx="568">
                  <c:v>-16.553391028065214</c:v>
                </c:pt>
                <c:pt idx="569">
                  <c:v>-16.447627637465214</c:v>
                </c:pt>
                <c:pt idx="570">
                  <c:v>-16.304809764636641</c:v>
                </c:pt>
                <c:pt idx="571">
                  <c:v>-16.418676307636645</c:v>
                </c:pt>
                <c:pt idx="572">
                  <c:v>-16.458599005472461</c:v>
                </c:pt>
                <c:pt idx="573">
                  <c:v>-16.58776370709408</c:v>
                </c:pt>
                <c:pt idx="574">
                  <c:v>-16.587763707094076</c:v>
                </c:pt>
                <c:pt idx="575">
                  <c:v>-16.505722638996037</c:v>
                </c:pt>
                <c:pt idx="576">
                  <c:v>-16.410581513308539</c:v>
                </c:pt>
                <c:pt idx="577">
                  <c:v>-16.404637019941021</c:v>
                </c:pt>
                <c:pt idx="578">
                  <c:v>-16.444575485245366</c:v>
                </c:pt>
                <c:pt idx="579">
                  <c:v>-16.536590755436858</c:v>
                </c:pt>
                <c:pt idx="580">
                  <c:v>-16.306884024414881</c:v>
                </c:pt>
                <c:pt idx="581">
                  <c:v>-16.166864746722574</c:v>
                </c:pt>
                <c:pt idx="582">
                  <c:v>-16.095551273611463</c:v>
                </c:pt>
                <c:pt idx="583">
                  <c:v>-15.778144020182889</c:v>
                </c:pt>
                <c:pt idx="584">
                  <c:v>-15.404741500792646</c:v>
                </c:pt>
                <c:pt idx="585">
                  <c:v>-15.381867551514867</c:v>
                </c:pt>
                <c:pt idx="586">
                  <c:v>-15.209165757304341</c:v>
                </c:pt>
                <c:pt idx="587">
                  <c:v>-15.193721357655692</c:v>
                </c:pt>
                <c:pt idx="588">
                  <c:v>-15.695502702742647</c:v>
                </c:pt>
                <c:pt idx="589">
                  <c:v>-15.605962872806142</c:v>
                </c:pt>
                <c:pt idx="590">
                  <c:v>-15.269561354116824</c:v>
                </c:pt>
                <c:pt idx="591">
                  <c:v>-16.250322687716821</c:v>
                </c:pt>
                <c:pt idx="592">
                  <c:v>-16.370837671651248</c:v>
                </c:pt>
                <c:pt idx="593">
                  <c:v>-16.642316800886544</c:v>
                </c:pt>
                <c:pt idx="594">
                  <c:v>-16.973221896866932</c:v>
                </c:pt>
                <c:pt idx="595">
                  <c:v>-17.186642291230573</c:v>
                </c:pt>
                <c:pt idx="596">
                  <c:v>-16.341880698400381</c:v>
                </c:pt>
                <c:pt idx="597">
                  <c:v>-16.231804072569613</c:v>
                </c:pt>
                <c:pt idx="598">
                  <c:v>-15.513554350704446</c:v>
                </c:pt>
                <c:pt idx="599">
                  <c:v>-15.428628230660962</c:v>
                </c:pt>
                <c:pt idx="600">
                  <c:v>-16.547727164660962</c:v>
                </c:pt>
                <c:pt idx="601">
                  <c:v>-16.831483346199423</c:v>
                </c:pt>
                <c:pt idx="602">
                  <c:v>-16.095686535346484</c:v>
                </c:pt>
                <c:pt idx="603">
                  <c:v>-17.682996706891036</c:v>
                </c:pt>
                <c:pt idx="604">
                  <c:v>-17.298064801400841</c:v>
                </c:pt>
                <c:pt idx="605">
                  <c:v>-17.936909315895988</c:v>
                </c:pt>
                <c:pt idx="606">
                  <c:v>-17.125463993164278</c:v>
                </c:pt>
                <c:pt idx="607">
                  <c:v>-16.250424200115095</c:v>
                </c:pt>
                <c:pt idx="608">
                  <c:v>-17.102867526781761</c:v>
                </c:pt>
                <c:pt idx="609">
                  <c:v>-15.992448954100444</c:v>
                </c:pt>
                <c:pt idx="610">
                  <c:v>-13.995504037733541</c:v>
                </c:pt>
                <c:pt idx="611">
                  <c:v>-11.316055631782325</c:v>
                </c:pt>
                <c:pt idx="612">
                  <c:v>-9.9846589522368649</c:v>
                </c:pt>
                <c:pt idx="613">
                  <c:v>-8.9221880081272786</c:v>
                </c:pt>
                <c:pt idx="614">
                  <c:v>0.94974977883863154</c:v>
                </c:pt>
                <c:pt idx="615">
                  <c:v>-3.0598899791613685</c:v>
                </c:pt>
                <c:pt idx="616">
                  <c:v>-2.9757146456613675</c:v>
                </c:pt>
                <c:pt idx="617">
                  <c:v>-3.1190298685363671</c:v>
                </c:pt>
                <c:pt idx="618">
                  <c:v>-2.1960320800919222</c:v>
                </c:pt>
                <c:pt idx="619">
                  <c:v>-1.0188550750392908</c:v>
                </c:pt>
                <c:pt idx="620">
                  <c:v>-1.8742006917989826</c:v>
                </c:pt>
                <c:pt idx="621">
                  <c:v>-1.9055027743949411</c:v>
                </c:pt>
                <c:pt idx="622">
                  <c:v>-0.71935712926940076</c:v>
                </c:pt>
                <c:pt idx="623">
                  <c:v>-0.66938832197528331</c:v>
                </c:pt>
                <c:pt idx="624">
                  <c:v>-0.83518014964194986</c:v>
                </c:pt>
                <c:pt idx="625">
                  <c:v>-0.62225948099750572</c:v>
                </c:pt>
                <c:pt idx="626">
                  <c:v>-0.66245894089494173</c:v>
                </c:pt>
                <c:pt idx="627">
                  <c:v>-0.62235854269494184</c:v>
                </c:pt>
                <c:pt idx="628">
                  <c:v>-0.50488804186885483</c:v>
                </c:pt>
                <c:pt idx="629">
                  <c:v>-0.45162464176359191</c:v>
                </c:pt>
                <c:pt idx="630">
                  <c:v>-0.23652836326359225</c:v>
                </c:pt>
                <c:pt idx="631">
                  <c:v>-5.4020571891498906E-2</c:v>
                </c:pt>
                <c:pt idx="632">
                  <c:v>4.4317859483500983E-2</c:v>
                </c:pt>
                <c:pt idx="633">
                  <c:v>3.841522303522537E-2</c:v>
                </c:pt>
                <c:pt idx="634">
                  <c:v>0.14711207046379654</c:v>
                </c:pt>
                <c:pt idx="635">
                  <c:v>0.29071974987120491</c:v>
                </c:pt>
                <c:pt idx="636">
                  <c:v>0.33955958567120431</c:v>
                </c:pt>
                <c:pt idx="637">
                  <c:v>0.34662302876644219</c:v>
                </c:pt>
                <c:pt idx="638">
                  <c:v>0.42869868310790599</c:v>
                </c:pt>
                <c:pt idx="639">
                  <c:v>0.3025798187630786</c:v>
                </c:pt>
                <c:pt idx="640">
                  <c:v>0.37664410233450668</c:v>
                </c:pt>
                <c:pt idx="641">
                  <c:v>0.45056434053450689</c:v>
                </c:pt>
                <c:pt idx="642">
                  <c:v>0.49681598534806659</c:v>
                </c:pt>
                <c:pt idx="643">
                  <c:v>0.39978746126806691</c:v>
                </c:pt>
                <c:pt idx="644">
                  <c:v>0.43805723744453728</c:v>
                </c:pt>
                <c:pt idx="645">
                  <c:v>0.4606564336798315</c:v>
                </c:pt>
                <c:pt idx="646">
                  <c:v>0.37725619967983148</c:v>
                </c:pt>
                <c:pt idx="647">
                  <c:v>0.34572604667983176</c:v>
                </c:pt>
                <c:pt idx="648">
                  <c:v>0.45043737810840334</c:v>
                </c:pt>
                <c:pt idx="649">
                  <c:v>0.60020575112173657</c:v>
                </c:pt>
                <c:pt idx="650">
                  <c:v>0.43079404262173726</c:v>
                </c:pt>
                <c:pt idx="651">
                  <c:v>0.50026090662173683</c:v>
                </c:pt>
                <c:pt idx="652">
                  <c:v>0.4687270553102616</c:v>
                </c:pt>
                <c:pt idx="653">
                  <c:v>0.51549146869487705</c:v>
                </c:pt>
                <c:pt idx="654">
                  <c:v>0.5313988060236442</c:v>
                </c:pt>
                <c:pt idx="655">
                  <c:v>0.51147300886148217</c:v>
                </c:pt>
                <c:pt idx="656">
                  <c:v>0.56999256098012618</c:v>
                </c:pt>
                <c:pt idx="657">
                  <c:v>0.60070453218012643</c:v>
                </c:pt>
                <c:pt idx="658">
                  <c:v>0.83806424875907415</c:v>
                </c:pt>
                <c:pt idx="659">
                  <c:v>1.383966667825741</c:v>
                </c:pt>
                <c:pt idx="660">
                  <c:v>1.3403873249685982</c:v>
                </c:pt>
                <c:pt idx="661">
                  <c:v>1.5092016365685983</c:v>
                </c:pt>
                <c:pt idx="662">
                  <c:v>1.4134430578911792</c:v>
                </c:pt>
                <c:pt idx="663">
                  <c:v>1.504945947784796</c:v>
                </c:pt>
                <c:pt idx="664">
                  <c:v>1.5019977497847961</c:v>
                </c:pt>
                <c:pt idx="665">
                  <c:v>1.568184937534796</c:v>
                </c:pt>
                <c:pt idx="666">
                  <c:v>1.6110324450084801</c:v>
                </c:pt>
                <c:pt idx="667">
                  <c:v>1.6076057749344057</c:v>
                </c:pt>
                <c:pt idx="668">
                  <c:v>1.6098005154049937</c:v>
                </c:pt>
                <c:pt idx="669">
                  <c:v>1.5597990980716607</c:v>
                </c:pt>
                <c:pt idx="670">
                  <c:v>1.6531429779021689</c:v>
                </c:pt>
                <c:pt idx="671">
                  <c:v>1.5994209027670336</c:v>
                </c:pt>
                <c:pt idx="672">
                  <c:v>1.6842959743523993</c:v>
                </c:pt>
                <c:pt idx="673">
                  <c:v>1.666596727247136</c:v>
                </c:pt>
                <c:pt idx="674">
                  <c:v>1.6399426277943057</c:v>
                </c:pt>
                <c:pt idx="675">
                  <c:v>1.6678677759943052</c:v>
                </c:pt>
                <c:pt idx="676">
                  <c:v>1.5830909456957982</c:v>
                </c:pt>
                <c:pt idx="677">
                  <c:v>1.6519276330957979</c:v>
                </c:pt>
                <c:pt idx="678">
                  <c:v>1.6462625008577025</c:v>
                </c:pt>
                <c:pt idx="679">
                  <c:v>1.688021593841309</c:v>
                </c:pt>
                <c:pt idx="680">
                  <c:v>1.6036622803160563</c:v>
                </c:pt>
                <c:pt idx="681">
                  <c:v>1.5946778801635138</c:v>
                </c:pt>
                <c:pt idx="682">
                  <c:v>1.6299100112166109</c:v>
                </c:pt>
                <c:pt idx="683">
                  <c:v>1.7045890833292869</c:v>
                </c:pt>
                <c:pt idx="684">
                  <c:v>1.7045890833292869</c:v>
                </c:pt>
                <c:pt idx="685">
                  <c:v>1.7543261079748564</c:v>
                </c:pt>
                <c:pt idx="686">
                  <c:v>1.512760442352215</c:v>
                </c:pt>
                <c:pt idx="687">
                  <c:v>2.1550128835852251</c:v>
                </c:pt>
                <c:pt idx="688">
                  <c:v>1.2041465399928692</c:v>
                </c:pt>
                <c:pt idx="689">
                  <c:v>0.72944693845440789</c:v>
                </c:pt>
                <c:pt idx="690">
                  <c:v>0.57641373066493384</c:v>
                </c:pt>
                <c:pt idx="691">
                  <c:v>1.0418462635823653</c:v>
                </c:pt>
                <c:pt idx="692">
                  <c:v>1.045628764152414</c:v>
                </c:pt>
                <c:pt idx="693">
                  <c:v>0.86868197278399251</c:v>
                </c:pt>
                <c:pt idx="694">
                  <c:v>0.75148424851928652</c:v>
                </c:pt>
                <c:pt idx="695">
                  <c:v>0.75787578596756244</c:v>
                </c:pt>
                <c:pt idx="696">
                  <c:v>0.73463636096756191</c:v>
                </c:pt>
                <c:pt idx="697">
                  <c:v>0.67676781816756193</c:v>
                </c:pt>
                <c:pt idx="698">
                  <c:v>0.76216067621518069</c:v>
                </c:pt>
                <c:pt idx="699">
                  <c:v>0.85291786661518065</c:v>
                </c:pt>
                <c:pt idx="700">
                  <c:v>0.89114213649469853</c:v>
                </c:pt>
                <c:pt idx="701">
                  <c:v>1.1735887895516088</c:v>
                </c:pt>
                <c:pt idx="702">
                  <c:v>1.0557029199906329</c:v>
                </c:pt>
                <c:pt idx="703">
                  <c:v>1.2347192604422454</c:v>
                </c:pt>
                <c:pt idx="704">
                  <c:v>1.3857672454313759</c:v>
                </c:pt>
                <c:pt idx="705">
                  <c:v>1.2230661676945338</c:v>
                </c:pt>
                <c:pt idx="706">
                  <c:v>1.1884037998863144</c:v>
                </c:pt>
                <c:pt idx="707">
                  <c:v>1.1863254890900756</c:v>
                </c:pt>
                <c:pt idx="708">
                  <c:v>1.1921511318939972</c:v>
                </c:pt>
                <c:pt idx="709">
                  <c:v>1.3411632476834707</c:v>
                </c:pt>
                <c:pt idx="710">
                  <c:v>1.1694132433798994</c:v>
                </c:pt>
                <c:pt idx="711">
                  <c:v>0.96546090628334769</c:v>
                </c:pt>
                <c:pt idx="712">
                  <c:v>1.0770464807909617</c:v>
                </c:pt>
                <c:pt idx="713">
                  <c:v>1.3781060186091438</c:v>
                </c:pt>
                <c:pt idx="714">
                  <c:v>1.1947850595171192</c:v>
                </c:pt>
                <c:pt idx="715">
                  <c:v>1.1121466672013298</c:v>
                </c:pt>
                <c:pt idx="716">
                  <c:v>0.82305274586990207</c:v>
                </c:pt>
                <c:pt idx="717">
                  <c:v>0.60793477524490169</c:v>
                </c:pt>
                <c:pt idx="718">
                  <c:v>0.73657671845100914</c:v>
                </c:pt>
                <c:pt idx="719">
                  <c:v>0.17605471818785134</c:v>
                </c:pt>
                <c:pt idx="720">
                  <c:v>0.18095718621815332</c:v>
                </c:pt>
                <c:pt idx="721">
                  <c:v>-0.39430755878184698</c:v>
                </c:pt>
                <c:pt idx="722">
                  <c:v>-0.64934016647415371</c:v>
                </c:pt>
                <c:pt idx="723">
                  <c:v>-0.88408456622415366</c:v>
                </c:pt>
                <c:pt idx="724">
                  <c:v>-1.0276659626241533</c:v>
                </c:pt>
                <c:pt idx="725">
                  <c:v>-0.91452341373526536</c:v>
                </c:pt>
                <c:pt idx="726">
                  <c:v>-0.84528248073526524</c:v>
                </c:pt>
                <c:pt idx="727">
                  <c:v>-0.80612151030973322</c:v>
                </c:pt>
                <c:pt idx="728">
                  <c:v>-0.83720847788868069</c:v>
                </c:pt>
                <c:pt idx="729">
                  <c:v>-0.82179108409557733</c:v>
                </c:pt>
                <c:pt idx="730">
                  <c:v>-0.68983580707596948</c:v>
                </c:pt>
                <c:pt idx="731">
                  <c:v>-0.61288462692212387</c:v>
                </c:pt>
                <c:pt idx="732">
                  <c:v>-0.52464211882910095</c:v>
                </c:pt>
                <c:pt idx="733">
                  <c:v>-0.50465382849576723</c:v>
                </c:pt>
                <c:pt idx="734">
                  <c:v>-0.37491508305987004</c:v>
                </c:pt>
                <c:pt idx="735">
                  <c:v>-0.42135655165362024</c:v>
                </c:pt>
                <c:pt idx="736">
                  <c:v>-0.30669845275039442</c:v>
                </c:pt>
                <c:pt idx="737">
                  <c:v>-0.42645045675039439</c:v>
                </c:pt>
                <c:pt idx="738">
                  <c:v>-0.53700331434498905</c:v>
                </c:pt>
                <c:pt idx="739">
                  <c:v>-0.52006553246743803</c:v>
                </c:pt>
                <c:pt idx="740">
                  <c:v>-0.48832462863161696</c:v>
                </c:pt>
                <c:pt idx="741">
                  <c:v>-0.45473364191733134</c:v>
                </c:pt>
                <c:pt idx="742">
                  <c:v>-0.52030033791733132</c:v>
                </c:pt>
                <c:pt idx="743">
                  <c:v>-0.44716290573924933</c:v>
                </c:pt>
                <c:pt idx="744">
                  <c:v>-0.41272000662813796</c:v>
                </c:pt>
                <c:pt idx="745">
                  <c:v>-0.37041840823789418</c:v>
                </c:pt>
                <c:pt idx="746">
                  <c:v>-0.36565806562250946</c:v>
                </c:pt>
                <c:pt idx="747">
                  <c:v>-0.34649311495584317</c:v>
                </c:pt>
                <c:pt idx="748">
                  <c:v>-0.20703722275584302</c:v>
                </c:pt>
                <c:pt idx="749">
                  <c:v>-0.1550791909186337</c:v>
                </c:pt>
                <c:pt idx="750">
                  <c:v>-0.12880340525196726</c:v>
                </c:pt>
                <c:pt idx="751">
                  <c:v>-0.10935500984380382</c:v>
                </c:pt>
                <c:pt idx="752">
                  <c:v>-0.10337497120550575</c:v>
                </c:pt>
                <c:pt idx="753">
                  <c:v>-9.5966661073430201E-2</c:v>
                </c:pt>
                <c:pt idx="754">
                  <c:v>-3.7531696616287406E-2</c:v>
                </c:pt>
                <c:pt idx="755">
                  <c:v>-3.7531696616286768E-2</c:v>
                </c:pt>
                <c:pt idx="756">
                  <c:v>-5.440180156365515E-2</c:v>
                </c:pt>
                <c:pt idx="757">
                  <c:v>-2.6098984980321788E-2</c:v>
                </c:pt>
                <c:pt idx="758">
                  <c:v>-3.1319081616685465E-2</c:v>
                </c:pt>
                <c:pt idx="759">
                  <c:v>-1.2825158174824904E-2</c:v>
                </c:pt>
                <c:pt idx="760">
                  <c:v>-3.8879549538461532E-2</c:v>
                </c:pt>
                <c:pt idx="761">
                  <c:v>-9.1185239999998502E-3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6A-46F5-8DDA-DE6B6A5D89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70104111"/>
        <c:axId val="1970104527"/>
      </c:lineChart>
      <c:dateAx>
        <c:axId val="197010411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0104527"/>
        <c:crosses val="autoZero"/>
        <c:auto val="1"/>
        <c:lblOffset val="100"/>
        <c:baseTimeUnit val="days"/>
      </c:dateAx>
      <c:valAx>
        <c:axId val="1970104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01041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D135AB5-D13C-44FA-9AD0-859A2C82581B}">
  <sheetPr/>
  <sheetViews>
    <sheetView zoomScale="8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0EE8DB5-D5E8-4ADC-8892-F732A414E44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9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MAX(C3:C1913)</f>
        <v>6.5000000000000002E-2</v>
      </c>
      <c r="D2" s="4">
        <f>MIN(D3:D1913)</f>
        <v>3.4199999999999999E-3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1.422E-2</v>
      </c>
      <c r="C5">
        <v>1.439E-2</v>
      </c>
      <c r="D5">
        <v>1.391E-2</v>
      </c>
      <c r="E5">
        <v>1.393E-2</v>
      </c>
      <c r="F5">
        <v>3123375.7</v>
      </c>
      <c r="G5">
        <v>1.393E-2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-0.91666666666666996</v>
      </c>
      <c r="Q5">
        <f t="shared" ref="Q5" si="1">F5*P5</f>
        <v>-2863094.3916666773</v>
      </c>
      <c r="R5">
        <f t="shared" ref="R5" si="2">R6+Q5</f>
        <v>-22143233238.029305</v>
      </c>
      <c r="S5">
        <f t="shared" ref="S5" si="3">R5/100000</f>
        <v>-221432.33238029305</v>
      </c>
      <c r="T5">
        <f t="shared" ref="T5" si="4">S5/1000</f>
        <v>-221.43233238029305</v>
      </c>
    </row>
    <row r="6" spans="1:20" x14ac:dyDescent="0.25">
      <c r="A6" s="5">
        <v>44587</v>
      </c>
      <c r="B6">
        <v>1.391E-2</v>
      </c>
      <c r="C6">
        <v>1.5740000000000001E-2</v>
      </c>
      <c r="D6">
        <v>1.3599999999999999E-2</v>
      </c>
      <c r="E6">
        <v>1.422E-2</v>
      </c>
      <c r="F6">
        <v>236598253.30000001</v>
      </c>
      <c r="G6">
        <v>1.422E-2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-0.42056074766355106</v>
      </c>
      <c r="Q6">
        <f t="shared" ref="Q6" si="6">F6*P6</f>
        <v>-99503938.303738236</v>
      </c>
      <c r="R6">
        <f t="shared" ref="R6" si="7">R7+Q6</f>
        <v>-22140370143.637638</v>
      </c>
      <c r="S6">
        <f t="shared" ref="S6" si="8">R6/100000</f>
        <v>-221403.70143637637</v>
      </c>
      <c r="T6">
        <f t="shared" ref="T6" si="9">S6/1000</f>
        <v>-221.40370143637637</v>
      </c>
    </row>
    <row r="7" spans="1:20" x14ac:dyDescent="0.25">
      <c r="A7" s="5">
        <v>44586</v>
      </c>
      <c r="B7">
        <v>1.3950000000000001E-2</v>
      </c>
      <c r="C7">
        <v>1.431E-2</v>
      </c>
      <c r="D7">
        <v>1.337E-2</v>
      </c>
      <c r="E7">
        <v>1.3899999999999999E-2</v>
      </c>
      <c r="F7">
        <v>142495306.69999999</v>
      </c>
      <c r="G7">
        <v>1.3899999999999999E-2</v>
      </c>
      <c r="L7" t="s">
        <v>8</v>
      </c>
      <c r="M7" t="s">
        <v>7</v>
      </c>
      <c r="N7" t="s">
        <v>7</v>
      </c>
      <c r="P7">
        <f t="shared" ref="P7" si="10">IF(C7=D7,0,((E7-D7)-(C7-E7))/(C7-D7))</f>
        <v>0.12765957446808363</v>
      </c>
      <c r="Q7">
        <f t="shared" ref="Q7" si="11">F7*P7</f>
        <v>18190890.217021063</v>
      </c>
      <c r="R7">
        <f t="shared" ref="R7" si="12">R8+Q7</f>
        <v>-22040866205.3339</v>
      </c>
      <c r="S7">
        <f t="shared" ref="S7" si="13">R7/100000</f>
        <v>-220408.66205333901</v>
      </c>
      <c r="T7">
        <f t="shared" ref="T7" si="14">S7/1000</f>
        <v>-220.40866205333901</v>
      </c>
    </row>
    <row r="8" spans="1:20" x14ac:dyDescent="0.25">
      <c r="A8" s="5">
        <v>44585</v>
      </c>
      <c r="B8">
        <v>1.451E-2</v>
      </c>
      <c r="C8">
        <v>1.455E-2</v>
      </c>
      <c r="D8">
        <v>1.248E-2</v>
      </c>
      <c r="E8">
        <v>1.396E-2</v>
      </c>
      <c r="F8">
        <v>290105482.89999998</v>
      </c>
      <c r="G8">
        <v>1.396E-2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0.42995169082125601</v>
      </c>
      <c r="Q8">
        <f t="shared" ref="Q8" si="16">F8*P8</f>
        <v>124731342.88937196</v>
      </c>
      <c r="R8">
        <f t="shared" ref="R8" si="17">R9+Q8</f>
        <v>-22059057095.550922</v>
      </c>
      <c r="S8">
        <f t="shared" ref="S8" si="18">R8/100000</f>
        <v>-220590.57095550923</v>
      </c>
      <c r="T8">
        <f t="shared" ref="T8" si="19">S8/1000</f>
        <v>-220.59057095550924</v>
      </c>
    </row>
    <row r="9" spans="1:20" x14ac:dyDescent="0.25">
      <c r="A9" s="5">
        <v>44584</v>
      </c>
      <c r="B9">
        <v>1.376E-2</v>
      </c>
      <c r="C9">
        <v>1.516E-2</v>
      </c>
      <c r="D9">
        <v>1.371E-2</v>
      </c>
      <c r="E9">
        <v>1.451E-2</v>
      </c>
      <c r="F9">
        <v>173508652.30000001</v>
      </c>
      <c r="G9">
        <v>1.451E-2</v>
      </c>
      <c r="L9" t="s">
        <v>8</v>
      </c>
      <c r="M9" t="s">
        <v>8</v>
      </c>
      <c r="N9" t="s">
        <v>7</v>
      </c>
      <c r="P9">
        <f t="shared" ref="P9" si="20">IF(C9=D9,0,((E9-D9)-(C9-E9))/(C9-D9))</f>
        <v>0.10344827586206955</v>
      </c>
      <c r="Q9">
        <f t="shared" ref="Q9" si="21">F9*P9</f>
        <v>17949170.92758631</v>
      </c>
      <c r="R9">
        <f t="shared" ref="R9" si="22">R10+Q9</f>
        <v>-22183788438.440296</v>
      </c>
      <c r="S9">
        <f t="shared" ref="S9" si="23">R9/100000</f>
        <v>-221837.88438440298</v>
      </c>
      <c r="T9">
        <f t="shared" ref="T9" si="24">S9/1000</f>
        <v>-221.83788438440297</v>
      </c>
    </row>
    <row r="10" spans="1:20" x14ac:dyDescent="0.25">
      <c r="A10" s="5">
        <v>44583</v>
      </c>
      <c r="B10">
        <v>1.5879999999999998E-2</v>
      </c>
      <c r="C10">
        <v>1.627E-2</v>
      </c>
      <c r="D10">
        <v>1.282E-2</v>
      </c>
      <c r="E10">
        <v>1.38E-2</v>
      </c>
      <c r="F10">
        <v>232556101.80000001</v>
      </c>
      <c r="G10">
        <v>1.38E-2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-0.43188405797101448</v>
      </c>
      <c r="Q10">
        <f t="shared" ref="Q10" si="26">F10*P10</f>
        <v>-100437272.95130435</v>
      </c>
      <c r="R10">
        <f t="shared" ref="R10" si="27">R11+Q10</f>
        <v>-22201737609.367882</v>
      </c>
      <c r="S10">
        <f t="shared" ref="S10" si="28">R10/100000</f>
        <v>-222017.37609367882</v>
      </c>
      <c r="T10">
        <f t="shared" ref="T10" si="29">S10/1000</f>
        <v>-222.01737609367882</v>
      </c>
    </row>
    <row r="11" spans="1:20" x14ac:dyDescent="0.25">
      <c r="A11" s="5">
        <v>44582</v>
      </c>
      <c r="B11">
        <v>1.8499999999999999E-2</v>
      </c>
      <c r="C11">
        <v>1.856E-2</v>
      </c>
      <c r="D11">
        <v>1.5570000000000001E-2</v>
      </c>
      <c r="E11">
        <v>1.5879999999999998E-2</v>
      </c>
      <c r="F11">
        <v>227180993.19999999</v>
      </c>
      <c r="G11">
        <v>1.5879999999999998E-2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-0.7926421404682289</v>
      </c>
      <c r="Q11">
        <f t="shared" ref="Q11" si="31">F11*P11</f>
        <v>-180073228.72374615</v>
      </c>
      <c r="R11">
        <f t="shared" ref="R11" si="32">R12+Q11</f>
        <v>-22101300336.416576</v>
      </c>
      <c r="S11">
        <f t="shared" ref="S11" si="33">R11/100000</f>
        <v>-221013.00336416575</v>
      </c>
      <c r="T11">
        <f t="shared" ref="T11" si="34">S11/1000</f>
        <v>-221.01300336416574</v>
      </c>
    </row>
    <row r="12" spans="1:20" x14ac:dyDescent="0.25">
      <c r="A12" s="5">
        <v>44581</v>
      </c>
      <c r="B12">
        <v>1.9460000000000002E-2</v>
      </c>
      <c r="C12">
        <v>2.0029999999999999E-2</v>
      </c>
      <c r="D12">
        <v>1.8489999999999999E-2</v>
      </c>
      <c r="E12">
        <v>1.8519999999999998E-2</v>
      </c>
      <c r="F12">
        <v>131868102.40000001</v>
      </c>
      <c r="G12">
        <v>1.8519999999999998E-2</v>
      </c>
      <c r="L12" t="s">
        <v>8</v>
      </c>
      <c r="M12" t="s">
        <v>7</v>
      </c>
      <c r="N12" t="s">
        <v>7</v>
      </c>
      <c r="P12">
        <f t="shared" ref="P12" si="35">IF(C12=D12,0,((E12-D12)-(C12-E12))/(C12-D12))</f>
        <v>-0.96103896103896258</v>
      </c>
      <c r="Q12">
        <f t="shared" ref="Q12" si="36">F12*P12</f>
        <v>-126730384.12467553</v>
      </c>
      <c r="R12">
        <f t="shared" ref="R12" si="37">R13+Q12</f>
        <v>-21921227107.692829</v>
      </c>
      <c r="S12">
        <f t="shared" ref="S12" si="38">R12/100000</f>
        <v>-219212.2710769283</v>
      </c>
      <c r="T12">
        <f t="shared" ref="T12" si="39">S12/1000</f>
        <v>-219.21227107692829</v>
      </c>
    </row>
    <row r="13" spans="1:20" x14ac:dyDescent="0.25">
      <c r="A13" s="5">
        <v>44580</v>
      </c>
      <c r="B13">
        <v>1.9800000000000002E-2</v>
      </c>
      <c r="C13">
        <v>2.12E-2</v>
      </c>
      <c r="D13">
        <v>1.8550000000000001E-2</v>
      </c>
      <c r="E13">
        <v>1.9460000000000002E-2</v>
      </c>
      <c r="F13">
        <v>324039019.39999998</v>
      </c>
      <c r="G13">
        <v>1.9460000000000002E-2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-0.31320754716981042</v>
      </c>
      <c r="Q13">
        <f t="shared" ref="Q13" si="41">F13*P13</f>
        <v>-101491466.45358461</v>
      </c>
      <c r="R13">
        <f t="shared" ref="R13" si="42">R14+Q13</f>
        <v>-21794496723.568153</v>
      </c>
      <c r="S13">
        <f t="shared" ref="S13" si="43">R13/100000</f>
        <v>-217944.96723568154</v>
      </c>
      <c r="T13">
        <f t="shared" ref="T13" si="44">S13/1000</f>
        <v>-217.94496723568153</v>
      </c>
    </row>
    <row r="14" spans="1:20" x14ac:dyDescent="0.25">
      <c r="A14" s="5">
        <v>44579</v>
      </c>
      <c r="B14">
        <v>0.02</v>
      </c>
      <c r="C14">
        <v>2.0240000000000001E-2</v>
      </c>
      <c r="D14">
        <v>1.89E-2</v>
      </c>
      <c r="E14">
        <v>1.9820000000000001E-2</v>
      </c>
      <c r="F14">
        <v>114233132.2</v>
      </c>
      <c r="G14">
        <v>1.9820000000000001E-2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0.37313432835820903</v>
      </c>
      <c r="Q14">
        <f t="shared" ref="Q14" si="46">F14*P14</f>
        <v>42624303.059701502</v>
      </c>
      <c r="R14">
        <f t="shared" ref="R14" si="47">R15+Q14</f>
        <v>-21693005257.114571</v>
      </c>
      <c r="S14">
        <f t="shared" ref="S14" si="48">R14/100000</f>
        <v>-216930.0525711457</v>
      </c>
      <c r="T14">
        <f t="shared" ref="T14" si="49">S14/1000</f>
        <v>-216.93005257114569</v>
      </c>
    </row>
    <row r="15" spans="1:20" x14ac:dyDescent="0.25">
      <c r="A15" s="5">
        <v>44578</v>
      </c>
      <c r="B15">
        <v>2.1149999999999999E-2</v>
      </c>
      <c r="C15">
        <v>2.121E-2</v>
      </c>
      <c r="D15">
        <v>1.9709999999999998E-2</v>
      </c>
      <c r="E15">
        <v>1.9990000000000001E-2</v>
      </c>
      <c r="F15">
        <v>97377989.099999994</v>
      </c>
      <c r="G15">
        <v>1.9990000000000001E-2</v>
      </c>
      <c r="L15" t="s">
        <v>7</v>
      </c>
      <c r="M15" t="s">
        <v>8</v>
      </c>
      <c r="N15" t="s">
        <v>7</v>
      </c>
      <c r="P15">
        <f t="shared" ref="P15" si="50">IF(C15=D15,0,((E15-D15)-(C15-E15))/(C15-D15))</f>
        <v>-0.62666666666666371</v>
      </c>
      <c r="Q15">
        <f t="shared" ref="Q15" si="51">F15*P15</f>
        <v>-61023539.835999705</v>
      </c>
      <c r="R15">
        <f t="shared" ref="R15" si="52">R16+Q15</f>
        <v>-21735629560.174271</v>
      </c>
      <c r="S15">
        <f t="shared" ref="S15" si="53">R15/100000</f>
        <v>-217356.29560174272</v>
      </c>
      <c r="T15">
        <f t="shared" ref="T15" si="54">S15/1000</f>
        <v>-217.35629560174272</v>
      </c>
    </row>
    <row r="16" spans="1:20" x14ac:dyDescent="0.25">
      <c r="A16" s="5">
        <v>44577</v>
      </c>
      <c r="B16">
        <v>2.138E-2</v>
      </c>
      <c r="C16">
        <v>2.163E-2</v>
      </c>
      <c r="D16">
        <v>2.0969999999999999E-2</v>
      </c>
      <c r="E16">
        <v>2.1139999999999999E-2</v>
      </c>
      <c r="F16">
        <v>83775046.099999994</v>
      </c>
      <c r="G16">
        <v>2.1139999999999999E-2</v>
      </c>
      <c r="L16" t="s">
        <v>8</v>
      </c>
      <c r="M16" t="s">
        <v>8</v>
      </c>
      <c r="N16" t="s">
        <v>7</v>
      </c>
      <c r="P16">
        <f t="shared" ref="P16" si="55">IF(C16=D16,0,((E16-D16)-(C16-E16))/(C16-D16))</f>
        <v>-0.48484848484848547</v>
      </c>
      <c r="Q16">
        <f t="shared" ref="Q16" si="56">F16*P16</f>
        <v>-40618204.169697016</v>
      </c>
      <c r="R16">
        <f t="shared" ref="R16" si="57">R17+Q16</f>
        <v>-21674606020.338272</v>
      </c>
      <c r="S16">
        <f t="shared" ref="S16" si="58">R16/100000</f>
        <v>-216746.06020338272</v>
      </c>
      <c r="T16">
        <f t="shared" ref="T16" si="59">S16/1000</f>
        <v>-216.74606020338271</v>
      </c>
    </row>
    <row r="17" spans="1:20" x14ac:dyDescent="0.25">
      <c r="A17" s="5">
        <v>44576</v>
      </c>
      <c r="B17">
        <v>2.0879999999999999E-2</v>
      </c>
      <c r="C17">
        <v>2.197E-2</v>
      </c>
      <c r="D17">
        <v>2.0629999999999999E-2</v>
      </c>
      <c r="E17">
        <v>2.137E-2</v>
      </c>
      <c r="F17">
        <v>138493573</v>
      </c>
      <c r="G17">
        <v>2.137E-2</v>
      </c>
      <c r="L17" t="s">
        <v>8</v>
      </c>
      <c r="M17" t="s">
        <v>8</v>
      </c>
      <c r="N17" t="s">
        <v>7</v>
      </c>
      <c r="P17">
        <f t="shared" ref="P17" si="60">IF(C17=D17,0,((E17-D17)-(C17-E17))/(C17-D17))</f>
        <v>0.10447761194029936</v>
      </c>
      <c r="Q17">
        <f t="shared" ref="Q17" si="61">F17*P17</f>
        <v>14469477.776119521</v>
      </c>
      <c r="R17">
        <f t="shared" ref="R17" si="62">R18+Q17</f>
        <v>-21633987816.168575</v>
      </c>
      <c r="S17">
        <f t="shared" ref="S17" si="63">R17/100000</f>
        <v>-216339.87816168574</v>
      </c>
      <c r="T17">
        <f t="shared" ref="T17" si="64">S17/1000</f>
        <v>-216.33987816168573</v>
      </c>
    </row>
    <row r="18" spans="1:20" x14ac:dyDescent="0.25">
      <c r="A18" s="5">
        <v>44575</v>
      </c>
      <c r="B18">
        <v>2.0879999999999999E-2</v>
      </c>
      <c r="C18">
        <v>2.1440000000000001E-2</v>
      </c>
      <c r="D18">
        <v>2.0119999999999999E-2</v>
      </c>
      <c r="E18">
        <v>2.0879999999999999E-2</v>
      </c>
      <c r="F18">
        <v>133243736.59999999</v>
      </c>
      <c r="G18">
        <v>2.0879999999999999E-2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0.15151515151515041</v>
      </c>
      <c r="Q18">
        <f t="shared" ref="Q18" si="66">F18*P18</f>
        <v>20188444.939393792</v>
      </c>
      <c r="R18">
        <f t="shared" ref="R18" si="67">R19+Q18</f>
        <v>-21648457293.944695</v>
      </c>
      <c r="S18">
        <f t="shared" ref="S18" si="68">R18/100000</f>
        <v>-216484.57293944695</v>
      </c>
      <c r="T18">
        <f t="shared" ref="T18" si="69">S18/1000</f>
        <v>-216.48457293944696</v>
      </c>
    </row>
    <row r="19" spans="1:20" x14ac:dyDescent="0.25">
      <c r="A19" s="5">
        <v>44574</v>
      </c>
      <c r="B19">
        <v>2.2200000000000001E-2</v>
      </c>
      <c r="C19">
        <v>2.2249999999999999E-2</v>
      </c>
      <c r="D19">
        <v>2.0760000000000001E-2</v>
      </c>
      <c r="E19">
        <v>2.0899999999999998E-2</v>
      </c>
      <c r="F19">
        <v>160296935.19999999</v>
      </c>
      <c r="G19">
        <v>2.0899999999999998E-2</v>
      </c>
      <c r="L19" t="s">
        <v>7</v>
      </c>
      <c r="M19" t="s">
        <v>8</v>
      </c>
      <c r="N19" t="s">
        <v>7</v>
      </c>
      <c r="P19">
        <f t="shared" ref="P19" si="70">IF(C19=D19,0,((E19-D19)-(C19-E19))/(C19-D19))</f>
        <v>-0.8120805369127545</v>
      </c>
      <c r="Q19">
        <f t="shared" ref="Q19" si="71">F19*P19</f>
        <v>-130174021.20268501</v>
      </c>
      <c r="R19">
        <f t="shared" ref="R19" si="72">R20+Q19</f>
        <v>-21668645738.884087</v>
      </c>
      <c r="S19">
        <f t="shared" ref="S19" si="73">R19/100000</f>
        <v>-216686.45738884088</v>
      </c>
      <c r="T19">
        <f t="shared" ref="T19" si="74">S19/1000</f>
        <v>-216.68645738884086</v>
      </c>
    </row>
    <row r="20" spans="1:20" x14ac:dyDescent="0.25">
      <c r="A20" s="5">
        <v>44573</v>
      </c>
      <c r="B20">
        <v>2.1080000000000002E-2</v>
      </c>
      <c r="C20">
        <v>2.257E-2</v>
      </c>
      <c r="D20">
        <v>2.0920000000000001E-2</v>
      </c>
      <c r="E20">
        <v>2.2190000000000001E-2</v>
      </c>
      <c r="F20">
        <v>173809759.30000001</v>
      </c>
      <c r="G20">
        <v>2.2190000000000001E-2</v>
      </c>
      <c r="L20" t="s">
        <v>8</v>
      </c>
      <c r="M20" t="s">
        <v>8</v>
      </c>
      <c r="N20" t="s">
        <v>7</v>
      </c>
      <c r="P20">
        <f t="shared" ref="P20" si="75">IF(C20=D20,0,((E20-D20)-(C20-E20))/(C20-D20))</f>
        <v>0.53939393939394098</v>
      </c>
      <c r="Q20">
        <f t="shared" ref="Q20" si="76">F20*P20</f>
        <v>93751930.773939669</v>
      </c>
      <c r="R20">
        <f t="shared" ref="R20" si="77">R21+Q20</f>
        <v>-21538471717.6814</v>
      </c>
      <c r="S20">
        <f t="shared" ref="S20" si="78">R20/100000</f>
        <v>-215384.71717681401</v>
      </c>
      <c r="T20">
        <f t="shared" ref="T20" si="79">S20/1000</f>
        <v>-215.38471717681401</v>
      </c>
    </row>
    <row r="21" spans="1:20" x14ac:dyDescent="0.25">
      <c r="A21" s="5">
        <v>44572</v>
      </c>
      <c r="B21">
        <v>2.036E-2</v>
      </c>
      <c r="C21">
        <v>2.1340000000000001E-2</v>
      </c>
      <c r="D21">
        <v>2.0160000000000001E-2</v>
      </c>
      <c r="E21">
        <v>2.1080000000000002E-2</v>
      </c>
      <c r="F21">
        <v>143729433.59999999</v>
      </c>
      <c r="G21">
        <v>2.1080000000000002E-2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0.55932203389830559</v>
      </c>
      <c r="Q21">
        <f t="shared" ref="Q21" si="81">F21*P21</f>
        <v>80391039.13220346</v>
      </c>
      <c r="R21">
        <f t="shared" ref="R21" si="82">R22+Q21</f>
        <v>-21632223648.455341</v>
      </c>
      <c r="S21">
        <f t="shared" ref="S21" si="83">R21/100000</f>
        <v>-216322.2364845534</v>
      </c>
      <c r="T21">
        <f t="shared" ref="T21" si="84">S21/1000</f>
        <v>-216.3222364845534</v>
      </c>
    </row>
    <row r="22" spans="1:20" x14ac:dyDescent="0.25">
      <c r="A22" s="5">
        <v>44571</v>
      </c>
      <c r="B22">
        <v>2.2069999999999999E-2</v>
      </c>
      <c r="C22">
        <v>2.2210000000000001E-2</v>
      </c>
      <c r="D22">
        <v>1.915E-2</v>
      </c>
      <c r="E22">
        <v>2.036E-2</v>
      </c>
      <c r="F22">
        <v>247297688.40000001</v>
      </c>
      <c r="G22">
        <v>2.036E-2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-0.20915032679738615</v>
      </c>
      <c r="Q22">
        <f t="shared" ref="Q22" si="86">F22*P22</f>
        <v>-51722392.345098175</v>
      </c>
      <c r="R22">
        <f t="shared" ref="R22" si="87">R23+Q22</f>
        <v>-21712614687.587543</v>
      </c>
      <c r="S22">
        <f t="shared" ref="S22" si="88">R22/100000</f>
        <v>-217126.14687587545</v>
      </c>
      <c r="T22">
        <f t="shared" ref="T22" si="89">S22/1000</f>
        <v>-217.12614687587546</v>
      </c>
    </row>
    <row r="23" spans="1:20" x14ac:dyDescent="0.25">
      <c r="A23" s="5">
        <v>44570</v>
      </c>
      <c r="B23">
        <v>2.307E-2</v>
      </c>
      <c r="C23">
        <v>2.3400000000000001E-2</v>
      </c>
      <c r="D23">
        <v>2.1499999999999998E-2</v>
      </c>
      <c r="E23">
        <v>2.2110000000000001E-2</v>
      </c>
      <c r="F23">
        <v>229928940.80000001</v>
      </c>
      <c r="G23">
        <v>2.2110000000000001E-2</v>
      </c>
      <c r="L23" t="s">
        <v>7</v>
      </c>
      <c r="M23" t="s">
        <v>7</v>
      </c>
      <c r="N23" t="s">
        <v>7</v>
      </c>
      <c r="P23">
        <f t="shared" ref="P23" si="90">IF(C23=D23,0,((E23-D23)-(C23-E23))/(C23-D23))</f>
        <v>-0.35789473684210299</v>
      </c>
      <c r="Q23">
        <f t="shared" ref="Q23" si="91">F23*P23</f>
        <v>-82290357.759999484</v>
      </c>
      <c r="R23">
        <f t="shared" ref="R23" si="92">R24+Q23</f>
        <v>-21660892295.242447</v>
      </c>
      <c r="S23">
        <f t="shared" ref="S23" si="93">R23/100000</f>
        <v>-216608.92295242447</v>
      </c>
      <c r="T23">
        <f t="shared" ref="T23" si="94">S23/1000</f>
        <v>-216.60892295242448</v>
      </c>
    </row>
    <row r="24" spans="1:20" x14ac:dyDescent="0.25">
      <c r="A24" s="5">
        <v>44569</v>
      </c>
      <c r="B24">
        <v>2.1350000000000001E-2</v>
      </c>
      <c r="C24">
        <v>2.4170000000000001E-2</v>
      </c>
      <c r="D24">
        <v>2.1250000000000002E-2</v>
      </c>
      <c r="E24">
        <v>2.307E-2</v>
      </c>
      <c r="F24">
        <v>638201523.70000005</v>
      </c>
      <c r="G24">
        <v>2.307E-2</v>
      </c>
      <c r="L24" t="s">
        <v>8</v>
      </c>
      <c r="M24" t="s">
        <v>7</v>
      </c>
      <c r="N24" t="s">
        <v>7</v>
      </c>
      <c r="P24">
        <f t="shared" ref="P24" si="95">IF(C24=D24,0,((E24-D24)-(C24-E24))/(C24-D24))</f>
        <v>0.24657534246575297</v>
      </c>
      <c r="Q24">
        <f t="shared" ref="Q24" si="96">F24*P24</f>
        <v>157364759.26849288</v>
      </c>
      <c r="R24">
        <f t="shared" ref="R24" si="97">R25+Q24</f>
        <v>-21578601937.482449</v>
      </c>
      <c r="S24">
        <f t="shared" ref="S24" si="98">R24/100000</f>
        <v>-215786.01937482448</v>
      </c>
      <c r="T24">
        <f t="shared" ref="T24" si="99">S24/1000</f>
        <v>-215.78601937482449</v>
      </c>
    </row>
    <row r="25" spans="1:20" x14ac:dyDescent="0.25">
      <c r="A25" s="5">
        <v>44568</v>
      </c>
      <c r="B25">
        <v>2.3189999999999999E-2</v>
      </c>
      <c r="C25">
        <v>2.332E-2</v>
      </c>
      <c r="D25">
        <v>2.1100000000000001E-2</v>
      </c>
      <c r="E25">
        <v>2.1340000000000001E-2</v>
      </c>
      <c r="F25">
        <v>215607290.90000001</v>
      </c>
      <c r="G25">
        <v>2.1340000000000001E-2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-0.78378378378378322</v>
      </c>
      <c r="Q25">
        <f t="shared" ref="Q25" si="101">F25*P25</f>
        <v>-168989498.27297285</v>
      </c>
      <c r="R25">
        <f t="shared" ref="R25" si="102">R26+Q25</f>
        <v>-21735966696.750942</v>
      </c>
      <c r="S25">
        <f t="shared" ref="S25" si="103">R25/100000</f>
        <v>-217359.66696750943</v>
      </c>
      <c r="T25">
        <f t="shared" ref="T25" si="104">S25/1000</f>
        <v>-217.35966696750944</v>
      </c>
    </row>
    <row r="26" spans="1:20" x14ac:dyDescent="0.25">
      <c r="A26" s="5">
        <v>44567</v>
      </c>
      <c r="B26">
        <v>2.291E-2</v>
      </c>
      <c r="C26">
        <v>2.384E-2</v>
      </c>
      <c r="D26">
        <v>2.2120000000000001E-2</v>
      </c>
      <c r="E26">
        <v>2.3189999999999999E-2</v>
      </c>
      <c r="F26">
        <v>198510647.09999999</v>
      </c>
      <c r="G26">
        <v>2.3189999999999999E-2</v>
      </c>
      <c r="L26" t="s">
        <v>8</v>
      </c>
      <c r="M26" t="s">
        <v>7</v>
      </c>
      <c r="N26" t="s">
        <v>7</v>
      </c>
      <c r="P26">
        <f t="shared" ref="P26" si="105">IF(C26=D26,0,((E26-D26)-(C26-E26))/(C26-D26))</f>
        <v>0.24418604651162612</v>
      </c>
      <c r="Q26">
        <f t="shared" ref="Q26" si="106">F26*P26</f>
        <v>48473530.1058136</v>
      </c>
      <c r="R26">
        <f t="shared" ref="R26" si="107">R27+Q26</f>
        <v>-21566977198.47797</v>
      </c>
      <c r="S26">
        <f t="shared" ref="S26" si="108">R26/100000</f>
        <v>-215669.77198477971</v>
      </c>
      <c r="T26">
        <f t="shared" ref="T26" si="109">S26/1000</f>
        <v>-215.66977198477971</v>
      </c>
    </row>
    <row r="27" spans="1:20" x14ac:dyDescent="0.25">
      <c r="A27" s="5">
        <v>44566</v>
      </c>
      <c r="B27">
        <v>2.529E-2</v>
      </c>
      <c r="C27">
        <v>2.5659999999999999E-2</v>
      </c>
      <c r="D27">
        <v>2.18E-2</v>
      </c>
      <c r="E27">
        <v>2.2919999999999999E-2</v>
      </c>
      <c r="F27">
        <v>277262799.10000002</v>
      </c>
      <c r="G27">
        <v>2.2919999999999999E-2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-0.41968911917098456</v>
      </c>
      <c r="Q27">
        <f t="shared" ref="Q27" si="111">F27*P27</f>
        <v>-116364179.93316066</v>
      </c>
      <c r="R27">
        <f t="shared" ref="R27" si="112">R28+Q27</f>
        <v>-21615450728.583782</v>
      </c>
      <c r="S27">
        <f t="shared" ref="S27" si="113">R27/100000</f>
        <v>-216154.50728583781</v>
      </c>
      <c r="T27">
        <f t="shared" ref="T27" si="114">S27/1000</f>
        <v>-216.15450728583781</v>
      </c>
    </row>
    <row r="28" spans="1:20" x14ac:dyDescent="0.25">
      <c r="A28" s="5">
        <v>44565</v>
      </c>
      <c r="B28">
        <v>2.5579999999999999E-2</v>
      </c>
      <c r="C28">
        <v>2.6120000000000001E-2</v>
      </c>
      <c r="D28">
        <v>2.4969999999999999E-2</v>
      </c>
      <c r="E28">
        <v>2.528E-2</v>
      </c>
      <c r="F28">
        <v>240736122.19999999</v>
      </c>
      <c r="G28">
        <v>2.528E-2</v>
      </c>
      <c r="L28" t="s">
        <v>7</v>
      </c>
      <c r="M28" t="s">
        <v>7</v>
      </c>
      <c r="N28" t="s">
        <v>7</v>
      </c>
      <c r="P28">
        <f t="shared" ref="P28" si="115">IF(C28=D28,0,((E28-D28)-(C28-E28))/(C28-D28))</f>
        <v>-0.46086956521738992</v>
      </c>
      <c r="Q28">
        <f t="shared" ref="Q28" si="116">F28*P28</f>
        <v>-110947951.97043444</v>
      </c>
      <c r="R28">
        <f t="shared" ref="R28" si="117">R29+Q28</f>
        <v>-21499086548.650623</v>
      </c>
      <c r="S28">
        <f t="shared" ref="S28" si="118">R28/100000</f>
        <v>-214990.86548650623</v>
      </c>
      <c r="T28">
        <f t="shared" ref="T28" si="119">S28/1000</f>
        <v>-214.99086548650624</v>
      </c>
    </row>
    <row r="29" spans="1:20" x14ac:dyDescent="0.25">
      <c r="A29" s="5">
        <v>44564</v>
      </c>
      <c r="B29">
        <v>2.674E-2</v>
      </c>
      <c r="C29">
        <v>2.8000000000000001E-2</v>
      </c>
      <c r="D29">
        <v>2.5190000000000001E-2</v>
      </c>
      <c r="E29">
        <v>2.5579999999999999E-2</v>
      </c>
      <c r="F29">
        <v>363089515.60000002</v>
      </c>
      <c r="G29">
        <v>2.5579999999999999E-2</v>
      </c>
      <c r="L29" t="s">
        <v>7</v>
      </c>
      <c r="M29" t="s">
        <v>7</v>
      </c>
      <c r="N29" t="s">
        <v>7</v>
      </c>
      <c r="P29">
        <f t="shared" ref="P29" si="120">IF(C29=D29,0,((E29-D29)-(C29-E29))/(C29-D29))</f>
        <v>-0.72241992882562422</v>
      </c>
      <c r="Q29">
        <f t="shared" ref="Q29" si="121">F29*P29</f>
        <v>-262303102.01708239</v>
      </c>
      <c r="R29">
        <f t="shared" ref="R29" si="122">R30+Q29</f>
        <v>-21388138596.680187</v>
      </c>
      <c r="S29">
        <f t="shared" ref="S29" si="123">R29/100000</f>
        <v>-213881.38596680187</v>
      </c>
      <c r="T29">
        <f t="shared" ref="T29" si="124">S29/1000</f>
        <v>-213.88138596680187</v>
      </c>
    </row>
    <row r="30" spans="1:20" x14ac:dyDescent="0.25">
      <c r="A30" s="5">
        <v>44563</v>
      </c>
      <c r="B30">
        <v>2.7119999999999998E-2</v>
      </c>
      <c r="C30">
        <v>2.7449999999999999E-2</v>
      </c>
      <c r="D30">
        <v>2.6429999999999999E-2</v>
      </c>
      <c r="E30">
        <v>2.6759999999999999E-2</v>
      </c>
      <c r="F30">
        <v>224179659.80000001</v>
      </c>
      <c r="G30">
        <v>2.6759999999999999E-2</v>
      </c>
      <c r="L30" t="s">
        <v>7</v>
      </c>
      <c r="M30" t="s">
        <v>8</v>
      </c>
      <c r="N30" t="s">
        <v>7</v>
      </c>
      <c r="P30">
        <f t="shared" ref="P30" si="125">IF(C30=D30,0,((E30-D30)-(C30-E30))/(C30-D30))</f>
        <v>-0.35294117647058743</v>
      </c>
      <c r="Q30">
        <f t="shared" ref="Q30" si="126">F30*P30</f>
        <v>-79122232.870588064</v>
      </c>
      <c r="R30">
        <f t="shared" ref="R30" si="127">R31+Q30</f>
        <v>-21125835494.663105</v>
      </c>
      <c r="S30">
        <f t="shared" ref="S30" si="128">R30/100000</f>
        <v>-211258.35494663104</v>
      </c>
      <c r="T30">
        <f t="shared" ref="T30" si="129">S30/1000</f>
        <v>-211.25835494663104</v>
      </c>
    </row>
    <row r="31" spans="1:20" x14ac:dyDescent="0.25">
      <c r="A31" s="5">
        <v>44562</v>
      </c>
      <c r="B31">
        <v>2.665E-2</v>
      </c>
      <c r="C31">
        <v>2.76E-2</v>
      </c>
      <c r="D31">
        <v>2.6460000000000001E-2</v>
      </c>
      <c r="E31">
        <v>2.7150000000000001E-2</v>
      </c>
      <c r="F31">
        <v>181452209.90000001</v>
      </c>
      <c r="G31">
        <v>2.7150000000000001E-2</v>
      </c>
      <c r="L31" t="s">
        <v>7</v>
      </c>
      <c r="M31" t="s">
        <v>8</v>
      </c>
      <c r="N31" t="s">
        <v>7</v>
      </c>
      <c r="P31">
        <f t="shared" ref="P31" si="130">IF(C31=D31,0,((E31-D31)-(C31-E31))/(C31-D31))</f>
        <v>0.21052631578947448</v>
      </c>
      <c r="Q31">
        <f t="shared" ref="Q31" si="131">F31*P31</f>
        <v>38200465.24210541</v>
      </c>
      <c r="R31">
        <f t="shared" ref="R31" si="132">R32+Q31</f>
        <v>-21046713261.792519</v>
      </c>
      <c r="S31">
        <f t="shared" ref="S31" si="133">R31/100000</f>
        <v>-210467.13261792518</v>
      </c>
      <c r="T31">
        <f t="shared" ref="T31" si="134">S31/1000</f>
        <v>-210.46713261792519</v>
      </c>
    </row>
    <row r="32" spans="1:20" x14ac:dyDescent="0.25">
      <c r="A32" s="5">
        <v>44561</v>
      </c>
      <c r="B32">
        <v>2.7380000000000002E-2</v>
      </c>
      <c r="C32">
        <v>2.8819999999999998E-2</v>
      </c>
      <c r="D32">
        <v>2.6089999999999999E-2</v>
      </c>
      <c r="E32">
        <v>2.665E-2</v>
      </c>
      <c r="F32">
        <v>378338152.19999999</v>
      </c>
      <c r="G32">
        <v>2.665E-2</v>
      </c>
      <c r="L32" t="s">
        <v>7</v>
      </c>
      <c r="M32" t="s">
        <v>8</v>
      </c>
      <c r="N32" t="s">
        <v>7</v>
      </c>
      <c r="P32">
        <f t="shared" ref="P32" si="135">IF(C32=D32,0,((E32-D32)-(C32-E32))/(C32-D32))</f>
        <v>-0.58974358974358865</v>
      </c>
      <c r="Q32">
        <f t="shared" ref="Q32" si="136">F32*P32</f>
        <v>-223122500.0153842</v>
      </c>
      <c r="R32">
        <f t="shared" ref="R32" si="137">R33+Q32</f>
        <v>-21084913727.034622</v>
      </c>
      <c r="S32">
        <f t="shared" ref="S32" si="138">R32/100000</f>
        <v>-210849.13727034623</v>
      </c>
      <c r="T32">
        <f t="shared" ref="T32" si="139">S32/1000</f>
        <v>-210.84913727034623</v>
      </c>
    </row>
    <row r="33" spans="1:20" x14ac:dyDescent="0.25">
      <c r="A33" s="5">
        <v>44560</v>
      </c>
      <c r="B33">
        <v>2.545E-2</v>
      </c>
      <c r="C33">
        <v>3.0620000000000001E-2</v>
      </c>
      <c r="D33">
        <v>2.5389999999999999E-2</v>
      </c>
      <c r="E33">
        <v>2.7390000000000001E-2</v>
      </c>
      <c r="F33">
        <v>1080862353.8</v>
      </c>
      <c r="G33">
        <v>2.7390000000000001E-2</v>
      </c>
      <c r="L33" t="s">
        <v>8</v>
      </c>
      <c r="M33" t="s">
        <v>8</v>
      </c>
      <c r="N33" t="s">
        <v>7</v>
      </c>
      <c r="P33">
        <f t="shared" ref="P33" si="140">IF(C33=D33,0,((E33-D33)-(C33-E33))/(C33-D33))</f>
        <v>-0.23518164435946423</v>
      </c>
      <c r="Q33">
        <f t="shared" ref="Q33" si="141">F33*P33</f>
        <v>-254198985.69292498</v>
      </c>
      <c r="R33">
        <f t="shared" ref="R33" si="142">R34+Q33</f>
        <v>-20861791227.019238</v>
      </c>
      <c r="S33">
        <f t="shared" ref="S33" si="143">R33/100000</f>
        <v>-208617.91227019238</v>
      </c>
      <c r="T33">
        <f t="shared" ref="T33" si="144">S33/1000</f>
        <v>-208.61791227019236</v>
      </c>
    </row>
    <row r="34" spans="1:20" x14ac:dyDescent="0.25">
      <c r="A34" s="5">
        <v>44559</v>
      </c>
      <c r="B34">
        <v>2.512E-2</v>
      </c>
      <c r="C34">
        <v>2.844E-2</v>
      </c>
      <c r="D34">
        <v>2.4420000000000001E-2</v>
      </c>
      <c r="E34">
        <v>2.5489999999999999E-2</v>
      </c>
      <c r="F34">
        <v>999576701.10000002</v>
      </c>
      <c r="G34">
        <v>2.5489999999999999E-2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-0.46766169154228943</v>
      </c>
      <c r="Q34">
        <f t="shared" ref="Q34" si="146">F34*P34</f>
        <v>-467463730.86268747</v>
      </c>
      <c r="R34">
        <f t="shared" ref="R34" si="147">R35+Q34</f>
        <v>-20607592241.326313</v>
      </c>
      <c r="S34">
        <f t="shared" ref="S34" si="148">R34/100000</f>
        <v>-206075.92241326312</v>
      </c>
      <c r="T34">
        <f t="shared" ref="T34" si="149">S34/1000</f>
        <v>-206.07592241326313</v>
      </c>
    </row>
    <row r="35" spans="1:20" x14ac:dyDescent="0.25">
      <c r="A35" s="5">
        <v>44558</v>
      </c>
      <c r="B35">
        <v>2.7380000000000002E-2</v>
      </c>
      <c r="C35">
        <v>2.7539999999999999E-2</v>
      </c>
      <c r="D35">
        <v>2.4729999999999999E-2</v>
      </c>
      <c r="E35">
        <v>2.513E-2</v>
      </c>
      <c r="F35">
        <v>452205061</v>
      </c>
      <c r="G35">
        <v>2.513E-2</v>
      </c>
      <c r="L35" t="s">
        <v>7</v>
      </c>
      <c r="M35" t="s">
        <v>7</v>
      </c>
      <c r="N35" t="s">
        <v>7</v>
      </c>
      <c r="P35">
        <f t="shared" ref="P35" si="150">IF(C35=D35,0,((E35-D35)-(C35-E35))/(C35-D35))</f>
        <v>-0.7153024911032021</v>
      </c>
      <c r="Q35">
        <f t="shared" ref="Q35" si="151">F35*P35</f>
        <v>-323463406.62277544</v>
      </c>
      <c r="R35">
        <f t="shared" ref="R35" si="152">R36+Q35</f>
        <v>-20140128510.463627</v>
      </c>
      <c r="S35">
        <f t="shared" ref="S35" si="153">R35/100000</f>
        <v>-201401.28510463628</v>
      </c>
      <c r="T35">
        <f t="shared" ref="T35" si="154">S35/1000</f>
        <v>-201.40128510463629</v>
      </c>
    </row>
    <row r="36" spans="1:20" x14ac:dyDescent="0.25">
      <c r="A36" s="5">
        <v>44557</v>
      </c>
      <c r="B36">
        <v>2.7859999999999999E-2</v>
      </c>
      <c r="C36">
        <v>2.8840000000000001E-2</v>
      </c>
      <c r="D36">
        <v>2.7210000000000002E-2</v>
      </c>
      <c r="E36">
        <v>2.7400000000000001E-2</v>
      </c>
      <c r="F36">
        <v>551614844.20000005</v>
      </c>
      <c r="G36">
        <v>2.7400000000000001E-2</v>
      </c>
      <c r="L36" t="s">
        <v>8</v>
      </c>
      <c r="M36" t="s">
        <v>7</v>
      </c>
      <c r="N36" t="s">
        <v>7</v>
      </c>
      <c r="P36">
        <f t="shared" ref="P36" si="155">IF(C36=D36,0,((E36-D36)-(C36-E36))/(C36-D36))</f>
        <v>-0.76687116564417268</v>
      </c>
      <c r="Q36">
        <f t="shared" ref="Q36" si="156">F36*P36</f>
        <v>-423017518.55828273</v>
      </c>
      <c r="R36">
        <f t="shared" ref="R36" si="157">R37+Q36</f>
        <v>-19816665103.840851</v>
      </c>
      <c r="S36">
        <f t="shared" ref="S36" si="158">R36/100000</f>
        <v>-198166.65103840851</v>
      </c>
      <c r="T36">
        <f t="shared" ref="T36" si="159">S36/1000</f>
        <v>-198.1666510384085</v>
      </c>
    </row>
    <row r="37" spans="1:20" x14ac:dyDescent="0.25">
      <c r="A37" s="5">
        <v>44556</v>
      </c>
      <c r="B37">
        <v>2.904E-2</v>
      </c>
      <c r="C37">
        <v>2.9049999999999999E-2</v>
      </c>
      <c r="D37">
        <v>2.6589999999999999E-2</v>
      </c>
      <c r="E37">
        <v>2.7859999999999999E-2</v>
      </c>
      <c r="F37">
        <v>565377480.79999995</v>
      </c>
      <c r="G37">
        <v>2.7859999999999999E-2</v>
      </c>
      <c r="L37" t="s">
        <v>7</v>
      </c>
      <c r="M37" t="s">
        <v>7</v>
      </c>
      <c r="N37" t="s">
        <v>7</v>
      </c>
      <c r="P37">
        <f t="shared" ref="P37" si="160">IF(C37=D37,0,((E37-D37)-(C37-E37))/(C37-D37))</f>
        <v>3.2520325203252112E-2</v>
      </c>
      <c r="Q37">
        <f t="shared" ref="Q37" si="161">F37*P37</f>
        <v>18386259.538211424</v>
      </c>
      <c r="R37">
        <f t="shared" ref="R37" si="162">R38+Q37</f>
        <v>-19393647585.28257</v>
      </c>
      <c r="S37">
        <f t="shared" ref="S37" si="163">R37/100000</f>
        <v>-193936.47585282571</v>
      </c>
      <c r="T37">
        <f t="shared" ref="T37" si="164">S37/1000</f>
        <v>-193.93647585282571</v>
      </c>
    </row>
    <row r="38" spans="1:20" x14ac:dyDescent="0.25">
      <c r="A38" s="5">
        <v>44555</v>
      </c>
      <c r="B38">
        <v>2.741E-2</v>
      </c>
      <c r="C38">
        <v>3.2149999999999998E-2</v>
      </c>
      <c r="D38">
        <v>2.726E-2</v>
      </c>
      <c r="E38">
        <v>2.9049999999999999E-2</v>
      </c>
      <c r="F38">
        <v>1478421350.5999999</v>
      </c>
      <c r="G38">
        <v>2.9049999999999999E-2</v>
      </c>
      <c r="L38" t="s">
        <v>8</v>
      </c>
      <c r="M38" t="s">
        <v>8</v>
      </c>
      <c r="N38" t="s">
        <v>7</v>
      </c>
      <c r="P38">
        <f t="shared" ref="P38" si="165">IF(C38=D38,0,((E38-D38)-(C38-E38))/(C38-D38))</f>
        <v>-0.26789366053169716</v>
      </c>
      <c r="Q38">
        <f t="shared" ref="Q38" si="166">F38*P38</f>
        <v>-396059707.42044961</v>
      </c>
      <c r="R38">
        <f t="shared" ref="R38" si="167">R39+Q38</f>
        <v>-19412033844.820782</v>
      </c>
      <c r="S38">
        <f t="shared" ref="S38" si="168">R38/100000</f>
        <v>-194120.33844820783</v>
      </c>
      <c r="T38">
        <f t="shared" ref="T38" si="169">S38/1000</f>
        <v>-194.12033844820783</v>
      </c>
    </row>
    <row r="39" spans="1:20" x14ac:dyDescent="0.25">
      <c r="A39" s="5">
        <v>44554</v>
      </c>
      <c r="B39">
        <v>2.6409999999999999E-2</v>
      </c>
      <c r="C39">
        <v>2.9430000000000001E-2</v>
      </c>
      <c r="D39">
        <v>2.58E-2</v>
      </c>
      <c r="E39">
        <v>2.7400000000000001E-2</v>
      </c>
      <c r="F39">
        <v>1096799766</v>
      </c>
      <c r="G39">
        <v>2.7400000000000001E-2</v>
      </c>
      <c r="L39" t="s">
        <v>8</v>
      </c>
      <c r="M39" t="s">
        <v>8</v>
      </c>
      <c r="N39" t="s">
        <v>7</v>
      </c>
      <c r="P39">
        <f t="shared" ref="P39" si="170">IF(C39=D39,0,((E39-D39)-(C39-E39))/(C39-D39))</f>
        <v>-0.118457300275482</v>
      </c>
      <c r="Q39">
        <f t="shared" ref="Q39" si="171">F39*P39</f>
        <v>-129923939.22314039</v>
      </c>
      <c r="R39">
        <f t="shared" ref="R39" si="172">R40+Q39</f>
        <v>-19015974137.400333</v>
      </c>
      <c r="S39">
        <f t="shared" ref="S39" si="173">R39/100000</f>
        <v>-190159.74137400332</v>
      </c>
      <c r="T39">
        <f t="shared" ref="T39" si="174">S39/1000</f>
        <v>-190.15974137400332</v>
      </c>
    </row>
    <row r="40" spans="1:20" x14ac:dyDescent="0.25">
      <c r="A40" s="5">
        <v>44553</v>
      </c>
      <c r="B40">
        <v>2.547E-2</v>
      </c>
      <c r="C40">
        <v>2.6769999999999999E-2</v>
      </c>
      <c r="D40">
        <v>2.4969999999999999E-2</v>
      </c>
      <c r="E40">
        <v>2.6409999999999999E-2</v>
      </c>
      <c r="F40">
        <v>505140209.60000002</v>
      </c>
      <c r="G40">
        <v>2.6409999999999999E-2</v>
      </c>
      <c r="L40" t="s">
        <v>7</v>
      </c>
      <c r="M40" t="s">
        <v>7</v>
      </c>
      <c r="N40" t="s">
        <v>7</v>
      </c>
      <c r="P40">
        <f t="shared" ref="P40" si="175">IF(C40=D40,0,((E40-D40)-(C40-E40))/(C40-D40))</f>
        <v>0.60000000000000075</v>
      </c>
      <c r="Q40">
        <f t="shared" ref="Q40" si="176">F40*P40</f>
        <v>303084125.76000041</v>
      </c>
      <c r="R40">
        <f t="shared" ref="R40" si="177">R41+Q40</f>
        <v>-18886050198.177193</v>
      </c>
      <c r="S40">
        <f t="shared" ref="S40" si="178">R40/100000</f>
        <v>-188860.50198177193</v>
      </c>
      <c r="T40">
        <f t="shared" ref="T40" si="179">S40/1000</f>
        <v>-188.86050198177193</v>
      </c>
    </row>
    <row r="41" spans="1:20" x14ac:dyDescent="0.25">
      <c r="A41" s="5">
        <v>44552</v>
      </c>
      <c r="B41">
        <v>2.5690000000000001E-2</v>
      </c>
      <c r="C41">
        <v>2.657E-2</v>
      </c>
      <c r="D41">
        <v>2.53E-2</v>
      </c>
      <c r="E41">
        <v>2.5479999999999999E-2</v>
      </c>
      <c r="F41">
        <v>474625756.80000001</v>
      </c>
      <c r="G41">
        <v>2.5479999999999999E-2</v>
      </c>
      <c r="L41" t="s">
        <v>7</v>
      </c>
      <c r="M41" t="s">
        <v>7</v>
      </c>
      <c r="N41" t="s">
        <v>7</v>
      </c>
      <c r="P41">
        <f t="shared" ref="P41" si="180">IF(C41=D41,0,((E41-D41)-(C41-E41))/(C41-D41))</f>
        <v>-0.71653543307086687</v>
      </c>
      <c r="Q41">
        <f t="shared" ref="Q41" si="181">F41*P41</f>
        <v>-340086172.19527596</v>
      </c>
      <c r="R41">
        <f t="shared" ref="R41" si="182">R42+Q41</f>
        <v>-19189134323.937195</v>
      </c>
      <c r="S41">
        <f t="shared" ref="S41" si="183">R41/100000</f>
        <v>-191891.34323937196</v>
      </c>
      <c r="T41">
        <f t="shared" ref="T41" si="184">S41/1000</f>
        <v>-191.89134323937196</v>
      </c>
    </row>
    <row r="42" spans="1:20" x14ac:dyDescent="0.25">
      <c r="A42" s="5">
        <v>44551</v>
      </c>
      <c r="B42">
        <v>2.5510000000000001E-2</v>
      </c>
      <c r="C42">
        <v>2.7369999999999998E-2</v>
      </c>
      <c r="D42">
        <v>2.4850000000000001E-2</v>
      </c>
      <c r="E42">
        <v>2.572E-2</v>
      </c>
      <c r="F42">
        <v>557471028.89999998</v>
      </c>
      <c r="G42">
        <v>2.572E-2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-0.30952380952380953</v>
      </c>
      <c r="Q42">
        <f t="shared" ref="Q42" si="186">F42*P42</f>
        <v>-172550556.56428573</v>
      </c>
      <c r="R42">
        <f t="shared" ref="R42" si="187">R43+Q42</f>
        <v>-18849048151.74192</v>
      </c>
      <c r="S42">
        <f t="shared" ref="S42" si="188">R42/100000</f>
        <v>-188490.48151741922</v>
      </c>
      <c r="T42">
        <f t="shared" ref="T42" si="189">S42/1000</f>
        <v>-188.49048151741923</v>
      </c>
    </row>
    <row r="43" spans="1:20" x14ac:dyDescent="0.25">
      <c r="A43" s="5">
        <v>44550</v>
      </c>
      <c r="B43">
        <v>2.598E-2</v>
      </c>
      <c r="C43">
        <v>2.606E-2</v>
      </c>
      <c r="D43">
        <v>2.4320000000000001E-2</v>
      </c>
      <c r="E43">
        <v>2.5499999999999998E-2</v>
      </c>
      <c r="F43">
        <v>466737972</v>
      </c>
      <c r="G43">
        <v>2.5499999999999998E-2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0.3563218390804575</v>
      </c>
      <c r="Q43">
        <f t="shared" ref="Q43" si="191">F43*P43</f>
        <v>166308932.55172309</v>
      </c>
      <c r="R43">
        <f t="shared" ref="R43" si="192">R44+Q43</f>
        <v>-18676497595.177635</v>
      </c>
      <c r="S43">
        <f t="shared" ref="S43" si="193">R43/100000</f>
        <v>-186764.97595177635</v>
      </c>
      <c r="T43">
        <f t="shared" ref="T43" si="194">S43/1000</f>
        <v>-186.76497595177634</v>
      </c>
    </row>
    <row r="44" spans="1:20" x14ac:dyDescent="0.25">
      <c r="A44" s="5">
        <v>44549</v>
      </c>
      <c r="B44">
        <v>2.7990000000000001E-2</v>
      </c>
      <c r="C44">
        <v>2.8029999999999999E-2</v>
      </c>
      <c r="D44">
        <v>2.5510000000000001E-2</v>
      </c>
      <c r="E44">
        <v>2.598E-2</v>
      </c>
      <c r="F44">
        <v>477640265.5</v>
      </c>
      <c r="G44">
        <v>2.598E-2</v>
      </c>
      <c r="L44" t="s">
        <v>7</v>
      </c>
      <c r="M44" t="s">
        <v>7</v>
      </c>
      <c r="N44" t="s">
        <v>7</v>
      </c>
      <c r="P44">
        <f t="shared" ref="P44" si="195">IF(C44=D44,0,((E44-D44)-(C44-E44))/(C44-D44))</f>
        <v>-0.62698412698412809</v>
      </c>
      <c r="Q44">
        <f t="shared" ref="Q44" si="196">F44*P44</f>
        <v>-299472864.87698466</v>
      </c>
      <c r="R44">
        <f t="shared" ref="R44" si="197">R45+Q44</f>
        <v>-18842806527.729359</v>
      </c>
      <c r="S44">
        <f t="shared" ref="S44" si="198">R44/100000</f>
        <v>-188428.06527729359</v>
      </c>
      <c r="T44">
        <f t="shared" ref="T44" si="199">S44/1000</f>
        <v>-188.4280652772936</v>
      </c>
    </row>
    <row r="45" spans="1:20" x14ac:dyDescent="0.25">
      <c r="A45" s="5">
        <v>44548</v>
      </c>
      <c r="B45">
        <v>3.2129999999999999E-2</v>
      </c>
      <c r="C45">
        <v>3.3689999999999998E-2</v>
      </c>
      <c r="D45">
        <v>2.6890000000000001E-2</v>
      </c>
      <c r="E45">
        <v>2.8000000000000001E-2</v>
      </c>
      <c r="F45">
        <v>1317399491.7</v>
      </c>
      <c r="G45">
        <v>2.8000000000000001E-2</v>
      </c>
      <c r="L45" t="s">
        <v>7</v>
      </c>
      <c r="M45" t="s">
        <v>7</v>
      </c>
      <c r="N45" t="s">
        <v>7</v>
      </c>
      <c r="P45">
        <f t="shared" ref="P45" si="200">IF(C45=D45,0,((E45-D45)-(C45-E45))/(C45-D45))</f>
        <v>-0.67352941176470582</v>
      </c>
      <c r="Q45">
        <f t="shared" ref="Q45" si="201">F45*P45</f>
        <v>-887307304.70382345</v>
      </c>
      <c r="R45">
        <f t="shared" ref="R45" si="202">R46+Q45</f>
        <v>-18543333662.852375</v>
      </c>
      <c r="S45">
        <f t="shared" ref="S45" si="203">R45/100000</f>
        <v>-185433.33662852374</v>
      </c>
      <c r="T45">
        <f t="shared" ref="T45" si="204">S45/1000</f>
        <v>-185.43333662852373</v>
      </c>
    </row>
    <row r="46" spans="1:20" x14ac:dyDescent="0.25">
      <c r="A46" s="5">
        <v>44547</v>
      </c>
      <c r="B46">
        <v>2.546E-2</v>
      </c>
      <c r="C46">
        <v>3.95E-2</v>
      </c>
      <c r="D46">
        <v>2.5250000000000002E-2</v>
      </c>
      <c r="E46">
        <v>3.2129999999999999E-2</v>
      </c>
      <c r="F46">
        <v>4726848179</v>
      </c>
      <c r="G46">
        <v>3.2129999999999999E-2</v>
      </c>
      <c r="L46" t="s">
        <v>8</v>
      </c>
      <c r="M46" t="s">
        <v>8</v>
      </c>
      <c r="N46" t="s">
        <v>8</v>
      </c>
      <c r="P46">
        <f t="shared" ref="P46" si="205">IF(C46=D46,0,((E46-D46)-(C46-E46))/(C46-D46))</f>
        <v>-3.4385964912281006E-2</v>
      </c>
      <c r="Q46">
        <f t="shared" ref="Q46" si="206">F46*P46</f>
        <v>-162537235.62877336</v>
      </c>
      <c r="R46">
        <f t="shared" ref="R46" si="207">R47+Q46</f>
        <v>-17656026358.148552</v>
      </c>
      <c r="S46">
        <f t="shared" ref="S46" si="208">R46/100000</f>
        <v>-176560.26358148552</v>
      </c>
      <c r="T46">
        <f t="shared" ref="T46" si="209">S46/1000</f>
        <v>-176.56026358148551</v>
      </c>
    </row>
    <row r="47" spans="1:20" x14ac:dyDescent="0.25">
      <c r="A47" s="5">
        <v>44546</v>
      </c>
      <c r="B47">
        <v>2.5080000000000002E-2</v>
      </c>
      <c r="C47">
        <v>2.75E-2</v>
      </c>
      <c r="D47">
        <v>2.4459999999999999E-2</v>
      </c>
      <c r="E47">
        <v>2.5479999999999999E-2</v>
      </c>
      <c r="F47">
        <v>1047208376</v>
      </c>
      <c r="G47">
        <v>2.5479999999999999E-2</v>
      </c>
      <c r="L47" t="s">
        <v>8</v>
      </c>
      <c r="M47" t="s">
        <v>8</v>
      </c>
      <c r="N47" t="s">
        <v>7</v>
      </c>
      <c r="P47">
        <f t="shared" ref="P47" si="210">IF(C47=D47,0,((E47-D47)-(C47-E47))/(C47-D47))</f>
        <v>-0.32894736842105282</v>
      </c>
      <c r="Q47">
        <f t="shared" ref="Q47" si="211">F47*P47</f>
        <v>-344476439.47368443</v>
      </c>
      <c r="R47">
        <f t="shared" ref="R47" si="212">R48+Q47</f>
        <v>-17493489122.519779</v>
      </c>
      <c r="S47">
        <f t="shared" ref="S47" si="213">R47/100000</f>
        <v>-174934.89122519779</v>
      </c>
      <c r="T47">
        <f t="shared" ref="T47" si="214">S47/1000</f>
        <v>-174.93489122519779</v>
      </c>
    </row>
    <row r="48" spans="1:20" x14ac:dyDescent="0.25">
      <c r="A48" s="5">
        <v>44545</v>
      </c>
      <c r="B48">
        <v>2.137E-2</v>
      </c>
      <c r="C48">
        <v>2.6859999999999998E-2</v>
      </c>
      <c r="D48">
        <v>2.1149999999999999E-2</v>
      </c>
      <c r="E48">
        <v>2.5080000000000002E-2</v>
      </c>
      <c r="F48">
        <v>1744130440</v>
      </c>
      <c r="G48">
        <v>2.5080000000000002E-2</v>
      </c>
      <c r="L48" t="s">
        <v>8</v>
      </c>
      <c r="M48" t="s">
        <v>8</v>
      </c>
      <c r="N48" t="s">
        <v>7</v>
      </c>
      <c r="P48">
        <f t="shared" ref="P48" si="215">IF(C48=D48,0,((E48-D48)-(C48-E48))/(C48-D48))</f>
        <v>0.37653239929947568</v>
      </c>
      <c r="Q48">
        <f t="shared" ref="Q48" si="216">F48*P48</f>
        <v>656721619.26445019</v>
      </c>
      <c r="R48">
        <f t="shared" ref="R48" si="217">R49+Q48</f>
        <v>-17149012683.046093</v>
      </c>
      <c r="S48">
        <f t="shared" ref="S48" si="218">R48/100000</f>
        <v>-171490.12683046094</v>
      </c>
      <c r="T48">
        <f t="shared" ref="T48" si="219">S48/1000</f>
        <v>-171.49012683046095</v>
      </c>
    </row>
    <row r="49" spans="1:20" x14ac:dyDescent="0.25">
      <c r="A49" s="5">
        <v>44544</v>
      </c>
      <c r="B49">
        <v>2.0830000000000001E-2</v>
      </c>
      <c r="C49">
        <v>2.3E-2</v>
      </c>
      <c r="D49">
        <v>2.0480000000000002E-2</v>
      </c>
      <c r="E49">
        <v>2.1329999999999998E-2</v>
      </c>
      <c r="F49">
        <v>497758529.89999998</v>
      </c>
      <c r="G49">
        <v>2.1329999999999998E-2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-0.32539682539682757</v>
      </c>
      <c r="Q49">
        <f t="shared" ref="Q49" si="221">F49*P49</f>
        <v>-161969045.44365185</v>
      </c>
      <c r="R49">
        <f t="shared" ref="R49" si="222">R50+Q49</f>
        <v>-17805734302.310543</v>
      </c>
      <c r="S49">
        <f t="shared" ref="S49" si="223">R49/100000</f>
        <v>-178057.34302310544</v>
      </c>
      <c r="T49">
        <f t="shared" ref="T49" si="224">S49/1000</f>
        <v>-178.05734302310543</v>
      </c>
    </row>
    <row r="50" spans="1:20" x14ac:dyDescent="0.25">
      <c r="A50" s="5">
        <v>44543</v>
      </c>
      <c r="B50">
        <v>2.46E-2</v>
      </c>
      <c r="C50">
        <v>2.4709999999999999E-2</v>
      </c>
      <c r="D50">
        <v>2.0660000000000001E-2</v>
      </c>
      <c r="E50">
        <v>2.0820000000000002E-2</v>
      </c>
      <c r="F50">
        <v>499557277.60000002</v>
      </c>
      <c r="G50">
        <v>2.0820000000000002E-2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-0.92098765432098739</v>
      </c>
      <c r="Q50">
        <f t="shared" ref="Q50" si="226">F50*P50</f>
        <v>-460086085.29580235</v>
      </c>
      <c r="R50">
        <f t="shared" ref="R50" si="227">R51+Q50</f>
        <v>-17643765256.86689</v>
      </c>
      <c r="S50">
        <f t="shared" ref="S50" si="228">R50/100000</f>
        <v>-176437.65256866891</v>
      </c>
      <c r="T50">
        <f t="shared" ref="T50" si="229">S50/1000</f>
        <v>-176.43765256866891</v>
      </c>
    </row>
    <row r="51" spans="1:20" x14ac:dyDescent="0.25">
      <c r="A51" s="5">
        <v>44542</v>
      </c>
      <c r="B51">
        <v>2.5010000000000001E-2</v>
      </c>
      <c r="C51">
        <v>2.5839999999999998E-2</v>
      </c>
      <c r="D51">
        <v>2.385E-2</v>
      </c>
      <c r="E51">
        <v>2.4590000000000001E-2</v>
      </c>
      <c r="F51">
        <v>533063704.19999999</v>
      </c>
      <c r="G51">
        <v>2.4590000000000001E-2</v>
      </c>
      <c r="L51" t="s">
        <v>7</v>
      </c>
      <c r="M51" t="s">
        <v>7</v>
      </c>
      <c r="N51" t="s">
        <v>7</v>
      </c>
      <c r="P51">
        <f t="shared" ref="P51" si="230">IF(C51=D51,0,((E51-D51)-(C51-E51))/(C51-D51))</f>
        <v>-0.25628140703517432</v>
      </c>
      <c r="Q51">
        <f t="shared" ref="Q51" si="231">F51*P51</f>
        <v>-136614316.15175796</v>
      </c>
      <c r="R51">
        <f t="shared" ref="R51" si="232">R52+Q51</f>
        <v>-17183679171.571087</v>
      </c>
      <c r="S51">
        <f t="shared" ref="S51" si="233">R51/100000</f>
        <v>-171836.79171571086</v>
      </c>
      <c r="T51">
        <f t="shared" ref="T51" si="234">S51/1000</f>
        <v>-171.83679171571086</v>
      </c>
    </row>
    <row r="52" spans="1:20" x14ac:dyDescent="0.25">
      <c r="A52" s="5">
        <v>44541</v>
      </c>
      <c r="B52">
        <v>2.58E-2</v>
      </c>
      <c r="C52">
        <v>2.6749999999999999E-2</v>
      </c>
      <c r="D52">
        <v>2.5309999999999999E-2</v>
      </c>
      <c r="E52">
        <v>2.6249999999999999E-2</v>
      </c>
      <c r="F52">
        <v>31040259.699999999</v>
      </c>
      <c r="G52">
        <v>2.6249999999999999E-2</v>
      </c>
      <c r="L52" t="s">
        <v>8</v>
      </c>
      <c r="M52" t="s">
        <v>7</v>
      </c>
      <c r="N52" t="s">
        <v>8</v>
      </c>
      <c r="P52">
        <f t="shared" ref="P52" si="235">IF(C52=D52,0,((E52-D52)-(C52-E52))/(C52-D52))</f>
        <v>0.30555555555555508</v>
      </c>
      <c r="Q52">
        <f t="shared" ref="Q52" si="236">F52*P52</f>
        <v>9484523.7972222064</v>
      </c>
      <c r="R52">
        <f t="shared" ref="R52" si="237">R53+Q52</f>
        <v>-17047064855.419331</v>
      </c>
      <c r="S52">
        <f t="shared" ref="S52" si="238">R52/100000</f>
        <v>-170470.64855419329</v>
      </c>
      <c r="T52">
        <f t="shared" ref="T52" si="239">S52/1000</f>
        <v>-170.4706485541933</v>
      </c>
    </row>
    <row r="53" spans="1:20" x14ac:dyDescent="0.25">
      <c r="A53" s="5">
        <v>44540</v>
      </c>
      <c r="B53">
        <v>2.945E-2</v>
      </c>
      <c r="C53">
        <v>3.1669999999999997E-2</v>
      </c>
      <c r="D53">
        <v>2.4930000000000001E-2</v>
      </c>
      <c r="E53">
        <v>2.581E-2</v>
      </c>
      <c r="F53">
        <v>1758320421.7</v>
      </c>
      <c r="G53">
        <v>2.581E-2</v>
      </c>
      <c r="L53" t="s">
        <v>7</v>
      </c>
      <c r="M53" t="s">
        <v>7</v>
      </c>
      <c r="N53" t="s">
        <v>8</v>
      </c>
      <c r="P53">
        <f t="shared" ref="P53" si="240">IF(C53=D53,0,((E53-D53)-(C53-E53))/(C53-D53))</f>
        <v>-0.73887240356083106</v>
      </c>
      <c r="Q53">
        <f t="shared" ref="Q53" si="241">F53*P53</f>
        <v>-1299174436.2115731</v>
      </c>
      <c r="R53">
        <f t="shared" ref="R53" si="242">R54+Q53</f>
        <v>-17056549379.216553</v>
      </c>
      <c r="S53">
        <f t="shared" ref="S53" si="243">R53/100000</f>
        <v>-170565.49379216554</v>
      </c>
      <c r="T53">
        <f t="shared" ref="T53" si="244">S53/1000</f>
        <v>-170.56549379216554</v>
      </c>
    </row>
    <row r="54" spans="1:20" x14ac:dyDescent="0.25">
      <c r="A54" s="5">
        <v>44539</v>
      </c>
      <c r="B54">
        <v>2.358E-2</v>
      </c>
      <c r="C54">
        <v>3.3989999999999999E-2</v>
      </c>
      <c r="D54">
        <v>2.3550000000000001E-2</v>
      </c>
      <c r="E54">
        <v>2.9499999999999998E-2</v>
      </c>
      <c r="F54">
        <v>4831157904</v>
      </c>
      <c r="G54">
        <v>2.9499999999999998E-2</v>
      </c>
      <c r="L54" t="s">
        <v>8</v>
      </c>
      <c r="M54" t="s">
        <v>8</v>
      </c>
      <c r="N54" t="s">
        <v>8</v>
      </c>
      <c r="P54">
        <f t="shared" ref="P54" si="245">IF(C54=D54,0,((E54-D54)-(C54-E54))/(C54-D54))</f>
        <v>0.13984674329501881</v>
      </c>
      <c r="Q54">
        <f t="shared" ref="Q54" si="246">F54*P54</f>
        <v>675621699.21838915</v>
      </c>
      <c r="R54">
        <f t="shared" ref="R54" si="247">R55+Q54</f>
        <v>-15757374943.00498</v>
      </c>
      <c r="S54">
        <f t="shared" ref="S54" si="248">R54/100000</f>
        <v>-157573.74943004979</v>
      </c>
      <c r="T54">
        <f t="shared" ref="T54" si="249">S54/1000</f>
        <v>-157.57374943004979</v>
      </c>
    </row>
    <row r="55" spans="1:20" x14ac:dyDescent="0.25">
      <c r="A55" s="5">
        <v>44538</v>
      </c>
      <c r="B55">
        <v>2.461E-2</v>
      </c>
      <c r="C55">
        <v>2.5190000000000001E-2</v>
      </c>
      <c r="D55">
        <v>2.2790000000000001E-2</v>
      </c>
      <c r="E55">
        <v>2.359E-2</v>
      </c>
      <c r="F55">
        <v>765315232.20000005</v>
      </c>
      <c r="G55">
        <v>2.359E-2</v>
      </c>
      <c r="L55" t="s">
        <v>7</v>
      </c>
      <c r="M55" t="s">
        <v>7</v>
      </c>
      <c r="N55" t="s">
        <v>7</v>
      </c>
      <c r="P55">
        <f t="shared" ref="P55" si="250">IF(C55=D55,0,((E55-D55)-(C55-E55))/(C55-D55))</f>
        <v>-0.33333333333333431</v>
      </c>
      <c r="Q55">
        <f t="shared" ref="Q55" si="251">F55*P55</f>
        <v>-255105077.40000078</v>
      </c>
      <c r="R55">
        <f t="shared" ref="R55" si="252">R56+Q55</f>
        <v>-16432996642.22337</v>
      </c>
      <c r="S55">
        <f t="shared" ref="S55" si="253">R55/100000</f>
        <v>-164329.9664222337</v>
      </c>
      <c r="T55">
        <f t="shared" ref="T55" si="254">S55/1000</f>
        <v>-164.3299664222337</v>
      </c>
    </row>
    <row r="56" spans="1:20" x14ac:dyDescent="0.25">
      <c r="A56" s="5">
        <v>44537</v>
      </c>
      <c r="B56">
        <v>2.5739999999999999E-2</v>
      </c>
      <c r="C56">
        <v>2.9860000000000001E-2</v>
      </c>
      <c r="D56">
        <v>2.383E-2</v>
      </c>
      <c r="E56">
        <v>2.461E-2</v>
      </c>
      <c r="F56">
        <v>1535880953.3</v>
      </c>
      <c r="G56">
        <v>2.461E-2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-0.74129353233830864</v>
      </c>
      <c r="Q56">
        <f t="shared" ref="Q56" si="256">F56*P56</f>
        <v>-1138538617.1228857</v>
      </c>
      <c r="R56">
        <f t="shared" ref="R56" si="257">R57+Q56</f>
        <v>-16177891564.823368</v>
      </c>
      <c r="S56">
        <f t="shared" ref="S56" si="258">R56/100000</f>
        <v>-161778.91564823367</v>
      </c>
      <c r="T56">
        <f t="shared" ref="T56" si="259">S56/1000</f>
        <v>-161.77891564823366</v>
      </c>
    </row>
    <row r="57" spans="1:20" x14ac:dyDescent="0.25">
      <c r="A57" s="5">
        <v>44536</v>
      </c>
      <c r="B57">
        <v>2.6360000000000001E-2</v>
      </c>
      <c r="C57">
        <v>2.742E-2</v>
      </c>
      <c r="D57">
        <v>2.24E-2</v>
      </c>
      <c r="E57">
        <v>2.5780000000000001E-2</v>
      </c>
      <c r="F57">
        <v>2025120860.0999999</v>
      </c>
      <c r="G57">
        <v>2.5780000000000001E-2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0.34661354581673343</v>
      </c>
      <c r="Q57">
        <f t="shared" ref="Q57" si="261">F57*P57</f>
        <v>701934322.02669394</v>
      </c>
      <c r="R57">
        <f t="shared" ref="R57" si="262">R58+Q57</f>
        <v>-15039352947.700483</v>
      </c>
      <c r="S57">
        <f t="shared" ref="S57" si="263">R57/100000</f>
        <v>-150393.52947700483</v>
      </c>
      <c r="T57">
        <f t="shared" ref="T57" si="264">S57/1000</f>
        <v>-150.39352947700485</v>
      </c>
    </row>
    <row r="58" spans="1:20" x14ac:dyDescent="0.25">
      <c r="A58" s="5">
        <v>44535</v>
      </c>
      <c r="B58">
        <v>2.9909999999999999E-2</v>
      </c>
      <c r="C58">
        <v>3.4200000000000001E-2</v>
      </c>
      <c r="D58">
        <v>2.5899999999999999E-2</v>
      </c>
      <c r="E58">
        <v>2.6339999999999999E-2</v>
      </c>
      <c r="F58">
        <v>2596254175.9000001</v>
      </c>
      <c r="G58">
        <v>2.6339999999999999E-2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-0.893975903614458</v>
      </c>
      <c r="Q58">
        <f t="shared" ref="Q58" si="266">F58*P58</f>
        <v>-2320988672.9130125</v>
      </c>
      <c r="R58">
        <f t="shared" ref="R58" si="267">R59+Q58</f>
        <v>-15741287269.727177</v>
      </c>
      <c r="S58">
        <f t="shared" ref="S58" si="268">R58/100000</f>
        <v>-157412.87269727176</v>
      </c>
      <c r="T58">
        <f t="shared" ref="T58" si="269">S58/1000</f>
        <v>-157.41287269727175</v>
      </c>
    </row>
    <row r="59" spans="1:20" x14ac:dyDescent="0.25">
      <c r="A59" s="5">
        <v>44534</v>
      </c>
      <c r="B59">
        <v>4.9630000000000001E-2</v>
      </c>
      <c r="C59">
        <v>5.8889999999999998E-2</v>
      </c>
      <c r="D59">
        <v>2.4500000000000001E-2</v>
      </c>
      <c r="E59">
        <v>2.9909999999999999E-2</v>
      </c>
      <c r="F59">
        <v>10632888903</v>
      </c>
      <c r="G59">
        <v>2.9909999999999999E-2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-0.68537365513230597</v>
      </c>
      <c r="Q59">
        <f t="shared" ref="Q59" si="271">F59*P59</f>
        <v>-7287501932.0648451</v>
      </c>
      <c r="R59">
        <f t="shared" ref="R59" si="272">R60+Q59</f>
        <v>-13420298596.814165</v>
      </c>
      <c r="S59">
        <f t="shared" ref="S59" si="273">R59/100000</f>
        <v>-134202.98596814164</v>
      </c>
      <c r="T59">
        <f t="shared" ref="T59" si="274">S59/1000</f>
        <v>-134.20298596814163</v>
      </c>
    </row>
    <row r="60" spans="1:20" x14ac:dyDescent="0.25">
      <c r="A60" s="5">
        <v>44533</v>
      </c>
      <c r="B60">
        <v>2.4369999999999999E-2</v>
      </c>
      <c r="C60">
        <v>6.5000000000000002E-2</v>
      </c>
      <c r="D60">
        <v>2.2669999999999999E-2</v>
      </c>
      <c r="E60">
        <v>4.9700000000000001E-2</v>
      </c>
      <c r="F60">
        <v>13436811710.1</v>
      </c>
      <c r="G60">
        <v>4.9700000000000001E-2</v>
      </c>
      <c r="L60" t="s">
        <v>8</v>
      </c>
      <c r="M60" t="s">
        <v>8</v>
      </c>
      <c r="N60" t="s">
        <v>8</v>
      </c>
      <c r="P60">
        <f t="shared" ref="P60" si="275">IF(C60=D60,0,((E60-D60)-(C60-E60))/(C60-D60))</f>
        <v>0.27710843373493976</v>
      </c>
      <c r="Q60">
        <f t="shared" ref="Q60" si="276">F60*P60</f>
        <v>3723453847.3771086</v>
      </c>
      <c r="R60">
        <f t="shared" ref="R60" si="277">R61+Q60</f>
        <v>-6132796664.74932</v>
      </c>
      <c r="S60">
        <f t="shared" ref="S60" si="278">R60/100000</f>
        <v>-61327.966647493202</v>
      </c>
      <c r="T60">
        <f t="shared" ref="T60" si="279">S60/1000</f>
        <v>-61.327966647493199</v>
      </c>
    </row>
    <row r="61" spans="1:20" x14ac:dyDescent="0.25">
      <c r="A61" s="5">
        <v>44532</v>
      </c>
      <c r="B61">
        <v>2.12E-2</v>
      </c>
      <c r="C61">
        <v>2.614E-2</v>
      </c>
      <c r="D61">
        <v>2.0400000000000001E-2</v>
      </c>
      <c r="E61">
        <v>2.4379999999999999E-2</v>
      </c>
      <c r="F61">
        <v>1274882378.3</v>
      </c>
      <c r="G61">
        <v>2.4379999999999999E-2</v>
      </c>
      <c r="L61" t="s">
        <v>7</v>
      </c>
      <c r="M61" t="s">
        <v>8</v>
      </c>
      <c r="N61" t="s">
        <v>7</v>
      </c>
      <c r="P61">
        <f t="shared" ref="P61" si="280">IF(C61=D61,0,((E61-D61)-(C61-E61))/(C61-D61))</f>
        <v>0.38675958188153253</v>
      </c>
      <c r="Q61">
        <f t="shared" ref="Q61" si="281">F61*P61</f>
        <v>493072975.57944179</v>
      </c>
      <c r="R61">
        <f t="shared" ref="R61" si="282">R62+Q61</f>
        <v>-9856250512.1264286</v>
      </c>
      <c r="S61">
        <f t="shared" ref="S61" si="283">R61/100000</f>
        <v>-98562.505121264287</v>
      </c>
      <c r="T61">
        <f t="shared" ref="T61" si="284">S61/1000</f>
        <v>-98.56250512126428</v>
      </c>
    </row>
    <row r="62" spans="1:20" x14ac:dyDescent="0.25">
      <c r="A62" s="5">
        <v>44531</v>
      </c>
      <c r="B62">
        <v>2.1090000000000001E-2</v>
      </c>
      <c r="C62">
        <v>2.179E-2</v>
      </c>
      <c r="D62">
        <v>2.0879999999999999E-2</v>
      </c>
      <c r="E62">
        <v>2.121E-2</v>
      </c>
      <c r="F62">
        <v>122834659.59999999</v>
      </c>
      <c r="G62">
        <v>2.121E-2</v>
      </c>
      <c r="L62" t="s">
        <v>7</v>
      </c>
      <c r="M62" t="s">
        <v>8</v>
      </c>
      <c r="N62" t="s">
        <v>7</v>
      </c>
      <c r="P62">
        <f t="shared" ref="P62" si="285">IF(C62=D62,0,((E62-D62)-(C62-E62))/(C62-D62))</f>
        <v>-0.27472527472527464</v>
      </c>
      <c r="Q62">
        <f t="shared" ref="Q62" si="286">F62*P62</f>
        <v>-33745785.604395591</v>
      </c>
      <c r="R62">
        <f t="shared" ref="R62" si="287">R63+Q62</f>
        <v>-10349323487.70587</v>
      </c>
      <c r="S62">
        <f t="shared" ref="S62" si="288">R62/100000</f>
        <v>-103493.2348770587</v>
      </c>
      <c r="T62">
        <f t="shared" ref="T62" si="289">S62/1000</f>
        <v>-103.4932348770587</v>
      </c>
    </row>
    <row r="63" spans="1:20" x14ac:dyDescent="0.25">
      <c r="A63" s="5">
        <v>44530</v>
      </c>
      <c r="B63">
        <v>2.2259999999999999E-2</v>
      </c>
      <c r="C63">
        <v>2.2440000000000002E-2</v>
      </c>
      <c r="D63">
        <v>2.068E-2</v>
      </c>
      <c r="E63">
        <v>2.1080000000000002E-2</v>
      </c>
      <c r="F63">
        <v>164644517</v>
      </c>
      <c r="G63">
        <v>2.1080000000000002E-2</v>
      </c>
      <c r="L63" t="s">
        <v>7</v>
      </c>
      <c r="M63" t="s">
        <v>8</v>
      </c>
      <c r="N63" t="s">
        <v>7</v>
      </c>
      <c r="P63">
        <f t="shared" ref="P63" si="290">IF(C63=D63,0,((E63-D63)-(C63-E63))/(C63-D63))</f>
        <v>-0.54545454545454453</v>
      </c>
      <c r="Q63">
        <f t="shared" ref="Q63" si="291">F63*P63</f>
        <v>-89806100.181818023</v>
      </c>
      <c r="R63">
        <f t="shared" ref="R63" si="292">R64+Q63</f>
        <v>-10315577702.101475</v>
      </c>
      <c r="S63">
        <f t="shared" ref="S63" si="293">R63/100000</f>
        <v>-103155.77702101474</v>
      </c>
      <c r="T63">
        <f t="shared" ref="T63" si="294">S63/1000</f>
        <v>-103.15577702101474</v>
      </c>
    </row>
    <row r="64" spans="1:20" x14ac:dyDescent="0.25">
      <c r="A64" s="5">
        <v>44529</v>
      </c>
      <c r="B64">
        <v>2.1190000000000001E-2</v>
      </c>
      <c r="C64">
        <v>2.35E-2</v>
      </c>
      <c r="D64">
        <v>2.0559999999999998E-2</v>
      </c>
      <c r="E64">
        <v>2.2239999999999999E-2</v>
      </c>
      <c r="F64">
        <v>558068473.29999995</v>
      </c>
      <c r="G64">
        <v>2.2239999999999999E-2</v>
      </c>
      <c r="L64" t="s">
        <v>8</v>
      </c>
      <c r="M64" t="s">
        <v>8</v>
      </c>
      <c r="N64" t="s">
        <v>7</v>
      </c>
      <c r="P64">
        <f t="shared" ref="P64" si="295">IF(C64=D64,0,((E64-D64)-(C64-E64))/(C64-D64))</f>
        <v>0.14285714285714285</v>
      </c>
      <c r="Q64">
        <f t="shared" ref="Q64" si="296">F64*P64</f>
        <v>79724067.614285707</v>
      </c>
      <c r="R64">
        <f t="shared" ref="R64" si="297">R65+Q64</f>
        <v>-10225771601.919657</v>
      </c>
      <c r="S64">
        <f t="shared" ref="S64" si="298">R64/100000</f>
        <v>-102257.71601919657</v>
      </c>
      <c r="T64">
        <f t="shared" ref="T64" si="299">S64/1000</f>
        <v>-102.25771601919656</v>
      </c>
    </row>
    <row r="65" spans="1:20" x14ac:dyDescent="0.25">
      <c r="A65" s="5">
        <v>44528</v>
      </c>
      <c r="B65">
        <v>2.078E-2</v>
      </c>
      <c r="C65">
        <v>2.1270000000000001E-2</v>
      </c>
      <c r="D65">
        <v>1.9449999999999999E-2</v>
      </c>
      <c r="E65">
        <v>2.1190000000000001E-2</v>
      </c>
      <c r="F65">
        <v>179926562</v>
      </c>
      <c r="G65">
        <v>2.1190000000000001E-2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0.91208791208791196</v>
      </c>
      <c r="Q65">
        <f t="shared" ref="Q65" si="301">F65*P65</f>
        <v>164108842.26373625</v>
      </c>
      <c r="R65">
        <f t="shared" ref="R65" si="302">R66+Q65</f>
        <v>-10305495669.533943</v>
      </c>
      <c r="S65">
        <f t="shared" ref="S65" si="303">R65/100000</f>
        <v>-103054.95669533944</v>
      </c>
      <c r="T65">
        <f t="shared" ref="T65" si="304">S65/1000</f>
        <v>-103.05495669533944</v>
      </c>
    </row>
    <row r="66" spans="1:20" x14ac:dyDescent="0.25">
      <c r="A66" s="5">
        <v>44527</v>
      </c>
      <c r="B66">
        <v>1.9890000000000001E-2</v>
      </c>
      <c r="C66">
        <v>2.1430000000000001E-2</v>
      </c>
      <c r="D66">
        <v>1.9810000000000001E-2</v>
      </c>
      <c r="E66">
        <v>2.085E-2</v>
      </c>
      <c r="F66">
        <v>146644550.5</v>
      </c>
      <c r="G66">
        <v>2.085E-2</v>
      </c>
      <c r="L66" t="s">
        <v>8</v>
      </c>
      <c r="M66" t="s">
        <v>7</v>
      </c>
      <c r="N66" t="s">
        <v>7</v>
      </c>
      <c r="P66">
        <f t="shared" ref="P66" si="305">IF(C66=D66,0,((E66-D66)-(C66-E66))/(C66-D66))</f>
        <v>0.28395061728394977</v>
      </c>
      <c r="Q66">
        <f t="shared" ref="Q66" si="306">F66*P66</f>
        <v>41639810.635802343</v>
      </c>
      <c r="R66">
        <f t="shared" ref="R66" si="307">R67+Q66</f>
        <v>-10469604511.79768</v>
      </c>
      <c r="S66">
        <f t="shared" ref="S66" si="308">R66/100000</f>
        <v>-104696.0451179768</v>
      </c>
      <c r="T66">
        <f t="shared" ref="T66" si="309">S66/1000</f>
        <v>-104.69604511797679</v>
      </c>
    </row>
    <row r="67" spans="1:20" x14ac:dyDescent="0.25">
      <c r="A67" s="5">
        <v>44526</v>
      </c>
      <c r="B67">
        <v>2.2790000000000001E-2</v>
      </c>
      <c r="C67">
        <v>2.2919999999999999E-2</v>
      </c>
      <c r="D67">
        <v>1.9560000000000001E-2</v>
      </c>
      <c r="E67">
        <v>1.9910000000000001E-2</v>
      </c>
      <c r="F67">
        <v>203943325.30000001</v>
      </c>
      <c r="G67">
        <v>1.9910000000000001E-2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-0.79166666666666674</v>
      </c>
      <c r="Q67">
        <f t="shared" ref="Q67" si="311">F67*P67</f>
        <v>-161455132.5291667</v>
      </c>
      <c r="R67">
        <f t="shared" ref="R67" si="312">R68+Q67</f>
        <v>-10511244322.433483</v>
      </c>
      <c r="S67">
        <f t="shared" ref="S67" si="313">R67/100000</f>
        <v>-105112.44322433483</v>
      </c>
      <c r="T67">
        <f t="shared" ref="T67" si="314">S67/1000</f>
        <v>-105.11244322433483</v>
      </c>
    </row>
    <row r="68" spans="1:20" x14ac:dyDescent="0.25">
      <c r="A68" s="5">
        <v>44525</v>
      </c>
      <c r="B68">
        <v>2.1950000000000001E-2</v>
      </c>
      <c r="C68">
        <v>2.3980000000000001E-2</v>
      </c>
      <c r="D68">
        <v>2.171E-2</v>
      </c>
      <c r="E68">
        <v>2.2769999999999999E-2</v>
      </c>
      <c r="F68">
        <v>293787843.5</v>
      </c>
      <c r="G68">
        <v>2.2769999999999999E-2</v>
      </c>
      <c r="L68" t="s">
        <v>7</v>
      </c>
      <c r="M68" t="s">
        <v>7</v>
      </c>
      <c r="N68" t="s">
        <v>8</v>
      </c>
      <c r="P68">
        <f t="shared" ref="P68" si="315">IF(C68=D68,0,((E68-D68)-(C68-E68))/(C68-D68))</f>
        <v>-6.6079295154186882E-2</v>
      </c>
      <c r="Q68">
        <f t="shared" ref="Q68" si="316">F68*P68</f>
        <v>-19413293.623348564</v>
      </c>
      <c r="R68">
        <f t="shared" ref="R68" si="317">R69+Q68</f>
        <v>-10349789189.904316</v>
      </c>
      <c r="S68">
        <f t="shared" ref="S68" si="318">R68/100000</f>
        <v>-103497.89189904316</v>
      </c>
      <c r="T68">
        <f t="shared" ref="T68" si="319">S68/1000</f>
        <v>-103.49789189904315</v>
      </c>
    </row>
    <row r="69" spans="1:20" x14ac:dyDescent="0.25">
      <c r="A69" s="5">
        <v>44524</v>
      </c>
      <c r="B69">
        <v>2.308E-2</v>
      </c>
      <c r="C69">
        <v>2.385E-2</v>
      </c>
      <c r="D69">
        <v>2.2339999999999999E-2</v>
      </c>
      <c r="E69">
        <v>2.3390000000000001E-2</v>
      </c>
      <c r="F69">
        <v>81641947</v>
      </c>
      <c r="G69">
        <v>2.3390000000000001E-2</v>
      </c>
      <c r="L69" t="s">
        <v>8</v>
      </c>
      <c r="M69" t="s">
        <v>7</v>
      </c>
      <c r="N69" t="s">
        <v>8</v>
      </c>
      <c r="P69">
        <f t="shared" ref="P69" si="320">IF(C69=D69,0,((E69-D69)-(C69-E69))/(C69-D69))</f>
        <v>0.39072847682119427</v>
      </c>
      <c r="Q69">
        <f t="shared" ref="Q69" si="321">F69*P69</f>
        <v>31899833.59602667</v>
      </c>
      <c r="R69">
        <f t="shared" ref="R69" si="322">R70+Q69</f>
        <v>-10330375896.280968</v>
      </c>
      <c r="S69">
        <f t="shared" ref="S69" si="323">R69/100000</f>
        <v>-103303.75896280968</v>
      </c>
      <c r="T69">
        <f t="shared" ref="T69" si="324">S69/1000</f>
        <v>-103.30375896280968</v>
      </c>
    </row>
    <row r="70" spans="1:20" x14ac:dyDescent="0.25">
      <c r="A70" s="5">
        <v>44523</v>
      </c>
      <c r="B70">
        <v>2.1590000000000002E-2</v>
      </c>
      <c r="C70">
        <v>2.452E-2</v>
      </c>
      <c r="D70">
        <v>2.1000000000000001E-2</v>
      </c>
      <c r="E70">
        <v>2.3089999999999999E-2</v>
      </c>
      <c r="F70">
        <v>448369359.39999998</v>
      </c>
      <c r="G70">
        <v>2.3089999999999999E-2</v>
      </c>
      <c r="L70" t="s">
        <v>7</v>
      </c>
      <c r="M70" t="s">
        <v>7</v>
      </c>
      <c r="N70" t="s">
        <v>8</v>
      </c>
      <c r="P70">
        <f t="shared" ref="P70" si="325">IF(C70=D70,0,((E70-D70)-(C70-E70))/(C70-D70))</f>
        <v>0.18749999999999933</v>
      </c>
      <c r="Q70">
        <f t="shared" ref="Q70" si="326">F70*P70</f>
        <v>84069254.88749969</v>
      </c>
      <c r="R70">
        <f t="shared" ref="R70" si="327">R71+Q70</f>
        <v>-10362275729.876995</v>
      </c>
      <c r="S70">
        <f t="shared" ref="S70" si="328">R70/100000</f>
        <v>-103622.75729876995</v>
      </c>
      <c r="T70">
        <f t="shared" ref="T70" si="329">S70/1000</f>
        <v>-103.62275729876995</v>
      </c>
    </row>
    <row r="71" spans="1:20" x14ac:dyDescent="0.25">
      <c r="A71" s="5">
        <v>44522</v>
      </c>
      <c r="B71">
        <v>2.2460000000000001E-2</v>
      </c>
      <c r="C71">
        <v>2.3259999999999999E-2</v>
      </c>
      <c r="D71">
        <v>2.137E-2</v>
      </c>
      <c r="E71">
        <v>2.1590000000000002E-2</v>
      </c>
      <c r="F71">
        <v>240177334.80000001</v>
      </c>
      <c r="G71">
        <v>2.1590000000000002E-2</v>
      </c>
      <c r="L71" t="s">
        <v>7</v>
      </c>
      <c r="M71" t="s">
        <v>7</v>
      </c>
      <c r="N71" t="s">
        <v>8</v>
      </c>
      <c r="P71">
        <f t="shared" ref="P71" si="330">IF(C71=D71,0,((E71-D71)-(C71-E71))/(C71-D71))</f>
        <v>-0.76719576719576554</v>
      </c>
      <c r="Q71">
        <f t="shared" ref="Q71" si="331">F71*P71</f>
        <v>-184263034.63492024</v>
      </c>
      <c r="R71">
        <f t="shared" ref="R71" si="332">R72+Q71</f>
        <v>-10446344984.764494</v>
      </c>
      <c r="S71">
        <f t="shared" ref="S71" si="333">R71/100000</f>
        <v>-104463.44984764494</v>
      </c>
      <c r="T71">
        <f t="shared" ref="T71" si="334">S71/1000</f>
        <v>-104.46344984764494</v>
      </c>
    </row>
    <row r="72" spans="1:20" x14ac:dyDescent="0.25">
      <c r="A72" s="5">
        <v>44521</v>
      </c>
      <c r="B72">
        <v>2.496E-2</v>
      </c>
      <c r="C72">
        <v>2.6290000000000001E-2</v>
      </c>
      <c r="D72">
        <v>2.2349999999999998E-2</v>
      </c>
      <c r="E72">
        <v>2.2429999999999999E-2</v>
      </c>
      <c r="F72">
        <v>732926812.39999998</v>
      </c>
      <c r="G72">
        <v>2.2429999999999999E-2</v>
      </c>
      <c r="L72" t="s">
        <v>7</v>
      </c>
      <c r="M72" t="s">
        <v>7</v>
      </c>
      <c r="N72" t="s">
        <v>8</v>
      </c>
      <c r="P72">
        <f t="shared" ref="P72" si="335">IF(C72=D72,0,((E72-D72)-(C72-E72))/(C72-D72))</f>
        <v>-0.95939086294416231</v>
      </c>
      <c r="Q72">
        <f t="shared" ref="Q72" si="336">F72*P72</f>
        <v>-703163287.02335012</v>
      </c>
      <c r="R72">
        <f t="shared" ref="R72" si="337">R73+Q72</f>
        <v>-10262081950.129574</v>
      </c>
      <c r="S72">
        <f t="shared" ref="S72" si="338">R72/100000</f>
        <v>-102620.81950129574</v>
      </c>
      <c r="T72">
        <f t="shared" ref="T72" si="339">S72/1000</f>
        <v>-102.62081950129574</v>
      </c>
    </row>
    <row r="73" spans="1:20" x14ac:dyDescent="0.25">
      <c r="A73" s="5">
        <v>44520</v>
      </c>
      <c r="B73">
        <v>2.019E-2</v>
      </c>
      <c r="C73">
        <v>2.7720000000000002E-2</v>
      </c>
      <c r="D73">
        <v>2.0109999999999999E-2</v>
      </c>
      <c r="E73">
        <v>2.4930000000000001E-2</v>
      </c>
      <c r="F73">
        <v>1822532469.0999999</v>
      </c>
      <c r="G73">
        <v>2.4930000000000001E-2</v>
      </c>
      <c r="L73" t="s">
        <v>8</v>
      </c>
      <c r="M73" t="s">
        <v>8</v>
      </c>
      <c r="N73" t="s">
        <v>8</v>
      </c>
      <c r="P73">
        <f t="shared" ref="P73" si="340">IF(C73=D73,0,((E73-D73)-(C73-E73))/(C73-D73))</f>
        <v>0.26675427069645202</v>
      </c>
      <c r="Q73">
        <f t="shared" ref="Q73" si="341">F73*P73</f>
        <v>486168319.61537445</v>
      </c>
      <c r="R73">
        <f t="shared" ref="R73" si="342">R74+Q73</f>
        <v>-9558918663.1062241</v>
      </c>
      <c r="S73">
        <f t="shared" ref="S73" si="343">R73/100000</f>
        <v>-95589.186631062243</v>
      </c>
      <c r="T73">
        <f t="shared" ref="T73" si="344">S73/1000</f>
        <v>-95.589186631062248</v>
      </c>
    </row>
    <row r="74" spans="1:20" x14ac:dyDescent="0.25">
      <c r="A74" s="5">
        <v>44519</v>
      </c>
      <c r="B74">
        <v>1.9199999999999998E-2</v>
      </c>
      <c r="C74">
        <v>2.0650000000000002E-2</v>
      </c>
      <c r="D74">
        <v>1.8610000000000002E-2</v>
      </c>
      <c r="E74">
        <v>2.0209999999999999E-2</v>
      </c>
      <c r="F74">
        <v>152109387.5</v>
      </c>
      <c r="G74">
        <v>2.0209999999999999E-2</v>
      </c>
      <c r="L74" t="s">
        <v>8</v>
      </c>
      <c r="M74" t="s">
        <v>7</v>
      </c>
      <c r="N74" t="s">
        <v>7</v>
      </c>
      <c r="P74">
        <f t="shared" ref="P74" si="345">IF(C74=D74,0,((E74-D74)-(C74-E74))/(C74-D74))</f>
        <v>0.56862745098038936</v>
      </c>
      <c r="Q74">
        <f t="shared" ref="Q74" si="346">F74*P74</f>
        <v>86493573.284313306</v>
      </c>
      <c r="R74">
        <f t="shared" ref="R74" si="347">R75+Q74</f>
        <v>-10045086982.721598</v>
      </c>
      <c r="S74">
        <f t="shared" ref="S74" si="348">R74/100000</f>
        <v>-100450.86982721598</v>
      </c>
      <c r="T74">
        <f t="shared" ref="T74" si="349">S74/1000</f>
        <v>-100.45086982721598</v>
      </c>
    </row>
    <row r="75" spans="1:20" x14ac:dyDescent="0.25">
      <c r="A75" s="5">
        <v>44518</v>
      </c>
      <c r="B75">
        <v>2.0979999999999999E-2</v>
      </c>
      <c r="C75">
        <v>2.1299999999999999E-2</v>
      </c>
      <c r="D75">
        <v>1.8429999999999998E-2</v>
      </c>
      <c r="E75">
        <v>1.9179999999999999E-2</v>
      </c>
      <c r="F75">
        <v>174015885.90000001</v>
      </c>
      <c r="G75">
        <v>1.9179999999999999E-2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-0.47735191637630636</v>
      </c>
      <c r="Q75">
        <f t="shared" ref="Q75" si="351">F75*P75</f>
        <v>-83066816.614285678</v>
      </c>
      <c r="R75">
        <f t="shared" ref="R75" si="352">R76+Q75</f>
        <v>-10131580556.005911</v>
      </c>
      <c r="S75">
        <f t="shared" ref="S75" si="353">R75/100000</f>
        <v>-101315.8055600591</v>
      </c>
      <c r="T75">
        <f t="shared" ref="T75" si="354">S75/1000</f>
        <v>-101.3158055600591</v>
      </c>
    </row>
    <row r="76" spans="1:20" x14ac:dyDescent="0.25">
      <c r="A76" s="5">
        <v>44517</v>
      </c>
      <c r="B76">
        <v>2.1170000000000001E-2</v>
      </c>
      <c r="C76">
        <v>2.1700000000000001E-2</v>
      </c>
      <c r="D76">
        <v>1.9869999999999999E-2</v>
      </c>
      <c r="E76">
        <v>2.0979999999999999E-2</v>
      </c>
      <c r="F76">
        <v>194132904.30000001</v>
      </c>
      <c r="G76">
        <v>2.0979999999999999E-2</v>
      </c>
      <c r="L76" t="s">
        <v>8</v>
      </c>
      <c r="M76" t="s">
        <v>7</v>
      </c>
      <c r="N76" t="s">
        <v>7</v>
      </c>
      <c r="P76">
        <f t="shared" ref="P76" si="355">IF(C76=D76,0,((E76-D76)-(C76-E76))/(C76-D76))</f>
        <v>0.21311475409835934</v>
      </c>
      <c r="Q76">
        <f t="shared" ref="Q76" si="356">F76*P76</f>
        <v>41372586.162294827</v>
      </c>
      <c r="R76">
        <f t="shared" ref="R76" si="357">R77+Q76</f>
        <v>-10048513739.391624</v>
      </c>
      <c r="S76">
        <f t="shared" ref="S76" si="358">R76/100000</f>
        <v>-100485.13739391624</v>
      </c>
      <c r="T76">
        <f t="shared" ref="T76" si="359">S76/1000</f>
        <v>-100.48513739391625</v>
      </c>
    </row>
    <row r="77" spans="1:20" x14ac:dyDescent="0.25">
      <c r="A77" s="5">
        <v>44516</v>
      </c>
      <c r="B77">
        <v>2.2499999999999999E-2</v>
      </c>
      <c r="C77">
        <v>2.2519999999999998E-2</v>
      </c>
      <c r="D77">
        <v>2.0039999999999999E-2</v>
      </c>
      <c r="E77">
        <v>2.1170000000000001E-2</v>
      </c>
      <c r="F77">
        <v>280605323.19999999</v>
      </c>
      <c r="G77">
        <v>2.1170000000000001E-2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-8.8709677419352637E-2</v>
      </c>
      <c r="Q77">
        <f t="shared" ref="Q77" si="361">F77*P77</f>
        <v>-24892407.703225188</v>
      </c>
      <c r="R77">
        <f t="shared" ref="R77" si="362">R78+Q77</f>
        <v>-10089886325.553919</v>
      </c>
      <c r="S77">
        <f t="shared" ref="S77" si="363">R77/100000</f>
        <v>-100898.86325553918</v>
      </c>
      <c r="T77">
        <f t="shared" ref="T77" si="364">S77/1000</f>
        <v>-100.89886325553918</v>
      </c>
    </row>
    <row r="78" spans="1:20" x14ac:dyDescent="0.25">
      <c r="A78" s="5">
        <v>44515</v>
      </c>
      <c r="B78">
        <v>2.3619999999999999E-2</v>
      </c>
      <c r="C78">
        <v>2.4289999999999999E-2</v>
      </c>
      <c r="D78">
        <v>2.239E-2</v>
      </c>
      <c r="E78">
        <v>2.2509999999999999E-2</v>
      </c>
      <c r="F78">
        <v>188182874.69999999</v>
      </c>
      <c r="G78">
        <v>2.2509999999999999E-2</v>
      </c>
      <c r="L78" t="s">
        <v>7</v>
      </c>
      <c r="M78" t="s">
        <v>7</v>
      </c>
      <c r="N78" t="s">
        <v>8</v>
      </c>
      <c r="P78">
        <f t="shared" ref="P78" si="365">IF(C78=D78,0,((E78-D78)-(C78-E78))/(C78-D78))</f>
        <v>-0.87368421052631717</v>
      </c>
      <c r="Q78">
        <f t="shared" ref="Q78" si="366">F78*P78</f>
        <v>-164412406.31684235</v>
      </c>
      <c r="R78">
        <f t="shared" ref="R78" si="367">R79+Q78</f>
        <v>-10064993917.850693</v>
      </c>
      <c r="S78">
        <f t="shared" ref="S78" si="368">R78/100000</f>
        <v>-100649.93917850693</v>
      </c>
      <c r="T78">
        <f t="shared" ref="T78" si="369">S78/1000</f>
        <v>-100.64993917850693</v>
      </c>
    </row>
    <row r="79" spans="1:20" x14ac:dyDescent="0.25">
      <c r="A79" s="5">
        <v>44514</v>
      </c>
      <c r="B79">
        <v>2.3939999999999999E-2</v>
      </c>
      <c r="C79">
        <v>2.5409999999999999E-2</v>
      </c>
      <c r="D79">
        <v>2.3310000000000001E-2</v>
      </c>
      <c r="E79">
        <v>2.3609999999999999E-2</v>
      </c>
      <c r="F79">
        <v>230183855.59999999</v>
      </c>
      <c r="G79">
        <v>2.3609999999999999E-2</v>
      </c>
      <c r="L79" t="s">
        <v>8</v>
      </c>
      <c r="M79" t="s">
        <v>7</v>
      </c>
      <c r="N79" t="s">
        <v>8</v>
      </c>
      <c r="P79">
        <f t="shared" ref="P79" si="370">IF(C79=D79,0,((E79-D79)-(C79-E79))/(C79-D79))</f>
        <v>-0.71428571428571574</v>
      </c>
      <c r="Q79">
        <f t="shared" ref="Q79" si="371">F79*P79</f>
        <v>-164417039.71428606</v>
      </c>
      <c r="R79">
        <f t="shared" ref="R79" si="372">R80+Q79</f>
        <v>-9900581511.5338497</v>
      </c>
      <c r="S79">
        <f t="shared" ref="S79" si="373">R79/100000</f>
        <v>-99005.815115338497</v>
      </c>
      <c r="T79">
        <f t="shared" ref="T79" si="374">S79/1000</f>
        <v>-99.005815115338493</v>
      </c>
    </row>
    <row r="80" spans="1:20" x14ac:dyDescent="0.25">
      <c r="A80" s="5">
        <v>44513</v>
      </c>
      <c r="B80">
        <v>2.383E-2</v>
      </c>
      <c r="C80">
        <v>2.537E-2</v>
      </c>
      <c r="D80">
        <v>2.3189999999999999E-2</v>
      </c>
      <c r="E80">
        <v>2.3980000000000001E-2</v>
      </c>
      <c r="F80">
        <v>354543813.19999999</v>
      </c>
      <c r="G80">
        <v>2.3980000000000001E-2</v>
      </c>
      <c r="L80" t="s">
        <v>7</v>
      </c>
      <c r="M80" t="s">
        <v>7</v>
      </c>
      <c r="N80" t="s">
        <v>8</v>
      </c>
      <c r="P80">
        <f t="shared" ref="P80" si="375">IF(C80=D80,0,((E80-D80)-(C80-E80))/(C80-D80))</f>
        <v>-0.27522935779816332</v>
      </c>
      <c r="Q80">
        <f t="shared" ref="Q80" si="376">F80*P80</f>
        <v>-97580866.018347979</v>
      </c>
      <c r="R80">
        <f t="shared" ref="R80" si="377">R81+Q80</f>
        <v>-9736164471.8195629</v>
      </c>
      <c r="S80">
        <f t="shared" ref="S80" si="378">R80/100000</f>
        <v>-97361.644718195632</v>
      </c>
      <c r="T80">
        <f t="shared" ref="T80" si="379">S80/1000</f>
        <v>-97.361644718195635</v>
      </c>
    </row>
    <row r="81" spans="1:20" x14ac:dyDescent="0.25">
      <c r="A81" s="5">
        <v>44512</v>
      </c>
      <c r="B81">
        <v>2.3640000000000001E-2</v>
      </c>
      <c r="C81">
        <v>2.9829999999999999E-2</v>
      </c>
      <c r="D81">
        <v>2.3140000000000001E-2</v>
      </c>
      <c r="E81">
        <v>2.3859999999999999E-2</v>
      </c>
      <c r="F81">
        <v>2245051482.0999999</v>
      </c>
      <c r="G81">
        <v>2.3859999999999999E-2</v>
      </c>
      <c r="L81" t="s">
        <v>8</v>
      </c>
      <c r="M81" t="s">
        <v>8</v>
      </c>
      <c r="N81" t="s">
        <v>8</v>
      </c>
      <c r="P81">
        <f t="shared" ref="P81" si="380">IF(C81=D81,0,((E81-D81)-(C81-E81))/(C81-D81))</f>
        <v>-0.78475336322869993</v>
      </c>
      <c r="Q81">
        <f t="shared" ref="Q81" si="381">F81*P81</f>
        <v>-1761811701.1995523</v>
      </c>
      <c r="R81">
        <f t="shared" ref="R81" si="382">R82+Q81</f>
        <v>-9638583605.8012142</v>
      </c>
      <c r="S81">
        <f t="shared" ref="S81" si="383">R81/100000</f>
        <v>-96385.836058012137</v>
      </c>
      <c r="T81">
        <f t="shared" ref="T81" si="384">S81/1000</f>
        <v>-96.385836058012131</v>
      </c>
    </row>
    <row r="82" spans="1:20" x14ac:dyDescent="0.25">
      <c r="A82" s="5">
        <v>44511</v>
      </c>
      <c r="B82">
        <v>2.112E-2</v>
      </c>
      <c r="C82">
        <v>2.5000000000000001E-2</v>
      </c>
      <c r="D82">
        <v>2.0590000000000001E-2</v>
      </c>
      <c r="E82">
        <v>2.3619999999999999E-2</v>
      </c>
      <c r="F82">
        <v>1025173043.2</v>
      </c>
      <c r="G82">
        <v>2.3619999999999999E-2</v>
      </c>
      <c r="L82" t="s">
        <v>8</v>
      </c>
      <c r="M82" t="s">
        <v>8</v>
      </c>
      <c r="N82" t="s">
        <v>8</v>
      </c>
      <c r="P82">
        <f t="shared" ref="P82" si="385">IF(C82=D82,0,((E82-D82)-(C82-E82))/(C82-D82))</f>
        <v>0.37414965986394444</v>
      </c>
      <c r="Q82">
        <f t="shared" ref="Q82" si="386">F82*P82</f>
        <v>383568145.41496485</v>
      </c>
      <c r="R82">
        <f t="shared" ref="R82" si="387">R83+Q82</f>
        <v>-7876771904.6016626</v>
      </c>
      <c r="S82">
        <f t="shared" ref="S82" si="388">R82/100000</f>
        <v>-78767.719046016631</v>
      </c>
      <c r="T82">
        <f t="shared" ref="T82" si="389">S82/1000</f>
        <v>-78.767719046016637</v>
      </c>
    </row>
    <row r="83" spans="1:20" x14ac:dyDescent="0.25">
      <c r="A83" s="5">
        <v>44510</v>
      </c>
      <c r="B83">
        <v>2.1520000000000001E-2</v>
      </c>
      <c r="C83">
        <v>2.3279999999999999E-2</v>
      </c>
      <c r="D83">
        <v>2.0729999999999998E-2</v>
      </c>
      <c r="E83">
        <v>2.1129999999999999E-2</v>
      </c>
      <c r="F83">
        <v>497150875.39999998</v>
      </c>
      <c r="G83">
        <v>2.1129999999999999E-2</v>
      </c>
      <c r="L83" t="s">
        <v>8</v>
      </c>
      <c r="M83" t="s">
        <v>8</v>
      </c>
      <c r="N83" t="s">
        <v>7</v>
      </c>
      <c r="P83">
        <f t="shared" ref="P83" si="390">IF(C83=D83,0,((E83-D83)-(C83-E83))/(C83-D83))</f>
        <v>-0.6862745098039208</v>
      </c>
      <c r="Q83">
        <f t="shared" ref="Q83" si="391">F83*P83</f>
        <v>-341181973.31372511</v>
      </c>
      <c r="R83">
        <f t="shared" ref="R83" si="392">R84+Q83</f>
        <v>-8260340050.0166273</v>
      </c>
      <c r="S83">
        <f t="shared" ref="S83" si="393">R83/100000</f>
        <v>-82603.400500166274</v>
      </c>
      <c r="T83">
        <f t="shared" ref="T83" si="394">S83/1000</f>
        <v>-82.603400500166273</v>
      </c>
    </row>
    <row r="84" spans="1:20" x14ac:dyDescent="0.25">
      <c r="A84" s="5">
        <v>44509</v>
      </c>
      <c r="B84">
        <v>2.1930000000000002E-2</v>
      </c>
      <c r="C84">
        <v>2.2009999999999998E-2</v>
      </c>
      <c r="D84">
        <v>2.1389999999999999E-2</v>
      </c>
      <c r="E84">
        <v>2.1520000000000001E-2</v>
      </c>
      <c r="F84">
        <v>131293276.3</v>
      </c>
      <c r="G84">
        <v>2.1520000000000001E-2</v>
      </c>
      <c r="L84" t="s">
        <v>8</v>
      </c>
      <c r="M84" t="s">
        <v>8</v>
      </c>
      <c r="N84" t="s">
        <v>7</v>
      </c>
      <c r="P84">
        <f t="shared" ref="P84" si="395">IF(C84=D84,0,((E84-D84)-(C84-E84))/(C84-D84))</f>
        <v>-0.58064516129031662</v>
      </c>
      <c r="Q84">
        <f t="shared" ref="Q84" si="396">F84*P84</f>
        <v>-76234805.593547598</v>
      </c>
      <c r="R84">
        <f t="shared" ref="R84" si="397">R85+Q84</f>
        <v>-7919158076.7029018</v>
      </c>
      <c r="S84">
        <f t="shared" ref="S84" si="398">R84/100000</f>
        <v>-79191.580767029023</v>
      </c>
      <c r="T84">
        <f t="shared" ref="T84" si="399">S84/1000</f>
        <v>-79.191580767029023</v>
      </c>
    </row>
    <row r="85" spans="1:20" x14ac:dyDescent="0.25">
      <c r="A85" s="5">
        <v>44508</v>
      </c>
      <c r="B85">
        <v>2.1819999999999999E-2</v>
      </c>
      <c r="C85">
        <v>2.248E-2</v>
      </c>
      <c r="D85">
        <v>2.1669999999999998E-2</v>
      </c>
      <c r="E85">
        <v>2.1930000000000002E-2</v>
      </c>
      <c r="F85">
        <v>149934634</v>
      </c>
      <c r="G85">
        <v>2.1930000000000002E-2</v>
      </c>
      <c r="L85" t="s">
        <v>8</v>
      </c>
      <c r="M85" t="s">
        <v>8</v>
      </c>
      <c r="N85" t="s">
        <v>7</v>
      </c>
      <c r="P85">
        <f t="shared" ref="P85" si="400">IF(C85=D85,0,((E85-D85)-(C85-E85))/(C85-D85))</f>
        <v>-0.3580246913580179</v>
      </c>
      <c r="Q85">
        <f t="shared" ref="Q85" si="401">F85*P85</f>
        <v>-53680301.061727375</v>
      </c>
      <c r="R85">
        <f t="shared" ref="R85" si="402">R86+Q85</f>
        <v>-7842923271.109354</v>
      </c>
      <c r="S85">
        <f t="shared" ref="S85" si="403">R85/100000</f>
        <v>-78429.232711093544</v>
      </c>
      <c r="T85">
        <f t="shared" ref="T85" si="404">S85/1000</f>
        <v>-78.429232711093547</v>
      </c>
    </row>
    <row r="86" spans="1:20" x14ac:dyDescent="0.25">
      <c r="A86" s="5">
        <v>44507</v>
      </c>
      <c r="B86">
        <v>2.1489999999999999E-2</v>
      </c>
      <c r="C86">
        <v>2.2190000000000001E-2</v>
      </c>
      <c r="D86">
        <v>2.138E-2</v>
      </c>
      <c r="E86">
        <v>2.1839999999999998E-2</v>
      </c>
      <c r="F86">
        <v>147688931.19999999</v>
      </c>
      <c r="G86">
        <v>2.1839999999999998E-2</v>
      </c>
      <c r="L86" t="s">
        <v>7</v>
      </c>
      <c r="M86" t="s">
        <v>8</v>
      </c>
      <c r="N86" t="s">
        <v>7</v>
      </c>
      <c r="P86">
        <f t="shared" ref="P86" si="405">IF(C86=D86,0,((E86-D86)-(C86-E86))/(C86-D86))</f>
        <v>0.13580246913579666</v>
      </c>
      <c r="Q86">
        <f t="shared" ref="Q86" si="406">F86*P86</f>
        <v>20056521.520986795</v>
      </c>
      <c r="R86">
        <f t="shared" ref="R86" si="407">R87+Q86</f>
        <v>-7789242970.0476265</v>
      </c>
      <c r="S86">
        <f t="shared" ref="S86" si="408">R86/100000</f>
        <v>-77892.429700476263</v>
      </c>
      <c r="T86">
        <f t="shared" ref="T86" si="409">S86/1000</f>
        <v>-77.892429700476256</v>
      </c>
    </row>
    <row r="87" spans="1:20" x14ac:dyDescent="0.25">
      <c r="A87" s="5">
        <v>44506</v>
      </c>
      <c r="B87">
        <v>2.164E-2</v>
      </c>
      <c r="C87">
        <v>2.2100000000000002E-2</v>
      </c>
      <c r="D87">
        <v>2.0879999999999999E-2</v>
      </c>
      <c r="E87">
        <v>2.1489999999999999E-2</v>
      </c>
      <c r="F87">
        <v>140130951.09999999</v>
      </c>
      <c r="G87">
        <v>2.1489999999999999E-2</v>
      </c>
      <c r="L87" t="s">
        <v>7</v>
      </c>
      <c r="M87" t="s">
        <v>8</v>
      </c>
      <c r="N87" t="s">
        <v>7</v>
      </c>
      <c r="P87">
        <f t="shared" ref="P87" si="410">IF(C87=D87,0,((E87-D87)-(C87-E87))/(C87-D87))</f>
        <v>-2.8438089770111537E-15</v>
      </c>
      <c r="Q87">
        <f t="shared" ref="Q87" si="411">F87*P87</f>
        <v>-3.9850565669529097E-7</v>
      </c>
      <c r="R87">
        <f t="shared" ref="R87" si="412">R88+Q87</f>
        <v>-7809299491.5686131</v>
      </c>
      <c r="S87">
        <f t="shared" ref="S87" si="413">R87/100000</f>
        <v>-78092.994915686126</v>
      </c>
      <c r="T87">
        <f t="shared" ref="T87" si="414">S87/1000</f>
        <v>-78.09299491568612</v>
      </c>
    </row>
    <row r="88" spans="1:20" x14ac:dyDescent="0.25">
      <c r="A88" s="5">
        <v>44505</v>
      </c>
      <c r="B88">
        <v>2.1360000000000001E-2</v>
      </c>
      <c r="C88">
        <v>2.2759999999999999E-2</v>
      </c>
      <c r="D88">
        <v>2.1170000000000001E-2</v>
      </c>
      <c r="E88">
        <v>2.163E-2</v>
      </c>
      <c r="F88">
        <v>390643237.89999998</v>
      </c>
      <c r="G88">
        <v>2.163E-2</v>
      </c>
      <c r="L88" t="s">
        <v>8</v>
      </c>
      <c r="M88" t="s">
        <v>8</v>
      </c>
      <c r="N88" t="s">
        <v>7</v>
      </c>
      <c r="P88">
        <f t="shared" ref="P88" si="415">IF(C88=D88,0,((E88-D88)-(C88-E88))/(C88-D88))</f>
        <v>-0.42138364779874304</v>
      </c>
      <c r="Q88">
        <f t="shared" ref="Q88" si="416">F88*P88</f>
        <v>-164610672.57421419</v>
      </c>
      <c r="R88">
        <f t="shared" ref="R88" si="417">R89+Q88</f>
        <v>-7809299491.5686131</v>
      </c>
      <c r="S88">
        <f t="shared" ref="S88" si="418">R88/100000</f>
        <v>-78092.994915686126</v>
      </c>
      <c r="T88">
        <f t="shared" ref="T88" si="419">S88/1000</f>
        <v>-78.09299491568612</v>
      </c>
    </row>
    <row r="89" spans="1:20" x14ac:dyDescent="0.25">
      <c r="A89" s="5">
        <v>44504</v>
      </c>
      <c r="B89">
        <v>2.0160000000000001E-2</v>
      </c>
      <c r="C89">
        <v>2.1999999999999999E-2</v>
      </c>
      <c r="D89">
        <v>1.9970000000000002E-2</v>
      </c>
      <c r="E89">
        <v>2.1360000000000001E-2</v>
      </c>
      <c r="F89">
        <v>598079827.10000002</v>
      </c>
      <c r="G89">
        <v>2.1360000000000001E-2</v>
      </c>
      <c r="L89" t="s">
        <v>8</v>
      </c>
      <c r="M89" t="s">
        <v>8</v>
      </c>
      <c r="N89" t="s">
        <v>7</v>
      </c>
      <c r="P89">
        <f t="shared" ref="P89" si="420">IF(C89=D89,0,((E89-D89)-(C89-E89))/(C89-D89))</f>
        <v>0.36945812807881862</v>
      </c>
      <c r="Q89">
        <f t="shared" ref="Q89" si="421">F89*P89</f>
        <v>220965453.36206949</v>
      </c>
      <c r="R89">
        <f t="shared" ref="R89" si="422">R90+Q89</f>
        <v>-7644688818.9943991</v>
      </c>
      <c r="S89">
        <f t="shared" ref="S89" si="423">R89/100000</f>
        <v>-76446.888189943988</v>
      </c>
      <c r="T89">
        <f t="shared" ref="T89" si="424">S89/1000</f>
        <v>-76.446888189943991</v>
      </c>
    </row>
    <row r="90" spans="1:20" x14ac:dyDescent="0.25">
      <c r="A90" s="5">
        <v>44503</v>
      </c>
      <c r="B90">
        <v>2.052E-2</v>
      </c>
      <c r="C90">
        <v>2.0729999999999998E-2</v>
      </c>
      <c r="D90">
        <v>1.9740000000000001E-2</v>
      </c>
      <c r="E90">
        <v>2.0160000000000001E-2</v>
      </c>
      <c r="F90">
        <v>216525480.40000001</v>
      </c>
      <c r="G90">
        <v>2.0160000000000001E-2</v>
      </c>
      <c r="L90" t="s">
        <v>7</v>
      </c>
      <c r="M90" t="s">
        <v>8</v>
      </c>
      <c r="N90" t="s">
        <v>7</v>
      </c>
      <c r="P90">
        <f t="shared" ref="P90" si="425">IF(C90=D90,0,((E90-D90)-(C90-E90))/(C90-D90))</f>
        <v>-0.15151515151514919</v>
      </c>
      <c r="Q90">
        <f t="shared" ref="Q90" si="426">F90*P90</f>
        <v>-32806890.969696466</v>
      </c>
      <c r="R90">
        <f t="shared" ref="R90" si="427">R91+Q90</f>
        <v>-7865654272.3564682</v>
      </c>
      <c r="S90">
        <f t="shared" ref="S90" si="428">R90/100000</f>
        <v>-78656.542723564678</v>
      </c>
      <c r="T90">
        <f t="shared" ref="T90" si="429">S90/1000</f>
        <v>-78.656542723564684</v>
      </c>
    </row>
    <row r="91" spans="1:20" x14ac:dyDescent="0.25">
      <c r="A91" s="5">
        <v>44502</v>
      </c>
      <c r="B91">
        <v>2.0500000000000001E-2</v>
      </c>
      <c r="C91">
        <v>2.077E-2</v>
      </c>
      <c r="D91">
        <v>2.0129999999999999E-2</v>
      </c>
      <c r="E91">
        <v>2.0500000000000001E-2</v>
      </c>
      <c r="F91">
        <v>159386870.90000001</v>
      </c>
      <c r="G91">
        <v>2.0500000000000001E-2</v>
      </c>
      <c r="L91" t="s">
        <v>7</v>
      </c>
      <c r="M91" t="s">
        <v>8</v>
      </c>
      <c r="N91" t="s">
        <v>7</v>
      </c>
      <c r="P91">
        <f t="shared" ref="P91" si="430">IF(C91=D91,0,((E91-D91)-(C91-E91))/(C91-D91))</f>
        <v>0.15625000000000405</v>
      </c>
      <c r="Q91">
        <f t="shared" ref="Q91" si="431">F91*P91</f>
        <v>24904198.578125648</v>
      </c>
      <c r="R91">
        <f t="shared" ref="R91" si="432">R92+Q91</f>
        <v>-7832847381.3867722</v>
      </c>
      <c r="S91">
        <f t="shared" ref="S91" si="433">R91/100000</f>
        <v>-78328.47381386772</v>
      </c>
      <c r="T91">
        <f t="shared" ref="T91" si="434">S91/1000</f>
        <v>-78.328473813867717</v>
      </c>
    </row>
    <row r="92" spans="1:20" x14ac:dyDescent="0.25">
      <c r="A92" s="5">
        <v>44501</v>
      </c>
      <c r="B92">
        <v>2.1190000000000001E-2</v>
      </c>
      <c r="C92">
        <v>2.1360000000000001E-2</v>
      </c>
      <c r="D92">
        <v>2.0219999999999998E-2</v>
      </c>
      <c r="E92">
        <v>2.0500000000000001E-2</v>
      </c>
      <c r="F92">
        <v>161838735.90000001</v>
      </c>
      <c r="G92">
        <v>2.0500000000000001E-2</v>
      </c>
      <c r="L92" t="s">
        <v>7</v>
      </c>
      <c r="M92" t="s">
        <v>8</v>
      </c>
      <c r="N92" t="s">
        <v>7</v>
      </c>
      <c r="P92">
        <f t="shared" ref="P92" si="435">IF(C92=D92,0,((E92-D92)-(C92-E92))/(C92-D92))</f>
        <v>-0.50877192982455799</v>
      </c>
      <c r="Q92">
        <f t="shared" ref="Q92" si="436">F92*P92</f>
        <v>-82339005.98420997</v>
      </c>
      <c r="R92">
        <f t="shared" ref="R92" si="437">R93+Q92</f>
        <v>-7857751579.9648981</v>
      </c>
      <c r="S92">
        <f t="shared" ref="S92" si="438">R92/100000</f>
        <v>-78577.515799648987</v>
      </c>
      <c r="T92">
        <f t="shared" ref="T92" si="439">S92/1000</f>
        <v>-78.577515799648992</v>
      </c>
    </row>
    <row r="93" spans="1:20" x14ac:dyDescent="0.25">
      <c r="A93" s="5">
        <v>44500</v>
      </c>
      <c r="B93">
        <v>2.001E-2</v>
      </c>
      <c r="C93">
        <v>2.1999999999999999E-2</v>
      </c>
      <c r="D93">
        <v>1.9279999999999999E-2</v>
      </c>
      <c r="E93">
        <v>2.121E-2</v>
      </c>
      <c r="F93">
        <v>446387909.60000002</v>
      </c>
      <c r="G93">
        <v>2.121E-2</v>
      </c>
      <c r="L93" t="s">
        <v>8</v>
      </c>
      <c r="M93" t="s">
        <v>8</v>
      </c>
      <c r="N93" t="s">
        <v>7</v>
      </c>
      <c r="P93">
        <f t="shared" ref="P93" si="440">IF(C93=D93,0,((E93-D93)-(C93-E93))/(C93-D93))</f>
        <v>0.41911764705882426</v>
      </c>
      <c r="Q93">
        <f t="shared" ref="Q93" si="441">F93*P93</f>
        <v>187089050.34705916</v>
      </c>
      <c r="R93">
        <f t="shared" ref="R93" si="442">R94+Q93</f>
        <v>-7775412573.9806881</v>
      </c>
      <c r="S93">
        <f t="shared" ref="S93" si="443">R93/100000</f>
        <v>-77754.125739806885</v>
      </c>
      <c r="T93">
        <f t="shared" ref="T93" si="444">S93/1000</f>
        <v>-77.754125739806881</v>
      </c>
    </row>
    <row r="94" spans="1:20" x14ac:dyDescent="0.25">
      <c r="A94" s="5">
        <v>44499</v>
      </c>
      <c r="B94">
        <v>2.0049999999999998E-2</v>
      </c>
      <c r="C94">
        <v>2.0799999999999999E-2</v>
      </c>
      <c r="D94">
        <v>1.958E-2</v>
      </c>
      <c r="E94">
        <v>2.001E-2</v>
      </c>
      <c r="F94">
        <v>238827105.59999999</v>
      </c>
      <c r="G94">
        <v>2.001E-2</v>
      </c>
      <c r="L94" t="s">
        <v>8</v>
      </c>
      <c r="M94" t="s">
        <v>7</v>
      </c>
      <c r="N94" t="s">
        <v>7</v>
      </c>
      <c r="P94">
        <f t="shared" ref="P94" si="445">IF(C94=D94,0,((E94-D94)-(C94-E94))/(C94-D94))</f>
        <v>-0.29508196721311436</v>
      </c>
      <c r="Q94">
        <f t="shared" ref="Q94" si="446">F94*P94</f>
        <v>-70473572.144262195</v>
      </c>
      <c r="R94">
        <f t="shared" ref="R94" si="447">R95+Q94</f>
        <v>-7962501624.3277473</v>
      </c>
      <c r="S94">
        <f t="shared" ref="S94" si="448">R94/100000</f>
        <v>-79625.016243277467</v>
      </c>
      <c r="T94">
        <f t="shared" ref="T94" si="449">S94/1000</f>
        <v>-79.625016243277472</v>
      </c>
    </row>
    <row r="95" spans="1:20" x14ac:dyDescent="0.25">
      <c r="A95" s="5">
        <v>44498</v>
      </c>
      <c r="B95">
        <v>1.968E-2</v>
      </c>
      <c r="C95">
        <v>2.035E-2</v>
      </c>
      <c r="D95">
        <v>1.941E-2</v>
      </c>
      <c r="E95">
        <v>2.0029999999999999E-2</v>
      </c>
      <c r="F95">
        <v>152820193.30000001</v>
      </c>
      <c r="G95">
        <v>2.0029999999999999E-2</v>
      </c>
      <c r="L95" t="s">
        <v>8</v>
      </c>
      <c r="M95" t="s">
        <v>7</v>
      </c>
      <c r="N95" t="s">
        <v>7</v>
      </c>
      <c r="P95">
        <f t="shared" ref="P95" si="450">IF(C95=D95,0,((E95-D95)-(C95-E95))/(C95-D95))</f>
        <v>0.3191489361702109</v>
      </c>
      <c r="Q95">
        <f t="shared" ref="Q95" si="451">F95*P95</f>
        <v>48772402.117020994</v>
      </c>
      <c r="R95">
        <f t="shared" ref="R95" si="452">R96+Q95</f>
        <v>-7892028052.183485</v>
      </c>
      <c r="S95">
        <f t="shared" ref="S95" si="453">R95/100000</f>
        <v>-78920.280521834851</v>
      </c>
      <c r="T95">
        <f t="shared" ref="T95" si="454">S95/1000</f>
        <v>-78.920280521834854</v>
      </c>
    </row>
    <row r="96" spans="1:20" x14ac:dyDescent="0.25">
      <c r="A96" s="5">
        <v>44497</v>
      </c>
      <c r="B96">
        <v>1.8700000000000001E-2</v>
      </c>
      <c r="C96">
        <v>2.0629999999999999E-2</v>
      </c>
      <c r="D96">
        <v>1.813E-2</v>
      </c>
      <c r="E96">
        <v>1.968E-2</v>
      </c>
      <c r="F96">
        <v>409037202.5</v>
      </c>
      <c r="G96">
        <v>1.968E-2</v>
      </c>
      <c r="L96" t="s">
        <v>7</v>
      </c>
      <c r="M96" t="s">
        <v>7</v>
      </c>
      <c r="N96" t="s">
        <v>7</v>
      </c>
      <c r="P96">
        <f t="shared" ref="P96" si="455">IF(C96=D96,0,((E96-D96)-(C96-E96))/(C96-D96))</f>
        <v>0.24000000000000005</v>
      </c>
      <c r="Q96">
        <f t="shared" ref="Q96" si="456">F96*P96</f>
        <v>98168928.600000024</v>
      </c>
      <c r="R96">
        <f t="shared" ref="R96" si="457">R97+Q96</f>
        <v>-7940800454.3005056</v>
      </c>
      <c r="S96">
        <f t="shared" ref="S96" si="458">R96/100000</f>
        <v>-79408.004543005052</v>
      </c>
      <c r="T96">
        <f t="shared" ref="T96" si="459">S96/1000</f>
        <v>-79.408004543005049</v>
      </c>
    </row>
    <row r="97" spans="1:20" x14ac:dyDescent="0.25">
      <c r="A97" s="5">
        <v>44496</v>
      </c>
      <c r="B97">
        <v>2.085E-2</v>
      </c>
      <c r="C97">
        <v>2.1059999999999999E-2</v>
      </c>
      <c r="D97">
        <v>1.864E-2</v>
      </c>
      <c r="E97">
        <v>1.8700000000000001E-2</v>
      </c>
      <c r="F97">
        <v>222885932.5</v>
      </c>
      <c r="G97">
        <v>1.8700000000000001E-2</v>
      </c>
      <c r="L97" t="s">
        <v>7</v>
      </c>
      <c r="M97" t="s">
        <v>7</v>
      </c>
      <c r="N97" t="s">
        <v>8</v>
      </c>
      <c r="P97">
        <f t="shared" ref="P97" si="460">IF(C97=D97,0,((E97-D97)-(C97-E97))/(C97-D97))</f>
        <v>-0.95041322314049503</v>
      </c>
      <c r="Q97">
        <f t="shared" ref="Q97" si="461">F97*P97</f>
        <v>-211833737.49999982</v>
      </c>
      <c r="R97">
        <f t="shared" ref="R97" si="462">R98+Q97</f>
        <v>-8038969382.900506</v>
      </c>
      <c r="S97">
        <f t="shared" ref="S97" si="463">R97/100000</f>
        <v>-80389.69382900506</v>
      </c>
      <c r="T97">
        <f t="shared" ref="T97" si="464">S97/1000</f>
        <v>-80.389693829005054</v>
      </c>
    </row>
    <row r="98" spans="1:20" x14ac:dyDescent="0.25">
      <c r="A98" s="5">
        <v>44495</v>
      </c>
      <c r="B98">
        <v>2.0979999999999999E-2</v>
      </c>
      <c r="C98">
        <v>2.1749999999999999E-2</v>
      </c>
      <c r="D98">
        <v>2.0670000000000001E-2</v>
      </c>
      <c r="E98">
        <v>2.085E-2</v>
      </c>
      <c r="F98">
        <v>189301599.80000001</v>
      </c>
      <c r="G98">
        <v>2.085E-2</v>
      </c>
      <c r="L98" t="s">
        <v>7</v>
      </c>
      <c r="M98" t="s">
        <v>7</v>
      </c>
      <c r="N98" t="s">
        <v>8</v>
      </c>
      <c r="P98">
        <f t="shared" ref="P98" si="465">IF(C98=D98,0,((E98-D98)-(C98-E98))/(C98-D98))</f>
        <v>-0.66666666666666663</v>
      </c>
      <c r="Q98">
        <f t="shared" ref="Q98" si="466">F98*P98</f>
        <v>-126201066.53333333</v>
      </c>
      <c r="R98">
        <f t="shared" ref="R98" si="467">R99+Q98</f>
        <v>-7827135645.400506</v>
      </c>
      <c r="S98">
        <f t="shared" ref="S98" si="468">R98/100000</f>
        <v>-78271.356454005057</v>
      </c>
      <c r="T98">
        <f t="shared" ref="T98" si="469">S98/1000</f>
        <v>-78.271356454005058</v>
      </c>
    </row>
    <row r="99" spans="1:20" x14ac:dyDescent="0.25">
      <c r="A99" s="5">
        <v>44494</v>
      </c>
      <c r="B99">
        <v>2.077E-2</v>
      </c>
      <c r="C99">
        <v>2.1399999999999999E-2</v>
      </c>
      <c r="D99">
        <v>2.0729999999999998E-2</v>
      </c>
      <c r="E99">
        <v>2.0979999999999999E-2</v>
      </c>
      <c r="F99">
        <v>138098217</v>
      </c>
      <c r="G99">
        <v>2.0979999999999999E-2</v>
      </c>
      <c r="L99" t="s">
        <v>7</v>
      </c>
      <c r="M99" t="s">
        <v>7</v>
      </c>
      <c r="N99" t="s">
        <v>8</v>
      </c>
      <c r="P99">
        <f t="shared" ref="P99" si="470">IF(C99=D99,0,((E99-D99)-(C99-E99))/(C99-D99))</f>
        <v>-0.25373134328358193</v>
      </c>
      <c r="Q99">
        <f t="shared" ref="Q99" si="471">F99*P99</f>
        <v>-35039846.104477592</v>
      </c>
      <c r="R99">
        <f t="shared" ref="R99" si="472">R100+Q99</f>
        <v>-7700934578.8671722</v>
      </c>
      <c r="S99">
        <f t="shared" ref="S99" si="473">R99/100000</f>
        <v>-77009.345788671722</v>
      </c>
      <c r="T99">
        <f t="shared" ref="T99" si="474">S99/1000</f>
        <v>-77.009345788671723</v>
      </c>
    </row>
    <row r="100" spans="1:20" x14ac:dyDescent="0.25">
      <c r="A100" s="5">
        <v>44493</v>
      </c>
      <c r="B100">
        <v>2.1590000000000002E-2</v>
      </c>
      <c r="C100">
        <v>2.1760000000000002E-2</v>
      </c>
      <c r="D100">
        <v>2.0629999999999999E-2</v>
      </c>
      <c r="E100">
        <v>2.0799999999999999E-2</v>
      </c>
      <c r="F100">
        <v>219979691.59999999</v>
      </c>
      <c r="G100">
        <v>2.0799999999999999E-2</v>
      </c>
      <c r="L100" t="s">
        <v>7</v>
      </c>
      <c r="M100" t="s">
        <v>7</v>
      </c>
      <c r="N100" t="s">
        <v>8</v>
      </c>
      <c r="P100">
        <f t="shared" ref="P100" si="475">IF(C100=D100,0,((E100-D100)-(C100-E100))/(C100-D100))</f>
        <v>-0.69911504424778825</v>
      </c>
      <c r="Q100">
        <f t="shared" ref="Q100" si="476">F100*P100</f>
        <v>-153791111.82654881</v>
      </c>
      <c r="R100">
        <f t="shared" ref="R100" si="477">R101+Q100</f>
        <v>-7665894732.7626944</v>
      </c>
      <c r="S100">
        <f t="shared" ref="S100" si="478">R100/100000</f>
        <v>-76658.947327626942</v>
      </c>
      <c r="T100">
        <f t="shared" ref="T100" si="479">S100/1000</f>
        <v>-76.658947327626947</v>
      </c>
    </row>
    <row r="101" spans="1:20" x14ac:dyDescent="0.25">
      <c r="A101" s="5">
        <v>44492</v>
      </c>
      <c r="B101">
        <v>2.2069999999999999E-2</v>
      </c>
      <c r="C101">
        <v>2.223E-2</v>
      </c>
      <c r="D101">
        <v>2.1340000000000001E-2</v>
      </c>
      <c r="E101">
        <v>2.1590000000000002E-2</v>
      </c>
      <c r="F101">
        <v>147934226.40000001</v>
      </c>
      <c r="G101">
        <v>2.1590000000000002E-2</v>
      </c>
      <c r="L101" t="s">
        <v>7</v>
      </c>
      <c r="M101" t="s">
        <v>7</v>
      </c>
      <c r="N101" t="s">
        <v>8</v>
      </c>
      <c r="P101">
        <f t="shared" ref="P101" si="480">IF(C101=D101,0,((E101-D101)-(C101-E101))/(C101-D101))</f>
        <v>-0.43820224719100975</v>
      </c>
      <c r="Q101">
        <f t="shared" ref="Q101" si="481">F101*P101</f>
        <v>-64825110.444943607</v>
      </c>
      <c r="R101">
        <f t="shared" ref="R101" si="482">R102+Q101</f>
        <v>-7512103620.9361458</v>
      </c>
      <c r="S101">
        <f t="shared" ref="S101" si="483">R101/100000</f>
        <v>-75121.036209361453</v>
      </c>
      <c r="T101">
        <f t="shared" ref="T101" si="484">S101/1000</f>
        <v>-75.121036209361449</v>
      </c>
    </row>
    <row r="102" spans="1:20" x14ac:dyDescent="0.25">
      <c r="A102" s="5">
        <v>44491</v>
      </c>
      <c r="B102">
        <v>2.1299999999999999E-2</v>
      </c>
      <c r="C102">
        <v>2.3259999999999999E-2</v>
      </c>
      <c r="D102">
        <v>2.1270000000000001E-2</v>
      </c>
      <c r="E102">
        <v>2.205E-2</v>
      </c>
      <c r="F102">
        <v>347527927.39999998</v>
      </c>
      <c r="G102">
        <v>2.205E-2</v>
      </c>
      <c r="L102" t="s">
        <v>8</v>
      </c>
      <c r="M102" t="s">
        <v>7</v>
      </c>
      <c r="N102" t="s">
        <v>8</v>
      </c>
      <c r="P102">
        <f t="shared" ref="P102" si="485">IF(C102=D102,0,((E102-D102)-(C102-E102))/(C102-D102))</f>
        <v>-0.2160804020100503</v>
      </c>
      <c r="Q102">
        <f t="shared" ref="Q102" si="486">F102*P102</f>
        <v>-75093974.262311563</v>
      </c>
      <c r="R102">
        <f t="shared" ref="R102" si="487">R103+Q102</f>
        <v>-7447278510.4912024</v>
      </c>
      <c r="S102">
        <f t="shared" ref="S102" si="488">R102/100000</f>
        <v>-74472.785104912022</v>
      </c>
      <c r="T102">
        <f t="shared" ref="T102" si="489">S102/1000</f>
        <v>-74.47278510491202</v>
      </c>
    </row>
    <row r="103" spans="1:20" x14ac:dyDescent="0.25">
      <c r="A103" s="5">
        <v>44490</v>
      </c>
      <c r="B103">
        <v>2.2409999999999999E-2</v>
      </c>
      <c r="C103">
        <v>2.2710000000000001E-2</v>
      </c>
      <c r="D103">
        <v>2.1219999999999999E-2</v>
      </c>
      <c r="E103">
        <v>2.1319999999999999E-2</v>
      </c>
      <c r="F103">
        <v>182855909.19999999</v>
      </c>
      <c r="G103">
        <v>2.1319999999999999E-2</v>
      </c>
      <c r="L103" t="s">
        <v>8</v>
      </c>
      <c r="M103" t="s">
        <v>7</v>
      </c>
      <c r="N103" t="s">
        <v>8</v>
      </c>
      <c r="P103">
        <f t="shared" ref="P103" si="490">IF(C103=D103,0,((E103-D103)-(C103-E103))/(C103-D103))</f>
        <v>-0.86577181208053788</v>
      </c>
      <c r="Q103">
        <f t="shared" ref="Q103" si="491">F103*P103</f>
        <v>-158311491.85771829</v>
      </c>
      <c r="R103">
        <f t="shared" ref="R103" si="492">R104+Q103</f>
        <v>-7372184536.2288904</v>
      </c>
      <c r="S103">
        <f t="shared" ref="S103" si="493">R103/100000</f>
        <v>-73721.845362288906</v>
      </c>
      <c r="T103">
        <f t="shared" ref="T103" si="494">S103/1000</f>
        <v>-73.721845362288903</v>
      </c>
    </row>
    <row r="104" spans="1:20" x14ac:dyDescent="0.25">
      <c r="A104" s="5">
        <v>44489</v>
      </c>
      <c r="B104">
        <v>2.2089999999999999E-2</v>
      </c>
      <c r="C104">
        <v>2.2769999999999999E-2</v>
      </c>
      <c r="D104">
        <v>2.1739999999999999E-2</v>
      </c>
      <c r="E104">
        <v>2.239E-2</v>
      </c>
      <c r="F104">
        <v>181461633.40000001</v>
      </c>
      <c r="G104">
        <v>2.239E-2</v>
      </c>
      <c r="L104" t="s">
        <v>8</v>
      </c>
      <c r="M104" t="s">
        <v>7</v>
      </c>
      <c r="N104" t="s">
        <v>8</v>
      </c>
      <c r="P104">
        <f t="shared" ref="P104" si="495">IF(C104=D104,0,((E104-D104)-(C104-E104))/(C104-D104))</f>
        <v>0.26213592233009997</v>
      </c>
      <c r="Q104">
        <f t="shared" ref="Q104" si="496">F104*P104</f>
        <v>47567612.638835475</v>
      </c>
      <c r="R104">
        <f t="shared" ref="R104" si="497">R105+Q104</f>
        <v>-7213873044.371172</v>
      </c>
      <c r="S104">
        <f t="shared" ref="S104" si="498">R104/100000</f>
        <v>-72138.730443711713</v>
      </c>
      <c r="T104">
        <f t="shared" ref="T104" si="499">S104/1000</f>
        <v>-72.138730443711708</v>
      </c>
    </row>
    <row r="105" spans="1:20" x14ac:dyDescent="0.25">
      <c r="A105" s="5">
        <v>44488</v>
      </c>
      <c r="B105">
        <v>2.205E-2</v>
      </c>
      <c r="C105">
        <v>2.3099999999999999E-2</v>
      </c>
      <c r="D105">
        <v>2.0310000000000002E-2</v>
      </c>
      <c r="E105">
        <v>2.2089999999999999E-2</v>
      </c>
      <c r="F105">
        <v>272303334.80000001</v>
      </c>
      <c r="G105">
        <v>2.2089999999999999E-2</v>
      </c>
      <c r="L105" t="s">
        <v>7</v>
      </c>
      <c r="M105" t="s">
        <v>7</v>
      </c>
      <c r="N105" t="s">
        <v>8</v>
      </c>
      <c r="P105">
        <f t="shared" ref="P105" si="500">IF(C105=D105,0,((E105-D105)-(C105-E105))/(C105-D105))</f>
        <v>0.27598566308243622</v>
      </c>
      <c r="Q105">
        <f t="shared" ref="Q105" si="501">F105*P105</f>
        <v>75151816.414336637</v>
      </c>
      <c r="R105">
        <f t="shared" ref="R105" si="502">R106+Q105</f>
        <v>-7261440657.0100079</v>
      </c>
      <c r="S105">
        <f t="shared" ref="S105" si="503">R105/100000</f>
        <v>-72614.40657010008</v>
      </c>
      <c r="T105">
        <f t="shared" ref="T105" si="504">S105/1000</f>
        <v>-72.614406570100087</v>
      </c>
    </row>
    <row r="106" spans="1:20" x14ac:dyDescent="0.25">
      <c r="A106" s="5">
        <v>44487</v>
      </c>
      <c r="B106">
        <v>2.2960000000000001E-2</v>
      </c>
      <c r="C106">
        <v>2.409E-2</v>
      </c>
      <c r="D106">
        <v>2.188E-2</v>
      </c>
      <c r="E106">
        <v>2.205E-2</v>
      </c>
      <c r="F106">
        <v>327805267.69999999</v>
      </c>
      <c r="G106">
        <v>2.205E-2</v>
      </c>
      <c r="L106" t="s">
        <v>7</v>
      </c>
      <c r="M106" t="s">
        <v>8</v>
      </c>
      <c r="N106" t="s">
        <v>8</v>
      </c>
      <c r="P106">
        <f t="shared" ref="P106" si="505">IF(C106=D106,0,((E106-D106)-(C106-E106))/(C106-D106))</f>
        <v>-0.84615384615384615</v>
      </c>
      <c r="Q106">
        <f t="shared" ref="Q106" si="506">F106*P106</f>
        <v>-277373688.05384612</v>
      </c>
      <c r="R106">
        <f t="shared" ref="R106" si="507">R107+Q106</f>
        <v>-7336592473.4243441</v>
      </c>
      <c r="S106">
        <f t="shared" ref="S106" si="508">R106/100000</f>
        <v>-73365.924734243439</v>
      </c>
      <c r="T106">
        <f t="shared" ref="T106" si="509">S106/1000</f>
        <v>-73.365924734243436</v>
      </c>
    </row>
    <row r="107" spans="1:20" x14ac:dyDescent="0.25">
      <c r="A107" s="5">
        <v>44486</v>
      </c>
      <c r="B107">
        <v>2.2759999999999999E-2</v>
      </c>
      <c r="C107">
        <v>2.4459999999999999E-2</v>
      </c>
      <c r="D107">
        <v>2.2440000000000002E-2</v>
      </c>
      <c r="E107">
        <v>2.2939999999999999E-2</v>
      </c>
      <c r="F107">
        <v>406553878.89999998</v>
      </c>
      <c r="G107">
        <v>2.2939999999999999E-2</v>
      </c>
      <c r="L107" t="s">
        <v>8</v>
      </c>
      <c r="M107" t="s">
        <v>8</v>
      </c>
      <c r="N107" t="s">
        <v>8</v>
      </c>
      <c r="P107">
        <f t="shared" ref="P107" si="510">IF(C107=D107,0,((E107-D107)-(C107-E107))/(C107-D107))</f>
        <v>-0.50495049504950729</v>
      </c>
      <c r="Q107">
        <f t="shared" ref="Q107" si="511">F107*P107</f>
        <v>-205289582.41485241</v>
      </c>
      <c r="R107">
        <f t="shared" ref="R107" si="512">R108+Q107</f>
        <v>-7059218785.3704977</v>
      </c>
      <c r="S107">
        <f t="shared" ref="S107" si="513">R107/100000</f>
        <v>-70592.187853704978</v>
      </c>
      <c r="T107">
        <f t="shared" ref="T107" si="514">S107/1000</f>
        <v>-70.592187853704985</v>
      </c>
    </row>
    <row r="108" spans="1:20" x14ac:dyDescent="0.25">
      <c r="A108" s="5">
        <v>44485</v>
      </c>
      <c r="B108">
        <v>2.2210000000000001E-2</v>
      </c>
      <c r="C108">
        <v>2.385E-2</v>
      </c>
      <c r="D108">
        <v>2.1850000000000001E-2</v>
      </c>
      <c r="E108">
        <v>2.2759999999999999E-2</v>
      </c>
      <c r="F108">
        <v>294249366.30000001</v>
      </c>
      <c r="G108">
        <v>2.2759999999999999E-2</v>
      </c>
      <c r="L108" t="s">
        <v>7</v>
      </c>
      <c r="M108" t="s">
        <v>8</v>
      </c>
      <c r="N108" t="s">
        <v>8</v>
      </c>
      <c r="P108">
        <f t="shared" ref="P108" si="515">IF(C108=D108,0,((E108-D108)-(C108-E108))/(C108-D108))</f>
        <v>-9.0000000000001606E-2</v>
      </c>
      <c r="Q108">
        <f t="shared" ref="Q108" si="516">F108*P108</f>
        <v>-26482442.967000473</v>
      </c>
      <c r="R108">
        <f t="shared" ref="R108" si="517">R109+Q108</f>
        <v>-6853929202.9556456</v>
      </c>
      <c r="S108">
        <f t="shared" ref="S108" si="518">R108/100000</f>
        <v>-68539.292029556455</v>
      </c>
      <c r="T108">
        <f t="shared" ref="T108" si="519">S108/1000</f>
        <v>-68.539292029556449</v>
      </c>
    </row>
    <row r="109" spans="1:20" x14ac:dyDescent="0.25">
      <c r="A109" s="5">
        <v>44484</v>
      </c>
      <c r="B109">
        <v>2.2360000000000001E-2</v>
      </c>
      <c r="C109">
        <v>2.5190000000000001E-2</v>
      </c>
      <c r="D109">
        <v>2.1579999999999998E-2</v>
      </c>
      <c r="E109">
        <v>2.2190000000000001E-2</v>
      </c>
      <c r="F109">
        <v>452535578.80000001</v>
      </c>
      <c r="G109">
        <v>2.2190000000000001E-2</v>
      </c>
      <c r="L109" t="s">
        <v>8</v>
      </c>
      <c r="M109" t="s">
        <v>8</v>
      </c>
      <c r="N109" t="s">
        <v>8</v>
      </c>
      <c r="P109">
        <f t="shared" ref="P109" si="520">IF(C109=D109,0,((E109-D109)-(C109-E109))/(C109-D109))</f>
        <v>-0.66204986149584344</v>
      </c>
      <c r="Q109">
        <f t="shared" ref="Q109" si="521">F109*P109</f>
        <v>-299601117.26648134</v>
      </c>
      <c r="R109">
        <f t="shared" ref="R109" si="522">R110+Q109</f>
        <v>-6827446759.9886456</v>
      </c>
      <c r="S109">
        <f t="shared" ref="S109" si="523">R109/100000</f>
        <v>-68274.467599886455</v>
      </c>
      <c r="T109">
        <f t="shared" ref="T109" si="524">S109/1000</f>
        <v>-68.274467599886449</v>
      </c>
    </row>
    <row r="110" spans="1:20" x14ac:dyDescent="0.25">
      <c r="A110" s="5">
        <v>44483</v>
      </c>
      <c r="B110">
        <v>2.2610000000000002E-2</v>
      </c>
      <c r="C110">
        <v>2.3460000000000002E-2</v>
      </c>
      <c r="D110">
        <v>2.197E-2</v>
      </c>
      <c r="E110">
        <v>2.2370000000000001E-2</v>
      </c>
      <c r="F110">
        <v>232351547.40000001</v>
      </c>
      <c r="G110">
        <v>2.2370000000000001E-2</v>
      </c>
      <c r="L110" t="s">
        <v>8</v>
      </c>
      <c r="M110" t="s">
        <v>7</v>
      </c>
      <c r="N110" t="s">
        <v>8</v>
      </c>
      <c r="P110">
        <f t="shared" ref="P110" si="525">IF(C110=D110,0,((E110-D110)-(C110-E110))/(C110-D110))</f>
        <v>-0.46308724832214687</v>
      </c>
      <c r="Q110">
        <f t="shared" ref="Q110" si="526">F110*P110</f>
        <v>-107599038.72885889</v>
      </c>
      <c r="R110">
        <f t="shared" ref="R110" si="527">R111+Q110</f>
        <v>-6527845642.7221642</v>
      </c>
      <c r="S110">
        <f t="shared" ref="S110" si="528">R110/100000</f>
        <v>-65278.456427221645</v>
      </c>
      <c r="T110">
        <f t="shared" ref="T110" si="529">S110/1000</f>
        <v>-65.278456427221641</v>
      </c>
    </row>
    <row r="111" spans="1:20" x14ac:dyDescent="0.25">
      <c r="A111" s="5">
        <v>44482</v>
      </c>
      <c r="B111">
        <v>2.256E-2</v>
      </c>
      <c r="C111">
        <v>2.3369999999999998E-2</v>
      </c>
      <c r="D111">
        <v>2.0389999999999998E-2</v>
      </c>
      <c r="E111">
        <v>2.2610000000000002E-2</v>
      </c>
      <c r="F111">
        <v>541822054.20000005</v>
      </c>
      <c r="G111">
        <v>2.2610000000000002E-2</v>
      </c>
      <c r="L111" t="s">
        <v>7</v>
      </c>
      <c r="M111" t="s">
        <v>7</v>
      </c>
      <c r="N111" t="s">
        <v>8</v>
      </c>
      <c r="P111">
        <f t="shared" ref="P111" si="530">IF(C111=D111,0,((E111-D111)-(C111-E111))/(C111-D111))</f>
        <v>0.48993288590604245</v>
      </c>
      <c r="Q111">
        <f t="shared" ref="Q111" si="531">F111*P111</f>
        <v>265456442.66174617</v>
      </c>
      <c r="R111">
        <f t="shared" ref="R111" si="532">R112+Q111</f>
        <v>-6420246603.9933052</v>
      </c>
      <c r="S111">
        <f t="shared" ref="S111" si="533">R111/100000</f>
        <v>-64202.466039933053</v>
      </c>
      <c r="T111">
        <f t="shared" ref="T111" si="534">S111/1000</f>
        <v>-64.202466039933057</v>
      </c>
    </row>
    <row r="112" spans="1:20" x14ac:dyDescent="0.25">
      <c r="A112" s="5">
        <v>44481</v>
      </c>
      <c r="B112">
        <v>2.308E-2</v>
      </c>
      <c r="C112">
        <v>2.3199999999999998E-2</v>
      </c>
      <c r="D112">
        <v>2.103E-2</v>
      </c>
      <c r="E112">
        <v>2.2589999999999999E-2</v>
      </c>
      <c r="F112">
        <v>298867156.89999998</v>
      </c>
      <c r="G112">
        <v>2.2589999999999999E-2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0.43778801843317983</v>
      </c>
      <c r="Q112">
        <f t="shared" ref="Q112" si="536">F112*P112</f>
        <v>130840460.39400923</v>
      </c>
      <c r="R112">
        <f t="shared" ref="R112" si="537">R113+Q112</f>
        <v>-6685703046.6550512</v>
      </c>
      <c r="S112">
        <f t="shared" ref="S112" si="538">R112/100000</f>
        <v>-66857.03046655051</v>
      </c>
      <c r="T112">
        <f t="shared" ref="T112" si="539">S112/1000</f>
        <v>-66.857030466550512</v>
      </c>
    </row>
    <row r="113" spans="1:20" x14ac:dyDescent="0.25">
      <c r="A113" s="5">
        <v>44480</v>
      </c>
      <c r="B113">
        <v>2.171E-2</v>
      </c>
      <c r="C113">
        <v>2.5850000000000001E-2</v>
      </c>
      <c r="D113">
        <v>2.1680000000000001E-2</v>
      </c>
      <c r="E113">
        <v>2.308E-2</v>
      </c>
      <c r="F113">
        <v>1390501953.9000001</v>
      </c>
      <c r="G113">
        <v>2.308E-2</v>
      </c>
      <c r="L113" t="s">
        <v>8</v>
      </c>
      <c r="M113" t="s">
        <v>8</v>
      </c>
      <c r="N113" t="s">
        <v>8</v>
      </c>
      <c r="P113">
        <f t="shared" ref="P113" si="540">IF(C113=D113,0,((E113-D113)-(C113-E113))/(C113-D113))</f>
        <v>-0.3285371702637897</v>
      </c>
      <c r="Q113">
        <f t="shared" ref="Q113" si="541">F113*P113</f>
        <v>-456831577.18057656</v>
      </c>
      <c r="R113">
        <f t="shared" ref="R113" si="542">R114+Q113</f>
        <v>-6816543507.0490608</v>
      </c>
      <c r="S113">
        <f t="shared" ref="S113" si="543">R113/100000</f>
        <v>-68165.43507049061</v>
      </c>
      <c r="T113">
        <f t="shared" ref="T113" si="544">S113/1000</f>
        <v>-68.165435070490616</v>
      </c>
    </row>
    <row r="114" spans="1:20" x14ac:dyDescent="0.25">
      <c r="A114" s="5">
        <v>44479</v>
      </c>
      <c r="B114">
        <v>2.0990000000000002E-2</v>
      </c>
      <c r="C114">
        <v>2.332E-2</v>
      </c>
      <c r="D114">
        <v>2.0379999999999999E-2</v>
      </c>
      <c r="E114">
        <v>2.171E-2</v>
      </c>
      <c r="F114">
        <v>538432057</v>
      </c>
      <c r="G114">
        <v>2.171E-2</v>
      </c>
      <c r="L114" t="s">
        <v>8</v>
      </c>
      <c r="M114" t="s">
        <v>8</v>
      </c>
      <c r="N114" t="s">
        <v>8</v>
      </c>
      <c r="P114">
        <f t="shared" ref="P114" si="545">IF(C114=D114,0,((E114-D114)-(C114-E114))/(C114-D114))</f>
        <v>-9.5238095238094844E-2</v>
      </c>
      <c r="Q114">
        <f t="shared" ref="Q114" si="546">F114*P114</f>
        <v>-51279243.523809314</v>
      </c>
      <c r="R114">
        <f t="shared" ref="R114" si="547">R115+Q114</f>
        <v>-6359711929.8684845</v>
      </c>
      <c r="S114">
        <f t="shared" ref="S114" si="548">R114/100000</f>
        <v>-63597.119298684847</v>
      </c>
      <c r="T114">
        <f t="shared" ref="T114" si="549">S114/1000</f>
        <v>-63.597119298684845</v>
      </c>
    </row>
    <row r="115" spans="1:20" x14ac:dyDescent="0.25">
      <c r="A115" s="5">
        <v>44478</v>
      </c>
      <c r="B115">
        <v>2.0230000000000001E-2</v>
      </c>
      <c r="C115">
        <v>2.1899999999999999E-2</v>
      </c>
      <c r="D115">
        <v>2.0080000000000001E-2</v>
      </c>
      <c r="E115">
        <v>2.1010000000000001E-2</v>
      </c>
      <c r="F115">
        <v>264181428.30000001</v>
      </c>
      <c r="G115">
        <v>2.1010000000000001E-2</v>
      </c>
      <c r="L115" t="s">
        <v>8</v>
      </c>
      <c r="M115" t="s">
        <v>8</v>
      </c>
      <c r="N115" t="s">
        <v>8</v>
      </c>
      <c r="P115">
        <f t="shared" ref="P115" si="550">IF(C115=D115,0,((E115-D115)-(C115-E115))/(C115-D115))</f>
        <v>2.1978021978023003E-2</v>
      </c>
      <c r="Q115">
        <f t="shared" ref="Q115" si="551">F115*P115</f>
        <v>5806185.2373629082</v>
      </c>
      <c r="R115">
        <f t="shared" ref="R115" si="552">R116+Q115</f>
        <v>-6308432686.3446751</v>
      </c>
      <c r="S115">
        <f t="shared" ref="S115" si="553">R115/100000</f>
        <v>-63084.326863446753</v>
      </c>
      <c r="T115">
        <f t="shared" ref="T115" si="554">S115/1000</f>
        <v>-63.084326863446755</v>
      </c>
    </row>
    <row r="116" spans="1:20" x14ac:dyDescent="0.25">
      <c r="A116" s="5">
        <v>44477</v>
      </c>
      <c r="B116">
        <v>2.0930000000000001E-2</v>
      </c>
      <c r="C116">
        <v>2.1999999999999999E-2</v>
      </c>
      <c r="D116">
        <v>2.0060000000000001E-2</v>
      </c>
      <c r="E116">
        <v>2.0219999999999998E-2</v>
      </c>
      <c r="F116">
        <v>333020428.39999998</v>
      </c>
      <c r="G116">
        <v>2.0219999999999998E-2</v>
      </c>
      <c r="L116" t="s">
        <v>7</v>
      </c>
      <c r="M116" t="s">
        <v>8</v>
      </c>
      <c r="N116" t="s">
        <v>8</v>
      </c>
      <c r="P116">
        <f t="shared" ref="P116" si="555">IF(C116=D116,0,((E116-D116)-(C116-E116))/(C116-D116))</f>
        <v>-0.83505154639175549</v>
      </c>
      <c r="Q116">
        <f t="shared" ref="Q116" si="556">F116*P116</f>
        <v>-278089223.71546489</v>
      </c>
      <c r="R116">
        <f t="shared" ref="R116" si="557">R117+Q116</f>
        <v>-6314238871.5820379</v>
      </c>
      <c r="S116">
        <f t="shared" ref="S116" si="558">R116/100000</f>
        <v>-63142.38871582038</v>
      </c>
      <c r="T116">
        <f t="shared" ref="T116" si="559">S116/1000</f>
        <v>-63.142388715820381</v>
      </c>
    </row>
    <row r="117" spans="1:20" x14ac:dyDescent="0.25">
      <c r="A117" s="5">
        <v>44476</v>
      </c>
      <c r="B117">
        <v>1.9599999999999999E-2</v>
      </c>
      <c r="C117">
        <v>2.3259999999999999E-2</v>
      </c>
      <c r="D117">
        <v>1.8519999999999998E-2</v>
      </c>
      <c r="E117">
        <v>2.0920000000000001E-2</v>
      </c>
      <c r="F117">
        <v>805727964.79999995</v>
      </c>
      <c r="G117">
        <v>2.0920000000000001E-2</v>
      </c>
      <c r="L117" t="s">
        <v>8</v>
      </c>
      <c r="M117" t="s">
        <v>8</v>
      </c>
      <c r="N117" t="s">
        <v>8</v>
      </c>
      <c r="P117">
        <f t="shared" ref="P117" si="560">IF(C117=D117,0,((E117-D117)-(C117-E117))/(C117-D117))</f>
        <v>1.2658227848102211E-2</v>
      </c>
      <c r="Q117">
        <f t="shared" ref="Q117" si="561">F117*P117</f>
        <v>10199088.162026078</v>
      </c>
      <c r="R117">
        <f t="shared" ref="R117" si="562">R118+Q117</f>
        <v>-6036149647.8665733</v>
      </c>
      <c r="S117">
        <f t="shared" ref="S117" si="563">R117/100000</f>
        <v>-60361.496478665737</v>
      </c>
      <c r="T117">
        <f t="shared" ref="T117" si="564">S117/1000</f>
        <v>-60.361496478665735</v>
      </c>
    </row>
    <row r="118" spans="1:20" x14ac:dyDescent="0.25">
      <c r="A118" s="5">
        <v>44475</v>
      </c>
      <c r="B118">
        <v>1.9800000000000002E-2</v>
      </c>
      <c r="C118">
        <v>2.0240000000000001E-2</v>
      </c>
      <c r="D118">
        <v>1.8190000000000001E-2</v>
      </c>
      <c r="E118">
        <v>1.9599999999999999E-2</v>
      </c>
      <c r="F118">
        <v>377544959.5</v>
      </c>
      <c r="G118">
        <v>1.9599999999999999E-2</v>
      </c>
      <c r="L118" t="s">
        <v>7</v>
      </c>
      <c r="M118" t="s">
        <v>8</v>
      </c>
      <c r="N118" t="s">
        <v>7</v>
      </c>
      <c r="P118">
        <f t="shared" ref="P118" si="565">IF(C118=D118,0,((E118-D118)-(C118-E118))/(C118-D118))</f>
        <v>0.37560975609755926</v>
      </c>
      <c r="Q118">
        <f t="shared" ref="Q118" si="566">F118*P118</f>
        <v>141809570.15365788</v>
      </c>
      <c r="R118">
        <f t="shared" ref="R118" si="567">R119+Q118</f>
        <v>-6046348736.0285997</v>
      </c>
      <c r="S118">
        <f t="shared" ref="S118" si="568">R118/100000</f>
        <v>-60463.487360285995</v>
      </c>
      <c r="T118">
        <f t="shared" ref="T118" si="569">S118/1000</f>
        <v>-60.463487360285995</v>
      </c>
    </row>
    <row r="119" spans="1:20" x14ac:dyDescent="0.25">
      <c r="A119" s="5">
        <v>44474</v>
      </c>
      <c r="B119">
        <v>1.8319999999999999E-2</v>
      </c>
      <c r="C119">
        <v>2.036E-2</v>
      </c>
      <c r="D119">
        <v>1.8079999999999999E-2</v>
      </c>
      <c r="E119">
        <v>1.9810000000000001E-2</v>
      </c>
      <c r="F119">
        <v>363987941.80000001</v>
      </c>
      <c r="G119">
        <v>1.9810000000000001E-2</v>
      </c>
      <c r="L119" t="s">
        <v>8</v>
      </c>
      <c r="M119" t="s">
        <v>8</v>
      </c>
      <c r="N119" t="s">
        <v>7</v>
      </c>
      <c r="P119">
        <f t="shared" ref="P119" si="570">IF(C119=D119,0,((E119-D119)-(C119-E119))/(C119-D119))</f>
        <v>0.51754385964912442</v>
      </c>
      <c r="Q119">
        <f t="shared" ref="Q119" si="571">F119*P119</f>
        <v>188379724.26491287</v>
      </c>
      <c r="R119">
        <f t="shared" ref="R119" si="572">R120+Q119</f>
        <v>-6188158306.1822577</v>
      </c>
      <c r="S119">
        <f t="shared" ref="S119" si="573">R119/100000</f>
        <v>-61881.583061822574</v>
      </c>
      <c r="T119">
        <f t="shared" ref="T119" si="574">S119/1000</f>
        <v>-61.881583061822575</v>
      </c>
    </row>
    <row r="120" spans="1:20" x14ac:dyDescent="0.25">
      <c r="A120" s="5">
        <v>44473</v>
      </c>
      <c r="B120">
        <v>1.9279999999999999E-2</v>
      </c>
      <c r="C120">
        <v>1.9279999999999999E-2</v>
      </c>
      <c r="D120">
        <v>1.754E-2</v>
      </c>
      <c r="E120">
        <v>1.8360000000000001E-2</v>
      </c>
      <c r="F120">
        <v>207712412.90000001</v>
      </c>
      <c r="G120">
        <v>1.8360000000000001E-2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-5.7471264367813801E-2</v>
      </c>
      <c r="Q120">
        <f t="shared" ref="Q120" si="576">F120*P120</f>
        <v>-11937494.994252399</v>
      </c>
      <c r="R120">
        <f t="shared" ref="R120" si="577">R121+Q120</f>
        <v>-6376538030.4471703</v>
      </c>
      <c r="S120">
        <f t="shared" ref="S120" si="578">R120/100000</f>
        <v>-63765.380304471706</v>
      </c>
      <c r="T120">
        <f t="shared" ref="T120" si="579">S120/1000</f>
        <v>-63.765380304471705</v>
      </c>
    </row>
    <row r="121" spans="1:20" x14ac:dyDescent="0.25">
      <c r="A121" s="5">
        <v>44472</v>
      </c>
      <c r="B121">
        <v>1.882E-2</v>
      </c>
      <c r="C121">
        <v>2.0389999999999998E-2</v>
      </c>
      <c r="D121">
        <v>1.8460000000000001E-2</v>
      </c>
      <c r="E121">
        <v>1.924E-2</v>
      </c>
      <c r="F121">
        <v>240153949.59999999</v>
      </c>
      <c r="G121">
        <v>1.924E-2</v>
      </c>
      <c r="L121" t="s">
        <v>8</v>
      </c>
      <c r="M121" t="s">
        <v>8</v>
      </c>
      <c r="N121" t="s">
        <v>7</v>
      </c>
      <c r="P121">
        <f t="shared" ref="P121" si="580">IF(C121=D121,0,((E121-D121)-(C121-E121))/(C121-D121))</f>
        <v>-0.19170984455958509</v>
      </c>
      <c r="Q121">
        <f t="shared" ref="Q121" si="581">F121*P121</f>
        <v>-46039876.348186433</v>
      </c>
      <c r="R121">
        <f t="shared" ref="R121" si="582">R122+Q121</f>
        <v>-6364600535.4529181</v>
      </c>
      <c r="S121">
        <f t="shared" ref="S121" si="583">R121/100000</f>
        <v>-63646.005354529181</v>
      </c>
      <c r="T121">
        <f t="shared" ref="T121" si="584">S121/1000</f>
        <v>-63.64600535452918</v>
      </c>
    </row>
    <row r="122" spans="1:20" x14ac:dyDescent="0.25">
      <c r="A122" s="5">
        <v>44471</v>
      </c>
      <c r="B122">
        <v>1.8509999999999999E-2</v>
      </c>
      <c r="C122">
        <v>1.985E-2</v>
      </c>
      <c r="D122">
        <v>1.814E-2</v>
      </c>
      <c r="E122">
        <v>1.881E-2</v>
      </c>
      <c r="F122">
        <v>215108614.59999999</v>
      </c>
      <c r="G122">
        <v>1.881E-2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-0.21637426900584728</v>
      </c>
      <c r="Q122">
        <f t="shared" ref="Q122" si="586">F122*P122</f>
        <v>-46543969.240935527</v>
      </c>
      <c r="R122">
        <f t="shared" ref="R122" si="587">R123+Q122</f>
        <v>-6318560659.1047316</v>
      </c>
      <c r="S122">
        <f t="shared" ref="S122" si="588">R122/100000</f>
        <v>-63185.606591047319</v>
      </c>
      <c r="T122">
        <f t="shared" ref="T122" si="589">S122/1000</f>
        <v>-63.185606591047318</v>
      </c>
    </row>
    <row r="123" spans="1:20" x14ac:dyDescent="0.25">
      <c r="A123" s="5">
        <v>44470</v>
      </c>
      <c r="B123">
        <v>1.704E-2</v>
      </c>
      <c r="C123">
        <v>1.9199999999999998E-2</v>
      </c>
      <c r="D123">
        <v>1.695E-2</v>
      </c>
      <c r="E123">
        <v>1.8530000000000001E-2</v>
      </c>
      <c r="F123">
        <v>355769776.80000001</v>
      </c>
      <c r="G123">
        <v>1.8530000000000001E-2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0.40444444444444672</v>
      </c>
      <c r="Q123">
        <f t="shared" ref="Q123" si="591">F123*P123</f>
        <v>143889109.72800082</v>
      </c>
      <c r="R123">
        <f t="shared" ref="R123" si="592">R124+Q123</f>
        <v>-6272016689.8637962</v>
      </c>
      <c r="S123">
        <f t="shared" ref="S123" si="593">R123/100000</f>
        <v>-62720.166898637959</v>
      </c>
      <c r="T123">
        <f t="shared" ref="T123" si="594">S123/1000</f>
        <v>-62.720166898637956</v>
      </c>
    </row>
    <row r="124" spans="1:20" x14ac:dyDescent="0.25">
      <c r="A124" s="5">
        <v>44469</v>
      </c>
      <c r="B124">
        <v>1.6500000000000001E-2</v>
      </c>
      <c r="C124">
        <v>1.7639999999999999E-2</v>
      </c>
      <c r="D124">
        <v>1.6369999999999999E-2</v>
      </c>
      <c r="E124">
        <v>1.704E-2</v>
      </c>
      <c r="F124">
        <v>211145418.09999999</v>
      </c>
      <c r="G124">
        <v>1.704E-2</v>
      </c>
      <c r="L124" t="s">
        <v>7</v>
      </c>
      <c r="M124" t="s">
        <v>8</v>
      </c>
      <c r="N124" t="s">
        <v>7</v>
      </c>
      <c r="P124">
        <f t="shared" ref="P124" si="595">IF(C124=D124,0,((E124-D124)-(C124-E124))/(C124-D124))</f>
        <v>5.5118110236220944E-2</v>
      </c>
      <c r="Q124">
        <f t="shared" ref="Q124" si="596">F124*P124</f>
        <v>11637936.43070876</v>
      </c>
      <c r="R124">
        <f t="shared" ref="R124" si="597">R125+Q124</f>
        <v>-6415905799.5917969</v>
      </c>
      <c r="S124">
        <f t="shared" ref="S124" si="598">R124/100000</f>
        <v>-64159.057995917967</v>
      </c>
      <c r="T124">
        <f t="shared" ref="T124" si="599">S124/1000</f>
        <v>-64.159057995917962</v>
      </c>
    </row>
    <row r="125" spans="1:20" x14ac:dyDescent="0.25">
      <c r="A125" s="5">
        <v>44468</v>
      </c>
      <c r="B125">
        <v>1.618E-2</v>
      </c>
      <c r="C125">
        <v>1.89E-2</v>
      </c>
      <c r="D125">
        <v>1.5949999999999999E-2</v>
      </c>
      <c r="E125">
        <v>1.652E-2</v>
      </c>
      <c r="F125">
        <v>395302840.89999998</v>
      </c>
      <c r="G125">
        <v>1.652E-2</v>
      </c>
      <c r="L125" t="s">
        <v>8</v>
      </c>
      <c r="M125" t="s">
        <v>8</v>
      </c>
      <c r="N125" t="s">
        <v>7</v>
      </c>
      <c r="P125">
        <f t="shared" ref="P125" si="600">IF(C125=D125,0,((E125-D125)-(C125-E125))/(C125-D125))</f>
        <v>-0.61355932203389774</v>
      </c>
      <c r="Q125">
        <f t="shared" ref="Q125" si="601">F125*P125</f>
        <v>-242541743.06067774</v>
      </c>
      <c r="R125">
        <f t="shared" ref="R125" si="602">R126+Q125</f>
        <v>-6427543736.0225058</v>
      </c>
      <c r="S125">
        <f t="shared" ref="S125" si="603">R125/100000</f>
        <v>-64275.437360225056</v>
      </c>
      <c r="T125">
        <f t="shared" ref="T125" si="604">S125/1000</f>
        <v>-64.275437360225055</v>
      </c>
    </row>
    <row r="126" spans="1:20" x14ac:dyDescent="0.25">
      <c r="A126" s="5">
        <v>44467</v>
      </c>
      <c r="B126">
        <v>1.6799999999999999E-2</v>
      </c>
      <c r="C126">
        <v>1.7389999999999999E-2</v>
      </c>
      <c r="D126">
        <v>1.576E-2</v>
      </c>
      <c r="E126">
        <v>1.618E-2</v>
      </c>
      <c r="F126">
        <v>155792509.69999999</v>
      </c>
      <c r="G126">
        <v>1.618E-2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-0.4846625766871161</v>
      </c>
      <c r="Q126">
        <f t="shared" ref="Q126" si="606">F126*P126</f>
        <v>-75506799.179754525</v>
      </c>
      <c r="R126">
        <f t="shared" ref="R126" si="607">R127+Q126</f>
        <v>-6185001992.9618282</v>
      </c>
      <c r="S126">
        <f t="shared" ref="S126" si="608">R126/100000</f>
        <v>-61850.019929618284</v>
      </c>
      <c r="T126">
        <f t="shared" ref="T126" si="609">S126/1000</f>
        <v>-61.850019929618284</v>
      </c>
    </row>
    <row r="127" spans="1:20" x14ac:dyDescent="0.25">
      <c r="A127" s="5">
        <v>44466</v>
      </c>
      <c r="B127">
        <v>1.754E-2</v>
      </c>
      <c r="C127">
        <v>1.8370000000000001E-2</v>
      </c>
      <c r="D127">
        <v>1.6740000000000001E-2</v>
      </c>
      <c r="E127">
        <v>1.6799999999999999E-2</v>
      </c>
      <c r="F127">
        <v>166604716.59999999</v>
      </c>
      <c r="G127">
        <v>1.6799999999999999E-2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-0.92638036809816249</v>
      </c>
      <c r="Q127">
        <f t="shared" ref="Q127" si="611">F127*P127</f>
        <v>-154339338.69079804</v>
      </c>
      <c r="R127">
        <f t="shared" ref="R127" si="612">R128+Q127</f>
        <v>-6109495193.782074</v>
      </c>
      <c r="S127">
        <f t="shared" ref="S127" si="613">R127/100000</f>
        <v>-61094.951937820741</v>
      </c>
      <c r="T127">
        <f t="shared" ref="T127" si="614">S127/1000</f>
        <v>-61.094951937820738</v>
      </c>
    </row>
    <row r="128" spans="1:20" x14ac:dyDescent="0.25">
      <c r="A128" s="5">
        <v>44465</v>
      </c>
      <c r="B128">
        <v>1.8249999999999999E-2</v>
      </c>
      <c r="C128">
        <v>1.83E-2</v>
      </c>
      <c r="D128">
        <v>1.6240000000000001E-2</v>
      </c>
      <c r="E128">
        <v>1.754E-2</v>
      </c>
      <c r="F128">
        <v>130265346.5</v>
      </c>
      <c r="G128">
        <v>1.754E-2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0.26213592233009658</v>
      </c>
      <c r="Q128">
        <f t="shared" ref="Q128" si="616">F128*P128</f>
        <v>34147226.752427116</v>
      </c>
      <c r="R128">
        <f t="shared" ref="R128" si="617">R129+Q128</f>
        <v>-5955155855.0912762</v>
      </c>
      <c r="S128">
        <f t="shared" ref="S128" si="618">R128/100000</f>
        <v>-59551.558550912763</v>
      </c>
      <c r="T128">
        <f t="shared" ref="T128" si="619">S128/1000</f>
        <v>-59.551558550912766</v>
      </c>
    </row>
    <row r="129" spans="1:20" x14ac:dyDescent="0.25">
      <c r="A129" s="5">
        <v>44464</v>
      </c>
      <c r="B129">
        <v>1.8460000000000001E-2</v>
      </c>
      <c r="C129">
        <v>1.9199999999999998E-2</v>
      </c>
      <c r="D129">
        <v>1.7760000000000001E-2</v>
      </c>
      <c r="E129">
        <v>1.822E-2</v>
      </c>
      <c r="F129">
        <v>145274277.19999999</v>
      </c>
      <c r="G129">
        <v>1.822E-2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-0.36111111111111166</v>
      </c>
      <c r="Q129">
        <f t="shared" ref="Q129" si="621">F129*P129</f>
        <v>-52460155.655555628</v>
      </c>
      <c r="R129">
        <f t="shared" ref="R129" si="622">R130+Q129</f>
        <v>-5989303081.8437033</v>
      </c>
      <c r="S129">
        <f t="shared" ref="S129" si="623">R129/100000</f>
        <v>-59893.03081843703</v>
      </c>
      <c r="T129">
        <f t="shared" ref="T129" si="624">S129/1000</f>
        <v>-59.893030818437026</v>
      </c>
    </row>
    <row r="130" spans="1:20" x14ac:dyDescent="0.25">
      <c r="A130" s="5">
        <v>44463</v>
      </c>
      <c r="B130">
        <v>2.0289999999999999E-2</v>
      </c>
      <c r="C130">
        <v>2.035E-2</v>
      </c>
      <c r="D130">
        <v>1.6799999999999999E-2</v>
      </c>
      <c r="E130">
        <v>1.8499999999999999E-2</v>
      </c>
      <c r="F130">
        <v>261921707.69999999</v>
      </c>
      <c r="G130">
        <v>1.8499999999999999E-2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-4.2253521126760785E-2</v>
      </c>
      <c r="Q130">
        <f t="shared" ref="Q130" si="626">F130*P130</f>
        <v>-11067114.409859212</v>
      </c>
      <c r="R130">
        <f t="shared" ref="R130" si="627">R131+Q130</f>
        <v>-5936842926.1881475</v>
      </c>
      <c r="S130">
        <f t="shared" ref="S130" si="628">R130/100000</f>
        <v>-59368.429261881472</v>
      </c>
      <c r="T130">
        <f t="shared" ref="T130" si="629">S130/1000</f>
        <v>-59.368429261881474</v>
      </c>
    </row>
    <row r="131" spans="1:20" x14ac:dyDescent="0.25">
      <c r="A131" s="5">
        <v>44462</v>
      </c>
      <c r="B131">
        <v>2.0029999999999999E-2</v>
      </c>
      <c r="C131">
        <v>2.068E-2</v>
      </c>
      <c r="D131">
        <v>1.9099999999999999E-2</v>
      </c>
      <c r="E131">
        <v>2.0320000000000001E-2</v>
      </c>
      <c r="F131">
        <v>298543263.69999999</v>
      </c>
      <c r="G131">
        <v>2.0320000000000001E-2</v>
      </c>
      <c r="L131" t="s">
        <v>8</v>
      </c>
      <c r="M131" t="s">
        <v>7</v>
      </c>
      <c r="N131" t="s">
        <v>7</v>
      </c>
      <c r="P131">
        <f t="shared" ref="P131" si="630">IF(C131=D131,0,((E131-D131)-(C131-E131))/(C131-D131))</f>
        <v>0.54430379746835589</v>
      </c>
      <c r="Q131">
        <f t="shared" ref="Q131" si="631">F131*P131</f>
        <v>162498232.14050674</v>
      </c>
      <c r="R131">
        <f t="shared" ref="R131" si="632">R132+Q131</f>
        <v>-5925775811.7782879</v>
      </c>
      <c r="S131">
        <f t="shared" ref="S131" si="633">R131/100000</f>
        <v>-59257.758117782876</v>
      </c>
      <c r="T131">
        <f t="shared" ref="T131" si="634">S131/1000</f>
        <v>-59.257758117782878</v>
      </c>
    </row>
    <row r="132" spans="1:20" x14ac:dyDescent="0.25">
      <c r="A132" s="5">
        <v>44461</v>
      </c>
      <c r="B132">
        <v>1.7770000000000001E-2</v>
      </c>
      <c r="C132">
        <v>2.0240000000000001E-2</v>
      </c>
      <c r="D132">
        <v>1.7430000000000001E-2</v>
      </c>
      <c r="E132">
        <v>0.02</v>
      </c>
      <c r="F132">
        <v>414057148.5</v>
      </c>
      <c r="G132">
        <v>0.02</v>
      </c>
      <c r="L132" t="s">
        <v>8</v>
      </c>
      <c r="M132" t="s">
        <v>7</v>
      </c>
      <c r="N132" t="s">
        <v>7</v>
      </c>
      <c r="P132">
        <f t="shared" ref="P132" si="635">IF(C132=D132,0,((E132-D132)-(C132-E132))/(C132-D132))</f>
        <v>0.82918149466192126</v>
      </c>
      <c r="Q132">
        <f t="shared" ref="Q132" si="636">F132*P132</f>
        <v>343328525.26868308</v>
      </c>
      <c r="R132">
        <f t="shared" ref="R132" si="637">R133+Q132</f>
        <v>-6088274043.9187946</v>
      </c>
      <c r="S132">
        <f t="shared" ref="S132" si="638">R132/100000</f>
        <v>-60882.740439187946</v>
      </c>
      <c r="T132">
        <f t="shared" ref="T132" si="639">S132/1000</f>
        <v>-60.882740439187948</v>
      </c>
    </row>
    <row r="133" spans="1:20" x14ac:dyDescent="0.25">
      <c r="A133" s="5">
        <v>44460</v>
      </c>
      <c r="B133">
        <v>1.966E-2</v>
      </c>
      <c r="C133">
        <v>2.0480000000000002E-2</v>
      </c>
      <c r="D133">
        <v>1.7479999999999999E-2</v>
      </c>
      <c r="E133">
        <v>1.7770000000000001E-2</v>
      </c>
      <c r="F133">
        <v>193295554.5</v>
      </c>
      <c r="G133">
        <v>1.7770000000000001E-2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-0.80666666666666542</v>
      </c>
      <c r="Q133">
        <f t="shared" ref="Q133" si="641">F133*P133</f>
        <v>-155925080.62999976</v>
      </c>
      <c r="R133">
        <f t="shared" ref="R133" si="642">R134+Q133</f>
        <v>-6431602569.1874781</v>
      </c>
      <c r="S133">
        <f t="shared" ref="S133" si="643">R133/100000</f>
        <v>-64316.025691874784</v>
      </c>
      <c r="T133">
        <f t="shared" ref="T133" si="644">S133/1000</f>
        <v>-64.316025691874785</v>
      </c>
    </row>
    <row r="134" spans="1:20" x14ac:dyDescent="0.25">
      <c r="A134" s="5">
        <v>44459</v>
      </c>
      <c r="B134">
        <v>2.2950000000000002E-2</v>
      </c>
      <c r="C134">
        <v>2.3029999999999998E-2</v>
      </c>
      <c r="D134">
        <v>2.0369999999999999E-2</v>
      </c>
      <c r="E134">
        <v>2.069E-2</v>
      </c>
      <c r="F134">
        <v>81192639.599999994</v>
      </c>
      <c r="G134">
        <v>2.069E-2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-0.75939849624060085</v>
      </c>
      <c r="Q134">
        <f t="shared" ref="Q134" si="646">F134*P134</f>
        <v>-61657568.418045059</v>
      </c>
      <c r="R134">
        <f t="shared" ref="R134" si="647">R135+Q134</f>
        <v>-6275677488.557478</v>
      </c>
      <c r="S134">
        <f t="shared" ref="S134" si="648">R134/100000</f>
        <v>-62756.774885574778</v>
      </c>
      <c r="T134">
        <f t="shared" ref="T134" si="649">S134/1000</f>
        <v>-62.756774885574778</v>
      </c>
    </row>
    <row r="135" spans="1:20" x14ac:dyDescent="0.25">
      <c r="A135" s="5">
        <v>44458</v>
      </c>
      <c r="B135">
        <v>2.4219999999999998E-2</v>
      </c>
      <c r="C135">
        <v>2.4479999999999998E-2</v>
      </c>
      <c r="D135">
        <v>2.2599999999999999E-2</v>
      </c>
      <c r="E135">
        <v>2.2939999999999999E-2</v>
      </c>
      <c r="F135">
        <v>151071656</v>
      </c>
      <c r="G135">
        <v>2.2939999999999999E-2</v>
      </c>
      <c r="L135" t="s">
        <v>7</v>
      </c>
      <c r="M135" t="s">
        <v>7</v>
      </c>
      <c r="N135" t="s">
        <v>7</v>
      </c>
      <c r="P135">
        <f t="shared" ref="P135" si="650">IF(C135=D135,0,((E135-D135)-(C135-E135))/(C135-D135))</f>
        <v>-0.63829787234042545</v>
      </c>
      <c r="Q135">
        <f t="shared" ref="Q135" si="651">F135*P135</f>
        <v>-96428716.595744669</v>
      </c>
      <c r="R135">
        <f t="shared" ref="R135" si="652">R136+Q135</f>
        <v>-6214019920.1394329</v>
      </c>
      <c r="S135">
        <f t="shared" ref="S135" si="653">R135/100000</f>
        <v>-62140.199201394331</v>
      </c>
      <c r="T135">
        <f t="shared" ref="T135" si="654">S135/1000</f>
        <v>-62.140199201394331</v>
      </c>
    </row>
    <row r="136" spans="1:20" x14ac:dyDescent="0.25">
      <c r="A136" s="5">
        <v>44457</v>
      </c>
      <c r="B136">
        <v>2.3199999999999998E-2</v>
      </c>
      <c r="C136">
        <v>2.5159999999999998E-2</v>
      </c>
      <c r="D136">
        <v>2.2849999999999999E-2</v>
      </c>
      <c r="E136">
        <v>2.4240000000000001E-2</v>
      </c>
      <c r="F136">
        <v>254273356.80000001</v>
      </c>
      <c r="G136">
        <v>2.4240000000000001E-2</v>
      </c>
      <c r="L136" t="s">
        <v>8</v>
      </c>
      <c r="M136" t="s">
        <v>7</v>
      </c>
      <c r="N136" t="s">
        <v>7</v>
      </c>
      <c r="P136">
        <f t="shared" ref="P136" si="655">IF(C136=D136,0,((E136-D136)-(C136-E136))/(C136-D136))</f>
        <v>0.20346320346320573</v>
      </c>
      <c r="Q136">
        <f t="shared" ref="Q136" si="656">F136*P136</f>
        <v>51735271.729870707</v>
      </c>
      <c r="R136">
        <f t="shared" ref="R136" si="657">R137+Q136</f>
        <v>-6117591203.5436878</v>
      </c>
      <c r="S136">
        <f t="shared" ref="S136" si="658">R136/100000</f>
        <v>-61175.912035436879</v>
      </c>
      <c r="T136">
        <f t="shared" ref="T136" si="659">S136/1000</f>
        <v>-61.17591203543688</v>
      </c>
    </row>
    <row r="137" spans="1:20" x14ac:dyDescent="0.25">
      <c r="A137" s="5">
        <v>44456</v>
      </c>
      <c r="B137">
        <v>2.376E-2</v>
      </c>
      <c r="C137">
        <v>2.4500000000000001E-2</v>
      </c>
      <c r="D137">
        <v>2.2030000000000001E-2</v>
      </c>
      <c r="E137">
        <v>2.3210000000000001E-2</v>
      </c>
      <c r="F137">
        <v>285111884.69999999</v>
      </c>
      <c r="G137">
        <v>2.3210000000000001E-2</v>
      </c>
      <c r="L137" t="s">
        <v>7</v>
      </c>
      <c r="M137" t="s">
        <v>7</v>
      </c>
      <c r="N137" t="s">
        <v>7</v>
      </c>
      <c r="P137">
        <f t="shared" ref="P137" si="660">IF(C137=D137,0,((E137-D137)-(C137-E137))/(C137-D137))</f>
        <v>-4.4534412955465175E-2</v>
      </c>
      <c r="Q137">
        <f t="shared" ref="Q137" si="661">F137*P137</f>
        <v>-12697290.411740772</v>
      </c>
      <c r="R137">
        <f t="shared" ref="R137" si="662">R138+Q137</f>
        <v>-6169326475.2735586</v>
      </c>
      <c r="S137">
        <f t="shared" ref="S137" si="663">R137/100000</f>
        <v>-61693.264752735588</v>
      </c>
      <c r="T137">
        <f t="shared" ref="T137" si="664">S137/1000</f>
        <v>-61.693264752735587</v>
      </c>
    </row>
    <row r="138" spans="1:20" x14ac:dyDescent="0.25">
      <c r="A138" s="5">
        <v>44455</v>
      </c>
      <c r="B138">
        <v>2.351E-2</v>
      </c>
      <c r="C138">
        <v>2.598E-2</v>
      </c>
      <c r="D138">
        <v>2.3359999999999999E-2</v>
      </c>
      <c r="E138">
        <v>2.3730000000000001E-2</v>
      </c>
      <c r="F138">
        <v>475113780.19999999</v>
      </c>
      <c r="G138">
        <v>2.3730000000000001E-2</v>
      </c>
      <c r="L138" t="s">
        <v>7</v>
      </c>
      <c r="M138" t="s">
        <v>8</v>
      </c>
      <c r="N138" t="s">
        <v>7</v>
      </c>
      <c r="P138">
        <f t="shared" ref="P138" si="665">IF(C138=D138,0,((E138-D138)-(C138-E138))/(C138-D138))</f>
        <v>-0.71755725190839525</v>
      </c>
      <c r="Q138">
        <f t="shared" ref="Q138" si="666">F138*P138</f>
        <v>-340921338.46412134</v>
      </c>
      <c r="R138">
        <f t="shared" ref="R138" si="667">R139+Q138</f>
        <v>-6156629184.8618183</v>
      </c>
      <c r="S138">
        <f t="shared" ref="S138" si="668">R138/100000</f>
        <v>-61566.291848618181</v>
      </c>
      <c r="T138">
        <f t="shared" ref="T138" si="669">S138/1000</f>
        <v>-61.566291848618178</v>
      </c>
    </row>
    <row r="139" spans="1:20" x14ac:dyDescent="0.25">
      <c r="A139" s="5">
        <v>44454</v>
      </c>
      <c r="B139">
        <v>2.1170000000000001E-2</v>
      </c>
      <c r="C139">
        <v>2.5680000000000001E-2</v>
      </c>
      <c r="D139">
        <v>2.102E-2</v>
      </c>
      <c r="E139">
        <v>2.3519999999999999E-2</v>
      </c>
      <c r="F139">
        <v>460585207.5</v>
      </c>
      <c r="G139">
        <v>2.3519999999999999E-2</v>
      </c>
      <c r="L139" t="s">
        <v>8</v>
      </c>
      <c r="M139" t="s">
        <v>8</v>
      </c>
      <c r="N139" t="s">
        <v>7</v>
      </c>
      <c r="P139">
        <f t="shared" ref="P139" si="670">IF(C139=D139,0,((E139-D139)-(C139-E139))/(C139-D139))</f>
        <v>7.296137339055718E-2</v>
      </c>
      <c r="Q139">
        <f t="shared" ref="Q139" si="671">F139*P139</f>
        <v>33604929.302574754</v>
      </c>
      <c r="R139">
        <f t="shared" ref="R139" si="672">R140+Q139</f>
        <v>-5815707846.3976974</v>
      </c>
      <c r="S139">
        <f t="shared" ref="S139" si="673">R139/100000</f>
        <v>-58157.078463976977</v>
      </c>
      <c r="T139">
        <f t="shared" ref="T139" si="674">S139/1000</f>
        <v>-58.15707846397698</v>
      </c>
    </row>
    <row r="140" spans="1:20" x14ac:dyDescent="0.25">
      <c r="A140" s="5">
        <v>44453</v>
      </c>
      <c r="B140">
        <v>2.026E-2</v>
      </c>
      <c r="C140">
        <v>2.1700000000000001E-2</v>
      </c>
      <c r="D140">
        <v>2.0029999999999999E-2</v>
      </c>
      <c r="E140">
        <v>2.1170000000000001E-2</v>
      </c>
      <c r="F140">
        <v>194806038</v>
      </c>
      <c r="G140">
        <v>2.1170000000000001E-2</v>
      </c>
      <c r="L140" t="s">
        <v>8</v>
      </c>
      <c r="M140" t="s">
        <v>7</v>
      </c>
      <c r="N140" t="s">
        <v>7</v>
      </c>
      <c r="P140">
        <f t="shared" ref="P140" si="675">IF(C140=D140,0,((E140-D140)-(C140-E140))/(C140-D140))</f>
        <v>0.36526946107784575</v>
      </c>
      <c r="Q140">
        <f t="shared" ref="Q140" si="676">F140*P140</f>
        <v>71156696.514970332</v>
      </c>
      <c r="R140">
        <f t="shared" ref="R140" si="677">R141+Q140</f>
        <v>-5849312775.7002726</v>
      </c>
      <c r="S140">
        <f t="shared" ref="S140" si="678">R140/100000</f>
        <v>-58493.127757002723</v>
      </c>
      <c r="T140">
        <f t="shared" ref="T140" si="679">S140/1000</f>
        <v>-58.493127757002725</v>
      </c>
    </row>
    <row r="141" spans="1:20" x14ac:dyDescent="0.25">
      <c r="A141" s="5">
        <v>44452</v>
      </c>
      <c r="B141">
        <v>2.129E-2</v>
      </c>
      <c r="C141">
        <v>2.1479999999999999E-2</v>
      </c>
      <c r="D141">
        <v>1.934E-2</v>
      </c>
      <c r="E141">
        <v>2.026E-2</v>
      </c>
      <c r="F141">
        <v>134441913</v>
      </c>
      <c r="G141">
        <v>2.026E-2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-0.14018691588784965</v>
      </c>
      <c r="Q141">
        <f t="shared" ref="Q141" si="681">F141*P141</f>
        <v>-18846997.149532601</v>
      </c>
      <c r="R141">
        <f t="shared" ref="R141" si="682">R142+Q141</f>
        <v>-5920469472.2152433</v>
      </c>
      <c r="S141">
        <f t="shared" ref="S141" si="683">R141/100000</f>
        <v>-59204.694722152431</v>
      </c>
      <c r="T141">
        <f t="shared" ref="T141" si="684">S141/1000</f>
        <v>-59.204694722152432</v>
      </c>
    </row>
    <row r="142" spans="1:20" x14ac:dyDescent="0.25">
      <c r="A142" s="5">
        <v>44451</v>
      </c>
      <c r="B142">
        <v>2.1229999999999999E-2</v>
      </c>
      <c r="C142">
        <v>2.214E-2</v>
      </c>
      <c r="D142">
        <v>2.0549999999999999E-2</v>
      </c>
      <c r="E142">
        <v>2.129E-2</v>
      </c>
      <c r="F142">
        <v>136325336.19999999</v>
      </c>
      <c r="G142">
        <v>2.129E-2</v>
      </c>
      <c r="L142" t="s">
        <v>7</v>
      </c>
      <c r="M142" t="s">
        <v>7</v>
      </c>
      <c r="N142" t="s">
        <v>7</v>
      </c>
      <c r="P142">
        <f t="shared" ref="P142" si="685">IF(C142=D142,0,((E142-D142)-(C142-E142))/(C142-D142))</f>
        <v>-6.9182389937106237E-2</v>
      </c>
      <c r="Q142">
        <f t="shared" ref="Q142" si="686">F142*P142</f>
        <v>-9431312.5672955029</v>
      </c>
      <c r="R142">
        <f t="shared" ref="R142" si="687">R143+Q142</f>
        <v>-5901622475.065711</v>
      </c>
      <c r="S142">
        <f t="shared" ref="S142" si="688">R142/100000</f>
        <v>-59016.224750657108</v>
      </c>
      <c r="T142">
        <f t="shared" ref="T142" si="689">S142/1000</f>
        <v>-59.016224750657109</v>
      </c>
    </row>
    <row r="143" spans="1:20" x14ac:dyDescent="0.25">
      <c r="A143" s="5">
        <v>44450</v>
      </c>
      <c r="B143">
        <v>2.0660000000000001E-2</v>
      </c>
      <c r="C143">
        <v>2.1999999999999999E-2</v>
      </c>
      <c r="D143">
        <v>2.0129999999999999E-2</v>
      </c>
      <c r="E143">
        <v>2.121E-2</v>
      </c>
      <c r="F143">
        <v>119519619</v>
      </c>
      <c r="G143">
        <v>2.121E-2</v>
      </c>
      <c r="L143" t="s">
        <v>8</v>
      </c>
      <c r="M143" t="s">
        <v>7</v>
      </c>
      <c r="N143" t="s">
        <v>7</v>
      </c>
      <c r="P143">
        <f t="shared" ref="P143" si="690">IF(C143=D143,0,((E143-D143)-(C143-E143))/(C143-D143))</f>
        <v>0.15508021390374441</v>
      </c>
      <c r="Q143">
        <f t="shared" ref="Q143" si="691">F143*P143</f>
        <v>18535128.080214035</v>
      </c>
      <c r="R143">
        <f t="shared" ref="R143" si="692">R144+Q143</f>
        <v>-5892191162.4984159</v>
      </c>
      <c r="S143">
        <f t="shared" ref="S143" si="693">R143/100000</f>
        <v>-58921.911624984161</v>
      </c>
      <c r="T143">
        <f t="shared" ref="T143" si="694">S143/1000</f>
        <v>-58.921911624984162</v>
      </c>
    </row>
    <row r="144" spans="1:20" x14ac:dyDescent="0.25">
      <c r="A144" s="5">
        <v>44449</v>
      </c>
      <c r="B144">
        <v>2.231E-2</v>
      </c>
      <c r="C144">
        <v>2.3050000000000001E-2</v>
      </c>
      <c r="D144">
        <v>2.0140000000000002E-2</v>
      </c>
      <c r="E144">
        <v>2.0629999999999999E-2</v>
      </c>
      <c r="F144">
        <v>189168896.40000001</v>
      </c>
      <c r="G144">
        <v>2.0629999999999999E-2</v>
      </c>
      <c r="L144" t="s">
        <v>7</v>
      </c>
      <c r="M144" t="s">
        <v>7</v>
      </c>
      <c r="N144" t="s">
        <v>7</v>
      </c>
      <c r="P144">
        <f t="shared" ref="P144" si="695">IF(C144=D144,0,((E144-D144)-(C144-E144))/(C144-D144))</f>
        <v>-0.66323024054982993</v>
      </c>
      <c r="Q144">
        <f t="shared" ref="Q144" si="696">F144*P144</f>
        <v>-125462532.66391785</v>
      </c>
      <c r="R144">
        <f t="shared" ref="R144" si="697">R145+Q144</f>
        <v>-5910726290.5786304</v>
      </c>
      <c r="S144">
        <f t="shared" ref="S144" si="698">R144/100000</f>
        <v>-59107.262905786301</v>
      </c>
      <c r="T144">
        <f t="shared" ref="T144" si="699">S144/1000</f>
        <v>-59.1072629057863</v>
      </c>
    </row>
    <row r="145" spans="1:20" x14ac:dyDescent="0.25">
      <c r="A145" s="5">
        <v>44448</v>
      </c>
      <c r="B145">
        <v>2.2689999999999998E-2</v>
      </c>
      <c r="C145">
        <v>2.3699999999999999E-2</v>
      </c>
      <c r="D145">
        <v>2.1850000000000001E-2</v>
      </c>
      <c r="E145">
        <v>2.232E-2</v>
      </c>
      <c r="F145">
        <v>229005696.30000001</v>
      </c>
      <c r="G145">
        <v>2.232E-2</v>
      </c>
      <c r="L145" t="s">
        <v>8</v>
      </c>
      <c r="M145" t="s">
        <v>8</v>
      </c>
      <c r="N145" t="s">
        <v>7</v>
      </c>
      <c r="P145">
        <f t="shared" ref="P145" si="700">IF(C145=D145,0,((E145-D145)-(C145-E145))/(C145-D145))</f>
        <v>-0.49189189189189314</v>
      </c>
      <c r="Q145">
        <f t="shared" ref="Q145" si="701">F145*P145</f>
        <v>-112646045.20702732</v>
      </c>
      <c r="R145">
        <f t="shared" ref="R145" si="702">R146+Q145</f>
        <v>-5785263757.9147129</v>
      </c>
      <c r="S145">
        <f t="shared" ref="S145" si="703">R145/100000</f>
        <v>-57852.637579147129</v>
      </c>
      <c r="T145">
        <f t="shared" ref="T145" si="704">S145/1000</f>
        <v>-57.852637579147128</v>
      </c>
    </row>
    <row r="146" spans="1:20" x14ac:dyDescent="0.25">
      <c r="A146" s="5">
        <v>44447</v>
      </c>
      <c r="B146">
        <v>2.2540000000000001E-2</v>
      </c>
      <c r="C146">
        <v>2.334E-2</v>
      </c>
      <c r="D146">
        <v>1.9769999999999999E-2</v>
      </c>
      <c r="E146">
        <v>2.2689999999999998E-2</v>
      </c>
      <c r="F146">
        <v>328646005.69999999</v>
      </c>
      <c r="G146">
        <v>2.2689999999999998E-2</v>
      </c>
      <c r="L146" t="s">
        <v>7</v>
      </c>
      <c r="M146" t="s">
        <v>7</v>
      </c>
      <c r="N146" t="s">
        <v>7</v>
      </c>
      <c r="P146">
        <f t="shared" ref="P146" si="705">IF(C146=D146,0,((E146-D146)-(C146-E146))/(C146-D146))</f>
        <v>0.63585434173669397</v>
      </c>
      <c r="Q146">
        <f t="shared" ref="Q146" si="706">F146*P146</f>
        <v>208970989.61876726</v>
      </c>
      <c r="R146">
        <f t="shared" ref="R146" si="707">R147+Q146</f>
        <v>-5672617712.7076855</v>
      </c>
      <c r="S146">
        <f t="shared" ref="S146" si="708">R146/100000</f>
        <v>-56726.177127076851</v>
      </c>
      <c r="T146">
        <f t="shared" ref="T146" si="709">S146/1000</f>
        <v>-56.726177127076852</v>
      </c>
    </row>
    <row r="147" spans="1:20" x14ac:dyDescent="0.25">
      <c r="A147" s="5">
        <v>44446</v>
      </c>
      <c r="B147">
        <v>2.9729999999999999E-2</v>
      </c>
      <c r="C147">
        <v>3.0779999999999998E-2</v>
      </c>
      <c r="D147">
        <v>2.1010000000000001E-2</v>
      </c>
      <c r="E147">
        <v>2.2519999999999998E-2</v>
      </c>
      <c r="F147">
        <v>650586364.5</v>
      </c>
      <c r="G147">
        <v>2.2519999999999998E-2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-0.69089048106448359</v>
      </c>
      <c r="Q147">
        <f t="shared" ref="Q147" si="711">F147*P147</f>
        <v>-449483926.34339845</v>
      </c>
      <c r="R147">
        <f t="shared" ref="R147" si="712">R148+Q147</f>
        <v>-5881588702.3264523</v>
      </c>
      <c r="S147">
        <f t="shared" ref="S147" si="713">R147/100000</f>
        <v>-58815.88702326452</v>
      </c>
      <c r="T147">
        <f t="shared" ref="T147" si="714">S147/1000</f>
        <v>-58.815887023264523</v>
      </c>
    </row>
    <row r="148" spans="1:20" x14ac:dyDescent="0.25">
      <c r="A148" s="5">
        <v>44445</v>
      </c>
      <c r="B148">
        <v>2.8049999999999999E-2</v>
      </c>
      <c r="C148">
        <v>3.1300000000000001E-2</v>
      </c>
      <c r="D148">
        <v>2.76E-2</v>
      </c>
      <c r="E148">
        <v>2.9690000000000001E-2</v>
      </c>
      <c r="F148">
        <v>648262415.60000002</v>
      </c>
      <c r="G148">
        <v>2.9690000000000001E-2</v>
      </c>
      <c r="L148" t="s">
        <v>7</v>
      </c>
      <c r="M148" t="s">
        <v>8</v>
      </c>
      <c r="N148" t="s">
        <v>8</v>
      </c>
      <c r="P148">
        <f t="shared" ref="P148" si="715">IF(C148=D148,0,((E148-D148)-(C148-E148))/(C148-D148))</f>
        <v>0.12972972972973001</v>
      </c>
      <c r="Q148">
        <f t="shared" ref="Q148" si="716">F148*P148</f>
        <v>84098907.969729915</v>
      </c>
      <c r="R148">
        <f t="shared" ref="R148" si="717">R149+Q148</f>
        <v>-5432104775.9830542</v>
      </c>
      <c r="S148">
        <f t="shared" ref="S148" si="718">R148/100000</f>
        <v>-54321.047759830544</v>
      </c>
      <c r="T148">
        <f t="shared" ref="T148" si="719">S148/1000</f>
        <v>-54.321047759830542</v>
      </c>
    </row>
    <row r="149" spans="1:20" x14ac:dyDescent="0.25">
      <c r="A149" s="5">
        <v>44444</v>
      </c>
      <c r="B149">
        <v>2.818E-2</v>
      </c>
      <c r="C149">
        <v>2.963E-2</v>
      </c>
      <c r="D149">
        <v>2.776E-2</v>
      </c>
      <c r="E149">
        <v>2.8029999999999999E-2</v>
      </c>
      <c r="F149">
        <v>330958092.89999998</v>
      </c>
      <c r="G149">
        <v>2.8029999999999999E-2</v>
      </c>
      <c r="L149" t="s">
        <v>7</v>
      </c>
      <c r="M149" t="s">
        <v>8</v>
      </c>
      <c r="N149" t="s">
        <v>8</v>
      </c>
      <c r="P149">
        <f t="shared" ref="P149" si="720">IF(C149=D149,0,((E149-D149)-(C149-E149))/(C149-D149))</f>
        <v>-0.71122994652406479</v>
      </c>
      <c r="Q149">
        <f t="shared" ref="Q149" si="721">F149*P149</f>
        <v>-235387306.71497345</v>
      </c>
      <c r="R149">
        <f t="shared" ref="R149" si="722">R150+Q149</f>
        <v>-5516203683.9527845</v>
      </c>
      <c r="S149">
        <f t="shared" ref="S149" si="723">R149/100000</f>
        <v>-55162.036839527842</v>
      </c>
      <c r="T149">
        <f t="shared" ref="T149" si="724">S149/1000</f>
        <v>-55.162036839527843</v>
      </c>
    </row>
    <row r="150" spans="1:20" x14ac:dyDescent="0.25">
      <c r="A150" s="5">
        <v>44443</v>
      </c>
      <c r="B150">
        <v>2.6249999999999999E-2</v>
      </c>
      <c r="C150">
        <v>3.175E-2</v>
      </c>
      <c r="D150">
        <v>2.6200000000000001E-2</v>
      </c>
      <c r="E150">
        <v>2.818E-2</v>
      </c>
      <c r="F150">
        <v>888805837.70000005</v>
      </c>
      <c r="G150">
        <v>2.818E-2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-0.28648648648648672</v>
      </c>
      <c r="Q150">
        <f t="shared" ref="Q150" si="726">F150*P150</f>
        <v>-254630861.61135158</v>
      </c>
      <c r="R150">
        <f t="shared" ref="R150" si="727">R151+Q150</f>
        <v>-5280816377.2378111</v>
      </c>
      <c r="S150">
        <f t="shared" ref="S150" si="728">R150/100000</f>
        <v>-52808.16377237811</v>
      </c>
      <c r="T150">
        <f t="shared" ref="T150" si="729">S150/1000</f>
        <v>-52.808163772378109</v>
      </c>
    </row>
    <row r="151" spans="1:20" x14ac:dyDescent="0.25">
      <c r="A151" s="5">
        <v>44442</v>
      </c>
      <c r="B151">
        <v>2.5950000000000001E-2</v>
      </c>
      <c r="C151">
        <v>2.75E-2</v>
      </c>
      <c r="D151">
        <v>2.537E-2</v>
      </c>
      <c r="E151">
        <v>2.6290000000000001E-2</v>
      </c>
      <c r="F151">
        <v>358413861.10000002</v>
      </c>
      <c r="G151">
        <v>2.6290000000000001E-2</v>
      </c>
      <c r="L151" t="s">
        <v>7</v>
      </c>
      <c r="M151" t="s">
        <v>8</v>
      </c>
      <c r="N151" t="s">
        <v>7</v>
      </c>
      <c r="P151">
        <f t="shared" ref="P151" si="730">IF(C151=D151,0,((E151-D151)-(C151-E151))/(C151-D151))</f>
        <v>-0.13615023474178339</v>
      </c>
      <c r="Q151">
        <f t="shared" ref="Q151" si="731">F151*P151</f>
        <v>-48798131.323473953</v>
      </c>
      <c r="R151">
        <f t="shared" ref="R151" si="732">R152+Q151</f>
        <v>-5026185515.6264591</v>
      </c>
      <c r="S151">
        <f t="shared" ref="S151" si="733">R151/100000</f>
        <v>-50261.855156264588</v>
      </c>
      <c r="T151">
        <f t="shared" ref="T151" si="734">S151/1000</f>
        <v>-50.261855156264588</v>
      </c>
    </row>
    <row r="152" spans="1:20" x14ac:dyDescent="0.25">
      <c r="A152" s="5">
        <v>44441</v>
      </c>
      <c r="B152">
        <v>2.742E-2</v>
      </c>
      <c r="C152">
        <v>2.7650000000000001E-2</v>
      </c>
      <c r="D152">
        <v>2.5669999999999998E-2</v>
      </c>
      <c r="E152">
        <v>2.5899999999999999E-2</v>
      </c>
      <c r="F152">
        <v>284351386.10000002</v>
      </c>
      <c r="G152">
        <v>2.5899999999999999E-2</v>
      </c>
      <c r="L152" t="s">
        <v>7</v>
      </c>
      <c r="M152" t="s">
        <v>8</v>
      </c>
      <c r="N152" t="s">
        <v>7</v>
      </c>
      <c r="P152">
        <f t="shared" ref="P152" si="735">IF(C152=D152,0,((E152-D152)-(C152-E152))/(C152-D152))</f>
        <v>-0.76767676767676696</v>
      </c>
      <c r="Q152">
        <f t="shared" ref="Q152" si="736">F152*P152</f>
        <v>-218289952.96565637</v>
      </c>
      <c r="R152">
        <f t="shared" ref="R152" si="737">R153+Q152</f>
        <v>-4977387384.3029852</v>
      </c>
      <c r="S152">
        <f t="shared" ref="S152" si="738">R152/100000</f>
        <v>-49773.873843029854</v>
      </c>
      <c r="T152">
        <f t="shared" ref="T152" si="739">S152/1000</f>
        <v>-49.773873843029854</v>
      </c>
    </row>
    <row r="153" spans="1:20" x14ac:dyDescent="0.25">
      <c r="A153" s="5">
        <v>44440</v>
      </c>
      <c r="B153">
        <v>2.4899999999999999E-2</v>
      </c>
      <c r="C153">
        <v>2.8819999999999998E-2</v>
      </c>
      <c r="D153">
        <v>2.4389999999999998E-2</v>
      </c>
      <c r="E153">
        <v>2.742E-2</v>
      </c>
      <c r="F153">
        <v>561498638.20000005</v>
      </c>
      <c r="G153">
        <v>2.742E-2</v>
      </c>
      <c r="L153" t="s">
        <v>8</v>
      </c>
      <c r="M153" t="s">
        <v>8</v>
      </c>
      <c r="N153" t="s">
        <v>7</v>
      </c>
      <c r="P153">
        <f t="shared" ref="P153" si="740">IF(C153=D153,0,((E153-D153)-(C153-E153))/(C153-D153))</f>
        <v>0.36794582392776592</v>
      </c>
      <c r="Q153">
        <f t="shared" ref="Q153" si="741">F153*P153</f>
        <v>206601079.06681755</v>
      </c>
      <c r="R153">
        <f t="shared" ref="R153" si="742">R154+Q153</f>
        <v>-4759097431.3373289</v>
      </c>
      <c r="S153">
        <f t="shared" ref="S153" si="743">R153/100000</f>
        <v>-47590.974313373292</v>
      </c>
      <c r="T153">
        <f t="shared" ref="T153" si="744">S153/1000</f>
        <v>-47.590974313373295</v>
      </c>
    </row>
    <row r="154" spans="1:20" x14ac:dyDescent="0.25">
      <c r="A154" s="5">
        <v>44439</v>
      </c>
      <c r="B154">
        <v>2.4160000000000001E-2</v>
      </c>
      <c r="C154">
        <v>2.6890000000000001E-2</v>
      </c>
      <c r="D154">
        <v>2.3879999999999998E-2</v>
      </c>
      <c r="E154">
        <v>2.4920000000000001E-2</v>
      </c>
      <c r="F154">
        <v>328829031.30000001</v>
      </c>
      <c r="G154">
        <v>2.4920000000000001E-2</v>
      </c>
      <c r="L154" t="s">
        <v>8</v>
      </c>
      <c r="M154" t="s">
        <v>7</v>
      </c>
      <c r="N154" t="s">
        <v>7</v>
      </c>
      <c r="P154">
        <f t="shared" ref="P154" si="745">IF(C154=D154,0,((E154-D154)-(C154-E154))/(C154-D154))</f>
        <v>-0.30897009966777278</v>
      </c>
      <c r="Q154">
        <f t="shared" ref="Q154" si="746">F154*P154</f>
        <v>-101598338.57441817</v>
      </c>
      <c r="R154">
        <f t="shared" ref="R154" si="747">R155+Q154</f>
        <v>-4965698510.4041462</v>
      </c>
      <c r="S154">
        <f t="shared" ref="S154" si="748">R154/100000</f>
        <v>-49656.985104041465</v>
      </c>
      <c r="T154">
        <f t="shared" ref="T154" si="749">S154/1000</f>
        <v>-49.656985104041468</v>
      </c>
    </row>
    <row r="155" spans="1:20" x14ac:dyDescent="0.25">
      <c r="A155" s="5">
        <v>44438</v>
      </c>
      <c r="B155">
        <v>2.4930000000000001E-2</v>
      </c>
      <c r="C155">
        <v>2.5999999999999999E-2</v>
      </c>
      <c r="D155">
        <v>2.3789999999999999E-2</v>
      </c>
      <c r="E155">
        <v>2.4170000000000001E-2</v>
      </c>
      <c r="F155">
        <v>240029174.40000001</v>
      </c>
      <c r="G155">
        <v>2.4170000000000001E-2</v>
      </c>
      <c r="L155" t="s">
        <v>7</v>
      </c>
      <c r="M155" t="s">
        <v>7</v>
      </c>
      <c r="N155" t="s">
        <v>7</v>
      </c>
      <c r="P155">
        <f t="shared" ref="P155" si="750">IF(C155=D155,0,((E155-D155)-(C155-E155))/(C155-D155))</f>
        <v>-0.65610859728506621</v>
      </c>
      <c r="Q155">
        <f t="shared" ref="Q155" si="751">F155*P155</f>
        <v>-157485204.92307654</v>
      </c>
      <c r="R155">
        <f t="shared" ref="R155" si="752">R156+Q155</f>
        <v>-4864100171.8297281</v>
      </c>
      <c r="S155">
        <f t="shared" ref="S155" si="753">R155/100000</f>
        <v>-48641.001718297281</v>
      </c>
      <c r="T155">
        <f t="shared" ref="T155" si="754">S155/1000</f>
        <v>-48.641001718297282</v>
      </c>
    </row>
    <row r="156" spans="1:20" x14ac:dyDescent="0.25">
      <c r="A156" s="5">
        <v>44437</v>
      </c>
      <c r="B156">
        <v>2.5760000000000002E-2</v>
      </c>
      <c r="C156">
        <v>2.6179999999999998E-2</v>
      </c>
      <c r="D156">
        <v>2.4459999999999999E-2</v>
      </c>
      <c r="E156">
        <v>2.4930000000000001E-2</v>
      </c>
      <c r="F156">
        <v>215825992.19999999</v>
      </c>
      <c r="G156">
        <v>2.4930000000000001E-2</v>
      </c>
      <c r="L156" t="s">
        <v>7</v>
      </c>
      <c r="M156" t="s">
        <v>7</v>
      </c>
      <c r="N156" t="s">
        <v>7</v>
      </c>
      <c r="P156">
        <f t="shared" ref="P156" si="755">IF(C156=D156,0,((E156-D156)-(C156-E156))/(C156-D156))</f>
        <v>-0.45348837209302112</v>
      </c>
      <c r="Q156">
        <f t="shared" ref="Q156" si="756">F156*P156</f>
        <v>-97874577.858139068</v>
      </c>
      <c r="R156">
        <f t="shared" ref="R156" si="757">R157+Q156</f>
        <v>-4706614966.9066515</v>
      </c>
      <c r="S156">
        <f t="shared" ref="S156" si="758">R156/100000</f>
        <v>-47066.149669066515</v>
      </c>
      <c r="T156">
        <f t="shared" ref="T156" si="759">S156/1000</f>
        <v>-47.066149669066519</v>
      </c>
    </row>
    <row r="157" spans="1:20" x14ac:dyDescent="0.25">
      <c r="A157" s="5">
        <v>44436</v>
      </c>
      <c r="B157">
        <v>2.666E-2</v>
      </c>
      <c r="C157">
        <v>2.7E-2</v>
      </c>
      <c r="D157">
        <v>2.5430000000000001E-2</v>
      </c>
      <c r="E157">
        <v>2.5739999999999999E-2</v>
      </c>
      <c r="F157">
        <v>174972346</v>
      </c>
      <c r="G157">
        <v>2.5739999999999999E-2</v>
      </c>
      <c r="L157" t="s">
        <v>8</v>
      </c>
      <c r="M157" t="s">
        <v>7</v>
      </c>
      <c r="N157" t="s">
        <v>7</v>
      </c>
      <c r="P157">
        <f t="shared" ref="P157" si="760">IF(C157=D157,0,((E157-D157)-(C157-E157))/(C157-D157))</f>
        <v>-0.6050955414012763</v>
      </c>
      <c r="Q157">
        <f t="shared" ref="Q157" si="761">F157*P157</f>
        <v>-105874986.43312144</v>
      </c>
      <c r="R157">
        <f t="shared" ref="R157" si="762">R158+Q157</f>
        <v>-4608740389.0485125</v>
      </c>
      <c r="S157">
        <f t="shared" ref="S157" si="763">R157/100000</f>
        <v>-46087.403890485126</v>
      </c>
      <c r="T157">
        <f t="shared" ref="T157" si="764">S157/1000</f>
        <v>-46.087403890485128</v>
      </c>
    </row>
    <row r="158" spans="1:20" x14ac:dyDescent="0.25">
      <c r="A158" s="5">
        <v>44435</v>
      </c>
      <c r="B158">
        <v>2.462E-2</v>
      </c>
      <c r="C158">
        <v>2.7699999999999999E-2</v>
      </c>
      <c r="D158">
        <v>2.3529999999999999E-2</v>
      </c>
      <c r="E158">
        <v>2.6710000000000001E-2</v>
      </c>
      <c r="F158">
        <v>274006461.80000001</v>
      </c>
      <c r="G158">
        <v>2.6710000000000001E-2</v>
      </c>
      <c r="L158" t="s">
        <v>7</v>
      </c>
      <c r="M158" t="s">
        <v>7</v>
      </c>
      <c r="N158" t="s">
        <v>7</v>
      </c>
      <c r="P158">
        <f t="shared" ref="P158" si="765">IF(C158=D158,0,((E158-D158)-(C158-E158))/(C158-D158))</f>
        <v>0.52517985611510898</v>
      </c>
      <c r="Q158">
        <f t="shared" ref="Q158" si="766">F158*P158</f>
        <v>143902674.1827341</v>
      </c>
      <c r="R158">
        <f t="shared" ref="R158" si="767">R159+Q158</f>
        <v>-4502865402.6153908</v>
      </c>
      <c r="S158">
        <f t="shared" ref="S158" si="768">R158/100000</f>
        <v>-45028.654026153905</v>
      </c>
      <c r="T158">
        <f t="shared" ref="T158" si="769">S158/1000</f>
        <v>-45.028654026153902</v>
      </c>
    </row>
    <row r="159" spans="1:20" x14ac:dyDescent="0.25">
      <c r="A159" s="5">
        <v>44434</v>
      </c>
      <c r="B159">
        <v>2.7689999999999999E-2</v>
      </c>
      <c r="C159">
        <v>2.87E-2</v>
      </c>
      <c r="D159">
        <v>2.4570000000000002E-2</v>
      </c>
      <c r="E159">
        <v>2.4649999999999998E-2</v>
      </c>
      <c r="F159">
        <v>458113894.39999998</v>
      </c>
      <c r="G159">
        <v>2.4649999999999998E-2</v>
      </c>
      <c r="L159" t="s">
        <v>8</v>
      </c>
      <c r="M159" t="s">
        <v>8</v>
      </c>
      <c r="N159" t="s">
        <v>7</v>
      </c>
      <c r="P159">
        <f t="shared" ref="P159" si="770">IF(C159=D159,0,((E159-D159)-(C159-E159))/(C159-D159))</f>
        <v>-0.96125907990314929</v>
      </c>
      <c r="Q159">
        <f t="shared" ref="Q159" si="771">F159*P159</f>
        <v>-440366140.6217925</v>
      </c>
      <c r="R159">
        <f t="shared" ref="R159" si="772">R160+Q159</f>
        <v>-4646768076.7981253</v>
      </c>
      <c r="S159">
        <f t="shared" ref="S159" si="773">R159/100000</f>
        <v>-46467.680767981255</v>
      </c>
      <c r="T159">
        <f t="shared" ref="T159" si="774">S159/1000</f>
        <v>-46.467680767981257</v>
      </c>
    </row>
    <row r="160" spans="1:20" x14ac:dyDescent="0.25">
      <c r="A160" s="5">
        <v>44433</v>
      </c>
      <c r="B160">
        <v>2.2769999999999999E-2</v>
      </c>
      <c r="C160">
        <v>2.9690000000000001E-2</v>
      </c>
      <c r="D160">
        <v>2.1839999999999998E-2</v>
      </c>
      <c r="E160">
        <v>2.7689999999999999E-2</v>
      </c>
      <c r="F160">
        <v>1025756547.8</v>
      </c>
      <c r="G160">
        <v>2.7689999999999999E-2</v>
      </c>
      <c r="L160" t="s">
        <v>7</v>
      </c>
      <c r="M160" t="s">
        <v>8</v>
      </c>
      <c r="N160" t="s">
        <v>7</v>
      </c>
      <c r="P160">
        <f t="shared" ref="P160" si="775">IF(C160=D160,0,((E160-D160)-(C160-E160))/(C160-D160))</f>
        <v>0.49044585987261119</v>
      </c>
      <c r="Q160">
        <f t="shared" ref="Q160" si="776">F160*P160</f>
        <v>503078052.1057322</v>
      </c>
      <c r="R160">
        <f t="shared" ref="R160" si="777">R161+Q160</f>
        <v>-4206401936.1763325</v>
      </c>
      <c r="S160">
        <f t="shared" ref="S160" si="778">R160/100000</f>
        <v>-42064.019361763327</v>
      </c>
      <c r="T160">
        <f t="shared" ref="T160" si="779">S160/1000</f>
        <v>-42.064019361763329</v>
      </c>
    </row>
    <row r="161" spans="1:20" x14ac:dyDescent="0.25">
      <c r="A161" s="5">
        <v>44432</v>
      </c>
      <c r="B161">
        <v>2.4750000000000001E-2</v>
      </c>
      <c r="C161">
        <v>2.6100000000000002E-2</v>
      </c>
      <c r="D161">
        <v>2.2159999999999999E-2</v>
      </c>
      <c r="E161">
        <v>2.274E-2</v>
      </c>
      <c r="F161">
        <v>453455514.10000002</v>
      </c>
      <c r="G161">
        <v>2.274E-2</v>
      </c>
      <c r="L161" t="s">
        <v>7</v>
      </c>
      <c r="M161" t="s">
        <v>7</v>
      </c>
      <c r="N161" t="s">
        <v>8</v>
      </c>
      <c r="P161">
        <f t="shared" ref="P161" si="780">IF(C161=D161,0,((E161-D161)-(C161-E161))/(C161-D161))</f>
        <v>-0.70558375634517756</v>
      </c>
      <c r="Q161">
        <f t="shared" ref="Q161" si="781">F161*P161</f>
        <v>-319950844.97411162</v>
      </c>
      <c r="R161">
        <f t="shared" ref="R161" si="782">R162+Q161</f>
        <v>-4709479988.2820644</v>
      </c>
      <c r="S161">
        <f t="shared" ref="S161" si="783">R161/100000</f>
        <v>-47094.799882820647</v>
      </c>
      <c r="T161">
        <f t="shared" ref="T161" si="784">S161/1000</f>
        <v>-47.094799882820645</v>
      </c>
    </row>
    <row r="162" spans="1:20" x14ac:dyDescent="0.25">
      <c r="A162" s="5">
        <v>44431</v>
      </c>
      <c r="B162">
        <v>2.5329999999999998E-2</v>
      </c>
      <c r="C162">
        <v>2.6540000000000001E-2</v>
      </c>
      <c r="D162">
        <v>2.4240000000000001E-2</v>
      </c>
      <c r="E162">
        <v>2.4760000000000001E-2</v>
      </c>
      <c r="F162">
        <v>454629499.80000001</v>
      </c>
      <c r="G162">
        <v>2.4760000000000001E-2</v>
      </c>
      <c r="L162" t="s">
        <v>7</v>
      </c>
      <c r="M162" t="s">
        <v>7</v>
      </c>
      <c r="N162" t="s">
        <v>8</v>
      </c>
      <c r="P162">
        <f t="shared" ref="P162" si="785">IF(C162=D162,0,((E162-D162)-(C162-E162))/(C162-D162))</f>
        <v>-0.54782608695652202</v>
      </c>
      <c r="Q162">
        <f t="shared" ref="Q162" si="786">F162*P162</f>
        <v>-249057899.89043492</v>
      </c>
      <c r="R162">
        <f t="shared" ref="R162" si="787">R163+Q162</f>
        <v>-4389529143.3079529</v>
      </c>
      <c r="S162">
        <f t="shared" ref="S162" si="788">R162/100000</f>
        <v>-43895.291433079532</v>
      </c>
      <c r="T162">
        <f t="shared" ref="T162" si="789">S162/1000</f>
        <v>-43.895291433079535</v>
      </c>
    </row>
    <row r="163" spans="1:20" x14ac:dyDescent="0.25">
      <c r="A163" s="5">
        <v>44430</v>
      </c>
      <c r="B163">
        <v>2.3709999999999998E-2</v>
      </c>
      <c r="C163">
        <v>3.1220000000000001E-2</v>
      </c>
      <c r="D163">
        <v>2.315E-2</v>
      </c>
      <c r="E163">
        <v>2.7459999999999998E-2</v>
      </c>
      <c r="F163">
        <v>1447180591.5999999</v>
      </c>
      <c r="G163">
        <v>2.7459999999999998E-2</v>
      </c>
      <c r="L163" t="s">
        <v>8</v>
      </c>
      <c r="M163" t="s">
        <v>8</v>
      </c>
      <c r="N163" t="s">
        <v>8</v>
      </c>
      <c r="P163">
        <f t="shared" ref="P163" si="790">IF(C163=D163,0,((E163-D163)-(C163-E163))/(C163-D163))</f>
        <v>6.8153655514249678E-2</v>
      </c>
      <c r="Q163">
        <f t="shared" ref="Q163" si="791">F163*P163</f>
        <v>98630647.50681445</v>
      </c>
      <c r="R163">
        <f t="shared" ref="R163" si="792">R164+Q163</f>
        <v>-4140471243.4175181</v>
      </c>
      <c r="S163">
        <f t="shared" ref="S163" si="793">R163/100000</f>
        <v>-41404.712434175184</v>
      </c>
      <c r="T163">
        <f t="shared" ref="T163" si="794">S163/1000</f>
        <v>-41.404712434175181</v>
      </c>
    </row>
    <row r="164" spans="1:20" x14ac:dyDescent="0.25">
      <c r="A164" s="5">
        <v>44429</v>
      </c>
      <c r="B164">
        <v>1.847E-2</v>
      </c>
      <c r="C164">
        <v>2.47E-2</v>
      </c>
      <c r="D164">
        <v>1.804E-2</v>
      </c>
      <c r="E164">
        <v>2.3709999999999998E-2</v>
      </c>
      <c r="F164">
        <v>1709703738.8</v>
      </c>
      <c r="G164">
        <v>2.3709999999999998E-2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0.7027027027027023</v>
      </c>
      <c r="Q164">
        <f t="shared" ref="Q164" si="796">F164*P164</f>
        <v>1201413438.075675</v>
      </c>
      <c r="R164">
        <f t="shared" ref="R164" si="797">R165+Q164</f>
        <v>-4239101890.9243326</v>
      </c>
      <c r="S164">
        <f t="shared" ref="S164" si="798">R164/100000</f>
        <v>-42391.018909243328</v>
      </c>
      <c r="T164">
        <f t="shared" ref="T164" si="799">S164/1000</f>
        <v>-42.391018909243328</v>
      </c>
    </row>
    <row r="165" spans="1:20" x14ac:dyDescent="0.25">
      <c r="A165" s="5">
        <v>44428</v>
      </c>
      <c r="B165">
        <v>1.797E-2</v>
      </c>
      <c r="C165">
        <v>1.89E-2</v>
      </c>
      <c r="D165">
        <v>1.7739999999999999E-2</v>
      </c>
      <c r="E165">
        <v>1.8460000000000001E-2</v>
      </c>
      <c r="F165">
        <v>225012667.69999999</v>
      </c>
      <c r="G165">
        <v>1.8460000000000001E-2</v>
      </c>
      <c r="L165" t="s">
        <v>8</v>
      </c>
      <c r="M165" t="s">
        <v>7</v>
      </c>
      <c r="N165" t="s">
        <v>8</v>
      </c>
      <c r="P165">
        <f t="shared" ref="P165" si="800">IF(C165=D165,0,((E165-D165)-(C165-E165))/(C165-D165))</f>
        <v>0.24137931034482946</v>
      </c>
      <c r="Q165">
        <f t="shared" ref="Q165" si="801">F165*P165</f>
        <v>54313402.548276283</v>
      </c>
      <c r="R165">
        <f t="shared" ref="R165" si="802">R166+Q165</f>
        <v>-5440515329.0000076</v>
      </c>
      <c r="S165">
        <f t="shared" ref="S165" si="803">R165/100000</f>
        <v>-54405.153290000075</v>
      </c>
      <c r="T165">
        <f t="shared" ref="T165" si="804">S165/1000</f>
        <v>-54.405153290000072</v>
      </c>
    </row>
    <row r="166" spans="1:20" x14ac:dyDescent="0.25">
      <c r="A166" s="5">
        <v>44427</v>
      </c>
      <c r="B166">
        <v>1.719E-2</v>
      </c>
      <c r="C166">
        <v>1.797E-2</v>
      </c>
      <c r="D166">
        <v>1.6750000000000001E-2</v>
      </c>
      <c r="E166">
        <v>1.796E-2</v>
      </c>
      <c r="F166">
        <v>115861742</v>
      </c>
      <c r="G166">
        <v>1.796E-2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0.98360655737704983</v>
      </c>
      <c r="Q166">
        <f t="shared" ref="Q166" si="806">F166*P166</f>
        <v>113962369.18032794</v>
      </c>
      <c r="R166">
        <f t="shared" ref="R166" si="807">R167+Q166</f>
        <v>-5494828731.5482836</v>
      </c>
      <c r="S166">
        <f t="shared" ref="S166" si="808">R166/100000</f>
        <v>-54948.287315482834</v>
      </c>
      <c r="T166">
        <f t="shared" ref="T166" si="809">S166/1000</f>
        <v>-54.948287315482837</v>
      </c>
    </row>
    <row r="167" spans="1:20" x14ac:dyDescent="0.25">
      <c r="A167" s="5">
        <v>44426</v>
      </c>
      <c r="B167">
        <v>1.702E-2</v>
      </c>
      <c r="C167">
        <v>1.763E-2</v>
      </c>
      <c r="D167">
        <v>1.6240000000000001E-2</v>
      </c>
      <c r="E167">
        <v>1.719E-2</v>
      </c>
      <c r="F167">
        <v>145293364.69999999</v>
      </c>
      <c r="G167">
        <v>1.719E-2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0.36690647482014421</v>
      </c>
      <c r="Q167">
        <f t="shared" ref="Q167" si="811">F167*P167</f>
        <v>53309076.256834574</v>
      </c>
      <c r="R167">
        <f t="shared" ref="R167" si="812">R168+Q167</f>
        <v>-5608791100.7286119</v>
      </c>
      <c r="S167">
        <f t="shared" ref="S167" si="813">R167/100000</f>
        <v>-56087.911007286122</v>
      </c>
      <c r="T167">
        <f t="shared" ref="T167" si="814">S167/1000</f>
        <v>-56.087911007286124</v>
      </c>
    </row>
    <row r="168" spans="1:20" x14ac:dyDescent="0.25">
      <c r="A168" s="5">
        <v>44425</v>
      </c>
      <c r="B168">
        <v>1.8180000000000002E-2</v>
      </c>
      <c r="C168">
        <v>1.8499999999999999E-2</v>
      </c>
      <c r="D168">
        <v>1.686E-2</v>
      </c>
      <c r="E168">
        <v>1.703E-2</v>
      </c>
      <c r="F168">
        <v>161866592.40000001</v>
      </c>
      <c r="G168">
        <v>1.703E-2</v>
      </c>
      <c r="L168" t="s">
        <v>7</v>
      </c>
      <c r="M168" t="s">
        <v>8</v>
      </c>
      <c r="N168" t="s">
        <v>8</v>
      </c>
      <c r="P168">
        <f t="shared" ref="P168" si="815">IF(C168=D168,0,((E168-D168)-(C168-E168))/(C168-D168))</f>
        <v>-0.79268292682926811</v>
      </c>
      <c r="Q168">
        <f t="shared" ref="Q168" si="816">F168*P168</f>
        <v>-128308884.21951216</v>
      </c>
      <c r="R168">
        <f t="shared" ref="R168" si="817">R169+Q168</f>
        <v>-5662100176.9854469</v>
      </c>
      <c r="S168">
        <f t="shared" ref="S168" si="818">R168/100000</f>
        <v>-56621.001769854469</v>
      </c>
      <c r="T168">
        <f t="shared" ref="T168" si="819">S168/1000</f>
        <v>-56.621001769854466</v>
      </c>
    </row>
    <row r="169" spans="1:20" x14ac:dyDescent="0.25">
      <c r="A169" s="5">
        <v>44424</v>
      </c>
      <c r="B169">
        <v>1.8679999999999999E-2</v>
      </c>
      <c r="C169">
        <v>1.9400000000000001E-2</v>
      </c>
      <c r="D169">
        <v>1.7829999999999999E-2</v>
      </c>
      <c r="E169">
        <v>1.8169999999999999E-2</v>
      </c>
      <c r="F169">
        <v>219393108</v>
      </c>
      <c r="G169">
        <v>1.8169999999999999E-2</v>
      </c>
      <c r="L169" t="s">
        <v>7</v>
      </c>
      <c r="M169" t="s">
        <v>8</v>
      </c>
      <c r="N169" t="s">
        <v>8</v>
      </c>
      <c r="P169">
        <f t="shared" ref="P169" si="820">IF(C169=D169,0,((E169-D169)-(C169-E169))/(C169-D169))</f>
        <v>-0.56687898089172029</v>
      </c>
      <c r="Q169">
        <f t="shared" ref="Q169" si="821">F169*P169</f>
        <v>-124369341.47770712</v>
      </c>
      <c r="R169">
        <f t="shared" ref="R169" si="822">R170+Q169</f>
        <v>-5533791292.7659349</v>
      </c>
      <c r="S169">
        <f t="shared" ref="S169" si="823">R169/100000</f>
        <v>-55337.912927659352</v>
      </c>
      <c r="T169">
        <f t="shared" ref="T169" si="824">S169/1000</f>
        <v>-55.337912927659353</v>
      </c>
    </row>
    <row r="170" spans="1:20" x14ac:dyDescent="0.25">
      <c r="A170" s="5">
        <v>44423</v>
      </c>
      <c r="B170">
        <v>1.8350000000000002E-2</v>
      </c>
      <c r="C170">
        <v>1.9380000000000001E-2</v>
      </c>
      <c r="D170">
        <v>1.7760000000000001E-2</v>
      </c>
      <c r="E170">
        <v>1.8689999999999998E-2</v>
      </c>
      <c r="F170">
        <v>297975932.10000002</v>
      </c>
      <c r="G170">
        <v>1.8689999999999998E-2</v>
      </c>
      <c r="L170" t="s">
        <v>8</v>
      </c>
      <c r="M170" t="s">
        <v>8</v>
      </c>
      <c r="N170" t="s">
        <v>8</v>
      </c>
      <c r="P170">
        <f t="shared" ref="P170" si="825">IF(C170=D170,0,((E170-D170)-(C170-E170))/(C170-D170))</f>
        <v>0.14814814814814425</v>
      </c>
      <c r="Q170">
        <f t="shared" ref="Q170" si="826">F170*P170</f>
        <v>44144582.533332177</v>
      </c>
      <c r="R170">
        <f t="shared" ref="R170" si="827">R171+Q170</f>
        <v>-5409421951.288228</v>
      </c>
      <c r="S170">
        <f t="shared" ref="S170" si="828">R170/100000</f>
        <v>-54094.219512882279</v>
      </c>
      <c r="T170">
        <f t="shared" ref="T170" si="829">S170/1000</f>
        <v>-54.094219512882276</v>
      </c>
    </row>
    <row r="171" spans="1:20" x14ac:dyDescent="0.25">
      <c r="A171" s="5">
        <v>44422</v>
      </c>
      <c r="B171">
        <v>1.9480000000000001E-2</v>
      </c>
      <c r="C171">
        <v>1.95E-2</v>
      </c>
      <c r="D171">
        <v>1.787E-2</v>
      </c>
      <c r="E171">
        <v>1.8350000000000002E-2</v>
      </c>
      <c r="F171">
        <v>231907699.5</v>
      </c>
      <c r="G171">
        <v>1.8350000000000002E-2</v>
      </c>
      <c r="L171" t="s">
        <v>7</v>
      </c>
      <c r="M171" t="s">
        <v>8</v>
      </c>
      <c r="N171" t="s">
        <v>8</v>
      </c>
      <c r="P171">
        <f t="shared" ref="P171" si="830">IF(C171=D171,0,((E171-D171)-(C171-E171))/(C171-D171))</f>
        <v>-0.41104294478527437</v>
      </c>
      <c r="Q171">
        <f t="shared" ref="Q171" si="831">F171*P171</f>
        <v>-95324023.720858499</v>
      </c>
      <c r="R171">
        <f t="shared" ref="R171" si="832">R172+Q171</f>
        <v>-5453566533.8215599</v>
      </c>
      <c r="S171">
        <f t="shared" ref="S171" si="833">R171/100000</f>
        <v>-54535.6653382156</v>
      </c>
      <c r="T171">
        <f t="shared" ref="T171" si="834">S171/1000</f>
        <v>-54.535665338215601</v>
      </c>
    </row>
    <row r="172" spans="1:20" x14ac:dyDescent="0.25">
      <c r="A172" s="5">
        <v>44421</v>
      </c>
      <c r="B172">
        <v>1.7170000000000001E-2</v>
      </c>
      <c r="C172">
        <v>1.95E-2</v>
      </c>
      <c r="D172">
        <v>1.6990000000000002E-2</v>
      </c>
      <c r="E172">
        <v>1.9480000000000001E-2</v>
      </c>
      <c r="F172">
        <v>302908982.30000001</v>
      </c>
      <c r="G172">
        <v>1.9480000000000001E-2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0.984063745019921</v>
      </c>
      <c r="Q172">
        <f t="shared" ref="Q172" si="836">F172*P172</f>
        <v>298081747.52231097</v>
      </c>
      <c r="R172">
        <f t="shared" ref="R172" si="837">R173+Q172</f>
        <v>-5358242510.1007013</v>
      </c>
      <c r="S172">
        <f t="shared" ref="S172" si="838">R172/100000</f>
        <v>-53582.425101007015</v>
      </c>
      <c r="T172">
        <f t="shared" ref="T172" si="839">S172/1000</f>
        <v>-53.582425101007011</v>
      </c>
    </row>
    <row r="173" spans="1:20" x14ac:dyDescent="0.25">
      <c r="A173" s="5">
        <v>44420</v>
      </c>
      <c r="B173">
        <v>1.7409999999999998E-2</v>
      </c>
      <c r="C173">
        <v>1.8839999999999999E-2</v>
      </c>
      <c r="D173">
        <v>1.6230000000000001E-2</v>
      </c>
      <c r="E173">
        <v>1.7180000000000001E-2</v>
      </c>
      <c r="F173">
        <v>398987295.80000001</v>
      </c>
      <c r="G173">
        <v>1.7180000000000001E-2</v>
      </c>
      <c r="L173" t="s">
        <v>8</v>
      </c>
      <c r="M173" t="s">
        <v>8</v>
      </c>
      <c r="N173" t="s">
        <v>8</v>
      </c>
      <c r="P173">
        <f t="shared" ref="P173" si="840">IF(C173=D173,0,((E173-D173)-(C173-E173))/(C173-D173))</f>
        <v>-0.27203065134099597</v>
      </c>
      <c r="Q173">
        <f t="shared" ref="Q173" si="841">F173*P173</f>
        <v>-108536773.95325662</v>
      </c>
      <c r="R173">
        <f t="shared" ref="R173" si="842">R174+Q173</f>
        <v>-5656324257.6230125</v>
      </c>
      <c r="S173">
        <f t="shared" ref="S173" si="843">R173/100000</f>
        <v>-56563.242576230128</v>
      </c>
      <c r="T173">
        <f t="shared" ref="T173" si="844">S173/1000</f>
        <v>-56.563242576230131</v>
      </c>
    </row>
    <row r="174" spans="1:20" x14ac:dyDescent="0.25">
      <c r="A174" s="5">
        <v>44419</v>
      </c>
      <c r="B174">
        <v>1.626E-2</v>
      </c>
      <c r="C174">
        <v>1.8169999999999999E-2</v>
      </c>
      <c r="D174">
        <v>1.6140000000000002E-2</v>
      </c>
      <c r="E174">
        <v>1.738E-2</v>
      </c>
      <c r="F174">
        <v>248405597.30000001</v>
      </c>
      <c r="G174">
        <v>1.738E-2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0.22167487684729048</v>
      </c>
      <c r="Q174">
        <f t="shared" ref="Q174" si="846">F174*P174</f>
        <v>55065280.189655133</v>
      </c>
      <c r="R174">
        <f t="shared" ref="R174" si="847">R175+Q174</f>
        <v>-5547787483.6697559</v>
      </c>
      <c r="S174">
        <f t="shared" ref="S174" si="848">R174/100000</f>
        <v>-55477.874836697556</v>
      </c>
      <c r="T174">
        <f t="shared" ref="T174" si="849">S174/1000</f>
        <v>-55.477874836697559</v>
      </c>
    </row>
    <row r="175" spans="1:20" x14ac:dyDescent="0.25">
      <c r="A175" s="5">
        <v>44418</v>
      </c>
      <c r="B175">
        <v>1.5789999999999998E-2</v>
      </c>
      <c r="C175">
        <v>1.7080000000000001E-2</v>
      </c>
      <c r="D175">
        <v>1.5570000000000001E-2</v>
      </c>
      <c r="E175">
        <v>1.6230000000000001E-2</v>
      </c>
      <c r="F175">
        <v>267342058.59999999</v>
      </c>
      <c r="G175">
        <v>1.6230000000000001E-2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-0.12582781456953582</v>
      </c>
      <c r="Q175">
        <f t="shared" ref="Q175" si="851">F175*P175</f>
        <v>-33639066.976158775</v>
      </c>
      <c r="R175">
        <f t="shared" ref="R175" si="852">R176+Q175</f>
        <v>-5602852763.8594112</v>
      </c>
      <c r="S175">
        <f t="shared" ref="S175" si="853">R175/100000</f>
        <v>-56028.527638594111</v>
      </c>
      <c r="T175">
        <f t="shared" ref="T175" si="854">S175/1000</f>
        <v>-56.028527638594113</v>
      </c>
    </row>
    <row r="176" spans="1:20" x14ac:dyDescent="0.25">
      <c r="A176" s="5">
        <v>44417</v>
      </c>
      <c r="B176">
        <v>1.4800000000000001E-2</v>
      </c>
      <c r="C176">
        <v>1.6109999999999999E-2</v>
      </c>
      <c r="D176">
        <v>1.4250000000000001E-2</v>
      </c>
      <c r="E176">
        <v>1.5779999999999999E-2</v>
      </c>
      <c r="F176">
        <v>241384379.59999999</v>
      </c>
      <c r="G176">
        <v>1.5779999999999999E-2</v>
      </c>
      <c r="L176" t="s">
        <v>8</v>
      </c>
      <c r="M176" t="s">
        <v>8</v>
      </c>
      <c r="N176" t="s">
        <v>8</v>
      </c>
      <c r="P176">
        <f t="shared" ref="P176" si="855">IF(C176=D176,0,((E176-D176)-(C176-E176))/(C176-D176))</f>
        <v>0.64516129032257996</v>
      </c>
      <c r="Q176">
        <f t="shared" ref="Q176" si="856">F176*P176</f>
        <v>155731857.80645144</v>
      </c>
      <c r="R176">
        <f t="shared" ref="R176" si="857">R177+Q176</f>
        <v>-5569213696.8832521</v>
      </c>
      <c r="S176">
        <f t="shared" ref="S176" si="858">R176/100000</f>
        <v>-55692.136968832521</v>
      </c>
      <c r="T176">
        <f t="shared" ref="T176" si="859">S176/1000</f>
        <v>-55.692136968832521</v>
      </c>
    </row>
    <row r="177" spans="1:20" x14ac:dyDescent="0.25">
      <c r="A177" s="5">
        <v>44416</v>
      </c>
      <c r="B177">
        <v>1.489E-2</v>
      </c>
      <c r="C177">
        <v>1.5270000000000001E-2</v>
      </c>
      <c r="D177">
        <v>1.4120000000000001E-2</v>
      </c>
      <c r="E177">
        <v>1.4760000000000001E-2</v>
      </c>
      <c r="F177">
        <v>191699686.30000001</v>
      </c>
      <c r="G177">
        <v>1.4760000000000001E-2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0.11304347826086948</v>
      </c>
      <c r="Q177">
        <f t="shared" ref="Q177" si="861">F177*P177</f>
        <v>21670399.32086955</v>
      </c>
      <c r="R177">
        <f t="shared" ref="R177" si="862">R178+Q177</f>
        <v>-5724945554.6897039</v>
      </c>
      <c r="S177">
        <f t="shared" ref="S177" si="863">R177/100000</f>
        <v>-57249.455546897043</v>
      </c>
      <c r="T177">
        <f t="shared" ref="T177" si="864">S177/1000</f>
        <v>-57.249455546897046</v>
      </c>
    </row>
    <row r="178" spans="1:20" x14ac:dyDescent="0.25">
      <c r="A178" s="5">
        <v>44415</v>
      </c>
      <c r="B178">
        <v>1.455E-2</v>
      </c>
      <c r="C178">
        <v>1.549E-2</v>
      </c>
      <c r="D178">
        <v>1.414E-2</v>
      </c>
      <c r="E178">
        <v>1.489E-2</v>
      </c>
      <c r="F178">
        <v>247547826.80000001</v>
      </c>
      <c r="G178">
        <v>1.489E-2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0.11111111111111169</v>
      </c>
      <c r="Q178">
        <f t="shared" ref="Q178" si="866">F178*P178</f>
        <v>27505314.088889033</v>
      </c>
      <c r="R178">
        <f t="shared" ref="R178" si="867">R179+Q178</f>
        <v>-5746615954.0105734</v>
      </c>
      <c r="S178">
        <f t="shared" ref="S178" si="868">R178/100000</f>
        <v>-57466.159540105735</v>
      </c>
      <c r="T178">
        <f t="shared" ref="T178" si="869">S178/1000</f>
        <v>-57.466159540105735</v>
      </c>
    </row>
    <row r="179" spans="1:20" x14ac:dyDescent="0.25">
      <c r="A179" s="5">
        <v>44414</v>
      </c>
      <c r="B179">
        <v>1.3780000000000001E-2</v>
      </c>
      <c r="C179">
        <v>1.46E-2</v>
      </c>
      <c r="D179">
        <v>1.355E-2</v>
      </c>
      <c r="E179">
        <v>1.455E-2</v>
      </c>
      <c r="F179">
        <v>235333797.69999999</v>
      </c>
      <c r="G179">
        <v>1.455E-2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0.90476190476190543</v>
      </c>
      <c r="Q179">
        <f t="shared" ref="Q179" si="871">F179*P179</f>
        <v>212921055.06190491</v>
      </c>
      <c r="R179">
        <f t="shared" ref="R179" si="872">R180+Q179</f>
        <v>-5774121268.0994625</v>
      </c>
      <c r="S179">
        <f t="shared" ref="S179" si="873">R179/100000</f>
        <v>-57741.212680994628</v>
      </c>
      <c r="T179">
        <f t="shared" ref="T179" si="874">S179/1000</f>
        <v>-57.741212680994629</v>
      </c>
    </row>
    <row r="180" spans="1:20" x14ac:dyDescent="0.25">
      <c r="A180" s="5">
        <v>44413</v>
      </c>
      <c r="B180">
        <v>1.341E-2</v>
      </c>
      <c r="C180">
        <v>1.404E-2</v>
      </c>
      <c r="D180">
        <v>1.307E-2</v>
      </c>
      <c r="E180">
        <v>1.3769999999999999E-2</v>
      </c>
      <c r="F180">
        <v>168200019.59999999</v>
      </c>
      <c r="G180">
        <v>1.3769999999999999E-2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0.44329896907216282</v>
      </c>
      <c r="Q180">
        <f t="shared" ref="Q180" si="876">F180*P180</f>
        <v>74562895.28659758</v>
      </c>
      <c r="R180">
        <f t="shared" ref="R180" si="877">R181+Q180</f>
        <v>-5987042323.1613674</v>
      </c>
      <c r="S180">
        <f t="shared" ref="S180" si="878">R180/100000</f>
        <v>-59870.423231613677</v>
      </c>
      <c r="T180">
        <f t="shared" ref="T180" si="879">S180/1000</f>
        <v>-59.870423231613678</v>
      </c>
    </row>
    <row r="181" spans="1:20" x14ac:dyDescent="0.25">
      <c r="A181" s="5">
        <v>44412</v>
      </c>
      <c r="B181">
        <v>1.307E-2</v>
      </c>
      <c r="C181">
        <v>1.3599999999999999E-2</v>
      </c>
      <c r="D181">
        <v>1.2970000000000001E-2</v>
      </c>
      <c r="E181">
        <v>1.3440000000000001E-2</v>
      </c>
      <c r="F181">
        <v>194092748.59999999</v>
      </c>
      <c r="G181">
        <v>1.3440000000000001E-2</v>
      </c>
      <c r="L181" t="s">
        <v>7</v>
      </c>
      <c r="M181" t="s">
        <v>8</v>
      </c>
      <c r="N181" t="s">
        <v>8</v>
      </c>
      <c r="P181">
        <f t="shared" ref="P181" si="880">IF(C181=D181,0,((E181-D181)-(C181-E181))/(C181-D181))</f>
        <v>0.49206349206349514</v>
      </c>
      <c r="Q181">
        <f t="shared" ref="Q181" si="881">F181*P181</f>
        <v>95505955.660318062</v>
      </c>
      <c r="R181">
        <f t="shared" ref="R181" si="882">R182+Q181</f>
        <v>-6061605218.4479647</v>
      </c>
      <c r="S181">
        <f t="shared" ref="S181" si="883">R181/100000</f>
        <v>-60616.052184479646</v>
      </c>
      <c r="T181">
        <f t="shared" ref="T181" si="884">S181/1000</f>
        <v>-60.616052184479649</v>
      </c>
    </row>
    <row r="182" spans="1:20" x14ac:dyDescent="0.25">
      <c r="A182" s="5">
        <v>44411</v>
      </c>
      <c r="B182">
        <v>1.3310000000000001E-2</v>
      </c>
      <c r="C182">
        <v>1.354E-2</v>
      </c>
      <c r="D182">
        <v>1.2800000000000001E-2</v>
      </c>
      <c r="E182">
        <v>1.307E-2</v>
      </c>
      <c r="F182">
        <v>81736919.400000006</v>
      </c>
      <c r="G182">
        <v>1.307E-2</v>
      </c>
      <c r="L182" t="s">
        <v>7</v>
      </c>
      <c r="M182" t="s">
        <v>8</v>
      </c>
      <c r="N182" t="s">
        <v>8</v>
      </c>
      <c r="P182">
        <f t="shared" ref="P182" si="885">IF(C182=D182,0,((E182-D182)-(C182-E182))/(C182-D182))</f>
        <v>-0.27027027027027123</v>
      </c>
      <c r="Q182">
        <f t="shared" ref="Q182" si="886">F182*P182</f>
        <v>-22091059.297297377</v>
      </c>
      <c r="R182">
        <f t="shared" ref="R182" si="887">R183+Q182</f>
        <v>-6157111174.108283</v>
      </c>
      <c r="S182">
        <f t="shared" ref="S182" si="888">R182/100000</f>
        <v>-61571.11174108283</v>
      </c>
      <c r="T182">
        <f t="shared" ref="T182" si="889">S182/1000</f>
        <v>-61.571111741082831</v>
      </c>
    </row>
    <row r="183" spans="1:20" x14ac:dyDescent="0.25">
      <c r="A183" s="5">
        <v>44410</v>
      </c>
      <c r="B183">
        <v>1.3679999999999999E-2</v>
      </c>
      <c r="C183">
        <v>1.388E-2</v>
      </c>
      <c r="D183">
        <v>1.321E-2</v>
      </c>
      <c r="E183">
        <v>1.336E-2</v>
      </c>
      <c r="F183">
        <v>88251347.200000003</v>
      </c>
      <c r="G183">
        <v>1.336E-2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-0.55223880597014707</v>
      </c>
      <c r="Q183">
        <f t="shared" ref="Q183" si="891">F183*P183</f>
        <v>-48735818.602984883</v>
      </c>
      <c r="R183">
        <f t="shared" ref="R183" si="892">R184+Q183</f>
        <v>-6135020114.8109856</v>
      </c>
      <c r="S183">
        <f t="shared" ref="S183" si="893">R183/100000</f>
        <v>-61350.201148109853</v>
      </c>
      <c r="T183">
        <f t="shared" ref="T183" si="894">S183/1000</f>
        <v>-61.350201148109853</v>
      </c>
    </row>
    <row r="184" spans="1:20" x14ac:dyDescent="0.25">
      <c r="A184" s="5">
        <v>44409</v>
      </c>
      <c r="B184">
        <v>1.401E-2</v>
      </c>
      <c r="C184">
        <v>1.468E-2</v>
      </c>
      <c r="D184">
        <v>1.353E-2</v>
      </c>
      <c r="E184">
        <v>1.366E-2</v>
      </c>
      <c r="F184">
        <v>400369987.69999999</v>
      </c>
      <c r="G184">
        <v>1.366E-2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-0.77391304347826106</v>
      </c>
      <c r="Q184">
        <f t="shared" ref="Q184" si="896">F184*P184</f>
        <v>-309851555.69826096</v>
      </c>
      <c r="R184">
        <f t="shared" ref="R184" si="897">R185+Q184</f>
        <v>-6086284296.2080011</v>
      </c>
      <c r="S184">
        <f t="shared" ref="S184" si="898">R184/100000</f>
        <v>-60862.842962080009</v>
      </c>
      <c r="T184">
        <f t="shared" ref="T184" si="899">S184/1000</f>
        <v>-60.862842962080009</v>
      </c>
    </row>
    <row r="185" spans="1:20" x14ac:dyDescent="0.25">
      <c r="A185" s="5">
        <v>44408</v>
      </c>
      <c r="B185">
        <v>1.374E-2</v>
      </c>
      <c r="C185">
        <v>1.4330000000000001E-2</v>
      </c>
      <c r="D185">
        <v>1.359E-2</v>
      </c>
      <c r="E185">
        <v>1.4E-2</v>
      </c>
      <c r="F185">
        <v>119920725.40000001</v>
      </c>
      <c r="G185">
        <v>1.4E-2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0.10810810810810824</v>
      </c>
      <c r="Q185">
        <f t="shared" ref="Q185" si="901">F185*P185</f>
        <v>12964402.745945962</v>
      </c>
      <c r="R185">
        <f t="shared" ref="R185" si="902">R186+Q185</f>
        <v>-5776432740.5097399</v>
      </c>
      <c r="S185">
        <f t="shared" ref="S185" si="903">R185/100000</f>
        <v>-57764.3274050974</v>
      </c>
      <c r="T185">
        <f t="shared" ref="T185" si="904">S185/1000</f>
        <v>-57.764327405097397</v>
      </c>
    </row>
    <row r="186" spans="1:20" x14ac:dyDescent="0.25">
      <c r="A186" s="5">
        <v>44407</v>
      </c>
      <c r="B186">
        <v>1.329E-2</v>
      </c>
      <c r="C186">
        <v>1.3990000000000001E-2</v>
      </c>
      <c r="D186">
        <v>1.281E-2</v>
      </c>
      <c r="E186">
        <v>1.372E-2</v>
      </c>
      <c r="F186">
        <v>117142790.09999999</v>
      </c>
      <c r="G186">
        <v>1.372E-2</v>
      </c>
      <c r="L186" t="s">
        <v>8</v>
      </c>
      <c r="M186" t="s">
        <v>8</v>
      </c>
      <c r="N186" t="s">
        <v>8</v>
      </c>
      <c r="P186">
        <f t="shared" ref="P186" si="905">IF(C186=D186,0,((E186-D186)-(C186-E186))/(C186-D186))</f>
        <v>0.54237288135593043</v>
      </c>
      <c r="Q186">
        <f t="shared" ref="Q186" si="906">F186*P186</f>
        <v>63535072.596609958</v>
      </c>
      <c r="R186">
        <f t="shared" ref="R186" si="907">R187+Q186</f>
        <v>-5789397143.2556858</v>
      </c>
      <c r="S186">
        <f t="shared" ref="S186" si="908">R186/100000</f>
        <v>-57893.971432556857</v>
      </c>
      <c r="T186">
        <f t="shared" ref="T186" si="909">S186/1000</f>
        <v>-57.893971432556853</v>
      </c>
    </row>
    <row r="187" spans="1:20" x14ac:dyDescent="0.25">
      <c r="A187" s="5">
        <v>44406</v>
      </c>
      <c r="B187">
        <v>1.2930000000000001E-2</v>
      </c>
      <c r="C187">
        <v>1.3390000000000001E-2</v>
      </c>
      <c r="D187">
        <v>1.2619999999999999E-2</v>
      </c>
      <c r="E187">
        <v>1.325E-2</v>
      </c>
      <c r="F187">
        <v>122119449.90000001</v>
      </c>
      <c r="G187">
        <v>1.325E-2</v>
      </c>
      <c r="L187" t="s">
        <v>8</v>
      </c>
      <c r="M187" t="s">
        <v>8</v>
      </c>
      <c r="N187" t="s">
        <v>8</v>
      </c>
      <c r="P187">
        <f t="shared" ref="P187" si="910">IF(C187=D187,0,((E187-D187)-(C187-E187))/(C187-D187))</f>
        <v>0.63636363636363391</v>
      </c>
      <c r="Q187">
        <f t="shared" ref="Q187" si="911">F187*P187</f>
        <v>77712377.20909062</v>
      </c>
      <c r="R187">
        <f t="shared" ref="R187" si="912">R188+Q187</f>
        <v>-5852932215.8522959</v>
      </c>
      <c r="S187">
        <f t="shared" ref="S187" si="913">R187/100000</f>
        <v>-58529.322158522962</v>
      </c>
      <c r="T187">
        <f t="shared" ref="T187" si="914">S187/1000</f>
        <v>-58.529322158522959</v>
      </c>
    </row>
    <row r="188" spans="1:20" x14ac:dyDescent="0.25">
      <c r="A188" s="5">
        <v>44405</v>
      </c>
      <c r="B188">
        <v>1.3299999999999999E-2</v>
      </c>
      <c r="C188">
        <v>1.355E-2</v>
      </c>
      <c r="D188">
        <v>1.2540000000000001E-2</v>
      </c>
      <c r="E188">
        <v>1.2930000000000001E-2</v>
      </c>
      <c r="F188">
        <v>118301325.3</v>
      </c>
      <c r="G188">
        <v>1.2930000000000001E-2</v>
      </c>
      <c r="L188" t="s">
        <v>8</v>
      </c>
      <c r="M188" t="s">
        <v>8</v>
      </c>
      <c r="N188" t="s">
        <v>8</v>
      </c>
      <c r="P188">
        <f t="shared" ref="P188" si="915">IF(C188=D188,0,((E188-D188)-(C188-E188))/(C188-D188))</f>
        <v>-0.22772277227722731</v>
      </c>
      <c r="Q188">
        <f t="shared" ref="Q188" si="916">F188*P188</f>
        <v>-26939905.761386089</v>
      </c>
      <c r="R188">
        <f t="shared" ref="R188" si="917">R189+Q188</f>
        <v>-5930644593.0613861</v>
      </c>
      <c r="S188">
        <f t="shared" ref="S188" si="918">R188/100000</f>
        <v>-59306.44593061386</v>
      </c>
      <c r="T188">
        <f t="shared" ref="T188" si="919">S188/1000</f>
        <v>-59.306445930613862</v>
      </c>
    </row>
    <row r="189" spans="1:20" x14ac:dyDescent="0.25">
      <c r="A189" s="5">
        <v>44404</v>
      </c>
      <c r="B189">
        <v>1.3180000000000001E-2</v>
      </c>
      <c r="C189">
        <v>1.3899999999999999E-2</v>
      </c>
      <c r="D189">
        <v>1.2500000000000001E-2</v>
      </c>
      <c r="E189">
        <v>1.3299999999999999E-2</v>
      </c>
      <c r="F189">
        <v>162182622.40000001</v>
      </c>
      <c r="G189">
        <v>1.3299999999999999E-2</v>
      </c>
      <c r="L189" t="s">
        <v>7</v>
      </c>
      <c r="M189" t="s">
        <v>8</v>
      </c>
      <c r="N189" t="s">
        <v>8</v>
      </c>
      <c r="P189">
        <f t="shared" ref="P189" si="920">IF(C189=D189,0,((E189-D189)-(C189-E189))/(C189-D189))</f>
        <v>0.14285714285714216</v>
      </c>
      <c r="Q189">
        <f t="shared" ref="Q189" si="921">F189*P189</f>
        <v>23168946.057142746</v>
      </c>
      <c r="R189">
        <f t="shared" ref="R189" si="922">R190+Q189</f>
        <v>-5903704687.3000002</v>
      </c>
      <c r="S189">
        <f t="shared" ref="S189" si="923">R189/100000</f>
        <v>-59037.046872999999</v>
      </c>
      <c r="T189">
        <f t="shared" ref="T189" si="924">S189/1000</f>
        <v>-59.037046873000001</v>
      </c>
    </row>
    <row r="190" spans="1:20" x14ac:dyDescent="0.25">
      <c r="A190" s="5">
        <v>44403</v>
      </c>
      <c r="B190">
        <v>1.435E-2</v>
      </c>
      <c r="C190">
        <v>1.485E-2</v>
      </c>
      <c r="D190">
        <v>1.2800000000000001E-2</v>
      </c>
      <c r="E190">
        <v>1.3100000000000001E-2</v>
      </c>
      <c r="F190">
        <v>319912268.80000001</v>
      </c>
      <c r="G190">
        <v>1.3100000000000001E-2</v>
      </c>
      <c r="L190" t="s">
        <v>7</v>
      </c>
      <c r="M190" t="s">
        <v>8</v>
      </c>
      <c r="N190" t="s">
        <v>8</v>
      </c>
      <c r="P190">
        <f t="shared" ref="P190" si="925">IF(C190=D190,0,((E190-D190)-(C190-E190))/(C190-D190))</f>
        <v>-0.70731707317073178</v>
      </c>
      <c r="Q190">
        <f t="shared" ref="Q190" si="926">F190*P190</f>
        <v>-226279409.63902444</v>
      </c>
      <c r="R190">
        <f t="shared" ref="R190" si="927">R191+Q190</f>
        <v>-5926873633.3571434</v>
      </c>
      <c r="S190">
        <f t="shared" ref="S190" si="928">R190/100000</f>
        <v>-59268.736333571433</v>
      </c>
      <c r="T190">
        <f t="shared" ref="T190" si="929">S190/1000</f>
        <v>-59.268736333571432</v>
      </c>
    </row>
    <row r="191" spans="1:20" x14ac:dyDescent="0.25">
      <c r="A191" s="5">
        <v>44402</v>
      </c>
      <c r="B191">
        <v>1.2279999999999999E-2</v>
      </c>
      <c r="C191">
        <v>1.4800000000000001E-2</v>
      </c>
      <c r="D191">
        <v>1.183E-2</v>
      </c>
      <c r="E191">
        <v>1.4370000000000001E-2</v>
      </c>
      <c r="F191">
        <v>608253231.20000005</v>
      </c>
      <c r="G191">
        <v>1.4370000000000001E-2</v>
      </c>
      <c r="L191" t="s">
        <v>8</v>
      </c>
      <c r="M191" t="s">
        <v>8</v>
      </c>
      <c r="N191" t="s">
        <v>8</v>
      </c>
      <c r="P191">
        <f t="shared" ref="P191" si="930">IF(C191=D191,0,((E191-D191)-(C191-E191))/(C191-D191))</f>
        <v>0.71043771043771065</v>
      </c>
      <c r="Q191">
        <f t="shared" ref="Q191" si="931">F191*P191</f>
        <v>432126032.94006753</v>
      </c>
      <c r="R191">
        <f t="shared" ref="R191" si="932">R192+Q191</f>
        <v>-5700594223.7181187</v>
      </c>
      <c r="S191">
        <f t="shared" ref="S191" si="933">R191/100000</f>
        <v>-57005.942237181189</v>
      </c>
      <c r="T191">
        <f t="shared" ref="T191:T197" si="934">S191/1000</f>
        <v>-57.005942237181188</v>
      </c>
    </row>
    <row r="192" spans="1:20" x14ac:dyDescent="0.25">
      <c r="A192" s="5">
        <v>44401</v>
      </c>
      <c r="B192">
        <v>1.153E-2</v>
      </c>
      <c r="C192">
        <v>1.3180000000000001E-2</v>
      </c>
      <c r="D192">
        <v>1.137E-2</v>
      </c>
      <c r="E192">
        <v>1.227E-2</v>
      </c>
      <c r="F192">
        <v>166505063</v>
      </c>
      <c r="G192">
        <v>1.227E-2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-5.5248618784537696E-3</v>
      </c>
      <c r="Q192">
        <f t="shared" ref="Q192" si="936">F192*P192</f>
        <v>-919917.47513824329</v>
      </c>
      <c r="R192">
        <f t="shared" ref="R192" si="937">R193+Q192</f>
        <v>-6132720256.658186</v>
      </c>
      <c r="S192">
        <f t="shared" ref="S192" si="938">R192/100000</f>
        <v>-61327.202566581858</v>
      </c>
      <c r="T192">
        <f t="shared" si="934"/>
        <v>-61.32720256658186</v>
      </c>
    </row>
    <row r="193" spans="1:20" x14ac:dyDescent="0.25">
      <c r="A193" s="5">
        <v>44400</v>
      </c>
      <c r="B193">
        <v>1.1339999999999999E-2</v>
      </c>
      <c r="C193">
        <v>1.1730000000000001E-2</v>
      </c>
      <c r="D193">
        <v>1.0880000000000001E-2</v>
      </c>
      <c r="E193">
        <v>1.1560000000000001E-2</v>
      </c>
      <c r="F193">
        <v>101123467.59999999</v>
      </c>
      <c r="G193">
        <v>1.1560000000000001E-2</v>
      </c>
      <c r="L193" t="s">
        <v>7</v>
      </c>
      <c r="M193" t="s">
        <v>8</v>
      </c>
      <c r="N193" t="s">
        <v>7</v>
      </c>
      <c r="P193">
        <f t="shared" ref="P193" si="939">IF(C193=D193,0,((E193-D193)-(C193-E193))/(C193-D193))</f>
        <v>0.6</v>
      </c>
      <c r="Q193">
        <f t="shared" ref="Q193" si="940">F193*P193</f>
        <v>60674080.559999995</v>
      </c>
      <c r="R193">
        <f t="shared" ref="R193" si="941">R194+Q193</f>
        <v>-6131800339.1830473</v>
      </c>
      <c r="S193">
        <f t="shared" ref="S193" si="942">R193/100000</f>
        <v>-61318.003391830476</v>
      </c>
      <c r="T193">
        <f t="shared" si="934"/>
        <v>-61.318003391830473</v>
      </c>
    </row>
    <row r="194" spans="1:20" x14ac:dyDescent="0.25">
      <c r="A194" s="5">
        <v>44399</v>
      </c>
      <c r="B194">
        <v>1.1270000000000001E-2</v>
      </c>
      <c r="C194">
        <v>1.192E-2</v>
      </c>
      <c r="D194">
        <v>1.099E-2</v>
      </c>
      <c r="E194">
        <v>1.1310000000000001E-2</v>
      </c>
      <c r="F194">
        <v>220512649.09999999</v>
      </c>
      <c r="G194">
        <v>1.1310000000000001E-2</v>
      </c>
      <c r="L194" t="s">
        <v>8</v>
      </c>
      <c r="M194" t="s">
        <v>8</v>
      </c>
      <c r="N194" t="s">
        <v>7</v>
      </c>
      <c r="P194">
        <f t="shared" ref="P194" si="943">IF(C194=D194,0,((E194-D194)-(C194-E194))/(C194-D194))</f>
        <v>-0.3118279569892457</v>
      </c>
      <c r="Q194">
        <f t="shared" ref="Q194" si="944">F194*P194</f>
        <v>-68762008.859139428</v>
      </c>
      <c r="R194">
        <f t="shared" ref="R194" si="945">R195+Q194</f>
        <v>-6192474419.7430477</v>
      </c>
      <c r="S194">
        <f t="shared" ref="S194" si="946">R194/100000</f>
        <v>-61924.744197430475</v>
      </c>
      <c r="T194">
        <f t="shared" si="934"/>
        <v>-61.924744197430478</v>
      </c>
    </row>
    <row r="195" spans="1:20" x14ac:dyDescent="0.25">
      <c r="A195" s="5">
        <v>44398</v>
      </c>
      <c r="B195">
        <v>1.0359999999999999E-2</v>
      </c>
      <c r="C195">
        <v>1.163E-2</v>
      </c>
      <c r="D195">
        <v>1.0109999999999999E-2</v>
      </c>
      <c r="E195">
        <v>1.1270000000000001E-2</v>
      </c>
      <c r="F195">
        <v>64085792.899999999</v>
      </c>
      <c r="G195">
        <v>1.1270000000000001E-2</v>
      </c>
      <c r="L195" t="s">
        <v>8</v>
      </c>
      <c r="M195" t="s">
        <v>7</v>
      </c>
      <c r="N195" t="s">
        <v>7</v>
      </c>
      <c r="P195">
        <f t="shared" ref="P195" si="947">IF(C195=D195,0,((E195-D195)-(C195-E195))/(C195-D195))</f>
        <v>0.5263157894736854</v>
      </c>
      <c r="Q195">
        <f t="shared" ref="Q195" si="948">F195*P195</f>
        <v>33729364.684210598</v>
      </c>
      <c r="R195">
        <f t="shared" ref="R195" si="949">R196+Q195</f>
        <v>-6123712410.8839083</v>
      </c>
      <c r="S195">
        <f t="shared" ref="S195" si="950">R195/100000</f>
        <v>-61237.124108839082</v>
      </c>
      <c r="T195">
        <f t="shared" si="934"/>
        <v>-61.237124108839083</v>
      </c>
    </row>
    <row r="196" spans="1:20" x14ac:dyDescent="0.25">
      <c r="A196" s="5">
        <v>44397</v>
      </c>
      <c r="B196">
        <v>1.11E-2</v>
      </c>
      <c r="C196">
        <v>1.124E-2</v>
      </c>
      <c r="D196">
        <v>1.001E-2</v>
      </c>
      <c r="E196">
        <v>1.0330000000000001E-2</v>
      </c>
      <c r="F196">
        <v>103967406.09999999</v>
      </c>
      <c r="G196">
        <v>1.0330000000000001E-2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-0.4796747967479662</v>
      </c>
      <c r="Q196">
        <f t="shared" ref="Q196" si="952">F196*P196</f>
        <v>-49870544.389430761</v>
      </c>
      <c r="R196">
        <f t="shared" ref="R196" si="953">R197+Q196</f>
        <v>-6157441775.568119</v>
      </c>
      <c r="S196">
        <f t="shared" ref="S196" si="954">R196/100000</f>
        <v>-61574.417755681192</v>
      </c>
      <c r="T196">
        <f t="shared" si="934"/>
        <v>-61.574417755681189</v>
      </c>
    </row>
    <row r="197" spans="1:20" x14ac:dyDescent="0.25">
      <c r="A197" s="5">
        <v>44396</v>
      </c>
      <c r="B197">
        <v>1.18E-2</v>
      </c>
      <c r="C197">
        <v>1.1849999999999999E-2</v>
      </c>
      <c r="D197">
        <v>1.0880000000000001E-2</v>
      </c>
      <c r="E197">
        <v>1.11E-2</v>
      </c>
      <c r="F197">
        <v>122188390.7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-0.54639175257731953</v>
      </c>
      <c r="Q197">
        <f t="shared" ref="Q197" si="956">F197*P197</f>
        <v>-66762728.939175256</v>
      </c>
      <c r="R197">
        <f t="shared" ref="R197" si="957">R198+Q197</f>
        <v>-6107571231.178688</v>
      </c>
      <c r="S197">
        <f t="shared" ref="S197" si="958">R197/100000</f>
        <v>-61075.712311786883</v>
      </c>
      <c r="T197">
        <f t="shared" si="934"/>
        <v>-61.07571231178688</v>
      </c>
    </row>
    <row r="198" spans="1:20" x14ac:dyDescent="0.25">
      <c r="A198" s="5">
        <v>44395</v>
      </c>
      <c r="B198">
        <v>1.18E-2</v>
      </c>
      <c r="C198">
        <v>1.23E-2</v>
      </c>
      <c r="D198">
        <v>1.155E-2</v>
      </c>
      <c r="E198">
        <v>1.1820000000000001E-2</v>
      </c>
      <c r="F198">
        <v>64299653.899999999</v>
      </c>
      <c r="G198">
        <v>0</v>
      </c>
      <c r="L198" t="s">
        <v>7</v>
      </c>
      <c r="M198" t="s">
        <v>7</v>
      </c>
      <c r="N198" t="s">
        <v>7</v>
      </c>
      <c r="P198">
        <f t="shared" ref="P198:P261" si="959">IF(C198=D198,0,((E198-D198)-(C198-E198))/(C198-D198))</f>
        <v>-0.27999999999999758</v>
      </c>
      <c r="Q198">
        <f t="shared" ref="Q198:Q261" si="960">F198*P198</f>
        <v>-18003903.091999844</v>
      </c>
      <c r="R198">
        <f t="shared" ref="R198:R261" si="961">R199+Q198</f>
        <v>-6040808502.2395124</v>
      </c>
      <c r="S198">
        <f t="shared" ref="S198:S261" si="962">R198/100000</f>
        <v>-60408.085022395127</v>
      </c>
      <c r="T198">
        <f t="shared" ref="T198:T261" si="963">S198/1000</f>
        <v>-60.408085022395127</v>
      </c>
    </row>
    <row r="199" spans="1:20" x14ac:dyDescent="0.25">
      <c r="A199" s="5">
        <v>44394</v>
      </c>
      <c r="B199">
        <v>1.204E-2</v>
      </c>
      <c r="C199">
        <v>1.234E-2</v>
      </c>
      <c r="D199">
        <v>1.1560000000000001E-2</v>
      </c>
      <c r="E199">
        <v>1.1809999999999999E-2</v>
      </c>
      <c r="F199">
        <v>88800004.799999997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-0.35897435897436242</v>
      </c>
      <c r="Q199">
        <f t="shared" si="960"/>
        <v>-31876924.800000306</v>
      </c>
      <c r="R199">
        <f t="shared" si="961"/>
        <v>-6022804599.1475124</v>
      </c>
      <c r="S199">
        <f t="shared" si="962"/>
        <v>-60228.045991475126</v>
      </c>
      <c r="T199">
        <f t="shared" si="963"/>
        <v>-60.228045991475128</v>
      </c>
    </row>
    <row r="200" spans="1:20" x14ac:dyDescent="0.25">
      <c r="A200" s="5">
        <v>44393</v>
      </c>
      <c r="B200">
        <v>1.2840000000000001E-2</v>
      </c>
      <c r="C200">
        <v>1.307E-2</v>
      </c>
      <c r="D200">
        <v>1.175E-2</v>
      </c>
      <c r="E200">
        <v>1.204E-2</v>
      </c>
      <c r="F200">
        <v>105002429.09999999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-0.56060606060606011</v>
      </c>
      <c r="Q200">
        <f t="shared" si="960"/>
        <v>-58864998.131818123</v>
      </c>
      <c r="R200">
        <f t="shared" si="961"/>
        <v>-5990927674.3475122</v>
      </c>
      <c r="S200">
        <f t="shared" si="962"/>
        <v>-59909.276743475122</v>
      </c>
      <c r="T200">
        <f t="shared" si="963"/>
        <v>-59.909276743475125</v>
      </c>
    </row>
    <row r="201" spans="1:20" x14ac:dyDescent="0.25">
      <c r="A201" s="5">
        <v>44392</v>
      </c>
      <c r="B201">
        <v>1.285E-2</v>
      </c>
      <c r="C201">
        <v>1.464E-2</v>
      </c>
      <c r="D201">
        <v>1.2659999999999999E-2</v>
      </c>
      <c r="E201">
        <v>1.2840000000000001E-2</v>
      </c>
      <c r="F201">
        <v>345864941.89999998</v>
      </c>
      <c r="G201">
        <v>0</v>
      </c>
      <c r="L201" t="s">
        <v>8</v>
      </c>
      <c r="M201" t="s">
        <v>8</v>
      </c>
      <c r="N201" t="s">
        <v>7</v>
      </c>
      <c r="P201">
        <f t="shared" si="959"/>
        <v>-0.8181818181818169</v>
      </c>
      <c r="Q201">
        <f t="shared" si="960"/>
        <v>-282980407.00909042</v>
      </c>
      <c r="R201">
        <f t="shared" si="961"/>
        <v>-5932062676.2156944</v>
      </c>
      <c r="S201">
        <f t="shared" si="962"/>
        <v>-59320.626762156942</v>
      </c>
      <c r="T201">
        <f t="shared" si="963"/>
        <v>-59.320626762156941</v>
      </c>
    </row>
    <row r="202" spans="1:20" x14ac:dyDescent="0.25">
      <c r="A202" s="5">
        <v>44391</v>
      </c>
      <c r="B202">
        <v>1.251E-2</v>
      </c>
      <c r="C202">
        <v>1.2959999999999999E-2</v>
      </c>
      <c r="D202">
        <v>1.166E-2</v>
      </c>
      <c r="E202">
        <v>1.2840000000000001E-2</v>
      </c>
      <c r="F202">
        <v>147677050</v>
      </c>
      <c r="G202">
        <v>0</v>
      </c>
      <c r="L202" t="s">
        <v>7</v>
      </c>
      <c r="M202" t="s">
        <v>7</v>
      </c>
      <c r="N202" t="s">
        <v>7</v>
      </c>
      <c r="P202">
        <f t="shared" si="959"/>
        <v>0.81538461538461748</v>
      </c>
      <c r="Q202">
        <f t="shared" si="960"/>
        <v>120413594.61538492</v>
      </c>
      <c r="R202">
        <f t="shared" si="961"/>
        <v>-5649082269.206604</v>
      </c>
      <c r="S202">
        <f t="shared" si="962"/>
        <v>-56490.822692066038</v>
      </c>
      <c r="T202">
        <f t="shared" si="963"/>
        <v>-56.49082269206604</v>
      </c>
    </row>
    <row r="203" spans="1:20" x14ac:dyDescent="0.25">
      <c r="A203" s="5">
        <v>44390</v>
      </c>
      <c r="B203">
        <v>1.273E-2</v>
      </c>
      <c r="C203">
        <v>1.291E-2</v>
      </c>
      <c r="D203">
        <v>1.201E-2</v>
      </c>
      <c r="E203">
        <v>1.248E-2</v>
      </c>
      <c r="F203">
        <v>90607545.5</v>
      </c>
      <c r="G203">
        <v>0</v>
      </c>
      <c r="L203" t="s">
        <v>7</v>
      </c>
      <c r="M203" t="s">
        <v>7</v>
      </c>
      <c r="N203" t="s">
        <v>7</v>
      </c>
      <c r="P203">
        <f t="shared" si="959"/>
        <v>4.4444444444444571E-2</v>
      </c>
      <c r="Q203">
        <f t="shared" si="960"/>
        <v>4027002.0222222335</v>
      </c>
      <c r="R203">
        <f t="shared" si="961"/>
        <v>-5769495863.8219891</v>
      </c>
      <c r="S203">
        <f t="shared" si="962"/>
        <v>-57694.95863821989</v>
      </c>
      <c r="T203">
        <f t="shared" si="963"/>
        <v>-57.694958638219887</v>
      </c>
    </row>
    <row r="204" spans="1:20" x14ac:dyDescent="0.25">
      <c r="A204" s="5">
        <v>44389</v>
      </c>
      <c r="B204">
        <v>1.349E-2</v>
      </c>
      <c r="C204">
        <v>1.3780000000000001E-2</v>
      </c>
      <c r="D204">
        <v>1.2409999999999999E-2</v>
      </c>
      <c r="E204">
        <v>1.2749999999999999E-2</v>
      </c>
      <c r="F204">
        <v>106784339.40000001</v>
      </c>
      <c r="G204">
        <v>0</v>
      </c>
      <c r="L204" t="s">
        <v>7</v>
      </c>
      <c r="M204" t="s">
        <v>7</v>
      </c>
      <c r="N204" t="s">
        <v>7</v>
      </c>
      <c r="P204">
        <f t="shared" si="959"/>
        <v>-0.50364963503649685</v>
      </c>
      <c r="Q204">
        <f t="shared" si="960"/>
        <v>-53781893.566423416</v>
      </c>
      <c r="R204">
        <f t="shared" si="961"/>
        <v>-5773522865.8442116</v>
      </c>
      <c r="S204">
        <f t="shared" si="962"/>
        <v>-57735.228658442116</v>
      </c>
      <c r="T204">
        <f t="shared" si="963"/>
        <v>-57.735228658442118</v>
      </c>
    </row>
    <row r="205" spans="1:20" x14ac:dyDescent="0.25">
      <c r="A205" s="5">
        <v>44388</v>
      </c>
      <c r="B205">
        <v>1.319E-2</v>
      </c>
      <c r="C205">
        <v>1.4149999999999999E-2</v>
      </c>
      <c r="D205">
        <v>1.3010000000000001E-2</v>
      </c>
      <c r="E205">
        <v>1.345E-2</v>
      </c>
      <c r="F205">
        <v>232549009.5</v>
      </c>
      <c r="G205">
        <v>0</v>
      </c>
      <c r="L205" t="s">
        <v>8</v>
      </c>
      <c r="M205" t="s">
        <v>7</v>
      </c>
      <c r="N205" t="s">
        <v>8</v>
      </c>
      <c r="P205">
        <f t="shared" si="959"/>
        <v>-0.22807017543859659</v>
      </c>
      <c r="Q205">
        <f t="shared" si="960"/>
        <v>-53037493.394736864</v>
      </c>
      <c r="R205">
        <f t="shared" si="961"/>
        <v>-5719740972.2777882</v>
      </c>
      <c r="S205">
        <f t="shared" si="962"/>
        <v>-57197.409722777884</v>
      </c>
      <c r="T205">
        <f t="shared" si="963"/>
        <v>-57.197409722777884</v>
      </c>
    </row>
    <row r="206" spans="1:20" x14ac:dyDescent="0.25">
      <c r="A206" s="5">
        <v>44387</v>
      </c>
      <c r="B206">
        <v>1.363E-2</v>
      </c>
      <c r="C206">
        <v>1.388E-2</v>
      </c>
      <c r="D206">
        <v>1.2760000000000001E-2</v>
      </c>
      <c r="E206">
        <v>1.32E-2</v>
      </c>
      <c r="F206">
        <v>144458093.69999999</v>
      </c>
      <c r="G206">
        <v>0</v>
      </c>
      <c r="L206" t="s">
        <v>7</v>
      </c>
      <c r="M206" t="s">
        <v>7</v>
      </c>
      <c r="N206" t="s">
        <v>8</v>
      </c>
      <c r="P206">
        <f t="shared" si="959"/>
        <v>-0.21428571428571494</v>
      </c>
      <c r="Q206">
        <f t="shared" si="960"/>
        <v>-30955305.792857233</v>
      </c>
      <c r="R206">
        <f t="shared" si="961"/>
        <v>-5666703478.8830509</v>
      </c>
      <c r="S206">
        <f t="shared" si="962"/>
        <v>-56667.034788830511</v>
      </c>
      <c r="T206">
        <f t="shared" si="963"/>
        <v>-56.667034788830513</v>
      </c>
    </row>
    <row r="207" spans="1:20" x14ac:dyDescent="0.25">
      <c r="A207" s="5">
        <v>44386</v>
      </c>
      <c r="B207">
        <v>1.3559999999999999E-2</v>
      </c>
      <c r="C207">
        <v>1.5100000000000001E-2</v>
      </c>
      <c r="D207">
        <v>1.3010000000000001E-2</v>
      </c>
      <c r="E207">
        <v>1.363E-2</v>
      </c>
      <c r="F207">
        <v>439680035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-0.40669856459330234</v>
      </c>
      <c r="Q207">
        <f t="shared" si="960"/>
        <v>-178817239.11483294</v>
      </c>
      <c r="R207">
        <f t="shared" si="961"/>
        <v>-5635748173.0901937</v>
      </c>
      <c r="S207">
        <f t="shared" si="962"/>
        <v>-56357.481730901934</v>
      </c>
      <c r="T207">
        <f t="shared" si="963"/>
        <v>-56.357481730901938</v>
      </c>
    </row>
    <row r="208" spans="1:20" x14ac:dyDescent="0.25">
      <c r="A208" s="5">
        <v>44385</v>
      </c>
      <c r="B208">
        <v>1.6039999999999999E-2</v>
      </c>
      <c r="C208">
        <v>1.634E-2</v>
      </c>
      <c r="D208">
        <v>1.3299999999999999E-2</v>
      </c>
      <c r="E208">
        <v>1.358E-2</v>
      </c>
      <c r="F208">
        <v>394154864.69999999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-0.81578947368421006</v>
      </c>
      <c r="Q208">
        <f t="shared" si="960"/>
        <v>-321547389.62368405</v>
      </c>
      <c r="R208">
        <f t="shared" si="961"/>
        <v>-5456930933.9753609</v>
      </c>
      <c r="S208">
        <f t="shared" si="962"/>
        <v>-54569.309339753607</v>
      </c>
      <c r="T208">
        <f t="shared" si="963"/>
        <v>-54.569309339753609</v>
      </c>
    </row>
    <row r="209" spans="1:20" x14ac:dyDescent="0.25">
      <c r="A209" s="5">
        <v>44384</v>
      </c>
      <c r="B209">
        <v>1.269E-2</v>
      </c>
      <c r="C209">
        <v>1.7340000000000001E-2</v>
      </c>
      <c r="D209">
        <v>1.2579999999999999E-2</v>
      </c>
      <c r="E209">
        <v>1.602E-2</v>
      </c>
      <c r="F209">
        <v>1507348584.5999999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0.44537815126050373</v>
      </c>
      <c r="Q209">
        <f t="shared" si="960"/>
        <v>671340125.91428494</v>
      </c>
      <c r="R209">
        <f t="shared" si="961"/>
        <v>-5135383544.3516769</v>
      </c>
      <c r="S209">
        <f t="shared" si="962"/>
        <v>-51353.835443516771</v>
      </c>
      <c r="T209">
        <f t="shared" si="963"/>
        <v>-51.353835443516772</v>
      </c>
    </row>
    <row r="210" spans="1:20" x14ac:dyDescent="0.25">
      <c r="A210" s="5">
        <v>44383</v>
      </c>
      <c r="B210">
        <v>1.2359999999999999E-2</v>
      </c>
      <c r="C210">
        <v>1.2840000000000001E-2</v>
      </c>
      <c r="D210">
        <v>1.227E-2</v>
      </c>
      <c r="E210">
        <v>1.2699999999999999E-2</v>
      </c>
      <c r="F210">
        <v>80647541.5</v>
      </c>
      <c r="G210">
        <v>0</v>
      </c>
      <c r="L210" t="s">
        <v>8</v>
      </c>
      <c r="M210" t="s">
        <v>8</v>
      </c>
      <c r="N210" t="s">
        <v>8</v>
      </c>
      <c r="P210">
        <f t="shared" si="959"/>
        <v>0.50877192982455799</v>
      </c>
      <c r="Q210">
        <f t="shared" si="960"/>
        <v>41031205.324561127</v>
      </c>
      <c r="R210">
        <f t="shared" si="961"/>
        <v>-5806723670.2659616</v>
      </c>
      <c r="S210">
        <f t="shared" si="962"/>
        <v>-58067.236702659618</v>
      </c>
      <c r="T210">
        <f t="shared" si="963"/>
        <v>-58.067236702659621</v>
      </c>
    </row>
    <row r="211" spans="1:20" x14ac:dyDescent="0.25">
      <c r="A211" s="5">
        <v>44382</v>
      </c>
      <c r="B211">
        <v>1.286E-2</v>
      </c>
      <c r="C211">
        <v>1.3010000000000001E-2</v>
      </c>
      <c r="D211">
        <v>1.1950000000000001E-2</v>
      </c>
      <c r="E211">
        <v>1.238E-2</v>
      </c>
      <c r="F211">
        <v>86716842.799999997</v>
      </c>
      <c r="G211">
        <v>0</v>
      </c>
      <c r="L211" t="s">
        <v>7</v>
      </c>
      <c r="M211" t="s">
        <v>8</v>
      </c>
      <c r="N211" t="s">
        <v>8</v>
      </c>
      <c r="P211">
        <f t="shared" si="959"/>
        <v>-0.18867924528301933</v>
      </c>
      <c r="Q211">
        <f t="shared" si="960"/>
        <v>-16361668.452830227</v>
      </c>
      <c r="R211">
        <f t="shared" si="961"/>
        <v>-5847754875.5905228</v>
      </c>
      <c r="S211">
        <f t="shared" si="962"/>
        <v>-58477.548755905227</v>
      </c>
      <c r="T211">
        <f t="shared" si="963"/>
        <v>-58.477548755905225</v>
      </c>
    </row>
    <row r="212" spans="1:20" x14ac:dyDescent="0.25">
      <c r="A212" s="5">
        <v>44381</v>
      </c>
      <c r="B212">
        <v>1.2670000000000001E-2</v>
      </c>
      <c r="C212">
        <v>1.3180000000000001E-2</v>
      </c>
      <c r="D212">
        <v>1.2370000000000001E-2</v>
      </c>
      <c r="E212">
        <v>1.2869999999999999E-2</v>
      </c>
      <c r="F212">
        <v>89268629.5</v>
      </c>
      <c r="G212">
        <v>0</v>
      </c>
      <c r="L212" t="s">
        <v>8</v>
      </c>
      <c r="M212" t="s">
        <v>8</v>
      </c>
      <c r="N212" t="s">
        <v>8</v>
      </c>
      <c r="P212">
        <f t="shared" si="959"/>
        <v>0.23456790123456478</v>
      </c>
      <c r="Q212">
        <f t="shared" si="960"/>
        <v>20939555.067900956</v>
      </c>
      <c r="R212">
        <f t="shared" si="961"/>
        <v>-5831393207.1376925</v>
      </c>
      <c r="S212">
        <f t="shared" si="962"/>
        <v>-58313.932071376927</v>
      </c>
      <c r="T212">
        <f t="shared" si="963"/>
        <v>-58.313932071376925</v>
      </c>
    </row>
    <row r="213" spans="1:20" x14ac:dyDescent="0.25">
      <c r="A213" s="5">
        <v>44380</v>
      </c>
      <c r="B213">
        <v>1.2540000000000001E-2</v>
      </c>
      <c r="C213">
        <v>1.298E-2</v>
      </c>
      <c r="D213">
        <v>1.2120000000000001E-2</v>
      </c>
      <c r="E213">
        <v>1.2670000000000001E-2</v>
      </c>
      <c r="F213">
        <v>100679239.7</v>
      </c>
      <c r="G213">
        <v>0</v>
      </c>
      <c r="L213" t="s">
        <v>7</v>
      </c>
      <c r="M213" t="s">
        <v>8</v>
      </c>
      <c r="N213" t="s">
        <v>8</v>
      </c>
      <c r="P213">
        <f t="shared" si="959"/>
        <v>0.27906976744186129</v>
      </c>
      <c r="Q213">
        <f t="shared" si="960"/>
        <v>28096532.009302411</v>
      </c>
      <c r="R213">
        <f t="shared" si="961"/>
        <v>-5852332762.2055931</v>
      </c>
      <c r="S213">
        <f t="shared" si="962"/>
        <v>-58523.327622055935</v>
      </c>
      <c r="T213">
        <f t="shared" si="963"/>
        <v>-58.523327622055938</v>
      </c>
    </row>
    <row r="214" spans="1:20" x14ac:dyDescent="0.25">
      <c r="A214" s="5">
        <v>44379</v>
      </c>
      <c r="B214">
        <v>1.196E-2</v>
      </c>
      <c r="C214">
        <v>1.4279999999999999E-2</v>
      </c>
      <c r="D214">
        <v>1.189E-2</v>
      </c>
      <c r="E214">
        <v>1.255E-2</v>
      </c>
      <c r="F214">
        <v>402189635</v>
      </c>
      <c r="G214">
        <v>0</v>
      </c>
      <c r="L214" t="s">
        <v>8</v>
      </c>
      <c r="M214" t="s">
        <v>8</v>
      </c>
      <c r="N214" t="s">
        <v>8</v>
      </c>
      <c r="P214">
        <f t="shared" si="959"/>
        <v>-0.4476987447698737</v>
      </c>
      <c r="Q214">
        <f t="shared" si="960"/>
        <v>-180059794.74895367</v>
      </c>
      <c r="R214">
        <f t="shared" si="961"/>
        <v>-5880429294.2148952</v>
      </c>
      <c r="S214">
        <f t="shared" si="962"/>
        <v>-58804.292942148953</v>
      </c>
      <c r="T214">
        <f t="shared" si="963"/>
        <v>-58.804292942148955</v>
      </c>
    </row>
    <row r="215" spans="1:20" x14ac:dyDescent="0.25">
      <c r="A215" s="5">
        <v>44378</v>
      </c>
      <c r="B215">
        <v>1.1769999999999999E-2</v>
      </c>
      <c r="C215">
        <v>1.2359999999999999E-2</v>
      </c>
      <c r="D215">
        <v>1.123E-2</v>
      </c>
      <c r="E215">
        <v>1.197E-2</v>
      </c>
      <c r="F215">
        <v>154769790.80000001</v>
      </c>
      <c r="G215">
        <v>0</v>
      </c>
      <c r="L215" t="s">
        <v>7</v>
      </c>
      <c r="M215" t="s">
        <v>8</v>
      </c>
      <c r="N215" t="s">
        <v>8</v>
      </c>
      <c r="P215">
        <f t="shared" si="959"/>
        <v>0.30973451327433621</v>
      </c>
      <c r="Q215">
        <f t="shared" si="960"/>
        <v>47937545.823008843</v>
      </c>
      <c r="R215">
        <f t="shared" si="961"/>
        <v>-5700369499.4659414</v>
      </c>
      <c r="S215">
        <f t="shared" si="962"/>
        <v>-57003.694994659418</v>
      </c>
      <c r="T215">
        <f t="shared" si="963"/>
        <v>-57.003694994659419</v>
      </c>
    </row>
    <row r="216" spans="1:20" x14ac:dyDescent="0.25">
      <c r="A216" s="5">
        <v>44377</v>
      </c>
      <c r="B216">
        <v>1.189E-2</v>
      </c>
      <c r="C216">
        <v>1.268E-2</v>
      </c>
      <c r="D216">
        <v>1.112E-2</v>
      </c>
      <c r="E216">
        <v>1.176E-2</v>
      </c>
      <c r="F216">
        <v>87881245.799999997</v>
      </c>
      <c r="G216">
        <v>0</v>
      </c>
      <c r="L216" t="s">
        <v>8</v>
      </c>
      <c r="M216" t="s">
        <v>8</v>
      </c>
      <c r="N216" t="s">
        <v>8</v>
      </c>
      <c r="P216">
        <f t="shared" si="959"/>
        <v>-0.17948717948717988</v>
      </c>
      <c r="Q216">
        <f t="shared" si="960"/>
        <v>-15773556.938461572</v>
      </c>
      <c r="R216">
        <f t="shared" si="961"/>
        <v>-5748307045.28895</v>
      </c>
      <c r="S216">
        <f t="shared" si="962"/>
        <v>-57483.0704528895</v>
      </c>
      <c r="T216">
        <f t="shared" si="963"/>
        <v>-57.4830704528895</v>
      </c>
    </row>
    <row r="217" spans="1:20" x14ac:dyDescent="0.25">
      <c r="A217" s="5">
        <v>44376</v>
      </c>
      <c r="B217">
        <v>1.163E-2</v>
      </c>
      <c r="C217">
        <v>1.2529999999999999E-2</v>
      </c>
      <c r="D217">
        <v>1.162E-2</v>
      </c>
      <c r="E217">
        <v>1.188E-2</v>
      </c>
      <c r="F217">
        <v>79052772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-0.42857142857142855</v>
      </c>
      <c r="Q217">
        <f t="shared" si="960"/>
        <v>-33879759.428571425</v>
      </c>
      <c r="R217">
        <f t="shared" si="961"/>
        <v>-5732533488.3504887</v>
      </c>
      <c r="S217">
        <f t="shared" si="962"/>
        <v>-57325.334883504889</v>
      </c>
      <c r="T217">
        <f t="shared" si="963"/>
        <v>-57.325334883504887</v>
      </c>
    </row>
    <row r="218" spans="1:20" x14ac:dyDescent="0.25">
      <c r="A218" s="5">
        <v>44375</v>
      </c>
      <c r="B218">
        <v>1.1140000000000001E-2</v>
      </c>
      <c r="C218">
        <v>1.1979999999999999E-2</v>
      </c>
      <c r="D218">
        <v>1.0869999999999999E-2</v>
      </c>
      <c r="E218">
        <v>1.1599999999999999E-2</v>
      </c>
      <c r="F218">
        <v>100667232</v>
      </c>
      <c r="G218">
        <v>0</v>
      </c>
      <c r="L218" t="s">
        <v>8</v>
      </c>
      <c r="M218" t="s">
        <v>8</v>
      </c>
      <c r="N218" t="s">
        <v>7</v>
      </c>
      <c r="P218">
        <f t="shared" si="959"/>
        <v>0.31531531531531498</v>
      </c>
      <c r="Q218">
        <f t="shared" si="960"/>
        <v>31741919.999999966</v>
      </c>
      <c r="R218">
        <f t="shared" si="961"/>
        <v>-5698653728.921917</v>
      </c>
      <c r="S218">
        <f t="shared" si="962"/>
        <v>-56986.537289219166</v>
      </c>
      <c r="T218">
        <f t="shared" si="963"/>
        <v>-56.986537289219164</v>
      </c>
    </row>
    <row r="219" spans="1:20" x14ac:dyDescent="0.25">
      <c r="A219" s="5">
        <v>44374</v>
      </c>
      <c r="B219">
        <v>1.0359999999999999E-2</v>
      </c>
      <c r="C219">
        <v>1.15E-2</v>
      </c>
      <c r="D219">
        <v>1.0200000000000001E-2</v>
      </c>
      <c r="E219">
        <v>1.1140000000000001E-2</v>
      </c>
      <c r="F219">
        <v>94333989.200000003</v>
      </c>
      <c r="G219">
        <v>0</v>
      </c>
      <c r="L219" t="s">
        <v>8</v>
      </c>
      <c r="M219" t="s">
        <v>7</v>
      </c>
      <c r="N219" t="s">
        <v>7</v>
      </c>
      <c r="P219">
        <f t="shared" si="959"/>
        <v>0.44615384615384696</v>
      </c>
      <c r="Q219">
        <f t="shared" si="960"/>
        <v>42087472.104615465</v>
      </c>
      <c r="R219">
        <f t="shared" si="961"/>
        <v>-5730395648.921917</v>
      </c>
      <c r="S219">
        <f t="shared" si="962"/>
        <v>-57303.95648921917</v>
      </c>
      <c r="T219">
        <f t="shared" si="963"/>
        <v>-57.303956489219168</v>
      </c>
    </row>
    <row r="220" spans="1:20" x14ac:dyDescent="0.25">
      <c r="A220" s="5">
        <v>44373</v>
      </c>
      <c r="B220">
        <v>1.0410000000000001E-2</v>
      </c>
      <c r="C220">
        <v>1.099E-2</v>
      </c>
      <c r="D220">
        <v>9.8200000000000006E-3</v>
      </c>
      <c r="E220">
        <v>1.0370000000000001E-2</v>
      </c>
      <c r="F220">
        <v>184415950.19999999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-5.9829059829058916E-2</v>
      </c>
      <c r="Q220">
        <f t="shared" si="960"/>
        <v>-11033432.91794855</v>
      </c>
      <c r="R220">
        <f t="shared" si="961"/>
        <v>-5772483121.0265322</v>
      </c>
      <c r="S220">
        <f t="shared" si="962"/>
        <v>-57724.831210265322</v>
      </c>
      <c r="T220">
        <f t="shared" si="963"/>
        <v>-57.724831210265322</v>
      </c>
    </row>
    <row r="221" spans="1:20" x14ac:dyDescent="0.25">
      <c r="A221" s="5">
        <v>44372</v>
      </c>
      <c r="B221">
        <v>1.1690000000000001E-2</v>
      </c>
      <c r="C221">
        <v>1.1939999999999999E-2</v>
      </c>
      <c r="D221">
        <v>1.014E-2</v>
      </c>
      <c r="E221">
        <v>1.044E-2</v>
      </c>
      <c r="F221">
        <v>157207902.90000001</v>
      </c>
      <c r="G221">
        <v>0</v>
      </c>
      <c r="L221" t="s">
        <v>7</v>
      </c>
      <c r="M221" t="s">
        <v>7</v>
      </c>
      <c r="N221" t="s">
        <v>7</v>
      </c>
      <c r="P221">
        <f t="shared" si="959"/>
        <v>-0.66666666666666663</v>
      </c>
      <c r="Q221">
        <f t="shared" si="960"/>
        <v>-104805268.59999999</v>
      </c>
      <c r="R221">
        <f t="shared" si="961"/>
        <v>-5761449688.1085835</v>
      </c>
      <c r="S221">
        <f t="shared" si="962"/>
        <v>-57614.496881085834</v>
      </c>
      <c r="T221">
        <f t="shared" si="963"/>
        <v>-57.614496881085834</v>
      </c>
    </row>
    <row r="222" spans="1:20" x14ac:dyDescent="0.25">
      <c r="A222" s="5">
        <v>44371</v>
      </c>
      <c r="B222">
        <v>1.112E-2</v>
      </c>
      <c r="C222">
        <v>1.221E-2</v>
      </c>
      <c r="D222">
        <v>1.0670000000000001E-2</v>
      </c>
      <c r="E222">
        <v>1.1690000000000001E-2</v>
      </c>
      <c r="F222">
        <v>288401304.69999999</v>
      </c>
      <c r="G222">
        <v>0</v>
      </c>
      <c r="L222" t="s">
        <v>8</v>
      </c>
      <c r="M222" t="s">
        <v>8</v>
      </c>
      <c r="N222" t="s">
        <v>7</v>
      </c>
      <c r="P222">
        <f t="shared" si="959"/>
        <v>0.32467532467532501</v>
      </c>
      <c r="Q222">
        <f t="shared" si="960"/>
        <v>93636787.240259826</v>
      </c>
      <c r="R222">
        <f t="shared" si="961"/>
        <v>-5656644419.5085831</v>
      </c>
      <c r="S222">
        <f t="shared" si="962"/>
        <v>-56566.444195085831</v>
      </c>
      <c r="T222">
        <f t="shared" si="963"/>
        <v>-56.566444195085829</v>
      </c>
    </row>
    <row r="223" spans="1:20" x14ac:dyDescent="0.25">
      <c r="A223" s="5">
        <v>44370</v>
      </c>
      <c r="B223">
        <v>1.022E-2</v>
      </c>
      <c r="C223">
        <v>1.167E-2</v>
      </c>
      <c r="D223">
        <v>9.7999999999999997E-3</v>
      </c>
      <c r="E223">
        <v>1.112E-2</v>
      </c>
      <c r="F223">
        <v>116874134.90000001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0.41176470588235281</v>
      </c>
      <c r="Q223">
        <f t="shared" si="960"/>
        <v>48124643.782352932</v>
      </c>
      <c r="R223">
        <f t="shared" si="961"/>
        <v>-5750281206.7488432</v>
      </c>
      <c r="S223">
        <f t="shared" si="962"/>
        <v>-57502.812067488434</v>
      </c>
      <c r="T223">
        <f t="shared" si="963"/>
        <v>-57.502812067488435</v>
      </c>
    </row>
    <row r="224" spans="1:20" x14ac:dyDescent="0.25">
      <c r="A224" s="5">
        <v>44369</v>
      </c>
      <c r="B224">
        <v>1.099E-2</v>
      </c>
      <c r="C224">
        <v>1.172E-2</v>
      </c>
      <c r="D224">
        <v>8.7200000000000003E-3</v>
      </c>
      <c r="E224">
        <v>1.022E-2</v>
      </c>
      <c r="F224">
        <v>216314819.80000001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0</v>
      </c>
      <c r="Q224">
        <f t="shared" si="960"/>
        <v>0</v>
      </c>
      <c r="R224">
        <f t="shared" si="961"/>
        <v>-5798405850.5311966</v>
      </c>
      <c r="S224">
        <f t="shared" si="962"/>
        <v>-57984.058505311965</v>
      </c>
      <c r="T224">
        <f t="shared" si="963"/>
        <v>-57.984058505311964</v>
      </c>
    </row>
    <row r="225" spans="1:20" x14ac:dyDescent="0.25">
      <c r="A225" s="5">
        <v>44368</v>
      </c>
      <c r="B225">
        <v>1.41E-2</v>
      </c>
      <c r="C225">
        <v>1.427E-2</v>
      </c>
      <c r="D225">
        <v>1.0919999999999999E-2</v>
      </c>
      <c r="E225">
        <v>1.099E-2</v>
      </c>
      <c r="F225">
        <v>262399134.19999999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-0.95820895522388028</v>
      </c>
      <c r="Q225">
        <f t="shared" si="960"/>
        <v>-251433200.23343274</v>
      </c>
      <c r="R225">
        <f t="shared" si="961"/>
        <v>-5798405850.5311966</v>
      </c>
      <c r="S225">
        <f t="shared" si="962"/>
        <v>-57984.058505311965</v>
      </c>
      <c r="T225">
        <f t="shared" si="963"/>
        <v>-57.984058505311964</v>
      </c>
    </row>
    <row r="226" spans="1:20" x14ac:dyDescent="0.25">
      <c r="A226" s="5">
        <v>44367</v>
      </c>
      <c r="B226">
        <v>1.427E-2</v>
      </c>
      <c r="C226">
        <v>1.455E-2</v>
      </c>
      <c r="D226">
        <v>1.2800000000000001E-2</v>
      </c>
      <c r="E226">
        <v>1.409E-2</v>
      </c>
      <c r="F226">
        <v>99722145.5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0.47428571428571387</v>
      </c>
      <c r="Q226">
        <f t="shared" si="960"/>
        <v>47296789.008571386</v>
      </c>
      <c r="R226">
        <f t="shared" si="961"/>
        <v>-5546972650.2977638</v>
      </c>
      <c r="S226">
        <f t="shared" si="962"/>
        <v>-55469.726502977639</v>
      </c>
      <c r="T226">
        <f t="shared" si="963"/>
        <v>-55.469726502977636</v>
      </c>
    </row>
    <row r="227" spans="1:20" x14ac:dyDescent="0.25">
      <c r="A227" s="5">
        <v>44366</v>
      </c>
      <c r="B227">
        <v>1.482E-2</v>
      </c>
      <c r="C227">
        <v>1.5089999999999999E-2</v>
      </c>
      <c r="D227">
        <v>1.418E-2</v>
      </c>
      <c r="E227">
        <v>1.4250000000000001E-2</v>
      </c>
      <c r="F227">
        <v>53073828.399999999</v>
      </c>
      <c r="G227">
        <v>0</v>
      </c>
      <c r="L227" t="s">
        <v>7</v>
      </c>
      <c r="M227" t="s">
        <v>7</v>
      </c>
      <c r="N227" t="s">
        <v>7</v>
      </c>
      <c r="P227">
        <f t="shared" si="959"/>
        <v>-0.8461538461538447</v>
      </c>
      <c r="Q227">
        <f t="shared" si="960"/>
        <v>-44908624.030769154</v>
      </c>
      <c r="R227">
        <f t="shared" si="961"/>
        <v>-5594269439.3063354</v>
      </c>
      <c r="S227">
        <f t="shared" si="962"/>
        <v>-55942.694393063357</v>
      </c>
      <c r="T227">
        <f t="shared" si="963"/>
        <v>-55.942694393063356</v>
      </c>
    </row>
    <row r="228" spans="1:20" x14ac:dyDescent="0.25">
      <c r="A228" s="5">
        <v>44365</v>
      </c>
      <c r="B228">
        <v>1.652E-2</v>
      </c>
      <c r="C228">
        <v>1.6570000000000001E-2</v>
      </c>
      <c r="D228">
        <v>1.431E-2</v>
      </c>
      <c r="E228">
        <v>1.482E-2</v>
      </c>
      <c r="F228">
        <v>116495716.7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-0.54867256637168171</v>
      </c>
      <c r="Q228">
        <f t="shared" si="960"/>
        <v>-63918003.853097379</v>
      </c>
      <c r="R228">
        <f t="shared" si="961"/>
        <v>-5549360815.2755661</v>
      </c>
      <c r="S228">
        <f t="shared" si="962"/>
        <v>-55493.60815275566</v>
      </c>
      <c r="T228">
        <f t="shared" si="963"/>
        <v>-55.493608152755662</v>
      </c>
    </row>
    <row r="229" spans="1:20" x14ac:dyDescent="0.25">
      <c r="A229" s="5">
        <v>44364</v>
      </c>
      <c r="B229">
        <v>1.711E-2</v>
      </c>
      <c r="C229">
        <v>1.7749999999999998E-2</v>
      </c>
      <c r="D229">
        <v>1.6199999999999999E-2</v>
      </c>
      <c r="E229">
        <v>1.6480000000000002E-2</v>
      </c>
      <c r="F229">
        <v>174267775.80000001</v>
      </c>
      <c r="G229">
        <v>0</v>
      </c>
      <c r="L229" t="s">
        <v>7</v>
      </c>
      <c r="M229" t="s">
        <v>8</v>
      </c>
      <c r="N229" t="s">
        <v>7</v>
      </c>
      <c r="P229">
        <f t="shared" si="959"/>
        <v>-0.63870967741935147</v>
      </c>
      <c r="Q229">
        <f t="shared" si="960"/>
        <v>-111306514.86580588</v>
      </c>
      <c r="R229">
        <f t="shared" si="961"/>
        <v>-5485442811.4224691</v>
      </c>
      <c r="S229">
        <f t="shared" si="962"/>
        <v>-54854.428114224691</v>
      </c>
      <c r="T229">
        <f t="shared" si="963"/>
        <v>-54.854428114224689</v>
      </c>
    </row>
    <row r="230" spans="1:20" x14ac:dyDescent="0.25">
      <c r="A230" s="5">
        <v>44363</v>
      </c>
      <c r="B230">
        <v>1.711E-2</v>
      </c>
      <c r="C230">
        <v>1.8550000000000001E-2</v>
      </c>
      <c r="D230">
        <v>1.5709999999999998E-2</v>
      </c>
      <c r="E230">
        <v>1.712E-2</v>
      </c>
      <c r="F230">
        <v>1730406413.2</v>
      </c>
      <c r="G230">
        <v>0</v>
      </c>
      <c r="L230" t="s">
        <v>8</v>
      </c>
      <c r="M230" t="s">
        <v>8</v>
      </c>
      <c r="N230" t="s">
        <v>7</v>
      </c>
      <c r="P230">
        <f t="shared" si="959"/>
        <v>-7.0422535211264684E-3</v>
      </c>
      <c r="Q230">
        <f t="shared" si="960"/>
        <v>-12185960.656337524</v>
      </c>
      <c r="R230">
        <f t="shared" si="961"/>
        <v>-5374136296.5566635</v>
      </c>
      <c r="S230">
        <f t="shared" si="962"/>
        <v>-53741.362965566637</v>
      </c>
      <c r="T230">
        <f t="shared" si="963"/>
        <v>-53.741362965566637</v>
      </c>
    </row>
    <row r="231" spans="1:20" x14ac:dyDescent="0.25">
      <c r="A231" s="5">
        <v>44362</v>
      </c>
      <c r="B231">
        <v>1.6109999999999999E-2</v>
      </c>
      <c r="C231">
        <v>1.7989999999999999E-2</v>
      </c>
      <c r="D231">
        <v>1.5800000000000002E-2</v>
      </c>
      <c r="E231">
        <v>1.7100000000000001E-2</v>
      </c>
      <c r="F231">
        <v>395692232.80000001</v>
      </c>
      <c r="G231">
        <v>0</v>
      </c>
      <c r="L231" t="s">
        <v>8</v>
      </c>
      <c r="M231" t="s">
        <v>8</v>
      </c>
      <c r="N231" t="s">
        <v>7</v>
      </c>
      <c r="P231">
        <f t="shared" si="959"/>
        <v>0.18721461187214664</v>
      </c>
      <c r="Q231">
        <f t="shared" si="960"/>
        <v>74079367.784475088</v>
      </c>
      <c r="R231">
        <f t="shared" si="961"/>
        <v>-5361950335.9003258</v>
      </c>
      <c r="S231">
        <f t="shared" si="962"/>
        <v>-53619.503359003254</v>
      </c>
      <c r="T231">
        <f t="shared" si="963"/>
        <v>-53.619503359003254</v>
      </c>
    </row>
    <row r="232" spans="1:20" x14ac:dyDescent="0.25">
      <c r="A232" s="5">
        <v>44361</v>
      </c>
      <c r="B232">
        <v>1.627E-2</v>
      </c>
      <c r="C232">
        <v>1.7409999999999998E-2</v>
      </c>
      <c r="D232">
        <v>1.559E-2</v>
      </c>
      <c r="E232">
        <v>1.6119999999999999E-2</v>
      </c>
      <c r="F232">
        <v>277395290.69999999</v>
      </c>
      <c r="G232">
        <v>0</v>
      </c>
      <c r="L232" t="s">
        <v>8</v>
      </c>
      <c r="M232" t="s">
        <v>8</v>
      </c>
      <c r="N232" t="s">
        <v>7</v>
      </c>
      <c r="P232">
        <f t="shared" si="959"/>
        <v>-0.41758241758241804</v>
      </c>
      <c r="Q232">
        <f t="shared" si="960"/>
        <v>-115835396.11648364</v>
      </c>
      <c r="R232">
        <f t="shared" si="961"/>
        <v>-5436029703.6848011</v>
      </c>
      <c r="S232">
        <f t="shared" si="962"/>
        <v>-54360.297036848009</v>
      </c>
      <c r="T232">
        <f t="shared" si="963"/>
        <v>-54.36029703684801</v>
      </c>
    </row>
    <row r="233" spans="1:20" x14ac:dyDescent="0.25">
      <c r="A233" s="5">
        <v>44360</v>
      </c>
      <c r="B233">
        <v>1.5350000000000001E-2</v>
      </c>
      <c r="C233">
        <v>1.6480000000000002E-2</v>
      </c>
      <c r="D233">
        <v>1.4789999999999999E-2</v>
      </c>
      <c r="E233">
        <v>1.626E-2</v>
      </c>
      <c r="F233">
        <v>156870416.5</v>
      </c>
      <c r="G233">
        <v>0</v>
      </c>
      <c r="L233" t="s">
        <v>8</v>
      </c>
      <c r="M233" t="s">
        <v>7</v>
      </c>
      <c r="N233" t="s">
        <v>7</v>
      </c>
      <c r="P233">
        <f t="shared" si="959"/>
        <v>0.73964497041419985</v>
      </c>
      <c r="Q233">
        <f t="shared" si="960"/>
        <v>116028414.5710057</v>
      </c>
      <c r="R233">
        <f t="shared" si="961"/>
        <v>-5320194307.5683174</v>
      </c>
      <c r="S233">
        <f t="shared" si="962"/>
        <v>-53201.943075683172</v>
      </c>
      <c r="T233">
        <f t="shared" si="963"/>
        <v>-53.201943075683168</v>
      </c>
    </row>
    <row r="234" spans="1:20" x14ac:dyDescent="0.25">
      <c r="A234" s="5">
        <v>44359</v>
      </c>
      <c r="B234">
        <v>1.585E-2</v>
      </c>
      <c r="C234">
        <v>1.6160000000000001E-2</v>
      </c>
      <c r="D234">
        <v>1.427E-2</v>
      </c>
      <c r="E234">
        <v>1.536E-2</v>
      </c>
      <c r="F234">
        <v>213923879.09999999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0.15343915343915351</v>
      </c>
      <c r="Q234">
        <f t="shared" si="960"/>
        <v>32824298.909523826</v>
      </c>
      <c r="R234">
        <f t="shared" si="961"/>
        <v>-5436222722.1393232</v>
      </c>
      <c r="S234">
        <f t="shared" si="962"/>
        <v>-54362.22722139323</v>
      </c>
      <c r="T234">
        <f t="shared" si="963"/>
        <v>-54.362227221393233</v>
      </c>
    </row>
    <row r="235" spans="1:20" x14ac:dyDescent="0.25">
      <c r="A235" s="5">
        <v>44358</v>
      </c>
      <c r="B235">
        <v>1.7729999999999999E-2</v>
      </c>
      <c r="C235">
        <v>1.847E-2</v>
      </c>
      <c r="D235">
        <v>1.5310000000000001E-2</v>
      </c>
      <c r="E235">
        <v>1.5820000000000001E-2</v>
      </c>
      <c r="F235">
        <v>315644712.5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-0.67721518987341767</v>
      </c>
      <c r="Q235">
        <f t="shared" si="960"/>
        <v>-213759393.90822783</v>
      </c>
      <c r="R235">
        <f t="shared" si="961"/>
        <v>-5469047021.0488472</v>
      </c>
      <c r="S235">
        <f t="shared" si="962"/>
        <v>-54690.470210488471</v>
      </c>
      <c r="T235">
        <f t="shared" si="963"/>
        <v>-54.690470210488471</v>
      </c>
    </row>
    <row r="236" spans="1:20" x14ac:dyDescent="0.25">
      <c r="A236" s="5">
        <v>44357</v>
      </c>
      <c r="B236">
        <v>1.6590000000000001E-2</v>
      </c>
      <c r="C236">
        <v>2.231E-2</v>
      </c>
      <c r="D236">
        <v>1.6250000000000001E-2</v>
      </c>
      <c r="E236">
        <v>1.7729999999999999E-2</v>
      </c>
      <c r="F236">
        <v>1615986806.5</v>
      </c>
      <c r="G236">
        <v>0</v>
      </c>
      <c r="L236" t="s">
        <v>8</v>
      </c>
      <c r="M236" t="s">
        <v>8</v>
      </c>
      <c r="N236" t="s">
        <v>8</v>
      </c>
      <c r="P236">
        <f t="shared" si="959"/>
        <v>-0.51155115511551197</v>
      </c>
      <c r="Q236">
        <f t="shared" si="960"/>
        <v>-826659917.51650238</v>
      </c>
      <c r="R236">
        <f t="shared" si="961"/>
        <v>-5255287627.1406193</v>
      </c>
      <c r="S236">
        <f t="shared" si="962"/>
        <v>-52552.876271406196</v>
      </c>
      <c r="T236">
        <f t="shared" si="963"/>
        <v>-52.552876271406198</v>
      </c>
    </row>
    <row r="237" spans="1:20" x14ac:dyDescent="0.25">
      <c r="A237" s="5">
        <v>44356</v>
      </c>
      <c r="B237">
        <v>1.532E-2</v>
      </c>
      <c r="C237">
        <v>1.695E-2</v>
      </c>
      <c r="D237">
        <v>1.414E-2</v>
      </c>
      <c r="E237">
        <v>1.652E-2</v>
      </c>
      <c r="F237">
        <v>341020808</v>
      </c>
      <c r="G237">
        <v>0</v>
      </c>
      <c r="L237" t="s">
        <v>8</v>
      </c>
      <c r="M237" t="s">
        <v>8</v>
      </c>
      <c r="N237" t="s">
        <v>7</v>
      </c>
      <c r="P237">
        <f t="shared" si="959"/>
        <v>0.69395017793594316</v>
      </c>
      <c r="Q237">
        <f t="shared" si="960"/>
        <v>236651450.39145911</v>
      </c>
      <c r="R237">
        <f t="shared" si="961"/>
        <v>-4428627709.6241169</v>
      </c>
      <c r="S237">
        <f t="shared" si="962"/>
        <v>-44286.277096241167</v>
      </c>
      <c r="T237">
        <f t="shared" si="963"/>
        <v>-44.286277096241164</v>
      </c>
    </row>
    <row r="238" spans="1:20" x14ac:dyDescent="0.25">
      <c r="A238" s="5">
        <v>44355</v>
      </c>
      <c r="B238">
        <v>1.502E-2</v>
      </c>
      <c r="C238">
        <v>1.5820000000000001E-2</v>
      </c>
      <c r="D238">
        <v>1.3100000000000001E-2</v>
      </c>
      <c r="E238">
        <v>1.532E-2</v>
      </c>
      <c r="F238">
        <v>362112815.39999998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0.63235294117647034</v>
      </c>
      <c r="Q238">
        <f t="shared" si="960"/>
        <v>228983103.85588226</v>
      </c>
      <c r="R238">
        <f t="shared" si="961"/>
        <v>-4665279160.0155764</v>
      </c>
      <c r="S238">
        <f t="shared" si="962"/>
        <v>-46652.791600155761</v>
      </c>
      <c r="T238">
        <f t="shared" si="963"/>
        <v>-46.652791600155759</v>
      </c>
    </row>
    <row r="239" spans="1:20" x14ac:dyDescent="0.25">
      <c r="A239" s="5">
        <v>44354</v>
      </c>
      <c r="B239">
        <v>1.7690000000000001E-2</v>
      </c>
      <c r="C239">
        <v>1.9599999999999999E-2</v>
      </c>
      <c r="D239">
        <v>1.4749999999999999E-2</v>
      </c>
      <c r="E239">
        <v>1.5010000000000001E-2</v>
      </c>
      <c r="F239">
        <v>407375644</v>
      </c>
      <c r="G239">
        <v>0</v>
      </c>
      <c r="L239" t="s">
        <v>7</v>
      </c>
      <c r="M239" t="s">
        <v>7</v>
      </c>
      <c r="N239" t="s">
        <v>8</v>
      </c>
      <c r="P239">
        <f t="shared" si="959"/>
        <v>-0.89278350515463856</v>
      </c>
      <c r="Q239">
        <f t="shared" si="960"/>
        <v>-363698255.36494821</v>
      </c>
      <c r="R239">
        <f t="shared" si="961"/>
        <v>-4894262263.871459</v>
      </c>
      <c r="S239">
        <f t="shared" si="962"/>
        <v>-48942.622638714587</v>
      </c>
      <c r="T239">
        <f t="shared" si="963"/>
        <v>-48.942622638714589</v>
      </c>
    </row>
    <row r="240" spans="1:20" x14ac:dyDescent="0.25">
      <c r="A240" s="5">
        <v>44353</v>
      </c>
      <c r="B240">
        <v>1.516E-2</v>
      </c>
      <c r="C240">
        <v>1.9599999999999999E-2</v>
      </c>
      <c r="D240">
        <v>1.5089999999999999E-2</v>
      </c>
      <c r="E240">
        <v>1.77E-2</v>
      </c>
      <c r="F240">
        <v>536591891.80000001</v>
      </c>
      <c r="G240">
        <v>0</v>
      </c>
      <c r="L240" t="s">
        <v>8</v>
      </c>
      <c r="M240" t="s">
        <v>8</v>
      </c>
      <c r="N240" t="s">
        <v>8</v>
      </c>
      <c r="P240">
        <f t="shared" si="959"/>
        <v>0.1574279379157433</v>
      </c>
      <c r="Q240">
        <f t="shared" si="960"/>
        <v>84474555.028381646</v>
      </c>
      <c r="R240">
        <f t="shared" si="961"/>
        <v>-4530564008.5065107</v>
      </c>
      <c r="S240">
        <f t="shared" si="962"/>
        <v>-45305.640085065104</v>
      </c>
      <c r="T240">
        <f t="shared" si="963"/>
        <v>-45.305640085065107</v>
      </c>
    </row>
    <row r="241" spans="1:20" x14ac:dyDescent="0.25">
      <c r="A241" s="5">
        <v>44352</v>
      </c>
      <c r="B241">
        <v>1.537E-2</v>
      </c>
      <c r="C241">
        <v>1.7170000000000001E-2</v>
      </c>
      <c r="D241">
        <v>1.4789999999999999E-2</v>
      </c>
      <c r="E241">
        <v>1.516E-2</v>
      </c>
      <c r="F241">
        <v>348957470.39999998</v>
      </c>
      <c r="G241">
        <v>0</v>
      </c>
      <c r="L241" t="s">
        <v>8</v>
      </c>
      <c r="M241" t="s">
        <v>8</v>
      </c>
      <c r="N241" t="s">
        <v>8</v>
      </c>
      <c r="P241">
        <f t="shared" si="959"/>
        <v>-0.68907563025210061</v>
      </c>
      <c r="Q241">
        <f t="shared" si="960"/>
        <v>-240458088.84705871</v>
      </c>
      <c r="R241">
        <f t="shared" si="961"/>
        <v>-4615038563.5348921</v>
      </c>
      <c r="S241">
        <f t="shared" si="962"/>
        <v>-46150.385635348917</v>
      </c>
      <c r="T241">
        <f t="shared" si="963"/>
        <v>-46.150385635348918</v>
      </c>
    </row>
    <row r="242" spans="1:20" x14ac:dyDescent="0.25">
      <c r="A242" s="5">
        <v>44351</v>
      </c>
      <c r="B242">
        <v>1.7350000000000001E-2</v>
      </c>
      <c r="C242">
        <v>1.7399999999999999E-2</v>
      </c>
      <c r="D242">
        <v>1.4319999999999999E-2</v>
      </c>
      <c r="E242">
        <v>1.5350000000000001E-2</v>
      </c>
      <c r="F242">
        <v>192404900.69999999</v>
      </c>
      <c r="G242">
        <v>0</v>
      </c>
      <c r="L242" t="s">
        <v>7</v>
      </c>
      <c r="M242" t="s">
        <v>7</v>
      </c>
      <c r="N242" t="s">
        <v>8</v>
      </c>
      <c r="P242">
        <f t="shared" si="959"/>
        <v>-0.33116883116883011</v>
      </c>
      <c r="Q242">
        <f t="shared" si="960"/>
        <v>-63718506.075973816</v>
      </c>
      <c r="R242">
        <f t="shared" si="961"/>
        <v>-4374580474.6878338</v>
      </c>
      <c r="S242">
        <f t="shared" si="962"/>
        <v>-43745.804746878341</v>
      </c>
      <c r="T242">
        <f t="shared" si="963"/>
        <v>-43.745804746878342</v>
      </c>
    </row>
    <row r="243" spans="1:20" x14ac:dyDescent="0.25">
      <c r="A243" s="5">
        <v>44350</v>
      </c>
      <c r="B243">
        <v>1.485E-2</v>
      </c>
      <c r="C243">
        <v>1.8149999999999999E-2</v>
      </c>
      <c r="D243">
        <v>1.474E-2</v>
      </c>
      <c r="E243">
        <v>1.7350000000000001E-2</v>
      </c>
      <c r="F243">
        <v>556610938.10000002</v>
      </c>
      <c r="G243">
        <v>0</v>
      </c>
      <c r="L243" t="s">
        <v>8</v>
      </c>
      <c r="M243" t="s">
        <v>8</v>
      </c>
      <c r="N243" t="s">
        <v>8</v>
      </c>
      <c r="P243">
        <f t="shared" si="959"/>
        <v>0.53079178885630574</v>
      </c>
      <c r="Q243">
        <f t="shared" si="960"/>
        <v>295444515.53108549</v>
      </c>
      <c r="R243">
        <f t="shared" si="961"/>
        <v>-4310861968.6118603</v>
      </c>
      <c r="S243">
        <f t="shared" si="962"/>
        <v>-43108.619686118604</v>
      </c>
      <c r="T243">
        <f t="shared" si="963"/>
        <v>-43.108619686118601</v>
      </c>
    </row>
    <row r="244" spans="1:20" x14ac:dyDescent="0.25">
      <c r="A244" s="5">
        <v>44349</v>
      </c>
      <c r="B244">
        <v>1.457E-2</v>
      </c>
      <c r="C244">
        <v>1.5480000000000001E-2</v>
      </c>
      <c r="D244">
        <v>1.4120000000000001E-2</v>
      </c>
      <c r="E244">
        <v>1.486E-2</v>
      </c>
      <c r="F244">
        <v>93193880.5</v>
      </c>
      <c r="G244">
        <v>0</v>
      </c>
      <c r="L244" t="s">
        <v>8</v>
      </c>
      <c r="M244" t="s">
        <v>8</v>
      </c>
      <c r="N244" t="s">
        <v>7</v>
      </c>
      <c r="P244">
        <f t="shared" si="959"/>
        <v>8.823529411764601E-2</v>
      </c>
      <c r="Q244">
        <f t="shared" si="960"/>
        <v>8222989.455882255</v>
      </c>
      <c r="R244">
        <f t="shared" si="961"/>
        <v>-4606306484.1429453</v>
      </c>
      <c r="S244">
        <f t="shared" si="962"/>
        <v>-46063.064841429456</v>
      </c>
      <c r="T244">
        <f t="shared" si="963"/>
        <v>-46.063064841429458</v>
      </c>
    </row>
    <row r="245" spans="1:20" x14ac:dyDescent="0.25">
      <c r="A245" s="5">
        <v>44348</v>
      </c>
      <c r="B245">
        <v>1.554E-2</v>
      </c>
      <c r="C245">
        <v>1.592E-2</v>
      </c>
      <c r="D245">
        <v>1.4E-2</v>
      </c>
      <c r="E245">
        <v>1.452E-2</v>
      </c>
      <c r="F245">
        <v>143387074.80000001</v>
      </c>
      <c r="G245">
        <v>0</v>
      </c>
      <c r="L245" t="s">
        <v>7</v>
      </c>
      <c r="M245" t="s">
        <v>8</v>
      </c>
      <c r="N245" t="s">
        <v>7</v>
      </c>
      <c r="P245">
        <f t="shared" si="959"/>
        <v>-0.45833333333333365</v>
      </c>
      <c r="Q245">
        <f t="shared" si="960"/>
        <v>-65719075.950000048</v>
      </c>
      <c r="R245">
        <f t="shared" si="961"/>
        <v>-4614529473.5988274</v>
      </c>
      <c r="S245">
        <f t="shared" si="962"/>
        <v>-46145.294735988275</v>
      </c>
      <c r="T245">
        <f t="shared" si="963"/>
        <v>-46.145294735988273</v>
      </c>
    </row>
    <row r="246" spans="1:20" x14ac:dyDescent="0.25">
      <c r="A246" s="5">
        <v>44347</v>
      </c>
      <c r="B246">
        <v>1.37E-2</v>
      </c>
      <c r="C246">
        <v>1.617E-2</v>
      </c>
      <c r="D246">
        <v>1.302E-2</v>
      </c>
      <c r="E246">
        <v>1.5570000000000001E-2</v>
      </c>
      <c r="F246">
        <v>257095713.19999999</v>
      </c>
      <c r="G246">
        <v>0</v>
      </c>
      <c r="L246" t="s">
        <v>8</v>
      </c>
      <c r="M246" t="s">
        <v>8</v>
      </c>
      <c r="N246" t="s">
        <v>7</v>
      </c>
      <c r="P246">
        <f t="shared" si="959"/>
        <v>0.61904761904761918</v>
      </c>
      <c r="Q246">
        <f t="shared" si="960"/>
        <v>159154489.12380955</v>
      </c>
      <c r="R246">
        <f t="shared" si="961"/>
        <v>-4548810397.6488276</v>
      </c>
      <c r="S246">
        <f t="shared" si="962"/>
        <v>-45488.103976488273</v>
      </c>
      <c r="T246">
        <f t="shared" si="963"/>
        <v>-45.488103976488276</v>
      </c>
    </row>
    <row r="247" spans="1:20" x14ac:dyDescent="0.25">
      <c r="A247" s="5">
        <v>44346</v>
      </c>
      <c r="B247">
        <v>1.3259999999999999E-2</v>
      </c>
      <c r="C247">
        <v>1.426E-2</v>
      </c>
      <c r="D247">
        <v>1.238E-2</v>
      </c>
      <c r="E247">
        <v>1.374E-2</v>
      </c>
      <c r="F247">
        <v>111255575</v>
      </c>
      <c r="G247">
        <v>0</v>
      </c>
      <c r="L247" t="s">
        <v>7</v>
      </c>
      <c r="M247" t="s">
        <v>7</v>
      </c>
      <c r="N247" t="s">
        <v>7</v>
      </c>
      <c r="P247">
        <f t="shared" si="959"/>
        <v>0.44680851063829818</v>
      </c>
      <c r="Q247">
        <f t="shared" si="960"/>
        <v>49709937.765957482</v>
      </c>
      <c r="R247">
        <f t="shared" si="961"/>
        <v>-4707964886.7726374</v>
      </c>
      <c r="S247">
        <f t="shared" si="962"/>
        <v>-47079.648867726377</v>
      </c>
      <c r="T247">
        <f t="shared" si="963"/>
        <v>-47.079648867726377</v>
      </c>
    </row>
    <row r="248" spans="1:20" x14ac:dyDescent="0.25">
      <c r="A248" s="5">
        <v>44345</v>
      </c>
      <c r="B248">
        <v>1.388E-2</v>
      </c>
      <c r="C248">
        <v>1.478E-2</v>
      </c>
      <c r="D248">
        <v>1.261E-2</v>
      </c>
      <c r="E248">
        <v>1.3259999999999999E-2</v>
      </c>
      <c r="F248">
        <v>80426327.299999997</v>
      </c>
      <c r="G248">
        <v>0</v>
      </c>
      <c r="L248" t="s">
        <v>7</v>
      </c>
      <c r="M248" t="s">
        <v>7</v>
      </c>
      <c r="N248" t="s">
        <v>8</v>
      </c>
      <c r="P248">
        <f t="shared" si="959"/>
        <v>-0.40092165898617554</v>
      </c>
      <c r="Q248">
        <f t="shared" si="960"/>
        <v>-32244656.567281138</v>
      </c>
      <c r="R248">
        <f t="shared" si="961"/>
        <v>-4757674824.5385952</v>
      </c>
      <c r="S248">
        <f t="shared" si="962"/>
        <v>-47576.748245385948</v>
      </c>
      <c r="T248">
        <f t="shared" si="963"/>
        <v>-47.57674824538595</v>
      </c>
    </row>
    <row r="249" spans="1:20" x14ac:dyDescent="0.25">
      <c r="A249" s="5">
        <v>44344</v>
      </c>
      <c r="B249">
        <v>1.5559999999999999E-2</v>
      </c>
      <c r="C249">
        <v>1.5779999999999999E-2</v>
      </c>
      <c r="D249">
        <v>1.2869999999999999E-2</v>
      </c>
      <c r="E249">
        <v>1.388E-2</v>
      </c>
      <c r="F249">
        <v>150006665.69999999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-0.30584192439862495</v>
      </c>
      <c r="Q249">
        <f t="shared" si="960"/>
        <v>-45878327.310309201</v>
      </c>
      <c r="R249">
        <f t="shared" si="961"/>
        <v>-4725430167.9713144</v>
      </c>
      <c r="S249">
        <f t="shared" si="962"/>
        <v>-47254.301679713142</v>
      </c>
      <c r="T249">
        <f t="shared" si="963"/>
        <v>-47.254301679713144</v>
      </c>
    </row>
    <row r="250" spans="1:20" x14ac:dyDescent="0.25">
      <c r="A250" s="5">
        <v>44343</v>
      </c>
      <c r="B250">
        <v>1.721E-2</v>
      </c>
      <c r="C250">
        <v>1.7309999999999999E-2</v>
      </c>
      <c r="D250">
        <v>1.481E-2</v>
      </c>
      <c r="E250">
        <v>1.555E-2</v>
      </c>
      <c r="F250">
        <v>197423832.5</v>
      </c>
      <c r="G250">
        <v>0</v>
      </c>
      <c r="L250" t="s">
        <v>7</v>
      </c>
      <c r="M250" t="s">
        <v>7</v>
      </c>
      <c r="N250" t="s">
        <v>8</v>
      </c>
      <c r="P250">
        <f t="shared" si="959"/>
        <v>-0.40800000000000025</v>
      </c>
      <c r="Q250">
        <f t="shared" si="960"/>
        <v>-80548923.660000056</v>
      </c>
      <c r="R250">
        <f t="shared" si="961"/>
        <v>-4679551840.661005</v>
      </c>
      <c r="S250">
        <f t="shared" si="962"/>
        <v>-46795.518406610048</v>
      </c>
      <c r="T250">
        <f t="shared" si="963"/>
        <v>-46.79551840661005</v>
      </c>
    </row>
    <row r="251" spans="1:20" x14ac:dyDescent="0.25">
      <c r="A251" s="5">
        <v>44342</v>
      </c>
      <c r="B251">
        <v>1.555E-2</v>
      </c>
      <c r="C251">
        <v>1.7760000000000001E-2</v>
      </c>
      <c r="D251">
        <v>1.5169999999999999E-2</v>
      </c>
      <c r="E251">
        <v>1.729E-2</v>
      </c>
      <c r="F251">
        <v>235580477.59999999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0.63706563706563601</v>
      </c>
      <c r="Q251">
        <f t="shared" si="960"/>
        <v>150080227.04247078</v>
      </c>
      <c r="R251">
        <f t="shared" si="961"/>
        <v>-4599002917.0010052</v>
      </c>
      <c r="S251">
        <f t="shared" si="962"/>
        <v>-45990.02917001005</v>
      </c>
      <c r="T251">
        <f t="shared" si="963"/>
        <v>-45.990029170010047</v>
      </c>
    </row>
    <row r="252" spans="1:20" x14ac:dyDescent="0.25">
      <c r="A252" s="5">
        <v>44341</v>
      </c>
      <c r="B252">
        <v>1.406E-2</v>
      </c>
      <c r="C252">
        <v>1.5800000000000002E-2</v>
      </c>
      <c r="D252">
        <v>1.3089999999999999E-2</v>
      </c>
      <c r="E252">
        <v>1.562E-2</v>
      </c>
      <c r="F252">
        <v>192137304.5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0.867158671586715</v>
      </c>
      <c r="Q252">
        <f t="shared" si="960"/>
        <v>166613529.73247215</v>
      </c>
      <c r="R252">
        <f t="shared" si="961"/>
        <v>-4749083144.0434761</v>
      </c>
      <c r="S252">
        <f t="shared" si="962"/>
        <v>-47490.831440434762</v>
      </c>
      <c r="T252">
        <f t="shared" si="963"/>
        <v>-47.490831440434761</v>
      </c>
    </row>
    <row r="253" spans="1:20" x14ac:dyDescent="0.25">
      <c r="A253" s="5">
        <v>44340</v>
      </c>
      <c r="B253">
        <v>1.142E-2</v>
      </c>
      <c r="C253">
        <v>1.4999999999999999E-2</v>
      </c>
      <c r="D253">
        <v>1.106E-2</v>
      </c>
      <c r="E253">
        <v>1.404E-2</v>
      </c>
      <c r="F253">
        <v>204106447.40000001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0.51269035532994955</v>
      </c>
      <c r="Q253">
        <f t="shared" si="960"/>
        <v>104643407.04263966</v>
      </c>
      <c r="R253">
        <f t="shared" si="961"/>
        <v>-4915696673.7759485</v>
      </c>
      <c r="S253">
        <f t="shared" si="962"/>
        <v>-49156.966737759489</v>
      </c>
      <c r="T253">
        <f t="shared" si="963"/>
        <v>-49.15696673775949</v>
      </c>
    </row>
    <row r="254" spans="1:20" x14ac:dyDescent="0.25">
      <c r="A254" s="5">
        <v>44339</v>
      </c>
      <c r="B254">
        <v>1.392E-2</v>
      </c>
      <c r="C254">
        <v>1.4449999999999999E-2</v>
      </c>
      <c r="D254">
        <v>9.41E-3</v>
      </c>
      <c r="E254">
        <v>1.1339999999999999E-2</v>
      </c>
      <c r="F254">
        <v>279277640.30000001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-0.23412698412698427</v>
      </c>
      <c r="Q254">
        <f t="shared" si="960"/>
        <v>-65386431.657539725</v>
      </c>
      <c r="R254">
        <f t="shared" si="961"/>
        <v>-5020340080.8185883</v>
      </c>
      <c r="S254">
        <f t="shared" si="962"/>
        <v>-50203.400808185885</v>
      </c>
      <c r="T254">
        <f t="shared" si="963"/>
        <v>-50.203400808185883</v>
      </c>
    </row>
    <row r="255" spans="1:20" x14ac:dyDescent="0.25">
      <c r="A255" s="5">
        <v>44338</v>
      </c>
      <c r="B255">
        <v>1.409E-2</v>
      </c>
      <c r="C255">
        <v>1.5129999999999999E-2</v>
      </c>
      <c r="D255">
        <v>1.234E-2</v>
      </c>
      <c r="E255">
        <v>1.396E-2</v>
      </c>
      <c r="F255">
        <v>169780953.80000001</v>
      </c>
      <c r="G255">
        <v>0</v>
      </c>
      <c r="L255" t="s">
        <v>8</v>
      </c>
      <c r="M255" t="s">
        <v>8</v>
      </c>
      <c r="N255" t="s">
        <v>7</v>
      </c>
      <c r="P255">
        <f t="shared" si="959"/>
        <v>0.16129032258064549</v>
      </c>
      <c r="Q255">
        <f t="shared" si="960"/>
        <v>27384024.806451671</v>
      </c>
      <c r="R255">
        <f t="shared" si="961"/>
        <v>-4954953649.1610489</v>
      </c>
      <c r="S255">
        <f t="shared" si="962"/>
        <v>-49549.536491610488</v>
      </c>
      <c r="T255">
        <f t="shared" si="963"/>
        <v>-49.549536491610489</v>
      </c>
    </row>
    <row r="256" spans="1:20" x14ac:dyDescent="0.25">
      <c r="A256" s="5">
        <v>44337</v>
      </c>
      <c r="B256">
        <v>1.6840000000000001E-2</v>
      </c>
      <c r="C256">
        <v>1.7770000000000001E-2</v>
      </c>
      <c r="D256">
        <v>1.231E-2</v>
      </c>
      <c r="E256">
        <v>1.409E-2</v>
      </c>
      <c r="F256">
        <v>260693449.30000001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-0.34798534798534803</v>
      </c>
      <c r="Q256">
        <f t="shared" si="960"/>
        <v>-90717500.672161192</v>
      </c>
      <c r="R256">
        <f t="shared" si="961"/>
        <v>-4982337673.9675007</v>
      </c>
      <c r="S256">
        <f t="shared" si="962"/>
        <v>-49823.376739675005</v>
      </c>
      <c r="T256">
        <f t="shared" si="963"/>
        <v>-49.823376739675005</v>
      </c>
    </row>
    <row r="257" spans="1:20" x14ac:dyDescent="0.25">
      <c r="A257" s="5">
        <v>44336</v>
      </c>
      <c r="B257">
        <v>1.4919999999999999E-2</v>
      </c>
      <c r="C257">
        <v>1.8270000000000002E-2</v>
      </c>
      <c r="D257">
        <v>1.3259999999999999E-2</v>
      </c>
      <c r="E257">
        <v>1.6879999999999999E-2</v>
      </c>
      <c r="F257">
        <v>289919278.80000001</v>
      </c>
      <c r="G257">
        <v>0</v>
      </c>
      <c r="L257" t="s">
        <v>7</v>
      </c>
      <c r="M257" t="s">
        <v>8</v>
      </c>
      <c r="N257" t="s">
        <v>8</v>
      </c>
      <c r="P257">
        <f t="shared" si="959"/>
        <v>0.44510978043912108</v>
      </c>
      <c r="Q257">
        <f t="shared" si="960"/>
        <v>129045906.53173634</v>
      </c>
      <c r="R257">
        <f t="shared" si="961"/>
        <v>-4891620173.2953396</v>
      </c>
      <c r="S257">
        <f t="shared" si="962"/>
        <v>-48916.201732953399</v>
      </c>
      <c r="T257">
        <f t="shared" si="963"/>
        <v>-48.916201732953397</v>
      </c>
    </row>
    <row r="258" spans="1:20" x14ac:dyDescent="0.25">
      <c r="A258" s="5">
        <v>44335</v>
      </c>
      <c r="B258">
        <v>2.3910000000000001E-2</v>
      </c>
      <c r="C258">
        <v>2.427E-2</v>
      </c>
      <c r="D258">
        <v>1.342E-2</v>
      </c>
      <c r="E258">
        <v>1.4919999999999999E-2</v>
      </c>
      <c r="F258">
        <v>362918858.30000001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-0.72350230414746552</v>
      </c>
      <c r="Q258">
        <f t="shared" si="960"/>
        <v>-262572630.19861755</v>
      </c>
      <c r="R258">
        <f t="shared" si="961"/>
        <v>-5020666079.827076</v>
      </c>
      <c r="S258">
        <f t="shared" si="962"/>
        <v>-50206.660798270757</v>
      </c>
      <c r="T258">
        <f t="shared" si="963"/>
        <v>-50.206660798270761</v>
      </c>
    </row>
    <row r="259" spans="1:20" x14ac:dyDescent="0.25">
      <c r="A259" s="5">
        <v>44334</v>
      </c>
      <c r="B259">
        <v>2.1850000000000001E-2</v>
      </c>
      <c r="C259">
        <v>2.495E-2</v>
      </c>
      <c r="D259">
        <v>2.1700000000000001E-2</v>
      </c>
      <c r="E259">
        <v>2.385E-2</v>
      </c>
      <c r="F259">
        <v>264775580.69999999</v>
      </c>
      <c r="G259">
        <v>0</v>
      </c>
      <c r="L259" t="s">
        <v>8</v>
      </c>
      <c r="M259" t="s">
        <v>8</v>
      </c>
      <c r="N259" t="s">
        <v>7</v>
      </c>
      <c r="P259">
        <f t="shared" si="959"/>
        <v>0.32307692307692276</v>
      </c>
      <c r="Q259">
        <f t="shared" si="960"/>
        <v>85542879.918461457</v>
      </c>
      <c r="R259">
        <f t="shared" si="961"/>
        <v>-4758093449.628458</v>
      </c>
      <c r="S259">
        <f t="shared" si="962"/>
        <v>-47580.934496284579</v>
      </c>
      <c r="T259">
        <f t="shared" si="963"/>
        <v>-47.580934496284577</v>
      </c>
    </row>
    <row r="260" spans="1:20" x14ac:dyDescent="0.25">
      <c r="A260" s="5">
        <v>44333</v>
      </c>
      <c r="B260">
        <v>2.3970000000000002E-2</v>
      </c>
      <c r="C260">
        <v>2.41E-2</v>
      </c>
      <c r="D260">
        <v>2.0709999999999999E-2</v>
      </c>
      <c r="E260">
        <v>2.1839999999999998E-2</v>
      </c>
      <c r="F260">
        <v>200722863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-0.33333333333333404</v>
      </c>
      <c r="Q260">
        <f t="shared" si="960"/>
        <v>-66907621.000000142</v>
      </c>
      <c r="R260">
        <f t="shared" si="961"/>
        <v>-4843636329.5469198</v>
      </c>
      <c r="S260">
        <f t="shared" si="962"/>
        <v>-48436.3632954692</v>
      </c>
      <c r="T260">
        <f t="shared" si="963"/>
        <v>-48.436363295469199</v>
      </c>
    </row>
    <row r="261" spans="1:20" x14ac:dyDescent="0.25">
      <c r="A261" s="5">
        <v>44332</v>
      </c>
      <c r="B261">
        <v>2.41E-2</v>
      </c>
      <c r="C261">
        <v>2.579E-2</v>
      </c>
      <c r="D261">
        <v>2.248E-2</v>
      </c>
      <c r="E261">
        <v>2.3949999999999999E-2</v>
      </c>
      <c r="F261">
        <v>139102245.90000001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-0.11178247734139039</v>
      </c>
      <c r="Q261">
        <f t="shared" si="960"/>
        <v>-15549193.650453266</v>
      </c>
      <c r="R261">
        <f t="shared" si="961"/>
        <v>-4776728708.5469198</v>
      </c>
      <c r="S261">
        <f t="shared" si="962"/>
        <v>-47767.287085469201</v>
      </c>
      <c r="T261">
        <f t="shared" si="963"/>
        <v>-47.767287085469199</v>
      </c>
    </row>
    <row r="262" spans="1:20" x14ac:dyDescent="0.25">
      <c r="A262" s="5">
        <v>44331</v>
      </c>
      <c r="B262">
        <v>2.6069999999999999E-2</v>
      </c>
      <c r="C262">
        <v>2.793E-2</v>
      </c>
      <c r="D262">
        <v>2.3720000000000001E-2</v>
      </c>
      <c r="E262">
        <v>2.4109999999999999E-2</v>
      </c>
      <c r="F262">
        <v>154569387.19999999</v>
      </c>
      <c r="G262">
        <v>0</v>
      </c>
      <c r="L262" t="s">
        <v>8</v>
      </c>
      <c r="M262" t="s">
        <v>8</v>
      </c>
      <c r="N262" t="s">
        <v>7</v>
      </c>
      <c r="P262">
        <f t="shared" ref="P262:P325" si="964">IF(C262=D262,0,((E262-D262)-(C262-E262))/(C262-D262))</f>
        <v>-0.81472684085510783</v>
      </c>
      <c r="Q262">
        <f t="shared" ref="Q262:Q325" si="965">F262*P262</f>
        <v>-125931828.52636594</v>
      </c>
      <c r="R262">
        <f t="shared" ref="R262:R325" si="966">R263+Q262</f>
        <v>-4761179514.8964663</v>
      </c>
      <c r="S262">
        <f t="shared" ref="S262:S325" si="967">R262/100000</f>
        <v>-47611.795148964666</v>
      </c>
      <c r="T262">
        <f t="shared" ref="T262:T325" si="968">S262/1000</f>
        <v>-47.611795148964667</v>
      </c>
    </row>
    <row r="263" spans="1:20" x14ac:dyDescent="0.25">
      <c r="A263" s="5">
        <v>44330</v>
      </c>
      <c r="B263">
        <v>2.4809999999999999E-2</v>
      </c>
      <c r="C263">
        <v>2.7439999999999999E-2</v>
      </c>
      <c r="D263">
        <v>2.4299999999999999E-2</v>
      </c>
      <c r="E263">
        <v>2.614E-2</v>
      </c>
      <c r="F263">
        <v>336690123.69999999</v>
      </c>
      <c r="G263">
        <v>0</v>
      </c>
      <c r="L263" t="s">
        <v>8</v>
      </c>
      <c r="M263" t="s">
        <v>8</v>
      </c>
      <c r="N263" t="s">
        <v>7</v>
      </c>
      <c r="P263">
        <f t="shared" si="964"/>
        <v>0.17197452229299434</v>
      </c>
      <c r="Q263">
        <f t="shared" si="965"/>
        <v>57902123.184076667</v>
      </c>
      <c r="R263">
        <f t="shared" si="966"/>
        <v>-4635247686.3701</v>
      </c>
      <c r="S263">
        <f t="shared" si="967"/>
        <v>-46352.476863700998</v>
      </c>
      <c r="T263">
        <f t="shared" si="968"/>
        <v>-46.352476863701</v>
      </c>
    </row>
    <row r="264" spans="1:20" x14ac:dyDescent="0.25">
      <c r="A264" s="5">
        <v>44329</v>
      </c>
      <c r="B264">
        <v>2.614E-2</v>
      </c>
      <c r="C264">
        <v>2.767E-2</v>
      </c>
      <c r="D264">
        <v>2.3E-2</v>
      </c>
      <c r="E264">
        <v>2.4799999999999999E-2</v>
      </c>
      <c r="F264">
        <v>392462210.80000001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-0.22912205567451849</v>
      </c>
      <c r="Q264">
        <f t="shared" si="965"/>
        <v>-89921748.513062209</v>
      </c>
      <c r="R264">
        <f t="shared" si="966"/>
        <v>-4693149809.5541763</v>
      </c>
      <c r="S264">
        <f t="shared" si="967"/>
        <v>-46931.498095541763</v>
      </c>
      <c r="T264">
        <f t="shared" si="968"/>
        <v>-46.931498095541762</v>
      </c>
    </row>
    <row r="265" spans="1:20" x14ac:dyDescent="0.25">
      <c r="A265" s="5">
        <v>44328</v>
      </c>
      <c r="B265">
        <v>3.0859999999999999E-2</v>
      </c>
      <c r="C265">
        <v>3.15E-2</v>
      </c>
      <c r="D265">
        <v>2.5870000000000001E-2</v>
      </c>
      <c r="E265">
        <v>2.614E-2</v>
      </c>
      <c r="F265">
        <v>218967932</v>
      </c>
      <c r="G265">
        <v>0</v>
      </c>
      <c r="L265" t="s">
        <v>7</v>
      </c>
      <c r="M265" t="s">
        <v>7</v>
      </c>
      <c r="N265" t="s">
        <v>7</v>
      </c>
      <c r="P265">
        <f t="shared" si="964"/>
        <v>-0.90408525754884572</v>
      </c>
      <c r="Q265">
        <f t="shared" si="965"/>
        <v>-197965679.19715813</v>
      </c>
      <c r="R265">
        <f t="shared" si="966"/>
        <v>-4603228061.0411139</v>
      </c>
      <c r="S265">
        <f t="shared" si="967"/>
        <v>-46032.280610411137</v>
      </c>
      <c r="T265">
        <f t="shared" si="968"/>
        <v>-46.032280610411135</v>
      </c>
    </row>
    <row r="266" spans="1:20" x14ac:dyDescent="0.25">
      <c r="A266" s="5">
        <v>44327</v>
      </c>
      <c r="B266">
        <v>2.9409999999999999E-2</v>
      </c>
      <c r="C266">
        <v>3.1539999999999999E-2</v>
      </c>
      <c r="D266">
        <v>2.8559999999999999E-2</v>
      </c>
      <c r="E266">
        <v>3.0839999999999999E-2</v>
      </c>
      <c r="F266">
        <v>222226705.59999999</v>
      </c>
      <c r="G266">
        <v>0</v>
      </c>
      <c r="L266" t="s">
        <v>8</v>
      </c>
      <c r="M266" t="s">
        <v>7</v>
      </c>
      <c r="N266" t="s">
        <v>7</v>
      </c>
      <c r="P266">
        <f t="shared" si="964"/>
        <v>0.53020134228187976</v>
      </c>
      <c r="Q266">
        <f t="shared" si="965"/>
        <v>117824897.60000013</v>
      </c>
      <c r="R266">
        <f t="shared" si="966"/>
        <v>-4405262381.843956</v>
      </c>
      <c r="S266">
        <f t="shared" si="967"/>
        <v>-44052.623818439562</v>
      </c>
      <c r="T266">
        <f t="shared" si="968"/>
        <v>-44.052623818439564</v>
      </c>
    </row>
    <row r="267" spans="1:20" x14ac:dyDescent="0.25">
      <c r="A267" s="5">
        <v>44326</v>
      </c>
      <c r="B267">
        <v>3.1850000000000003E-2</v>
      </c>
      <c r="C267">
        <v>3.3099999999999997E-2</v>
      </c>
      <c r="D267">
        <v>2.869E-2</v>
      </c>
      <c r="E267">
        <v>2.9399999999999999E-2</v>
      </c>
      <c r="F267">
        <v>302543109.19999999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-0.67800453514739267</v>
      </c>
      <c r="Q267">
        <f t="shared" si="965"/>
        <v>-205125600.11519286</v>
      </c>
      <c r="R267">
        <f t="shared" si="966"/>
        <v>-4523087279.4439564</v>
      </c>
      <c r="S267">
        <f t="shared" si="967"/>
        <v>-45230.872794439565</v>
      </c>
      <c r="T267">
        <f t="shared" si="968"/>
        <v>-45.230872794439563</v>
      </c>
    </row>
    <row r="268" spans="1:20" x14ac:dyDescent="0.25">
      <c r="A268" s="5">
        <v>44325</v>
      </c>
      <c r="B268">
        <v>3.2579999999999998E-2</v>
      </c>
      <c r="C268">
        <v>3.2899999999999999E-2</v>
      </c>
      <c r="D268">
        <v>3.0540000000000001E-2</v>
      </c>
      <c r="E268">
        <v>3.1850000000000003E-2</v>
      </c>
      <c r="F268">
        <v>315078137.60000002</v>
      </c>
      <c r="G268">
        <v>0</v>
      </c>
      <c r="L268" t="s">
        <v>7</v>
      </c>
      <c r="M268" t="s">
        <v>7</v>
      </c>
      <c r="N268" t="s">
        <v>8</v>
      </c>
      <c r="P268">
        <f t="shared" si="964"/>
        <v>0.11016949152542671</v>
      </c>
      <c r="Q268">
        <f t="shared" si="965"/>
        <v>34711998.210170433</v>
      </c>
      <c r="R268">
        <f t="shared" si="966"/>
        <v>-4317961679.328764</v>
      </c>
      <c r="S268">
        <f t="shared" si="967"/>
        <v>-43179.616793287641</v>
      </c>
      <c r="T268">
        <f t="shared" si="968"/>
        <v>-43.179616793287643</v>
      </c>
    </row>
    <row r="269" spans="1:20" x14ac:dyDescent="0.25">
      <c r="A269" s="5">
        <v>44324</v>
      </c>
      <c r="B269">
        <v>3.3489999999999999E-2</v>
      </c>
      <c r="C269">
        <v>3.5249999999999997E-2</v>
      </c>
      <c r="D269">
        <v>3.2410000000000001E-2</v>
      </c>
      <c r="E269">
        <v>3.2579999999999998E-2</v>
      </c>
      <c r="F269">
        <v>369775577.60000002</v>
      </c>
      <c r="G269">
        <v>0</v>
      </c>
      <c r="L269" t="s">
        <v>8</v>
      </c>
      <c r="M269" t="s">
        <v>7</v>
      </c>
      <c r="N269" t="s">
        <v>8</v>
      </c>
      <c r="P269">
        <f t="shared" si="964"/>
        <v>-0.88028169014084734</v>
      </c>
      <c r="Q269">
        <f t="shared" si="965"/>
        <v>-325506670.42253608</v>
      </c>
      <c r="R269">
        <f t="shared" si="966"/>
        <v>-4352673677.5389347</v>
      </c>
      <c r="S269">
        <f t="shared" si="967"/>
        <v>-43526.736775389349</v>
      </c>
      <c r="T269">
        <f t="shared" si="968"/>
        <v>-43.526736775389345</v>
      </c>
    </row>
    <row r="270" spans="1:20" x14ac:dyDescent="0.25">
      <c r="A270" s="5">
        <v>44323</v>
      </c>
      <c r="B270">
        <v>3.2230000000000002E-2</v>
      </c>
      <c r="C270">
        <v>3.5200000000000002E-2</v>
      </c>
      <c r="D270">
        <v>3.1199999999999999E-2</v>
      </c>
      <c r="E270">
        <v>3.3480000000000003E-2</v>
      </c>
      <c r="F270">
        <v>367839313.19999999</v>
      </c>
      <c r="G270">
        <v>0</v>
      </c>
      <c r="L270" t="s">
        <v>7</v>
      </c>
      <c r="M270" t="s">
        <v>7</v>
      </c>
      <c r="N270" t="s">
        <v>8</v>
      </c>
      <c r="P270">
        <f t="shared" si="964"/>
        <v>0.14000000000000112</v>
      </c>
      <c r="Q270">
        <f t="shared" si="965"/>
        <v>51497503.848000415</v>
      </c>
      <c r="R270">
        <f t="shared" si="966"/>
        <v>-4027167007.1163983</v>
      </c>
      <c r="S270">
        <f t="shared" si="967"/>
        <v>-40271.670071163986</v>
      </c>
      <c r="T270">
        <f t="shared" si="968"/>
        <v>-40.271670071163989</v>
      </c>
    </row>
    <row r="271" spans="1:20" x14ac:dyDescent="0.25">
      <c r="A271" s="5">
        <v>44322</v>
      </c>
      <c r="B271">
        <v>3.3660000000000002E-2</v>
      </c>
      <c r="C271">
        <v>3.5450000000000002E-2</v>
      </c>
      <c r="D271">
        <v>3.1820000000000001E-2</v>
      </c>
      <c r="E271">
        <v>3.2210000000000003E-2</v>
      </c>
      <c r="F271">
        <v>178613522.09999999</v>
      </c>
      <c r="G271">
        <v>0</v>
      </c>
      <c r="L271" t="s">
        <v>7</v>
      </c>
      <c r="M271" t="s">
        <v>7</v>
      </c>
      <c r="N271" t="s">
        <v>8</v>
      </c>
      <c r="P271">
        <f t="shared" si="964"/>
        <v>-0.78512396694214803</v>
      </c>
      <c r="Q271">
        <f t="shared" si="965"/>
        <v>-140233757.02066103</v>
      </c>
      <c r="R271">
        <f t="shared" si="966"/>
        <v>-4078664510.9643989</v>
      </c>
      <c r="S271">
        <f t="shared" si="967"/>
        <v>-40786.645109643985</v>
      </c>
      <c r="T271">
        <f t="shared" si="968"/>
        <v>-40.786645109643985</v>
      </c>
    </row>
    <row r="272" spans="1:20" x14ac:dyDescent="0.25">
      <c r="A272" s="5">
        <v>44321</v>
      </c>
      <c r="B272">
        <v>3.1210000000000002E-2</v>
      </c>
      <c r="C272">
        <v>3.5900000000000001E-2</v>
      </c>
      <c r="D272">
        <v>3.1040000000000002E-2</v>
      </c>
      <c r="E272">
        <v>3.3640000000000003E-2</v>
      </c>
      <c r="F272">
        <v>279159659.39999998</v>
      </c>
      <c r="G272">
        <v>0</v>
      </c>
      <c r="L272" t="s">
        <v>8</v>
      </c>
      <c r="M272" t="s">
        <v>7</v>
      </c>
      <c r="N272" t="s">
        <v>8</v>
      </c>
      <c r="P272">
        <f t="shared" si="964"/>
        <v>6.9958847736626237E-2</v>
      </c>
      <c r="Q272">
        <f t="shared" si="965"/>
        <v>19529688.106173038</v>
      </c>
      <c r="R272">
        <f t="shared" si="966"/>
        <v>-3938430753.943738</v>
      </c>
      <c r="S272">
        <f t="shared" si="967"/>
        <v>-39384.307539437381</v>
      </c>
      <c r="T272">
        <f t="shared" si="968"/>
        <v>-39.38430753943738</v>
      </c>
    </row>
    <row r="273" spans="1:20" x14ac:dyDescent="0.25">
      <c r="A273" s="5">
        <v>44320</v>
      </c>
      <c r="B273">
        <v>3.5639999999999998E-2</v>
      </c>
      <c r="C273">
        <v>3.5729999999999998E-2</v>
      </c>
      <c r="D273">
        <v>3.1050000000000001E-2</v>
      </c>
      <c r="E273">
        <v>3.125E-2</v>
      </c>
      <c r="F273">
        <v>201292864.59999999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-0.91452991452991494</v>
      </c>
      <c r="Q273">
        <f t="shared" si="965"/>
        <v>-184088346.25811973</v>
      </c>
      <c r="R273">
        <f t="shared" si="966"/>
        <v>-3957960442.049911</v>
      </c>
      <c r="S273">
        <f t="shared" si="967"/>
        <v>-39579.604420499112</v>
      </c>
      <c r="T273">
        <f t="shared" si="968"/>
        <v>-39.579604420499109</v>
      </c>
    </row>
    <row r="274" spans="1:20" x14ac:dyDescent="0.25">
      <c r="A274" s="5">
        <v>44319</v>
      </c>
      <c r="B274">
        <v>3.6170000000000001E-2</v>
      </c>
      <c r="C274">
        <v>3.798E-2</v>
      </c>
      <c r="D274">
        <v>3.465E-2</v>
      </c>
      <c r="E274">
        <v>3.5659999999999997E-2</v>
      </c>
      <c r="F274">
        <v>242569787</v>
      </c>
      <c r="G274">
        <v>0</v>
      </c>
      <c r="L274" t="s">
        <v>8</v>
      </c>
      <c r="M274" t="s">
        <v>7</v>
      </c>
      <c r="N274" t="s">
        <v>8</v>
      </c>
      <c r="P274">
        <f t="shared" si="964"/>
        <v>-0.39339339339339513</v>
      </c>
      <c r="Q274">
        <f t="shared" si="965"/>
        <v>-95425351.642643064</v>
      </c>
      <c r="R274">
        <f t="shared" si="966"/>
        <v>-3773872095.7917914</v>
      </c>
      <c r="S274">
        <f t="shared" si="967"/>
        <v>-37738.720957917918</v>
      </c>
      <c r="T274">
        <f t="shared" si="968"/>
        <v>-37.73872095791792</v>
      </c>
    </row>
    <row r="275" spans="1:20" x14ac:dyDescent="0.25">
      <c r="A275" s="5">
        <v>44318</v>
      </c>
      <c r="B275">
        <v>3.7659999999999999E-2</v>
      </c>
      <c r="C275">
        <v>3.866E-2</v>
      </c>
      <c r="D275">
        <v>3.5110000000000002E-2</v>
      </c>
      <c r="E275">
        <v>3.6179999999999997E-2</v>
      </c>
      <c r="F275">
        <v>371881012.80000001</v>
      </c>
      <c r="G275">
        <v>0</v>
      </c>
      <c r="L275" t="s">
        <v>7</v>
      </c>
      <c r="M275" t="s">
        <v>7</v>
      </c>
      <c r="N275" t="s">
        <v>8</v>
      </c>
      <c r="P275">
        <f t="shared" si="964"/>
        <v>-0.39718309859155193</v>
      </c>
      <c r="Q275">
        <f t="shared" si="965"/>
        <v>-147704852.97126859</v>
      </c>
      <c r="R275">
        <f t="shared" si="966"/>
        <v>-3678446744.1491485</v>
      </c>
      <c r="S275">
        <f t="shared" si="967"/>
        <v>-36784.467441491484</v>
      </c>
      <c r="T275">
        <f t="shared" si="968"/>
        <v>-36.784467441491486</v>
      </c>
    </row>
    <row r="276" spans="1:20" x14ac:dyDescent="0.25">
      <c r="A276" s="5">
        <v>44317</v>
      </c>
      <c r="B276">
        <v>3.3590000000000002E-2</v>
      </c>
      <c r="C276">
        <v>4.2340000000000003E-2</v>
      </c>
      <c r="D276">
        <v>3.252E-2</v>
      </c>
      <c r="E276">
        <v>3.7699999999999997E-2</v>
      </c>
      <c r="F276">
        <v>852593312.10000002</v>
      </c>
      <c r="G276">
        <v>0</v>
      </c>
      <c r="L276" t="s">
        <v>8</v>
      </c>
      <c r="M276" t="s">
        <v>8</v>
      </c>
      <c r="N276" t="s">
        <v>8</v>
      </c>
      <c r="P276">
        <f t="shared" si="964"/>
        <v>5.4989816700610157E-2</v>
      </c>
      <c r="Q276">
        <f t="shared" si="965"/>
        <v>46883949.952545106</v>
      </c>
      <c r="R276">
        <f t="shared" si="966"/>
        <v>-3530741891.1778798</v>
      </c>
      <c r="S276">
        <f t="shared" si="967"/>
        <v>-35307.418911778797</v>
      </c>
      <c r="T276">
        <f t="shared" si="968"/>
        <v>-35.307418911778797</v>
      </c>
    </row>
    <row r="277" spans="1:20" x14ac:dyDescent="0.25">
      <c r="A277" s="5">
        <v>44316</v>
      </c>
      <c r="B277">
        <v>3.1510000000000003E-2</v>
      </c>
      <c r="C277">
        <v>3.3799999999999997E-2</v>
      </c>
      <c r="D277">
        <v>3.1009999999999999E-2</v>
      </c>
      <c r="E277">
        <v>3.3619999999999997E-2</v>
      </c>
      <c r="F277">
        <v>166915653.09999999</v>
      </c>
      <c r="G277">
        <v>0</v>
      </c>
      <c r="L277" t="s">
        <v>7</v>
      </c>
      <c r="M277" t="s">
        <v>8</v>
      </c>
      <c r="N277" t="s">
        <v>8</v>
      </c>
      <c r="P277">
        <f t="shared" si="964"/>
        <v>0.87096774193548399</v>
      </c>
      <c r="Q277">
        <f t="shared" si="965"/>
        <v>145378149.47419357</v>
      </c>
      <c r="R277">
        <f t="shared" si="966"/>
        <v>-3577625841.130425</v>
      </c>
      <c r="S277">
        <f t="shared" si="967"/>
        <v>-35776.258411304247</v>
      </c>
      <c r="T277">
        <f t="shared" si="968"/>
        <v>-35.776258411304248</v>
      </c>
    </row>
    <row r="278" spans="1:20" x14ac:dyDescent="0.25">
      <c r="A278" s="5">
        <v>44315</v>
      </c>
      <c r="B278">
        <v>3.1530000000000002E-2</v>
      </c>
      <c r="C278">
        <v>3.5000000000000003E-2</v>
      </c>
      <c r="D278">
        <v>3.0419999999999999E-2</v>
      </c>
      <c r="E278">
        <v>3.1510000000000003E-2</v>
      </c>
      <c r="F278">
        <v>291014879.69999999</v>
      </c>
      <c r="G278">
        <v>0</v>
      </c>
      <c r="L278" t="s">
        <v>8</v>
      </c>
      <c r="M278" t="s">
        <v>8</v>
      </c>
      <c r="N278" t="s">
        <v>8</v>
      </c>
      <c r="P278">
        <f t="shared" si="964"/>
        <v>-0.52401746724890697</v>
      </c>
      <c r="Q278">
        <f t="shared" si="965"/>
        <v>-152496880.19213936</v>
      </c>
      <c r="R278">
        <f t="shared" si="966"/>
        <v>-3723003990.6046185</v>
      </c>
      <c r="S278">
        <f t="shared" si="967"/>
        <v>-37230.039906046186</v>
      </c>
      <c r="T278">
        <f t="shared" si="968"/>
        <v>-37.230039906046187</v>
      </c>
    </row>
    <row r="279" spans="1:20" x14ac:dyDescent="0.25">
      <c r="A279" s="5">
        <v>44314</v>
      </c>
      <c r="B279">
        <v>3.2099999999999997E-2</v>
      </c>
      <c r="C279">
        <v>3.3930000000000002E-2</v>
      </c>
      <c r="D279">
        <v>2.9399999999999999E-2</v>
      </c>
      <c r="E279">
        <v>3.1510000000000003E-2</v>
      </c>
      <c r="F279">
        <v>172013847.40000001</v>
      </c>
      <c r="G279">
        <v>0</v>
      </c>
      <c r="L279" t="s">
        <v>8</v>
      </c>
      <c r="M279" t="s">
        <v>8</v>
      </c>
      <c r="N279" t="s">
        <v>8</v>
      </c>
      <c r="P279">
        <f t="shared" si="964"/>
        <v>-6.8432671081676402E-2</v>
      </c>
      <c r="Q279">
        <f t="shared" si="965"/>
        <v>-11771367.040617878</v>
      </c>
      <c r="R279">
        <f t="shared" si="966"/>
        <v>-3570507110.4124794</v>
      </c>
      <c r="S279">
        <f t="shared" si="967"/>
        <v>-35705.071104124792</v>
      </c>
      <c r="T279">
        <f t="shared" si="968"/>
        <v>-35.705071104124791</v>
      </c>
    </row>
    <row r="280" spans="1:20" x14ac:dyDescent="0.25">
      <c r="A280" s="5">
        <v>44313</v>
      </c>
      <c r="B280">
        <v>2.886E-2</v>
      </c>
      <c r="C280">
        <v>3.2379999999999999E-2</v>
      </c>
      <c r="D280">
        <v>2.861E-2</v>
      </c>
      <c r="E280">
        <v>3.2050000000000002E-2</v>
      </c>
      <c r="F280">
        <v>189177219.09999999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0.82493368700265413</v>
      </c>
      <c r="Q280">
        <f t="shared" si="965"/>
        <v>156058660.84907192</v>
      </c>
      <c r="R280">
        <f t="shared" si="966"/>
        <v>-3558735743.3718615</v>
      </c>
      <c r="S280">
        <f t="shared" si="967"/>
        <v>-35587.357433718615</v>
      </c>
      <c r="T280">
        <f t="shared" si="968"/>
        <v>-35.587357433718616</v>
      </c>
    </row>
    <row r="281" spans="1:20" x14ac:dyDescent="0.25">
      <c r="A281" s="5">
        <v>44312</v>
      </c>
      <c r="B281">
        <v>2.528E-2</v>
      </c>
      <c r="C281">
        <v>2.9350000000000001E-2</v>
      </c>
      <c r="D281">
        <v>2.521E-2</v>
      </c>
      <c r="E281">
        <v>2.886E-2</v>
      </c>
      <c r="F281">
        <v>152898679.40000001</v>
      </c>
      <c r="G281">
        <v>0</v>
      </c>
      <c r="L281" t="s">
        <v>8</v>
      </c>
      <c r="M281" t="s">
        <v>8</v>
      </c>
      <c r="N281" t="s">
        <v>7</v>
      </c>
      <c r="P281">
        <f t="shared" si="964"/>
        <v>0.76328502415458899</v>
      </c>
      <c r="Q281">
        <f t="shared" si="965"/>
        <v>116705272.19903377</v>
      </c>
      <c r="R281">
        <f t="shared" si="966"/>
        <v>-3714794404.2209334</v>
      </c>
      <c r="S281">
        <f t="shared" si="967"/>
        <v>-37147.944042209332</v>
      </c>
      <c r="T281">
        <f t="shared" si="968"/>
        <v>-37.147944042209332</v>
      </c>
    </row>
    <row r="282" spans="1:20" x14ac:dyDescent="0.25">
      <c r="A282" s="5">
        <v>44311</v>
      </c>
      <c r="B282">
        <v>2.47E-2</v>
      </c>
      <c r="C282">
        <v>2.7959999999999999E-2</v>
      </c>
      <c r="D282">
        <v>2.299E-2</v>
      </c>
      <c r="E282">
        <v>2.529E-2</v>
      </c>
      <c r="F282">
        <v>185335900.30000001</v>
      </c>
      <c r="G282">
        <v>0</v>
      </c>
      <c r="L282" t="s">
        <v>8</v>
      </c>
      <c r="M282" t="s">
        <v>8</v>
      </c>
      <c r="N282" t="s">
        <v>7</v>
      </c>
      <c r="P282">
        <f t="shared" si="964"/>
        <v>-7.4446680080482677E-2</v>
      </c>
      <c r="Q282">
        <f t="shared" si="965"/>
        <v>-13797642.477062335</v>
      </c>
      <c r="R282">
        <f t="shared" si="966"/>
        <v>-3831499676.4199672</v>
      </c>
      <c r="S282">
        <f t="shared" si="967"/>
        <v>-38314.99676419967</v>
      </c>
      <c r="T282">
        <f t="shared" si="968"/>
        <v>-38.31499676419967</v>
      </c>
    </row>
    <row r="283" spans="1:20" x14ac:dyDescent="0.25">
      <c r="A283" s="5">
        <v>44310</v>
      </c>
      <c r="B283">
        <v>2.647E-2</v>
      </c>
      <c r="C283">
        <v>2.69E-2</v>
      </c>
      <c r="D283">
        <v>2.3779999999999999E-2</v>
      </c>
      <c r="E283">
        <v>2.469E-2</v>
      </c>
      <c r="F283">
        <v>135162938.40000001</v>
      </c>
      <c r="G283">
        <v>0</v>
      </c>
      <c r="L283" t="s">
        <v>8</v>
      </c>
      <c r="M283" t="s">
        <v>8</v>
      </c>
      <c r="N283" t="s">
        <v>7</v>
      </c>
      <c r="P283">
        <f t="shared" si="964"/>
        <v>-0.41666666666666619</v>
      </c>
      <c r="Q283">
        <f t="shared" si="965"/>
        <v>-56317890.99999994</v>
      </c>
      <c r="R283">
        <f t="shared" si="966"/>
        <v>-3817702033.9429049</v>
      </c>
      <c r="S283">
        <f t="shared" si="967"/>
        <v>-38177.020339429051</v>
      </c>
      <c r="T283">
        <f t="shared" si="968"/>
        <v>-38.177020339429049</v>
      </c>
    </row>
    <row r="284" spans="1:20" x14ac:dyDescent="0.25">
      <c r="A284" s="5">
        <v>44309</v>
      </c>
      <c r="B284">
        <v>2.742E-2</v>
      </c>
      <c r="C284">
        <v>2.8809999999999999E-2</v>
      </c>
      <c r="D284">
        <v>2.1999999999999999E-2</v>
      </c>
      <c r="E284">
        <v>2.6460000000000001E-2</v>
      </c>
      <c r="F284">
        <v>308411789.39999998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0.30983847283406818</v>
      </c>
      <c r="Q284">
        <f t="shared" si="965"/>
        <v>95557837.831718251</v>
      </c>
      <c r="R284">
        <f t="shared" si="966"/>
        <v>-3761384142.9429049</v>
      </c>
      <c r="S284">
        <f t="shared" si="967"/>
        <v>-37613.841429429049</v>
      </c>
      <c r="T284">
        <f t="shared" si="968"/>
        <v>-37.613841429429051</v>
      </c>
    </row>
    <row r="285" spans="1:20" x14ac:dyDescent="0.25">
      <c r="A285" s="5">
        <v>44308</v>
      </c>
      <c r="B285">
        <v>3.1570000000000001E-2</v>
      </c>
      <c r="C285">
        <v>3.2669999999999998E-2</v>
      </c>
      <c r="D285">
        <v>2.716E-2</v>
      </c>
      <c r="E285">
        <v>2.7519999999999999E-2</v>
      </c>
      <c r="F285">
        <v>282241897.19999999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-0.86932849364791309</v>
      </c>
      <c r="Q285">
        <f t="shared" si="965"/>
        <v>-245360923.33720514</v>
      </c>
      <c r="R285">
        <f t="shared" si="966"/>
        <v>-3856941980.7746234</v>
      </c>
      <c r="S285">
        <f t="shared" si="967"/>
        <v>-38569.419807746235</v>
      </c>
      <c r="T285">
        <f t="shared" si="968"/>
        <v>-38.569419807746236</v>
      </c>
    </row>
    <row r="286" spans="1:20" x14ac:dyDescent="0.25">
      <c r="A286" s="5">
        <v>44307</v>
      </c>
      <c r="B286">
        <v>3.1009999999999999E-2</v>
      </c>
      <c r="C286">
        <v>3.6999999999999998E-2</v>
      </c>
      <c r="D286">
        <v>3.0679999999999999E-2</v>
      </c>
      <c r="E286">
        <v>3.1629999999999998E-2</v>
      </c>
      <c r="F286">
        <v>405327334</v>
      </c>
      <c r="G286">
        <v>0</v>
      </c>
      <c r="L286" t="s">
        <v>8</v>
      </c>
      <c r="M286" t="s">
        <v>8</v>
      </c>
      <c r="N286" t="s">
        <v>7</v>
      </c>
      <c r="P286">
        <f t="shared" si="964"/>
        <v>-0.69936708860759511</v>
      </c>
      <c r="Q286">
        <f t="shared" si="965"/>
        <v>-283472597.5126583</v>
      </c>
      <c r="R286">
        <f t="shared" si="966"/>
        <v>-3611581057.4374185</v>
      </c>
      <c r="S286">
        <f t="shared" si="967"/>
        <v>-36115.810574374183</v>
      </c>
      <c r="T286">
        <f t="shared" si="968"/>
        <v>-36.11581057437418</v>
      </c>
    </row>
    <row r="287" spans="1:20" x14ac:dyDescent="0.25">
      <c r="A287" s="5">
        <v>44306</v>
      </c>
      <c r="B287">
        <v>3.1040000000000002E-2</v>
      </c>
      <c r="C287">
        <v>3.3140000000000003E-2</v>
      </c>
      <c r="D287">
        <v>2.7900000000000001E-2</v>
      </c>
      <c r="E287">
        <v>3.1040000000000002E-2</v>
      </c>
      <c r="F287">
        <v>207867890.40000001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0.19847328244274789</v>
      </c>
      <c r="Q287">
        <f t="shared" si="965"/>
        <v>41256222.522137366</v>
      </c>
      <c r="R287">
        <f t="shared" si="966"/>
        <v>-3328108459.9247603</v>
      </c>
      <c r="S287">
        <f t="shared" si="967"/>
        <v>-33281.084599247602</v>
      </c>
      <c r="T287">
        <f t="shared" si="968"/>
        <v>-33.281084599247599</v>
      </c>
    </row>
    <row r="288" spans="1:20" x14ac:dyDescent="0.25">
      <c r="A288" s="5">
        <v>44305</v>
      </c>
      <c r="B288">
        <v>3.6249999999999998E-2</v>
      </c>
      <c r="C288">
        <v>3.7589999999999998E-2</v>
      </c>
      <c r="D288">
        <v>3.073E-2</v>
      </c>
      <c r="E288">
        <v>3.1019999999999999E-2</v>
      </c>
      <c r="F288">
        <v>159550268.30000001</v>
      </c>
      <c r="G288">
        <v>0</v>
      </c>
      <c r="L288" t="s">
        <v>7</v>
      </c>
      <c r="M288" t="s">
        <v>7</v>
      </c>
      <c r="N288" t="s">
        <v>7</v>
      </c>
      <c r="P288">
        <f t="shared" si="964"/>
        <v>-0.91545189504373214</v>
      </c>
      <c r="Q288">
        <f t="shared" si="965"/>
        <v>-146060595.46997091</v>
      </c>
      <c r="R288">
        <f t="shared" si="966"/>
        <v>-3369364682.4468975</v>
      </c>
      <c r="S288">
        <f t="shared" si="967"/>
        <v>-33693.646824468975</v>
      </c>
      <c r="T288">
        <f t="shared" si="968"/>
        <v>-33.693646824468978</v>
      </c>
    </row>
    <row r="289" spans="1:20" x14ac:dyDescent="0.25">
      <c r="A289" s="5">
        <v>44304</v>
      </c>
      <c r="B289">
        <v>4.1059999999999999E-2</v>
      </c>
      <c r="C289">
        <v>4.1889999999999997E-2</v>
      </c>
      <c r="D289">
        <v>3.175E-2</v>
      </c>
      <c r="E289">
        <v>3.6339999999999997E-2</v>
      </c>
      <c r="F289">
        <v>204531142.19999999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-9.4674556213018041E-2</v>
      </c>
      <c r="Q289">
        <f t="shared" si="965"/>
        <v>-19363895.119526684</v>
      </c>
      <c r="R289">
        <f t="shared" si="966"/>
        <v>-3223304086.9769268</v>
      </c>
      <c r="S289">
        <f t="shared" si="967"/>
        <v>-32233.040869769269</v>
      </c>
      <c r="T289">
        <f t="shared" si="968"/>
        <v>-32.233040869769269</v>
      </c>
    </row>
    <row r="290" spans="1:20" x14ac:dyDescent="0.25">
      <c r="A290" s="5">
        <v>44303</v>
      </c>
      <c r="B290">
        <v>3.9690000000000003E-2</v>
      </c>
      <c r="C290">
        <v>4.4139999999999999E-2</v>
      </c>
      <c r="D290">
        <v>3.8899999999999997E-2</v>
      </c>
      <c r="E290">
        <v>4.1079999999999998E-2</v>
      </c>
      <c r="F290">
        <v>269933415.69999999</v>
      </c>
      <c r="G290">
        <v>0</v>
      </c>
      <c r="L290" t="s">
        <v>7</v>
      </c>
      <c r="M290" t="s">
        <v>7</v>
      </c>
      <c r="N290" t="s">
        <v>8</v>
      </c>
      <c r="P290">
        <f t="shared" si="964"/>
        <v>-0.16793893129770965</v>
      </c>
      <c r="Q290">
        <f t="shared" si="965"/>
        <v>-45332329.354198396</v>
      </c>
      <c r="R290">
        <f t="shared" si="966"/>
        <v>-3203940191.8573999</v>
      </c>
      <c r="S290">
        <f t="shared" si="967"/>
        <v>-32039.401918574</v>
      </c>
      <c r="T290">
        <f t="shared" si="968"/>
        <v>-32.039401918574001</v>
      </c>
    </row>
    <row r="291" spans="1:20" x14ac:dyDescent="0.25">
      <c r="A291" s="5">
        <v>44302</v>
      </c>
      <c r="B291">
        <v>3.8100000000000002E-2</v>
      </c>
      <c r="C291">
        <v>4.8000000000000001E-2</v>
      </c>
      <c r="D291">
        <v>3.6589999999999998E-2</v>
      </c>
      <c r="E291">
        <v>3.9699999999999999E-2</v>
      </c>
      <c r="F291">
        <v>1006500092.5</v>
      </c>
      <c r="G291">
        <v>0</v>
      </c>
      <c r="L291" t="s">
        <v>8</v>
      </c>
      <c r="M291" t="s">
        <v>8</v>
      </c>
      <c r="N291" t="s">
        <v>8</v>
      </c>
      <c r="P291">
        <f t="shared" si="964"/>
        <v>-0.45486415425065718</v>
      </c>
      <c r="Q291">
        <f t="shared" si="965"/>
        <v>-457820813.32822073</v>
      </c>
      <c r="R291">
        <f t="shared" si="966"/>
        <v>-3158607862.5032015</v>
      </c>
      <c r="S291">
        <f t="shared" si="967"/>
        <v>-31586.078625032016</v>
      </c>
      <c r="T291">
        <f t="shared" si="968"/>
        <v>-31.586078625032016</v>
      </c>
    </row>
    <row r="292" spans="1:20" x14ac:dyDescent="0.25">
      <c r="A292" s="5">
        <v>44301</v>
      </c>
      <c r="B292">
        <v>3.85E-2</v>
      </c>
      <c r="C292">
        <v>3.95E-2</v>
      </c>
      <c r="D292">
        <v>3.5950000000000003E-2</v>
      </c>
      <c r="E292">
        <v>3.8089999999999999E-2</v>
      </c>
      <c r="F292">
        <v>326060248.69999999</v>
      </c>
      <c r="G292">
        <v>0</v>
      </c>
      <c r="L292" t="s">
        <v>8</v>
      </c>
      <c r="M292" t="s">
        <v>7</v>
      </c>
      <c r="N292" t="s">
        <v>7</v>
      </c>
      <c r="P292">
        <f t="shared" si="964"/>
        <v>0.2056338028169</v>
      </c>
      <c r="Q292">
        <f t="shared" si="965"/>
        <v>67049008.887605168</v>
      </c>
      <c r="R292">
        <f t="shared" si="966"/>
        <v>-2700787049.1749806</v>
      </c>
      <c r="S292">
        <f t="shared" si="967"/>
        <v>-27007.870491749807</v>
      </c>
      <c r="T292">
        <f t="shared" si="968"/>
        <v>-27.007870491749806</v>
      </c>
    </row>
    <row r="293" spans="1:20" x14ac:dyDescent="0.25">
      <c r="A293" s="5">
        <v>44300</v>
      </c>
      <c r="B293">
        <v>3.7819999999999999E-2</v>
      </c>
      <c r="C293">
        <v>3.8670000000000003E-2</v>
      </c>
      <c r="D293">
        <v>3.5369999999999999E-2</v>
      </c>
      <c r="E293">
        <v>3.8530000000000002E-2</v>
      </c>
      <c r="F293">
        <v>201335139.19999999</v>
      </c>
      <c r="G293">
        <v>0</v>
      </c>
      <c r="L293" t="s">
        <v>7</v>
      </c>
      <c r="M293" t="s">
        <v>7</v>
      </c>
      <c r="N293" t="s">
        <v>7</v>
      </c>
      <c r="P293">
        <f t="shared" si="964"/>
        <v>0.91515151515151449</v>
      </c>
      <c r="Q293">
        <f t="shared" si="965"/>
        <v>184252157.69212106</v>
      </c>
      <c r="R293">
        <f t="shared" si="966"/>
        <v>-2767836058.0625858</v>
      </c>
      <c r="S293">
        <f t="shared" si="967"/>
        <v>-27678.360580625857</v>
      </c>
      <c r="T293">
        <f t="shared" si="968"/>
        <v>-27.678360580625856</v>
      </c>
    </row>
    <row r="294" spans="1:20" x14ac:dyDescent="0.25">
      <c r="A294" s="5">
        <v>44299</v>
      </c>
      <c r="B294">
        <v>3.918E-2</v>
      </c>
      <c r="C294">
        <v>4.1739999999999999E-2</v>
      </c>
      <c r="D294">
        <v>3.6949999999999997E-2</v>
      </c>
      <c r="E294">
        <v>3.7699999999999997E-2</v>
      </c>
      <c r="F294">
        <v>219260070.19999999</v>
      </c>
      <c r="G294">
        <v>0</v>
      </c>
      <c r="L294" t="s">
        <v>7</v>
      </c>
      <c r="M294" t="s">
        <v>8</v>
      </c>
      <c r="N294" t="s">
        <v>7</v>
      </c>
      <c r="P294">
        <f t="shared" si="964"/>
        <v>-0.68684759916492677</v>
      </c>
      <c r="Q294">
        <f t="shared" si="965"/>
        <v>-150598252.8096033</v>
      </c>
      <c r="R294">
        <f t="shared" si="966"/>
        <v>-2952088215.7547069</v>
      </c>
      <c r="S294">
        <f t="shared" si="967"/>
        <v>-29520.882157547068</v>
      </c>
      <c r="T294">
        <f t="shared" si="968"/>
        <v>-29.520882157547067</v>
      </c>
    </row>
    <row r="295" spans="1:20" x14ac:dyDescent="0.25">
      <c r="A295" s="5">
        <v>44298</v>
      </c>
      <c r="B295">
        <v>3.8800000000000001E-2</v>
      </c>
      <c r="C295">
        <v>4.2000000000000003E-2</v>
      </c>
      <c r="D295">
        <v>3.78E-2</v>
      </c>
      <c r="E295">
        <v>3.9190000000000003E-2</v>
      </c>
      <c r="F295">
        <v>343558737.5</v>
      </c>
      <c r="G295">
        <v>0</v>
      </c>
      <c r="L295" t="s">
        <v>8</v>
      </c>
      <c r="M295" t="s">
        <v>8</v>
      </c>
      <c r="N295" t="s">
        <v>7</v>
      </c>
      <c r="P295">
        <f t="shared" si="964"/>
        <v>-0.33809523809523734</v>
      </c>
      <c r="Q295">
        <f t="shared" si="965"/>
        <v>-116155573.15476164</v>
      </c>
      <c r="R295">
        <f t="shared" si="966"/>
        <v>-2801489962.9451036</v>
      </c>
      <c r="S295">
        <f t="shared" si="967"/>
        <v>-28014.899629451036</v>
      </c>
      <c r="T295">
        <f t="shared" si="968"/>
        <v>-28.014899629451037</v>
      </c>
    </row>
    <row r="296" spans="1:20" x14ac:dyDescent="0.25">
      <c r="A296" s="5">
        <v>44297</v>
      </c>
      <c r="B296">
        <v>3.8420000000000003E-2</v>
      </c>
      <c r="C296">
        <v>4.0500000000000001E-2</v>
      </c>
      <c r="D296">
        <v>3.6929999999999998E-2</v>
      </c>
      <c r="E296">
        <v>3.8780000000000002E-2</v>
      </c>
      <c r="F296">
        <v>150059586.40000001</v>
      </c>
      <c r="G296">
        <v>0</v>
      </c>
      <c r="L296" t="s">
        <v>7</v>
      </c>
      <c r="M296" t="s">
        <v>8</v>
      </c>
      <c r="N296" t="s">
        <v>7</v>
      </c>
      <c r="P296">
        <f t="shared" si="964"/>
        <v>3.6414565826331929E-2</v>
      </c>
      <c r="Q296">
        <f t="shared" si="965"/>
        <v>5464354.6868349435</v>
      </c>
      <c r="R296">
        <f t="shared" si="966"/>
        <v>-2685334389.7903419</v>
      </c>
      <c r="S296">
        <f t="shared" si="967"/>
        <v>-26853.343897903418</v>
      </c>
      <c r="T296">
        <f t="shared" si="968"/>
        <v>-26.853343897903418</v>
      </c>
    </row>
    <row r="297" spans="1:20" x14ac:dyDescent="0.25">
      <c r="A297" s="5">
        <v>44296</v>
      </c>
      <c r="B297">
        <v>4.1020000000000001E-2</v>
      </c>
      <c r="C297">
        <v>4.1509999999999998E-2</v>
      </c>
      <c r="D297">
        <v>3.7620000000000001E-2</v>
      </c>
      <c r="E297">
        <v>3.8490000000000003E-2</v>
      </c>
      <c r="F297">
        <v>161745712</v>
      </c>
      <c r="G297">
        <v>0</v>
      </c>
      <c r="L297" t="s">
        <v>7</v>
      </c>
      <c r="M297" t="s">
        <v>8</v>
      </c>
      <c r="N297" t="s">
        <v>7</v>
      </c>
      <c r="P297">
        <f t="shared" si="964"/>
        <v>-0.55269922879177213</v>
      </c>
      <c r="Q297">
        <f t="shared" si="965"/>
        <v>-89396730.282776088</v>
      </c>
      <c r="R297">
        <f t="shared" si="966"/>
        <v>-2690798744.4771767</v>
      </c>
      <c r="S297">
        <f t="shared" si="967"/>
        <v>-26907.987444771767</v>
      </c>
      <c r="T297">
        <f t="shared" si="968"/>
        <v>-26.907987444771766</v>
      </c>
    </row>
    <row r="298" spans="1:20" x14ac:dyDescent="0.25">
      <c r="A298" s="5">
        <v>44295</v>
      </c>
      <c r="B298">
        <v>3.9190000000000003E-2</v>
      </c>
      <c r="C298">
        <v>4.199E-2</v>
      </c>
      <c r="D298">
        <v>3.8629999999999998E-2</v>
      </c>
      <c r="E298">
        <v>4.1090000000000002E-2</v>
      </c>
      <c r="F298">
        <v>186844365.40000001</v>
      </c>
      <c r="G298">
        <v>0</v>
      </c>
      <c r="L298" t="s">
        <v>8</v>
      </c>
      <c r="M298" t="s">
        <v>8</v>
      </c>
      <c r="N298" t="s">
        <v>7</v>
      </c>
      <c r="P298">
        <f t="shared" si="964"/>
        <v>0.46428571428571574</v>
      </c>
      <c r="Q298">
        <f t="shared" si="965"/>
        <v>86749169.650000274</v>
      </c>
      <c r="R298">
        <f t="shared" si="966"/>
        <v>-2601402014.1944008</v>
      </c>
      <c r="S298">
        <f t="shared" si="967"/>
        <v>-26014.020141944009</v>
      </c>
      <c r="T298">
        <f t="shared" si="968"/>
        <v>-26.014020141944009</v>
      </c>
    </row>
    <row r="299" spans="1:20" x14ac:dyDescent="0.25">
      <c r="A299" s="5">
        <v>44294</v>
      </c>
      <c r="B299">
        <v>3.5830000000000001E-2</v>
      </c>
      <c r="C299">
        <v>4.0800000000000003E-2</v>
      </c>
      <c r="D299">
        <v>3.5349999999999999E-2</v>
      </c>
      <c r="E299">
        <v>3.9260000000000003E-2</v>
      </c>
      <c r="F299">
        <v>283738785.80000001</v>
      </c>
      <c r="G299">
        <v>0</v>
      </c>
      <c r="L299" t="s">
        <v>8</v>
      </c>
      <c r="M299" t="s">
        <v>8</v>
      </c>
      <c r="N299" t="s">
        <v>7</v>
      </c>
      <c r="P299">
        <f t="shared" si="964"/>
        <v>0.43486238532110139</v>
      </c>
      <c r="Q299">
        <f t="shared" si="965"/>
        <v>123387325.20110105</v>
      </c>
      <c r="R299">
        <f t="shared" si="966"/>
        <v>-2688151183.8444009</v>
      </c>
      <c r="S299">
        <f t="shared" si="967"/>
        <v>-26881.51183844401</v>
      </c>
      <c r="T299">
        <f t="shared" si="968"/>
        <v>-26.881511838444009</v>
      </c>
    </row>
    <row r="300" spans="1:20" x14ac:dyDescent="0.25">
      <c r="A300" s="5">
        <v>44293</v>
      </c>
      <c r="B300">
        <v>4.0730000000000002E-2</v>
      </c>
      <c r="C300">
        <v>4.0989999999999999E-2</v>
      </c>
      <c r="D300">
        <v>3.4139999999999997E-2</v>
      </c>
      <c r="E300">
        <v>3.5909999999999997E-2</v>
      </c>
      <c r="F300">
        <v>280497262.89999998</v>
      </c>
      <c r="G300">
        <v>0</v>
      </c>
      <c r="L300" t="s">
        <v>7</v>
      </c>
      <c r="M300" t="s">
        <v>7</v>
      </c>
      <c r="N300" t="s">
        <v>7</v>
      </c>
      <c r="P300">
        <f t="shared" si="964"/>
        <v>-0.48321167883211674</v>
      </c>
      <c r="Q300">
        <f t="shared" si="965"/>
        <v>-135539553.31372261</v>
      </c>
      <c r="R300">
        <f t="shared" si="966"/>
        <v>-2811538509.0455017</v>
      </c>
      <c r="S300">
        <f t="shared" si="967"/>
        <v>-28115.385090455016</v>
      </c>
      <c r="T300">
        <f t="shared" si="968"/>
        <v>-28.115385090455018</v>
      </c>
    </row>
    <row r="301" spans="1:20" x14ac:dyDescent="0.25">
      <c r="A301" s="5">
        <v>44292</v>
      </c>
      <c r="B301">
        <v>4.2610000000000002E-2</v>
      </c>
      <c r="C301">
        <v>4.3549999999999998E-2</v>
      </c>
      <c r="D301">
        <v>3.95E-2</v>
      </c>
      <c r="E301">
        <v>4.0689999999999997E-2</v>
      </c>
      <c r="F301">
        <v>259615898.80000001</v>
      </c>
      <c r="G301">
        <v>0</v>
      </c>
      <c r="L301" t="s">
        <v>7</v>
      </c>
      <c r="M301" t="s">
        <v>7</v>
      </c>
      <c r="N301" t="s">
        <v>8</v>
      </c>
      <c r="P301">
        <f t="shared" si="964"/>
        <v>-0.41234567901234709</v>
      </c>
      <c r="Q301">
        <f t="shared" si="965"/>
        <v>-107051494.07308678</v>
      </c>
      <c r="R301">
        <f t="shared" si="966"/>
        <v>-2675998955.7317791</v>
      </c>
      <c r="S301">
        <f t="shared" si="967"/>
        <v>-26759.989557317793</v>
      </c>
      <c r="T301">
        <f t="shared" si="968"/>
        <v>-26.759989557317791</v>
      </c>
    </row>
    <row r="302" spans="1:20" x14ac:dyDescent="0.25">
      <c r="A302" s="5">
        <v>44291</v>
      </c>
      <c r="B302">
        <v>4.2540000000000001E-2</v>
      </c>
      <c r="C302">
        <v>4.7500000000000001E-2</v>
      </c>
      <c r="D302">
        <v>3.9879999999999999E-2</v>
      </c>
      <c r="E302">
        <v>4.2509999999999999E-2</v>
      </c>
      <c r="F302">
        <v>537512454.39999998</v>
      </c>
      <c r="G302">
        <v>0</v>
      </c>
      <c r="L302" t="s">
        <v>8</v>
      </c>
      <c r="M302" t="s">
        <v>8</v>
      </c>
      <c r="N302" t="s">
        <v>8</v>
      </c>
      <c r="P302">
        <f t="shared" si="964"/>
        <v>-0.30971128608923892</v>
      </c>
      <c r="Q302">
        <f t="shared" si="965"/>
        <v>-166473673.54120737</v>
      </c>
      <c r="R302">
        <f t="shared" si="966"/>
        <v>-2568947461.6586924</v>
      </c>
      <c r="S302">
        <f t="shared" si="967"/>
        <v>-25689.474616586922</v>
      </c>
      <c r="T302">
        <f t="shared" si="968"/>
        <v>-25.689474616586921</v>
      </c>
    </row>
    <row r="303" spans="1:20" x14ac:dyDescent="0.25">
      <c r="A303" s="5">
        <v>44290</v>
      </c>
      <c r="B303">
        <v>3.6920000000000001E-2</v>
      </c>
      <c r="C303">
        <v>4.3270000000000003E-2</v>
      </c>
      <c r="D303">
        <v>3.6240000000000001E-2</v>
      </c>
      <c r="E303">
        <v>4.2659999999999997E-2</v>
      </c>
      <c r="F303">
        <v>428187019.60000002</v>
      </c>
      <c r="G303">
        <v>0</v>
      </c>
      <c r="L303" t="s">
        <v>7</v>
      </c>
      <c r="M303" t="s">
        <v>7</v>
      </c>
      <c r="N303" t="s">
        <v>8</v>
      </c>
      <c r="P303">
        <f t="shared" si="964"/>
        <v>0.82645803698435105</v>
      </c>
      <c r="Q303">
        <f t="shared" si="965"/>
        <v>353878603.68079585</v>
      </c>
      <c r="R303">
        <f t="shared" si="966"/>
        <v>-2402473788.117485</v>
      </c>
      <c r="S303">
        <f t="shared" si="967"/>
        <v>-24024.737881174849</v>
      </c>
      <c r="T303">
        <f t="shared" si="968"/>
        <v>-24.02473788117485</v>
      </c>
    </row>
    <row r="304" spans="1:20" x14ac:dyDescent="0.25">
      <c r="A304" s="5">
        <v>44289</v>
      </c>
      <c r="B304">
        <v>3.8980000000000001E-2</v>
      </c>
      <c r="C304">
        <v>4.0309999999999999E-2</v>
      </c>
      <c r="D304">
        <v>3.6679999999999997E-2</v>
      </c>
      <c r="E304">
        <v>3.6920000000000001E-2</v>
      </c>
      <c r="F304">
        <v>231888008.80000001</v>
      </c>
      <c r="G304">
        <v>0</v>
      </c>
      <c r="L304" t="s">
        <v>7</v>
      </c>
      <c r="M304" t="s">
        <v>7</v>
      </c>
      <c r="N304" t="s">
        <v>8</v>
      </c>
      <c r="P304">
        <f t="shared" si="964"/>
        <v>-0.86776859504132009</v>
      </c>
      <c r="Q304">
        <f t="shared" si="965"/>
        <v>-201225131.60330528</v>
      </c>
      <c r="R304">
        <f t="shared" si="966"/>
        <v>-2756352391.7982807</v>
      </c>
      <c r="S304">
        <f t="shared" si="967"/>
        <v>-27563.523917982806</v>
      </c>
      <c r="T304">
        <f t="shared" si="968"/>
        <v>-27.563523917982806</v>
      </c>
    </row>
    <row r="305" spans="1:20" x14ac:dyDescent="0.25">
      <c r="A305" s="5">
        <v>44288</v>
      </c>
      <c r="B305">
        <v>4.1660000000000003E-2</v>
      </c>
      <c r="C305">
        <v>4.2299999999999997E-2</v>
      </c>
      <c r="D305">
        <v>3.8730000000000001E-2</v>
      </c>
      <c r="E305">
        <v>3.8989999999999997E-2</v>
      </c>
      <c r="F305">
        <v>263991534.69999999</v>
      </c>
      <c r="G305">
        <v>0</v>
      </c>
      <c r="L305" t="s">
        <v>7</v>
      </c>
      <c r="M305" t="s">
        <v>8</v>
      </c>
      <c r="N305" t="s">
        <v>8</v>
      </c>
      <c r="P305">
        <f t="shared" si="964"/>
        <v>-0.85434173669467983</v>
      </c>
      <c r="Q305">
        <f t="shared" si="965"/>
        <v>-225538986.22829181</v>
      </c>
      <c r="R305">
        <f t="shared" si="966"/>
        <v>-2555127260.1949754</v>
      </c>
      <c r="S305">
        <f t="shared" si="967"/>
        <v>-25551.272601949753</v>
      </c>
      <c r="T305">
        <f t="shared" si="968"/>
        <v>-25.551272601949755</v>
      </c>
    </row>
    <row r="306" spans="1:20" x14ac:dyDescent="0.25">
      <c r="A306" s="5">
        <v>44287</v>
      </c>
      <c r="B306">
        <v>4.0289999999999999E-2</v>
      </c>
      <c r="C306">
        <v>4.2389999999999997E-2</v>
      </c>
      <c r="D306">
        <v>3.934E-2</v>
      </c>
      <c r="E306">
        <v>4.156E-2</v>
      </c>
      <c r="F306">
        <v>191457555.69999999</v>
      </c>
      <c r="G306">
        <v>0</v>
      </c>
      <c r="L306" t="s">
        <v>8</v>
      </c>
      <c r="M306" t="s">
        <v>8</v>
      </c>
      <c r="N306" t="s">
        <v>8</v>
      </c>
      <c r="P306">
        <f t="shared" si="964"/>
        <v>0.455737704918034</v>
      </c>
      <c r="Q306">
        <f t="shared" si="965"/>
        <v>87254427.023934647</v>
      </c>
      <c r="R306">
        <f t="shared" si="966"/>
        <v>-2329588273.9666834</v>
      </c>
      <c r="S306">
        <f t="shared" si="967"/>
        <v>-23295.882739666835</v>
      </c>
      <c r="T306">
        <f t="shared" si="968"/>
        <v>-23.295882739666833</v>
      </c>
    </row>
    <row r="307" spans="1:20" x14ac:dyDescent="0.25">
      <c r="A307" s="5">
        <v>44286</v>
      </c>
      <c r="B307">
        <v>4.2130000000000001E-2</v>
      </c>
      <c r="C307">
        <v>4.3299999999999998E-2</v>
      </c>
      <c r="D307">
        <v>3.8710000000000001E-2</v>
      </c>
      <c r="E307">
        <v>4.0349999999999997E-2</v>
      </c>
      <c r="F307">
        <v>326049063.39999998</v>
      </c>
      <c r="G307">
        <v>0</v>
      </c>
      <c r="L307" t="s">
        <v>7</v>
      </c>
      <c r="M307" t="s">
        <v>8</v>
      </c>
      <c r="N307" t="s">
        <v>8</v>
      </c>
      <c r="P307">
        <f t="shared" si="964"/>
        <v>-0.28540305010893385</v>
      </c>
      <c r="Q307">
        <f t="shared" si="965"/>
        <v>-93055397.179521143</v>
      </c>
      <c r="R307">
        <f t="shared" si="966"/>
        <v>-2416842700.9906182</v>
      </c>
      <c r="S307">
        <f t="shared" si="967"/>
        <v>-24168.427009906183</v>
      </c>
      <c r="T307">
        <f t="shared" si="968"/>
        <v>-24.168427009906182</v>
      </c>
    </row>
    <row r="308" spans="1:20" x14ac:dyDescent="0.25">
      <c r="A308" s="5">
        <v>44285</v>
      </c>
      <c r="B308">
        <v>4.0919999999999998E-2</v>
      </c>
      <c r="C308">
        <v>4.2999999999999997E-2</v>
      </c>
      <c r="D308">
        <v>3.9989999999999998E-2</v>
      </c>
      <c r="E308">
        <v>4.2139999999999997E-2</v>
      </c>
      <c r="F308">
        <v>281433786.89999998</v>
      </c>
      <c r="G308">
        <v>0</v>
      </c>
      <c r="L308" t="s">
        <v>7</v>
      </c>
      <c r="M308" t="s">
        <v>8</v>
      </c>
      <c r="N308" t="s">
        <v>8</v>
      </c>
      <c r="P308">
        <f t="shared" si="964"/>
        <v>0.42857142857142855</v>
      </c>
      <c r="Q308">
        <f t="shared" si="965"/>
        <v>120614480.09999998</v>
      </c>
      <c r="R308">
        <f t="shared" si="966"/>
        <v>-2323787303.8110971</v>
      </c>
      <c r="S308">
        <f t="shared" si="967"/>
        <v>-23237.873038110971</v>
      </c>
      <c r="T308">
        <f t="shared" si="968"/>
        <v>-23.237873038110969</v>
      </c>
    </row>
    <row r="309" spans="1:20" x14ac:dyDescent="0.25">
      <c r="A309" s="5">
        <v>44284</v>
      </c>
      <c r="B309">
        <v>4.2709999999999998E-2</v>
      </c>
      <c r="C309">
        <v>4.2999999999999997E-2</v>
      </c>
      <c r="D309">
        <v>4.0039999999999999E-2</v>
      </c>
      <c r="E309">
        <v>4.1009999999999998E-2</v>
      </c>
      <c r="F309">
        <v>348841050.60000002</v>
      </c>
      <c r="G309">
        <v>0</v>
      </c>
      <c r="L309" t="s">
        <v>8</v>
      </c>
      <c r="M309" t="s">
        <v>8</v>
      </c>
      <c r="N309" t="s">
        <v>8</v>
      </c>
      <c r="P309">
        <f t="shared" si="964"/>
        <v>-0.34459459459459491</v>
      </c>
      <c r="Q309">
        <f t="shared" si="965"/>
        <v>-120208740.40945958</v>
      </c>
      <c r="R309">
        <f t="shared" si="966"/>
        <v>-2444401783.911097</v>
      </c>
      <c r="S309">
        <f t="shared" si="967"/>
        <v>-24444.017839110969</v>
      </c>
      <c r="T309">
        <f t="shared" si="968"/>
        <v>-24.44401783911097</v>
      </c>
    </row>
    <row r="310" spans="1:20" x14ac:dyDescent="0.25">
      <c r="A310" s="5">
        <v>44283</v>
      </c>
      <c r="B310">
        <v>3.8089999999999999E-2</v>
      </c>
      <c r="C310">
        <v>4.4499999999999998E-2</v>
      </c>
      <c r="D310">
        <v>3.6319999999999998E-2</v>
      </c>
      <c r="E310">
        <v>4.2750000000000003E-2</v>
      </c>
      <c r="F310">
        <v>693883908.70000005</v>
      </c>
      <c r="G310">
        <v>0</v>
      </c>
      <c r="L310" t="s">
        <v>7</v>
      </c>
      <c r="M310" t="s">
        <v>8</v>
      </c>
      <c r="N310" t="s">
        <v>8</v>
      </c>
      <c r="P310">
        <f t="shared" si="964"/>
        <v>0.57212713936430448</v>
      </c>
      <c r="Q310">
        <f t="shared" si="965"/>
        <v>396989815.73545325</v>
      </c>
      <c r="R310">
        <f t="shared" si="966"/>
        <v>-2324193043.5016375</v>
      </c>
      <c r="S310">
        <f t="shared" si="967"/>
        <v>-23241.930435016373</v>
      </c>
      <c r="T310">
        <f t="shared" si="968"/>
        <v>-23.241930435016371</v>
      </c>
    </row>
    <row r="311" spans="1:20" x14ac:dyDescent="0.25">
      <c r="A311" s="5">
        <v>44282</v>
      </c>
      <c r="B311">
        <v>3.9300000000000002E-2</v>
      </c>
      <c r="C311">
        <v>4.02E-2</v>
      </c>
      <c r="D311">
        <v>3.7220000000000003E-2</v>
      </c>
      <c r="E311">
        <v>3.8109999999999998E-2</v>
      </c>
      <c r="F311">
        <v>337205504.39999998</v>
      </c>
      <c r="G311">
        <v>0</v>
      </c>
      <c r="L311" t="s">
        <v>7</v>
      </c>
      <c r="M311" t="s">
        <v>7</v>
      </c>
      <c r="N311" t="s">
        <v>8</v>
      </c>
      <c r="P311">
        <f t="shared" si="964"/>
        <v>-0.40268456375839196</v>
      </c>
      <c r="Q311">
        <f t="shared" si="965"/>
        <v>-135787451.43624252</v>
      </c>
      <c r="R311">
        <f t="shared" si="966"/>
        <v>-2721182859.2370906</v>
      </c>
      <c r="S311">
        <f t="shared" si="967"/>
        <v>-27211.828592370905</v>
      </c>
      <c r="T311">
        <f t="shared" si="968"/>
        <v>-27.211828592370903</v>
      </c>
    </row>
    <row r="312" spans="1:20" x14ac:dyDescent="0.25">
      <c r="A312" s="5">
        <v>44281</v>
      </c>
      <c r="B312">
        <v>3.8269999999999998E-2</v>
      </c>
      <c r="C312">
        <v>4.2799999999999998E-2</v>
      </c>
      <c r="D312">
        <v>3.7969999999999997E-2</v>
      </c>
      <c r="E312">
        <v>3.925E-2</v>
      </c>
      <c r="F312">
        <v>612586166.20000005</v>
      </c>
      <c r="G312">
        <v>0</v>
      </c>
      <c r="L312" t="s">
        <v>7</v>
      </c>
      <c r="M312" t="s">
        <v>7</v>
      </c>
      <c r="N312" t="s">
        <v>8</v>
      </c>
      <c r="P312">
        <f t="shared" si="964"/>
        <v>-0.46997929606625133</v>
      </c>
      <c r="Q312">
        <f t="shared" si="965"/>
        <v>-287902815.17059964</v>
      </c>
      <c r="R312">
        <f t="shared" si="966"/>
        <v>-2585395407.800848</v>
      </c>
      <c r="S312">
        <f t="shared" si="967"/>
        <v>-25853.954078008479</v>
      </c>
      <c r="T312">
        <f t="shared" si="968"/>
        <v>-25.853954078008478</v>
      </c>
    </row>
    <row r="313" spans="1:20" x14ac:dyDescent="0.25">
      <c r="A313" s="5">
        <v>44280</v>
      </c>
      <c r="B313">
        <v>4.0710000000000003E-2</v>
      </c>
      <c r="C313">
        <v>5.0500000000000003E-2</v>
      </c>
      <c r="D313">
        <v>3.7199999999999997E-2</v>
      </c>
      <c r="E313">
        <v>3.8260000000000002E-2</v>
      </c>
      <c r="F313">
        <v>1840219143.5</v>
      </c>
      <c r="G313">
        <v>0</v>
      </c>
      <c r="L313" t="s">
        <v>8</v>
      </c>
      <c r="M313" t="s">
        <v>8</v>
      </c>
      <c r="N313" t="s">
        <v>8</v>
      </c>
      <c r="P313">
        <f t="shared" si="964"/>
        <v>-0.84060150375939779</v>
      </c>
      <c r="Q313">
        <f t="shared" si="965"/>
        <v>-1546890979.2729311</v>
      </c>
      <c r="R313">
        <f t="shared" si="966"/>
        <v>-2297492592.6302485</v>
      </c>
      <c r="S313">
        <f t="shared" si="967"/>
        <v>-22974.925926302487</v>
      </c>
      <c r="T313">
        <f t="shared" si="968"/>
        <v>-22.974925926302486</v>
      </c>
    </row>
    <row r="314" spans="1:20" x14ac:dyDescent="0.25">
      <c r="A314" s="5">
        <v>44279</v>
      </c>
      <c r="B314">
        <v>3.2779999999999997E-2</v>
      </c>
      <c r="C314">
        <v>4.65E-2</v>
      </c>
      <c r="D314">
        <v>3.168E-2</v>
      </c>
      <c r="E314">
        <v>4.07E-2</v>
      </c>
      <c r="F314">
        <v>1177492754.9000001</v>
      </c>
      <c r="G314">
        <v>0</v>
      </c>
      <c r="L314" t="s">
        <v>8</v>
      </c>
      <c r="M314" t="s">
        <v>8</v>
      </c>
      <c r="N314" t="s">
        <v>8</v>
      </c>
      <c r="P314">
        <f t="shared" si="964"/>
        <v>0.21727395411605943</v>
      </c>
      <c r="Q314">
        <f t="shared" si="965"/>
        <v>255838506.80013505</v>
      </c>
      <c r="R314">
        <f t="shared" si="966"/>
        <v>-750601613.35731733</v>
      </c>
      <c r="S314">
        <f t="shared" si="967"/>
        <v>-7506.0161335731736</v>
      </c>
      <c r="T314">
        <f t="shared" si="968"/>
        <v>-7.5060161335731737</v>
      </c>
    </row>
    <row r="315" spans="1:20" x14ac:dyDescent="0.25">
      <c r="A315" s="5">
        <v>44278</v>
      </c>
      <c r="B315">
        <v>3.4340000000000002E-2</v>
      </c>
      <c r="C315">
        <v>3.5869999999999999E-2</v>
      </c>
      <c r="D315">
        <v>3.1829999999999997E-2</v>
      </c>
      <c r="E315">
        <v>3.2779999999999997E-2</v>
      </c>
      <c r="F315">
        <v>189035733.5</v>
      </c>
      <c r="G315">
        <v>0</v>
      </c>
      <c r="L315" t="s">
        <v>7</v>
      </c>
      <c r="M315" t="s">
        <v>7</v>
      </c>
      <c r="N315" t="s">
        <v>8</v>
      </c>
      <c r="P315">
        <f t="shared" si="964"/>
        <v>-0.52970297029703017</v>
      </c>
      <c r="Q315">
        <f t="shared" si="965"/>
        <v>-100132789.52722782</v>
      </c>
      <c r="R315">
        <f t="shared" si="966"/>
        <v>-1006440120.1574523</v>
      </c>
      <c r="S315">
        <f t="shared" si="967"/>
        <v>-10064.401201574523</v>
      </c>
      <c r="T315">
        <f t="shared" si="968"/>
        <v>-10.064401201574523</v>
      </c>
    </row>
    <row r="316" spans="1:20" x14ac:dyDescent="0.25">
      <c r="A316" s="5">
        <v>44277</v>
      </c>
      <c r="B316">
        <v>3.7629999999999997E-2</v>
      </c>
      <c r="C316">
        <v>3.8870000000000002E-2</v>
      </c>
      <c r="D316">
        <v>3.3439999999999998E-2</v>
      </c>
      <c r="E316">
        <v>3.4349999999999999E-2</v>
      </c>
      <c r="F316">
        <v>217477172.90000001</v>
      </c>
      <c r="G316">
        <v>0</v>
      </c>
      <c r="L316" t="s">
        <v>7</v>
      </c>
      <c r="M316" t="s">
        <v>8</v>
      </c>
      <c r="N316" t="s">
        <v>8</v>
      </c>
      <c r="P316">
        <f t="shared" si="964"/>
        <v>-0.66482504604051551</v>
      </c>
      <c r="Q316">
        <f t="shared" si="965"/>
        <v>-144584271.48600367</v>
      </c>
      <c r="R316">
        <f t="shared" si="966"/>
        <v>-906307330.63022447</v>
      </c>
      <c r="S316">
        <f t="shared" si="967"/>
        <v>-9063.0733063022453</v>
      </c>
      <c r="T316">
        <f t="shared" si="968"/>
        <v>-9.0630733063022451</v>
      </c>
    </row>
    <row r="317" spans="1:20" x14ac:dyDescent="0.25">
      <c r="A317" s="5">
        <v>44276</v>
      </c>
      <c r="B317">
        <v>3.4340000000000002E-2</v>
      </c>
      <c r="C317">
        <v>3.95E-2</v>
      </c>
      <c r="D317">
        <v>3.3000000000000002E-2</v>
      </c>
      <c r="E317">
        <v>3.7650000000000003E-2</v>
      </c>
      <c r="F317">
        <v>339570525.80000001</v>
      </c>
      <c r="G317">
        <v>0</v>
      </c>
      <c r="L317" t="s">
        <v>8</v>
      </c>
      <c r="M317" t="s">
        <v>8</v>
      </c>
      <c r="N317" t="s">
        <v>8</v>
      </c>
      <c r="P317">
        <f t="shared" si="964"/>
        <v>0.43076923076923146</v>
      </c>
      <c r="Q317">
        <f t="shared" si="965"/>
        <v>146276534.19076946</v>
      </c>
      <c r="R317">
        <f t="shared" si="966"/>
        <v>-761723059.14422083</v>
      </c>
      <c r="S317">
        <f t="shared" si="967"/>
        <v>-7617.2305914422086</v>
      </c>
      <c r="T317">
        <f t="shared" si="968"/>
        <v>-7.6172305914422083</v>
      </c>
    </row>
    <row r="318" spans="1:20" x14ac:dyDescent="0.25">
      <c r="A318" s="5">
        <v>44275</v>
      </c>
      <c r="B318">
        <v>3.85E-2</v>
      </c>
      <c r="C318">
        <v>3.8649999999999997E-2</v>
      </c>
      <c r="D318">
        <v>3.4209999999999997E-2</v>
      </c>
      <c r="E318">
        <v>3.424E-2</v>
      </c>
      <c r="F318">
        <v>230668894.5</v>
      </c>
      <c r="G318">
        <v>0</v>
      </c>
      <c r="L318" t="s">
        <v>8</v>
      </c>
      <c r="M318" t="s">
        <v>8</v>
      </c>
      <c r="N318" t="s">
        <v>8</v>
      </c>
      <c r="P318">
        <f t="shared" si="964"/>
        <v>-0.98648648648648551</v>
      </c>
      <c r="Q318">
        <f t="shared" si="965"/>
        <v>-227551747.2770268</v>
      </c>
      <c r="R318">
        <f t="shared" si="966"/>
        <v>-907999593.33499026</v>
      </c>
      <c r="S318">
        <f t="shared" si="967"/>
        <v>-9079.9959333499028</v>
      </c>
      <c r="T318">
        <f t="shared" si="968"/>
        <v>-9.0799959333499025</v>
      </c>
    </row>
    <row r="319" spans="1:20" x14ac:dyDescent="0.25">
      <c r="A319" s="5">
        <v>44274</v>
      </c>
      <c r="B319">
        <v>3.1390000000000001E-2</v>
      </c>
      <c r="C319">
        <v>3.9E-2</v>
      </c>
      <c r="D319">
        <v>3.0349999999999999E-2</v>
      </c>
      <c r="E319">
        <v>3.8519999999999999E-2</v>
      </c>
      <c r="F319">
        <v>630527122.20000005</v>
      </c>
      <c r="G319">
        <v>0</v>
      </c>
      <c r="L319" t="s">
        <v>7</v>
      </c>
      <c r="M319" t="s">
        <v>8</v>
      </c>
      <c r="N319" t="s">
        <v>8</v>
      </c>
      <c r="P319">
        <f t="shared" si="964"/>
        <v>0.88901734104046215</v>
      </c>
      <c r="Q319">
        <f t="shared" si="965"/>
        <v>560549545.63213861</v>
      </c>
      <c r="R319">
        <f t="shared" si="966"/>
        <v>-680447846.05796349</v>
      </c>
      <c r="S319">
        <f t="shared" si="967"/>
        <v>-6804.4784605796349</v>
      </c>
      <c r="T319">
        <f t="shared" si="968"/>
        <v>-6.8044784605796345</v>
      </c>
    </row>
    <row r="320" spans="1:20" x14ac:dyDescent="0.25">
      <c r="A320" s="5">
        <v>44273</v>
      </c>
      <c r="B320">
        <v>3.4000000000000002E-2</v>
      </c>
      <c r="C320">
        <v>3.4569999999999997E-2</v>
      </c>
      <c r="D320">
        <v>3.0810000000000001E-2</v>
      </c>
      <c r="E320">
        <v>3.141E-2</v>
      </c>
      <c r="F320">
        <v>258901254.5</v>
      </c>
      <c r="G320">
        <v>0</v>
      </c>
      <c r="L320" t="s">
        <v>7</v>
      </c>
      <c r="M320" t="s">
        <v>8</v>
      </c>
      <c r="N320" t="s">
        <v>8</v>
      </c>
      <c r="P320">
        <f t="shared" si="964"/>
        <v>-0.680851063829787</v>
      </c>
      <c r="Q320">
        <f t="shared" si="965"/>
        <v>-176273194.55319142</v>
      </c>
      <c r="R320">
        <f t="shared" si="966"/>
        <v>-1240997391.6901021</v>
      </c>
      <c r="S320">
        <f t="shared" si="967"/>
        <v>-12409.973916901021</v>
      </c>
      <c r="T320">
        <f t="shared" si="968"/>
        <v>-12.409973916901022</v>
      </c>
    </row>
    <row r="321" spans="1:20" x14ac:dyDescent="0.25">
      <c r="A321" s="5">
        <v>44272</v>
      </c>
      <c r="B321">
        <v>3.252E-2</v>
      </c>
      <c r="C321">
        <v>3.4599999999999999E-2</v>
      </c>
      <c r="D321">
        <v>3.0349999999999999E-2</v>
      </c>
      <c r="E321">
        <v>3.3989999999999999E-2</v>
      </c>
      <c r="F321">
        <v>359424790.80000001</v>
      </c>
      <c r="G321">
        <v>0</v>
      </c>
      <c r="L321" t="s">
        <v>8</v>
      </c>
      <c r="M321" t="s">
        <v>8</v>
      </c>
      <c r="N321" t="s">
        <v>8</v>
      </c>
      <c r="P321">
        <f t="shared" si="964"/>
        <v>0.71294117647058852</v>
      </c>
      <c r="Q321">
        <f t="shared" si="965"/>
        <v>256248733.20564717</v>
      </c>
      <c r="R321">
        <f t="shared" si="966"/>
        <v>-1064724197.1369107</v>
      </c>
      <c r="S321">
        <f t="shared" si="967"/>
        <v>-10647.241971369107</v>
      </c>
      <c r="T321">
        <f t="shared" si="968"/>
        <v>-10.647241971369107</v>
      </c>
    </row>
    <row r="322" spans="1:20" x14ac:dyDescent="0.25">
      <c r="A322" s="5">
        <v>44271</v>
      </c>
      <c r="B322">
        <v>3.075E-2</v>
      </c>
      <c r="C322">
        <v>3.3849999999999998E-2</v>
      </c>
      <c r="D322">
        <v>2.894E-2</v>
      </c>
      <c r="E322">
        <v>3.2390000000000002E-2</v>
      </c>
      <c r="F322">
        <v>332542964.5</v>
      </c>
      <c r="G322">
        <v>0</v>
      </c>
      <c r="L322" t="s">
        <v>8</v>
      </c>
      <c r="M322" t="s">
        <v>8</v>
      </c>
      <c r="N322" t="s">
        <v>8</v>
      </c>
      <c r="P322">
        <f t="shared" si="964"/>
        <v>0.40529531568228239</v>
      </c>
      <c r="Q322">
        <f t="shared" si="965"/>
        <v>134778105.77494952</v>
      </c>
      <c r="R322">
        <f t="shared" si="966"/>
        <v>-1320972930.3425579</v>
      </c>
      <c r="S322">
        <f t="shared" si="967"/>
        <v>-13209.72930342558</v>
      </c>
      <c r="T322">
        <f t="shared" si="968"/>
        <v>-13.209729303425579</v>
      </c>
    </row>
    <row r="323" spans="1:20" x14ac:dyDescent="0.25">
      <c r="A323" s="5">
        <v>44270</v>
      </c>
      <c r="B323">
        <v>3.04E-2</v>
      </c>
      <c r="C323">
        <v>3.2800000000000003E-2</v>
      </c>
      <c r="D323">
        <v>2.681E-2</v>
      </c>
      <c r="E323">
        <v>3.075E-2</v>
      </c>
      <c r="F323">
        <v>343216518.10000002</v>
      </c>
      <c r="G323">
        <v>0</v>
      </c>
      <c r="L323" t="s">
        <v>7</v>
      </c>
      <c r="M323" t="s">
        <v>7</v>
      </c>
      <c r="N323" t="s">
        <v>8</v>
      </c>
      <c r="P323">
        <f t="shared" si="964"/>
        <v>0.31552587646076713</v>
      </c>
      <c r="Q323">
        <f t="shared" si="965"/>
        <v>108293692.68931526</v>
      </c>
      <c r="R323">
        <f t="shared" si="966"/>
        <v>-1455751036.1175075</v>
      </c>
      <c r="S323">
        <f t="shared" si="967"/>
        <v>-14557.510361175075</v>
      </c>
      <c r="T323">
        <f t="shared" si="968"/>
        <v>-14.557510361175074</v>
      </c>
    </row>
    <row r="324" spans="1:20" x14ac:dyDescent="0.25">
      <c r="A324" s="5">
        <v>44269</v>
      </c>
      <c r="B324">
        <v>3.1739999999999997E-2</v>
      </c>
      <c r="C324">
        <v>3.3000000000000002E-2</v>
      </c>
      <c r="D324">
        <v>2.7799999999999998E-2</v>
      </c>
      <c r="E324">
        <v>3.0360000000000002E-2</v>
      </c>
      <c r="F324">
        <v>355227563.10000002</v>
      </c>
      <c r="G324">
        <v>0</v>
      </c>
      <c r="L324" t="s">
        <v>7</v>
      </c>
      <c r="M324" t="s">
        <v>7</v>
      </c>
      <c r="N324" t="s">
        <v>8</v>
      </c>
      <c r="P324">
        <f t="shared" si="964"/>
        <v>-1.5384615384614749E-2</v>
      </c>
      <c r="Q324">
        <f t="shared" si="965"/>
        <v>-5465039.4323074669</v>
      </c>
      <c r="R324">
        <f t="shared" si="966"/>
        <v>-1564044728.8068228</v>
      </c>
      <c r="S324">
        <f t="shared" si="967"/>
        <v>-15640.447288068228</v>
      </c>
      <c r="T324">
        <f t="shared" si="968"/>
        <v>-15.640447288068227</v>
      </c>
    </row>
    <row r="325" spans="1:20" x14ac:dyDescent="0.25">
      <c r="A325" s="5">
        <v>44268</v>
      </c>
      <c r="B325">
        <v>2.478E-2</v>
      </c>
      <c r="C325">
        <v>3.3000000000000002E-2</v>
      </c>
      <c r="D325">
        <v>2.383E-2</v>
      </c>
      <c r="E325">
        <v>3.1739999999999997E-2</v>
      </c>
      <c r="F325">
        <v>557138909.5</v>
      </c>
      <c r="G325">
        <v>0</v>
      </c>
      <c r="L325" t="s">
        <v>8</v>
      </c>
      <c r="M325" t="s">
        <v>8</v>
      </c>
      <c r="N325" t="s">
        <v>8</v>
      </c>
      <c r="P325">
        <f t="shared" si="964"/>
        <v>0.72519083969465559</v>
      </c>
      <c r="Q325">
        <f t="shared" si="965"/>
        <v>404032033.6068697</v>
      </c>
      <c r="R325">
        <f t="shared" si="966"/>
        <v>-1558579689.3745153</v>
      </c>
      <c r="S325">
        <f t="shared" si="967"/>
        <v>-15585.796893745153</v>
      </c>
      <c r="T325">
        <f t="shared" si="968"/>
        <v>-15.585796893745153</v>
      </c>
    </row>
    <row r="326" spans="1:20" x14ac:dyDescent="0.25">
      <c r="A326" s="5">
        <v>44267</v>
      </c>
      <c r="B326">
        <v>2.682E-2</v>
      </c>
      <c r="C326">
        <v>2.87E-2</v>
      </c>
      <c r="D326">
        <v>2.3599999999999999E-2</v>
      </c>
      <c r="E326">
        <v>2.477E-2</v>
      </c>
      <c r="F326">
        <v>387700873.5</v>
      </c>
      <c r="G326">
        <v>0</v>
      </c>
      <c r="L326" t="s">
        <v>8</v>
      </c>
      <c r="M326" t="s">
        <v>8</v>
      </c>
      <c r="N326" t="s">
        <v>8</v>
      </c>
      <c r="P326">
        <f t="shared" ref="P326:P389" si="969">IF(C326=D326,0,((E326-D326)-(C326-E326))/(C326-D326))</f>
        <v>-0.54117647058823493</v>
      </c>
      <c r="Q326">
        <f t="shared" ref="Q326:Q389" si="970">F326*P326</f>
        <v>-209814590.36470574</v>
      </c>
      <c r="R326">
        <f t="shared" ref="R326:R389" si="971">R327+Q326</f>
        <v>-1962611722.981385</v>
      </c>
      <c r="S326">
        <f t="shared" ref="S326:S389" si="972">R326/100000</f>
        <v>-19626.117229813852</v>
      </c>
      <c r="T326">
        <f t="shared" ref="T326:T389" si="973">S326/1000</f>
        <v>-19.62611722981385</v>
      </c>
    </row>
    <row r="327" spans="1:20" x14ac:dyDescent="0.25">
      <c r="A327" s="5">
        <v>44266</v>
      </c>
      <c r="B327">
        <v>2.4660000000000001E-2</v>
      </c>
      <c r="C327">
        <v>2.7449999999999999E-2</v>
      </c>
      <c r="D327">
        <v>2.2380000000000001E-2</v>
      </c>
      <c r="E327">
        <v>2.673E-2</v>
      </c>
      <c r="F327">
        <v>331440347.30000001</v>
      </c>
      <c r="G327">
        <v>0</v>
      </c>
      <c r="L327" t="s">
        <v>8</v>
      </c>
      <c r="M327" t="s">
        <v>8</v>
      </c>
      <c r="N327" t="s">
        <v>8</v>
      </c>
      <c r="P327">
        <f t="shared" si="969"/>
        <v>0.71597633136094729</v>
      </c>
      <c r="Q327">
        <f t="shared" si="970"/>
        <v>237303443.92485225</v>
      </c>
      <c r="R327">
        <f t="shared" si="971"/>
        <v>-1752797132.6166792</v>
      </c>
      <c r="S327">
        <f t="shared" si="972"/>
        <v>-17527.971326166793</v>
      </c>
      <c r="T327">
        <f t="shared" si="973"/>
        <v>-17.527971326166792</v>
      </c>
    </row>
    <row r="328" spans="1:20" x14ac:dyDescent="0.25">
      <c r="A328" s="5">
        <v>44265</v>
      </c>
      <c r="B328">
        <v>2.427E-2</v>
      </c>
      <c r="C328">
        <v>2.7789999999999999E-2</v>
      </c>
      <c r="D328">
        <v>2.1819999999999999E-2</v>
      </c>
      <c r="E328">
        <v>2.4559999999999998E-2</v>
      </c>
      <c r="F328">
        <v>524209318.10000002</v>
      </c>
      <c r="G328">
        <v>0</v>
      </c>
      <c r="L328" t="s">
        <v>7</v>
      </c>
      <c r="M328" t="s">
        <v>7</v>
      </c>
      <c r="N328" t="s">
        <v>8</v>
      </c>
      <c r="P328">
        <f t="shared" si="969"/>
        <v>-8.20770519262983E-2</v>
      </c>
      <c r="Q328">
        <f t="shared" si="970"/>
        <v>-43025555.421943128</v>
      </c>
      <c r="R328">
        <f t="shared" si="971"/>
        <v>-1990100576.5415313</v>
      </c>
      <c r="S328">
        <f t="shared" si="972"/>
        <v>-19901.005765415313</v>
      </c>
      <c r="T328">
        <f t="shared" si="973"/>
        <v>-19.901005765415313</v>
      </c>
    </row>
    <row r="329" spans="1:20" x14ac:dyDescent="0.25">
      <c r="A329" s="5">
        <v>44264</v>
      </c>
      <c r="B329">
        <v>1.8519999999999998E-2</v>
      </c>
      <c r="C329">
        <v>2.9329999999999998E-2</v>
      </c>
      <c r="D329">
        <v>1.8249999999999999E-2</v>
      </c>
      <c r="E329">
        <v>2.419E-2</v>
      </c>
      <c r="F329">
        <v>1479213283.5999999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7.2202166064982143E-2</v>
      </c>
      <c r="Q329">
        <f t="shared" si="970"/>
        <v>106802403.14801472</v>
      </c>
      <c r="R329">
        <f t="shared" si="971"/>
        <v>-1947075021.1195881</v>
      </c>
      <c r="S329">
        <f t="shared" si="972"/>
        <v>-19470.750211195882</v>
      </c>
      <c r="T329">
        <f t="shared" si="973"/>
        <v>-19.470750211195881</v>
      </c>
    </row>
    <row r="330" spans="1:20" x14ac:dyDescent="0.25">
      <c r="A330" s="5">
        <v>44263</v>
      </c>
      <c r="B330">
        <v>1.7309999999999999E-2</v>
      </c>
      <c r="C330">
        <v>1.8689999999999998E-2</v>
      </c>
      <c r="D330">
        <v>1.6070000000000001E-2</v>
      </c>
      <c r="E330">
        <v>1.857E-2</v>
      </c>
      <c r="F330">
        <v>112848578.3</v>
      </c>
      <c r="G330">
        <v>0</v>
      </c>
      <c r="L330" t="s">
        <v>7</v>
      </c>
      <c r="M330" t="s">
        <v>8</v>
      </c>
      <c r="N330" t="s">
        <v>8</v>
      </c>
      <c r="P330">
        <f t="shared" si="969"/>
        <v>0.90839694656488645</v>
      </c>
      <c r="Q330">
        <f t="shared" si="970"/>
        <v>102511303.9519085</v>
      </c>
      <c r="R330">
        <f t="shared" si="971"/>
        <v>-2053877424.2676029</v>
      </c>
      <c r="S330">
        <f t="shared" si="972"/>
        <v>-20538.774242676031</v>
      </c>
      <c r="T330">
        <f t="shared" si="973"/>
        <v>-20.53877424267603</v>
      </c>
    </row>
    <row r="331" spans="1:20" x14ac:dyDescent="0.25">
      <c r="A331" s="5">
        <v>44262</v>
      </c>
      <c r="B331">
        <v>1.755E-2</v>
      </c>
      <c r="C331">
        <v>1.771E-2</v>
      </c>
      <c r="D331">
        <v>1.685E-2</v>
      </c>
      <c r="E331">
        <v>1.7309999999999999E-2</v>
      </c>
      <c r="F331">
        <v>59671918.200000003</v>
      </c>
      <c r="G331">
        <v>0</v>
      </c>
      <c r="L331" t="s">
        <v>7</v>
      </c>
      <c r="M331" t="s">
        <v>8</v>
      </c>
      <c r="N331" t="s">
        <v>8</v>
      </c>
      <c r="P331">
        <f t="shared" si="969"/>
        <v>6.9767441860462298E-2</v>
      </c>
      <c r="Q331">
        <f t="shared" si="970"/>
        <v>4163157.0837207623</v>
      </c>
      <c r="R331">
        <f t="shared" si="971"/>
        <v>-2156388728.2195115</v>
      </c>
      <c r="S331">
        <f t="shared" si="972"/>
        <v>-21563.887282195115</v>
      </c>
      <c r="T331">
        <f t="shared" si="973"/>
        <v>-21.563887282195115</v>
      </c>
    </row>
    <row r="332" spans="1:20" x14ac:dyDescent="0.25">
      <c r="A332" s="5">
        <v>44261</v>
      </c>
      <c r="B332">
        <v>1.7510000000000001E-2</v>
      </c>
      <c r="C332">
        <v>1.8800000000000001E-2</v>
      </c>
      <c r="D332">
        <v>1.686E-2</v>
      </c>
      <c r="E332">
        <v>1.754E-2</v>
      </c>
      <c r="F332">
        <v>113959543.40000001</v>
      </c>
      <c r="G332">
        <v>0</v>
      </c>
      <c r="L332" t="s">
        <v>8</v>
      </c>
      <c r="M332" t="s">
        <v>8</v>
      </c>
      <c r="N332" t="s">
        <v>8</v>
      </c>
      <c r="P332">
        <f t="shared" si="969"/>
        <v>-0.29896907216494867</v>
      </c>
      <c r="Q332">
        <f t="shared" si="970"/>
        <v>-34070378.954639204</v>
      </c>
      <c r="R332">
        <f t="shared" si="971"/>
        <v>-2160551885.3032322</v>
      </c>
      <c r="S332">
        <f t="shared" si="972"/>
        <v>-21605.518853032321</v>
      </c>
      <c r="T332">
        <f t="shared" si="973"/>
        <v>-21.605518853032322</v>
      </c>
    </row>
    <row r="333" spans="1:20" x14ac:dyDescent="0.25">
      <c r="A333" s="5">
        <v>44260</v>
      </c>
      <c r="B333">
        <v>1.6150000000000001E-2</v>
      </c>
      <c r="C333">
        <v>1.8100000000000002E-2</v>
      </c>
      <c r="D333">
        <v>1.508E-2</v>
      </c>
      <c r="E333">
        <v>1.7510000000000001E-2</v>
      </c>
      <c r="F333">
        <v>214472221.90000001</v>
      </c>
      <c r="G333">
        <v>0</v>
      </c>
      <c r="L333" t="s">
        <v>7</v>
      </c>
      <c r="M333" t="s">
        <v>8</v>
      </c>
      <c r="N333" t="s">
        <v>8</v>
      </c>
      <c r="P333">
        <f t="shared" si="969"/>
        <v>0.60927152317880806</v>
      </c>
      <c r="Q333">
        <f t="shared" si="970"/>
        <v>130671817.31655632</v>
      </c>
      <c r="R333">
        <f t="shared" si="971"/>
        <v>-2126481506.348593</v>
      </c>
      <c r="S333">
        <f t="shared" si="972"/>
        <v>-21264.81506348593</v>
      </c>
      <c r="T333">
        <f t="shared" si="973"/>
        <v>-21.26481506348593</v>
      </c>
    </row>
    <row r="334" spans="1:20" x14ac:dyDescent="0.25">
      <c r="A334" s="5">
        <v>44259</v>
      </c>
      <c r="B334">
        <v>1.6670000000000001E-2</v>
      </c>
      <c r="C334">
        <v>1.7000000000000001E-2</v>
      </c>
      <c r="D334">
        <v>1.533E-2</v>
      </c>
      <c r="E334">
        <v>1.6150000000000001E-2</v>
      </c>
      <c r="F334">
        <v>179037814.80000001</v>
      </c>
      <c r="G334">
        <v>0</v>
      </c>
      <c r="L334" t="s">
        <v>7</v>
      </c>
      <c r="M334" t="s">
        <v>8</v>
      </c>
      <c r="N334" t="s">
        <v>8</v>
      </c>
      <c r="P334">
        <f t="shared" si="969"/>
        <v>-1.7964071856286679E-2</v>
      </c>
      <c r="Q334">
        <f t="shared" si="970"/>
        <v>-3216248.1700597466</v>
      </c>
      <c r="R334">
        <f t="shared" si="971"/>
        <v>-2257153323.6651492</v>
      </c>
      <c r="S334">
        <f t="shared" si="972"/>
        <v>-22571.533236651492</v>
      </c>
      <c r="T334">
        <f t="shared" si="973"/>
        <v>-22.571533236651494</v>
      </c>
    </row>
    <row r="335" spans="1:20" x14ac:dyDescent="0.25">
      <c r="A335" s="5">
        <v>44258</v>
      </c>
      <c r="B335">
        <v>1.389E-2</v>
      </c>
      <c r="C335">
        <v>1.788E-2</v>
      </c>
      <c r="D335">
        <v>1.388E-2</v>
      </c>
      <c r="E335">
        <v>1.6670000000000001E-2</v>
      </c>
      <c r="F335">
        <v>307580456.80000001</v>
      </c>
      <c r="G335">
        <v>0</v>
      </c>
      <c r="L335" t="s">
        <v>8</v>
      </c>
      <c r="M335" t="s">
        <v>8</v>
      </c>
      <c r="N335" t="s">
        <v>8</v>
      </c>
      <c r="P335">
        <f t="shared" si="969"/>
        <v>0.39500000000000035</v>
      </c>
      <c r="Q335">
        <f t="shared" si="970"/>
        <v>121494280.43600011</v>
      </c>
      <c r="R335">
        <f t="shared" si="971"/>
        <v>-2253937075.4950895</v>
      </c>
      <c r="S335">
        <f t="shared" si="972"/>
        <v>-22539.370754950894</v>
      </c>
      <c r="T335">
        <f t="shared" si="973"/>
        <v>-22.539370754950895</v>
      </c>
    </row>
    <row r="336" spans="1:20" x14ac:dyDescent="0.25">
      <c r="A336" s="5">
        <v>44257</v>
      </c>
      <c r="B336">
        <v>1.426E-2</v>
      </c>
      <c r="C336">
        <v>1.4999999999999999E-2</v>
      </c>
      <c r="D336">
        <v>1.3559999999999999E-2</v>
      </c>
      <c r="E336">
        <v>1.388E-2</v>
      </c>
      <c r="F336">
        <v>80552131.700000003</v>
      </c>
      <c r="G336">
        <v>0</v>
      </c>
      <c r="L336" t="s">
        <v>7</v>
      </c>
      <c r="M336" t="s">
        <v>8</v>
      </c>
      <c r="N336" t="s">
        <v>7</v>
      </c>
      <c r="P336">
        <f t="shared" si="969"/>
        <v>-0.55555555555555447</v>
      </c>
      <c r="Q336">
        <f t="shared" si="970"/>
        <v>-44751184.277777694</v>
      </c>
      <c r="R336">
        <f t="shared" si="971"/>
        <v>-2375431355.9310899</v>
      </c>
      <c r="S336">
        <f t="shared" si="972"/>
        <v>-23754.3135593109</v>
      </c>
      <c r="T336">
        <f t="shared" si="973"/>
        <v>-23.754313559310901</v>
      </c>
    </row>
    <row r="337" spans="1:20" x14ac:dyDescent="0.25">
      <c r="A337" s="5">
        <v>44256</v>
      </c>
      <c r="B337">
        <v>1.2789999999999999E-2</v>
      </c>
      <c r="C337">
        <v>1.511E-2</v>
      </c>
      <c r="D337">
        <v>1.278E-2</v>
      </c>
      <c r="E337">
        <v>1.421E-2</v>
      </c>
      <c r="F337">
        <v>105645377.5</v>
      </c>
      <c r="G337">
        <v>0</v>
      </c>
      <c r="L337" t="s">
        <v>8</v>
      </c>
      <c r="M337" t="s">
        <v>8</v>
      </c>
      <c r="N337" t="s">
        <v>7</v>
      </c>
      <c r="P337">
        <f t="shared" si="969"/>
        <v>0.22746781115879866</v>
      </c>
      <c r="Q337">
        <f t="shared" si="970"/>
        <v>24030922.778969996</v>
      </c>
      <c r="R337">
        <f t="shared" si="971"/>
        <v>-2330680171.6533122</v>
      </c>
      <c r="S337">
        <f t="shared" si="972"/>
        <v>-23306.801716533122</v>
      </c>
      <c r="T337">
        <f t="shared" si="973"/>
        <v>-23.306801716533123</v>
      </c>
    </row>
    <row r="338" spans="1:20" x14ac:dyDescent="0.25">
      <c r="A338" s="5">
        <v>44255</v>
      </c>
      <c r="B338">
        <v>1.3809999999999999E-2</v>
      </c>
      <c r="C338">
        <v>1.3939999999999999E-2</v>
      </c>
      <c r="D338">
        <v>1.175E-2</v>
      </c>
      <c r="E338">
        <v>1.281E-2</v>
      </c>
      <c r="F338">
        <v>94559966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-3.1963470319634202E-2</v>
      </c>
      <c r="Q338">
        <f t="shared" si="970"/>
        <v>-3022464.6666666195</v>
      </c>
      <c r="R338">
        <f t="shared" si="971"/>
        <v>-2354711094.432282</v>
      </c>
      <c r="S338">
        <f t="shared" si="972"/>
        <v>-23547.11094432282</v>
      </c>
      <c r="T338">
        <f t="shared" si="973"/>
        <v>-23.547110944322821</v>
      </c>
    </row>
    <row r="339" spans="1:20" x14ac:dyDescent="0.25">
      <c r="A339" s="5">
        <v>44254</v>
      </c>
      <c r="B339">
        <v>1.34E-2</v>
      </c>
      <c r="C339">
        <v>1.469E-2</v>
      </c>
      <c r="D339">
        <v>1.329E-2</v>
      </c>
      <c r="E339">
        <v>1.3809999999999999E-2</v>
      </c>
      <c r="F339">
        <v>67858200.900000006</v>
      </c>
      <c r="G339">
        <v>0</v>
      </c>
      <c r="L339" t="s">
        <v>8</v>
      </c>
      <c r="M339" t="s">
        <v>7</v>
      </c>
      <c r="N339" t="s">
        <v>8</v>
      </c>
      <c r="P339">
        <f t="shared" si="969"/>
        <v>-0.25714285714285778</v>
      </c>
      <c r="Q339">
        <f t="shared" si="970"/>
        <v>-17449251.660000045</v>
      </c>
      <c r="R339">
        <f t="shared" si="971"/>
        <v>-2351688629.7656155</v>
      </c>
      <c r="S339">
        <f t="shared" si="972"/>
        <v>-23516.886297656154</v>
      </c>
      <c r="T339">
        <f t="shared" si="973"/>
        <v>-23.516886297656153</v>
      </c>
    </row>
    <row r="340" spans="1:20" x14ac:dyDescent="0.25">
      <c r="A340" s="5">
        <v>44253</v>
      </c>
      <c r="B340">
        <v>1.49E-2</v>
      </c>
      <c r="C340">
        <v>1.5129999999999999E-2</v>
      </c>
      <c r="D340">
        <v>1.291E-2</v>
      </c>
      <c r="E340">
        <v>1.337E-2</v>
      </c>
      <c r="F340">
        <v>77102278.400000006</v>
      </c>
      <c r="G340">
        <v>0</v>
      </c>
      <c r="L340" t="s">
        <v>7</v>
      </c>
      <c r="M340" t="s">
        <v>7</v>
      </c>
      <c r="N340" t="s">
        <v>8</v>
      </c>
      <c r="P340">
        <f t="shared" si="969"/>
        <v>-0.58558558558558527</v>
      </c>
      <c r="Q340">
        <f t="shared" si="970"/>
        <v>-45149982.846846826</v>
      </c>
      <c r="R340">
        <f t="shared" si="971"/>
        <v>-2334239378.1056156</v>
      </c>
      <c r="S340">
        <f t="shared" si="972"/>
        <v>-23342.393781056155</v>
      </c>
      <c r="T340">
        <f t="shared" si="973"/>
        <v>-23.342393781056156</v>
      </c>
    </row>
    <row r="341" spans="1:20" x14ac:dyDescent="0.25">
      <c r="A341" s="5">
        <v>44252</v>
      </c>
      <c r="B341">
        <v>1.524E-2</v>
      </c>
      <c r="C341">
        <v>1.635E-2</v>
      </c>
      <c r="D341">
        <v>1.4840000000000001E-2</v>
      </c>
      <c r="E341">
        <v>1.499E-2</v>
      </c>
      <c r="F341">
        <v>83176761.5</v>
      </c>
      <c r="G341">
        <v>0</v>
      </c>
      <c r="L341" t="s">
        <v>7</v>
      </c>
      <c r="M341" t="s">
        <v>8</v>
      </c>
      <c r="N341" t="s">
        <v>8</v>
      </c>
      <c r="P341">
        <f t="shared" si="969"/>
        <v>-0.80132450331125937</v>
      </c>
      <c r="Q341">
        <f t="shared" si="970"/>
        <v>-66651577.096026585</v>
      </c>
      <c r="R341">
        <f t="shared" si="971"/>
        <v>-2289089395.2587686</v>
      </c>
      <c r="S341">
        <f t="shared" si="972"/>
        <v>-22890.893952587685</v>
      </c>
      <c r="T341">
        <f t="shared" si="973"/>
        <v>-22.890893952587685</v>
      </c>
    </row>
    <row r="342" spans="1:20" x14ac:dyDescent="0.25">
      <c r="A342" s="5">
        <v>44251</v>
      </c>
      <c r="B342">
        <v>1.423E-2</v>
      </c>
      <c r="C342">
        <v>1.6889999999999999E-2</v>
      </c>
      <c r="D342">
        <v>1.38E-2</v>
      </c>
      <c r="E342">
        <v>1.5259999999999999E-2</v>
      </c>
      <c r="F342">
        <v>153117155.90000001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-5.5016181229773482E-2</v>
      </c>
      <c r="Q342">
        <f t="shared" si="970"/>
        <v>-8423921.1983818803</v>
      </c>
      <c r="R342">
        <f t="shared" si="971"/>
        <v>-2222437818.1627421</v>
      </c>
      <c r="S342">
        <f t="shared" si="972"/>
        <v>-22224.37818162742</v>
      </c>
      <c r="T342">
        <f t="shared" si="973"/>
        <v>-22.224378181627422</v>
      </c>
    </row>
    <row r="343" spans="1:20" x14ac:dyDescent="0.25">
      <c r="A343" s="5">
        <v>44250</v>
      </c>
      <c r="B343">
        <v>1.8419999999999999E-2</v>
      </c>
      <c r="C343">
        <v>1.8419999999999999E-2</v>
      </c>
      <c r="D343">
        <v>1.2109999999999999E-2</v>
      </c>
      <c r="E343">
        <v>1.4250000000000001E-2</v>
      </c>
      <c r="F343">
        <v>210702479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-0.32171156893819292</v>
      </c>
      <c r="Q343">
        <f t="shared" si="970"/>
        <v>-67785425.098256648</v>
      </c>
      <c r="R343">
        <f t="shared" si="971"/>
        <v>-2214013896.9643602</v>
      </c>
      <c r="S343">
        <f t="shared" si="972"/>
        <v>-22140.138969643602</v>
      </c>
      <c r="T343">
        <f t="shared" si="973"/>
        <v>-22.140138969643601</v>
      </c>
    </row>
    <row r="344" spans="1:20" x14ac:dyDescent="0.25">
      <c r="A344" s="5">
        <v>44249</v>
      </c>
      <c r="B344">
        <v>1.7649999999999999E-2</v>
      </c>
      <c r="C344">
        <v>2.085E-2</v>
      </c>
      <c r="D344">
        <v>1.452E-2</v>
      </c>
      <c r="E344">
        <v>1.8419999999999999E-2</v>
      </c>
      <c r="F344">
        <v>514092239.69999999</v>
      </c>
      <c r="G344">
        <v>0</v>
      </c>
      <c r="L344" t="s">
        <v>8</v>
      </c>
      <c r="M344" t="s">
        <v>8</v>
      </c>
      <c r="N344" t="s">
        <v>7</v>
      </c>
      <c r="P344">
        <f t="shared" si="969"/>
        <v>0.23222748815165833</v>
      </c>
      <c r="Q344">
        <f t="shared" si="970"/>
        <v>119386349.50379124</v>
      </c>
      <c r="R344">
        <f t="shared" si="971"/>
        <v>-2146228471.8661036</v>
      </c>
      <c r="S344">
        <f t="shared" si="972"/>
        <v>-21462.284718661038</v>
      </c>
      <c r="T344">
        <f t="shared" si="973"/>
        <v>-21.462284718661039</v>
      </c>
    </row>
    <row r="345" spans="1:20" x14ac:dyDescent="0.25">
      <c r="A345" s="5">
        <v>44248</v>
      </c>
      <c r="B345">
        <v>1.7409999999999998E-2</v>
      </c>
      <c r="C345">
        <v>1.865E-2</v>
      </c>
      <c r="D345">
        <v>1.7170000000000001E-2</v>
      </c>
      <c r="E345">
        <v>1.7680000000000001E-2</v>
      </c>
      <c r="F345">
        <v>86662025.200000003</v>
      </c>
      <c r="G345">
        <v>0</v>
      </c>
      <c r="L345" t="s">
        <v>8</v>
      </c>
      <c r="M345" t="s">
        <v>8</v>
      </c>
      <c r="N345" t="s">
        <v>8</v>
      </c>
      <c r="P345">
        <f t="shared" si="969"/>
        <v>-0.31081081081081013</v>
      </c>
      <c r="Q345">
        <f t="shared" si="970"/>
        <v>-26935494.318918861</v>
      </c>
      <c r="R345">
        <f t="shared" si="971"/>
        <v>-2265614821.369895</v>
      </c>
      <c r="S345">
        <f t="shared" si="972"/>
        <v>-22656.148213698951</v>
      </c>
      <c r="T345">
        <f t="shared" si="973"/>
        <v>-22.656148213698952</v>
      </c>
    </row>
    <row r="346" spans="1:20" x14ac:dyDescent="0.25">
      <c r="A346" s="5">
        <v>44247</v>
      </c>
      <c r="B346">
        <v>1.8890000000000001E-2</v>
      </c>
      <c r="C346">
        <v>1.9699999999999999E-2</v>
      </c>
      <c r="D346">
        <v>1.6889999999999999E-2</v>
      </c>
      <c r="E346">
        <v>1.7489999999999999E-2</v>
      </c>
      <c r="F346">
        <v>139872666.80000001</v>
      </c>
      <c r="G346">
        <v>0</v>
      </c>
      <c r="L346" t="s">
        <v>7</v>
      </c>
      <c r="M346" t="s">
        <v>8</v>
      </c>
      <c r="N346" t="s">
        <v>8</v>
      </c>
      <c r="P346">
        <f t="shared" si="969"/>
        <v>-0.57295373665480442</v>
      </c>
      <c r="Q346">
        <f t="shared" si="970"/>
        <v>-80140567.098932415</v>
      </c>
      <c r="R346">
        <f t="shared" si="971"/>
        <v>-2238679327.0509763</v>
      </c>
      <c r="S346">
        <f t="shared" si="972"/>
        <v>-22386.793270509763</v>
      </c>
      <c r="T346">
        <f t="shared" si="973"/>
        <v>-22.386793270509763</v>
      </c>
    </row>
    <row r="347" spans="1:20" x14ac:dyDescent="0.25">
      <c r="A347" s="5">
        <v>44246</v>
      </c>
      <c r="B347">
        <v>1.882E-2</v>
      </c>
      <c r="C347">
        <v>1.9009999999999999E-2</v>
      </c>
      <c r="D347">
        <v>1.7999999999999999E-2</v>
      </c>
      <c r="E347">
        <v>1.8890000000000001E-2</v>
      </c>
      <c r="F347">
        <v>139137865.59999999</v>
      </c>
      <c r="G347">
        <v>0</v>
      </c>
      <c r="L347" t="s">
        <v>7</v>
      </c>
      <c r="M347" t="s">
        <v>8</v>
      </c>
      <c r="N347" t="s">
        <v>8</v>
      </c>
      <c r="P347">
        <f t="shared" si="969"/>
        <v>0.76237623762376527</v>
      </c>
      <c r="Q347">
        <f t="shared" si="970"/>
        <v>106075402.48712911</v>
      </c>
      <c r="R347">
        <f t="shared" si="971"/>
        <v>-2158538759.952044</v>
      </c>
      <c r="S347">
        <f t="shared" si="972"/>
        <v>-21585.38759952044</v>
      </c>
      <c r="T347">
        <f t="shared" si="973"/>
        <v>-21.585387599520441</v>
      </c>
    </row>
    <row r="348" spans="1:20" x14ac:dyDescent="0.25">
      <c r="A348" s="5">
        <v>44245</v>
      </c>
      <c r="B348">
        <v>1.839E-2</v>
      </c>
      <c r="C348">
        <v>2.0150000000000001E-2</v>
      </c>
      <c r="D348">
        <v>1.797E-2</v>
      </c>
      <c r="E348">
        <v>1.882E-2</v>
      </c>
      <c r="F348">
        <v>211888255.30000001</v>
      </c>
      <c r="G348">
        <v>0</v>
      </c>
      <c r="L348" t="s">
        <v>8</v>
      </c>
      <c r="M348" t="s">
        <v>8</v>
      </c>
      <c r="N348" t="s">
        <v>8</v>
      </c>
      <c r="P348">
        <f t="shared" si="969"/>
        <v>-0.22018348623853254</v>
      </c>
      <c r="Q348">
        <f t="shared" si="970"/>
        <v>-46654294.744954221</v>
      </c>
      <c r="R348">
        <f t="shared" si="971"/>
        <v>-2264614162.4391732</v>
      </c>
      <c r="S348">
        <f t="shared" si="972"/>
        <v>-22646.141624391734</v>
      </c>
      <c r="T348">
        <f t="shared" si="973"/>
        <v>-22.646141624391735</v>
      </c>
    </row>
    <row r="349" spans="1:20" x14ac:dyDescent="0.25">
      <c r="A349" s="5">
        <v>44244</v>
      </c>
      <c r="B349">
        <v>1.617E-2</v>
      </c>
      <c r="C349">
        <v>1.8769999999999998E-2</v>
      </c>
      <c r="D349">
        <v>1.5959999999999998E-2</v>
      </c>
      <c r="E349">
        <v>1.8370000000000001E-2</v>
      </c>
      <c r="F349">
        <v>229417329.19999999</v>
      </c>
      <c r="G349">
        <v>0</v>
      </c>
      <c r="L349" t="s">
        <v>8</v>
      </c>
      <c r="M349" t="s">
        <v>8</v>
      </c>
      <c r="N349" t="s">
        <v>8</v>
      </c>
      <c r="P349">
        <f t="shared" si="969"/>
        <v>0.71530249110320454</v>
      </c>
      <c r="Q349">
        <f t="shared" si="970"/>
        <v>164102787.07900393</v>
      </c>
      <c r="R349">
        <f t="shared" si="971"/>
        <v>-2217959867.6942191</v>
      </c>
      <c r="S349">
        <f t="shared" si="972"/>
        <v>-22179.598676942191</v>
      </c>
      <c r="T349">
        <f t="shared" si="973"/>
        <v>-22.179598676942192</v>
      </c>
    </row>
    <row r="350" spans="1:20" x14ac:dyDescent="0.25">
      <c r="A350" s="5">
        <v>44243</v>
      </c>
      <c r="B350">
        <v>1.669E-2</v>
      </c>
      <c r="C350">
        <v>1.8200000000000001E-2</v>
      </c>
      <c r="D350">
        <v>1.5429999999999999E-2</v>
      </c>
      <c r="E350">
        <v>1.6209999999999999E-2</v>
      </c>
      <c r="F350">
        <v>212383362.5</v>
      </c>
      <c r="G350">
        <v>0</v>
      </c>
      <c r="L350" t="s">
        <v>8</v>
      </c>
      <c r="M350" t="s">
        <v>8</v>
      </c>
      <c r="N350" t="s">
        <v>8</v>
      </c>
      <c r="P350">
        <f t="shared" si="969"/>
        <v>-0.43682310469314151</v>
      </c>
      <c r="Q350">
        <f t="shared" si="970"/>
        <v>-92773959.792418927</v>
      </c>
      <c r="R350">
        <f t="shared" si="971"/>
        <v>-2382062654.7732229</v>
      </c>
      <c r="S350">
        <f t="shared" si="972"/>
        <v>-23820.62654773223</v>
      </c>
      <c r="T350">
        <f t="shared" si="973"/>
        <v>-23.820626547732232</v>
      </c>
    </row>
    <row r="351" spans="1:20" x14ac:dyDescent="0.25">
      <c r="A351" s="5">
        <v>44242</v>
      </c>
      <c r="B351">
        <v>1.7080000000000001E-2</v>
      </c>
      <c r="C351">
        <v>1.8499999999999999E-2</v>
      </c>
      <c r="D351">
        <v>1.4E-2</v>
      </c>
      <c r="E351">
        <v>1.6670000000000001E-2</v>
      </c>
      <c r="F351">
        <v>207581863.59999999</v>
      </c>
      <c r="G351">
        <v>0</v>
      </c>
      <c r="L351" t="s">
        <v>7</v>
      </c>
      <c r="M351" t="s">
        <v>7</v>
      </c>
      <c r="N351" t="s">
        <v>8</v>
      </c>
      <c r="P351">
        <f t="shared" si="969"/>
        <v>0.1866666666666672</v>
      </c>
      <c r="Q351">
        <f t="shared" si="970"/>
        <v>38748614.538666777</v>
      </c>
      <c r="R351">
        <f t="shared" si="971"/>
        <v>-2289288694.980804</v>
      </c>
      <c r="S351">
        <f t="shared" si="972"/>
        <v>-22892.886949808038</v>
      </c>
      <c r="T351">
        <f t="shared" si="973"/>
        <v>-22.892886949808037</v>
      </c>
    </row>
    <row r="352" spans="1:20" x14ac:dyDescent="0.25">
      <c r="A352" s="5">
        <v>44241</v>
      </c>
      <c r="B352">
        <v>1.6729999999999998E-2</v>
      </c>
      <c r="C352">
        <v>1.8200000000000001E-2</v>
      </c>
      <c r="D352">
        <v>1.5820000000000001E-2</v>
      </c>
      <c r="E352">
        <v>1.7080000000000001E-2</v>
      </c>
      <c r="F352">
        <v>216481649.59999999</v>
      </c>
      <c r="G352">
        <v>0</v>
      </c>
      <c r="L352" t="s">
        <v>7</v>
      </c>
      <c r="M352" t="s">
        <v>7</v>
      </c>
      <c r="N352" t="s">
        <v>8</v>
      </c>
      <c r="P352">
        <f t="shared" si="969"/>
        <v>5.8823529411765219E-2</v>
      </c>
      <c r="Q352">
        <f t="shared" si="970"/>
        <v>12734214.682353051</v>
      </c>
      <c r="R352">
        <f t="shared" si="971"/>
        <v>-2328037309.5194707</v>
      </c>
      <c r="S352">
        <f t="shared" si="972"/>
        <v>-23280.373095194707</v>
      </c>
      <c r="T352">
        <f t="shared" si="973"/>
        <v>-23.280373095194708</v>
      </c>
    </row>
    <row r="353" spans="1:20" x14ac:dyDescent="0.25">
      <c r="A353" s="5">
        <v>44240</v>
      </c>
      <c r="B353">
        <v>1.661E-2</v>
      </c>
      <c r="C353">
        <v>1.9689999999999999E-2</v>
      </c>
      <c r="D353">
        <v>1.545E-2</v>
      </c>
      <c r="E353">
        <v>1.6729999999999998E-2</v>
      </c>
      <c r="F353">
        <v>468472285.19999999</v>
      </c>
      <c r="G353">
        <v>0</v>
      </c>
      <c r="L353" t="s">
        <v>8</v>
      </c>
      <c r="M353" t="s">
        <v>8</v>
      </c>
      <c r="N353" t="s">
        <v>8</v>
      </c>
      <c r="P353">
        <f t="shared" si="969"/>
        <v>-0.39622641509434037</v>
      </c>
      <c r="Q353">
        <f t="shared" si="970"/>
        <v>-185621094.13584939</v>
      </c>
      <c r="R353">
        <f t="shared" si="971"/>
        <v>-2340771524.2018237</v>
      </c>
      <c r="S353">
        <f t="shared" si="972"/>
        <v>-23407.715242018236</v>
      </c>
      <c r="T353">
        <f t="shared" si="973"/>
        <v>-23.407715242018234</v>
      </c>
    </row>
    <row r="354" spans="1:20" x14ac:dyDescent="0.25">
      <c r="A354" s="5">
        <v>44239</v>
      </c>
      <c r="B354">
        <v>1.5820000000000001E-2</v>
      </c>
      <c r="C354">
        <v>1.6899999999999998E-2</v>
      </c>
      <c r="D354">
        <v>1.4710000000000001E-2</v>
      </c>
      <c r="E354">
        <v>1.6660000000000001E-2</v>
      </c>
      <c r="F354">
        <v>196332914</v>
      </c>
      <c r="G354">
        <v>0</v>
      </c>
      <c r="L354" t="s">
        <v>7</v>
      </c>
      <c r="M354" t="s">
        <v>8</v>
      </c>
      <c r="N354" t="s">
        <v>8</v>
      </c>
      <c r="P354">
        <f t="shared" si="969"/>
        <v>0.78082191780822152</v>
      </c>
      <c r="Q354">
        <f t="shared" si="970"/>
        <v>153301042.43835664</v>
      </c>
      <c r="R354">
        <f t="shared" si="971"/>
        <v>-2155150430.0659742</v>
      </c>
      <c r="S354">
        <f t="shared" si="972"/>
        <v>-21551.504300659741</v>
      </c>
      <c r="T354">
        <f t="shared" si="973"/>
        <v>-21.55150430065974</v>
      </c>
    </row>
    <row r="355" spans="1:20" x14ac:dyDescent="0.25">
      <c r="A355" s="5">
        <v>44238</v>
      </c>
      <c r="B355">
        <v>1.336E-2</v>
      </c>
      <c r="C355">
        <v>1.6650000000000002E-2</v>
      </c>
      <c r="D355">
        <v>1.2880000000000001E-2</v>
      </c>
      <c r="E355">
        <v>1.5720000000000001E-2</v>
      </c>
      <c r="F355">
        <v>290919469.60000002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0.50663129973474796</v>
      </c>
      <c r="Q355">
        <f t="shared" si="970"/>
        <v>147388909.0015915</v>
      </c>
      <c r="R355">
        <f t="shared" si="971"/>
        <v>-2308451472.5043311</v>
      </c>
      <c r="S355">
        <f t="shared" si="972"/>
        <v>-23084.514725043311</v>
      </c>
      <c r="T355">
        <f t="shared" si="973"/>
        <v>-23.084514725043309</v>
      </c>
    </row>
    <row r="356" spans="1:20" x14ac:dyDescent="0.25">
      <c r="A356" s="5">
        <v>44237</v>
      </c>
      <c r="B356">
        <v>1.321E-2</v>
      </c>
      <c r="C356">
        <v>1.4E-2</v>
      </c>
      <c r="D356">
        <v>1.1509999999999999E-2</v>
      </c>
      <c r="E356">
        <v>1.337E-2</v>
      </c>
      <c r="F356">
        <v>274484183</v>
      </c>
      <c r="G356">
        <v>0</v>
      </c>
      <c r="L356" t="s">
        <v>7</v>
      </c>
      <c r="M356" t="s">
        <v>7</v>
      </c>
      <c r="N356" t="s">
        <v>8</v>
      </c>
      <c r="P356">
        <f t="shared" si="969"/>
        <v>0.49397590361445776</v>
      </c>
      <c r="Q356">
        <f t="shared" si="970"/>
        <v>135588572.32530117</v>
      </c>
      <c r="R356">
        <f t="shared" si="971"/>
        <v>-2455840381.5059228</v>
      </c>
      <c r="S356">
        <f t="shared" si="972"/>
        <v>-24558.403815059228</v>
      </c>
      <c r="T356">
        <f t="shared" si="973"/>
        <v>-24.558403815059229</v>
      </c>
    </row>
    <row r="357" spans="1:20" x14ac:dyDescent="0.25">
      <c r="A357" s="5">
        <v>44236</v>
      </c>
      <c r="B357">
        <v>1.166E-2</v>
      </c>
      <c r="C357">
        <v>1.4149999999999999E-2</v>
      </c>
      <c r="D357">
        <v>1.132E-2</v>
      </c>
      <c r="E357">
        <v>1.3259999999999999E-2</v>
      </c>
      <c r="F357">
        <v>298260365.5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0.37102473498233185</v>
      </c>
      <c r="Q357">
        <f t="shared" si="970"/>
        <v>110661973.06537093</v>
      </c>
      <c r="R357">
        <f t="shared" si="971"/>
        <v>-2591428953.831224</v>
      </c>
      <c r="S357">
        <f t="shared" si="972"/>
        <v>-25914.289538312241</v>
      </c>
      <c r="T357">
        <f t="shared" si="973"/>
        <v>-25.914289538312243</v>
      </c>
    </row>
    <row r="358" spans="1:20" x14ac:dyDescent="0.25">
      <c r="A358" s="5">
        <v>44235</v>
      </c>
      <c r="B358">
        <v>1.0789999999999999E-2</v>
      </c>
      <c r="C358">
        <v>1.2E-2</v>
      </c>
      <c r="D358">
        <v>1.065E-2</v>
      </c>
      <c r="E358">
        <v>1.163E-2</v>
      </c>
      <c r="F358">
        <v>146296992.59999999</v>
      </c>
      <c r="G358">
        <v>0</v>
      </c>
      <c r="L358" t="s">
        <v>8</v>
      </c>
      <c r="M358" t="s">
        <v>8</v>
      </c>
      <c r="N358" t="s">
        <v>8</v>
      </c>
      <c r="P358">
        <f t="shared" si="969"/>
        <v>0.45185185185185128</v>
      </c>
      <c r="Q358">
        <f t="shared" si="970"/>
        <v>66104567.026666582</v>
      </c>
      <c r="R358">
        <f t="shared" si="971"/>
        <v>-2702090926.896595</v>
      </c>
      <c r="S358">
        <f t="shared" si="972"/>
        <v>-27020.909268965948</v>
      </c>
      <c r="T358">
        <f t="shared" si="973"/>
        <v>-27.020909268965948</v>
      </c>
    </row>
    <row r="359" spans="1:20" x14ac:dyDescent="0.25">
      <c r="A359" s="5">
        <v>44234</v>
      </c>
      <c r="B359">
        <v>1.0959999999999999E-2</v>
      </c>
      <c r="C359">
        <v>1.132E-2</v>
      </c>
      <c r="D359">
        <v>9.7999999999999997E-3</v>
      </c>
      <c r="E359">
        <v>1.082E-2</v>
      </c>
      <c r="F359">
        <v>112743992.7</v>
      </c>
      <c r="G359">
        <v>0</v>
      </c>
      <c r="L359" t="s">
        <v>7</v>
      </c>
      <c r="M359" t="s">
        <v>7</v>
      </c>
      <c r="N359" t="s">
        <v>8</v>
      </c>
      <c r="P359">
        <f t="shared" si="969"/>
        <v>0.34210526315789436</v>
      </c>
      <c r="Q359">
        <f t="shared" si="970"/>
        <v>38570313.29210522</v>
      </c>
      <c r="R359">
        <f t="shared" si="971"/>
        <v>-2768195493.9232616</v>
      </c>
      <c r="S359">
        <f t="shared" si="972"/>
        <v>-27681.954939232615</v>
      </c>
      <c r="T359">
        <f t="shared" si="973"/>
        <v>-27.681954939232615</v>
      </c>
    </row>
    <row r="360" spans="1:20" x14ac:dyDescent="0.25">
      <c r="A360" s="5">
        <v>44233</v>
      </c>
      <c r="B360">
        <v>1.166E-2</v>
      </c>
      <c r="C360">
        <v>1.1860000000000001E-2</v>
      </c>
      <c r="D360">
        <v>1.057E-2</v>
      </c>
      <c r="E360">
        <v>1.099E-2</v>
      </c>
      <c r="F360">
        <v>143234508.40000001</v>
      </c>
      <c r="G360">
        <v>0</v>
      </c>
      <c r="L360" t="s">
        <v>7</v>
      </c>
      <c r="M360" t="s">
        <v>7</v>
      </c>
      <c r="N360" t="s">
        <v>8</v>
      </c>
      <c r="P360">
        <f t="shared" si="969"/>
        <v>-0.34883720930232581</v>
      </c>
      <c r="Q360">
        <f t="shared" si="970"/>
        <v>-49965526.186046548</v>
      </c>
      <c r="R360">
        <f t="shared" si="971"/>
        <v>-2806765807.2153668</v>
      </c>
      <c r="S360">
        <f t="shared" si="972"/>
        <v>-28067.65807215367</v>
      </c>
      <c r="T360">
        <f t="shared" si="973"/>
        <v>-28.067658072153669</v>
      </c>
    </row>
    <row r="361" spans="1:20" x14ac:dyDescent="0.25">
      <c r="A361" s="5">
        <v>44232</v>
      </c>
      <c r="B361">
        <v>1.1039999999999999E-2</v>
      </c>
      <c r="C361">
        <v>1.2579999999999999E-2</v>
      </c>
      <c r="D361">
        <v>1.103E-2</v>
      </c>
      <c r="E361">
        <v>1.166E-2</v>
      </c>
      <c r="F361">
        <v>241353075.80000001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-0.18709677419354756</v>
      </c>
      <c r="Q361">
        <f t="shared" si="970"/>
        <v>-45156381.923870772</v>
      </c>
      <c r="R361">
        <f t="shared" si="971"/>
        <v>-2756800281.0293202</v>
      </c>
      <c r="S361">
        <f t="shared" si="972"/>
        <v>-27568.002810293201</v>
      </c>
      <c r="T361">
        <f t="shared" si="973"/>
        <v>-27.568002810293201</v>
      </c>
    </row>
    <row r="362" spans="1:20" x14ac:dyDescent="0.25">
      <c r="A362" s="5">
        <v>44231</v>
      </c>
      <c r="B362">
        <v>1.039E-2</v>
      </c>
      <c r="C362">
        <v>1.18E-2</v>
      </c>
      <c r="D362">
        <v>9.7999999999999997E-3</v>
      </c>
      <c r="E362">
        <v>1.102E-2</v>
      </c>
      <c r="F362">
        <v>244490485.30000001</v>
      </c>
      <c r="G362">
        <v>0</v>
      </c>
      <c r="L362" t="s">
        <v>7</v>
      </c>
      <c r="M362" t="s">
        <v>7</v>
      </c>
      <c r="N362" t="s">
        <v>8</v>
      </c>
      <c r="P362">
        <f t="shared" si="969"/>
        <v>0.22000000000000058</v>
      </c>
      <c r="Q362">
        <f t="shared" si="970"/>
        <v>53787906.766000144</v>
      </c>
      <c r="R362">
        <f t="shared" si="971"/>
        <v>-2711643899.1054497</v>
      </c>
      <c r="S362">
        <f t="shared" si="972"/>
        <v>-27116.438991054496</v>
      </c>
      <c r="T362">
        <f t="shared" si="973"/>
        <v>-27.116438991054498</v>
      </c>
    </row>
    <row r="363" spans="1:20" x14ac:dyDescent="0.25">
      <c r="A363" s="5">
        <v>44230</v>
      </c>
      <c r="B363">
        <v>9.5700000000000004E-3</v>
      </c>
      <c r="C363">
        <v>1.2789999999999999E-2</v>
      </c>
      <c r="D363">
        <v>9.1000000000000004E-3</v>
      </c>
      <c r="E363">
        <v>1.0359999999999999E-2</v>
      </c>
      <c r="F363">
        <v>532062095</v>
      </c>
      <c r="G363">
        <v>0</v>
      </c>
      <c r="L363" t="s">
        <v>8</v>
      </c>
      <c r="M363" t="s">
        <v>8</v>
      </c>
      <c r="N363" t="s">
        <v>8</v>
      </c>
      <c r="P363">
        <f t="shared" si="969"/>
        <v>-0.31707317073170765</v>
      </c>
      <c r="Q363">
        <f t="shared" si="970"/>
        <v>-168702615.48780507</v>
      </c>
      <c r="R363">
        <f t="shared" si="971"/>
        <v>-2765431805.8714499</v>
      </c>
      <c r="S363">
        <f t="shared" si="972"/>
        <v>-27654.3180587145</v>
      </c>
      <c r="T363">
        <f t="shared" si="973"/>
        <v>-27.654318058714498</v>
      </c>
    </row>
    <row r="364" spans="1:20" x14ac:dyDescent="0.25">
      <c r="A364" s="5">
        <v>44229</v>
      </c>
      <c r="B364">
        <v>9.41E-3</v>
      </c>
      <c r="C364">
        <v>9.8499999999999994E-3</v>
      </c>
      <c r="D364">
        <v>9.0399999999999994E-3</v>
      </c>
      <c r="E364">
        <v>9.5600000000000008E-3</v>
      </c>
      <c r="F364">
        <v>91123144.299999997</v>
      </c>
      <c r="G364">
        <v>0</v>
      </c>
      <c r="L364" t="s">
        <v>8</v>
      </c>
      <c r="M364" t="s">
        <v>7</v>
      </c>
      <c r="N364" t="s">
        <v>8</v>
      </c>
      <c r="P364">
        <f t="shared" si="969"/>
        <v>0.28395061728395404</v>
      </c>
      <c r="Q364">
        <f t="shared" si="970"/>
        <v>25874473.072839819</v>
      </c>
      <c r="R364">
        <f t="shared" si="971"/>
        <v>-2596729190.3836451</v>
      </c>
      <c r="S364">
        <f t="shared" si="972"/>
        <v>-25967.291903836449</v>
      </c>
      <c r="T364">
        <f t="shared" si="973"/>
        <v>-25.96729190383645</v>
      </c>
    </row>
    <row r="365" spans="1:20" x14ac:dyDescent="0.25">
      <c r="A365" s="5">
        <v>44228</v>
      </c>
      <c r="B365">
        <v>9.5499999999999995E-3</v>
      </c>
      <c r="C365">
        <v>9.7099999999999999E-3</v>
      </c>
      <c r="D365">
        <v>9.0299999999999998E-3</v>
      </c>
      <c r="E365">
        <v>9.3699999999999999E-3</v>
      </c>
      <c r="F365">
        <v>84730844.700000003</v>
      </c>
      <c r="G365">
        <v>0</v>
      </c>
      <c r="L365" t="s">
        <v>8</v>
      </c>
      <c r="M365" t="s">
        <v>7</v>
      </c>
      <c r="N365" t="s">
        <v>8</v>
      </c>
      <c r="P365">
        <f t="shared" si="969"/>
        <v>0</v>
      </c>
      <c r="Q365">
        <f t="shared" si="970"/>
        <v>0</v>
      </c>
      <c r="R365">
        <f t="shared" si="971"/>
        <v>-2622603663.4564848</v>
      </c>
      <c r="S365">
        <f t="shared" si="972"/>
        <v>-26226.036634564847</v>
      </c>
      <c r="T365">
        <f t="shared" si="973"/>
        <v>-26.226036634564846</v>
      </c>
    </row>
    <row r="366" spans="1:20" x14ac:dyDescent="0.25">
      <c r="A366" s="5">
        <v>44227</v>
      </c>
      <c r="B366">
        <v>9.2499999999999995E-3</v>
      </c>
      <c r="C366">
        <v>1.0699999999999999E-2</v>
      </c>
      <c r="D366">
        <v>8.3999999999999995E-3</v>
      </c>
      <c r="E366">
        <v>9.5499999999999995E-3</v>
      </c>
      <c r="F366">
        <v>338120842.30000001</v>
      </c>
      <c r="G366">
        <v>0</v>
      </c>
      <c r="L366" t="s">
        <v>7</v>
      </c>
      <c r="M366" t="s">
        <v>7</v>
      </c>
      <c r="N366" t="s">
        <v>8</v>
      </c>
      <c r="P366">
        <f t="shared" si="969"/>
        <v>0</v>
      </c>
      <c r="Q366">
        <f t="shared" si="970"/>
        <v>0</v>
      </c>
      <c r="R366">
        <f t="shared" si="971"/>
        <v>-2622603663.4564848</v>
      </c>
      <c r="S366">
        <f t="shared" si="972"/>
        <v>-26226.036634564847</v>
      </c>
      <c r="T366">
        <f t="shared" si="973"/>
        <v>-26.226036634564846</v>
      </c>
    </row>
    <row r="367" spans="1:20" x14ac:dyDescent="0.25">
      <c r="A367" s="5">
        <v>44226</v>
      </c>
      <c r="B367">
        <v>9.2099999999999994E-3</v>
      </c>
      <c r="C367">
        <v>1.0540000000000001E-2</v>
      </c>
      <c r="D367">
        <v>8.7500000000000008E-3</v>
      </c>
      <c r="E367">
        <v>9.2499999999999995E-3</v>
      </c>
      <c r="F367">
        <v>253233837.40000001</v>
      </c>
      <c r="G367">
        <v>0</v>
      </c>
      <c r="L367" t="s">
        <v>8</v>
      </c>
      <c r="M367" t="s">
        <v>8</v>
      </c>
      <c r="N367" t="s">
        <v>8</v>
      </c>
      <c r="P367">
        <f t="shared" si="969"/>
        <v>-0.44134078212290645</v>
      </c>
      <c r="Q367">
        <f t="shared" si="970"/>
        <v>-111762419.85810092</v>
      </c>
      <c r="R367">
        <f t="shared" si="971"/>
        <v>-2622603663.4564848</v>
      </c>
      <c r="S367">
        <f t="shared" si="972"/>
        <v>-26226.036634564847</v>
      </c>
      <c r="T367">
        <f t="shared" si="973"/>
        <v>-26.226036634564846</v>
      </c>
    </row>
    <row r="368" spans="1:20" x14ac:dyDescent="0.25">
      <c r="A368" s="5">
        <v>44225</v>
      </c>
      <c r="B368">
        <v>7.9600000000000001E-3</v>
      </c>
      <c r="C368">
        <v>9.9799999999999993E-3</v>
      </c>
      <c r="D368">
        <v>7.3699999999999998E-3</v>
      </c>
      <c r="E368">
        <v>9.1900000000000003E-3</v>
      </c>
      <c r="F368">
        <v>569622787.89999998</v>
      </c>
      <c r="G368">
        <v>0</v>
      </c>
      <c r="L368" t="s">
        <v>8</v>
      </c>
      <c r="M368" t="s">
        <v>8</v>
      </c>
      <c r="N368" t="s">
        <v>7</v>
      </c>
      <c r="P368">
        <f t="shared" si="969"/>
        <v>0.39463601532567111</v>
      </c>
      <c r="Q368">
        <f t="shared" si="970"/>
        <v>224793667.2555559</v>
      </c>
      <c r="R368">
        <f t="shared" si="971"/>
        <v>-2510841243.5983839</v>
      </c>
      <c r="S368">
        <f t="shared" si="972"/>
        <v>-25108.412435983839</v>
      </c>
      <c r="T368">
        <f t="shared" si="973"/>
        <v>-25.108412435983841</v>
      </c>
    </row>
    <row r="369" spans="1:20" x14ac:dyDescent="0.25">
      <c r="A369" s="5">
        <v>44224</v>
      </c>
      <c r="B369">
        <v>7.5399999999999998E-3</v>
      </c>
      <c r="C369">
        <v>8.4499999999999992E-3</v>
      </c>
      <c r="D369">
        <v>7.43E-3</v>
      </c>
      <c r="E369">
        <v>7.9500000000000005E-3</v>
      </c>
      <c r="F369">
        <v>88904782.5</v>
      </c>
      <c r="G369">
        <v>0</v>
      </c>
      <c r="L369" t="s">
        <v>8</v>
      </c>
      <c r="M369" t="s">
        <v>8</v>
      </c>
      <c r="N369" t="s">
        <v>7</v>
      </c>
      <c r="P369">
        <f t="shared" si="969"/>
        <v>1.9607843137256668E-2</v>
      </c>
      <c r="Q369">
        <f t="shared" si="970"/>
        <v>1743231.0294119217</v>
      </c>
      <c r="R369">
        <f t="shared" si="971"/>
        <v>-2735634910.85394</v>
      </c>
      <c r="S369">
        <f t="shared" si="972"/>
        <v>-27356.349108539402</v>
      </c>
      <c r="T369">
        <f t="shared" si="973"/>
        <v>-27.356349108539401</v>
      </c>
    </row>
    <row r="370" spans="1:20" x14ac:dyDescent="0.25">
      <c r="A370" s="5">
        <v>44223</v>
      </c>
      <c r="B370">
        <v>7.7299999999999999E-3</v>
      </c>
      <c r="C370">
        <v>8.0400000000000003E-3</v>
      </c>
      <c r="D370">
        <v>7.1000000000000004E-3</v>
      </c>
      <c r="E370">
        <v>7.5799999999999999E-3</v>
      </c>
      <c r="F370">
        <v>82354306</v>
      </c>
      <c r="G370">
        <v>0</v>
      </c>
      <c r="L370" t="s">
        <v>7</v>
      </c>
      <c r="M370" t="s">
        <v>7</v>
      </c>
      <c r="N370" t="s">
        <v>7</v>
      </c>
      <c r="P370">
        <f t="shared" si="969"/>
        <v>2.1276595744679987E-2</v>
      </c>
      <c r="Q370">
        <f t="shared" si="970"/>
        <v>1752219.2765956735</v>
      </c>
      <c r="R370">
        <f t="shared" si="971"/>
        <v>-2737378141.8833518</v>
      </c>
      <c r="S370">
        <f t="shared" si="972"/>
        <v>-27373.781418833518</v>
      </c>
      <c r="T370">
        <f t="shared" si="973"/>
        <v>-27.373781418833516</v>
      </c>
    </row>
    <row r="371" spans="1:20" x14ac:dyDescent="0.25">
      <c r="A371" s="5">
        <v>44222</v>
      </c>
      <c r="B371">
        <v>7.9799999999999992E-3</v>
      </c>
      <c r="C371">
        <v>8.1300000000000001E-3</v>
      </c>
      <c r="D371">
        <v>7.4000000000000003E-3</v>
      </c>
      <c r="E371">
        <v>7.7499999999999999E-3</v>
      </c>
      <c r="F371">
        <v>67167954</v>
      </c>
      <c r="G371">
        <v>0</v>
      </c>
      <c r="L371" t="s">
        <v>7</v>
      </c>
      <c r="M371" t="s">
        <v>7</v>
      </c>
      <c r="N371" t="s">
        <v>7</v>
      </c>
      <c r="P371">
        <f t="shared" si="969"/>
        <v>-4.1095890410959623E-2</v>
      </c>
      <c r="Q371">
        <f t="shared" si="970"/>
        <v>-2760326.8767123772</v>
      </c>
      <c r="R371">
        <f t="shared" si="971"/>
        <v>-2739130361.1599474</v>
      </c>
      <c r="S371">
        <f t="shared" si="972"/>
        <v>-27391.303611599473</v>
      </c>
      <c r="T371">
        <f t="shared" si="973"/>
        <v>-27.391303611599472</v>
      </c>
    </row>
    <row r="372" spans="1:20" x14ac:dyDescent="0.25">
      <c r="A372" s="5">
        <v>44221</v>
      </c>
      <c r="B372">
        <v>8.2299999999999995E-3</v>
      </c>
      <c r="C372">
        <v>8.6400000000000001E-3</v>
      </c>
      <c r="D372">
        <v>7.9100000000000004E-3</v>
      </c>
      <c r="E372">
        <v>8.0099999999999998E-3</v>
      </c>
      <c r="F372">
        <v>44763684.600000001</v>
      </c>
      <c r="G372">
        <v>0</v>
      </c>
      <c r="L372" t="s">
        <v>7</v>
      </c>
      <c r="M372" t="s">
        <v>8</v>
      </c>
      <c r="N372" t="s">
        <v>7</v>
      </c>
      <c r="P372">
        <f t="shared" si="969"/>
        <v>-0.72602739726027554</v>
      </c>
      <c r="Q372">
        <f t="shared" si="970"/>
        <v>-32499661.421917878</v>
      </c>
      <c r="R372">
        <f t="shared" si="971"/>
        <v>-2736370034.2832351</v>
      </c>
      <c r="S372">
        <f t="shared" si="972"/>
        <v>-27363.700342832351</v>
      </c>
      <c r="T372">
        <f t="shared" si="973"/>
        <v>-27.363700342832352</v>
      </c>
    </row>
    <row r="373" spans="1:20" x14ac:dyDescent="0.25">
      <c r="A373" s="5">
        <v>44220</v>
      </c>
      <c r="B373">
        <v>8.0499999999999999E-3</v>
      </c>
      <c r="C373">
        <v>8.8800000000000007E-3</v>
      </c>
      <c r="D373">
        <v>7.9299999999999995E-3</v>
      </c>
      <c r="E373">
        <v>8.2299999999999995E-3</v>
      </c>
      <c r="F373">
        <v>75674063.799999997</v>
      </c>
      <c r="G373">
        <v>0</v>
      </c>
      <c r="L373" t="s">
        <v>8</v>
      </c>
      <c r="M373" t="s">
        <v>8</v>
      </c>
      <c r="N373" t="s">
        <v>7</v>
      </c>
      <c r="P373">
        <f t="shared" si="969"/>
        <v>-0.36842105263157993</v>
      </c>
      <c r="Q373">
        <f t="shared" si="970"/>
        <v>-27879918.242105335</v>
      </c>
      <c r="R373">
        <f t="shared" si="971"/>
        <v>-2703870372.8613172</v>
      </c>
      <c r="S373">
        <f t="shared" si="972"/>
        <v>-27038.703728613171</v>
      </c>
      <c r="T373">
        <f t="shared" si="973"/>
        <v>-27.038703728613172</v>
      </c>
    </row>
    <row r="374" spans="1:20" x14ac:dyDescent="0.25">
      <c r="A374" s="5">
        <v>44219</v>
      </c>
      <c r="B374">
        <v>8.1099999999999992E-3</v>
      </c>
      <c r="C374">
        <v>8.2900000000000005E-3</v>
      </c>
      <c r="D374">
        <v>7.7600000000000004E-3</v>
      </c>
      <c r="E374">
        <v>8.0599999999999995E-3</v>
      </c>
      <c r="F374">
        <v>39377453.600000001</v>
      </c>
      <c r="G374">
        <v>0</v>
      </c>
      <c r="L374" t="s">
        <v>8</v>
      </c>
      <c r="M374" t="s">
        <v>7</v>
      </c>
      <c r="N374" t="s">
        <v>7</v>
      </c>
      <c r="P374">
        <f t="shared" si="969"/>
        <v>0.13207547169810943</v>
      </c>
      <c r="Q374">
        <f t="shared" si="970"/>
        <v>5200795.7584904172</v>
      </c>
      <c r="R374">
        <f t="shared" si="971"/>
        <v>-2675990454.6192117</v>
      </c>
      <c r="S374">
        <f t="shared" si="972"/>
        <v>-26759.904546192116</v>
      </c>
      <c r="T374">
        <f t="shared" si="973"/>
        <v>-26.759904546192114</v>
      </c>
    </row>
    <row r="375" spans="1:20" x14ac:dyDescent="0.25">
      <c r="A375" s="5">
        <v>44218</v>
      </c>
      <c r="B375">
        <v>8.0999999999999996E-3</v>
      </c>
      <c r="C375">
        <v>8.4899999999999993E-3</v>
      </c>
      <c r="D375">
        <v>7.2500000000000004E-3</v>
      </c>
      <c r="E375">
        <v>8.1099999999999992E-3</v>
      </c>
      <c r="F375">
        <v>66397477.5</v>
      </c>
      <c r="G375">
        <v>0</v>
      </c>
      <c r="L375" t="s">
        <v>7</v>
      </c>
      <c r="M375" t="s">
        <v>7</v>
      </c>
      <c r="N375" t="s">
        <v>7</v>
      </c>
      <c r="P375">
        <f t="shared" si="969"/>
        <v>0.38709677419354765</v>
      </c>
      <c r="Q375">
        <f t="shared" si="970"/>
        <v>25702249.354838662</v>
      </c>
      <c r="R375">
        <f t="shared" si="971"/>
        <v>-2681191250.3777022</v>
      </c>
      <c r="S375">
        <f t="shared" si="972"/>
        <v>-26811.912503777021</v>
      </c>
      <c r="T375">
        <f t="shared" si="973"/>
        <v>-26.81191250377702</v>
      </c>
    </row>
    <row r="376" spans="1:20" x14ac:dyDescent="0.25">
      <c r="A376" s="5">
        <v>44217</v>
      </c>
      <c r="B376">
        <v>9.0100000000000006E-3</v>
      </c>
      <c r="C376">
        <v>9.4599999999999997E-3</v>
      </c>
      <c r="D376">
        <v>7.7799999999999996E-3</v>
      </c>
      <c r="E376">
        <v>8.1099999999999992E-3</v>
      </c>
      <c r="F376">
        <v>83038842.099999994</v>
      </c>
      <c r="G376">
        <v>0</v>
      </c>
      <c r="L376" t="s">
        <v>7</v>
      </c>
      <c r="M376" t="s">
        <v>7</v>
      </c>
      <c r="N376" t="s">
        <v>7</v>
      </c>
      <c r="P376">
        <f t="shared" si="969"/>
        <v>-0.60714285714285765</v>
      </c>
      <c r="Q376">
        <f t="shared" si="970"/>
        <v>-50416439.84642861</v>
      </c>
      <c r="R376">
        <f t="shared" si="971"/>
        <v>-2706893499.7325411</v>
      </c>
      <c r="S376">
        <f t="shared" si="972"/>
        <v>-27068.93499732541</v>
      </c>
      <c r="T376">
        <f t="shared" si="973"/>
        <v>-27.06893499732541</v>
      </c>
    </row>
    <row r="377" spans="1:20" x14ac:dyDescent="0.25">
      <c r="A377" s="5">
        <v>44216</v>
      </c>
      <c r="B377">
        <v>9.0799999999999995E-3</v>
      </c>
      <c r="C377">
        <v>9.2399999999999999E-3</v>
      </c>
      <c r="D377">
        <v>8.2199999999999999E-3</v>
      </c>
      <c r="E377">
        <v>8.9999999999999993E-3</v>
      </c>
      <c r="F377">
        <v>95052864.5</v>
      </c>
      <c r="G377">
        <v>0</v>
      </c>
      <c r="L377" t="s">
        <v>7</v>
      </c>
      <c r="M377" t="s">
        <v>7</v>
      </c>
      <c r="N377" t="s">
        <v>7</v>
      </c>
      <c r="P377">
        <f t="shared" si="969"/>
        <v>0.52941176470588114</v>
      </c>
      <c r="Q377">
        <f t="shared" si="970"/>
        <v>50322104.735293999</v>
      </c>
      <c r="R377">
        <f t="shared" si="971"/>
        <v>-2656477059.8861127</v>
      </c>
      <c r="S377">
        <f t="shared" si="972"/>
        <v>-26564.770598861127</v>
      </c>
      <c r="T377">
        <f t="shared" si="973"/>
        <v>-26.564770598861127</v>
      </c>
    </row>
    <row r="378" spans="1:20" x14ac:dyDescent="0.25">
      <c r="A378" s="5">
        <v>44215</v>
      </c>
      <c r="B378">
        <v>9.0900000000000009E-3</v>
      </c>
      <c r="C378">
        <v>1.15E-2</v>
      </c>
      <c r="D378">
        <v>8.8299999999999993E-3</v>
      </c>
      <c r="E378">
        <v>9.0200000000000002E-3</v>
      </c>
      <c r="F378">
        <v>416663391.10000002</v>
      </c>
      <c r="G378">
        <v>0</v>
      </c>
      <c r="L378" t="s">
        <v>8</v>
      </c>
      <c r="M378" t="s">
        <v>8</v>
      </c>
      <c r="N378" t="s">
        <v>8</v>
      </c>
      <c r="P378">
        <f t="shared" si="969"/>
        <v>-0.85767790262172217</v>
      </c>
      <c r="Q378">
        <f t="shared" si="970"/>
        <v>-357362983.37790233</v>
      </c>
      <c r="R378">
        <f t="shared" si="971"/>
        <v>-2706799164.6214066</v>
      </c>
      <c r="S378">
        <f t="shared" si="972"/>
        <v>-27067.991646214065</v>
      </c>
      <c r="T378">
        <f t="shared" si="973"/>
        <v>-27.067991646214065</v>
      </c>
    </row>
    <row r="379" spans="1:20" x14ac:dyDescent="0.25">
      <c r="A379" s="5">
        <v>44214</v>
      </c>
      <c r="B379">
        <v>8.0300000000000007E-3</v>
      </c>
      <c r="C379">
        <v>9.5700000000000004E-3</v>
      </c>
      <c r="D379">
        <v>7.77E-3</v>
      </c>
      <c r="E379">
        <v>9.0799999999999995E-3</v>
      </c>
      <c r="F379">
        <v>174220017.30000001</v>
      </c>
      <c r="G379">
        <v>0</v>
      </c>
      <c r="L379" t="s">
        <v>8</v>
      </c>
      <c r="M379" t="s">
        <v>8</v>
      </c>
      <c r="N379" t="s">
        <v>8</v>
      </c>
      <c r="P379">
        <f t="shared" si="969"/>
        <v>0.45555555555555471</v>
      </c>
      <c r="Q379">
        <f t="shared" si="970"/>
        <v>79366896.769999862</v>
      </c>
      <c r="R379">
        <f t="shared" si="971"/>
        <v>-2349436181.243504</v>
      </c>
      <c r="S379">
        <f t="shared" si="972"/>
        <v>-23494.36181243504</v>
      </c>
      <c r="T379">
        <f t="shared" si="973"/>
        <v>-23.494361812435038</v>
      </c>
    </row>
    <row r="380" spans="1:20" x14ac:dyDescent="0.25">
      <c r="A380" s="5">
        <v>44213</v>
      </c>
      <c r="B380">
        <v>7.9900000000000006E-3</v>
      </c>
      <c r="C380">
        <v>8.1399999999999997E-3</v>
      </c>
      <c r="D380">
        <v>7.5799999999999999E-3</v>
      </c>
      <c r="E380">
        <v>8.0199999999999994E-3</v>
      </c>
      <c r="F380">
        <v>30182933.800000001</v>
      </c>
      <c r="G380">
        <v>0</v>
      </c>
      <c r="L380" t="s">
        <v>8</v>
      </c>
      <c r="M380" t="s">
        <v>7</v>
      </c>
      <c r="N380" t="s">
        <v>8</v>
      </c>
      <c r="P380">
        <f t="shared" si="969"/>
        <v>0.57142857142857006</v>
      </c>
      <c r="Q380">
        <f t="shared" si="970"/>
        <v>17247390.742857102</v>
      </c>
      <c r="R380">
        <f t="shared" si="971"/>
        <v>-2428803078.013504</v>
      </c>
      <c r="S380">
        <f t="shared" si="972"/>
        <v>-24288.030780135039</v>
      </c>
      <c r="T380">
        <f t="shared" si="973"/>
        <v>-24.288030780135038</v>
      </c>
    </row>
    <row r="381" spans="1:20" x14ac:dyDescent="0.25">
      <c r="A381" s="5">
        <v>44212</v>
      </c>
      <c r="B381">
        <v>7.77E-3</v>
      </c>
      <c r="C381">
        <v>8.3999999999999995E-3</v>
      </c>
      <c r="D381">
        <v>7.4599999999999996E-3</v>
      </c>
      <c r="E381">
        <v>7.9799999999999992E-3</v>
      </c>
      <c r="F381">
        <v>56606607.5</v>
      </c>
      <c r="G381">
        <v>0</v>
      </c>
      <c r="L381" t="s">
        <v>7</v>
      </c>
      <c r="M381" t="s">
        <v>7</v>
      </c>
      <c r="N381" t="s">
        <v>8</v>
      </c>
      <c r="P381">
        <f t="shared" si="969"/>
        <v>0.10638297872340363</v>
      </c>
      <c r="Q381">
        <f t="shared" si="970"/>
        <v>6021979.5212765606</v>
      </c>
      <c r="R381">
        <f t="shared" si="971"/>
        <v>-2446050468.756361</v>
      </c>
      <c r="S381">
        <f t="shared" si="972"/>
        <v>-24460.504687563611</v>
      </c>
      <c r="T381">
        <f t="shared" si="973"/>
        <v>-24.46050468756361</v>
      </c>
    </row>
    <row r="382" spans="1:20" x14ac:dyDescent="0.25">
      <c r="A382" s="5">
        <v>44211</v>
      </c>
      <c r="B382">
        <v>7.5599999999999999E-3</v>
      </c>
      <c r="C382">
        <v>8.8800000000000007E-3</v>
      </c>
      <c r="D382">
        <v>6.4999999999999997E-3</v>
      </c>
      <c r="E382">
        <v>7.7200000000000003E-3</v>
      </c>
      <c r="F382">
        <v>244178905.80000001</v>
      </c>
      <c r="G382">
        <v>0</v>
      </c>
      <c r="L382" t="s">
        <v>8</v>
      </c>
      <c r="M382" t="s">
        <v>8</v>
      </c>
      <c r="N382" t="s">
        <v>8</v>
      </c>
      <c r="P382">
        <f t="shared" si="969"/>
        <v>2.5210084033613502E-2</v>
      </c>
      <c r="Q382">
        <f t="shared" si="970"/>
        <v>6155770.7344537955</v>
      </c>
      <c r="R382">
        <f t="shared" si="971"/>
        <v>-2452072448.2776375</v>
      </c>
      <c r="S382">
        <f t="shared" si="972"/>
        <v>-24520.724482776375</v>
      </c>
      <c r="T382">
        <f t="shared" si="973"/>
        <v>-24.520724482776377</v>
      </c>
    </row>
    <row r="383" spans="1:20" x14ac:dyDescent="0.25">
      <c r="A383" s="5">
        <v>44210</v>
      </c>
      <c r="B383">
        <v>7.1300000000000001E-3</v>
      </c>
      <c r="C383">
        <v>8.0000000000000002E-3</v>
      </c>
      <c r="D383">
        <v>7.1199999999999996E-3</v>
      </c>
      <c r="E383">
        <v>7.5399999999999998E-3</v>
      </c>
      <c r="F383">
        <v>55340784.799999997</v>
      </c>
      <c r="G383">
        <v>0</v>
      </c>
      <c r="L383" t="s">
        <v>8</v>
      </c>
      <c r="M383" t="s">
        <v>8</v>
      </c>
      <c r="N383" t="s">
        <v>7</v>
      </c>
      <c r="P383">
        <f t="shared" si="969"/>
        <v>-4.5454545454545546E-2</v>
      </c>
      <c r="Q383">
        <f t="shared" si="970"/>
        <v>-2515490.2181818229</v>
      </c>
      <c r="R383">
        <f t="shared" si="971"/>
        <v>-2458228219.0120912</v>
      </c>
      <c r="S383">
        <f t="shared" si="972"/>
        <v>-24582.28219012091</v>
      </c>
      <c r="T383">
        <f t="shared" si="973"/>
        <v>-24.58228219012091</v>
      </c>
    </row>
    <row r="384" spans="1:20" x14ac:dyDescent="0.25">
      <c r="A384" s="5">
        <v>44209</v>
      </c>
      <c r="B384">
        <v>6.7999999999999996E-3</v>
      </c>
      <c r="C384">
        <v>7.2500000000000004E-3</v>
      </c>
      <c r="D384">
        <v>6.5199999999999998E-3</v>
      </c>
      <c r="E384">
        <v>7.1300000000000001E-3</v>
      </c>
      <c r="F384">
        <v>33650618.899999999</v>
      </c>
      <c r="G384">
        <v>0</v>
      </c>
      <c r="L384" t="s">
        <v>8</v>
      </c>
      <c r="M384" t="s">
        <v>8</v>
      </c>
      <c r="N384" t="s">
        <v>7</v>
      </c>
      <c r="P384">
        <f t="shared" si="969"/>
        <v>0.67123287671232823</v>
      </c>
      <c r="Q384">
        <f t="shared" si="970"/>
        <v>22587401.727397241</v>
      </c>
      <c r="R384">
        <f t="shared" si="971"/>
        <v>-2455712728.7939095</v>
      </c>
      <c r="S384">
        <f t="shared" si="972"/>
        <v>-24557.127287939096</v>
      </c>
      <c r="T384">
        <f t="shared" si="973"/>
        <v>-24.557127287939096</v>
      </c>
    </row>
    <row r="385" spans="1:20" x14ac:dyDescent="0.25">
      <c r="A385" s="5">
        <v>44208</v>
      </c>
      <c r="B385">
        <v>6.77E-3</v>
      </c>
      <c r="C385">
        <v>7.11E-3</v>
      </c>
      <c r="D385">
        <v>6.5300000000000002E-3</v>
      </c>
      <c r="E385">
        <v>6.8199999999999997E-3</v>
      </c>
      <c r="F385">
        <v>17579186.699999999</v>
      </c>
      <c r="G385">
        <v>0</v>
      </c>
      <c r="L385" t="s">
        <v>8</v>
      </c>
      <c r="M385" t="s">
        <v>7</v>
      </c>
      <c r="N385" t="s">
        <v>7</v>
      </c>
      <c r="P385">
        <f t="shared" si="969"/>
        <v>-1.4954512723937998E-15</v>
      </c>
      <c r="Q385">
        <f t="shared" si="970"/>
        <v>-2.6288817118163163E-8</v>
      </c>
      <c r="R385">
        <f t="shared" si="971"/>
        <v>-2478300130.521307</v>
      </c>
      <c r="S385">
        <f t="shared" si="972"/>
        <v>-24783.001305213071</v>
      </c>
      <c r="T385">
        <f t="shared" si="973"/>
        <v>-24.78300130521307</v>
      </c>
    </row>
    <row r="386" spans="1:20" x14ac:dyDescent="0.25">
      <c r="A386" s="5">
        <v>44207</v>
      </c>
      <c r="B386">
        <v>7.6299999999999996E-3</v>
      </c>
      <c r="C386">
        <v>7.6299999999999996E-3</v>
      </c>
      <c r="D386">
        <v>6.1199999999999996E-3</v>
      </c>
      <c r="E386">
        <v>6.8300000000000001E-3</v>
      </c>
      <c r="F386">
        <v>51758143.200000003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-5.9602649006621808E-2</v>
      </c>
      <c r="Q386">
        <f t="shared" si="970"/>
        <v>-3084922.4423840693</v>
      </c>
      <c r="R386">
        <f t="shared" si="971"/>
        <v>-2478300130.521307</v>
      </c>
      <c r="S386">
        <f t="shared" si="972"/>
        <v>-24783.001305213071</v>
      </c>
      <c r="T386">
        <f t="shared" si="973"/>
        <v>-24.78300130521307</v>
      </c>
    </row>
    <row r="387" spans="1:20" x14ac:dyDescent="0.25">
      <c r="A387" s="5">
        <v>44206</v>
      </c>
      <c r="B387">
        <v>8.1499999999999993E-3</v>
      </c>
      <c r="C387">
        <v>8.2799999999999992E-3</v>
      </c>
      <c r="D387">
        <v>7.1999999999999998E-3</v>
      </c>
      <c r="E387">
        <v>7.6299999999999996E-3</v>
      </c>
      <c r="F387">
        <v>60962853</v>
      </c>
      <c r="G387">
        <v>0</v>
      </c>
      <c r="L387" t="s">
        <v>7</v>
      </c>
      <c r="M387" t="s">
        <v>7</v>
      </c>
      <c r="N387" t="s">
        <v>8</v>
      </c>
      <c r="P387">
        <f t="shared" si="969"/>
        <v>-0.20370370370370355</v>
      </c>
      <c r="Q387">
        <f t="shared" si="970"/>
        <v>-12418358.944444435</v>
      </c>
      <c r="R387">
        <f t="shared" si="971"/>
        <v>-2475215208.0789227</v>
      </c>
      <c r="S387">
        <f t="shared" si="972"/>
        <v>-24752.152080789227</v>
      </c>
      <c r="T387">
        <f t="shared" si="973"/>
        <v>-24.752152080789227</v>
      </c>
    </row>
    <row r="388" spans="1:20" x14ac:dyDescent="0.25">
      <c r="A388" s="5">
        <v>44205</v>
      </c>
      <c r="B388">
        <v>7.7299999999999999E-3</v>
      </c>
      <c r="C388">
        <v>8.2400000000000008E-3</v>
      </c>
      <c r="D388">
        <v>7.7000000000000002E-3</v>
      </c>
      <c r="E388">
        <v>8.1499999999999993E-3</v>
      </c>
      <c r="F388">
        <v>54752434</v>
      </c>
      <c r="G388">
        <v>0</v>
      </c>
      <c r="L388" t="s">
        <v>8</v>
      </c>
      <c r="M388" t="s">
        <v>7</v>
      </c>
      <c r="N388" t="s">
        <v>8</v>
      </c>
      <c r="P388">
        <f t="shared" si="969"/>
        <v>0.6666666666666613</v>
      </c>
      <c r="Q388">
        <f t="shared" si="970"/>
        <v>36501622.666666374</v>
      </c>
      <c r="R388">
        <f t="shared" si="971"/>
        <v>-2462796849.1344781</v>
      </c>
      <c r="S388">
        <f t="shared" si="972"/>
        <v>-24627.968491344782</v>
      </c>
      <c r="T388">
        <f t="shared" si="973"/>
        <v>-24.627968491344781</v>
      </c>
    </row>
    <row r="389" spans="1:20" x14ac:dyDescent="0.25">
      <c r="A389" s="5">
        <v>44204</v>
      </c>
      <c r="B389">
        <v>7.9600000000000001E-3</v>
      </c>
      <c r="C389">
        <v>8.1799999999999998E-3</v>
      </c>
      <c r="D389">
        <v>7.1500000000000001E-3</v>
      </c>
      <c r="E389">
        <v>7.7499999999999999E-3</v>
      </c>
      <c r="F389">
        <v>48919185.299999997</v>
      </c>
      <c r="G389">
        <v>0</v>
      </c>
      <c r="L389" t="s">
        <v>7</v>
      </c>
      <c r="M389" t="s">
        <v>7</v>
      </c>
      <c r="N389" t="s">
        <v>8</v>
      </c>
      <c r="P389">
        <f t="shared" si="969"/>
        <v>0.16504854368932045</v>
      </c>
      <c r="Q389">
        <f t="shared" si="970"/>
        <v>8074040.2922330126</v>
      </c>
      <c r="R389">
        <f t="shared" si="971"/>
        <v>-2499298471.8011446</v>
      </c>
      <c r="S389">
        <f t="shared" si="972"/>
        <v>-24992.984718011445</v>
      </c>
      <c r="T389">
        <f t="shared" si="973"/>
        <v>-24.992984718011446</v>
      </c>
    </row>
    <row r="390" spans="1:20" x14ac:dyDescent="0.25">
      <c r="A390" s="5">
        <v>44203</v>
      </c>
      <c r="B390">
        <v>7.8200000000000006E-3</v>
      </c>
      <c r="C390">
        <v>8.8000000000000005E-3</v>
      </c>
      <c r="D390">
        <v>7.8200000000000006E-3</v>
      </c>
      <c r="E390">
        <v>7.9799999999999992E-3</v>
      </c>
      <c r="F390">
        <v>74007039.700000003</v>
      </c>
      <c r="G390">
        <v>0</v>
      </c>
      <c r="L390" t="s">
        <v>8</v>
      </c>
      <c r="M390" t="s">
        <v>8</v>
      </c>
      <c r="N390" t="s">
        <v>8</v>
      </c>
      <c r="P390">
        <f t="shared" ref="P390:P453" si="974">IF(C390=D390,0,((E390-D390)-(C390-E390))/(C390-D390))</f>
        <v>-0.67346938775510468</v>
      </c>
      <c r="Q390">
        <f t="shared" ref="Q390:Q453" si="975">F390*P390</f>
        <v>-49841475.716326728</v>
      </c>
      <c r="R390">
        <f t="shared" ref="R390:R453" si="976">R391+Q390</f>
        <v>-2507372512.0933776</v>
      </c>
      <c r="S390">
        <f t="shared" ref="S390:S453" si="977">R390/100000</f>
        <v>-25073.725120933777</v>
      </c>
      <c r="T390">
        <f t="shared" ref="T390:T453" si="978">S390/1000</f>
        <v>-25.073725120933776</v>
      </c>
    </row>
    <row r="391" spans="1:20" x14ac:dyDescent="0.25">
      <c r="A391" s="5">
        <v>44202</v>
      </c>
      <c r="B391">
        <v>7.7099999999999998E-3</v>
      </c>
      <c r="C391">
        <v>8.2000000000000007E-3</v>
      </c>
      <c r="D391">
        <v>7.5900000000000004E-3</v>
      </c>
      <c r="E391">
        <v>7.8399999999999997E-3</v>
      </c>
      <c r="F391">
        <v>51156824.700000003</v>
      </c>
      <c r="G391">
        <v>0</v>
      </c>
      <c r="L391" t="s">
        <v>8</v>
      </c>
      <c r="M391" t="s">
        <v>8</v>
      </c>
      <c r="N391" t="s">
        <v>8</v>
      </c>
      <c r="P391">
        <f t="shared" si="974"/>
        <v>-0.18032786885246152</v>
      </c>
      <c r="Q391">
        <f t="shared" si="975"/>
        <v>-9225001.1754099652</v>
      </c>
      <c r="R391">
        <f t="shared" si="976"/>
        <v>-2457531036.3770509</v>
      </c>
      <c r="S391">
        <f t="shared" si="977"/>
        <v>-24575.31036377051</v>
      </c>
      <c r="T391">
        <f t="shared" si="978"/>
        <v>-24.575310363770509</v>
      </c>
    </row>
    <row r="392" spans="1:20" x14ac:dyDescent="0.25">
      <c r="A392" s="5">
        <v>44201</v>
      </c>
      <c r="B392">
        <v>7.6800000000000002E-3</v>
      </c>
      <c r="C392">
        <v>7.9799999999999992E-3</v>
      </c>
      <c r="D392">
        <v>7.2899999999999996E-3</v>
      </c>
      <c r="E392">
        <v>7.7299999999999999E-3</v>
      </c>
      <c r="F392">
        <v>75251372.200000003</v>
      </c>
      <c r="G392">
        <v>0</v>
      </c>
      <c r="L392" t="s">
        <v>8</v>
      </c>
      <c r="M392" t="s">
        <v>8</v>
      </c>
      <c r="N392" t="s">
        <v>8</v>
      </c>
      <c r="P392">
        <f t="shared" si="974"/>
        <v>0.27536231884058121</v>
      </c>
      <c r="Q392">
        <f t="shared" si="975"/>
        <v>20721392.34492765</v>
      </c>
      <c r="R392">
        <f t="shared" si="976"/>
        <v>-2448306035.2016411</v>
      </c>
      <c r="S392">
        <f t="shared" si="977"/>
        <v>-24483.060352016411</v>
      </c>
      <c r="T392">
        <f t="shared" si="978"/>
        <v>-24.483060352016413</v>
      </c>
    </row>
    <row r="393" spans="1:20" x14ac:dyDescent="0.25">
      <c r="A393" s="5">
        <v>44200</v>
      </c>
      <c r="B393">
        <v>7.6899999999999998E-3</v>
      </c>
      <c r="C393">
        <v>8.3999999999999995E-3</v>
      </c>
      <c r="D393">
        <v>7.1000000000000004E-3</v>
      </c>
      <c r="E393">
        <v>7.6899999999999998E-3</v>
      </c>
      <c r="F393">
        <v>52683089.899999999</v>
      </c>
      <c r="G393">
        <v>0</v>
      </c>
      <c r="L393" t="s">
        <v>7</v>
      </c>
      <c r="M393" t="s">
        <v>8</v>
      </c>
      <c r="N393" t="s">
        <v>8</v>
      </c>
      <c r="P393">
        <f t="shared" si="974"/>
        <v>-9.2307692307692618E-2</v>
      </c>
      <c r="Q393">
        <f t="shared" si="975"/>
        <v>-4863054.4523077086</v>
      </c>
      <c r="R393">
        <f t="shared" si="976"/>
        <v>-2469027427.5465689</v>
      </c>
      <c r="S393">
        <f t="shared" si="977"/>
        <v>-24690.27427546569</v>
      </c>
      <c r="T393">
        <f t="shared" si="978"/>
        <v>-24.69027427546569</v>
      </c>
    </row>
    <row r="394" spans="1:20" x14ac:dyDescent="0.25">
      <c r="A394" s="5">
        <v>44199</v>
      </c>
      <c r="B394">
        <v>7.6699999999999997E-3</v>
      </c>
      <c r="C394">
        <v>8.0700000000000008E-3</v>
      </c>
      <c r="D394">
        <v>7.3200000000000001E-3</v>
      </c>
      <c r="E394">
        <v>7.6400000000000001E-3</v>
      </c>
      <c r="F394">
        <v>37070102.600000001</v>
      </c>
      <c r="G394">
        <v>0</v>
      </c>
      <c r="L394" t="s">
        <v>7</v>
      </c>
      <c r="M394" t="s">
        <v>8</v>
      </c>
      <c r="N394" t="s">
        <v>8</v>
      </c>
      <c r="P394">
        <f t="shared" si="974"/>
        <v>-0.1466666666666675</v>
      </c>
      <c r="Q394">
        <f t="shared" si="975"/>
        <v>-5436948.3813333642</v>
      </c>
      <c r="R394">
        <f t="shared" si="976"/>
        <v>-2464164373.0942612</v>
      </c>
      <c r="S394">
        <f t="shared" si="977"/>
        <v>-24641.643730942611</v>
      </c>
      <c r="T394">
        <f t="shared" si="978"/>
        <v>-24.641643730942612</v>
      </c>
    </row>
    <row r="395" spans="1:20" x14ac:dyDescent="0.25">
      <c r="A395" s="5">
        <v>44198</v>
      </c>
      <c r="B395">
        <v>7.3600000000000002E-3</v>
      </c>
      <c r="C395">
        <v>8.2400000000000008E-3</v>
      </c>
      <c r="D395">
        <v>7.1700000000000002E-3</v>
      </c>
      <c r="E395">
        <v>7.6699999999999997E-3</v>
      </c>
      <c r="F395">
        <v>95174186.400000006</v>
      </c>
      <c r="G395">
        <v>0</v>
      </c>
      <c r="L395" t="s">
        <v>8</v>
      </c>
      <c r="M395" t="s">
        <v>8</v>
      </c>
      <c r="N395" t="s">
        <v>8</v>
      </c>
      <c r="P395">
        <f t="shared" si="974"/>
        <v>-6.5420560747664905E-2</v>
      </c>
      <c r="Q395">
        <f t="shared" si="975"/>
        <v>-6226348.6429907838</v>
      </c>
      <c r="R395">
        <f t="shared" si="976"/>
        <v>-2458727424.7129278</v>
      </c>
      <c r="S395">
        <f t="shared" si="977"/>
        <v>-24587.274247129277</v>
      </c>
      <c r="T395">
        <f t="shared" si="978"/>
        <v>-24.587274247129276</v>
      </c>
    </row>
    <row r="396" spans="1:20" x14ac:dyDescent="0.25">
      <c r="A396" s="5">
        <v>44197</v>
      </c>
      <c r="B396">
        <v>7.0899999999999999E-3</v>
      </c>
      <c r="C396">
        <v>7.7299999999999999E-3</v>
      </c>
      <c r="D396">
        <v>7.0499999999999998E-3</v>
      </c>
      <c r="E396">
        <v>7.3600000000000002E-3</v>
      </c>
      <c r="F396">
        <v>43902942.299999997</v>
      </c>
      <c r="G396">
        <v>0</v>
      </c>
      <c r="L396" t="s">
        <v>7</v>
      </c>
      <c r="M396" t="s">
        <v>8</v>
      </c>
      <c r="N396" t="s">
        <v>8</v>
      </c>
      <c r="P396">
        <f t="shared" si="974"/>
        <v>-8.823529411764601E-2</v>
      </c>
      <c r="Q396">
        <f t="shared" si="975"/>
        <v>-3873789.026470542</v>
      </c>
      <c r="R396">
        <f t="shared" si="976"/>
        <v>-2452501076.0699372</v>
      </c>
      <c r="S396">
        <f t="shared" si="977"/>
        <v>-24525.010760699373</v>
      </c>
      <c r="T396">
        <f t="shared" si="978"/>
        <v>-24.525010760699374</v>
      </c>
    </row>
    <row r="397" spans="1:20" x14ac:dyDescent="0.25">
      <c r="A397" s="5">
        <v>44196</v>
      </c>
      <c r="B397">
        <v>7.5399999999999998E-3</v>
      </c>
      <c r="C397">
        <v>8.1499999999999993E-3</v>
      </c>
      <c r="D397">
        <v>6.8700000000000002E-3</v>
      </c>
      <c r="E397">
        <v>7.0600000000000003E-3</v>
      </c>
      <c r="F397">
        <v>91904810.299999997</v>
      </c>
      <c r="G397">
        <v>0</v>
      </c>
      <c r="L397" t="s">
        <v>8</v>
      </c>
      <c r="M397" t="s">
        <v>8</v>
      </c>
      <c r="N397" t="s">
        <v>8</v>
      </c>
      <c r="P397">
        <f t="shared" si="974"/>
        <v>-0.70312499999999967</v>
      </c>
      <c r="Q397">
        <f t="shared" si="975"/>
        <v>-64620569.74218747</v>
      </c>
      <c r="R397">
        <f t="shared" si="976"/>
        <v>-2448627287.0434666</v>
      </c>
      <c r="S397">
        <f t="shared" si="977"/>
        <v>-24486.272870434666</v>
      </c>
      <c r="T397">
        <f t="shared" si="978"/>
        <v>-24.486272870434668</v>
      </c>
    </row>
    <row r="398" spans="1:20" x14ac:dyDescent="0.25">
      <c r="A398" s="5">
        <v>44195</v>
      </c>
      <c r="B398">
        <v>6.3299999999999997E-3</v>
      </c>
      <c r="C398">
        <v>7.9799999999999992E-3</v>
      </c>
      <c r="D398">
        <v>6.1700000000000001E-3</v>
      </c>
      <c r="E398">
        <v>7.5500000000000003E-3</v>
      </c>
      <c r="F398">
        <v>146276123.5</v>
      </c>
      <c r="G398">
        <v>0</v>
      </c>
      <c r="L398" t="s">
        <v>8</v>
      </c>
      <c r="M398" t="s">
        <v>8</v>
      </c>
      <c r="N398" t="s">
        <v>8</v>
      </c>
      <c r="P398">
        <f t="shared" si="974"/>
        <v>0.52486187845303955</v>
      </c>
      <c r="Q398">
        <f t="shared" si="975"/>
        <v>76774760.953038797</v>
      </c>
      <c r="R398">
        <f t="shared" si="976"/>
        <v>-2384006717.3012791</v>
      </c>
      <c r="S398">
        <f t="shared" si="977"/>
        <v>-23840.067173012791</v>
      </c>
      <c r="T398">
        <f t="shared" si="978"/>
        <v>-23.840067173012791</v>
      </c>
    </row>
    <row r="399" spans="1:20" x14ac:dyDescent="0.25">
      <c r="A399" s="5">
        <v>44194</v>
      </c>
      <c r="B399">
        <v>6.3600000000000002E-3</v>
      </c>
      <c r="C399">
        <v>6.4599999999999996E-3</v>
      </c>
      <c r="D399">
        <v>6.0000000000000001E-3</v>
      </c>
      <c r="E399">
        <v>6.3099999999999996E-3</v>
      </c>
      <c r="F399">
        <v>29974687.600000001</v>
      </c>
      <c r="G399">
        <v>0</v>
      </c>
      <c r="L399" t="s">
        <v>7</v>
      </c>
      <c r="M399" t="s">
        <v>8</v>
      </c>
      <c r="N399" t="s">
        <v>7</v>
      </c>
      <c r="P399">
        <f t="shared" si="974"/>
        <v>0.34782608695652117</v>
      </c>
      <c r="Q399">
        <f t="shared" si="975"/>
        <v>10425978.295652157</v>
      </c>
      <c r="R399">
        <f t="shared" si="976"/>
        <v>-2460781478.2543178</v>
      </c>
      <c r="S399">
        <f t="shared" si="977"/>
        <v>-24607.814782543177</v>
      </c>
      <c r="T399">
        <f t="shared" si="978"/>
        <v>-24.607814782543176</v>
      </c>
    </row>
    <row r="400" spans="1:20" x14ac:dyDescent="0.25">
      <c r="A400" s="5">
        <v>44193</v>
      </c>
      <c r="B400">
        <v>6.4000000000000003E-3</v>
      </c>
      <c r="C400">
        <v>6.79E-3</v>
      </c>
      <c r="D400">
        <v>6.1599999999999997E-3</v>
      </c>
      <c r="E400">
        <v>6.4000000000000003E-3</v>
      </c>
      <c r="F400">
        <v>30305087.5</v>
      </c>
      <c r="G400">
        <v>0</v>
      </c>
      <c r="L400" t="s">
        <v>7</v>
      </c>
      <c r="M400" t="s">
        <v>8</v>
      </c>
      <c r="N400" t="s">
        <v>7</v>
      </c>
      <c r="P400">
        <f t="shared" si="974"/>
        <v>-0.23809523809523653</v>
      </c>
      <c r="Q400">
        <f t="shared" si="975"/>
        <v>-7215497.0238094768</v>
      </c>
      <c r="R400">
        <f t="shared" si="976"/>
        <v>-2471207456.5499701</v>
      </c>
      <c r="S400">
        <f t="shared" si="977"/>
        <v>-24712.074565499701</v>
      </c>
      <c r="T400">
        <f t="shared" si="978"/>
        <v>-24.712074565499702</v>
      </c>
    </row>
    <row r="401" spans="1:20" x14ac:dyDescent="0.25">
      <c r="A401" s="5">
        <v>44192</v>
      </c>
      <c r="B401">
        <v>6.5500000000000003E-3</v>
      </c>
      <c r="C401">
        <v>6.8900000000000003E-3</v>
      </c>
      <c r="D401">
        <v>6.28E-3</v>
      </c>
      <c r="E401">
        <v>6.4200000000000004E-3</v>
      </c>
      <c r="F401">
        <v>26997204.600000001</v>
      </c>
      <c r="G401">
        <v>0</v>
      </c>
      <c r="L401" t="s">
        <v>8</v>
      </c>
      <c r="M401" t="s">
        <v>8</v>
      </c>
      <c r="N401" t="s">
        <v>7</v>
      </c>
      <c r="P401">
        <f t="shared" si="974"/>
        <v>-0.5409836065573761</v>
      </c>
      <c r="Q401">
        <f t="shared" si="975"/>
        <v>-14605045.111475386</v>
      </c>
      <c r="R401">
        <f t="shared" si="976"/>
        <v>-2463991959.5261607</v>
      </c>
      <c r="S401">
        <f t="shared" si="977"/>
        <v>-24639.919595261606</v>
      </c>
      <c r="T401">
        <f t="shared" si="978"/>
        <v>-24.639919595261606</v>
      </c>
    </row>
    <row r="402" spans="1:20" x14ac:dyDescent="0.25">
      <c r="A402" s="5">
        <v>44191</v>
      </c>
      <c r="B402">
        <v>6.4599999999999996E-3</v>
      </c>
      <c r="C402">
        <v>6.7999999999999996E-3</v>
      </c>
      <c r="D402">
        <v>6.2100000000000002E-3</v>
      </c>
      <c r="E402">
        <v>6.5599999999999999E-3</v>
      </c>
      <c r="F402">
        <v>33346898.399999999</v>
      </c>
      <c r="G402">
        <v>0</v>
      </c>
      <c r="L402" t="s">
        <v>8</v>
      </c>
      <c r="M402" t="s">
        <v>8</v>
      </c>
      <c r="N402" t="s">
        <v>7</v>
      </c>
      <c r="P402">
        <f t="shared" si="974"/>
        <v>0.18644067796610164</v>
      </c>
      <c r="Q402">
        <f t="shared" si="975"/>
        <v>6217218.3457627101</v>
      </c>
      <c r="R402">
        <f t="shared" si="976"/>
        <v>-2449386914.4146852</v>
      </c>
      <c r="S402">
        <f t="shared" si="977"/>
        <v>-24493.869144146851</v>
      </c>
      <c r="T402">
        <f t="shared" si="978"/>
        <v>-24.493869144146849</v>
      </c>
    </row>
    <row r="403" spans="1:20" x14ac:dyDescent="0.25">
      <c r="A403" s="5">
        <v>44190</v>
      </c>
      <c r="B403">
        <v>6.1999999999999998E-3</v>
      </c>
      <c r="C403">
        <v>6.5599999999999999E-3</v>
      </c>
      <c r="D403">
        <v>6.11E-3</v>
      </c>
      <c r="E403">
        <v>6.45E-3</v>
      </c>
      <c r="F403">
        <v>27473858.100000001</v>
      </c>
      <c r="G403">
        <v>0</v>
      </c>
      <c r="L403" t="s">
        <v>7</v>
      </c>
      <c r="M403" t="s">
        <v>8</v>
      </c>
      <c r="N403" t="s">
        <v>7</v>
      </c>
      <c r="P403">
        <f t="shared" si="974"/>
        <v>0.51111111111111163</v>
      </c>
      <c r="Q403">
        <f t="shared" si="975"/>
        <v>14042194.140000015</v>
      </c>
      <c r="R403">
        <f t="shared" si="976"/>
        <v>-2455604132.760448</v>
      </c>
      <c r="S403">
        <f t="shared" si="977"/>
        <v>-24556.041327604478</v>
      </c>
      <c r="T403">
        <f t="shared" si="978"/>
        <v>-24.556041327604479</v>
      </c>
    </row>
    <row r="404" spans="1:20" x14ac:dyDescent="0.25">
      <c r="A404" s="5">
        <v>44189</v>
      </c>
      <c r="B404">
        <v>5.8900000000000003E-3</v>
      </c>
      <c r="C404">
        <v>7.1999999999999998E-3</v>
      </c>
      <c r="D404">
        <v>5.7999999999999996E-3</v>
      </c>
      <c r="E404">
        <v>6.1999999999999998E-3</v>
      </c>
      <c r="F404">
        <v>50766165.5</v>
      </c>
      <c r="G404">
        <v>0</v>
      </c>
      <c r="L404" t="s">
        <v>8</v>
      </c>
      <c r="M404" t="s">
        <v>8</v>
      </c>
      <c r="N404" t="s">
        <v>7</v>
      </c>
      <c r="P404">
        <f t="shared" si="974"/>
        <v>-0.42857142857142838</v>
      </c>
      <c r="Q404">
        <f t="shared" si="975"/>
        <v>-21756928.071428563</v>
      </c>
      <c r="R404">
        <f t="shared" si="976"/>
        <v>-2469646326.9004478</v>
      </c>
      <c r="S404">
        <f t="shared" si="977"/>
        <v>-24696.463269004478</v>
      </c>
      <c r="T404">
        <f t="shared" si="978"/>
        <v>-24.696463269004479</v>
      </c>
    </row>
    <row r="405" spans="1:20" x14ac:dyDescent="0.25">
      <c r="A405" s="5">
        <v>44188</v>
      </c>
      <c r="B405">
        <v>6.5500000000000003E-3</v>
      </c>
      <c r="C405">
        <v>6.5500000000000003E-3</v>
      </c>
      <c r="D405">
        <v>5.7999999999999996E-3</v>
      </c>
      <c r="E405">
        <v>5.8900000000000003E-3</v>
      </c>
      <c r="F405">
        <v>31002032.5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-0.75999999999999845</v>
      </c>
      <c r="Q405">
        <f t="shared" si="975"/>
        <v>-23561544.699999951</v>
      </c>
      <c r="R405">
        <f t="shared" si="976"/>
        <v>-2447889398.8290191</v>
      </c>
      <c r="S405">
        <f t="shared" si="977"/>
        <v>-24478.89398829019</v>
      </c>
      <c r="T405">
        <f t="shared" si="978"/>
        <v>-24.478893988290192</v>
      </c>
    </row>
    <row r="406" spans="1:20" x14ac:dyDescent="0.25">
      <c r="A406" s="5">
        <v>44187</v>
      </c>
      <c r="B406">
        <v>6.4700000000000001E-3</v>
      </c>
      <c r="C406">
        <v>7.0600000000000003E-3</v>
      </c>
      <c r="D406">
        <v>6.11E-3</v>
      </c>
      <c r="E406">
        <v>6.5399999999999998E-3</v>
      </c>
      <c r="F406">
        <v>42701202.899999999</v>
      </c>
      <c r="G406">
        <v>0</v>
      </c>
      <c r="L406" t="s">
        <v>8</v>
      </c>
      <c r="M406" t="s">
        <v>7</v>
      </c>
      <c r="N406" t="s">
        <v>8</v>
      </c>
      <c r="P406">
        <f t="shared" si="974"/>
        <v>-9.4736842105263827E-2</v>
      </c>
      <c r="Q406">
        <f t="shared" si="975"/>
        <v>-4045377.1168421339</v>
      </c>
      <c r="R406">
        <f t="shared" si="976"/>
        <v>-2424327854.1290193</v>
      </c>
      <c r="S406">
        <f t="shared" si="977"/>
        <v>-24243.278541290194</v>
      </c>
      <c r="T406">
        <f t="shared" si="978"/>
        <v>-24.243278541290195</v>
      </c>
    </row>
    <row r="407" spans="1:20" x14ac:dyDescent="0.25">
      <c r="A407" s="5">
        <v>44186</v>
      </c>
      <c r="B407">
        <v>6.9800000000000001E-3</v>
      </c>
      <c r="C407">
        <v>8.26E-3</v>
      </c>
      <c r="D407">
        <v>6.1399999999999996E-3</v>
      </c>
      <c r="E407">
        <v>6.4700000000000001E-3</v>
      </c>
      <c r="F407">
        <v>161662184.59999999</v>
      </c>
      <c r="G407">
        <v>0</v>
      </c>
      <c r="L407" t="s">
        <v>7</v>
      </c>
      <c r="M407" t="s">
        <v>7</v>
      </c>
      <c r="N407" t="s">
        <v>8</v>
      </c>
      <c r="P407">
        <f t="shared" si="974"/>
        <v>-0.68867924528301849</v>
      </c>
      <c r="Q407">
        <f t="shared" si="975"/>
        <v>-111333391.28113201</v>
      </c>
      <c r="R407">
        <f t="shared" si="976"/>
        <v>-2420282477.012177</v>
      </c>
      <c r="S407">
        <f t="shared" si="977"/>
        <v>-24202.82477012177</v>
      </c>
      <c r="T407">
        <f t="shared" si="978"/>
        <v>-24.202824770121769</v>
      </c>
    </row>
    <row r="408" spans="1:20" x14ac:dyDescent="0.25">
      <c r="A408" s="5">
        <v>44185</v>
      </c>
      <c r="B408">
        <v>6.4799999999999996E-3</v>
      </c>
      <c r="C408">
        <v>8.2500000000000004E-3</v>
      </c>
      <c r="D408">
        <v>6.3499999999999997E-3</v>
      </c>
      <c r="E408">
        <v>6.9800000000000001E-3</v>
      </c>
      <c r="F408">
        <v>197584505.19999999</v>
      </c>
      <c r="G408">
        <v>0</v>
      </c>
      <c r="L408" t="s">
        <v>8</v>
      </c>
      <c r="M408" t="s">
        <v>8</v>
      </c>
      <c r="N408" t="s">
        <v>8</v>
      </c>
      <c r="P408">
        <f t="shared" si="974"/>
        <v>-0.33684210526315778</v>
      </c>
      <c r="Q408">
        <f t="shared" si="975"/>
        <v>-66554780.69894734</v>
      </c>
      <c r="R408">
        <f t="shared" si="976"/>
        <v>-2308949085.7310448</v>
      </c>
      <c r="S408">
        <f t="shared" si="977"/>
        <v>-23089.490857310448</v>
      </c>
      <c r="T408">
        <f t="shared" si="978"/>
        <v>-23.089490857310448</v>
      </c>
    </row>
    <row r="409" spans="1:20" x14ac:dyDescent="0.25">
      <c r="A409" s="5">
        <v>44184</v>
      </c>
      <c r="B409">
        <v>6.3699999999999998E-3</v>
      </c>
      <c r="C409">
        <v>6.6600000000000001E-3</v>
      </c>
      <c r="D409">
        <v>6.3200000000000001E-3</v>
      </c>
      <c r="E409">
        <v>6.4999999999999997E-3</v>
      </c>
      <c r="F409">
        <v>30702191.300000001</v>
      </c>
      <c r="G409">
        <v>0</v>
      </c>
      <c r="L409" t="s">
        <v>8</v>
      </c>
      <c r="M409" t="s">
        <v>7</v>
      </c>
      <c r="N409" t="s">
        <v>7</v>
      </c>
      <c r="P409">
        <f t="shared" si="974"/>
        <v>5.8823529411762304E-2</v>
      </c>
      <c r="Q409">
        <f t="shared" si="975"/>
        <v>1806011.2529411027</v>
      </c>
      <c r="R409">
        <f t="shared" si="976"/>
        <v>-2242394305.0320973</v>
      </c>
      <c r="S409">
        <f t="shared" si="977"/>
        <v>-22423.943050320973</v>
      </c>
      <c r="T409">
        <f t="shared" si="978"/>
        <v>-22.423943050320972</v>
      </c>
    </row>
    <row r="410" spans="1:20" x14ac:dyDescent="0.25">
      <c r="A410" s="5">
        <v>44183</v>
      </c>
      <c r="B410">
        <v>6.0600000000000003E-3</v>
      </c>
      <c r="C410">
        <v>6.4900000000000001E-3</v>
      </c>
      <c r="D410">
        <v>6.0099999999999997E-3</v>
      </c>
      <c r="E410">
        <v>6.3699999999999998E-3</v>
      </c>
      <c r="F410">
        <v>24942838.100000001</v>
      </c>
      <c r="G410">
        <v>0</v>
      </c>
      <c r="L410" t="s">
        <v>8</v>
      </c>
      <c r="M410" t="s">
        <v>7</v>
      </c>
      <c r="N410" t="s">
        <v>7</v>
      </c>
      <c r="P410">
        <f t="shared" si="974"/>
        <v>0.49999999999999911</v>
      </c>
      <c r="Q410">
        <f t="shared" si="975"/>
        <v>12471419.049999978</v>
      </c>
      <c r="R410">
        <f t="shared" si="976"/>
        <v>-2244200316.2850385</v>
      </c>
      <c r="S410">
        <f t="shared" si="977"/>
        <v>-22442.003162850386</v>
      </c>
      <c r="T410">
        <f t="shared" si="978"/>
        <v>-22.442003162850387</v>
      </c>
    </row>
    <row r="411" spans="1:20" x14ac:dyDescent="0.25">
      <c r="A411" s="5">
        <v>44182</v>
      </c>
      <c r="B411">
        <v>6.5100000000000002E-3</v>
      </c>
      <c r="C411">
        <v>6.5700000000000003E-3</v>
      </c>
      <c r="D411">
        <v>5.9899999999999997E-3</v>
      </c>
      <c r="E411">
        <v>6.0600000000000003E-3</v>
      </c>
      <c r="F411">
        <v>55009015.399999999</v>
      </c>
      <c r="G411">
        <v>0</v>
      </c>
      <c r="L411" t="s">
        <v>7</v>
      </c>
      <c r="M411" t="s">
        <v>7</v>
      </c>
      <c r="N411" t="s">
        <v>7</v>
      </c>
      <c r="P411">
        <f t="shared" si="974"/>
        <v>-0.7586206896551706</v>
      </c>
      <c r="Q411">
        <f t="shared" si="975"/>
        <v>-41730977.199999899</v>
      </c>
      <c r="R411">
        <f t="shared" si="976"/>
        <v>-2256671735.3350387</v>
      </c>
      <c r="S411">
        <f t="shared" si="977"/>
        <v>-22566.717353350388</v>
      </c>
      <c r="T411">
        <f t="shared" si="978"/>
        <v>-22.566717353350388</v>
      </c>
    </row>
    <row r="412" spans="1:20" x14ac:dyDescent="0.25">
      <c r="A412" s="5">
        <v>44181</v>
      </c>
      <c r="B412">
        <v>6.4900000000000001E-3</v>
      </c>
      <c r="C412">
        <v>6.5599999999999999E-3</v>
      </c>
      <c r="D412">
        <v>6.2199999999999998E-3</v>
      </c>
      <c r="E412">
        <v>6.4700000000000001E-3</v>
      </c>
      <c r="F412">
        <v>37358117.100000001</v>
      </c>
      <c r="G412">
        <v>0</v>
      </c>
      <c r="L412" t="s">
        <v>7</v>
      </c>
      <c r="M412" t="s">
        <v>7</v>
      </c>
      <c r="N412" t="s">
        <v>7</v>
      </c>
      <c r="P412">
        <f t="shared" si="974"/>
        <v>0.47058823529411886</v>
      </c>
      <c r="Q412">
        <f t="shared" si="975"/>
        <v>17580290.400000047</v>
      </c>
      <c r="R412">
        <f t="shared" si="976"/>
        <v>-2214940758.1350389</v>
      </c>
      <c r="S412">
        <f t="shared" si="977"/>
        <v>-22149.407581350388</v>
      </c>
      <c r="T412">
        <f t="shared" si="978"/>
        <v>-22.149407581350388</v>
      </c>
    </row>
    <row r="413" spans="1:20" x14ac:dyDescent="0.25">
      <c r="A413" s="5">
        <v>44180</v>
      </c>
      <c r="B413">
        <v>6.77E-3</v>
      </c>
      <c r="C413">
        <v>7.1199999999999996E-3</v>
      </c>
      <c r="D413">
        <v>6.45E-3</v>
      </c>
      <c r="E413">
        <v>6.5399999999999998E-3</v>
      </c>
      <c r="F413">
        <v>43075810.5</v>
      </c>
      <c r="G413">
        <v>0</v>
      </c>
      <c r="L413" t="s">
        <v>7</v>
      </c>
      <c r="M413" t="s">
        <v>8</v>
      </c>
      <c r="N413" t="s">
        <v>7</v>
      </c>
      <c r="P413">
        <f t="shared" si="974"/>
        <v>-0.73134328358209</v>
      </c>
      <c r="Q413">
        <f t="shared" si="975"/>
        <v>-31503204.694029871</v>
      </c>
      <c r="R413">
        <f t="shared" si="976"/>
        <v>-2232521048.5350389</v>
      </c>
      <c r="S413">
        <f t="shared" si="977"/>
        <v>-22325.210485350388</v>
      </c>
      <c r="T413">
        <f t="shared" si="978"/>
        <v>-22.325210485350389</v>
      </c>
    </row>
    <row r="414" spans="1:20" x14ac:dyDescent="0.25">
      <c r="A414" s="5">
        <v>44179</v>
      </c>
      <c r="B414">
        <v>6.5700000000000003E-3</v>
      </c>
      <c r="C414">
        <v>7.4000000000000003E-3</v>
      </c>
      <c r="D414">
        <v>6.4999999999999997E-3</v>
      </c>
      <c r="E414">
        <v>6.79E-3</v>
      </c>
      <c r="F414">
        <v>118851960.2</v>
      </c>
      <c r="G414">
        <v>0</v>
      </c>
      <c r="L414" t="s">
        <v>8</v>
      </c>
      <c r="M414" t="s">
        <v>8</v>
      </c>
      <c r="N414" t="s">
        <v>7</v>
      </c>
      <c r="P414">
        <f t="shared" si="974"/>
        <v>-0.35555555555555529</v>
      </c>
      <c r="Q414">
        <f t="shared" si="975"/>
        <v>-42258474.737777747</v>
      </c>
      <c r="R414">
        <f t="shared" si="976"/>
        <v>-2201017843.8410091</v>
      </c>
      <c r="S414">
        <f t="shared" si="977"/>
        <v>-22010.17843841009</v>
      </c>
      <c r="T414">
        <f t="shared" si="978"/>
        <v>-22.01017843841009</v>
      </c>
    </row>
    <row r="415" spans="1:20" x14ac:dyDescent="0.25">
      <c r="A415" s="5">
        <v>44178</v>
      </c>
      <c r="B415">
        <v>6.5700000000000003E-3</v>
      </c>
      <c r="C415">
        <v>6.7799999999999996E-3</v>
      </c>
      <c r="D415">
        <v>6.3699999999999998E-3</v>
      </c>
      <c r="E415">
        <v>6.5799999999999999E-3</v>
      </c>
      <c r="F415">
        <v>41356648</v>
      </c>
      <c r="G415">
        <v>0</v>
      </c>
      <c r="L415" t="s">
        <v>7</v>
      </c>
      <c r="M415" t="s">
        <v>8</v>
      </c>
      <c r="N415" t="s">
        <v>7</v>
      </c>
      <c r="P415">
        <f t="shared" si="974"/>
        <v>2.439024390244016E-2</v>
      </c>
      <c r="Q415">
        <f t="shared" si="975"/>
        <v>1008698.731707364</v>
      </c>
      <c r="R415">
        <f t="shared" si="976"/>
        <v>-2158759369.1032314</v>
      </c>
      <c r="S415">
        <f t="shared" si="977"/>
        <v>-21587.593691032314</v>
      </c>
      <c r="T415">
        <f t="shared" si="978"/>
        <v>-21.587593691032314</v>
      </c>
    </row>
    <row r="416" spans="1:20" x14ac:dyDescent="0.25">
      <c r="A416" s="5">
        <v>44177</v>
      </c>
      <c r="B416">
        <v>6.1000000000000004E-3</v>
      </c>
      <c r="C416">
        <v>6.9800000000000001E-3</v>
      </c>
      <c r="D416">
        <v>6.0800000000000003E-3</v>
      </c>
      <c r="E416">
        <v>6.5399999999999998E-3</v>
      </c>
      <c r="F416">
        <v>81533250.099999994</v>
      </c>
      <c r="G416">
        <v>0</v>
      </c>
      <c r="L416" t="s">
        <v>8</v>
      </c>
      <c r="M416" t="s">
        <v>8</v>
      </c>
      <c r="N416" t="s">
        <v>7</v>
      </c>
      <c r="P416">
        <f t="shared" si="974"/>
        <v>2.2222222222221321E-2</v>
      </c>
      <c r="Q416">
        <f t="shared" si="975"/>
        <v>1811850.0022221487</v>
      </c>
      <c r="R416">
        <f t="shared" si="976"/>
        <v>-2159768067.834939</v>
      </c>
      <c r="S416">
        <f t="shared" si="977"/>
        <v>-21597.680678349388</v>
      </c>
      <c r="T416">
        <f t="shared" si="978"/>
        <v>-21.597680678349388</v>
      </c>
    </row>
    <row r="417" spans="1:20" x14ac:dyDescent="0.25">
      <c r="A417" s="5">
        <v>44176</v>
      </c>
      <c r="B417">
        <v>6.1799999999999997E-3</v>
      </c>
      <c r="C417">
        <v>6.4700000000000001E-3</v>
      </c>
      <c r="D417">
        <v>5.8300000000000001E-3</v>
      </c>
      <c r="E417">
        <v>6.0600000000000003E-3</v>
      </c>
      <c r="F417">
        <v>36582879.200000003</v>
      </c>
      <c r="G417">
        <v>0</v>
      </c>
      <c r="L417" t="s">
        <v>7</v>
      </c>
      <c r="M417" t="s">
        <v>7</v>
      </c>
      <c r="N417" t="s">
        <v>7</v>
      </c>
      <c r="P417">
        <f t="shared" si="974"/>
        <v>-0.28124999999999939</v>
      </c>
      <c r="Q417">
        <f t="shared" si="975"/>
        <v>-10288934.774999978</v>
      </c>
      <c r="R417">
        <f t="shared" si="976"/>
        <v>-2161579917.8371611</v>
      </c>
      <c r="S417">
        <f t="shared" si="977"/>
        <v>-21615.79917837161</v>
      </c>
      <c r="T417">
        <f t="shared" si="978"/>
        <v>-21.61579917837161</v>
      </c>
    </row>
    <row r="418" spans="1:20" x14ac:dyDescent="0.25">
      <c r="A418" s="5">
        <v>44175</v>
      </c>
      <c r="B418">
        <v>6.3099999999999996E-3</v>
      </c>
      <c r="C418">
        <v>6.5300000000000002E-3</v>
      </c>
      <c r="D418">
        <v>6.1000000000000004E-3</v>
      </c>
      <c r="E418">
        <v>6.1799999999999997E-3</v>
      </c>
      <c r="F418">
        <v>26429312.300000001</v>
      </c>
      <c r="G418">
        <v>0</v>
      </c>
      <c r="L418" t="s">
        <v>7</v>
      </c>
      <c r="M418" t="s">
        <v>7</v>
      </c>
      <c r="N418" t="s">
        <v>7</v>
      </c>
      <c r="P418">
        <f t="shared" si="974"/>
        <v>-0.62790697674418894</v>
      </c>
      <c r="Q418">
        <f t="shared" si="975"/>
        <v>-16595149.583721006</v>
      </c>
      <c r="R418">
        <f t="shared" si="976"/>
        <v>-2151290983.062161</v>
      </c>
      <c r="S418">
        <f t="shared" si="977"/>
        <v>-21512.909830621611</v>
      </c>
      <c r="T418">
        <f t="shared" si="978"/>
        <v>-21.512909830621609</v>
      </c>
    </row>
    <row r="419" spans="1:20" x14ac:dyDescent="0.25">
      <c r="A419" s="5">
        <v>44174</v>
      </c>
      <c r="B419">
        <v>6.3299999999999997E-3</v>
      </c>
      <c r="C419">
        <v>6.6800000000000002E-3</v>
      </c>
      <c r="D419">
        <v>6.0699999999999999E-3</v>
      </c>
      <c r="E419">
        <v>6.28E-3</v>
      </c>
      <c r="F419">
        <v>38825480.299999997</v>
      </c>
      <c r="G419">
        <v>0</v>
      </c>
      <c r="L419" t="s">
        <v>7</v>
      </c>
      <c r="M419" t="s">
        <v>7</v>
      </c>
      <c r="N419" t="s">
        <v>7</v>
      </c>
      <c r="P419">
        <f t="shared" si="974"/>
        <v>-0.31147540983606553</v>
      </c>
      <c r="Q419">
        <f t="shared" si="975"/>
        <v>-12093182.388524588</v>
      </c>
      <c r="R419">
        <f t="shared" si="976"/>
        <v>-2134695833.4784398</v>
      </c>
      <c r="S419">
        <f t="shared" si="977"/>
        <v>-21346.958334784398</v>
      </c>
      <c r="T419">
        <f t="shared" si="978"/>
        <v>-21.346958334784397</v>
      </c>
    </row>
    <row r="420" spans="1:20" x14ac:dyDescent="0.25">
      <c r="A420" s="5">
        <v>44173</v>
      </c>
      <c r="B420">
        <v>6.3200000000000001E-3</v>
      </c>
      <c r="C420">
        <v>6.6499999999999997E-3</v>
      </c>
      <c r="D420">
        <v>6.2300000000000003E-3</v>
      </c>
      <c r="E420">
        <v>6.3299999999999997E-3</v>
      </c>
      <c r="F420">
        <v>24703382.399999999</v>
      </c>
      <c r="G420">
        <v>0</v>
      </c>
      <c r="L420" t="s">
        <v>7</v>
      </c>
      <c r="M420" t="s">
        <v>7</v>
      </c>
      <c r="N420" t="s">
        <v>7</v>
      </c>
      <c r="P420">
        <f t="shared" si="974"/>
        <v>-0.52380952380952595</v>
      </c>
      <c r="Q420">
        <f t="shared" si="975"/>
        <v>-12939866.971428623</v>
      </c>
      <c r="R420">
        <f t="shared" si="976"/>
        <v>-2122602651.0899153</v>
      </c>
      <c r="S420">
        <f t="shared" si="977"/>
        <v>-21226.026510899152</v>
      </c>
      <c r="T420">
        <f t="shared" si="978"/>
        <v>-21.226026510899153</v>
      </c>
    </row>
    <row r="421" spans="1:20" x14ac:dyDescent="0.25">
      <c r="A421" s="5">
        <v>44172</v>
      </c>
      <c r="B421">
        <v>6.4200000000000004E-3</v>
      </c>
      <c r="C421">
        <v>6.7400000000000003E-3</v>
      </c>
      <c r="D421">
        <v>6.11E-3</v>
      </c>
      <c r="E421">
        <v>6.3299999999999997E-3</v>
      </c>
      <c r="F421">
        <v>32513400.5</v>
      </c>
      <c r="G421">
        <v>0</v>
      </c>
      <c r="L421" t="s">
        <v>8</v>
      </c>
      <c r="M421" t="s">
        <v>7</v>
      </c>
      <c r="N421" t="s">
        <v>7</v>
      </c>
      <c r="P421">
        <f t="shared" si="974"/>
        <v>-0.3015873015873029</v>
      </c>
      <c r="Q421">
        <f t="shared" si="975"/>
        <v>-9805628.7222222649</v>
      </c>
      <c r="R421">
        <f t="shared" si="976"/>
        <v>-2109662784.1184866</v>
      </c>
      <c r="S421">
        <f t="shared" si="977"/>
        <v>-21096.627841184865</v>
      </c>
      <c r="T421">
        <f t="shared" si="978"/>
        <v>-21.096627841184866</v>
      </c>
    </row>
    <row r="422" spans="1:20" x14ac:dyDescent="0.25">
      <c r="A422" s="5">
        <v>44171</v>
      </c>
      <c r="B422">
        <v>6.13E-3</v>
      </c>
      <c r="C422">
        <v>6.6699999999999997E-3</v>
      </c>
      <c r="D422">
        <v>6.0400000000000002E-3</v>
      </c>
      <c r="E422">
        <v>6.3699999999999998E-3</v>
      </c>
      <c r="F422">
        <v>51739051.799999997</v>
      </c>
      <c r="G422">
        <v>0</v>
      </c>
      <c r="L422" t="s">
        <v>8</v>
      </c>
      <c r="M422" t="s">
        <v>7</v>
      </c>
      <c r="N422" t="s">
        <v>7</v>
      </c>
      <c r="P422">
        <f t="shared" si="974"/>
        <v>4.7619047619047096E-2</v>
      </c>
      <c r="Q422">
        <f t="shared" si="975"/>
        <v>2463764.3714285442</v>
      </c>
      <c r="R422">
        <f t="shared" si="976"/>
        <v>-2099857155.3962643</v>
      </c>
      <c r="S422">
        <f t="shared" si="977"/>
        <v>-20998.571553962644</v>
      </c>
      <c r="T422">
        <f t="shared" si="978"/>
        <v>-20.998571553962645</v>
      </c>
    </row>
    <row r="423" spans="1:20" x14ac:dyDescent="0.25">
      <c r="A423" s="5">
        <v>44170</v>
      </c>
      <c r="B423">
        <v>5.9199999999999999E-3</v>
      </c>
      <c r="C423">
        <v>6.1399999999999996E-3</v>
      </c>
      <c r="D423">
        <v>5.8300000000000001E-3</v>
      </c>
      <c r="E423">
        <v>6.13E-3</v>
      </c>
      <c r="F423">
        <v>8949755.4000000004</v>
      </c>
      <c r="G423">
        <v>0</v>
      </c>
      <c r="L423" t="s">
        <v>7</v>
      </c>
      <c r="M423" t="s">
        <v>7</v>
      </c>
      <c r="N423" t="s">
        <v>7</v>
      </c>
      <c r="P423">
        <f t="shared" si="974"/>
        <v>0.93548387096774444</v>
      </c>
      <c r="Q423">
        <f t="shared" si="975"/>
        <v>8372351.8258064743</v>
      </c>
      <c r="R423">
        <f t="shared" si="976"/>
        <v>-2102320919.7676928</v>
      </c>
      <c r="S423">
        <f t="shared" si="977"/>
        <v>-21023.20919767693</v>
      </c>
      <c r="T423">
        <f t="shared" si="978"/>
        <v>-21.02320919767693</v>
      </c>
    </row>
    <row r="424" spans="1:20" x14ac:dyDescent="0.25">
      <c r="A424" s="5">
        <v>44169</v>
      </c>
      <c r="B424">
        <v>6.2700000000000004E-3</v>
      </c>
      <c r="C424">
        <v>6.3600000000000002E-3</v>
      </c>
      <c r="D424">
        <v>5.8900000000000003E-3</v>
      </c>
      <c r="E424">
        <v>5.8900000000000003E-3</v>
      </c>
      <c r="F424">
        <v>18040578.399999999</v>
      </c>
      <c r="G424">
        <v>0</v>
      </c>
      <c r="L424" t="s">
        <v>7</v>
      </c>
      <c r="M424" t="s">
        <v>7</v>
      </c>
      <c r="N424" t="s">
        <v>7</v>
      </c>
      <c r="P424">
        <f t="shared" si="974"/>
        <v>-1</v>
      </c>
      <c r="Q424">
        <f t="shared" si="975"/>
        <v>-18040578.399999999</v>
      </c>
      <c r="R424">
        <f t="shared" si="976"/>
        <v>-2110693271.5934992</v>
      </c>
      <c r="S424">
        <f t="shared" si="977"/>
        <v>-21106.932715934992</v>
      </c>
      <c r="T424">
        <f t="shared" si="978"/>
        <v>-21.106932715934992</v>
      </c>
    </row>
    <row r="425" spans="1:20" x14ac:dyDescent="0.25">
      <c r="A425" s="5">
        <v>44168</v>
      </c>
      <c r="B425">
        <v>6.3299999999999997E-3</v>
      </c>
      <c r="C425">
        <v>6.3499999999999997E-3</v>
      </c>
      <c r="D425">
        <v>6.13E-3</v>
      </c>
      <c r="E425">
        <v>6.28E-3</v>
      </c>
      <c r="F425">
        <v>22526829</v>
      </c>
      <c r="G425">
        <v>0</v>
      </c>
      <c r="L425" t="s">
        <v>8</v>
      </c>
      <c r="M425" t="s">
        <v>7</v>
      </c>
      <c r="N425" t="s">
        <v>7</v>
      </c>
      <c r="P425">
        <f t="shared" si="974"/>
        <v>0.36363636363636509</v>
      </c>
      <c r="Q425">
        <f t="shared" si="975"/>
        <v>8191574.1818182142</v>
      </c>
      <c r="R425">
        <f t="shared" si="976"/>
        <v>-2092652693.1934991</v>
      </c>
      <c r="S425">
        <f t="shared" si="977"/>
        <v>-20926.52693193499</v>
      </c>
      <c r="T425">
        <f t="shared" si="978"/>
        <v>-20.92652693193499</v>
      </c>
    </row>
    <row r="426" spans="1:20" x14ac:dyDescent="0.25">
      <c r="A426" s="5">
        <v>44167</v>
      </c>
      <c r="B426">
        <v>6.3699999999999998E-3</v>
      </c>
      <c r="C426">
        <v>6.3899999999999998E-3</v>
      </c>
      <c r="D426">
        <v>5.7999999999999996E-3</v>
      </c>
      <c r="E426">
        <v>6.3099999999999996E-3</v>
      </c>
      <c r="F426">
        <v>65892300.200000003</v>
      </c>
      <c r="G426">
        <v>0</v>
      </c>
      <c r="L426" t="s">
        <v>7</v>
      </c>
      <c r="M426" t="s">
        <v>7</v>
      </c>
      <c r="N426" t="s">
        <v>7</v>
      </c>
      <c r="P426">
        <f t="shared" si="974"/>
        <v>0.72881355932203329</v>
      </c>
      <c r="Q426">
        <f t="shared" si="975"/>
        <v>48023201.840677924</v>
      </c>
      <c r="R426">
        <f t="shared" si="976"/>
        <v>-2100844267.3753173</v>
      </c>
      <c r="S426">
        <f t="shared" si="977"/>
        <v>-21008.442673753172</v>
      </c>
      <c r="T426">
        <f t="shared" si="978"/>
        <v>-21.008442673753173</v>
      </c>
    </row>
    <row r="427" spans="1:20" x14ac:dyDescent="0.25">
      <c r="A427" s="5">
        <v>44166</v>
      </c>
      <c r="B427">
        <v>6.3600000000000002E-3</v>
      </c>
      <c r="C427">
        <v>7.0499999999999998E-3</v>
      </c>
      <c r="D427">
        <v>6.1700000000000001E-3</v>
      </c>
      <c r="E427">
        <v>6.4000000000000003E-3</v>
      </c>
      <c r="F427">
        <v>39809757.799999997</v>
      </c>
      <c r="G427">
        <v>0</v>
      </c>
      <c r="L427" t="s">
        <v>8</v>
      </c>
      <c r="M427" t="s">
        <v>8</v>
      </c>
      <c r="N427" t="s">
        <v>7</v>
      </c>
      <c r="P427">
        <f t="shared" si="974"/>
        <v>-0.47727272727272674</v>
      </c>
      <c r="Q427">
        <f t="shared" si="975"/>
        <v>-19000111.677272703</v>
      </c>
      <c r="R427">
        <f t="shared" si="976"/>
        <v>-2148867469.2159953</v>
      </c>
      <c r="S427">
        <f t="shared" si="977"/>
        <v>-21488.674692159952</v>
      </c>
      <c r="T427">
        <f t="shared" si="978"/>
        <v>-21.48867469215995</v>
      </c>
    </row>
    <row r="428" spans="1:20" x14ac:dyDescent="0.25">
      <c r="A428" s="5">
        <v>44165</v>
      </c>
      <c r="B428">
        <v>6.3099999999999996E-3</v>
      </c>
      <c r="C428">
        <v>6.5799999999999999E-3</v>
      </c>
      <c r="D428">
        <v>6.1900000000000002E-3</v>
      </c>
      <c r="E428">
        <v>6.3899999999999998E-3</v>
      </c>
      <c r="F428">
        <v>32681350.100000001</v>
      </c>
      <c r="G428">
        <v>0</v>
      </c>
      <c r="L428" t="s">
        <v>8</v>
      </c>
      <c r="M428" t="s">
        <v>7</v>
      </c>
      <c r="N428" t="s">
        <v>7</v>
      </c>
      <c r="P428">
        <f t="shared" si="974"/>
        <v>2.5641025641024613E-2</v>
      </c>
      <c r="Q428">
        <f t="shared" si="975"/>
        <v>837983.33589740237</v>
      </c>
      <c r="R428">
        <f t="shared" si="976"/>
        <v>-2129867357.5387225</v>
      </c>
      <c r="S428">
        <f t="shared" si="977"/>
        <v>-21298.673575387224</v>
      </c>
      <c r="T428">
        <f t="shared" si="978"/>
        <v>-21.298673575387223</v>
      </c>
    </row>
    <row r="429" spans="1:20" x14ac:dyDescent="0.25">
      <c r="A429" s="5">
        <v>44164</v>
      </c>
      <c r="B429">
        <v>6.3E-3</v>
      </c>
      <c r="C429">
        <v>6.4900000000000001E-3</v>
      </c>
      <c r="D429">
        <v>6.0800000000000003E-3</v>
      </c>
      <c r="E429">
        <v>6.3099999999999996E-3</v>
      </c>
      <c r="F429">
        <v>19261405.100000001</v>
      </c>
      <c r="G429">
        <v>0</v>
      </c>
      <c r="L429" t="s">
        <v>8</v>
      </c>
      <c r="M429" t="s">
        <v>7</v>
      </c>
      <c r="N429" t="s">
        <v>7</v>
      </c>
      <c r="P429">
        <f t="shared" si="974"/>
        <v>0.12195121951219233</v>
      </c>
      <c r="Q429">
        <f t="shared" si="975"/>
        <v>2348951.8414633609</v>
      </c>
      <c r="R429">
        <f t="shared" si="976"/>
        <v>-2130705340.87462</v>
      </c>
      <c r="S429">
        <f t="shared" si="977"/>
        <v>-21307.0534087462</v>
      </c>
      <c r="T429">
        <f t="shared" si="978"/>
        <v>-21.307053408746199</v>
      </c>
    </row>
    <row r="430" spans="1:20" x14ac:dyDescent="0.25">
      <c r="A430" s="5">
        <v>44163</v>
      </c>
      <c r="B430">
        <v>6.0400000000000002E-3</v>
      </c>
      <c r="C430">
        <v>6.3400000000000001E-3</v>
      </c>
      <c r="D430">
        <v>5.8199999999999997E-3</v>
      </c>
      <c r="E430">
        <v>6.3E-3</v>
      </c>
      <c r="F430">
        <v>16124682.1</v>
      </c>
      <c r="G430">
        <v>0</v>
      </c>
      <c r="L430" t="s">
        <v>8</v>
      </c>
      <c r="M430" t="s">
        <v>7</v>
      </c>
      <c r="N430" t="s">
        <v>7</v>
      </c>
      <c r="P430">
        <f t="shared" si="974"/>
        <v>0.84615384615384592</v>
      </c>
      <c r="Q430">
        <f t="shared" si="975"/>
        <v>13643961.776923073</v>
      </c>
      <c r="R430">
        <f t="shared" si="976"/>
        <v>-2133054292.7160833</v>
      </c>
      <c r="S430">
        <f t="shared" si="977"/>
        <v>-21330.542927160834</v>
      </c>
      <c r="T430">
        <f t="shared" si="978"/>
        <v>-21.330542927160835</v>
      </c>
    </row>
    <row r="431" spans="1:20" x14ac:dyDescent="0.25">
      <c r="A431" s="5">
        <v>44162</v>
      </c>
      <c r="B431">
        <v>6.0800000000000003E-3</v>
      </c>
      <c r="C431">
        <v>6.2500000000000003E-3</v>
      </c>
      <c r="D431">
        <v>5.8999999999999999E-3</v>
      </c>
      <c r="E431">
        <v>6.0800000000000003E-3</v>
      </c>
      <c r="F431">
        <v>15809457.300000001</v>
      </c>
      <c r="G431">
        <v>0</v>
      </c>
      <c r="L431" t="s">
        <v>8</v>
      </c>
      <c r="M431" t="s">
        <v>7</v>
      </c>
      <c r="N431" t="s">
        <v>7</v>
      </c>
      <c r="P431">
        <f t="shared" si="974"/>
        <v>2.8571428571429847E-2</v>
      </c>
      <c r="Q431">
        <f t="shared" si="975"/>
        <v>451698.78000002017</v>
      </c>
      <c r="R431">
        <f t="shared" si="976"/>
        <v>-2146698254.4930065</v>
      </c>
      <c r="S431">
        <f t="shared" si="977"/>
        <v>-21466.982544930066</v>
      </c>
      <c r="T431">
        <f t="shared" si="978"/>
        <v>-21.466982544930065</v>
      </c>
    </row>
    <row r="432" spans="1:20" x14ac:dyDescent="0.25">
      <c r="A432" s="5">
        <v>44161</v>
      </c>
      <c r="B432">
        <v>6.8799999999999998E-3</v>
      </c>
      <c r="C432">
        <v>7.0499999999999998E-3</v>
      </c>
      <c r="D432">
        <v>5.7000000000000002E-3</v>
      </c>
      <c r="E432">
        <v>6.0800000000000003E-3</v>
      </c>
      <c r="F432">
        <v>63871959.200000003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-0.43703703703703667</v>
      </c>
      <c r="Q432">
        <f t="shared" si="975"/>
        <v>-27914411.798518497</v>
      </c>
      <c r="R432">
        <f t="shared" si="976"/>
        <v>-2147149953.2730064</v>
      </c>
      <c r="S432">
        <f t="shared" si="977"/>
        <v>-21471.499532730064</v>
      </c>
      <c r="T432">
        <f t="shared" si="978"/>
        <v>-21.471499532730064</v>
      </c>
    </row>
    <row r="433" spans="1:20" x14ac:dyDescent="0.25">
      <c r="A433" s="5">
        <v>44160</v>
      </c>
      <c r="B433">
        <v>6.8599999999999998E-3</v>
      </c>
      <c r="C433">
        <v>7.5100000000000002E-3</v>
      </c>
      <c r="D433">
        <v>6.5500000000000003E-3</v>
      </c>
      <c r="E433">
        <v>6.9199999999999999E-3</v>
      </c>
      <c r="F433">
        <v>95729700.5</v>
      </c>
      <c r="G433">
        <v>0</v>
      </c>
      <c r="L433" t="s">
        <v>7</v>
      </c>
      <c r="M433" t="s">
        <v>7</v>
      </c>
      <c r="N433" t="s">
        <v>8</v>
      </c>
      <c r="P433">
        <f t="shared" si="974"/>
        <v>-0.2291666666666673</v>
      </c>
      <c r="Q433">
        <f t="shared" si="975"/>
        <v>-21938056.364583395</v>
      </c>
      <c r="R433">
        <f t="shared" si="976"/>
        <v>-2119235541.474488</v>
      </c>
      <c r="S433">
        <f t="shared" si="977"/>
        <v>-21192.355414744881</v>
      </c>
      <c r="T433">
        <f t="shared" si="978"/>
        <v>-21.192355414744881</v>
      </c>
    </row>
    <row r="434" spans="1:20" x14ac:dyDescent="0.25">
      <c r="A434" s="5">
        <v>44159</v>
      </c>
      <c r="B434">
        <v>6.2700000000000004E-3</v>
      </c>
      <c r="C434">
        <v>8.0000000000000002E-3</v>
      </c>
      <c r="D434">
        <v>6.2300000000000003E-3</v>
      </c>
      <c r="E434">
        <v>6.8399999999999997E-3</v>
      </c>
      <c r="F434">
        <v>153933159.59999999</v>
      </c>
      <c r="G434">
        <v>0</v>
      </c>
      <c r="L434" t="s">
        <v>8</v>
      </c>
      <c r="M434" t="s">
        <v>8</v>
      </c>
      <c r="N434" t="s">
        <v>8</v>
      </c>
      <c r="P434">
        <f t="shared" si="974"/>
        <v>-0.31073446327683674</v>
      </c>
      <c r="Q434">
        <f t="shared" si="975"/>
        <v>-47832337.728813648</v>
      </c>
      <c r="R434">
        <f t="shared" si="976"/>
        <v>-2097297485.1099045</v>
      </c>
      <c r="S434">
        <f t="shared" si="977"/>
        <v>-20972.974851099047</v>
      </c>
      <c r="T434">
        <f t="shared" si="978"/>
        <v>-20.972974851099046</v>
      </c>
    </row>
    <row r="435" spans="1:20" x14ac:dyDescent="0.25">
      <c r="A435" s="5">
        <v>44158</v>
      </c>
      <c r="B435">
        <v>5.9500000000000004E-3</v>
      </c>
      <c r="C435">
        <v>6.4900000000000001E-3</v>
      </c>
      <c r="D435">
        <v>5.8599999999999998E-3</v>
      </c>
      <c r="E435">
        <v>6.28E-3</v>
      </c>
      <c r="F435">
        <v>32409158.899999999</v>
      </c>
      <c r="G435">
        <v>0</v>
      </c>
      <c r="L435" t="s">
        <v>7</v>
      </c>
      <c r="M435" t="s">
        <v>8</v>
      </c>
      <c r="N435" t="s">
        <v>7</v>
      </c>
      <c r="P435">
        <f t="shared" si="974"/>
        <v>0.33333333333333331</v>
      </c>
      <c r="Q435">
        <f t="shared" si="975"/>
        <v>10803052.966666665</v>
      </c>
      <c r="R435">
        <f t="shared" si="976"/>
        <v>-2049465147.3810909</v>
      </c>
      <c r="S435">
        <f t="shared" si="977"/>
        <v>-20494.651473810907</v>
      </c>
      <c r="T435">
        <f t="shared" si="978"/>
        <v>-20.494651473810908</v>
      </c>
    </row>
    <row r="436" spans="1:20" x14ac:dyDescent="0.25">
      <c r="A436" s="5">
        <v>44157</v>
      </c>
      <c r="B436">
        <v>6.0499999999999998E-3</v>
      </c>
      <c r="C436">
        <v>6.4999999999999997E-3</v>
      </c>
      <c r="D436">
        <v>5.7499999999999999E-3</v>
      </c>
      <c r="E436">
        <v>5.9500000000000004E-3</v>
      </c>
      <c r="F436">
        <v>64046255.799999997</v>
      </c>
      <c r="G436">
        <v>0</v>
      </c>
      <c r="L436" t="s">
        <v>8</v>
      </c>
      <c r="M436" t="s">
        <v>8</v>
      </c>
      <c r="N436" t="s">
        <v>7</v>
      </c>
      <c r="P436">
        <f t="shared" si="974"/>
        <v>-0.46666666666666512</v>
      </c>
      <c r="Q436">
        <f t="shared" si="975"/>
        <v>-29888252.706666566</v>
      </c>
      <c r="R436">
        <f t="shared" si="976"/>
        <v>-2060268200.3477576</v>
      </c>
      <c r="S436">
        <f t="shared" si="977"/>
        <v>-20602.682003477577</v>
      </c>
      <c r="T436">
        <f t="shared" si="978"/>
        <v>-20.602682003477579</v>
      </c>
    </row>
    <row r="437" spans="1:20" x14ac:dyDescent="0.25">
      <c r="A437" s="5">
        <v>44156</v>
      </c>
      <c r="B437">
        <v>5.7800000000000004E-3</v>
      </c>
      <c r="C437">
        <v>6.0400000000000002E-3</v>
      </c>
      <c r="D437">
        <v>5.6800000000000002E-3</v>
      </c>
      <c r="E437">
        <v>6.0400000000000002E-3</v>
      </c>
      <c r="F437">
        <v>23076932.800000001</v>
      </c>
      <c r="G437">
        <v>0</v>
      </c>
      <c r="L437" t="s">
        <v>8</v>
      </c>
      <c r="M437" t="s">
        <v>7</v>
      </c>
      <c r="N437" t="s">
        <v>7</v>
      </c>
      <c r="P437">
        <f t="shared" si="974"/>
        <v>1</v>
      </c>
      <c r="Q437">
        <f t="shared" si="975"/>
        <v>23076932.800000001</v>
      </c>
      <c r="R437">
        <f t="shared" si="976"/>
        <v>-2030379947.6410911</v>
      </c>
      <c r="S437">
        <f t="shared" si="977"/>
        <v>-20303.79947641091</v>
      </c>
      <c r="T437">
        <f t="shared" si="978"/>
        <v>-20.303799476410909</v>
      </c>
    </row>
    <row r="438" spans="1:20" x14ac:dyDescent="0.25">
      <c r="A438" s="5">
        <v>44155</v>
      </c>
      <c r="B438">
        <v>5.4900000000000001E-3</v>
      </c>
      <c r="C438">
        <v>5.8799999999999998E-3</v>
      </c>
      <c r="D438">
        <v>5.4799999999999996E-3</v>
      </c>
      <c r="E438">
        <v>5.7800000000000004E-3</v>
      </c>
      <c r="F438">
        <v>25643339.699999999</v>
      </c>
      <c r="G438">
        <v>0</v>
      </c>
      <c r="L438" t="s">
        <v>8</v>
      </c>
      <c r="M438" t="s">
        <v>7</v>
      </c>
      <c r="N438" t="s">
        <v>7</v>
      </c>
      <c r="P438">
        <f t="shared" si="974"/>
        <v>0.50000000000000322</v>
      </c>
      <c r="Q438">
        <f t="shared" si="975"/>
        <v>12821669.850000082</v>
      </c>
      <c r="R438">
        <f t="shared" si="976"/>
        <v>-2053456880.4410911</v>
      </c>
      <c r="S438">
        <f t="shared" si="977"/>
        <v>-20534.568804410912</v>
      </c>
      <c r="T438">
        <f t="shared" si="978"/>
        <v>-20.534568804410913</v>
      </c>
    </row>
    <row r="439" spans="1:20" x14ac:dyDescent="0.25">
      <c r="A439" s="5">
        <v>44154</v>
      </c>
      <c r="B439">
        <v>5.4799999999999996E-3</v>
      </c>
      <c r="C439">
        <v>5.7000000000000002E-3</v>
      </c>
      <c r="D439">
        <v>5.3400000000000001E-3</v>
      </c>
      <c r="E439">
        <v>5.4599999999999996E-3</v>
      </c>
      <c r="F439">
        <v>25703487.399999999</v>
      </c>
      <c r="G439">
        <v>0</v>
      </c>
      <c r="L439" t="s">
        <v>8</v>
      </c>
      <c r="M439" t="s">
        <v>7</v>
      </c>
      <c r="N439" t="s">
        <v>7</v>
      </c>
      <c r="P439">
        <f t="shared" si="974"/>
        <v>-0.33333333333333653</v>
      </c>
      <c r="Q439">
        <f t="shared" si="975"/>
        <v>-8567829.1333334148</v>
      </c>
      <c r="R439">
        <f t="shared" si="976"/>
        <v>-2066278550.2910912</v>
      </c>
      <c r="S439">
        <f t="shared" si="977"/>
        <v>-20662.785502910912</v>
      </c>
      <c r="T439">
        <f t="shared" si="978"/>
        <v>-20.662785502910911</v>
      </c>
    </row>
    <row r="440" spans="1:20" x14ac:dyDescent="0.25">
      <c r="A440" s="5">
        <v>44153</v>
      </c>
      <c r="B440">
        <v>5.7499999999999999E-3</v>
      </c>
      <c r="C440">
        <v>5.79E-3</v>
      </c>
      <c r="D440">
        <v>5.2599999999999999E-3</v>
      </c>
      <c r="E440">
        <v>5.4900000000000001E-3</v>
      </c>
      <c r="F440">
        <v>33105283.300000001</v>
      </c>
      <c r="G440">
        <v>0</v>
      </c>
      <c r="L440" t="s">
        <v>7</v>
      </c>
      <c r="M440" t="s">
        <v>7</v>
      </c>
      <c r="N440" t="s">
        <v>7</v>
      </c>
      <c r="P440">
        <f t="shared" si="974"/>
        <v>-0.13207547169811271</v>
      </c>
      <c r="Q440">
        <f t="shared" si="975"/>
        <v>-4372395.9075471535</v>
      </c>
      <c r="R440">
        <f t="shared" si="976"/>
        <v>-2057710721.1577578</v>
      </c>
      <c r="S440">
        <f t="shared" si="977"/>
        <v>-20577.107211577579</v>
      </c>
      <c r="T440">
        <f t="shared" si="978"/>
        <v>-20.57710721157758</v>
      </c>
    </row>
    <row r="441" spans="1:20" x14ac:dyDescent="0.25">
      <c r="A441" s="5">
        <v>44152</v>
      </c>
      <c r="B441">
        <v>6.0000000000000001E-3</v>
      </c>
      <c r="C441">
        <v>6.11E-3</v>
      </c>
      <c r="D441">
        <v>5.5399999999999998E-3</v>
      </c>
      <c r="E441">
        <v>5.7499999999999999E-3</v>
      </c>
      <c r="F441">
        <v>53685776.600000001</v>
      </c>
      <c r="G441">
        <v>0</v>
      </c>
      <c r="L441" t="s">
        <v>7</v>
      </c>
      <c r="M441" t="s">
        <v>7</v>
      </c>
      <c r="N441" t="s">
        <v>7</v>
      </c>
      <c r="P441">
        <f t="shared" si="974"/>
        <v>-0.26315789473684192</v>
      </c>
      <c r="Q441">
        <f t="shared" si="975"/>
        <v>-14127835.947368411</v>
      </c>
      <c r="R441">
        <f t="shared" si="976"/>
        <v>-2053338325.2502105</v>
      </c>
      <c r="S441">
        <f t="shared" si="977"/>
        <v>-20533.383252502106</v>
      </c>
      <c r="T441">
        <f t="shared" si="978"/>
        <v>-20.533383252502105</v>
      </c>
    </row>
    <row r="442" spans="1:20" x14ac:dyDescent="0.25">
      <c r="A442" s="5">
        <v>44151</v>
      </c>
      <c r="B442">
        <v>5.79E-3</v>
      </c>
      <c r="C442">
        <v>6.0299999999999998E-3</v>
      </c>
      <c r="D442">
        <v>5.7400000000000003E-3</v>
      </c>
      <c r="E442">
        <v>5.96E-3</v>
      </c>
      <c r="F442">
        <v>14487277.800000001</v>
      </c>
      <c r="G442">
        <v>0</v>
      </c>
      <c r="L442" t="s">
        <v>7</v>
      </c>
      <c r="M442" t="s">
        <v>8</v>
      </c>
      <c r="N442" t="s">
        <v>7</v>
      </c>
      <c r="P442">
        <f t="shared" si="974"/>
        <v>0.51724137931034564</v>
      </c>
      <c r="Q442">
        <f t="shared" si="975"/>
        <v>7493419.5517241498</v>
      </c>
      <c r="R442">
        <f t="shared" si="976"/>
        <v>-2039210489.3028421</v>
      </c>
      <c r="S442">
        <f t="shared" si="977"/>
        <v>-20392.10489302842</v>
      </c>
      <c r="T442">
        <f t="shared" si="978"/>
        <v>-20.392104893028421</v>
      </c>
    </row>
    <row r="443" spans="1:20" x14ac:dyDescent="0.25">
      <c r="A443" s="5">
        <v>44150</v>
      </c>
      <c r="B443">
        <v>5.8999999999999999E-3</v>
      </c>
      <c r="C443">
        <v>6.1999999999999998E-3</v>
      </c>
      <c r="D443">
        <v>5.7299999999999999E-3</v>
      </c>
      <c r="E443">
        <v>5.7999999999999996E-3</v>
      </c>
      <c r="F443">
        <v>19628704.5</v>
      </c>
      <c r="G443">
        <v>0</v>
      </c>
      <c r="L443" t="s">
        <v>8</v>
      </c>
      <c r="M443" t="s">
        <v>8</v>
      </c>
      <c r="N443" t="s">
        <v>7</v>
      </c>
      <c r="P443">
        <f t="shared" si="974"/>
        <v>-0.7021276595744691</v>
      </c>
      <c r="Q443">
        <f t="shared" si="975"/>
        <v>-13781856.351063849</v>
      </c>
      <c r="R443">
        <f t="shared" si="976"/>
        <v>-2046703908.8545663</v>
      </c>
      <c r="S443">
        <f t="shared" si="977"/>
        <v>-20467.039088545662</v>
      </c>
      <c r="T443">
        <f t="shared" si="978"/>
        <v>-20.467039088545661</v>
      </c>
    </row>
    <row r="444" spans="1:20" x14ac:dyDescent="0.25">
      <c r="A444" s="5">
        <v>44149</v>
      </c>
      <c r="B444">
        <v>6.3699999999999998E-3</v>
      </c>
      <c r="C444">
        <v>6.43E-3</v>
      </c>
      <c r="D444">
        <v>5.7200000000000003E-3</v>
      </c>
      <c r="E444">
        <v>5.8799999999999998E-3</v>
      </c>
      <c r="F444">
        <v>18645693.699999999</v>
      </c>
      <c r="G444">
        <v>0</v>
      </c>
      <c r="L444" t="s">
        <v>7</v>
      </c>
      <c r="M444" t="s">
        <v>8</v>
      </c>
      <c r="N444" t="s">
        <v>7</v>
      </c>
      <c r="P444">
        <f t="shared" si="974"/>
        <v>-0.54929577464788837</v>
      </c>
      <c r="Q444">
        <f t="shared" si="975"/>
        <v>-10242000.764788751</v>
      </c>
      <c r="R444">
        <f t="shared" si="976"/>
        <v>-2032922052.5035024</v>
      </c>
      <c r="S444">
        <f t="shared" si="977"/>
        <v>-20329.220525035023</v>
      </c>
      <c r="T444">
        <f t="shared" si="978"/>
        <v>-20.329220525035023</v>
      </c>
    </row>
    <row r="445" spans="1:20" x14ac:dyDescent="0.25">
      <c r="A445" s="5">
        <v>44148</v>
      </c>
      <c r="B445">
        <v>6.2599999999999999E-3</v>
      </c>
      <c r="C445">
        <v>6.4000000000000003E-3</v>
      </c>
      <c r="D445">
        <v>6.1799999999999997E-3</v>
      </c>
      <c r="E445">
        <v>6.3699999999999998E-3</v>
      </c>
      <c r="F445">
        <v>5760643.7000000002</v>
      </c>
      <c r="G445">
        <v>0</v>
      </c>
      <c r="L445" t="s">
        <v>7</v>
      </c>
      <c r="M445" t="s">
        <v>8</v>
      </c>
      <c r="N445" t="s">
        <v>7</v>
      </c>
      <c r="P445">
        <f t="shared" si="974"/>
        <v>0.7272727272727233</v>
      </c>
      <c r="Q445">
        <f t="shared" si="975"/>
        <v>4189559.0545454319</v>
      </c>
      <c r="R445">
        <f t="shared" si="976"/>
        <v>-2022680051.7387135</v>
      </c>
      <c r="S445">
        <f t="shared" si="977"/>
        <v>-20226.800517387135</v>
      </c>
      <c r="T445">
        <f t="shared" si="978"/>
        <v>-20.226800517387137</v>
      </c>
    </row>
    <row r="446" spans="1:20" x14ac:dyDescent="0.25">
      <c r="A446" s="5">
        <v>44147</v>
      </c>
      <c r="B446">
        <v>6.3699999999999998E-3</v>
      </c>
      <c r="C446">
        <v>6.43E-3</v>
      </c>
      <c r="D446">
        <v>5.9699999999999996E-3</v>
      </c>
      <c r="E446">
        <v>6.2599999999999999E-3</v>
      </c>
      <c r="F446">
        <v>11230006.199999999</v>
      </c>
      <c r="G446">
        <v>0</v>
      </c>
      <c r="L446" t="s">
        <v>7</v>
      </c>
      <c r="M446" t="s">
        <v>8</v>
      </c>
      <c r="N446" t="s">
        <v>7</v>
      </c>
      <c r="P446">
        <f t="shared" si="974"/>
        <v>0.2608695652173918</v>
      </c>
      <c r="Q446">
        <f t="shared" si="975"/>
        <v>2929566.8347826139</v>
      </c>
      <c r="R446">
        <f t="shared" si="976"/>
        <v>-2026869610.7932589</v>
      </c>
      <c r="S446">
        <f t="shared" si="977"/>
        <v>-20268.696107932588</v>
      </c>
      <c r="T446">
        <f t="shared" si="978"/>
        <v>-20.268696107932588</v>
      </c>
    </row>
    <row r="447" spans="1:20" x14ac:dyDescent="0.25">
      <c r="A447" s="5">
        <v>44146</v>
      </c>
      <c r="B447">
        <v>6.5500000000000003E-3</v>
      </c>
      <c r="C447">
        <v>6.7499999999999999E-3</v>
      </c>
      <c r="D447">
        <v>6.1799999999999997E-3</v>
      </c>
      <c r="E447">
        <v>6.3600000000000002E-3</v>
      </c>
      <c r="F447">
        <v>15526162.699999999</v>
      </c>
      <c r="G447">
        <v>0</v>
      </c>
      <c r="L447" t="s">
        <v>8</v>
      </c>
      <c r="M447" t="s">
        <v>8</v>
      </c>
      <c r="N447" t="s">
        <v>7</v>
      </c>
      <c r="P447">
        <f t="shared" si="974"/>
        <v>-0.36842105263157748</v>
      </c>
      <c r="Q447">
        <f t="shared" si="975"/>
        <v>-5720165.205263135</v>
      </c>
      <c r="R447">
        <f t="shared" si="976"/>
        <v>-2029799177.6280415</v>
      </c>
      <c r="S447">
        <f t="shared" si="977"/>
        <v>-20297.991776280414</v>
      </c>
      <c r="T447">
        <f t="shared" si="978"/>
        <v>-20.297991776280416</v>
      </c>
    </row>
    <row r="448" spans="1:20" x14ac:dyDescent="0.25">
      <c r="A448" s="5">
        <v>44145</v>
      </c>
      <c r="B448">
        <v>6.1999999999999998E-3</v>
      </c>
      <c r="C448">
        <v>6.6E-3</v>
      </c>
      <c r="D448">
        <v>6.13E-3</v>
      </c>
      <c r="E448">
        <v>6.5500000000000003E-3</v>
      </c>
      <c r="F448">
        <v>12932907.9</v>
      </c>
      <c r="G448">
        <v>0</v>
      </c>
      <c r="L448" t="s">
        <v>7</v>
      </c>
      <c r="M448" t="s">
        <v>8</v>
      </c>
      <c r="N448" t="s">
        <v>7</v>
      </c>
      <c r="P448">
        <f t="shared" si="974"/>
        <v>0.78723404255319274</v>
      </c>
      <c r="Q448">
        <f t="shared" si="975"/>
        <v>10181225.368085124</v>
      </c>
      <c r="R448">
        <f t="shared" si="976"/>
        <v>-2024079012.4227784</v>
      </c>
      <c r="S448">
        <f t="shared" si="977"/>
        <v>-20240.790124227784</v>
      </c>
      <c r="T448">
        <f t="shared" si="978"/>
        <v>-20.240790124227782</v>
      </c>
    </row>
    <row r="449" spans="1:20" x14ac:dyDescent="0.25">
      <c r="A449" s="5">
        <v>44144</v>
      </c>
      <c r="B449">
        <v>5.94E-3</v>
      </c>
      <c r="C449">
        <v>6.8900000000000003E-3</v>
      </c>
      <c r="D449">
        <v>5.9100000000000003E-3</v>
      </c>
      <c r="E449">
        <v>6.1999999999999998E-3</v>
      </c>
      <c r="F449">
        <v>48755735.799999997</v>
      </c>
      <c r="G449">
        <v>0</v>
      </c>
      <c r="L449" t="s">
        <v>8</v>
      </c>
      <c r="M449" t="s">
        <v>8</v>
      </c>
      <c r="N449" t="s">
        <v>7</v>
      </c>
      <c r="P449">
        <f t="shared" si="974"/>
        <v>-0.40816326530612351</v>
      </c>
      <c r="Q449">
        <f t="shared" si="975"/>
        <v>-19900300.326530661</v>
      </c>
      <c r="R449">
        <f t="shared" si="976"/>
        <v>-2034260237.7908635</v>
      </c>
      <c r="S449">
        <f t="shared" si="977"/>
        <v>-20342.602377908635</v>
      </c>
      <c r="T449">
        <f t="shared" si="978"/>
        <v>-20.342602377908637</v>
      </c>
    </row>
    <row r="450" spans="1:20" x14ac:dyDescent="0.25">
      <c r="A450" s="5">
        <v>44143</v>
      </c>
      <c r="B450">
        <v>5.7499999999999999E-3</v>
      </c>
      <c r="C450">
        <v>6.1799999999999997E-3</v>
      </c>
      <c r="D450">
        <v>5.6800000000000002E-3</v>
      </c>
      <c r="E450">
        <v>5.94E-3</v>
      </c>
      <c r="F450">
        <v>22383089.399999999</v>
      </c>
      <c r="G450">
        <v>0</v>
      </c>
      <c r="L450" t="s">
        <v>7</v>
      </c>
      <c r="M450" t="s">
        <v>8</v>
      </c>
      <c r="N450" t="s">
        <v>7</v>
      </c>
      <c r="P450">
        <f t="shared" si="974"/>
        <v>4.000000000000014E-2</v>
      </c>
      <c r="Q450">
        <f t="shared" si="975"/>
        <v>895323.57600000303</v>
      </c>
      <c r="R450">
        <f t="shared" si="976"/>
        <v>-2014359937.4643328</v>
      </c>
      <c r="S450">
        <f t="shared" si="977"/>
        <v>-20143.599374643327</v>
      </c>
      <c r="T450">
        <f t="shared" si="978"/>
        <v>-20.143599374643326</v>
      </c>
    </row>
    <row r="451" spans="1:20" x14ac:dyDescent="0.25">
      <c r="A451" s="5">
        <v>44142</v>
      </c>
      <c r="B451">
        <v>6.1799999999999997E-3</v>
      </c>
      <c r="C451">
        <v>6.45E-3</v>
      </c>
      <c r="D451">
        <v>5.5900000000000004E-3</v>
      </c>
      <c r="E451">
        <v>5.7499999999999999E-3</v>
      </c>
      <c r="F451">
        <v>27129700.100000001</v>
      </c>
      <c r="G451">
        <v>0</v>
      </c>
      <c r="L451" t="s">
        <v>8</v>
      </c>
      <c r="M451" t="s">
        <v>8</v>
      </c>
      <c r="N451" t="s">
        <v>7</v>
      </c>
      <c r="P451">
        <f t="shared" si="974"/>
        <v>-0.62790697674418694</v>
      </c>
      <c r="Q451">
        <f t="shared" si="975"/>
        <v>-17034927.969767466</v>
      </c>
      <c r="R451">
        <f t="shared" si="976"/>
        <v>-2015255261.0403328</v>
      </c>
      <c r="S451">
        <f t="shared" si="977"/>
        <v>-20152.552610403327</v>
      </c>
      <c r="T451">
        <f t="shared" si="978"/>
        <v>-20.152552610403326</v>
      </c>
    </row>
    <row r="452" spans="1:20" x14ac:dyDescent="0.25">
      <c r="A452" s="5">
        <v>44141</v>
      </c>
      <c r="B452">
        <v>5.5799999999999999E-3</v>
      </c>
      <c r="C452">
        <v>6.4000000000000003E-3</v>
      </c>
      <c r="D452">
        <v>5.5500000000000002E-3</v>
      </c>
      <c r="E452">
        <v>6.2300000000000003E-3</v>
      </c>
      <c r="F452">
        <v>52544882.899999999</v>
      </c>
      <c r="G452">
        <v>0</v>
      </c>
      <c r="L452" t="s">
        <v>8</v>
      </c>
      <c r="M452" t="s">
        <v>8</v>
      </c>
      <c r="N452" t="s">
        <v>7</v>
      </c>
      <c r="P452">
        <f t="shared" si="974"/>
        <v>0.6</v>
      </c>
      <c r="Q452">
        <f t="shared" si="975"/>
        <v>31526929.739999998</v>
      </c>
      <c r="R452">
        <f t="shared" si="976"/>
        <v>-1998220333.0705652</v>
      </c>
      <c r="S452">
        <f t="shared" si="977"/>
        <v>-19982.203330705652</v>
      </c>
      <c r="T452">
        <f t="shared" si="978"/>
        <v>-19.982203330705651</v>
      </c>
    </row>
    <row r="453" spans="1:20" x14ac:dyDescent="0.25">
      <c r="A453" s="5">
        <v>44140</v>
      </c>
      <c r="B453">
        <v>5.8599999999999998E-3</v>
      </c>
      <c r="C453">
        <v>5.8900000000000003E-3</v>
      </c>
      <c r="D453">
        <v>5.3099999999999996E-3</v>
      </c>
      <c r="E453">
        <v>5.5599999999999998E-3</v>
      </c>
      <c r="F453">
        <v>25488323.800000001</v>
      </c>
      <c r="G453">
        <v>0</v>
      </c>
      <c r="L453" t="s">
        <v>7</v>
      </c>
      <c r="M453" t="s">
        <v>7</v>
      </c>
      <c r="N453" t="s">
        <v>7</v>
      </c>
      <c r="P453">
        <f t="shared" si="974"/>
        <v>-0.13793103448275884</v>
      </c>
      <c r="Q453">
        <f t="shared" si="975"/>
        <v>-3515630.8689655229</v>
      </c>
      <c r="R453">
        <f t="shared" si="976"/>
        <v>-2029747262.8105652</v>
      </c>
      <c r="S453">
        <f t="shared" si="977"/>
        <v>-20297.472628105654</v>
      </c>
      <c r="T453">
        <f t="shared" si="978"/>
        <v>-20.297472628105655</v>
      </c>
    </row>
    <row r="454" spans="1:20" x14ac:dyDescent="0.25">
      <c r="A454" s="5">
        <v>44139</v>
      </c>
      <c r="B454">
        <v>5.79E-3</v>
      </c>
      <c r="C454">
        <v>5.9699999999999996E-3</v>
      </c>
      <c r="D454">
        <v>5.64E-3</v>
      </c>
      <c r="E454">
        <v>5.8199999999999997E-3</v>
      </c>
      <c r="F454">
        <v>4776679.5999999996</v>
      </c>
      <c r="G454">
        <v>0</v>
      </c>
      <c r="L454" t="s">
        <v>8</v>
      </c>
      <c r="M454" t="s">
        <v>7</v>
      </c>
      <c r="N454" t="s">
        <v>7</v>
      </c>
      <c r="P454">
        <f t="shared" ref="P454:P517" si="979">IF(C454=D454,0,((E454-D454)-(C454-E454))/(C454-D454))</f>
        <v>9.0909090909089954E-2</v>
      </c>
      <c r="Q454">
        <f t="shared" ref="Q454:Q517" si="980">F454*P454</f>
        <v>434243.59999999538</v>
      </c>
      <c r="R454">
        <f t="shared" ref="R454:R517" si="981">R455+Q454</f>
        <v>-2026231631.9415996</v>
      </c>
      <c r="S454">
        <f t="shared" ref="S454:S517" si="982">R454/100000</f>
        <v>-20262.316319415997</v>
      </c>
      <c r="T454">
        <f t="shared" ref="T454:T517" si="983">S454/1000</f>
        <v>-20.262316319415998</v>
      </c>
    </row>
    <row r="455" spans="1:20" x14ac:dyDescent="0.25">
      <c r="A455" s="5">
        <v>44138</v>
      </c>
      <c r="B455">
        <v>5.8300000000000001E-3</v>
      </c>
      <c r="C455">
        <v>5.9800000000000001E-3</v>
      </c>
      <c r="D455">
        <v>5.4900000000000001E-3</v>
      </c>
      <c r="E455">
        <v>5.7999999999999996E-3</v>
      </c>
      <c r="F455">
        <v>13225452.800000001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0.26530612244897767</v>
      </c>
      <c r="Q455">
        <f t="shared" si="980"/>
        <v>3508793.5999999749</v>
      </c>
      <c r="R455">
        <f t="shared" si="981"/>
        <v>-2026665875.5415995</v>
      </c>
      <c r="S455">
        <f t="shared" si="982"/>
        <v>-20266.658755415996</v>
      </c>
      <c r="T455">
        <f t="shared" si="983"/>
        <v>-20.266658755415996</v>
      </c>
    </row>
    <row r="456" spans="1:20" x14ac:dyDescent="0.25">
      <c r="A456" s="5">
        <v>44137</v>
      </c>
      <c r="B456">
        <v>5.8599999999999998E-3</v>
      </c>
      <c r="C456">
        <v>6.6E-3</v>
      </c>
      <c r="D456">
        <v>5.7999999999999996E-3</v>
      </c>
      <c r="E456">
        <v>5.8300000000000001E-3</v>
      </c>
      <c r="F456">
        <v>19996591.300000001</v>
      </c>
      <c r="G456">
        <v>0</v>
      </c>
      <c r="L456" t="s">
        <v>8</v>
      </c>
      <c r="M456" t="s">
        <v>8</v>
      </c>
      <c r="N456" t="s">
        <v>7</v>
      </c>
      <c r="P456">
        <f t="shared" si="979"/>
        <v>-0.92499999999999871</v>
      </c>
      <c r="Q456">
        <f t="shared" si="980"/>
        <v>-18496846.952499975</v>
      </c>
      <c r="R456">
        <f t="shared" si="981"/>
        <v>-2030174669.1415994</v>
      </c>
      <c r="S456">
        <f t="shared" si="982"/>
        <v>-20301.746691415996</v>
      </c>
      <c r="T456">
        <f t="shared" si="983"/>
        <v>-20.301746691415996</v>
      </c>
    </row>
    <row r="457" spans="1:20" x14ac:dyDescent="0.25">
      <c r="A457" s="5">
        <v>44136</v>
      </c>
      <c r="B457">
        <v>5.77E-3</v>
      </c>
      <c r="C457">
        <v>5.8799999999999998E-3</v>
      </c>
      <c r="D457">
        <v>5.6499999999999996E-3</v>
      </c>
      <c r="E457">
        <v>5.8500000000000002E-3</v>
      </c>
      <c r="F457">
        <v>2858582.1</v>
      </c>
      <c r="G457">
        <v>0</v>
      </c>
      <c r="L457" t="s">
        <v>7</v>
      </c>
      <c r="M457" t="s">
        <v>8</v>
      </c>
      <c r="N457" t="s">
        <v>7</v>
      </c>
      <c r="P457">
        <f t="shared" si="979"/>
        <v>0.73913043478261198</v>
      </c>
      <c r="Q457">
        <f t="shared" si="980"/>
        <v>2112865.0304347919</v>
      </c>
      <c r="R457">
        <f t="shared" si="981"/>
        <v>-2011677822.1890996</v>
      </c>
      <c r="S457">
        <f t="shared" si="982"/>
        <v>-20116.778221890996</v>
      </c>
      <c r="T457">
        <f t="shared" si="983"/>
        <v>-20.116778221890996</v>
      </c>
    </row>
    <row r="458" spans="1:20" x14ac:dyDescent="0.25">
      <c r="A458" s="5">
        <v>44135</v>
      </c>
      <c r="B458">
        <v>5.7800000000000004E-3</v>
      </c>
      <c r="C458">
        <v>5.9500000000000004E-3</v>
      </c>
      <c r="D458">
        <v>5.7200000000000003E-3</v>
      </c>
      <c r="E458">
        <v>5.7800000000000004E-3</v>
      </c>
      <c r="F458">
        <v>4713488.4000000004</v>
      </c>
      <c r="G458">
        <v>0</v>
      </c>
      <c r="L458" t="s">
        <v>7</v>
      </c>
      <c r="M458" t="s">
        <v>8</v>
      </c>
      <c r="N458" t="s">
        <v>7</v>
      </c>
      <c r="P458">
        <f t="shared" si="979"/>
        <v>-0.47826086956521641</v>
      </c>
      <c r="Q458">
        <f t="shared" si="980"/>
        <v>-2254277.0608695606</v>
      </c>
      <c r="R458">
        <f t="shared" si="981"/>
        <v>-2013790687.2195344</v>
      </c>
      <c r="S458">
        <f t="shared" si="982"/>
        <v>-20137.906872195344</v>
      </c>
      <c r="T458">
        <f t="shared" si="983"/>
        <v>-20.137906872195344</v>
      </c>
    </row>
    <row r="459" spans="1:20" x14ac:dyDescent="0.25">
      <c r="A459" s="5">
        <v>44134</v>
      </c>
      <c r="B459">
        <v>5.7099999999999998E-3</v>
      </c>
      <c r="C459">
        <v>6.1900000000000002E-3</v>
      </c>
      <c r="D459">
        <v>5.5100000000000001E-3</v>
      </c>
      <c r="E459">
        <v>5.7800000000000004E-3</v>
      </c>
      <c r="F459">
        <v>7607956.2000000002</v>
      </c>
      <c r="G459">
        <v>0</v>
      </c>
      <c r="L459" t="s">
        <v>8</v>
      </c>
      <c r="M459" t="s">
        <v>8</v>
      </c>
      <c r="N459" t="s">
        <v>7</v>
      </c>
      <c r="P459">
        <f t="shared" si="979"/>
        <v>-0.20588235294117571</v>
      </c>
      <c r="Q459">
        <f t="shared" si="980"/>
        <v>-1566343.9235294061</v>
      </c>
      <c r="R459">
        <f t="shared" si="981"/>
        <v>-2011536410.1586649</v>
      </c>
      <c r="S459">
        <f t="shared" si="982"/>
        <v>-20115.364101586649</v>
      </c>
      <c r="T459">
        <f t="shared" si="983"/>
        <v>-20.11536410158665</v>
      </c>
    </row>
    <row r="460" spans="1:20" x14ac:dyDescent="0.25">
      <c r="A460" s="5">
        <v>44133</v>
      </c>
      <c r="B460">
        <v>5.9199999999999999E-3</v>
      </c>
      <c r="C460">
        <v>6.0099999999999997E-3</v>
      </c>
      <c r="D460">
        <v>5.7299999999999999E-3</v>
      </c>
      <c r="E460">
        <v>5.7800000000000004E-3</v>
      </c>
      <c r="F460">
        <v>7028888.5</v>
      </c>
      <c r="G460">
        <v>0</v>
      </c>
      <c r="L460" t="s">
        <v>8</v>
      </c>
      <c r="M460" t="s">
        <v>8</v>
      </c>
      <c r="N460" t="s">
        <v>7</v>
      </c>
      <c r="P460">
        <f t="shared" si="979"/>
        <v>-0.64285714285713869</v>
      </c>
      <c r="Q460">
        <f t="shared" si="980"/>
        <v>-4518571.1785713993</v>
      </c>
      <c r="R460">
        <f t="shared" si="981"/>
        <v>-2009970066.2351356</v>
      </c>
      <c r="S460">
        <f t="shared" si="982"/>
        <v>-20099.700662351355</v>
      </c>
      <c r="T460">
        <f t="shared" si="983"/>
        <v>-20.099700662351356</v>
      </c>
    </row>
    <row r="461" spans="1:20" x14ac:dyDescent="0.25">
      <c r="A461" s="5">
        <v>44132</v>
      </c>
      <c r="B461">
        <v>6.1500000000000001E-3</v>
      </c>
      <c r="C461">
        <v>6.5100000000000002E-3</v>
      </c>
      <c r="D461">
        <v>5.0800000000000003E-3</v>
      </c>
      <c r="E461">
        <v>5.9800000000000001E-3</v>
      </c>
      <c r="F461">
        <v>18631471.899999999</v>
      </c>
      <c r="G461">
        <v>0</v>
      </c>
      <c r="L461" t="s">
        <v>7</v>
      </c>
      <c r="M461" t="s">
        <v>7</v>
      </c>
      <c r="N461" t="s">
        <v>7</v>
      </c>
      <c r="P461">
        <f t="shared" si="979"/>
        <v>0.25874125874125853</v>
      </c>
      <c r="Q461">
        <f t="shared" si="980"/>
        <v>4820730.4916083869</v>
      </c>
      <c r="R461">
        <f t="shared" si="981"/>
        <v>-2005451495.0565641</v>
      </c>
      <c r="S461">
        <f t="shared" si="982"/>
        <v>-20054.514950565641</v>
      </c>
      <c r="T461">
        <f t="shared" si="983"/>
        <v>-20.05451495056564</v>
      </c>
    </row>
    <row r="462" spans="1:20" x14ac:dyDescent="0.25">
      <c r="A462" s="5">
        <v>44131</v>
      </c>
      <c r="B462">
        <v>6.4400000000000004E-3</v>
      </c>
      <c r="C462">
        <v>6.4900000000000001E-3</v>
      </c>
      <c r="D462">
        <v>6.1000000000000004E-3</v>
      </c>
      <c r="E462">
        <v>6.1799999999999997E-3</v>
      </c>
      <c r="F462">
        <v>8532631.1999999993</v>
      </c>
      <c r="G462">
        <v>0</v>
      </c>
      <c r="L462" t="s">
        <v>7</v>
      </c>
      <c r="M462" t="s">
        <v>7</v>
      </c>
      <c r="N462" t="s">
        <v>7</v>
      </c>
      <c r="P462">
        <f t="shared" si="979"/>
        <v>-0.58974358974359287</v>
      </c>
      <c r="Q462">
        <f t="shared" si="980"/>
        <v>-5032064.5538461804</v>
      </c>
      <c r="R462">
        <f t="shared" si="981"/>
        <v>-2010272225.5481725</v>
      </c>
      <c r="S462">
        <f t="shared" si="982"/>
        <v>-20102.722255481724</v>
      </c>
      <c r="T462">
        <f t="shared" si="983"/>
        <v>-20.102722255481723</v>
      </c>
    </row>
    <row r="463" spans="1:20" x14ac:dyDescent="0.25">
      <c r="A463" s="5">
        <v>44130</v>
      </c>
      <c r="B463">
        <v>6.4999999999999997E-3</v>
      </c>
      <c r="C463">
        <v>6.6100000000000004E-3</v>
      </c>
      <c r="D463">
        <v>6.2199999999999998E-3</v>
      </c>
      <c r="E463">
        <v>6.4400000000000004E-3</v>
      </c>
      <c r="F463">
        <v>12677718.6</v>
      </c>
      <c r="G463">
        <v>0</v>
      </c>
      <c r="L463" t="s">
        <v>7</v>
      </c>
      <c r="M463" t="s">
        <v>7</v>
      </c>
      <c r="N463" t="s">
        <v>7</v>
      </c>
      <c r="P463">
        <f t="shared" si="979"/>
        <v>0.12820512820512947</v>
      </c>
      <c r="Q463">
        <f t="shared" si="980"/>
        <v>1625348.5384615546</v>
      </c>
      <c r="R463">
        <f t="shared" si="981"/>
        <v>-2005240160.9943264</v>
      </c>
      <c r="S463">
        <f t="shared" si="982"/>
        <v>-20052.401609943263</v>
      </c>
      <c r="T463">
        <f t="shared" si="983"/>
        <v>-20.052401609943264</v>
      </c>
    </row>
    <row r="464" spans="1:20" x14ac:dyDescent="0.25">
      <c r="A464" s="5">
        <v>44129</v>
      </c>
      <c r="B464">
        <v>6.6400000000000001E-3</v>
      </c>
      <c r="C464">
        <v>6.77E-3</v>
      </c>
      <c r="D464">
        <v>6.4099999999999999E-3</v>
      </c>
      <c r="E464">
        <v>6.43E-3</v>
      </c>
      <c r="F464">
        <v>5568789.7999999998</v>
      </c>
      <c r="G464">
        <v>0</v>
      </c>
      <c r="L464" t="s">
        <v>7</v>
      </c>
      <c r="M464" t="s">
        <v>7</v>
      </c>
      <c r="N464" t="s">
        <v>7</v>
      </c>
      <c r="P464">
        <f t="shared" si="979"/>
        <v>-0.88888888888888862</v>
      </c>
      <c r="Q464">
        <f t="shared" si="980"/>
        <v>-4950035.3777777757</v>
      </c>
      <c r="R464">
        <f t="shared" si="981"/>
        <v>-2006865509.5327878</v>
      </c>
      <c r="S464">
        <f t="shared" si="982"/>
        <v>-20068.655095327878</v>
      </c>
      <c r="T464">
        <f t="shared" si="983"/>
        <v>-20.068655095327877</v>
      </c>
    </row>
    <row r="465" spans="1:20" x14ac:dyDescent="0.25">
      <c r="A465" s="5">
        <v>44128</v>
      </c>
      <c r="B465">
        <v>6.5900000000000004E-3</v>
      </c>
      <c r="C465">
        <v>6.6899999999999998E-3</v>
      </c>
      <c r="D465">
        <v>6.5700000000000003E-3</v>
      </c>
      <c r="E465">
        <v>6.6299999999999996E-3</v>
      </c>
      <c r="F465">
        <v>3719321.1</v>
      </c>
      <c r="G465">
        <v>0</v>
      </c>
      <c r="L465" t="s">
        <v>8</v>
      </c>
      <c r="M465" t="s">
        <v>7</v>
      </c>
      <c r="N465" t="s">
        <v>7</v>
      </c>
      <c r="P465">
        <f t="shared" si="979"/>
        <v>-7.2280144832367299E-15</v>
      </c>
      <c r="Q465">
        <f t="shared" si="980"/>
        <v>-2.6883306778607966E-8</v>
      </c>
      <c r="R465">
        <f t="shared" si="981"/>
        <v>-2001915474.15501</v>
      </c>
      <c r="S465">
        <f t="shared" si="982"/>
        <v>-20019.154741550101</v>
      </c>
      <c r="T465">
        <f t="shared" si="983"/>
        <v>-20.0191547415501</v>
      </c>
    </row>
    <row r="466" spans="1:20" x14ac:dyDescent="0.25">
      <c r="A466" s="5">
        <v>44127</v>
      </c>
      <c r="B466">
        <v>6.8199999999999997E-3</v>
      </c>
      <c r="C466">
        <v>6.9800000000000001E-3</v>
      </c>
      <c r="D466">
        <v>6.5599999999999999E-3</v>
      </c>
      <c r="E466">
        <v>6.6100000000000004E-3</v>
      </c>
      <c r="F466">
        <v>12315104.1</v>
      </c>
      <c r="G466">
        <v>0</v>
      </c>
      <c r="L466" t="s">
        <v>8</v>
      </c>
      <c r="M466" t="s">
        <v>7</v>
      </c>
      <c r="N466" t="s">
        <v>7</v>
      </c>
      <c r="P466">
        <f t="shared" si="979"/>
        <v>-0.76190476190475931</v>
      </c>
      <c r="Q466">
        <f t="shared" si="980"/>
        <v>-9382936.4571428243</v>
      </c>
      <c r="R466">
        <f t="shared" si="981"/>
        <v>-2001915474.15501</v>
      </c>
      <c r="S466">
        <f t="shared" si="982"/>
        <v>-20019.154741550101</v>
      </c>
      <c r="T466">
        <f t="shared" si="983"/>
        <v>-20.0191547415501</v>
      </c>
    </row>
    <row r="467" spans="1:20" x14ac:dyDescent="0.25">
      <c r="A467" s="5">
        <v>44126</v>
      </c>
      <c r="B467">
        <v>6.7000000000000002E-3</v>
      </c>
      <c r="C467">
        <v>6.8900000000000003E-3</v>
      </c>
      <c r="D467">
        <v>6.5700000000000003E-3</v>
      </c>
      <c r="E467">
        <v>6.8300000000000001E-3</v>
      </c>
      <c r="F467">
        <v>14017752.6</v>
      </c>
      <c r="G467">
        <v>0</v>
      </c>
      <c r="L467" t="s">
        <v>8</v>
      </c>
      <c r="M467" t="s">
        <v>7</v>
      </c>
      <c r="N467" t="s">
        <v>7</v>
      </c>
      <c r="P467">
        <f t="shared" si="979"/>
        <v>0.624999999999999</v>
      </c>
      <c r="Q467">
        <f t="shared" si="980"/>
        <v>8761095.3749999851</v>
      </c>
      <c r="R467">
        <f t="shared" si="981"/>
        <v>-1992532537.6978672</v>
      </c>
      <c r="S467">
        <f t="shared" si="982"/>
        <v>-19925.325376978672</v>
      </c>
      <c r="T467">
        <f t="shared" si="983"/>
        <v>-19.925325376978673</v>
      </c>
    </row>
    <row r="468" spans="1:20" x14ac:dyDescent="0.25">
      <c r="A468" s="5">
        <v>44125</v>
      </c>
      <c r="B468">
        <v>6.3800000000000003E-3</v>
      </c>
      <c r="C468">
        <v>6.94E-3</v>
      </c>
      <c r="D468">
        <v>6.3800000000000003E-3</v>
      </c>
      <c r="E468">
        <v>6.6499999999999997E-3</v>
      </c>
      <c r="F468">
        <v>19263272.600000001</v>
      </c>
      <c r="G468">
        <v>0</v>
      </c>
      <c r="L468" t="s">
        <v>8</v>
      </c>
      <c r="M468" t="s">
        <v>7</v>
      </c>
      <c r="N468" t="s">
        <v>7</v>
      </c>
      <c r="P468">
        <f t="shared" si="979"/>
        <v>-3.5714285714287371E-2</v>
      </c>
      <c r="Q468">
        <f t="shared" si="980"/>
        <v>-687974.02142860345</v>
      </c>
      <c r="R468">
        <f t="shared" si="981"/>
        <v>-2001293633.0728672</v>
      </c>
      <c r="S468">
        <f t="shared" si="982"/>
        <v>-20012.936330728673</v>
      </c>
      <c r="T468">
        <f t="shared" si="983"/>
        <v>-20.012936330728675</v>
      </c>
    </row>
    <row r="469" spans="1:20" x14ac:dyDescent="0.25">
      <c r="A469" s="5">
        <v>44124</v>
      </c>
      <c r="B469">
        <v>7.1300000000000001E-3</v>
      </c>
      <c r="C469">
        <v>7.1300000000000001E-3</v>
      </c>
      <c r="D469">
        <v>6.2899999999999996E-3</v>
      </c>
      <c r="E469">
        <v>6.4000000000000003E-3</v>
      </c>
      <c r="F469">
        <v>37502838.399999999</v>
      </c>
      <c r="G469">
        <v>0</v>
      </c>
      <c r="L469" t="s">
        <v>7</v>
      </c>
      <c r="M469" t="s">
        <v>7</v>
      </c>
      <c r="N469" t="s">
        <v>7</v>
      </c>
      <c r="P469">
        <f t="shared" si="979"/>
        <v>-0.73809523809523647</v>
      </c>
      <c r="Q469">
        <f t="shared" si="980"/>
        <v>-27680666.438095175</v>
      </c>
      <c r="R469">
        <f t="shared" si="981"/>
        <v>-2000605659.0514386</v>
      </c>
      <c r="S469">
        <f t="shared" si="982"/>
        <v>-20006.056590514385</v>
      </c>
      <c r="T469">
        <f t="shared" si="983"/>
        <v>-20.006056590514383</v>
      </c>
    </row>
    <row r="470" spans="1:20" x14ac:dyDescent="0.25">
      <c r="A470" s="5">
        <v>44123</v>
      </c>
      <c r="B470">
        <v>7.2399999999999999E-3</v>
      </c>
      <c r="C470">
        <v>7.26E-3</v>
      </c>
      <c r="D470">
        <v>6.9499999999999996E-3</v>
      </c>
      <c r="E470">
        <v>7.1300000000000001E-3</v>
      </c>
      <c r="F470">
        <v>9656924</v>
      </c>
      <c r="G470">
        <v>0</v>
      </c>
      <c r="L470" t="s">
        <v>7</v>
      </c>
      <c r="M470" t="s">
        <v>8</v>
      </c>
      <c r="N470" t="s">
        <v>8</v>
      </c>
      <c r="P470">
        <f t="shared" si="979"/>
        <v>0.16129032258064679</v>
      </c>
      <c r="Q470">
        <f t="shared" si="980"/>
        <v>1557568.3870967899</v>
      </c>
      <c r="R470">
        <f t="shared" si="981"/>
        <v>-1972924992.6133435</v>
      </c>
      <c r="S470">
        <f t="shared" si="982"/>
        <v>-19729.249926133434</v>
      </c>
      <c r="T470">
        <f t="shared" si="983"/>
        <v>-19.729249926133434</v>
      </c>
    </row>
    <row r="471" spans="1:20" x14ac:dyDescent="0.25">
      <c r="A471" s="5">
        <v>44122</v>
      </c>
      <c r="B471">
        <v>7.1900000000000002E-3</v>
      </c>
      <c r="C471">
        <v>7.28E-3</v>
      </c>
      <c r="D471">
        <v>7.1399999999999996E-3</v>
      </c>
      <c r="E471">
        <v>7.26E-3</v>
      </c>
      <c r="F471">
        <v>3146698.3</v>
      </c>
      <c r="G471">
        <v>0</v>
      </c>
      <c r="L471" t="s">
        <v>7</v>
      </c>
      <c r="M471" t="s">
        <v>8</v>
      </c>
      <c r="N471" t="s">
        <v>8</v>
      </c>
      <c r="P471">
        <f t="shared" si="979"/>
        <v>0.7142857142857143</v>
      </c>
      <c r="Q471">
        <f t="shared" si="980"/>
        <v>2247641.6428571427</v>
      </c>
      <c r="R471">
        <f t="shared" si="981"/>
        <v>-1974482561.0004404</v>
      </c>
      <c r="S471">
        <f t="shared" si="982"/>
        <v>-19744.825610004402</v>
      </c>
      <c r="T471">
        <f t="shared" si="983"/>
        <v>-19.744825610004401</v>
      </c>
    </row>
    <row r="472" spans="1:20" x14ac:dyDescent="0.25">
      <c r="A472" s="5">
        <v>44121</v>
      </c>
      <c r="B472">
        <v>7.1300000000000001E-3</v>
      </c>
      <c r="C472">
        <v>7.3000000000000001E-3</v>
      </c>
      <c r="D472">
        <v>7.0699999999999999E-3</v>
      </c>
      <c r="E472">
        <v>7.1599999999999997E-3</v>
      </c>
      <c r="F472">
        <v>4403413.3</v>
      </c>
      <c r="G472">
        <v>0</v>
      </c>
      <c r="L472" t="s">
        <v>7</v>
      </c>
      <c r="M472" t="s">
        <v>8</v>
      </c>
      <c r="N472" t="s">
        <v>8</v>
      </c>
      <c r="P472">
        <f t="shared" si="979"/>
        <v>-0.21739130434782838</v>
      </c>
      <c r="Q472">
        <f t="shared" si="980"/>
        <v>-957263.76086957532</v>
      </c>
      <c r="R472">
        <f t="shared" si="981"/>
        <v>-1976730202.6432974</v>
      </c>
      <c r="S472">
        <f t="shared" si="982"/>
        <v>-19767.302026432975</v>
      </c>
      <c r="T472">
        <f t="shared" si="983"/>
        <v>-19.767302026432976</v>
      </c>
    </row>
    <row r="473" spans="1:20" x14ac:dyDescent="0.25">
      <c r="A473" s="5">
        <v>44120</v>
      </c>
      <c r="B473">
        <v>7.1799999999999998E-3</v>
      </c>
      <c r="C473">
        <v>7.6699999999999997E-3</v>
      </c>
      <c r="D473">
        <v>7.0899999999999999E-3</v>
      </c>
      <c r="E473">
        <v>7.1300000000000001E-3</v>
      </c>
      <c r="F473">
        <v>17863939.5</v>
      </c>
      <c r="G473">
        <v>0</v>
      </c>
      <c r="L473" t="s">
        <v>8</v>
      </c>
      <c r="M473" t="s">
        <v>8</v>
      </c>
      <c r="N473" t="s">
        <v>8</v>
      </c>
      <c r="P473">
        <f t="shared" si="979"/>
        <v>-0.86206896551724099</v>
      </c>
      <c r="Q473">
        <f t="shared" si="980"/>
        <v>-15399947.844827579</v>
      </c>
      <c r="R473">
        <f t="shared" si="981"/>
        <v>-1975772938.8824279</v>
      </c>
      <c r="S473">
        <f t="shared" si="982"/>
        <v>-19757.729388824278</v>
      </c>
      <c r="T473">
        <f t="shared" si="983"/>
        <v>-19.757729388824277</v>
      </c>
    </row>
    <row r="474" spans="1:20" x14ac:dyDescent="0.25">
      <c r="A474" s="5">
        <v>44119</v>
      </c>
      <c r="B474">
        <v>7.3299999999999997E-3</v>
      </c>
      <c r="C474">
        <v>7.4000000000000003E-3</v>
      </c>
      <c r="D474">
        <v>7.0600000000000003E-3</v>
      </c>
      <c r="E474">
        <v>7.2199999999999999E-3</v>
      </c>
      <c r="F474">
        <v>12262581.699999999</v>
      </c>
      <c r="G474">
        <v>0</v>
      </c>
      <c r="L474" t="s">
        <v>7</v>
      </c>
      <c r="M474" t="s">
        <v>8</v>
      </c>
      <c r="N474" t="s">
        <v>8</v>
      </c>
      <c r="P474">
        <f t="shared" si="979"/>
        <v>-5.8823529411767404E-2</v>
      </c>
      <c r="Q474">
        <f t="shared" si="980"/>
        <v>-721328.33529415075</v>
      </c>
      <c r="R474">
        <f t="shared" si="981"/>
        <v>-1960372991.0376003</v>
      </c>
      <c r="S474">
        <f t="shared" si="982"/>
        <v>-19603.729910376001</v>
      </c>
      <c r="T474">
        <f t="shared" si="983"/>
        <v>-19.603729910376</v>
      </c>
    </row>
    <row r="475" spans="1:20" x14ac:dyDescent="0.25">
      <c r="A475" s="5">
        <v>44118</v>
      </c>
      <c r="B475">
        <v>7.4599999999999996E-3</v>
      </c>
      <c r="C475">
        <v>7.8600000000000007E-3</v>
      </c>
      <c r="D475">
        <v>7.3400000000000002E-3</v>
      </c>
      <c r="E475">
        <v>7.3400000000000002E-3</v>
      </c>
      <c r="F475">
        <v>21014533.399999999</v>
      </c>
      <c r="G475">
        <v>0</v>
      </c>
      <c r="L475" t="s">
        <v>7</v>
      </c>
      <c r="M475" t="s">
        <v>8</v>
      </c>
      <c r="N475" t="s">
        <v>8</v>
      </c>
      <c r="P475">
        <f t="shared" si="979"/>
        <v>-1</v>
      </c>
      <c r="Q475">
        <f t="shared" si="980"/>
        <v>-21014533.399999999</v>
      </c>
      <c r="R475">
        <f t="shared" si="981"/>
        <v>-1959651662.702306</v>
      </c>
      <c r="S475">
        <f t="shared" si="982"/>
        <v>-19596.516627023062</v>
      </c>
      <c r="T475">
        <f t="shared" si="983"/>
        <v>-19.59651662702306</v>
      </c>
    </row>
    <row r="476" spans="1:20" x14ac:dyDescent="0.25">
      <c r="A476" s="5">
        <v>44117</v>
      </c>
      <c r="B476">
        <v>7.5900000000000004E-3</v>
      </c>
      <c r="C476">
        <v>7.6099999999999996E-3</v>
      </c>
      <c r="D476">
        <v>7.4000000000000003E-3</v>
      </c>
      <c r="E476">
        <v>7.4599999999999996E-3</v>
      </c>
      <c r="F476">
        <v>6929319.7000000002</v>
      </c>
      <c r="G476">
        <v>0</v>
      </c>
      <c r="L476" t="s">
        <v>7</v>
      </c>
      <c r="M476" t="s">
        <v>8</v>
      </c>
      <c r="N476" t="s">
        <v>8</v>
      </c>
      <c r="P476">
        <f t="shared" si="979"/>
        <v>-0.42857142857143327</v>
      </c>
      <c r="Q476">
        <f t="shared" si="980"/>
        <v>-2969708.4428571756</v>
      </c>
      <c r="R476">
        <f t="shared" si="981"/>
        <v>-1938637129.3023059</v>
      </c>
      <c r="S476">
        <f t="shared" si="982"/>
        <v>-19386.371293023058</v>
      </c>
      <c r="T476">
        <f t="shared" si="983"/>
        <v>-19.386371293023057</v>
      </c>
    </row>
    <row r="477" spans="1:20" x14ac:dyDescent="0.25">
      <c r="A477" s="5">
        <v>44116</v>
      </c>
      <c r="B477">
        <v>7.7400000000000004E-3</v>
      </c>
      <c r="C477">
        <v>7.8899999999999994E-3</v>
      </c>
      <c r="D477">
        <v>7.4999999999999997E-3</v>
      </c>
      <c r="E477">
        <v>7.5199999999999998E-3</v>
      </c>
      <c r="F477">
        <v>12117679.5</v>
      </c>
      <c r="G477">
        <v>0</v>
      </c>
      <c r="L477" t="s">
        <v>7</v>
      </c>
      <c r="M477" t="s">
        <v>8</v>
      </c>
      <c r="N477" t="s">
        <v>8</v>
      </c>
      <c r="P477">
        <f t="shared" si="979"/>
        <v>-0.89743589743589713</v>
      </c>
      <c r="Q477">
        <f t="shared" si="980"/>
        <v>-10874840.576923072</v>
      </c>
      <c r="R477">
        <f t="shared" si="981"/>
        <v>-1935667420.8594487</v>
      </c>
      <c r="S477">
        <f t="shared" si="982"/>
        <v>-19356.674208594486</v>
      </c>
      <c r="T477">
        <f t="shared" si="983"/>
        <v>-19.356674208594487</v>
      </c>
    </row>
    <row r="478" spans="1:20" x14ac:dyDescent="0.25">
      <c r="A478" s="5">
        <v>44115</v>
      </c>
      <c r="B478">
        <v>7.5700000000000003E-3</v>
      </c>
      <c r="C478">
        <v>7.8700000000000003E-3</v>
      </c>
      <c r="D478">
        <v>7.43E-3</v>
      </c>
      <c r="E478">
        <v>7.7000000000000002E-3</v>
      </c>
      <c r="F478">
        <v>12186670.4</v>
      </c>
      <c r="G478">
        <v>0</v>
      </c>
      <c r="L478" t="s">
        <v>7</v>
      </c>
      <c r="M478" t="s">
        <v>8</v>
      </c>
      <c r="N478" t="s">
        <v>8</v>
      </c>
      <c r="P478">
        <f t="shared" si="979"/>
        <v>0.22727272727272771</v>
      </c>
      <c r="Q478">
        <f t="shared" si="980"/>
        <v>2769697.8181818235</v>
      </c>
      <c r="R478">
        <f t="shared" si="981"/>
        <v>-1924792580.2825255</v>
      </c>
      <c r="S478">
        <f t="shared" si="982"/>
        <v>-19247.925802825255</v>
      </c>
      <c r="T478">
        <f t="shared" si="983"/>
        <v>-19.247925802825254</v>
      </c>
    </row>
    <row r="479" spans="1:20" x14ac:dyDescent="0.25">
      <c r="A479" s="5">
        <v>44114</v>
      </c>
      <c r="B479">
        <v>7.8100000000000001E-3</v>
      </c>
      <c r="C479">
        <v>8.0499999999999999E-3</v>
      </c>
      <c r="D479">
        <v>7.4799999999999997E-3</v>
      </c>
      <c r="E479">
        <v>7.5700000000000003E-3</v>
      </c>
      <c r="F479">
        <v>12010736.5</v>
      </c>
      <c r="G479">
        <v>0</v>
      </c>
      <c r="L479" t="s">
        <v>8</v>
      </c>
      <c r="M479" t="s">
        <v>8</v>
      </c>
      <c r="N479" t="s">
        <v>8</v>
      </c>
      <c r="P479">
        <f t="shared" si="979"/>
        <v>-0.68421052631578727</v>
      </c>
      <c r="Q479">
        <f t="shared" si="980"/>
        <v>-8217872.3421052368</v>
      </c>
      <c r="R479">
        <f t="shared" si="981"/>
        <v>-1927562278.1007073</v>
      </c>
      <c r="S479">
        <f t="shared" si="982"/>
        <v>-19275.622781007074</v>
      </c>
      <c r="T479">
        <f t="shared" si="983"/>
        <v>-19.275622781007073</v>
      </c>
    </row>
    <row r="480" spans="1:20" x14ac:dyDescent="0.25">
      <c r="A480" s="5">
        <v>44113</v>
      </c>
      <c r="B480">
        <v>7.3600000000000002E-3</v>
      </c>
      <c r="C480">
        <v>7.9500000000000005E-3</v>
      </c>
      <c r="D480">
        <v>7.2199999999999999E-3</v>
      </c>
      <c r="E480">
        <v>7.7600000000000004E-3</v>
      </c>
      <c r="F480">
        <v>39778661.600000001</v>
      </c>
      <c r="G480">
        <v>0</v>
      </c>
      <c r="L480" t="s">
        <v>8</v>
      </c>
      <c r="M480" t="s">
        <v>7</v>
      </c>
      <c r="N480" t="s">
        <v>8</v>
      </c>
      <c r="P480">
        <f t="shared" si="979"/>
        <v>0.4794520547945208</v>
      </c>
      <c r="Q480">
        <f t="shared" si="980"/>
        <v>19071961.041095901</v>
      </c>
      <c r="R480">
        <f t="shared" si="981"/>
        <v>-1919344405.7586021</v>
      </c>
      <c r="S480">
        <f t="shared" si="982"/>
        <v>-19193.444057586021</v>
      </c>
      <c r="T480">
        <f t="shared" si="983"/>
        <v>-19.193444057586021</v>
      </c>
    </row>
    <row r="481" spans="1:20" x14ac:dyDescent="0.25">
      <c r="A481" s="5">
        <v>44112</v>
      </c>
      <c r="B481">
        <v>6.8599999999999998E-3</v>
      </c>
      <c r="C481">
        <v>7.45E-3</v>
      </c>
      <c r="D481">
        <v>6.8399999999999997E-3</v>
      </c>
      <c r="E481">
        <v>7.4000000000000003E-3</v>
      </c>
      <c r="F481">
        <v>36168770.299999997</v>
      </c>
      <c r="G481">
        <v>0</v>
      </c>
      <c r="L481" t="s">
        <v>8</v>
      </c>
      <c r="M481" t="s">
        <v>7</v>
      </c>
      <c r="N481" t="s">
        <v>8</v>
      </c>
      <c r="P481">
        <f t="shared" si="979"/>
        <v>0.83606557377049284</v>
      </c>
      <c r="Q481">
        <f t="shared" si="980"/>
        <v>30239463.693442658</v>
      </c>
      <c r="R481">
        <f t="shared" si="981"/>
        <v>-1938416366.7996981</v>
      </c>
      <c r="S481">
        <f t="shared" si="982"/>
        <v>-19384.163667996982</v>
      </c>
      <c r="T481">
        <f t="shared" si="983"/>
        <v>-19.384163667996983</v>
      </c>
    </row>
    <row r="482" spans="1:20" x14ac:dyDescent="0.25">
      <c r="A482" s="5">
        <v>44111</v>
      </c>
      <c r="B482">
        <v>7.1500000000000001E-3</v>
      </c>
      <c r="C482">
        <v>7.1999999999999998E-3</v>
      </c>
      <c r="D482">
        <v>6.6499999999999997E-3</v>
      </c>
      <c r="E482">
        <v>6.8700000000000002E-3</v>
      </c>
      <c r="F482">
        <v>21263692.300000001</v>
      </c>
      <c r="G482">
        <v>0</v>
      </c>
      <c r="L482" t="s">
        <v>7</v>
      </c>
      <c r="M482" t="s">
        <v>7</v>
      </c>
      <c r="N482" t="s">
        <v>8</v>
      </c>
      <c r="P482">
        <f t="shared" si="979"/>
        <v>-0.1999999999999981</v>
      </c>
      <c r="Q482">
        <f t="shared" si="980"/>
        <v>-4252738.4599999599</v>
      </c>
      <c r="R482">
        <f t="shared" si="981"/>
        <v>-1968655830.4931407</v>
      </c>
      <c r="S482">
        <f t="shared" si="982"/>
        <v>-19686.558304931408</v>
      </c>
      <c r="T482">
        <f t="shared" si="983"/>
        <v>-19.68655830493141</v>
      </c>
    </row>
    <row r="483" spans="1:20" x14ac:dyDescent="0.25">
      <c r="A483" s="5">
        <v>44110</v>
      </c>
      <c r="B483">
        <v>7.4700000000000001E-3</v>
      </c>
      <c r="C483">
        <v>7.4900000000000001E-3</v>
      </c>
      <c r="D483">
        <v>7.1500000000000001E-3</v>
      </c>
      <c r="E483">
        <v>7.1500000000000001E-3</v>
      </c>
      <c r="F483">
        <v>13708551.300000001</v>
      </c>
      <c r="G483">
        <v>0</v>
      </c>
      <c r="L483" t="s">
        <v>7</v>
      </c>
      <c r="M483" t="s">
        <v>7</v>
      </c>
      <c r="N483" t="s">
        <v>8</v>
      </c>
      <c r="P483">
        <f t="shared" si="979"/>
        <v>-1</v>
      </c>
      <c r="Q483">
        <f t="shared" si="980"/>
        <v>-13708551.300000001</v>
      </c>
      <c r="R483">
        <f t="shared" si="981"/>
        <v>-1964403092.0331407</v>
      </c>
      <c r="S483">
        <f t="shared" si="982"/>
        <v>-19644.030920331406</v>
      </c>
      <c r="T483">
        <f t="shared" si="983"/>
        <v>-19.644030920331407</v>
      </c>
    </row>
    <row r="484" spans="1:20" x14ac:dyDescent="0.25">
      <c r="A484" s="5">
        <v>44109</v>
      </c>
      <c r="B484">
        <v>7.43E-3</v>
      </c>
      <c r="C484">
        <v>7.5199999999999998E-3</v>
      </c>
      <c r="D484">
        <v>7.28E-3</v>
      </c>
      <c r="E484">
        <v>7.4400000000000004E-3</v>
      </c>
      <c r="F484">
        <v>8192299.5999999996</v>
      </c>
      <c r="G484">
        <v>0</v>
      </c>
      <c r="L484" t="s">
        <v>8</v>
      </c>
      <c r="M484" t="s">
        <v>7</v>
      </c>
      <c r="N484" t="s">
        <v>8</v>
      </c>
      <c r="P484">
        <f t="shared" si="979"/>
        <v>0.33333333333333814</v>
      </c>
      <c r="Q484">
        <f t="shared" si="980"/>
        <v>2730766.5333333728</v>
      </c>
      <c r="R484">
        <f t="shared" si="981"/>
        <v>-1950694540.7331407</v>
      </c>
      <c r="S484">
        <f t="shared" si="982"/>
        <v>-19506.945407331408</v>
      </c>
      <c r="T484">
        <f t="shared" si="983"/>
        <v>-19.506945407331408</v>
      </c>
    </row>
    <row r="485" spans="1:20" x14ac:dyDescent="0.25">
      <c r="A485" s="5">
        <v>44108</v>
      </c>
      <c r="B485">
        <v>7.4700000000000001E-3</v>
      </c>
      <c r="C485">
        <v>7.7499999999999999E-3</v>
      </c>
      <c r="D485">
        <v>7.3000000000000001E-3</v>
      </c>
      <c r="E485">
        <v>7.43E-3</v>
      </c>
      <c r="F485">
        <v>15758377.1</v>
      </c>
      <c r="G485">
        <v>0</v>
      </c>
      <c r="L485" t="s">
        <v>8</v>
      </c>
      <c r="M485" t="s">
        <v>7</v>
      </c>
      <c r="N485" t="s">
        <v>8</v>
      </c>
      <c r="P485">
        <f t="shared" si="979"/>
        <v>-0.4222222222222225</v>
      </c>
      <c r="Q485">
        <f t="shared" si="980"/>
        <v>-6653536.9977777824</v>
      </c>
      <c r="R485">
        <f t="shared" si="981"/>
        <v>-1953425307.266474</v>
      </c>
      <c r="S485">
        <f t="shared" si="982"/>
        <v>-19534.253072664738</v>
      </c>
      <c r="T485">
        <f t="shared" si="983"/>
        <v>-19.53425307266474</v>
      </c>
    </row>
    <row r="486" spans="1:20" x14ac:dyDescent="0.25">
      <c r="A486" s="5">
        <v>44107</v>
      </c>
      <c r="B486">
        <v>7.4200000000000004E-3</v>
      </c>
      <c r="C486">
        <v>7.6E-3</v>
      </c>
      <c r="D486">
        <v>7.3400000000000002E-3</v>
      </c>
      <c r="E486">
        <v>7.45E-3</v>
      </c>
      <c r="F486">
        <v>13016903.6</v>
      </c>
      <c r="G486">
        <v>0</v>
      </c>
      <c r="L486" t="s">
        <v>7</v>
      </c>
      <c r="M486" t="s">
        <v>7</v>
      </c>
      <c r="N486" t="s">
        <v>8</v>
      </c>
      <c r="P486">
        <f t="shared" si="979"/>
        <v>-0.15384615384615435</v>
      </c>
      <c r="Q486">
        <f t="shared" si="980"/>
        <v>-2002600.5538461604</v>
      </c>
      <c r="R486">
        <f t="shared" si="981"/>
        <v>-1946771770.2686963</v>
      </c>
      <c r="S486">
        <f t="shared" si="982"/>
        <v>-19467.717702686961</v>
      </c>
      <c r="T486">
        <f t="shared" si="983"/>
        <v>-19.467717702686961</v>
      </c>
    </row>
    <row r="487" spans="1:20" x14ac:dyDescent="0.25">
      <c r="A487" s="5">
        <v>44106</v>
      </c>
      <c r="B487">
        <v>7.8200000000000006E-3</v>
      </c>
      <c r="C487">
        <v>7.9900000000000006E-3</v>
      </c>
      <c r="D487">
        <v>7.2100000000000003E-3</v>
      </c>
      <c r="E487">
        <v>7.4200000000000004E-3</v>
      </c>
      <c r="F487">
        <v>35683798.899999999</v>
      </c>
      <c r="G487">
        <v>0</v>
      </c>
      <c r="L487" t="s">
        <v>7</v>
      </c>
      <c r="M487" t="s">
        <v>7</v>
      </c>
      <c r="N487" t="s">
        <v>8</v>
      </c>
      <c r="P487">
        <f t="shared" si="979"/>
        <v>-0.46153846153846145</v>
      </c>
      <c r="Q487">
        <f t="shared" si="980"/>
        <v>-16469445.646153843</v>
      </c>
      <c r="R487">
        <f t="shared" si="981"/>
        <v>-1944769169.7148502</v>
      </c>
      <c r="S487">
        <f t="shared" si="982"/>
        <v>-19447.691697148501</v>
      </c>
      <c r="T487">
        <f t="shared" si="983"/>
        <v>-19.4476916971485</v>
      </c>
    </row>
    <row r="488" spans="1:20" x14ac:dyDescent="0.25">
      <c r="A488" s="5">
        <v>44105</v>
      </c>
      <c r="B488">
        <v>8.5599999999999999E-3</v>
      </c>
      <c r="C488">
        <v>8.6499999999999997E-3</v>
      </c>
      <c r="D488">
        <v>7.5700000000000003E-3</v>
      </c>
      <c r="E488">
        <v>7.7999999999999996E-3</v>
      </c>
      <c r="F488">
        <v>62640156.700000003</v>
      </c>
      <c r="G488">
        <v>0</v>
      </c>
      <c r="L488" t="s">
        <v>7</v>
      </c>
      <c r="M488" t="s">
        <v>7</v>
      </c>
      <c r="N488" t="s">
        <v>8</v>
      </c>
      <c r="P488">
        <f t="shared" si="979"/>
        <v>-0.57407407407407507</v>
      </c>
      <c r="Q488">
        <f t="shared" si="980"/>
        <v>-35960089.957407475</v>
      </c>
      <c r="R488">
        <f t="shared" si="981"/>
        <v>-1928299724.0686963</v>
      </c>
      <c r="S488">
        <f t="shared" si="982"/>
        <v>-19282.997240686964</v>
      </c>
      <c r="T488">
        <f t="shared" si="983"/>
        <v>-19.282997240686964</v>
      </c>
    </row>
    <row r="489" spans="1:20" x14ac:dyDescent="0.25">
      <c r="A489" s="5">
        <v>44104</v>
      </c>
      <c r="B489">
        <v>8.1399999999999997E-3</v>
      </c>
      <c r="C489">
        <v>8.9499999999999996E-3</v>
      </c>
      <c r="D489">
        <v>8.1200000000000005E-3</v>
      </c>
      <c r="E489">
        <v>8.5500000000000003E-3</v>
      </c>
      <c r="F489">
        <v>75837221.099999994</v>
      </c>
      <c r="G489">
        <v>0</v>
      </c>
      <c r="L489" t="s">
        <v>8</v>
      </c>
      <c r="M489" t="s">
        <v>8</v>
      </c>
      <c r="N489" t="s">
        <v>8</v>
      </c>
      <c r="P489">
        <f t="shared" si="979"/>
        <v>3.614457831325367E-2</v>
      </c>
      <c r="Q489">
        <f t="shared" si="980"/>
        <v>2741104.3771084836</v>
      </c>
      <c r="R489">
        <f t="shared" si="981"/>
        <v>-1892339634.1112888</v>
      </c>
      <c r="S489">
        <f t="shared" si="982"/>
        <v>-18923.396341112886</v>
      </c>
      <c r="T489">
        <f t="shared" si="983"/>
        <v>-18.923396341112888</v>
      </c>
    </row>
    <row r="490" spans="1:20" x14ac:dyDescent="0.25">
      <c r="A490" s="5">
        <v>44103</v>
      </c>
      <c r="B490">
        <v>8.3499999999999998E-3</v>
      </c>
      <c r="C490">
        <v>9.0600000000000003E-3</v>
      </c>
      <c r="D490">
        <v>8.0000000000000002E-3</v>
      </c>
      <c r="E490">
        <v>8.1399999999999997E-3</v>
      </c>
      <c r="F490">
        <v>94297838.799999997</v>
      </c>
      <c r="G490">
        <v>0</v>
      </c>
      <c r="L490" t="s">
        <v>7</v>
      </c>
      <c r="M490" t="s">
        <v>8</v>
      </c>
      <c r="N490" t="s">
        <v>8</v>
      </c>
      <c r="P490">
        <f t="shared" si="979"/>
        <v>-0.73584905660377453</v>
      </c>
      <c r="Q490">
        <f t="shared" si="980"/>
        <v>-69388975.720754802</v>
      </c>
      <c r="R490">
        <f t="shared" si="981"/>
        <v>-1895080738.4883974</v>
      </c>
      <c r="S490">
        <f t="shared" si="982"/>
        <v>-18950.807384883974</v>
      </c>
      <c r="T490">
        <f t="shared" si="983"/>
        <v>-18.950807384883973</v>
      </c>
    </row>
    <row r="491" spans="1:20" x14ac:dyDescent="0.25">
      <c r="A491" s="5">
        <v>44102</v>
      </c>
      <c r="B491">
        <v>8.09E-3</v>
      </c>
      <c r="C491">
        <v>8.9899999999999997E-3</v>
      </c>
      <c r="D491">
        <v>7.9900000000000006E-3</v>
      </c>
      <c r="E491">
        <v>8.43E-3</v>
      </c>
      <c r="F491">
        <v>85554288</v>
      </c>
      <c r="G491">
        <v>0</v>
      </c>
      <c r="L491" t="s">
        <v>8</v>
      </c>
      <c r="M491" t="s">
        <v>8</v>
      </c>
      <c r="N491" t="s">
        <v>8</v>
      </c>
      <c r="P491">
        <f t="shared" si="979"/>
        <v>-0.12000000000000041</v>
      </c>
      <c r="Q491">
        <f t="shared" si="980"/>
        <v>-10266514.560000036</v>
      </c>
      <c r="R491">
        <f t="shared" si="981"/>
        <v>-1825691762.7676425</v>
      </c>
      <c r="S491">
        <f t="shared" si="982"/>
        <v>-18256.917627676426</v>
      </c>
      <c r="T491">
        <f t="shared" si="983"/>
        <v>-18.256917627676426</v>
      </c>
    </row>
    <row r="492" spans="1:20" x14ac:dyDescent="0.25">
      <c r="A492" s="5">
        <v>44101</v>
      </c>
      <c r="B492">
        <v>7.4400000000000004E-3</v>
      </c>
      <c r="C492">
        <v>8.3099999999999997E-3</v>
      </c>
      <c r="D492">
        <v>7.3200000000000001E-3</v>
      </c>
      <c r="E492">
        <v>8.0999999999999996E-3</v>
      </c>
      <c r="F492">
        <v>101247799.09999999</v>
      </c>
      <c r="G492">
        <v>0</v>
      </c>
      <c r="L492" t="s">
        <v>8</v>
      </c>
      <c r="M492" t="s">
        <v>8</v>
      </c>
      <c r="N492" t="s">
        <v>8</v>
      </c>
      <c r="P492">
        <f t="shared" si="979"/>
        <v>0.57575757575757536</v>
      </c>
      <c r="Q492">
        <f t="shared" si="980"/>
        <v>58294187.360606015</v>
      </c>
      <c r="R492">
        <f t="shared" si="981"/>
        <v>-1815425248.2076426</v>
      </c>
      <c r="S492">
        <f t="shared" si="982"/>
        <v>-18154.252482076427</v>
      </c>
      <c r="T492">
        <f t="shared" si="983"/>
        <v>-18.154252482076426</v>
      </c>
    </row>
    <row r="493" spans="1:20" x14ac:dyDescent="0.25">
      <c r="A493" s="5">
        <v>44100</v>
      </c>
      <c r="B493">
        <v>7.5599999999999999E-3</v>
      </c>
      <c r="C493">
        <v>7.5799999999999999E-3</v>
      </c>
      <c r="D493">
        <v>7.28E-3</v>
      </c>
      <c r="E493">
        <v>7.4400000000000004E-3</v>
      </c>
      <c r="F493">
        <v>27517313.199999999</v>
      </c>
      <c r="G493">
        <v>0</v>
      </c>
      <c r="L493" t="s">
        <v>7</v>
      </c>
      <c r="M493" t="s">
        <v>7</v>
      </c>
      <c r="N493" t="s">
        <v>8</v>
      </c>
      <c r="P493">
        <f t="shared" si="979"/>
        <v>6.6666666666669747E-2</v>
      </c>
      <c r="Q493">
        <f t="shared" si="980"/>
        <v>1834487.5466667514</v>
      </c>
      <c r="R493">
        <f t="shared" si="981"/>
        <v>-1873719435.5682485</v>
      </c>
      <c r="S493">
        <f t="shared" si="982"/>
        <v>-18737.194355682484</v>
      </c>
      <c r="T493">
        <f t="shared" si="983"/>
        <v>-18.737194355682483</v>
      </c>
    </row>
    <row r="494" spans="1:20" x14ac:dyDescent="0.25">
      <c r="A494" s="5">
        <v>44099</v>
      </c>
      <c r="B494">
        <v>7.2100000000000003E-3</v>
      </c>
      <c r="C494">
        <v>7.8499999999999993E-3</v>
      </c>
      <c r="D494">
        <v>7.0000000000000001E-3</v>
      </c>
      <c r="E494">
        <v>7.5700000000000003E-3</v>
      </c>
      <c r="F494">
        <v>41990768.799999997</v>
      </c>
      <c r="G494">
        <v>0</v>
      </c>
      <c r="L494" t="s">
        <v>8</v>
      </c>
      <c r="M494" t="s">
        <v>7</v>
      </c>
      <c r="N494" t="s">
        <v>8</v>
      </c>
      <c r="P494">
        <f t="shared" si="979"/>
        <v>0.34117647058823702</v>
      </c>
      <c r="Q494">
        <f t="shared" si="980"/>
        <v>14326262.296470661</v>
      </c>
      <c r="R494">
        <f t="shared" si="981"/>
        <v>-1875553923.1149154</v>
      </c>
      <c r="S494">
        <f t="shared" si="982"/>
        <v>-18755.539231149152</v>
      </c>
      <c r="T494">
        <f t="shared" si="983"/>
        <v>-18.755539231149154</v>
      </c>
    </row>
    <row r="495" spans="1:20" x14ac:dyDescent="0.25">
      <c r="A495" s="5">
        <v>44098</v>
      </c>
      <c r="B495">
        <v>6.8100000000000001E-3</v>
      </c>
      <c r="C495">
        <v>7.26E-3</v>
      </c>
      <c r="D495">
        <v>6.7600000000000004E-3</v>
      </c>
      <c r="E495">
        <v>7.2100000000000003E-3</v>
      </c>
      <c r="F495">
        <v>30605968.800000001</v>
      </c>
      <c r="G495">
        <v>0</v>
      </c>
      <c r="L495" t="s">
        <v>7</v>
      </c>
      <c r="M495" t="s">
        <v>7</v>
      </c>
      <c r="N495" t="s">
        <v>8</v>
      </c>
      <c r="P495">
        <f t="shared" si="979"/>
        <v>0.80000000000000104</v>
      </c>
      <c r="Q495">
        <f t="shared" si="980"/>
        <v>24484775.040000033</v>
      </c>
      <c r="R495">
        <f t="shared" si="981"/>
        <v>-1889880185.411386</v>
      </c>
      <c r="S495">
        <f t="shared" si="982"/>
        <v>-18898.801854113859</v>
      </c>
      <c r="T495">
        <f t="shared" si="983"/>
        <v>-18.898801854113859</v>
      </c>
    </row>
    <row r="496" spans="1:20" x14ac:dyDescent="0.25">
      <c r="A496" s="5">
        <v>44097</v>
      </c>
      <c r="B496">
        <v>7.0899999999999999E-3</v>
      </c>
      <c r="C496">
        <v>7.26E-3</v>
      </c>
      <c r="D496">
        <v>6.7499999999999999E-3</v>
      </c>
      <c r="E496">
        <v>6.7499999999999999E-3</v>
      </c>
      <c r="F496">
        <v>32441002.399999999</v>
      </c>
      <c r="G496">
        <v>0</v>
      </c>
      <c r="L496" t="s">
        <v>8</v>
      </c>
      <c r="M496" t="s">
        <v>7</v>
      </c>
      <c r="N496" t="s">
        <v>8</v>
      </c>
      <c r="P496">
        <f t="shared" si="979"/>
        <v>-1</v>
      </c>
      <c r="Q496">
        <f t="shared" si="980"/>
        <v>-32441002.399999999</v>
      </c>
      <c r="R496">
        <f t="shared" si="981"/>
        <v>-1914364960.451386</v>
      </c>
      <c r="S496">
        <f t="shared" si="982"/>
        <v>-19143.649604513859</v>
      </c>
      <c r="T496">
        <f t="shared" si="983"/>
        <v>-19.143649604513858</v>
      </c>
    </row>
    <row r="497" spans="1:20" x14ac:dyDescent="0.25">
      <c r="A497" s="5">
        <v>44096</v>
      </c>
      <c r="B497">
        <v>7.1399999999999996E-3</v>
      </c>
      <c r="C497">
        <v>7.1500000000000001E-3</v>
      </c>
      <c r="D497">
        <v>6.8700000000000002E-3</v>
      </c>
      <c r="E497">
        <v>7.0899999999999999E-3</v>
      </c>
      <c r="F497">
        <v>33273987</v>
      </c>
      <c r="G497">
        <v>0</v>
      </c>
      <c r="L497" t="s">
        <v>7</v>
      </c>
      <c r="M497" t="s">
        <v>7</v>
      </c>
      <c r="N497" t="s">
        <v>8</v>
      </c>
      <c r="P497">
        <f t="shared" si="979"/>
        <v>0.57142857142857006</v>
      </c>
      <c r="Q497">
        <f t="shared" si="980"/>
        <v>19013706.857142814</v>
      </c>
      <c r="R497">
        <f t="shared" si="981"/>
        <v>-1881923958.0513859</v>
      </c>
      <c r="S497">
        <f t="shared" si="982"/>
        <v>-18819.239580513859</v>
      </c>
      <c r="T497">
        <f t="shared" si="983"/>
        <v>-18.819239580513859</v>
      </c>
    </row>
    <row r="498" spans="1:20" x14ac:dyDescent="0.25">
      <c r="A498" s="5">
        <v>44095</v>
      </c>
      <c r="B498">
        <v>7.8200000000000006E-3</v>
      </c>
      <c r="C498">
        <v>7.92E-3</v>
      </c>
      <c r="D498">
        <v>6.7299999999999999E-3</v>
      </c>
      <c r="E498">
        <v>7.1000000000000004E-3</v>
      </c>
      <c r="F498">
        <v>39254270.600000001</v>
      </c>
      <c r="G498">
        <v>0</v>
      </c>
      <c r="L498" t="s">
        <v>7</v>
      </c>
      <c r="M498" t="s">
        <v>7</v>
      </c>
      <c r="N498" t="s">
        <v>8</v>
      </c>
      <c r="P498">
        <f t="shared" si="979"/>
        <v>-0.37815126050420084</v>
      </c>
      <c r="Q498">
        <f t="shared" si="980"/>
        <v>-14844051.907562993</v>
      </c>
      <c r="R498">
        <f t="shared" si="981"/>
        <v>-1900937664.9085288</v>
      </c>
      <c r="S498">
        <f t="shared" si="982"/>
        <v>-19009.376649085287</v>
      </c>
      <c r="T498">
        <f t="shared" si="983"/>
        <v>-19.009376649085286</v>
      </c>
    </row>
    <row r="499" spans="1:20" x14ac:dyDescent="0.25">
      <c r="A499" s="5">
        <v>44094</v>
      </c>
      <c r="B499">
        <v>8.1200000000000005E-3</v>
      </c>
      <c r="C499">
        <v>8.4200000000000004E-3</v>
      </c>
      <c r="D499">
        <v>7.7099999999999998E-3</v>
      </c>
      <c r="E499">
        <v>7.7999999999999996E-3</v>
      </c>
      <c r="F499">
        <v>36214916</v>
      </c>
      <c r="G499">
        <v>0</v>
      </c>
      <c r="L499" t="s">
        <v>8</v>
      </c>
      <c r="M499" t="s">
        <v>7</v>
      </c>
      <c r="N499" t="s">
        <v>8</v>
      </c>
      <c r="P499">
        <f t="shared" si="979"/>
        <v>-0.7464788732394374</v>
      </c>
      <c r="Q499">
        <f t="shared" si="980"/>
        <v>-27033669.690140873</v>
      </c>
      <c r="R499">
        <f t="shared" si="981"/>
        <v>-1886093613.0009658</v>
      </c>
      <c r="S499">
        <f t="shared" si="982"/>
        <v>-18860.936130009657</v>
      </c>
      <c r="T499">
        <f t="shared" si="983"/>
        <v>-18.860936130009659</v>
      </c>
    </row>
    <row r="500" spans="1:20" x14ac:dyDescent="0.25">
      <c r="A500" s="5">
        <v>44093</v>
      </c>
      <c r="B500">
        <v>7.79E-3</v>
      </c>
      <c r="C500">
        <v>8.3499999999999998E-3</v>
      </c>
      <c r="D500">
        <v>7.7799999999999996E-3</v>
      </c>
      <c r="E500">
        <v>8.1200000000000005E-3</v>
      </c>
      <c r="F500">
        <v>42108478.600000001</v>
      </c>
      <c r="G500">
        <v>0</v>
      </c>
      <c r="L500" t="s">
        <v>7</v>
      </c>
      <c r="M500" t="s">
        <v>7</v>
      </c>
      <c r="N500" t="s">
        <v>8</v>
      </c>
      <c r="P500">
        <f t="shared" si="979"/>
        <v>0.19298245614035359</v>
      </c>
      <c r="Q500">
        <f t="shared" si="980"/>
        <v>8126197.6245615175</v>
      </c>
      <c r="R500">
        <f t="shared" si="981"/>
        <v>-1859059943.3108249</v>
      </c>
      <c r="S500">
        <f t="shared" si="982"/>
        <v>-18590.599433108247</v>
      </c>
      <c r="T500">
        <f t="shared" si="983"/>
        <v>-18.590599433108249</v>
      </c>
    </row>
    <row r="501" spans="1:20" x14ac:dyDescent="0.25">
      <c r="A501" s="5">
        <v>44092</v>
      </c>
      <c r="B501">
        <v>7.9299999999999995E-3</v>
      </c>
      <c r="C501">
        <v>8.4499999999999992E-3</v>
      </c>
      <c r="D501">
        <v>7.7299999999999999E-3</v>
      </c>
      <c r="E501">
        <v>7.7999999999999996E-3</v>
      </c>
      <c r="F501">
        <v>43573849.200000003</v>
      </c>
      <c r="G501">
        <v>0</v>
      </c>
      <c r="L501" t="s">
        <v>8</v>
      </c>
      <c r="M501" t="s">
        <v>7</v>
      </c>
      <c r="N501" t="s">
        <v>8</v>
      </c>
      <c r="P501">
        <f t="shared" si="979"/>
        <v>-0.80555555555555602</v>
      </c>
      <c r="Q501">
        <f t="shared" si="980"/>
        <v>-35101156.300000019</v>
      </c>
      <c r="R501">
        <f t="shared" si="981"/>
        <v>-1867186140.9353864</v>
      </c>
      <c r="S501">
        <f t="shared" si="982"/>
        <v>-18671.861409353864</v>
      </c>
      <c r="T501">
        <f t="shared" si="983"/>
        <v>-18.671861409353863</v>
      </c>
    </row>
    <row r="502" spans="1:20" x14ac:dyDescent="0.25">
      <c r="A502" s="5">
        <v>44091</v>
      </c>
      <c r="B502">
        <v>7.5599999999999999E-3</v>
      </c>
      <c r="C502">
        <v>8.2000000000000007E-3</v>
      </c>
      <c r="D502">
        <v>7.5599999999999999E-3</v>
      </c>
      <c r="E502">
        <v>7.9000000000000008E-3</v>
      </c>
      <c r="F502">
        <v>53357877.399999999</v>
      </c>
      <c r="G502">
        <v>0</v>
      </c>
      <c r="L502" t="s">
        <v>8</v>
      </c>
      <c r="M502" t="s">
        <v>7</v>
      </c>
      <c r="N502" t="s">
        <v>8</v>
      </c>
      <c r="P502">
        <f t="shared" si="979"/>
        <v>6.2500000000001443E-2</v>
      </c>
      <c r="Q502">
        <f t="shared" si="980"/>
        <v>3334867.3375000767</v>
      </c>
      <c r="R502">
        <f t="shared" si="981"/>
        <v>-1832084984.6353865</v>
      </c>
      <c r="S502">
        <f t="shared" si="982"/>
        <v>-18320.849846353864</v>
      </c>
      <c r="T502">
        <f t="shared" si="983"/>
        <v>-18.320849846353862</v>
      </c>
    </row>
    <row r="503" spans="1:20" x14ac:dyDescent="0.25">
      <c r="A503" s="5">
        <v>44090</v>
      </c>
      <c r="B503">
        <v>7.6299999999999996E-3</v>
      </c>
      <c r="C503">
        <v>8.2699999999999996E-3</v>
      </c>
      <c r="D503">
        <v>7.3200000000000001E-3</v>
      </c>
      <c r="E503">
        <v>7.5599999999999999E-3</v>
      </c>
      <c r="F503">
        <v>36846583.100000001</v>
      </c>
      <c r="G503">
        <v>0</v>
      </c>
      <c r="L503" t="s">
        <v>7</v>
      </c>
      <c r="M503" t="s">
        <v>7</v>
      </c>
      <c r="N503" t="s">
        <v>8</v>
      </c>
      <c r="P503">
        <f t="shared" si="979"/>
        <v>-0.49473684210526336</v>
      </c>
      <c r="Q503">
        <f t="shared" si="980"/>
        <v>-18229362.165263165</v>
      </c>
      <c r="R503">
        <f t="shared" si="981"/>
        <v>-1835419851.9728866</v>
      </c>
      <c r="S503">
        <f t="shared" si="982"/>
        <v>-18354.198519728867</v>
      </c>
      <c r="T503">
        <f t="shared" si="983"/>
        <v>-18.354198519728868</v>
      </c>
    </row>
    <row r="504" spans="1:20" x14ac:dyDescent="0.25">
      <c r="A504" s="5">
        <v>44089</v>
      </c>
      <c r="B504">
        <v>7.9900000000000006E-3</v>
      </c>
      <c r="C504">
        <v>8.1499999999999993E-3</v>
      </c>
      <c r="D504">
        <v>7.5700000000000003E-3</v>
      </c>
      <c r="E504">
        <v>7.5700000000000003E-3</v>
      </c>
      <c r="F504">
        <v>13397891.199999999</v>
      </c>
      <c r="G504">
        <v>0</v>
      </c>
      <c r="L504" t="s">
        <v>7</v>
      </c>
      <c r="M504" t="s">
        <v>7</v>
      </c>
      <c r="N504" t="s">
        <v>8</v>
      </c>
      <c r="P504">
        <f t="shared" si="979"/>
        <v>-1</v>
      </c>
      <c r="Q504">
        <f t="shared" si="980"/>
        <v>-13397891.199999999</v>
      </c>
      <c r="R504">
        <f t="shared" si="981"/>
        <v>-1817190489.8076234</v>
      </c>
      <c r="S504">
        <f t="shared" si="982"/>
        <v>-18171.904898076235</v>
      </c>
      <c r="T504">
        <f t="shared" si="983"/>
        <v>-18.171904898076235</v>
      </c>
    </row>
    <row r="505" spans="1:20" x14ac:dyDescent="0.25">
      <c r="A505" s="5">
        <v>44088</v>
      </c>
      <c r="B505">
        <v>7.8499999999999993E-3</v>
      </c>
      <c r="C505">
        <v>8.1300000000000001E-3</v>
      </c>
      <c r="D505">
        <v>7.7000000000000002E-3</v>
      </c>
      <c r="E505">
        <v>7.9600000000000001E-3</v>
      </c>
      <c r="F505">
        <v>23510966.899999999</v>
      </c>
      <c r="G505">
        <v>0</v>
      </c>
      <c r="L505" t="s">
        <v>7</v>
      </c>
      <c r="M505" t="s">
        <v>8</v>
      </c>
      <c r="N505" t="s">
        <v>8</v>
      </c>
      <c r="P505">
        <f t="shared" si="979"/>
        <v>0.20930232558139497</v>
      </c>
      <c r="Q505">
        <f t="shared" si="980"/>
        <v>4920900.0488371998</v>
      </c>
      <c r="R505">
        <f t="shared" si="981"/>
        <v>-1803792598.6076233</v>
      </c>
      <c r="S505">
        <f t="shared" si="982"/>
        <v>-18037.925986076232</v>
      </c>
      <c r="T505">
        <f t="shared" si="983"/>
        <v>-18.037925986076232</v>
      </c>
    </row>
    <row r="506" spans="1:20" x14ac:dyDescent="0.25">
      <c r="A506" s="5">
        <v>44087</v>
      </c>
      <c r="B506">
        <v>8.3099999999999997E-3</v>
      </c>
      <c r="C506">
        <v>8.4600000000000005E-3</v>
      </c>
      <c r="D506">
        <v>7.79E-3</v>
      </c>
      <c r="E506">
        <v>7.8399999999999997E-3</v>
      </c>
      <c r="F506">
        <v>27796830.699999999</v>
      </c>
      <c r="G506">
        <v>0</v>
      </c>
      <c r="L506" t="s">
        <v>7</v>
      </c>
      <c r="M506" t="s">
        <v>8</v>
      </c>
      <c r="N506" t="s">
        <v>8</v>
      </c>
      <c r="P506">
        <f t="shared" si="979"/>
        <v>-0.85074626865671743</v>
      </c>
      <c r="Q506">
        <f t="shared" si="980"/>
        <v>-23648049.998507489</v>
      </c>
      <c r="R506">
        <f t="shared" si="981"/>
        <v>-1808713498.6564605</v>
      </c>
      <c r="S506">
        <f t="shared" si="982"/>
        <v>-18087.134986564604</v>
      </c>
      <c r="T506">
        <f t="shared" si="983"/>
        <v>-18.087134986564603</v>
      </c>
    </row>
    <row r="507" spans="1:20" x14ac:dyDescent="0.25">
      <c r="A507" s="5">
        <v>44086</v>
      </c>
      <c r="B507">
        <v>8.2000000000000007E-3</v>
      </c>
      <c r="C507">
        <v>9.1999999999999998E-3</v>
      </c>
      <c r="D507">
        <v>7.9000000000000008E-3</v>
      </c>
      <c r="E507">
        <v>8.3099999999999997E-3</v>
      </c>
      <c r="F507">
        <v>133500173.3</v>
      </c>
      <c r="G507">
        <v>0</v>
      </c>
      <c r="L507" t="s">
        <v>8</v>
      </c>
      <c r="M507" t="s">
        <v>8</v>
      </c>
      <c r="N507" t="s">
        <v>8</v>
      </c>
      <c r="P507">
        <f t="shared" si="979"/>
        <v>-0.36923076923077047</v>
      </c>
      <c r="Q507">
        <f t="shared" si="980"/>
        <v>-49292371.680000164</v>
      </c>
      <c r="R507">
        <f t="shared" si="981"/>
        <v>-1785065448.657953</v>
      </c>
      <c r="S507">
        <f t="shared" si="982"/>
        <v>-17850.654486579529</v>
      </c>
      <c r="T507">
        <f t="shared" si="983"/>
        <v>-17.850654486579529</v>
      </c>
    </row>
    <row r="508" spans="1:20" x14ac:dyDescent="0.25">
      <c r="A508" s="5">
        <v>44085</v>
      </c>
      <c r="B508">
        <v>7.8899999999999994E-3</v>
      </c>
      <c r="C508">
        <v>8.2900000000000005E-3</v>
      </c>
      <c r="D508">
        <v>7.5599999999999999E-3</v>
      </c>
      <c r="E508">
        <v>8.26E-3</v>
      </c>
      <c r="F508">
        <v>36807880.799999997</v>
      </c>
      <c r="G508">
        <v>0</v>
      </c>
      <c r="L508" t="s">
        <v>8</v>
      </c>
      <c r="M508" t="s">
        <v>8</v>
      </c>
      <c r="N508" t="s">
        <v>7</v>
      </c>
      <c r="P508">
        <f t="shared" si="979"/>
        <v>0.91780821917808086</v>
      </c>
      <c r="Q508">
        <f t="shared" si="980"/>
        <v>33782575.528767072</v>
      </c>
      <c r="R508">
        <f t="shared" si="981"/>
        <v>-1735773076.977953</v>
      </c>
      <c r="S508">
        <f t="shared" si="982"/>
        <v>-17357.73076977953</v>
      </c>
      <c r="T508">
        <f t="shared" si="983"/>
        <v>-17.357730769779529</v>
      </c>
    </row>
    <row r="509" spans="1:20" x14ac:dyDescent="0.25">
      <c r="A509" s="5">
        <v>44084</v>
      </c>
      <c r="B509">
        <v>7.6099999999999996E-3</v>
      </c>
      <c r="C509">
        <v>8.0000000000000002E-3</v>
      </c>
      <c r="D509">
        <v>7.5799999999999999E-3</v>
      </c>
      <c r="E509">
        <v>7.8899999999999994E-3</v>
      </c>
      <c r="F509">
        <v>30413424.600000001</v>
      </c>
      <c r="G509">
        <v>0</v>
      </c>
      <c r="L509" t="s">
        <v>8</v>
      </c>
      <c r="M509" t="s">
        <v>8</v>
      </c>
      <c r="N509" t="s">
        <v>7</v>
      </c>
      <c r="P509">
        <f t="shared" si="979"/>
        <v>0.47619047619047306</v>
      </c>
      <c r="Q509">
        <f t="shared" si="980"/>
        <v>14482583.142857049</v>
      </c>
      <c r="R509">
        <f t="shared" si="981"/>
        <v>-1769555652.5067201</v>
      </c>
      <c r="S509">
        <f t="shared" si="982"/>
        <v>-17695.556525067201</v>
      </c>
      <c r="T509">
        <f t="shared" si="983"/>
        <v>-17.6955565250672</v>
      </c>
    </row>
    <row r="510" spans="1:20" x14ac:dyDescent="0.25">
      <c r="A510" s="5">
        <v>44083</v>
      </c>
      <c r="B510">
        <v>7.1799999999999998E-3</v>
      </c>
      <c r="C510">
        <v>7.77E-3</v>
      </c>
      <c r="D510">
        <v>7.1599999999999997E-3</v>
      </c>
      <c r="E510">
        <v>7.5799999999999999E-3</v>
      </c>
      <c r="F510">
        <v>32547231.5</v>
      </c>
      <c r="G510">
        <v>0</v>
      </c>
      <c r="L510" t="s">
        <v>8</v>
      </c>
      <c r="M510" t="s">
        <v>8</v>
      </c>
      <c r="N510" t="s">
        <v>7</v>
      </c>
      <c r="P510">
        <f t="shared" si="979"/>
        <v>0.37704918032786894</v>
      </c>
      <c r="Q510">
        <f t="shared" si="980"/>
        <v>12271906.959016396</v>
      </c>
      <c r="R510">
        <f t="shared" si="981"/>
        <v>-1784038235.6495771</v>
      </c>
      <c r="S510">
        <f t="shared" si="982"/>
        <v>-17840.382356495771</v>
      </c>
      <c r="T510">
        <f t="shared" si="983"/>
        <v>-17.84038235649577</v>
      </c>
    </row>
    <row r="511" spans="1:20" x14ac:dyDescent="0.25">
      <c r="A511" s="5">
        <v>44082</v>
      </c>
      <c r="B511">
        <v>7.3000000000000001E-3</v>
      </c>
      <c r="C511">
        <v>7.6E-3</v>
      </c>
      <c r="D511">
        <v>6.8700000000000002E-3</v>
      </c>
      <c r="E511">
        <v>7.1599999999999997E-3</v>
      </c>
      <c r="F511">
        <v>23539619</v>
      </c>
      <c r="G511">
        <v>0</v>
      </c>
      <c r="L511" t="s">
        <v>8</v>
      </c>
      <c r="M511" t="s">
        <v>8</v>
      </c>
      <c r="N511" t="s">
        <v>7</v>
      </c>
      <c r="P511">
        <f t="shared" si="979"/>
        <v>-0.20547945205479573</v>
      </c>
      <c r="Q511">
        <f t="shared" si="980"/>
        <v>-4836908.0136986589</v>
      </c>
      <c r="R511">
        <f t="shared" si="981"/>
        <v>-1796310142.6085935</v>
      </c>
      <c r="S511">
        <f t="shared" si="982"/>
        <v>-17963.101426085934</v>
      </c>
      <c r="T511">
        <f t="shared" si="983"/>
        <v>-17.963101426085935</v>
      </c>
    </row>
    <row r="512" spans="1:20" x14ac:dyDescent="0.25">
      <c r="A512" s="5">
        <v>44081</v>
      </c>
      <c r="B512">
        <v>7.3200000000000001E-3</v>
      </c>
      <c r="C512">
        <v>7.43E-3</v>
      </c>
      <c r="D512">
        <v>6.7299999999999999E-3</v>
      </c>
      <c r="E512">
        <v>7.3000000000000001E-3</v>
      </c>
      <c r="F512">
        <v>34864319.5</v>
      </c>
      <c r="G512">
        <v>0</v>
      </c>
      <c r="L512" t="s">
        <v>7</v>
      </c>
      <c r="M512" t="s">
        <v>8</v>
      </c>
      <c r="N512" t="s">
        <v>7</v>
      </c>
      <c r="P512">
        <f t="shared" si="979"/>
        <v>0.62857142857142889</v>
      </c>
      <c r="Q512">
        <f t="shared" si="980"/>
        <v>21914715.114285726</v>
      </c>
      <c r="R512">
        <f t="shared" si="981"/>
        <v>-1791473234.5948949</v>
      </c>
      <c r="S512">
        <f t="shared" si="982"/>
        <v>-17914.732345948949</v>
      </c>
      <c r="T512">
        <f t="shared" si="983"/>
        <v>-17.914732345948948</v>
      </c>
    </row>
    <row r="513" spans="1:20" x14ac:dyDescent="0.25">
      <c r="A513" s="5">
        <v>44080</v>
      </c>
      <c r="B513">
        <v>6.7400000000000003E-3</v>
      </c>
      <c r="C513">
        <v>7.9000000000000008E-3</v>
      </c>
      <c r="D513">
        <v>6.45E-3</v>
      </c>
      <c r="E513">
        <v>7.3000000000000001E-3</v>
      </c>
      <c r="F513">
        <v>47473161.399999999</v>
      </c>
      <c r="G513">
        <v>0</v>
      </c>
      <c r="L513" t="s">
        <v>8</v>
      </c>
      <c r="M513" t="s">
        <v>8</v>
      </c>
      <c r="N513" t="s">
        <v>7</v>
      </c>
      <c r="P513">
        <f t="shared" si="979"/>
        <v>0.17241379310344773</v>
      </c>
      <c r="Q513">
        <f t="shared" si="980"/>
        <v>8185027.8275861805</v>
      </c>
      <c r="R513">
        <f t="shared" si="981"/>
        <v>-1813387949.7091806</v>
      </c>
      <c r="S513">
        <f t="shared" si="982"/>
        <v>-18133.879497091806</v>
      </c>
      <c r="T513">
        <f t="shared" si="983"/>
        <v>-18.133879497091804</v>
      </c>
    </row>
    <row r="514" spans="1:20" x14ac:dyDescent="0.25">
      <c r="A514" s="5">
        <v>44079</v>
      </c>
      <c r="B514">
        <v>7.5900000000000004E-3</v>
      </c>
      <c r="C514">
        <v>8.0000000000000002E-3</v>
      </c>
      <c r="D514">
        <v>6.2700000000000004E-3</v>
      </c>
      <c r="E514">
        <v>6.7600000000000004E-3</v>
      </c>
      <c r="F514">
        <v>60380996.299999997</v>
      </c>
      <c r="G514">
        <v>0</v>
      </c>
      <c r="L514" t="s">
        <v>7</v>
      </c>
      <c r="M514" t="s">
        <v>7</v>
      </c>
      <c r="N514" t="s">
        <v>7</v>
      </c>
      <c r="P514">
        <f t="shared" si="979"/>
        <v>-0.43352601156069359</v>
      </c>
      <c r="Q514">
        <f t="shared" si="980"/>
        <v>-26176732.499999996</v>
      </c>
      <c r="R514">
        <f t="shared" si="981"/>
        <v>-1821572977.5367668</v>
      </c>
      <c r="S514">
        <f t="shared" si="982"/>
        <v>-18215.729775367668</v>
      </c>
      <c r="T514">
        <f t="shared" si="983"/>
        <v>-18.21572977536767</v>
      </c>
    </row>
    <row r="515" spans="1:20" x14ac:dyDescent="0.25">
      <c r="A515" s="5">
        <v>44078</v>
      </c>
      <c r="B515">
        <v>7.4200000000000004E-3</v>
      </c>
      <c r="C515">
        <v>7.8700000000000003E-3</v>
      </c>
      <c r="D515">
        <v>7.0099999999999997E-3</v>
      </c>
      <c r="E515">
        <v>7.6400000000000001E-3</v>
      </c>
      <c r="F515">
        <v>38123132.200000003</v>
      </c>
      <c r="G515">
        <v>0</v>
      </c>
      <c r="L515" t="s">
        <v>7</v>
      </c>
      <c r="M515" t="s">
        <v>7</v>
      </c>
      <c r="N515" t="s">
        <v>7</v>
      </c>
      <c r="P515">
        <f t="shared" si="979"/>
        <v>0.46511627906976738</v>
      </c>
      <c r="Q515">
        <f t="shared" si="980"/>
        <v>17731689.395348836</v>
      </c>
      <c r="R515">
        <f t="shared" si="981"/>
        <v>-1795396245.0367668</v>
      </c>
      <c r="S515">
        <f t="shared" si="982"/>
        <v>-17953.962450367668</v>
      </c>
      <c r="T515">
        <f t="shared" si="983"/>
        <v>-17.953962450367669</v>
      </c>
    </row>
    <row r="516" spans="1:20" x14ac:dyDescent="0.25">
      <c r="A516" s="5">
        <v>44077</v>
      </c>
      <c r="B516">
        <v>9.1299999999999992E-3</v>
      </c>
      <c r="C516">
        <v>9.2099999999999994E-3</v>
      </c>
      <c r="D516">
        <v>7.4099999999999999E-3</v>
      </c>
      <c r="E516">
        <v>7.4400000000000004E-3</v>
      </c>
      <c r="F516">
        <v>112203517</v>
      </c>
      <c r="G516">
        <v>0</v>
      </c>
      <c r="L516" t="s">
        <v>7</v>
      </c>
      <c r="M516" t="s">
        <v>7</v>
      </c>
      <c r="N516" t="s">
        <v>7</v>
      </c>
      <c r="P516">
        <f t="shared" si="979"/>
        <v>-0.96666666666666612</v>
      </c>
      <c r="Q516">
        <f t="shared" si="980"/>
        <v>-108463399.76666661</v>
      </c>
      <c r="R516">
        <f t="shared" si="981"/>
        <v>-1813127934.4321156</v>
      </c>
      <c r="S516">
        <f t="shared" si="982"/>
        <v>-18131.279344321156</v>
      </c>
      <c r="T516">
        <f t="shared" si="983"/>
        <v>-18.131279344321158</v>
      </c>
    </row>
    <row r="517" spans="1:20" x14ac:dyDescent="0.25">
      <c r="A517" s="5">
        <v>44076</v>
      </c>
      <c r="B517">
        <v>9.7099999999999999E-3</v>
      </c>
      <c r="C517">
        <v>0.01</v>
      </c>
      <c r="D517">
        <v>8.8599999999999998E-3</v>
      </c>
      <c r="E517">
        <v>9.1599999999999997E-3</v>
      </c>
      <c r="F517">
        <v>57063548.799999997</v>
      </c>
      <c r="G517">
        <v>0</v>
      </c>
      <c r="L517" t="s">
        <v>7</v>
      </c>
      <c r="M517" t="s">
        <v>8</v>
      </c>
      <c r="N517" t="s">
        <v>8</v>
      </c>
      <c r="P517">
        <f t="shared" si="979"/>
        <v>-0.4736842105263161</v>
      </c>
      <c r="Q517">
        <f t="shared" si="980"/>
        <v>-27030102.063157912</v>
      </c>
      <c r="R517">
        <f t="shared" si="981"/>
        <v>-1704664534.6654489</v>
      </c>
      <c r="S517">
        <f t="shared" si="982"/>
        <v>-17046.645346654488</v>
      </c>
      <c r="T517">
        <f t="shared" si="983"/>
        <v>-17.04664534665449</v>
      </c>
    </row>
    <row r="518" spans="1:20" x14ac:dyDescent="0.25">
      <c r="A518" s="5">
        <v>44075</v>
      </c>
      <c r="B518">
        <v>1.008E-2</v>
      </c>
      <c r="C518">
        <v>1.065E-2</v>
      </c>
      <c r="D518">
        <v>9.6100000000000005E-3</v>
      </c>
      <c r="E518">
        <v>9.7400000000000004E-3</v>
      </c>
      <c r="F518">
        <v>114691614.3</v>
      </c>
      <c r="G518">
        <v>0</v>
      </c>
      <c r="L518" t="s">
        <v>8</v>
      </c>
      <c r="M518" t="s">
        <v>8</v>
      </c>
      <c r="N518" t="s">
        <v>8</v>
      </c>
      <c r="P518">
        <f t="shared" ref="P518:P581" si="984">IF(C518=D518,0,((E518-D518)-(C518-E518))/(C518-D518))</f>
        <v>-0.75</v>
      </c>
      <c r="Q518">
        <f t="shared" ref="Q518:Q581" si="985">F518*P518</f>
        <v>-86018710.724999994</v>
      </c>
      <c r="R518">
        <f t="shared" ref="R518:R581" si="986">R519+Q518</f>
        <v>-1677634432.6022911</v>
      </c>
      <c r="S518">
        <f t="shared" ref="S518:S581" si="987">R518/100000</f>
        <v>-16776.344326022911</v>
      </c>
      <c r="T518">
        <f t="shared" ref="T518:T581" si="988">S518/1000</f>
        <v>-16.776344326022912</v>
      </c>
    </row>
    <row r="519" spans="1:20" x14ac:dyDescent="0.25">
      <c r="A519" s="5">
        <v>44074</v>
      </c>
      <c r="B519">
        <v>9.6100000000000005E-3</v>
      </c>
      <c r="C519">
        <v>1.047E-2</v>
      </c>
      <c r="D519">
        <v>9.41E-3</v>
      </c>
      <c r="E519">
        <v>1.008E-2</v>
      </c>
      <c r="F519">
        <v>106155799.5</v>
      </c>
      <c r="G519">
        <v>0</v>
      </c>
      <c r="L519" t="s">
        <v>8</v>
      </c>
      <c r="M519" t="s">
        <v>8</v>
      </c>
      <c r="N519" t="s">
        <v>8</v>
      </c>
      <c r="P519">
        <f t="shared" si="984"/>
        <v>0.26415094339622708</v>
      </c>
      <c r="Q519">
        <f t="shared" si="985"/>
        <v>28041154.584905732</v>
      </c>
      <c r="R519">
        <f t="shared" si="986"/>
        <v>-1591615721.8772912</v>
      </c>
      <c r="S519">
        <f t="shared" si="987"/>
        <v>-15916.157218772913</v>
      </c>
      <c r="T519">
        <f t="shared" si="988"/>
        <v>-15.916157218772913</v>
      </c>
    </row>
    <row r="520" spans="1:20" x14ac:dyDescent="0.25">
      <c r="A520" s="5">
        <v>44073</v>
      </c>
      <c r="B520">
        <v>9.4299999999999991E-3</v>
      </c>
      <c r="C520">
        <v>9.9299999999999996E-3</v>
      </c>
      <c r="D520">
        <v>9.4000000000000004E-3</v>
      </c>
      <c r="E520">
        <v>9.5999999999999992E-3</v>
      </c>
      <c r="F520">
        <v>42281758.399999999</v>
      </c>
      <c r="G520">
        <v>0</v>
      </c>
      <c r="L520" t="s">
        <v>8</v>
      </c>
      <c r="M520" t="s">
        <v>7</v>
      </c>
      <c r="N520" t="s">
        <v>8</v>
      </c>
      <c r="P520">
        <f t="shared" si="984"/>
        <v>-0.245283018867928</v>
      </c>
      <c r="Q520">
        <f t="shared" si="985"/>
        <v>-10370997.343396373</v>
      </c>
      <c r="R520">
        <f t="shared" si="986"/>
        <v>-1619656876.4621968</v>
      </c>
      <c r="S520">
        <f t="shared" si="987"/>
        <v>-16196.568764621969</v>
      </c>
      <c r="T520">
        <f t="shared" si="988"/>
        <v>-16.196568764621968</v>
      </c>
    </row>
    <row r="521" spans="1:20" x14ac:dyDescent="0.25">
      <c r="A521" s="5">
        <v>44072</v>
      </c>
      <c r="B521">
        <v>9.6799999999999994E-3</v>
      </c>
      <c r="C521">
        <v>9.8799999999999999E-3</v>
      </c>
      <c r="D521">
        <v>9.3900000000000008E-3</v>
      </c>
      <c r="E521">
        <v>9.4299999999999991E-3</v>
      </c>
      <c r="F521">
        <v>63676392</v>
      </c>
      <c r="G521">
        <v>0</v>
      </c>
      <c r="L521" t="s">
        <v>8</v>
      </c>
      <c r="M521" t="s">
        <v>7</v>
      </c>
      <c r="N521" t="s">
        <v>8</v>
      </c>
      <c r="P521">
        <f t="shared" si="984"/>
        <v>-0.83673469387755739</v>
      </c>
      <c r="Q521">
        <f t="shared" si="985"/>
        <v>-53280246.367347345</v>
      </c>
      <c r="R521">
        <f t="shared" si="986"/>
        <v>-1609285879.1188004</v>
      </c>
      <c r="S521">
        <f t="shared" si="987"/>
        <v>-16092.858791188004</v>
      </c>
      <c r="T521">
        <f t="shared" si="988"/>
        <v>-16.092858791188004</v>
      </c>
    </row>
    <row r="522" spans="1:20" x14ac:dyDescent="0.25">
      <c r="A522" s="5">
        <v>44071</v>
      </c>
      <c r="B522">
        <v>8.9999999999999993E-3</v>
      </c>
      <c r="C522">
        <v>9.7999999999999997E-3</v>
      </c>
      <c r="D522">
        <v>8.9700000000000005E-3</v>
      </c>
      <c r="E522">
        <v>9.6699999999999998E-3</v>
      </c>
      <c r="F522">
        <v>65132897.700000003</v>
      </c>
      <c r="G522">
        <v>0</v>
      </c>
      <c r="L522" t="s">
        <v>8</v>
      </c>
      <c r="M522" t="s">
        <v>7</v>
      </c>
      <c r="N522" t="s">
        <v>8</v>
      </c>
      <c r="P522">
        <f t="shared" si="984"/>
        <v>0.68674698795180711</v>
      </c>
      <c r="Q522">
        <f t="shared" si="985"/>
        <v>44729821.312048189</v>
      </c>
      <c r="R522">
        <f t="shared" si="986"/>
        <v>-1556005632.7514532</v>
      </c>
      <c r="S522">
        <f t="shared" si="987"/>
        <v>-15560.056327514532</v>
      </c>
      <c r="T522">
        <f t="shared" si="988"/>
        <v>-15.560056327514532</v>
      </c>
    </row>
    <row r="523" spans="1:20" x14ac:dyDescent="0.25">
      <c r="A523" s="5">
        <v>44070</v>
      </c>
      <c r="B523">
        <v>9.1900000000000003E-3</v>
      </c>
      <c r="C523">
        <v>9.3500000000000007E-3</v>
      </c>
      <c r="D523">
        <v>8.6700000000000006E-3</v>
      </c>
      <c r="E523">
        <v>8.9999999999999993E-3</v>
      </c>
      <c r="F523">
        <v>40993813.799999997</v>
      </c>
      <c r="G523">
        <v>0</v>
      </c>
      <c r="L523" t="s">
        <v>7</v>
      </c>
      <c r="M523" t="s">
        <v>7</v>
      </c>
      <c r="N523" t="s">
        <v>8</v>
      </c>
      <c r="P523">
        <f t="shared" si="984"/>
        <v>-2.9411764705886256E-2</v>
      </c>
      <c r="Q523">
        <f t="shared" si="985"/>
        <v>-1205700.4058825129</v>
      </c>
      <c r="R523">
        <f t="shared" si="986"/>
        <v>-1600735454.0635014</v>
      </c>
      <c r="S523">
        <f t="shared" si="987"/>
        <v>-16007.354540635013</v>
      </c>
      <c r="T523">
        <f t="shared" si="988"/>
        <v>-16.007354540635014</v>
      </c>
    </row>
    <row r="524" spans="1:20" x14ac:dyDescent="0.25">
      <c r="A524" s="5">
        <v>44069</v>
      </c>
      <c r="B524">
        <v>8.8400000000000006E-3</v>
      </c>
      <c r="C524">
        <v>9.3699999999999999E-3</v>
      </c>
      <c r="D524">
        <v>8.6800000000000002E-3</v>
      </c>
      <c r="E524">
        <v>9.1999999999999998E-3</v>
      </c>
      <c r="F524">
        <v>50940685.100000001</v>
      </c>
      <c r="G524">
        <v>0</v>
      </c>
      <c r="L524" t="s">
        <v>8</v>
      </c>
      <c r="M524" t="s">
        <v>7</v>
      </c>
      <c r="N524" t="s">
        <v>8</v>
      </c>
      <c r="P524">
        <f t="shared" si="984"/>
        <v>0.5072463768115939</v>
      </c>
      <c r="Q524">
        <f t="shared" si="985"/>
        <v>25839477.949275348</v>
      </c>
      <c r="R524">
        <f t="shared" si="986"/>
        <v>-1599529753.6576188</v>
      </c>
      <c r="S524">
        <f t="shared" si="987"/>
        <v>-15995.297536576187</v>
      </c>
      <c r="T524">
        <f t="shared" si="988"/>
        <v>-15.995297536576187</v>
      </c>
    </row>
    <row r="525" spans="1:20" x14ac:dyDescent="0.25">
      <c r="A525" s="5">
        <v>44068</v>
      </c>
      <c r="B525">
        <v>9.5200000000000007E-3</v>
      </c>
      <c r="C525">
        <v>9.5600000000000008E-3</v>
      </c>
      <c r="D525">
        <v>8.5800000000000008E-3</v>
      </c>
      <c r="E525">
        <v>8.8500000000000002E-3</v>
      </c>
      <c r="F525">
        <v>39647281.100000001</v>
      </c>
      <c r="G525">
        <v>0</v>
      </c>
      <c r="L525" t="s">
        <v>7</v>
      </c>
      <c r="M525" t="s">
        <v>7</v>
      </c>
      <c r="N525" t="s">
        <v>8</v>
      </c>
      <c r="P525">
        <f t="shared" si="984"/>
        <v>-0.44897959183673586</v>
      </c>
      <c r="Q525">
        <f t="shared" si="985"/>
        <v>-17800820.085714333</v>
      </c>
      <c r="R525">
        <f t="shared" si="986"/>
        <v>-1625369231.606894</v>
      </c>
      <c r="S525">
        <f t="shared" si="987"/>
        <v>-16253.69231606894</v>
      </c>
      <c r="T525">
        <f t="shared" si="988"/>
        <v>-16.253692316068939</v>
      </c>
    </row>
    <row r="526" spans="1:20" x14ac:dyDescent="0.25">
      <c r="A526" s="5">
        <v>44067</v>
      </c>
      <c r="B526">
        <v>9.3699999999999999E-3</v>
      </c>
      <c r="C526">
        <v>9.6500000000000006E-3</v>
      </c>
      <c r="D526">
        <v>9.2899999999999996E-3</v>
      </c>
      <c r="E526">
        <v>9.5200000000000007E-3</v>
      </c>
      <c r="F526">
        <v>23770452.399999999</v>
      </c>
      <c r="G526">
        <v>0</v>
      </c>
      <c r="L526" t="s">
        <v>8</v>
      </c>
      <c r="M526" t="s">
        <v>7</v>
      </c>
      <c r="N526" t="s">
        <v>8</v>
      </c>
      <c r="P526">
        <f t="shared" si="984"/>
        <v>0.27777777777778018</v>
      </c>
      <c r="Q526">
        <f t="shared" si="985"/>
        <v>6602903.4444445008</v>
      </c>
      <c r="R526">
        <f t="shared" si="986"/>
        <v>-1607568411.5211797</v>
      </c>
      <c r="S526">
        <f t="shared" si="987"/>
        <v>-16075.684115211796</v>
      </c>
      <c r="T526">
        <f t="shared" si="988"/>
        <v>-16.075684115211796</v>
      </c>
    </row>
    <row r="527" spans="1:20" x14ac:dyDescent="0.25">
      <c r="A527" s="5">
        <v>44066</v>
      </c>
      <c r="B527">
        <v>9.5300000000000003E-3</v>
      </c>
      <c r="C527">
        <v>9.5499999999999995E-3</v>
      </c>
      <c r="D527">
        <v>9.2499999999999995E-3</v>
      </c>
      <c r="E527">
        <v>9.3699999999999999E-3</v>
      </c>
      <c r="F527">
        <v>19465366.899999999</v>
      </c>
      <c r="G527">
        <v>0</v>
      </c>
      <c r="L527" t="s">
        <v>8</v>
      </c>
      <c r="M527" t="s">
        <v>7</v>
      </c>
      <c r="N527" t="s">
        <v>8</v>
      </c>
      <c r="P527">
        <f t="shared" si="984"/>
        <v>-0.19999999999999768</v>
      </c>
      <c r="Q527">
        <f t="shared" si="985"/>
        <v>-3893073.3799999547</v>
      </c>
      <c r="R527">
        <f t="shared" si="986"/>
        <v>-1614171314.9656241</v>
      </c>
      <c r="S527">
        <f t="shared" si="987"/>
        <v>-16141.713149656242</v>
      </c>
      <c r="T527">
        <f t="shared" si="988"/>
        <v>-16.14171314965624</v>
      </c>
    </row>
    <row r="528" spans="1:20" x14ac:dyDescent="0.25">
      <c r="A528" s="5">
        <v>44065</v>
      </c>
      <c r="B528">
        <v>9.2300000000000004E-3</v>
      </c>
      <c r="C528">
        <v>9.5700000000000004E-3</v>
      </c>
      <c r="D528">
        <v>8.8800000000000007E-3</v>
      </c>
      <c r="E528">
        <v>9.5300000000000003E-3</v>
      </c>
      <c r="F528">
        <v>28194492.5</v>
      </c>
      <c r="G528">
        <v>0</v>
      </c>
      <c r="L528" t="s">
        <v>7</v>
      </c>
      <c r="M528" t="s">
        <v>7</v>
      </c>
      <c r="N528" t="s">
        <v>8</v>
      </c>
      <c r="P528">
        <f t="shared" si="984"/>
        <v>0.88405797101449235</v>
      </c>
      <c r="Q528">
        <f t="shared" si="985"/>
        <v>24925565.833333321</v>
      </c>
      <c r="R528">
        <f t="shared" si="986"/>
        <v>-1610278241.5856242</v>
      </c>
      <c r="S528">
        <f t="shared" si="987"/>
        <v>-16102.782415856242</v>
      </c>
      <c r="T528">
        <f t="shared" si="988"/>
        <v>-16.102782415856243</v>
      </c>
    </row>
    <row r="529" spans="1:20" x14ac:dyDescent="0.25">
      <c r="A529" s="5">
        <v>44064</v>
      </c>
      <c r="B529">
        <v>1.0059999999999999E-2</v>
      </c>
      <c r="C529">
        <v>1.021E-2</v>
      </c>
      <c r="D529">
        <v>9.1900000000000003E-3</v>
      </c>
      <c r="E529">
        <v>9.2599999999999991E-3</v>
      </c>
      <c r="F529">
        <v>87981396.599999994</v>
      </c>
      <c r="G529">
        <v>0</v>
      </c>
      <c r="L529" t="s">
        <v>7</v>
      </c>
      <c r="M529" t="s">
        <v>7</v>
      </c>
      <c r="N529" t="s">
        <v>8</v>
      </c>
      <c r="P529">
        <f t="shared" si="984"/>
        <v>-0.86274509803921784</v>
      </c>
      <c r="Q529">
        <f t="shared" si="985"/>
        <v>-75905518.635294303</v>
      </c>
      <c r="R529">
        <f t="shared" si="986"/>
        <v>-1635203807.4189575</v>
      </c>
      <c r="S529">
        <f t="shared" si="987"/>
        <v>-16352.038074189575</v>
      </c>
      <c r="T529">
        <f t="shared" si="988"/>
        <v>-16.352038074189576</v>
      </c>
    </row>
    <row r="530" spans="1:20" x14ac:dyDescent="0.25">
      <c r="A530" s="5">
        <v>44063</v>
      </c>
      <c r="B530">
        <v>9.5600000000000008E-3</v>
      </c>
      <c r="C530">
        <v>1.0359999999999999E-2</v>
      </c>
      <c r="D530">
        <v>9.4999999999999998E-3</v>
      </c>
      <c r="E530">
        <v>1.01E-2</v>
      </c>
      <c r="F530">
        <v>76994267.099999994</v>
      </c>
      <c r="G530">
        <v>0</v>
      </c>
      <c r="L530" t="s">
        <v>8</v>
      </c>
      <c r="M530" t="s">
        <v>8</v>
      </c>
      <c r="N530" t="s">
        <v>8</v>
      </c>
      <c r="P530">
        <f t="shared" si="984"/>
        <v>0.39534883720930253</v>
      </c>
      <c r="Q530">
        <f t="shared" si="985"/>
        <v>30439593.969767455</v>
      </c>
      <c r="R530">
        <f t="shared" si="986"/>
        <v>-1559298288.7836633</v>
      </c>
      <c r="S530">
        <f t="shared" si="987"/>
        <v>-15592.982887836633</v>
      </c>
      <c r="T530">
        <f t="shared" si="988"/>
        <v>-15.592982887836634</v>
      </c>
    </row>
    <row r="531" spans="1:20" x14ac:dyDescent="0.25">
      <c r="A531" s="5">
        <v>44062</v>
      </c>
      <c r="B531">
        <v>0.01</v>
      </c>
      <c r="C531">
        <v>1.013E-2</v>
      </c>
      <c r="D531">
        <v>9.2999999999999992E-3</v>
      </c>
      <c r="E531">
        <v>9.5399999999999999E-3</v>
      </c>
      <c r="F531">
        <v>59628752.299999997</v>
      </c>
      <c r="G531">
        <v>0</v>
      </c>
      <c r="L531" t="s">
        <v>7</v>
      </c>
      <c r="M531" t="s">
        <v>8</v>
      </c>
      <c r="N531" t="s">
        <v>8</v>
      </c>
      <c r="P531">
        <f t="shared" si="984"/>
        <v>-0.42168674698795089</v>
      </c>
      <c r="Q531">
        <f t="shared" si="985"/>
        <v>-25144654.584337294</v>
      </c>
      <c r="R531">
        <f t="shared" si="986"/>
        <v>-1589737882.7534308</v>
      </c>
      <c r="S531">
        <f t="shared" si="987"/>
        <v>-15897.378827534309</v>
      </c>
      <c r="T531">
        <f t="shared" si="988"/>
        <v>-15.897378827534309</v>
      </c>
    </row>
    <row r="532" spans="1:20" x14ac:dyDescent="0.25">
      <c r="A532" s="5">
        <v>44061</v>
      </c>
      <c r="B532">
        <v>9.9000000000000008E-3</v>
      </c>
      <c r="C532">
        <v>1.0699999999999999E-2</v>
      </c>
      <c r="D532">
        <v>9.4400000000000005E-3</v>
      </c>
      <c r="E532">
        <v>9.9600000000000001E-3</v>
      </c>
      <c r="F532">
        <v>147262826.69999999</v>
      </c>
      <c r="G532">
        <v>0</v>
      </c>
      <c r="L532" t="s">
        <v>8</v>
      </c>
      <c r="M532" t="s">
        <v>8</v>
      </c>
      <c r="N532" t="s">
        <v>8</v>
      </c>
      <c r="P532">
        <f t="shared" si="984"/>
        <v>-0.17460317460317451</v>
      </c>
      <c r="Q532">
        <f t="shared" si="985"/>
        <v>-25712557.042857125</v>
      </c>
      <c r="R532">
        <f t="shared" si="986"/>
        <v>-1564593228.1690936</v>
      </c>
      <c r="S532">
        <f t="shared" si="987"/>
        <v>-15645.932281690935</v>
      </c>
      <c r="T532">
        <f t="shared" si="988"/>
        <v>-15.645932281690936</v>
      </c>
    </row>
    <row r="533" spans="1:20" x14ac:dyDescent="0.25">
      <c r="A533" s="5">
        <v>44060</v>
      </c>
      <c r="B533">
        <v>9.6699999999999998E-3</v>
      </c>
      <c r="C533">
        <v>1.025E-2</v>
      </c>
      <c r="D533">
        <v>9.5300000000000003E-3</v>
      </c>
      <c r="E533">
        <v>9.9000000000000008E-3</v>
      </c>
      <c r="F533">
        <v>88902312.400000006</v>
      </c>
      <c r="G533">
        <v>0</v>
      </c>
      <c r="L533" t="s">
        <v>8</v>
      </c>
      <c r="M533" t="s">
        <v>8</v>
      </c>
      <c r="N533" t="s">
        <v>8</v>
      </c>
      <c r="P533">
        <f t="shared" si="984"/>
        <v>2.777777777777905E-2</v>
      </c>
      <c r="Q533">
        <f t="shared" si="985"/>
        <v>2469508.677777891</v>
      </c>
      <c r="R533">
        <f t="shared" si="986"/>
        <v>-1538880671.1262364</v>
      </c>
      <c r="S533">
        <f t="shared" si="987"/>
        <v>-15388.806711262365</v>
      </c>
      <c r="T533">
        <f t="shared" si="988"/>
        <v>-15.388806711262365</v>
      </c>
    </row>
    <row r="534" spans="1:20" x14ac:dyDescent="0.25">
      <c r="A534" s="5">
        <v>44059</v>
      </c>
      <c r="B534">
        <v>9.7599999999999996E-3</v>
      </c>
      <c r="C534">
        <v>9.7800000000000005E-3</v>
      </c>
      <c r="D534">
        <v>9.4000000000000004E-3</v>
      </c>
      <c r="E534">
        <v>9.6699999999999998E-3</v>
      </c>
      <c r="F534">
        <v>33775358.5</v>
      </c>
      <c r="G534">
        <v>0</v>
      </c>
      <c r="L534" t="s">
        <v>7</v>
      </c>
      <c r="M534" t="s">
        <v>8</v>
      </c>
      <c r="N534" t="s">
        <v>8</v>
      </c>
      <c r="P534">
        <f t="shared" si="984"/>
        <v>0.42105263157894374</v>
      </c>
      <c r="Q534">
        <f t="shared" si="985"/>
        <v>14221203.578947246</v>
      </c>
      <c r="R534">
        <f t="shared" si="986"/>
        <v>-1541350179.8040144</v>
      </c>
      <c r="S534">
        <f t="shared" si="987"/>
        <v>-15413.501798040144</v>
      </c>
      <c r="T534">
        <f t="shared" si="988"/>
        <v>-15.413501798040144</v>
      </c>
    </row>
    <row r="535" spans="1:20" x14ac:dyDescent="0.25">
      <c r="A535" s="5">
        <v>44058</v>
      </c>
      <c r="B535">
        <v>1.0160000000000001E-2</v>
      </c>
      <c r="C535">
        <v>1.0240000000000001E-2</v>
      </c>
      <c r="D535">
        <v>9.4599999999999997E-3</v>
      </c>
      <c r="E535">
        <v>9.7599999999999996E-3</v>
      </c>
      <c r="F535">
        <v>99360932.5</v>
      </c>
      <c r="G535">
        <v>0</v>
      </c>
      <c r="L535" t="s">
        <v>7</v>
      </c>
      <c r="M535" t="s">
        <v>8</v>
      </c>
      <c r="N535" t="s">
        <v>8</v>
      </c>
      <c r="P535">
        <f t="shared" si="984"/>
        <v>-0.23076923076923214</v>
      </c>
      <c r="Q535">
        <f t="shared" si="985"/>
        <v>-22929445.961538598</v>
      </c>
      <c r="R535">
        <f t="shared" si="986"/>
        <v>-1555571383.3829618</v>
      </c>
      <c r="S535">
        <f t="shared" si="987"/>
        <v>-15555.713833829617</v>
      </c>
      <c r="T535">
        <f t="shared" si="988"/>
        <v>-15.555713833829618</v>
      </c>
    </row>
    <row r="536" spans="1:20" x14ac:dyDescent="0.25">
      <c r="A536" s="5">
        <v>44057</v>
      </c>
      <c r="B536">
        <v>9.8600000000000007E-3</v>
      </c>
      <c r="C536">
        <v>1.0710000000000001E-2</v>
      </c>
      <c r="D536">
        <v>9.6699999999999998E-3</v>
      </c>
      <c r="E536">
        <v>1.0160000000000001E-2</v>
      </c>
      <c r="F536">
        <v>91819763.700000003</v>
      </c>
      <c r="G536">
        <v>0</v>
      </c>
      <c r="L536" t="s">
        <v>8</v>
      </c>
      <c r="M536" t="s">
        <v>8</v>
      </c>
      <c r="N536" t="s">
        <v>8</v>
      </c>
      <c r="P536">
        <f t="shared" si="984"/>
        <v>-5.7692307692306953E-2</v>
      </c>
      <c r="Q536">
        <f t="shared" si="985"/>
        <v>-5297294.0596153168</v>
      </c>
      <c r="R536">
        <f t="shared" si="986"/>
        <v>-1532641937.4214232</v>
      </c>
      <c r="S536">
        <f t="shared" si="987"/>
        <v>-15326.419374214232</v>
      </c>
      <c r="T536">
        <f t="shared" si="988"/>
        <v>-15.326419374214233</v>
      </c>
    </row>
    <row r="537" spans="1:20" x14ac:dyDescent="0.25">
      <c r="A537" s="5">
        <v>44056</v>
      </c>
      <c r="B537">
        <v>9.4500000000000001E-3</v>
      </c>
      <c r="C537">
        <v>1.005E-2</v>
      </c>
      <c r="D537">
        <v>9.1900000000000003E-3</v>
      </c>
      <c r="E537">
        <v>9.8600000000000007E-3</v>
      </c>
      <c r="F537">
        <v>126744515.3</v>
      </c>
      <c r="G537">
        <v>0</v>
      </c>
      <c r="L537" t="s">
        <v>8</v>
      </c>
      <c r="M537" t="s">
        <v>7</v>
      </c>
      <c r="N537" t="s">
        <v>7</v>
      </c>
      <c r="P537">
        <f t="shared" si="984"/>
        <v>0.55813953488372259</v>
      </c>
      <c r="Q537">
        <f t="shared" si="985"/>
        <v>70741124.818604857</v>
      </c>
      <c r="R537">
        <f t="shared" si="986"/>
        <v>-1527344643.3618078</v>
      </c>
      <c r="S537">
        <f t="shared" si="987"/>
        <v>-15273.446433618079</v>
      </c>
      <c r="T537">
        <f t="shared" si="988"/>
        <v>-15.273446433618078</v>
      </c>
    </row>
    <row r="538" spans="1:20" x14ac:dyDescent="0.25">
      <c r="A538" s="5">
        <v>44055</v>
      </c>
      <c r="B538">
        <v>8.9800000000000001E-3</v>
      </c>
      <c r="C538">
        <v>9.9100000000000004E-3</v>
      </c>
      <c r="D538">
        <v>8.5199999999999998E-3</v>
      </c>
      <c r="E538">
        <v>9.4500000000000001E-3</v>
      </c>
      <c r="F538">
        <v>120923020.40000001</v>
      </c>
      <c r="G538">
        <v>0</v>
      </c>
      <c r="L538" t="s">
        <v>8</v>
      </c>
      <c r="M538" t="s">
        <v>7</v>
      </c>
      <c r="N538" t="s">
        <v>7</v>
      </c>
      <c r="P538">
        <f t="shared" si="984"/>
        <v>0.33812949640287748</v>
      </c>
      <c r="Q538">
        <f t="shared" si="985"/>
        <v>40887639.991366886</v>
      </c>
      <c r="R538">
        <f t="shared" si="986"/>
        <v>-1598085768.1804128</v>
      </c>
      <c r="S538">
        <f t="shared" si="987"/>
        <v>-15980.857681804127</v>
      </c>
      <c r="T538">
        <f t="shared" si="988"/>
        <v>-15.980857681804128</v>
      </c>
    </row>
    <row r="539" spans="1:20" x14ac:dyDescent="0.25">
      <c r="A539" s="5">
        <v>44054</v>
      </c>
      <c r="B539">
        <v>9.9299999999999996E-3</v>
      </c>
      <c r="C539">
        <v>1.01E-2</v>
      </c>
      <c r="D539">
        <v>8.6099999999999996E-3</v>
      </c>
      <c r="E539">
        <v>8.9800000000000001E-3</v>
      </c>
      <c r="F539">
        <v>131165818.5</v>
      </c>
      <c r="G539">
        <v>0</v>
      </c>
      <c r="L539" t="s">
        <v>7</v>
      </c>
      <c r="M539" t="s">
        <v>7</v>
      </c>
      <c r="N539" t="s">
        <v>7</v>
      </c>
      <c r="P539">
        <f t="shared" si="984"/>
        <v>-0.50335570469798585</v>
      </c>
      <c r="Q539">
        <f t="shared" si="985"/>
        <v>-66023063.003355607</v>
      </c>
      <c r="R539">
        <f t="shared" si="986"/>
        <v>-1638973408.1717796</v>
      </c>
      <c r="S539">
        <f t="shared" si="987"/>
        <v>-16389.734081717797</v>
      </c>
      <c r="T539">
        <f t="shared" si="988"/>
        <v>-16.389734081717798</v>
      </c>
    </row>
    <row r="540" spans="1:20" x14ac:dyDescent="0.25">
      <c r="A540" s="5">
        <v>44053</v>
      </c>
      <c r="B540">
        <v>9.0699999999999999E-3</v>
      </c>
      <c r="C540">
        <v>1.0200000000000001E-2</v>
      </c>
      <c r="D540">
        <v>8.6E-3</v>
      </c>
      <c r="E540">
        <v>9.92E-3</v>
      </c>
      <c r="F540">
        <v>170121548.90000001</v>
      </c>
      <c r="G540">
        <v>0</v>
      </c>
      <c r="L540" t="s">
        <v>8</v>
      </c>
      <c r="M540" t="s">
        <v>8</v>
      </c>
      <c r="N540" t="s">
        <v>7</v>
      </c>
      <c r="P540">
        <f t="shared" si="984"/>
        <v>0.64999999999999925</v>
      </c>
      <c r="Q540">
        <f t="shared" si="985"/>
        <v>110579006.78499988</v>
      </c>
      <c r="R540">
        <f t="shared" si="986"/>
        <v>-1572950345.1684241</v>
      </c>
      <c r="S540">
        <f t="shared" si="987"/>
        <v>-15729.503451684241</v>
      </c>
      <c r="T540">
        <f t="shared" si="988"/>
        <v>-15.729503451684241</v>
      </c>
    </row>
    <row r="541" spans="1:20" x14ac:dyDescent="0.25">
      <c r="A541" s="5">
        <v>44052</v>
      </c>
      <c r="B541">
        <v>8.7899999999999992E-3</v>
      </c>
      <c r="C541">
        <v>9.1999999999999998E-3</v>
      </c>
      <c r="D541">
        <v>8.5800000000000008E-3</v>
      </c>
      <c r="E541">
        <v>9.0399999999999994E-3</v>
      </c>
      <c r="F541">
        <v>96177944.200000003</v>
      </c>
      <c r="G541">
        <v>0</v>
      </c>
      <c r="L541" t="s">
        <v>8</v>
      </c>
      <c r="M541" t="s">
        <v>7</v>
      </c>
      <c r="N541" t="s">
        <v>7</v>
      </c>
      <c r="P541">
        <f t="shared" si="984"/>
        <v>0.48387096774193333</v>
      </c>
      <c r="Q541">
        <f t="shared" si="985"/>
        <v>46537714.935483664</v>
      </c>
      <c r="R541">
        <f t="shared" si="986"/>
        <v>-1683529351.953424</v>
      </c>
      <c r="S541">
        <f t="shared" si="987"/>
        <v>-16835.29351953424</v>
      </c>
      <c r="T541">
        <f t="shared" si="988"/>
        <v>-16.83529351953424</v>
      </c>
    </row>
    <row r="542" spans="1:20" x14ac:dyDescent="0.25">
      <c r="A542" s="5">
        <v>44051</v>
      </c>
      <c r="B542">
        <v>8.5699999999999995E-3</v>
      </c>
      <c r="C542">
        <v>8.9700000000000005E-3</v>
      </c>
      <c r="D542">
        <v>8.43E-3</v>
      </c>
      <c r="E542">
        <v>8.8000000000000005E-3</v>
      </c>
      <c r="F542">
        <v>76834513.200000003</v>
      </c>
      <c r="G542">
        <v>0</v>
      </c>
      <c r="L542" t="s">
        <v>7</v>
      </c>
      <c r="M542" t="s">
        <v>7</v>
      </c>
      <c r="N542" t="s">
        <v>7</v>
      </c>
      <c r="P542">
        <f t="shared" si="984"/>
        <v>0.37037037037037096</v>
      </c>
      <c r="Q542">
        <f t="shared" si="985"/>
        <v>28457227.111111157</v>
      </c>
      <c r="R542">
        <f t="shared" si="986"/>
        <v>-1730067066.8889077</v>
      </c>
      <c r="S542">
        <f t="shared" si="987"/>
        <v>-17300.670668889077</v>
      </c>
      <c r="T542">
        <f t="shared" si="988"/>
        <v>-17.300670668889076</v>
      </c>
    </row>
    <row r="543" spans="1:20" x14ac:dyDescent="0.25">
      <c r="A543" s="5">
        <v>44050</v>
      </c>
      <c r="B543">
        <v>8.1499999999999993E-3</v>
      </c>
      <c r="C543">
        <v>8.9800000000000001E-3</v>
      </c>
      <c r="D543">
        <v>8.1300000000000001E-3</v>
      </c>
      <c r="E543">
        <v>8.5699999999999995E-3</v>
      </c>
      <c r="F543">
        <v>162042984.80000001</v>
      </c>
      <c r="G543">
        <v>0</v>
      </c>
      <c r="L543" t="s">
        <v>8</v>
      </c>
      <c r="M543" t="s">
        <v>7</v>
      </c>
      <c r="N543" t="s">
        <v>7</v>
      </c>
      <c r="P543">
        <f t="shared" si="984"/>
        <v>3.529411764705738E-2</v>
      </c>
      <c r="Q543">
        <f t="shared" si="985"/>
        <v>5719164.1694115307</v>
      </c>
      <c r="R543">
        <f t="shared" si="986"/>
        <v>-1758524294.0000188</v>
      </c>
      <c r="S543">
        <f t="shared" si="987"/>
        <v>-17585.242940000189</v>
      </c>
      <c r="T543">
        <f t="shared" si="988"/>
        <v>-17.585242940000189</v>
      </c>
    </row>
    <row r="544" spans="1:20" x14ac:dyDescent="0.25">
      <c r="A544" s="5">
        <v>44049</v>
      </c>
      <c r="B544">
        <v>8.0400000000000003E-3</v>
      </c>
      <c r="C544">
        <v>8.2000000000000007E-3</v>
      </c>
      <c r="D544">
        <v>7.9900000000000006E-3</v>
      </c>
      <c r="E544">
        <v>8.1300000000000001E-3</v>
      </c>
      <c r="F544">
        <v>71696729.400000006</v>
      </c>
      <c r="G544">
        <v>0</v>
      </c>
      <c r="L544" t="s">
        <v>7</v>
      </c>
      <c r="M544" t="s">
        <v>7</v>
      </c>
      <c r="N544" t="s">
        <v>7</v>
      </c>
      <c r="P544">
        <f t="shared" si="984"/>
        <v>0.33333333333332782</v>
      </c>
      <c r="Q544">
        <f t="shared" si="985"/>
        <v>23898909.799999606</v>
      </c>
      <c r="R544">
        <f t="shared" si="986"/>
        <v>-1764243458.1694303</v>
      </c>
      <c r="S544">
        <f t="shared" si="987"/>
        <v>-17642.434581694302</v>
      </c>
      <c r="T544">
        <f t="shared" si="988"/>
        <v>-17.642434581694303</v>
      </c>
    </row>
    <row r="545" spans="1:20" x14ac:dyDescent="0.25">
      <c r="A545" s="5">
        <v>44048</v>
      </c>
      <c r="B545">
        <v>8.2100000000000003E-3</v>
      </c>
      <c r="C545">
        <v>8.2500000000000004E-3</v>
      </c>
      <c r="D545">
        <v>7.9000000000000008E-3</v>
      </c>
      <c r="E545">
        <v>8.0400000000000003E-3</v>
      </c>
      <c r="F545">
        <v>50467266.600000001</v>
      </c>
      <c r="G545">
        <v>0</v>
      </c>
      <c r="L545" t="s">
        <v>7</v>
      </c>
      <c r="M545" t="s">
        <v>7</v>
      </c>
      <c r="N545" t="s">
        <v>7</v>
      </c>
      <c r="P545">
        <f t="shared" si="984"/>
        <v>-0.20000000000000198</v>
      </c>
      <c r="Q545">
        <f t="shared" si="985"/>
        <v>-10093453.320000101</v>
      </c>
      <c r="R545">
        <f t="shared" si="986"/>
        <v>-1788142367.96943</v>
      </c>
      <c r="S545">
        <f t="shared" si="987"/>
        <v>-17881.423679694301</v>
      </c>
      <c r="T545">
        <f t="shared" si="988"/>
        <v>-17.881423679694301</v>
      </c>
    </row>
    <row r="546" spans="1:20" x14ac:dyDescent="0.25">
      <c r="A546" s="5">
        <v>44047</v>
      </c>
      <c r="B546">
        <v>8.09E-3</v>
      </c>
      <c r="C546">
        <v>8.3999999999999995E-3</v>
      </c>
      <c r="D546">
        <v>7.7499999999999999E-3</v>
      </c>
      <c r="E546">
        <v>8.2100000000000003E-3</v>
      </c>
      <c r="F546">
        <v>111936706.90000001</v>
      </c>
      <c r="G546">
        <v>0</v>
      </c>
      <c r="L546" t="s">
        <v>7</v>
      </c>
      <c r="M546" t="s">
        <v>7</v>
      </c>
      <c r="N546" t="s">
        <v>7</v>
      </c>
      <c r="P546">
        <f t="shared" si="984"/>
        <v>0.41538461538461746</v>
      </c>
      <c r="Q546">
        <f t="shared" si="985"/>
        <v>46496785.943077154</v>
      </c>
      <c r="R546">
        <f t="shared" si="986"/>
        <v>-1778048914.6494298</v>
      </c>
      <c r="S546">
        <f t="shared" si="987"/>
        <v>-17780.489146494299</v>
      </c>
      <c r="T546">
        <f t="shared" si="988"/>
        <v>-17.7804891464943</v>
      </c>
    </row>
    <row r="547" spans="1:20" x14ac:dyDescent="0.25">
      <c r="A547" s="5">
        <v>44046</v>
      </c>
      <c r="B547">
        <v>7.6899999999999998E-3</v>
      </c>
      <c r="C547">
        <v>8.3300000000000006E-3</v>
      </c>
      <c r="D547">
        <v>7.6400000000000001E-3</v>
      </c>
      <c r="E547">
        <v>8.0800000000000004E-3</v>
      </c>
      <c r="F547">
        <v>118133149.09999999</v>
      </c>
      <c r="G547">
        <v>0</v>
      </c>
      <c r="L547" t="s">
        <v>8</v>
      </c>
      <c r="M547" t="s">
        <v>7</v>
      </c>
      <c r="N547" t="s">
        <v>7</v>
      </c>
      <c r="P547">
        <f t="shared" si="984"/>
        <v>0.2753623188405796</v>
      </c>
      <c r="Q547">
        <f t="shared" si="985"/>
        <v>32529417.868115928</v>
      </c>
      <c r="R547">
        <f t="shared" si="986"/>
        <v>-1824545700.5925069</v>
      </c>
      <c r="S547">
        <f t="shared" si="987"/>
        <v>-18245.457005925069</v>
      </c>
      <c r="T547">
        <f t="shared" si="988"/>
        <v>-18.245457005925068</v>
      </c>
    </row>
    <row r="548" spans="1:20" x14ac:dyDescent="0.25">
      <c r="A548" s="5">
        <v>44045</v>
      </c>
      <c r="B548">
        <v>8.2900000000000005E-3</v>
      </c>
      <c r="C548">
        <v>8.3000000000000001E-3</v>
      </c>
      <c r="D548">
        <v>7.62E-3</v>
      </c>
      <c r="E548">
        <v>7.6899999999999998E-3</v>
      </c>
      <c r="F548">
        <v>121704664.90000001</v>
      </c>
      <c r="G548">
        <v>0</v>
      </c>
      <c r="L548" t="s">
        <v>7</v>
      </c>
      <c r="M548" t="s">
        <v>7</v>
      </c>
      <c r="N548" t="s">
        <v>7</v>
      </c>
      <c r="P548">
        <f t="shared" si="984"/>
        <v>-0.79411764705882426</v>
      </c>
      <c r="Q548">
        <f t="shared" si="985"/>
        <v>-96647822.126470685</v>
      </c>
      <c r="R548">
        <f t="shared" si="986"/>
        <v>-1857075118.4606228</v>
      </c>
      <c r="S548">
        <f t="shared" si="987"/>
        <v>-18570.751184606226</v>
      </c>
      <c r="T548">
        <f t="shared" si="988"/>
        <v>-18.570751184606227</v>
      </c>
    </row>
    <row r="549" spans="1:20" x14ac:dyDescent="0.25">
      <c r="A549" s="5">
        <v>44044</v>
      </c>
      <c r="B549">
        <v>8.3400000000000002E-3</v>
      </c>
      <c r="C549">
        <v>8.4600000000000005E-3</v>
      </c>
      <c r="D549">
        <v>8.0700000000000008E-3</v>
      </c>
      <c r="E549">
        <v>8.3000000000000001E-3</v>
      </c>
      <c r="F549">
        <v>46611684.100000001</v>
      </c>
      <c r="G549">
        <v>0</v>
      </c>
      <c r="L549" t="s">
        <v>7</v>
      </c>
      <c r="M549" t="s">
        <v>7</v>
      </c>
      <c r="N549" t="s">
        <v>8</v>
      </c>
      <c r="P549">
        <f t="shared" si="984"/>
        <v>0.17948717948717674</v>
      </c>
      <c r="Q549">
        <f t="shared" si="985"/>
        <v>8366199.7102562822</v>
      </c>
      <c r="R549">
        <f t="shared" si="986"/>
        <v>-1760427296.3341522</v>
      </c>
      <c r="S549">
        <f t="shared" si="987"/>
        <v>-17604.272963341522</v>
      </c>
      <c r="T549">
        <f t="shared" si="988"/>
        <v>-17.604272963341522</v>
      </c>
    </row>
    <row r="550" spans="1:20" x14ac:dyDescent="0.25">
      <c r="A550" s="5">
        <v>44043</v>
      </c>
      <c r="B550">
        <v>8.5900000000000004E-3</v>
      </c>
      <c r="C550">
        <v>8.8100000000000001E-3</v>
      </c>
      <c r="D550">
        <v>8.1899999999999994E-3</v>
      </c>
      <c r="E550">
        <v>8.3099999999999997E-3</v>
      </c>
      <c r="F550">
        <v>48524864.899999999</v>
      </c>
      <c r="G550">
        <v>0</v>
      </c>
      <c r="L550" t="s">
        <v>7</v>
      </c>
      <c r="M550" t="s">
        <v>7</v>
      </c>
      <c r="N550" t="s">
        <v>8</v>
      </c>
      <c r="P550">
        <f t="shared" si="984"/>
        <v>-0.61290322580645107</v>
      </c>
      <c r="Q550">
        <f t="shared" si="985"/>
        <v>-29741046.22903223</v>
      </c>
      <c r="R550">
        <f t="shared" si="986"/>
        <v>-1768793496.0444086</v>
      </c>
      <c r="S550">
        <f t="shared" si="987"/>
        <v>-17687.934960444087</v>
      </c>
      <c r="T550">
        <f t="shared" si="988"/>
        <v>-17.687934960444085</v>
      </c>
    </row>
    <row r="551" spans="1:20" x14ac:dyDescent="0.25">
      <c r="A551" s="5">
        <v>44042</v>
      </c>
      <c r="B551">
        <v>8.5199999999999998E-3</v>
      </c>
      <c r="C551">
        <v>8.9999999999999993E-3</v>
      </c>
      <c r="D551">
        <v>8.4499999999999992E-3</v>
      </c>
      <c r="E551">
        <v>8.5900000000000004E-3</v>
      </c>
      <c r="F551">
        <v>66634634.399999999</v>
      </c>
      <c r="G551">
        <v>0</v>
      </c>
      <c r="L551" t="s">
        <v>8</v>
      </c>
      <c r="M551" t="s">
        <v>7</v>
      </c>
      <c r="N551" t="s">
        <v>8</v>
      </c>
      <c r="P551">
        <f t="shared" si="984"/>
        <v>-0.49090909090908658</v>
      </c>
      <c r="Q551">
        <f t="shared" si="985"/>
        <v>-32711547.796363346</v>
      </c>
      <c r="R551">
        <f t="shared" si="986"/>
        <v>-1739052449.8153763</v>
      </c>
      <c r="S551">
        <f t="shared" si="987"/>
        <v>-17390.524498153762</v>
      </c>
      <c r="T551">
        <f t="shared" si="988"/>
        <v>-17.390524498153763</v>
      </c>
    </row>
    <row r="552" spans="1:20" x14ac:dyDescent="0.25">
      <c r="A552" s="5">
        <v>44041</v>
      </c>
      <c r="B552">
        <v>8.4600000000000005E-3</v>
      </c>
      <c r="C552">
        <v>8.6199999999999992E-3</v>
      </c>
      <c r="D552">
        <v>8.26E-3</v>
      </c>
      <c r="E552">
        <v>8.5699999999999995E-3</v>
      </c>
      <c r="F552">
        <v>55383945.899999999</v>
      </c>
      <c r="G552">
        <v>0</v>
      </c>
      <c r="L552" t="s">
        <v>8</v>
      </c>
      <c r="M552" t="s">
        <v>7</v>
      </c>
      <c r="N552" t="s">
        <v>8</v>
      </c>
      <c r="P552">
        <f t="shared" si="984"/>
        <v>0.72222222222222332</v>
      </c>
      <c r="Q552">
        <f t="shared" si="985"/>
        <v>39999516.483333394</v>
      </c>
      <c r="R552">
        <f t="shared" si="986"/>
        <v>-1706340902.0190129</v>
      </c>
      <c r="S552">
        <f t="shared" si="987"/>
        <v>-17063.409020190131</v>
      </c>
      <c r="T552">
        <f t="shared" si="988"/>
        <v>-17.063409020190132</v>
      </c>
    </row>
    <row r="553" spans="1:20" x14ac:dyDescent="0.25">
      <c r="A553" s="5">
        <v>44040</v>
      </c>
      <c r="B553">
        <v>8.09E-3</v>
      </c>
      <c r="C553">
        <v>8.5800000000000008E-3</v>
      </c>
      <c r="D553">
        <v>8.0000000000000002E-3</v>
      </c>
      <c r="E553">
        <v>8.4700000000000001E-3</v>
      </c>
      <c r="F553">
        <v>83911805</v>
      </c>
      <c r="G553">
        <v>0</v>
      </c>
      <c r="L553" t="s">
        <v>8</v>
      </c>
      <c r="M553" t="s">
        <v>7</v>
      </c>
      <c r="N553" t="s">
        <v>8</v>
      </c>
      <c r="P553">
        <f t="shared" si="984"/>
        <v>0.6206896551724117</v>
      </c>
      <c r="Q553">
        <f t="shared" si="985"/>
        <v>52083189.310344651</v>
      </c>
      <c r="R553">
        <f t="shared" si="986"/>
        <v>-1746340418.5023463</v>
      </c>
      <c r="S553">
        <f t="shared" si="987"/>
        <v>-17463.404185023464</v>
      </c>
      <c r="T553">
        <f t="shared" si="988"/>
        <v>-17.463404185023464</v>
      </c>
    </row>
    <row r="554" spans="1:20" x14ac:dyDescent="0.25">
      <c r="A554" s="5">
        <v>44039</v>
      </c>
      <c r="B554">
        <v>9.3799999999999994E-3</v>
      </c>
      <c r="C554">
        <v>9.41E-3</v>
      </c>
      <c r="D554">
        <v>7.7600000000000004E-3</v>
      </c>
      <c r="E554">
        <v>8.0300000000000007E-3</v>
      </c>
      <c r="F554">
        <v>138448085.19999999</v>
      </c>
      <c r="G554">
        <v>0</v>
      </c>
      <c r="L554" t="s">
        <v>7</v>
      </c>
      <c r="M554" t="s">
        <v>7</v>
      </c>
      <c r="N554" t="s">
        <v>8</v>
      </c>
      <c r="P554">
        <f t="shared" si="984"/>
        <v>-0.67272727272727229</v>
      </c>
      <c r="Q554">
        <f t="shared" si="985"/>
        <v>-93137802.770909026</v>
      </c>
      <c r="R554">
        <f t="shared" si="986"/>
        <v>-1798423607.812691</v>
      </c>
      <c r="S554">
        <f t="shared" si="987"/>
        <v>-17984.236078126909</v>
      </c>
      <c r="T554">
        <f t="shared" si="988"/>
        <v>-17.984236078126909</v>
      </c>
    </row>
    <row r="555" spans="1:20" x14ac:dyDescent="0.25">
      <c r="A555" s="5">
        <v>44038</v>
      </c>
      <c r="B555">
        <v>9.9100000000000004E-3</v>
      </c>
      <c r="C555">
        <v>9.9699999999999997E-3</v>
      </c>
      <c r="D555">
        <v>8.94E-3</v>
      </c>
      <c r="E555">
        <v>9.3600000000000003E-3</v>
      </c>
      <c r="F555">
        <v>99022168.400000006</v>
      </c>
      <c r="G555">
        <v>0</v>
      </c>
      <c r="L555" t="s">
        <v>7</v>
      </c>
      <c r="M555" t="s">
        <v>7</v>
      </c>
      <c r="N555" t="s">
        <v>8</v>
      </c>
      <c r="P555">
        <f t="shared" si="984"/>
        <v>-0.18446601941747501</v>
      </c>
      <c r="Q555">
        <f t="shared" si="985"/>
        <v>-18266225.23883488</v>
      </c>
      <c r="R555">
        <f t="shared" si="986"/>
        <v>-1705285805.0417819</v>
      </c>
      <c r="S555">
        <f t="shared" si="987"/>
        <v>-17052.858050417821</v>
      </c>
      <c r="T555">
        <f t="shared" si="988"/>
        <v>-17.052858050417822</v>
      </c>
    </row>
    <row r="556" spans="1:20" x14ac:dyDescent="0.25">
      <c r="A556" s="5">
        <v>44037</v>
      </c>
      <c r="B556">
        <v>1.03E-2</v>
      </c>
      <c r="C556">
        <v>1.069E-2</v>
      </c>
      <c r="D556">
        <v>9.8600000000000007E-3</v>
      </c>
      <c r="E556">
        <v>9.8799999999999999E-3</v>
      </c>
      <c r="F556">
        <v>58918366</v>
      </c>
      <c r="G556">
        <v>0</v>
      </c>
      <c r="L556" t="s">
        <v>7</v>
      </c>
      <c r="M556" t="s">
        <v>8</v>
      </c>
      <c r="N556" t="s">
        <v>8</v>
      </c>
      <c r="P556">
        <f t="shared" si="984"/>
        <v>-0.9518072289156646</v>
      </c>
      <c r="Q556">
        <f t="shared" si="985"/>
        <v>-56078926.674698912</v>
      </c>
      <c r="R556">
        <f t="shared" si="986"/>
        <v>-1687019579.802947</v>
      </c>
      <c r="S556">
        <f t="shared" si="987"/>
        <v>-16870.195798029472</v>
      </c>
      <c r="T556">
        <f t="shared" si="988"/>
        <v>-16.870195798029471</v>
      </c>
    </row>
    <row r="557" spans="1:20" x14ac:dyDescent="0.25">
      <c r="A557" s="5">
        <v>44036</v>
      </c>
      <c r="B557">
        <v>1.0149999999999999E-2</v>
      </c>
      <c r="C557">
        <v>1.09E-2</v>
      </c>
      <c r="D557">
        <v>9.8399999999999998E-3</v>
      </c>
      <c r="E557">
        <v>1.03E-2</v>
      </c>
      <c r="F557">
        <v>77862602.5</v>
      </c>
      <c r="G557">
        <v>0</v>
      </c>
      <c r="L557" t="s">
        <v>8</v>
      </c>
      <c r="M557" t="s">
        <v>8</v>
      </c>
      <c r="N557" t="s">
        <v>8</v>
      </c>
      <c r="P557">
        <f t="shared" si="984"/>
        <v>-0.13207547169811271</v>
      </c>
      <c r="Q557">
        <f t="shared" si="985"/>
        <v>-10283739.952830149</v>
      </c>
      <c r="R557">
        <f t="shared" si="986"/>
        <v>-1630940653.1282482</v>
      </c>
      <c r="S557">
        <f t="shared" si="987"/>
        <v>-16309.406531282482</v>
      </c>
      <c r="T557">
        <f t="shared" si="988"/>
        <v>-16.309406531282484</v>
      </c>
    </row>
    <row r="558" spans="1:20" x14ac:dyDescent="0.25">
      <c r="A558" s="5">
        <v>44035</v>
      </c>
      <c r="B558">
        <v>1.01E-2</v>
      </c>
      <c r="C558">
        <v>1.0999999999999999E-2</v>
      </c>
      <c r="D558">
        <v>9.5999999999999992E-3</v>
      </c>
      <c r="E558">
        <v>1.01E-2</v>
      </c>
      <c r="F558">
        <v>70250749.599999994</v>
      </c>
      <c r="G558">
        <v>0</v>
      </c>
      <c r="L558" t="s">
        <v>7</v>
      </c>
      <c r="M558" t="s">
        <v>8</v>
      </c>
      <c r="N558" t="s">
        <v>8</v>
      </c>
      <c r="P558">
        <f t="shared" si="984"/>
        <v>-0.2857142857142852</v>
      </c>
      <c r="Q558">
        <f t="shared" si="985"/>
        <v>-20071642.742857106</v>
      </c>
      <c r="R558">
        <f t="shared" si="986"/>
        <v>-1620656913.1754181</v>
      </c>
      <c r="S558">
        <f t="shared" si="987"/>
        <v>-16206.56913175418</v>
      </c>
      <c r="T558">
        <f t="shared" si="988"/>
        <v>-16.206569131754179</v>
      </c>
    </row>
    <row r="559" spans="1:20" x14ac:dyDescent="0.25">
      <c r="A559" s="5">
        <v>44034</v>
      </c>
      <c r="B559">
        <v>1.013E-2</v>
      </c>
      <c r="C559">
        <v>1.111E-2</v>
      </c>
      <c r="D559">
        <v>9.9600000000000001E-3</v>
      </c>
      <c r="E559">
        <v>1.0059999999999999E-2</v>
      </c>
      <c r="F559">
        <v>117800875.40000001</v>
      </c>
      <c r="G559">
        <v>0</v>
      </c>
      <c r="L559" t="s">
        <v>8</v>
      </c>
      <c r="M559" t="s">
        <v>8</v>
      </c>
      <c r="N559" t="s">
        <v>8</v>
      </c>
      <c r="P559">
        <f t="shared" si="984"/>
        <v>-0.82608695652174013</v>
      </c>
      <c r="Q559">
        <f t="shared" si="985"/>
        <v>-97313766.634782732</v>
      </c>
      <c r="R559">
        <f t="shared" si="986"/>
        <v>-1600585270.4325609</v>
      </c>
      <c r="S559">
        <f t="shared" si="987"/>
        <v>-16005.852704325609</v>
      </c>
      <c r="T559">
        <f t="shared" si="988"/>
        <v>-16.005852704325608</v>
      </c>
    </row>
    <row r="560" spans="1:20" x14ac:dyDescent="0.25">
      <c r="A560" s="5">
        <v>44033</v>
      </c>
      <c r="B560">
        <v>9.6500000000000006E-3</v>
      </c>
      <c r="C560">
        <v>1.042E-2</v>
      </c>
      <c r="D560">
        <v>9.4000000000000004E-3</v>
      </c>
      <c r="E560">
        <v>1.0160000000000001E-2</v>
      </c>
      <c r="F560">
        <v>90033160.099999994</v>
      </c>
      <c r="G560">
        <v>0</v>
      </c>
      <c r="L560" t="s">
        <v>8</v>
      </c>
      <c r="M560" t="s">
        <v>8</v>
      </c>
      <c r="N560" t="s">
        <v>8</v>
      </c>
      <c r="P560">
        <f t="shared" si="984"/>
        <v>0.49019607843137297</v>
      </c>
      <c r="Q560">
        <f t="shared" si="985"/>
        <v>44133902.009803958</v>
      </c>
      <c r="R560">
        <f t="shared" si="986"/>
        <v>-1503271503.7977781</v>
      </c>
      <c r="S560">
        <f t="shared" si="987"/>
        <v>-15032.715037977781</v>
      </c>
      <c r="T560">
        <f t="shared" si="988"/>
        <v>-15.032715037977781</v>
      </c>
    </row>
    <row r="561" spans="1:104" x14ac:dyDescent="0.25">
      <c r="A561" s="5">
        <v>44032</v>
      </c>
      <c r="B561">
        <v>9.4900000000000002E-3</v>
      </c>
      <c r="C561">
        <v>1.01E-2</v>
      </c>
      <c r="D561">
        <v>9.3600000000000003E-3</v>
      </c>
      <c r="E561">
        <v>9.5999999999999992E-3</v>
      </c>
      <c r="F561">
        <v>58396556.100000001</v>
      </c>
      <c r="G561">
        <v>0</v>
      </c>
      <c r="L561" t="s">
        <v>8</v>
      </c>
      <c r="M561" t="s">
        <v>8</v>
      </c>
      <c r="N561" t="s">
        <v>7</v>
      </c>
      <c r="P561">
        <f t="shared" si="984"/>
        <v>-0.35135135135135376</v>
      </c>
      <c r="Q561">
        <f t="shared" si="985"/>
        <v>-20517708.90000014</v>
      </c>
      <c r="R561">
        <f t="shared" si="986"/>
        <v>-1547405405.8075821</v>
      </c>
      <c r="S561">
        <f t="shared" si="987"/>
        <v>-15474.054058075821</v>
      </c>
      <c r="T561">
        <f t="shared" si="988"/>
        <v>-15.47405405807582</v>
      </c>
      <c r="CZ561" t="s">
        <v>7</v>
      </c>
    </row>
    <row r="562" spans="1:104" x14ac:dyDescent="0.25">
      <c r="A562" s="5">
        <v>44031</v>
      </c>
      <c r="B562">
        <v>9.9100000000000004E-3</v>
      </c>
      <c r="C562">
        <v>9.9299999999999996E-3</v>
      </c>
      <c r="D562">
        <v>9.3299999999999998E-3</v>
      </c>
      <c r="E562">
        <v>9.5099999999999994E-3</v>
      </c>
      <c r="F562">
        <v>33334526.5</v>
      </c>
      <c r="G562">
        <v>0</v>
      </c>
      <c r="L562" t="s">
        <v>7</v>
      </c>
      <c r="M562" t="s">
        <v>8</v>
      </c>
      <c r="N562" t="s">
        <v>7</v>
      </c>
      <c r="P562">
        <f t="shared" si="984"/>
        <v>-0.40000000000000113</v>
      </c>
      <c r="Q562">
        <f t="shared" si="985"/>
        <v>-13333810.600000037</v>
      </c>
      <c r="R562">
        <f t="shared" si="986"/>
        <v>-1526887696.907582</v>
      </c>
      <c r="S562">
        <f t="shared" si="987"/>
        <v>-15268.87696907582</v>
      </c>
      <c r="T562">
        <f t="shared" si="988"/>
        <v>-15.268876969075819</v>
      </c>
      <c r="CZ562" t="s">
        <v>7</v>
      </c>
    </row>
    <row r="563" spans="1:104" x14ac:dyDescent="0.25">
      <c r="A563" s="5">
        <v>44030</v>
      </c>
      <c r="B563">
        <v>9.4900000000000002E-3</v>
      </c>
      <c r="C563">
        <v>1.001E-2</v>
      </c>
      <c r="D563">
        <v>9.3399999999999993E-3</v>
      </c>
      <c r="E563">
        <v>9.9100000000000004E-3</v>
      </c>
      <c r="F563">
        <v>56099734.5</v>
      </c>
      <c r="G563">
        <v>0</v>
      </c>
      <c r="L563" t="s">
        <v>8</v>
      </c>
      <c r="M563" t="s">
        <v>8</v>
      </c>
      <c r="N563" t="s">
        <v>7</v>
      </c>
      <c r="P563">
        <f t="shared" si="984"/>
        <v>0.70149253731343486</v>
      </c>
      <c r="Q563">
        <f t="shared" si="985"/>
        <v>39353545.097015038</v>
      </c>
      <c r="R563">
        <f t="shared" si="986"/>
        <v>-1513553886.3075819</v>
      </c>
      <c r="S563">
        <f t="shared" si="987"/>
        <v>-15135.538863075819</v>
      </c>
      <c r="T563">
        <f t="shared" si="988"/>
        <v>-15.135538863075819</v>
      </c>
      <c r="CZ563" t="s">
        <v>7</v>
      </c>
    </row>
    <row r="564" spans="1:104" x14ac:dyDescent="0.25">
      <c r="A564" s="5">
        <v>44029</v>
      </c>
      <c r="B564">
        <v>9.4400000000000005E-3</v>
      </c>
      <c r="C564">
        <v>9.6200000000000001E-3</v>
      </c>
      <c r="D564">
        <v>9.1999999999999998E-3</v>
      </c>
      <c r="E564">
        <v>9.4999999999999998E-3</v>
      </c>
      <c r="F564">
        <v>36890112</v>
      </c>
      <c r="G564">
        <v>0</v>
      </c>
      <c r="L564" t="s">
        <v>8</v>
      </c>
      <c r="M564" t="s">
        <v>8</v>
      </c>
      <c r="N564" t="s">
        <v>7</v>
      </c>
      <c r="P564">
        <f t="shared" si="984"/>
        <v>0.42857142857142738</v>
      </c>
      <c r="Q564">
        <f t="shared" si="985"/>
        <v>15810047.999999955</v>
      </c>
      <c r="R564">
        <f t="shared" si="986"/>
        <v>-1552907431.404597</v>
      </c>
      <c r="S564">
        <f t="shared" si="987"/>
        <v>-15529.074314045971</v>
      </c>
      <c r="T564">
        <f t="shared" si="988"/>
        <v>-15.529074314045971</v>
      </c>
    </row>
    <row r="565" spans="1:104" x14ac:dyDescent="0.25">
      <c r="A565" s="5">
        <v>44028</v>
      </c>
      <c r="B565">
        <v>9.7099999999999999E-3</v>
      </c>
      <c r="C565">
        <v>1.0059999999999999E-2</v>
      </c>
      <c r="D565">
        <v>8.9099999999999995E-3</v>
      </c>
      <c r="E565">
        <v>9.4500000000000001E-3</v>
      </c>
      <c r="F565">
        <v>96741721.5</v>
      </c>
      <c r="G565">
        <v>0</v>
      </c>
      <c r="L565" t="s">
        <v>7</v>
      </c>
      <c r="M565" t="s">
        <v>8</v>
      </c>
      <c r="N565" t="s">
        <v>7</v>
      </c>
      <c r="P565">
        <f t="shared" si="984"/>
        <v>-6.0869565217390335E-2</v>
      </c>
      <c r="Q565">
        <f t="shared" si="985"/>
        <v>-5888626.5260868631</v>
      </c>
      <c r="R565">
        <f t="shared" si="986"/>
        <v>-1568717479.404597</v>
      </c>
      <c r="S565">
        <f t="shared" si="987"/>
        <v>-15687.17479404597</v>
      </c>
      <c r="T565">
        <f t="shared" si="988"/>
        <v>-15.687174794045969</v>
      </c>
    </row>
    <row r="566" spans="1:104" x14ac:dyDescent="0.25">
      <c r="A566" s="5">
        <v>44027</v>
      </c>
      <c r="B566">
        <v>9.8399999999999998E-3</v>
      </c>
      <c r="C566">
        <v>1.0290000000000001E-2</v>
      </c>
      <c r="D566">
        <v>9.6500000000000006E-3</v>
      </c>
      <c r="E566">
        <v>9.7199999999999995E-3</v>
      </c>
      <c r="F566">
        <v>108443676.5</v>
      </c>
      <c r="G566">
        <v>0</v>
      </c>
      <c r="L566" t="s">
        <v>8</v>
      </c>
      <c r="M566" t="s">
        <v>8</v>
      </c>
      <c r="N566" t="s">
        <v>7</v>
      </c>
      <c r="P566">
        <f t="shared" si="984"/>
        <v>-0.78125000000000344</v>
      </c>
      <c r="Q566">
        <f t="shared" si="985"/>
        <v>-84721622.265625373</v>
      </c>
      <c r="R566">
        <f t="shared" si="986"/>
        <v>-1562828852.8785102</v>
      </c>
      <c r="S566">
        <f t="shared" si="987"/>
        <v>-15628.288528785102</v>
      </c>
      <c r="T566">
        <f t="shared" si="988"/>
        <v>-15.628288528785102</v>
      </c>
    </row>
    <row r="567" spans="1:104" x14ac:dyDescent="0.25">
      <c r="A567" s="5">
        <v>44026</v>
      </c>
      <c r="B567">
        <v>8.8699999999999994E-3</v>
      </c>
      <c r="C567">
        <v>1.022E-2</v>
      </c>
      <c r="D567">
        <v>8.8000000000000005E-3</v>
      </c>
      <c r="E567">
        <v>9.9000000000000008E-3</v>
      </c>
      <c r="F567">
        <v>223680383.09999999</v>
      </c>
      <c r="G567">
        <v>0</v>
      </c>
      <c r="L567" t="s">
        <v>8</v>
      </c>
      <c r="M567" t="s">
        <v>8</v>
      </c>
      <c r="N567" t="s">
        <v>7</v>
      </c>
      <c r="P567">
        <f t="shared" si="984"/>
        <v>0.54929577464788837</v>
      </c>
      <c r="Q567">
        <f t="shared" si="985"/>
        <v>122866689.30845094</v>
      </c>
      <c r="R567">
        <f t="shared" si="986"/>
        <v>-1478107230.6128848</v>
      </c>
      <c r="S567">
        <f t="shared" si="987"/>
        <v>-14781.072306128848</v>
      </c>
      <c r="T567">
        <f t="shared" si="988"/>
        <v>-14.781072306128848</v>
      </c>
    </row>
    <row r="568" spans="1:104" x14ac:dyDescent="0.25">
      <c r="A568" s="5">
        <v>44025</v>
      </c>
      <c r="B568">
        <v>9.3200000000000002E-3</v>
      </c>
      <c r="C568">
        <v>9.4999999999999998E-3</v>
      </c>
      <c r="D568">
        <v>8.7200000000000003E-3</v>
      </c>
      <c r="E568">
        <v>8.8900000000000003E-3</v>
      </c>
      <c r="F568">
        <v>89999153.900000006</v>
      </c>
      <c r="G568">
        <v>0</v>
      </c>
      <c r="L568" t="s">
        <v>7</v>
      </c>
      <c r="M568" t="s">
        <v>8</v>
      </c>
      <c r="N568" t="s">
        <v>7</v>
      </c>
      <c r="P568">
        <f t="shared" si="984"/>
        <v>-0.56410256410256376</v>
      </c>
      <c r="Q568">
        <f t="shared" si="985"/>
        <v>-50768753.482051253</v>
      </c>
      <c r="R568">
        <f t="shared" si="986"/>
        <v>-1600973919.9213357</v>
      </c>
      <c r="S568">
        <f t="shared" si="987"/>
        <v>-16009.739199213356</v>
      </c>
      <c r="T568">
        <f t="shared" si="988"/>
        <v>-16.009739199213357</v>
      </c>
    </row>
    <row r="569" spans="1:104" x14ac:dyDescent="0.25">
      <c r="A569" s="5">
        <v>44024</v>
      </c>
      <c r="B569">
        <v>9.4000000000000004E-3</v>
      </c>
      <c r="C569">
        <v>9.6500000000000006E-3</v>
      </c>
      <c r="D569">
        <v>9.0100000000000006E-3</v>
      </c>
      <c r="E569">
        <v>9.2999999999999992E-3</v>
      </c>
      <c r="F569">
        <v>88038846.599999994</v>
      </c>
      <c r="G569">
        <v>0</v>
      </c>
      <c r="L569" t="s">
        <v>8</v>
      </c>
      <c r="M569" t="s">
        <v>8</v>
      </c>
      <c r="N569" t="s">
        <v>7</v>
      </c>
      <c r="P569">
        <f t="shared" si="984"/>
        <v>-9.3750000000004316E-2</v>
      </c>
      <c r="Q569">
        <f t="shared" si="985"/>
        <v>-8253641.8687503794</v>
      </c>
      <c r="R569">
        <f t="shared" si="986"/>
        <v>-1550205166.4392843</v>
      </c>
      <c r="S569">
        <f t="shared" si="987"/>
        <v>-15502.051664392844</v>
      </c>
      <c r="T569">
        <f t="shared" si="988"/>
        <v>-15.502051664392845</v>
      </c>
    </row>
    <row r="570" spans="1:104" x14ac:dyDescent="0.25">
      <c r="A570" s="5">
        <v>44023</v>
      </c>
      <c r="B570">
        <v>8.9599999999999992E-3</v>
      </c>
      <c r="C570">
        <v>9.4999999999999998E-3</v>
      </c>
      <c r="D570">
        <v>8.5900000000000004E-3</v>
      </c>
      <c r="E570">
        <v>9.3699999999999999E-3</v>
      </c>
      <c r="F570">
        <v>82695298.900000006</v>
      </c>
      <c r="G570">
        <v>0</v>
      </c>
      <c r="L570" t="s">
        <v>8</v>
      </c>
      <c r="M570" t="s">
        <v>8</v>
      </c>
      <c r="N570" t="s">
        <v>7</v>
      </c>
      <c r="P570">
        <f t="shared" si="984"/>
        <v>0.7142857142857143</v>
      </c>
      <c r="Q570">
        <f t="shared" si="985"/>
        <v>59068070.642857149</v>
      </c>
      <c r="R570">
        <f t="shared" si="986"/>
        <v>-1541951524.570534</v>
      </c>
      <c r="S570">
        <f t="shared" si="987"/>
        <v>-15419.515245705339</v>
      </c>
      <c r="T570">
        <f t="shared" si="988"/>
        <v>-15.419515245705339</v>
      </c>
    </row>
    <row r="571" spans="1:104" x14ac:dyDescent="0.25">
      <c r="A571" s="5">
        <v>44022</v>
      </c>
      <c r="B571">
        <v>8.2000000000000007E-3</v>
      </c>
      <c r="C571">
        <v>8.9999999999999993E-3</v>
      </c>
      <c r="D571">
        <v>8.1300000000000001E-3</v>
      </c>
      <c r="E571">
        <v>8.9499999999999996E-3</v>
      </c>
      <c r="F571">
        <v>77703968.299999997</v>
      </c>
      <c r="G571">
        <v>0</v>
      </c>
      <c r="L571" t="s">
        <v>8</v>
      </c>
      <c r="M571" t="s">
        <v>8</v>
      </c>
      <c r="N571" t="s">
        <v>7</v>
      </c>
      <c r="P571">
        <f t="shared" si="984"/>
        <v>0.8850574712643684</v>
      </c>
      <c r="Q571">
        <f t="shared" si="985"/>
        <v>68772477.690804645</v>
      </c>
      <c r="R571">
        <f t="shared" si="986"/>
        <v>-1601019595.2133911</v>
      </c>
      <c r="S571">
        <f t="shared" si="987"/>
        <v>-16010.19595213391</v>
      </c>
      <c r="T571">
        <f t="shared" si="988"/>
        <v>-16.010195952133909</v>
      </c>
    </row>
    <row r="572" spans="1:104" x14ac:dyDescent="0.25">
      <c r="A572" s="5">
        <v>44021</v>
      </c>
      <c r="B572">
        <v>8.5000000000000006E-3</v>
      </c>
      <c r="C572">
        <v>8.5100000000000002E-3</v>
      </c>
      <c r="D572">
        <v>8.0800000000000004E-3</v>
      </c>
      <c r="E572">
        <v>8.2100000000000003E-3</v>
      </c>
      <c r="F572">
        <v>36557512.600000001</v>
      </c>
      <c r="G572">
        <v>0</v>
      </c>
      <c r="L572" t="s">
        <v>7</v>
      </c>
      <c r="M572" t="s">
        <v>8</v>
      </c>
      <c r="N572" t="s">
        <v>7</v>
      </c>
      <c r="P572">
        <f t="shared" si="984"/>
        <v>-0.39534883720930253</v>
      </c>
      <c r="Q572">
        <f t="shared" si="985"/>
        <v>-14452970.097674426</v>
      </c>
      <c r="R572">
        <f t="shared" si="986"/>
        <v>-1669792072.9041958</v>
      </c>
      <c r="S572">
        <f t="shared" si="987"/>
        <v>-16697.920729041958</v>
      </c>
      <c r="T572">
        <f t="shared" si="988"/>
        <v>-16.697920729041957</v>
      </c>
    </row>
    <row r="573" spans="1:104" x14ac:dyDescent="0.25">
      <c r="A573" s="5">
        <v>44020</v>
      </c>
      <c r="B573">
        <v>8.5500000000000003E-3</v>
      </c>
      <c r="C573">
        <v>8.6599999999999993E-3</v>
      </c>
      <c r="D573">
        <v>8.4100000000000008E-3</v>
      </c>
      <c r="E573">
        <v>8.5000000000000006E-3</v>
      </c>
      <c r="F573">
        <v>37772639.5</v>
      </c>
      <c r="G573">
        <v>0</v>
      </c>
      <c r="L573" t="s">
        <v>8</v>
      </c>
      <c r="M573" t="s">
        <v>8</v>
      </c>
      <c r="N573" t="s">
        <v>7</v>
      </c>
      <c r="P573">
        <f t="shared" si="984"/>
        <v>-0.27999999999999725</v>
      </c>
      <c r="Q573">
        <f t="shared" si="985"/>
        <v>-10576339.059999896</v>
      </c>
      <c r="R573">
        <f t="shared" si="986"/>
        <v>-1655339102.8065214</v>
      </c>
      <c r="S573">
        <f t="shared" si="987"/>
        <v>-16553.391028065213</v>
      </c>
      <c r="T573">
        <f t="shared" si="988"/>
        <v>-16.553391028065214</v>
      </c>
    </row>
    <row r="574" spans="1:104" x14ac:dyDescent="0.25">
      <c r="A574" s="5">
        <v>44019</v>
      </c>
      <c r="B574">
        <v>8.8199999999999997E-3</v>
      </c>
      <c r="C574">
        <v>8.8299999999999993E-3</v>
      </c>
      <c r="D574">
        <v>8.4799999999999997E-3</v>
      </c>
      <c r="E574">
        <v>8.5699999999999995E-3</v>
      </c>
      <c r="F574">
        <v>29403679.699999999</v>
      </c>
      <c r="G574">
        <v>0</v>
      </c>
      <c r="L574" t="s">
        <v>8</v>
      </c>
      <c r="M574" t="s">
        <v>8</v>
      </c>
      <c r="N574" t="s">
        <v>7</v>
      </c>
      <c r="P574">
        <f t="shared" si="984"/>
        <v>-0.48571428571428626</v>
      </c>
      <c r="Q574">
        <f t="shared" si="985"/>
        <v>-14281787.282857159</v>
      </c>
      <c r="R574">
        <f t="shared" si="986"/>
        <v>-1644762763.7465215</v>
      </c>
      <c r="S574">
        <f t="shared" si="987"/>
        <v>-16447.627637465215</v>
      </c>
      <c r="T574">
        <f t="shared" si="988"/>
        <v>-16.447627637465214</v>
      </c>
    </row>
    <row r="575" spans="1:104" x14ac:dyDescent="0.25">
      <c r="A575" s="5">
        <v>44018</v>
      </c>
      <c r="B575">
        <v>8.5100000000000002E-3</v>
      </c>
      <c r="C575">
        <v>8.9700000000000005E-3</v>
      </c>
      <c r="D575">
        <v>8.43E-3</v>
      </c>
      <c r="E575">
        <v>8.77E-3</v>
      </c>
      <c r="F575">
        <v>43919952.299999997</v>
      </c>
      <c r="G575">
        <v>0</v>
      </c>
      <c r="L575" t="s">
        <v>8</v>
      </c>
      <c r="M575" t="s">
        <v>8</v>
      </c>
      <c r="N575" t="s">
        <v>7</v>
      </c>
      <c r="P575">
        <f t="shared" si="984"/>
        <v>0.25925925925925808</v>
      </c>
      <c r="Q575">
        <f t="shared" si="985"/>
        <v>11386654.299999947</v>
      </c>
      <c r="R575">
        <f t="shared" si="986"/>
        <v>-1630480976.4636643</v>
      </c>
      <c r="S575">
        <f t="shared" si="987"/>
        <v>-16304.809764636642</v>
      </c>
      <c r="T575">
        <f t="shared" si="988"/>
        <v>-16.304809764636641</v>
      </c>
    </row>
    <row r="576" spans="1:104" x14ac:dyDescent="0.25">
      <c r="A576" s="5">
        <v>44017</v>
      </c>
      <c r="B576">
        <v>8.3300000000000006E-3</v>
      </c>
      <c r="C576">
        <v>8.7899999999999992E-3</v>
      </c>
      <c r="D576">
        <v>8.1200000000000005E-3</v>
      </c>
      <c r="E576">
        <v>8.4799999999999997E-3</v>
      </c>
      <c r="F576">
        <v>53496415.100000001</v>
      </c>
      <c r="G576">
        <v>0</v>
      </c>
      <c r="L576" t="s">
        <v>7</v>
      </c>
      <c r="M576" t="s">
        <v>8</v>
      </c>
      <c r="N576" t="s">
        <v>7</v>
      </c>
      <c r="P576">
        <f t="shared" si="984"/>
        <v>7.4626865671641479E-2</v>
      </c>
      <c r="Q576">
        <f t="shared" si="985"/>
        <v>3992269.7835820732</v>
      </c>
      <c r="R576">
        <f t="shared" si="986"/>
        <v>-1641867630.7636642</v>
      </c>
      <c r="S576">
        <f t="shared" si="987"/>
        <v>-16418.676307636644</v>
      </c>
      <c r="T576">
        <f t="shared" si="988"/>
        <v>-16.418676307636645</v>
      </c>
    </row>
    <row r="577" spans="1:20" x14ac:dyDescent="0.25">
      <c r="A577" s="5">
        <v>44016</v>
      </c>
      <c r="B577">
        <v>7.92E-3</v>
      </c>
      <c r="C577">
        <v>8.6400000000000001E-3</v>
      </c>
      <c r="D577">
        <v>7.9000000000000008E-3</v>
      </c>
      <c r="E577">
        <v>8.3199999999999993E-3</v>
      </c>
      <c r="F577">
        <v>95581879.200000003</v>
      </c>
      <c r="G577">
        <v>0</v>
      </c>
      <c r="L577" t="s">
        <v>8</v>
      </c>
      <c r="M577" t="s">
        <v>8</v>
      </c>
      <c r="N577" t="s">
        <v>7</v>
      </c>
      <c r="P577">
        <f t="shared" si="984"/>
        <v>0.13513513513513209</v>
      </c>
      <c r="Q577">
        <f t="shared" si="985"/>
        <v>12916470.162161872</v>
      </c>
      <c r="R577">
        <f t="shared" si="986"/>
        <v>-1645859900.5472462</v>
      </c>
      <c r="S577">
        <f t="shared" si="987"/>
        <v>-16458.599005472461</v>
      </c>
      <c r="T577">
        <f t="shared" si="988"/>
        <v>-16.458599005472461</v>
      </c>
    </row>
    <row r="578" spans="1:20" x14ac:dyDescent="0.25">
      <c r="A578" s="5">
        <v>44015</v>
      </c>
      <c r="B578">
        <v>7.8399999999999997E-3</v>
      </c>
      <c r="C578">
        <v>8.1300000000000001E-3</v>
      </c>
      <c r="D578">
        <v>7.8300000000000002E-3</v>
      </c>
      <c r="E578">
        <v>7.9799999999999992E-3</v>
      </c>
      <c r="F578">
        <v>37489325.200000003</v>
      </c>
      <c r="G578">
        <v>0</v>
      </c>
      <c r="L578" t="s">
        <v>7</v>
      </c>
      <c r="M578" t="s">
        <v>8</v>
      </c>
      <c r="N578" t="s">
        <v>7</v>
      </c>
      <c r="P578">
        <f t="shared" si="984"/>
        <v>-5.7824115865893588E-15</v>
      </c>
      <c r="Q578">
        <f t="shared" si="985"/>
        <v>-2.1677870840989646E-7</v>
      </c>
      <c r="R578">
        <f t="shared" si="986"/>
        <v>-1658776370.709408</v>
      </c>
      <c r="S578">
        <f t="shared" si="987"/>
        <v>-16587.76370709408</v>
      </c>
      <c r="T578">
        <f t="shared" si="988"/>
        <v>-16.58776370709408</v>
      </c>
    </row>
    <row r="579" spans="1:20" x14ac:dyDescent="0.25">
      <c r="A579" s="5">
        <v>44014</v>
      </c>
      <c r="B579">
        <v>8.2000000000000007E-3</v>
      </c>
      <c r="C579">
        <v>8.2100000000000003E-3</v>
      </c>
      <c r="D579">
        <v>7.7000000000000002E-3</v>
      </c>
      <c r="E579">
        <v>7.8899999999999994E-3</v>
      </c>
      <c r="F579">
        <v>32185342.100000001</v>
      </c>
      <c r="G579">
        <v>0</v>
      </c>
      <c r="L579" t="s">
        <v>7</v>
      </c>
      <c r="M579" t="s">
        <v>8</v>
      </c>
      <c r="N579" t="s">
        <v>7</v>
      </c>
      <c r="P579">
        <f t="shared" si="984"/>
        <v>-0.25490196078431693</v>
      </c>
      <c r="Q579">
        <f t="shared" si="985"/>
        <v>-8204106.8098040251</v>
      </c>
      <c r="R579">
        <f t="shared" si="986"/>
        <v>-1658776370.7094078</v>
      </c>
      <c r="S579">
        <f t="shared" si="987"/>
        <v>-16587.763707094076</v>
      </c>
      <c r="T579">
        <f t="shared" si="988"/>
        <v>-16.587763707094076</v>
      </c>
    </row>
    <row r="580" spans="1:20" x14ac:dyDescent="0.25">
      <c r="A580" s="5">
        <v>44013</v>
      </c>
      <c r="B580">
        <v>8.0599999999999995E-3</v>
      </c>
      <c r="C580">
        <v>8.5800000000000008E-3</v>
      </c>
      <c r="D580">
        <v>7.9399999999999991E-3</v>
      </c>
      <c r="E580">
        <v>8.2000000000000007E-3</v>
      </c>
      <c r="F580">
        <v>50741933.700000003</v>
      </c>
      <c r="G580">
        <v>0</v>
      </c>
      <c r="L580" t="s">
        <v>7</v>
      </c>
      <c r="M580" t="s">
        <v>8</v>
      </c>
      <c r="N580" t="s">
        <v>7</v>
      </c>
      <c r="P580">
        <f t="shared" si="984"/>
        <v>-0.18749999999999728</v>
      </c>
      <c r="Q580">
        <f t="shared" si="985"/>
        <v>-9514112.5687498618</v>
      </c>
      <c r="R580">
        <f t="shared" si="986"/>
        <v>-1650572263.8996038</v>
      </c>
      <c r="S580">
        <f t="shared" si="987"/>
        <v>-16505.722638996038</v>
      </c>
      <c r="T580">
        <f t="shared" si="988"/>
        <v>-16.505722638996037</v>
      </c>
    </row>
    <row r="581" spans="1:20" x14ac:dyDescent="0.25">
      <c r="A581" s="5">
        <v>44012</v>
      </c>
      <c r="B581">
        <v>7.5900000000000004E-3</v>
      </c>
      <c r="C581">
        <v>8.6300000000000005E-3</v>
      </c>
      <c r="D581">
        <v>7.4599999999999996E-3</v>
      </c>
      <c r="E581">
        <v>8.0400000000000003E-3</v>
      </c>
      <c r="F581">
        <v>69550572.400000006</v>
      </c>
      <c r="G581">
        <v>0</v>
      </c>
      <c r="L581" t="s">
        <v>8</v>
      </c>
      <c r="M581" t="s">
        <v>8</v>
      </c>
      <c r="N581" t="s">
        <v>7</v>
      </c>
      <c r="P581">
        <f t="shared" si="984"/>
        <v>-8.5470085470081923E-3</v>
      </c>
      <c r="Q581">
        <f t="shared" si="985"/>
        <v>-594449.33675211214</v>
      </c>
      <c r="R581">
        <f t="shared" si="986"/>
        <v>-1641058151.3308539</v>
      </c>
      <c r="S581">
        <f t="shared" si="987"/>
        <v>-16410.581513308538</v>
      </c>
      <c r="T581">
        <f t="shared" si="988"/>
        <v>-16.410581513308539</v>
      </c>
    </row>
    <row r="582" spans="1:20" x14ac:dyDescent="0.25">
      <c r="A582" s="5">
        <v>44011</v>
      </c>
      <c r="B582">
        <v>7.5199999999999998E-3</v>
      </c>
      <c r="C582">
        <v>7.6699999999999997E-3</v>
      </c>
      <c r="D582">
        <v>7.4400000000000004E-3</v>
      </c>
      <c r="E582">
        <v>7.5900000000000004E-3</v>
      </c>
      <c r="F582">
        <v>13122638.6</v>
      </c>
      <c r="G582">
        <v>0</v>
      </c>
      <c r="L582" t="s">
        <v>8</v>
      </c>
      <c r="M582" t="s">
        <v>7</v>
      </c>
      <c r="N582" t="s">
        <v>7</v>
      </c>
      <c r="P582">
        <f t="shared" ref="P582:P645" si="989">IF(C582=D582,0,((E582-D582)-(C582-E582))/(C582-D582))</f>
        <v>0.30434782608696015</v>
      </c>
      <c r="Q582">
        <f t="shared" ref="Q582:Q645" si="990">F582*P582</f>
        <v>3993846.5304348301</v>
      </c>
      <c r="R582">
        <f t="shared" ref="R582:R645" si="991">R583+Q582</f>
        <v>-1640463701.9941018</v>
      </c>
      <c r="S582">
        <f t="shared" ref="S582:S645" si="992">R582/100000</f>
        <v>-16404.637019941019</v>
      </c>
      <c r="T582">
        <f t="shared" ref="T582:T645" si="993">S582/1000</f>
        <v>-16.404637019941021</v>
      </c>
    </row>
    <row r="583" spans="1:20" x14ac:dyDescent="0.25">
      <c r="A583" s="5">
        <v>44010</v>
      </c>
      <c r="B583">
        <v>7.4000000000000003E-3</v>
      </c>
      <c r="C583">
        <v>7.6699999999999997E-3</v>
      </c>
      <c r="D583">
        <v>7.1999999999999998E-3</v>
      </c>
      <c r="E583">
        <v>7.5300000000000002E-3</v>
      </c>
      <c r="F583">
        <v>22761672.100000001</v>
      </c>
      <c r="G583">
        <v>0</v>
      </c>
      <c r="L583" t="s">
        <v>8</v>
      </c>
      <c r="M583" t="s">
        <v>7</v>
      </c>
      <c r="N583" t="s">
        <v>7</v>
      </c>
      <c r="P583">
        <f t="shared" si="989"/>
        <v>0.4042553191489382</v>
      </c>
      <c r="Q583">
        <f t="shared" si="990"/>
        <v>9201527.0191489831</v>
      </c>
      <c r="R583">
        <f t="shared" si="991"/>
        <v>-1644457548.5245366</v>
      </c>
      <c r="S583">
        <f t="shared" si="992"/>
        <v>-16444.575485245365</v>
      </c>
      <c r="T583">
        <f t="shared" si="993"/>
        <v>-16.444575485245366</v>
      </c>
    </row>
    <row r="584" spans="1:20" x14ac:dyDescent="0.25">
      <c r="A584" s="5">
        <v>44009</v>
      </c>
      <c r="B584">
        <v>7.9600000000000001E-3</v>
      </c>
      <c r="C584">
        <v>8.1099999999999992E-3</v>
      </c>
      <c r="D584">
        <v>7.1999999999999998E-3</v>
      </c>
      <c r="E584">
        <v>7.4000000000000003E-3</v>
      </c>
      <c r="F584">
        <v>40986887.299999997</v>
      </c>
      <c r="G584">
        <v>0</v>
      </c>
      <c r="L584" t="s">
        <v>7</v>
      </c>
      <c r="M584" t="s">
        <v>7</v>
      </c>
      <c r="N584" t="s">
        <v>7</v>
      </c>
      <c r="P584">
        <f t="shared" si="989"/>
        <v>-0.560439560439559</v>
      </c>
      <c r="Q584">
        <f t="shared" si="990"/>
        <v>-22970673.10219774</v>
      </c>
      <c r="R584">
        <f t="shared" si="991"/>
        <v>-1653659075.5436857</v>
      </c>
      <c r="S584">
        <f t="shared" si="992"/>
        <v>-16536.590755436857</v>
      </c>
      <c r="T584">
        <f t="shared" si="993"/>
        <v>-16.536590755436858</v>
      </c>
    </row>
    <row r="585" spans="1:20" x14ac:dyDescent="0.25">
      <c r="A585" s="5">
        <v>44008</v>
      </c>
      <c r="B585">
        <v>8.3099999999999997E-3</v>
      </c>
      <c r="C585">
        <v>8.3199999999999993E-3</v>
      </c>
      <c r="D585">
        <v>7.7999999999999996E-3</v>
      </c>
      <c r="E585">
        <v>7.9600000000000001E-3</v>
      </c>
      <c r="F585">
        <v>36405012.200000003</v>
      </c>
      <c r="G585">
        <v>0</v>
      </c>
      <c r="L585" t="s">
        <v>7</v>
      </c>
      <c r="M585" t="s">
        <v>7</v>
      </c>
      <c r="N585" t="s">
        <v>7</v>
      </c>
      <c r="P585">
        <f t="shared" si="989"/>
        <v>-0.38461538461538258</v>
      </c>
      <c r="Q585">
        <f t="shared" si="990"/>
        <v>-14001927.769230697</v>
      </c>
      <c r="R585">
        <f t="shared" si="991"/>
        <v>-1630688402.441488</v>
      </c>
      <c r="S585">
        <f t="shared" si="992"/>
        <v>-16306.88402441488</v>
      </c>
      <c r="T585">
        <f t="shared" si="993"/>
        <v>-16.306884024414881</v>
      </c>
    </row>
    <row r="586" spans="1:20" x14ac:dyDescent="0.25">
      <c r="A586" s="5">
        <v>44007</v>
      </c>
      <c r="B586">
        <v>8.5800000000000008E-3</v>
      </c>
      <c r="C586">
        <v>8.6400000000000001E-3</v>
      </c>
      <c r="D586">
        <v>8.0999999999999996E-3</v>
      </c>
      <c r="E586">
        <v>8.3099999999999997E-3</v>
      </c>
      <c r="F586">
        <v>32091062.899999999</v>
      </c>
      <c r="G586">
        <v>0</v>
      </c>
      <c r="L586" t="s">
        <v>7</v>
      </c>
      <c r="M586" t="s">
        <v>7</v>
      </c>
      <c r="N586" t="s">
        <v>7</v>
      </c>
      <c r="P586">
        <f t="shared" si="989"/>
        <v>-0.22222222222222257</v>
      </c>
      <c r="Q586">
        <f t="shared" si="990"/>
        <v>-7131347.3111111224</v>
      </c>
      <c r="R586">
        <f t="shared" si="991"/>
        <v>-1616686474.6722574</v>
      </c>
      <c r="S586">
        <f t="shared" si="992"/>
        <v>-16166.864746722575</v>
      </c>
      <c r="T586">
        <f t="shared" si="993"/>
        <v>-16.166864746722574</v>
      </c>
    </row>
    <row r="587" spans="1:20" x14ac:dyDescent="0.25">
      <c r="A587" s="5">
        <v>44006</v>
      </c>
      <c r="B587">
        <v>8.9999999999999993E-3</v>
      </c>
      <c r="C587">
        <v>9.2700000000000005E-3</v>
      </c>
      <c r="D587">
        <v>8.43E-3</v>
      </c>
      <c r="E587">
        <v>8.5900000000000004E-3</v>
      </c>
      <c r="F587">
        <v>51273479.399999999</v>
      </c>
      <c r="G587">
        <v>0</v>
      </c>
      <c r="L587" t="s">
        <v>7</v>
      </c>
      <c r="M587" t="s">
        <v>8</v>
      </c>
      <c r="N587" t="s">
        <v>7</v>
      </c>
      <c r="P587">
        <f t="shared" si="989"/>
        <v>-0.61904761904761829</v>
      </c>
      <c r="Q587">
        <f t="shared" si="990"/>
        <v>-31740725.342857104</v>
      </c>
      <c r="R587">
        <f t="shared" si="991"/>
        <v>-1609555127.3611462</v>
      </c>
      <c r="S587">
        <f t="shared" si="992"/>
        <v>-16095.551273611462</v>
      </c>
      <c r="T587">
        <f t="shared" si="993"/>
        <v>-16.095551273611463</v>
      </c>
    </row>
    <row r="588" spans="1:20" x14ac:dyDescent="0.25">
      <c r="A588" s="5">
        <v>44005</v>
      </c>
      <c r="B588">
        <v>9.0299999999999998E-3</v>
      </c>
      <c r="C588">
        <v>9.3600000000000003E-3</v>
      </c>
      <c r="D588">
        <v>8.9499999999999996E-3</v>
      </c>
      <c r="E588">
        <v>8.9999999999999993E-3</v>
      </c>
      <c r="F588">
        <v>49385494.5</v>
      </c>
      <c r="G588">
        <v>0</v>
      </c>
      <c r="L588" t="s">
        <v>7</v>
      </c>
      <c r="M588" t="s">
        <v>8</v>
      </c>
      <c r="N588" t="s">
        <v>7</v>
      </c>
      <c r="P588">
        <f t="shared" si="989"/>
        <v>-0.75609756097561165</v>
      </c>
      <c r="Q588">
        <f t="shared" si="990"/>
        <v>-37340251.939024486</v>
      </c>
      <c r="R588">
        <f t="shared" si="991"/>
        <v>-1577814402.0182891</v>
      </c>
      <c r="S588">
        <f t="shared" si="992"/>
        <v>-15778.14402018289</v>
      </c>
      <c r="T588">
        <f t="shared" si="993"/>
        <v>-15.778144020182889</v>
      </c>
    </row>
    <row r="589" spans="1:20" x14ac:dyDescent="0.25">
      <c r="A589" s="5">
        <v>44004</v>
      </c>
      <c r="B589">
        <v>8.9800000000000001E-3</v>
      </c>
      <c r="C589">
        <v>9.1900000000000003E-3</v>
      </c>
      <c r="D589">
        <v>8.8299999999999993E-3</v>
      </c>
      <c r="E589">
        <v>8.9999999999999993E-3</v>
      </c>
      <c r="F589">
        <v>41173108.700000003</v>
      </c>
      <c r="G589">
        <v>0</v>
      </c>
      <c r="L589" t="s">
        <v>7</v>
      </c>
      <c r="M589" t="s">
        <v>8</v>
      </c>
      <c r="N589" t="s">
        <v>7</v>
      </c>
      <c r="P589">
        <f t="shared" si="989"/>
        <v>-5.5555555555557967E-2</v>
      </c>
      <c r="Q589">
        <f t="shared" si="990"/>
        <v>-2287394.9277778771</v>
      </c>
      <c r="R589">
        <f t="shared" si="991"/>
        <v>-1540474150.0792646</v>
      </c>
      <c r="S589">
        <f t="shared" si="992"/>
        <v>-15404.741500792647</v>
      </c>
      <c r="T589">
        <f t="shared" si="993"/>
        <v>-15.404741500792646</v>
      </c>
    </row>
    <row r="590" spans="1:20" x14ac:dyDescent="0.25">
      <c r="A590" s="5">
        <v>44003</v>
      </c>
      <c r="B590">
        <v>9.2300000000000004E-3</v>
      </c>
      <c r="C590">
        <v>9.2999999999999992E-3</v>
      </c>
      <c r="D590">
        <v>8.9200000000000008E-3</v>
      </c>
      <c r="E590">
        <v>8.9599999999999992E-3</v>
      </c>
      <c r="F590">
        <v>21875560.600000001</v>
      </c>
      <c r="G590">
        <v>0</v>
      </c>
      <c r="L590" t="s">
        <v>7</v>
      </c>
      <c r="M590" t="s">
        <v>8</v>
      </c>
      <c r="N590" t="s">
        <v>7</v>
      </c>
      <c r="P590">
        <f t="shared" si="989"/>
        <v>-0.78947368421053399</v>
      </c>
      <c r="Q590">
        <f t="shared" si="990"/>
        <v>-17270179.421052802</v>
      </c>
      <c r="R590">
        <f t="shared" si="991"/>
        <v>-1538186755.1514869</v>
      </c>
      <c r="S590">
        <f t="shared" si="992"/>
        <v>-15381.867551514868</v>
      </c>
      <c r="T590">
        <f t="shared" si="993"/>
        <v>-15.381867551514867</v>
      </c>
    </row>
    <row r="591" spans="1:20" x14ac:dyDescent="0.25">
      <c r="A591" s="5">
        <v>44002</v>
      </c>
      <c r="B591">
        <v>9.3799999999999994E-3</v>
      </c>
      <c r="C591">
        <v>9.6200000000000001E-3</v>
      </c>
      <c r="D591">
        <v>8.8800000000000007E-3</v>
      </c>
      <c r="E591">
        <v>9.2399999999999999E-3</v>
      </c>
      <c r="F591">
        <v>57144278.700000003</v>
      </c>
      <c r="G591">
        <v>0</v>
      </c>
      <c r="L591" t="s">
        <v>8</v>
      </c>
      <c r="M591" t="s">
        <v>8</v>
      </c>
      <c r="N591" t="s">
        <v>7</v>
      </c>
      <c r="P591">
        <f t="shared" si="989"/>
        <v>-2.7027027027028295E-2</v>
      </c>
      <c r="Q591">
        <f t="shared" si="990"/>
        <v>-1544439.9648649374</v>
      </c>
      <c r="R591">
        <f t="shared" si="991"/>
        <v>-1520916575.7304342</v>
      </c>
      <c r="S591">
        <f t="shared" si="992"/>
        <v>-15209.165757304341</v>
      </c>
      <c r="T591">
        <f t="shared" si="993"/>
        <v>-15.209165757304341</v>
      </c>
    </row>
    <row r="592" spans="1:20" x14ac:dyDescent="0.25">
      <c r="A592" s="5">
        <v>44001</v>
      </c>
      <c r="B592">
        <v>8.8000000000000005E-3</v>
      </c>
      <c r="C592">
        <v>9.4999999999999998E-3</v>
      </c>
      <c r="D592">
        <v>8.5800000000000008E-3</v>
      </c>
      <c r="E592">
        <v>9.4199999999999996E-3</v>
      </c>
      <c r="F592">
        <v>60741952.299999997</v>
      </c>
      <c r="G592">
        <v>0</v>
      </c>
      <c r="L592" t="s">
        <v>8</v>
      </c>
      <c r="M592" t="s">
        <v>8</v>
      </c>
      <c r="N592" t="s">
        <v>7</v>
      </c>
      <c r="P592">
        <f t="shared" si="989"/>
        <v>0.82608695652173847</v>
      </c>
      <c r="Q592">
        <f t="shared" si="990"/>
        <v>50178134.50869561</v>
      </c>
      <c r="R592">
        <f t="shared" si="991"/>
        <v>-1519372135.7655692</v>
      </c>
      <c r="S592">
        <f t="shared" si="992"/>
        <v>-15193.721357655691</v>
      </c>
      <c r="T592">
        <f t="shared" si="993"/>
        <v>-15.193721357655692</v>
      </c>
    </row>
    <row r="593" spans="1:20" x14ac:dyDescent="0.25">
      <c r="A593" s="5">
        <v>44000</v>
      </c>
      <c r="B593">
        <v>9.1199999999999996E-3</v>
      </c>
      <c r="C593">
        <v>9.1699999999999993E-3</v>
      </c>
      <c r="D593">
        <v>8.5400000000000007E-3</v>
      </c>
      <c r="E593">
        <v>8.8000000000000005E-3</v>
      </c>
      <c r="F593">
        <v>51281902.600000001</v>
      </c>
      <c r="G593">
        <v>0</v>
      </c>
      <c r="L593" t="s">
        <v>7</v>
      </c>
      <c r="M593" t="s">
        <v>8</v>
      </c>
      <c r="N593" t="s">
        <v>7</v>
      </c>
      <c r="P593">
        <f t="shared" si="989"/>
        <v>-0.17460317460317337</v>
      </c>
      <c r="Q593">
        <f t="shared" si="990"/>
        <v>-8953982.9936507307</v>
      </c>
      <c r="R593">
        <f t="shared" si="991"/>
        <v>-1569550270.2742648</v>
      </c>
      <c r="S593">
        <f t="shared" si="992"/>
        <v>-15695.502702742648</v>
      </c>
      <c r="T593">
        <f t="shared" si="993"/>
        <v>-15.695502702742647</v>
      </c>
    </row>
    <row r="594" spans="1:20" x14ac:dyDescent="0.25">
      <c r="A594" s="5">
        <v>43999</v>
      </c>
      <c r="B594">
        <v>9.4500000000000001E-3</v>
      </c>
      <c r="C594">
        <v>9.8499999999999994E-3</v>
      </c>
      <c r="D594">
        <v>8.8199999999999997E-3</v>
      </c>
      <c r="E594">
        <v>9.1800000000000007E-3</v>
      </c>
      <c r="F594">
        <v>111772117.5</v>
      </c>
      <c r="G594">
        <v>0</v>
      </c>
      <c r="L594" t="s">
        <v>8</v>
      </c>
      <c r="M594" t="s">
        <v>8</v>
      </c>
      <c r="N594" t="s">
        <v>7</v>
      </c>
      <c r="P594">
        <f t="shared" si="989"/>
        <v>-0.30097087378640569</v>
      </c>
      <c r="Q594">
        <f t="shared" si="990"/>
        <v>-33640151.868931808</v>
      </c>
      <c r="R594">
        <f t="shared" si="991"/>
        <v>-1560596287.2806141</v>
      </c>
      <c r="S594">
        <f t="shared" si="992"/>
        <v>-15605.962872806142</v>
      </c>
      <c r="T594">
        <f t="shared" si="993"/>
        <v>-15.605962872806142</v>
      </c>
    </row>
    <row r="595" spans="1:20" x14ac:dyDescent="0.25">
      <c r="A595" s="5">
        <v>43998</v>
      </c>
      <c r="B595">
        <v>8.3199999999999993E-3</v>
      </c>
      <c r="C595">
        <v>9.5200000000000007E-3</v>
      </c>
      <c r="D595">
        <v>8.2699999999999996E-3</v>
      </c>
      <c r="E595">
        <v>9.4400000000000005E-3</v>
      </c>
      <c r="F595">
        <v>112472630</v>
      </c>
      <c r="G595">
        <v>0</v>
      </c>
      <c r="L595" t="s">
        <v>8</v>
      </c>
      <c r="M595" t="s">
        <v>8</v>
      </c>
      <c r="N595" t="s">
        <v>7</v>
      </c>
      <c r="P595">
        <f t="shared" si="989"/>
        <v>0.87199999999999978</v>
      </c>
      <c r="Q595">
        <f t="shared" si="990"/>
        <v>98076133.35999997</v>
      </c>
      <c r="R595">
        <f t="shared" si="991"/>
        <v>-1526956135.4116824</v>
      </c>
      <c r="S595">
        <f t="shared" si="992"/>
        <v>-15269.561354116824</v>
      </c>
      <c r="T595">
        <f t="shared" si="993"/>
        <v>-15.269561354116824</v>
      </c>
    </row>
    <row r="596" spans="1:20" x14ac:dyDescent="0.25">
      <c r="A596" s="5">
        <v>43997</v>
      </c>
      <c r="B596">
        <v>8.7399999999999995E-3</v>
      </c>
      <c r="C596">
        <v>8.8800000000000007E-3</v>
      </c>
      <c r="D596">
        <v>7.6600000000000001E-3</v>
      </c>
      <c r="E596">
        <v>8.3700000000000007E-3</v>
      </c>
      <c r="F596">
        <v>73514140.200000003</v>
      </c>
      <c r="G596">
        <v>0</v>
      </c>
      <c r="L596" t="s">
        <v>7</v>
      </c>
      <c r="M596" t="s">
        <v>7</v>
      </c>
      <c r="N596" t="s">
        <v>7</v>
      </c>
      <c r="P596">
        <f t="shared" si="989"/>
        <v>0.16393442622950855</v>
      </c>
      <c r="Q596">
        <f t="shared" si="990"/>
        <v>12051498.393442649</v>
      </c>
      <c r="R596">
        <f t="shared" si="991"/>
        <v>-1625032268.7716823</v>
      </c>
      <c r="S596">
        <f t="shared" si="992"/>
        <v>-16250.322687716822</v>
      </c>
      <c r="T596">
        <f t="shared" si="993"/>
        <v>-16.250322687716821</v>
      </c>
    </row>
    <row r="597" spans="1:20" x14ac:dyDescent="0.25">
      <c r="A597" s="5">
        <v>43996</v>
      </c>
      <c r="B597">
        <v>8.8000000000000005E-3</v>
      </c>
      <c r="C597">
        <v>8.9499999999999996E-3</v>
      </c>
      <c r="D597">
        <v>8.2699999999999996E-3</v>
      </c>
      <c r="E597">
        <v>8.7399999999999995E-3</v>
      </c>
      <c r="F597">
        <v>71002233.799999997</v>
      </c>
      <c r="G597">
        <v>0</v>
      </c>
      <c r="L597" t="s">
        <v>7</v>
      </c>
      <c r="M597" t="s">
        <v>7</v>
      </c>
      <c r="N597" t="s">
        <v>7</v>
      </c>
      <c r="P597">
        <f t="shared" si="989"/>
        <v>0.38235294117647028</v>
      </c>
      <c r="Q597">
        <f t="shared" si="990"/>
        <v>27147912.92352939</v>
      </c>
      <c r="R597">
        <f t="shared" si="991"/>
        <v>-1637083767.1651249</v>
      </c>
      <c r="S597">
        <f t="shared" si="992"/>
        <v>-16370.837671651248</v>
      </c>
      <c r="T597">
        <f t="shared" si="993"/>
        <v>-16.370837671651248</v>
      </c>
    </row>
    <row r="598" spans="1:20" x14ac:dyDescent="0.25">
      <c r="A598" s="5">
        <v>43995</v>
      </c>
      <c r="B598">
        <v>8.5100000000000002E-3</v>
      </c>
      <c r="C598">
        <v>8.8800000000000007E-3</v>
      </c>
      <c r="D598">
        <v>8.3700000000000007E-3</v>
      </c>
      <c r="E598">
        <v>8.8000000000000005E-3</v>
      </c>
      <c r="F598">
        <v>48217599.700000003</v>
      </c>
      <c r="G598">
        <v>0</v>
      </c>
      <c r="L598" t="s">
        <v>8</v>
      </c>
      <c r="M598" t="s">
        <v>7</v>
      </c>
      <c r="N598" t="s">
        <v>7</v>
      </c>
      <c r="P598">
        <f t="shared" si="989"/>
        <v>0.6862745098039208</v>
      </c>
      <c r="Q598">
        <f t="shared" si="990"/>
        <v>33090509.59803918</v>
      </c>
      <c r="R598">
        <f t="shared" si="991"/>
        <v>-1664231680.0886543</v>
      </c>
      <c r="S598">
        <f t="shared" si="992"/>
        <v>-16642.316800886543</v>
      </c>
      <c r="T598">
        <f t="shared" si="993"/>
        <v>-16.642316800886544</v>
      </c>
    </row>
    <row r="599" spans="1:20" x14ac:dyDescent="0.25">
      <c r="A599" s="5">
        <v>43994</v>
      </c>
      <c r="B599">
        <v>7.79E-3</v>
      </c>
      <c r="C599">
        <v>8.7200000000000003E-3</v>
      </c>
      <c r="D599">
        <v>7.7299999999999999E-3</v>
      </c>
      <c r="E599">
        <v>8.4600000000000005E-3</v>
      </c>
      <c r="F599">
        <v>44954508.600000001</v>
      </c>
      <c r="G599">
        <v>0</v>
      </c>
      <c r="L599" t="s">
        <v>8</v>
      </c>
      <c r="M599" t="s">
        <v>7</v>
      </c>
      <c r="N599" t="s">
        <v>7</v>
      </c>
      <c r="P599">
        <f t="shared" si="989"/>
        <v>0.47474747474747536</v>
      </c>
      <c r="Q599">
        <f t="shared" si="990"/>
        <v>21342039.436363664</v>
      </c>
      <c r="R599">
        <f t="shared" si="991"/>
        <v>-1697322189.6866934</v>
      </c>
      <c r="S599">
        <f t="shared" si="992"/>
        <v>-16973.221896866933</v>
      </c>
      <c r="T599">
        <f t="shared" si="993"/>
        <v>-16.973221896866932</v>
      </c>
    </row>
    <row r="600" spans="1:20" x14ac:dyDescent="0.25">
      <c r="A600" s="5">
        <v>43993</v>
      </c>
      <c r="B600">
        <v>9.1000000000000004E-3</v>
      </c>
      <c r="C600">
        <v>9.3500000000000007E-3</v>
      </c>
      <c r="D600">
        <v>7.7600000000000004E-3</v>
      </c>
      <c r="E600">
        <v>7.7799999999999996E-3</v>
      </c>
      <c r="F600">
        <v>86656189.200000003</v>
      </c>
      <c r="G600">
        <v>0</v>
      </c>
      <c r="L600" t="s">
        <v>7</v>
      </c>
      <c r="M600" t="s">
        <v>7</v>
      </c>
      <c r="N600" t="s">
        <v>7</v>
      </c>
      <c r="P600">
        <f t="shared" si="989"/>
        <v>-0.97484276729559849</v>
      </c>
      <c r="Q600">
        <f t="shared" si="990"/>
        <v>-84476159.283018962</v>
      </c>
      <c r="R600">
        <f t="shared" si="991"/>
        <v>-1718664229.1230571</v>
      </c>
      <c r="S600">
        <f t="shared" si="992"/>
        <v>-17186.642291230572</v>
      </c>
      <c r="T600">
        <f t="shared" si="993"/>
        <v>-17.186642291230573</v>
      </c>
    </row>
    <row r="601" spans="1:20" x14ac:dyDescent="0.25">
      <c r="A601" s="5">
        <v>43992</v>
      </c>
      <c r="B601">
        <v>9.1800000000000007E-3</v>
      </c>
      <c r="C601">
        <v>9.4800000000000006E-3</v>
      </c>
      <c r="D601">
        <v>8.8299999999999993E-3</v>
      </c>
      <c r="E601">
        <v>9.1000000000000004E-3</v>
      </c>
      <c r="F601">
        <v>65045278.899999999</v>
      </c>
      <c r="G601">
        <v>0</v>
      </c>
      <c r="L601" t="s">
        <v>7</v>
      </c>
      <c r="M601" t="s">
        <v>8</v>
      </c>
      <c r="N601" t="s">
        <v>7</v>
      </c>
      <c r="P601">
        <f t="shared" si="989"/>
        <v>-0.16923076923076735</v>
      </c>
      <c r="Q601">
        <f t="shared" si="990"/>
        <v>-11007662.583076801</v>
      </c>
      <c r="R601">
        <f t="shared" si="991"/>
        <v>-1634188069.8400381</v>
      </c>
      <c r="S601">
        <f t="shared" si="992"/>
        <v>-16341.88069840038</v>
      </c>
      <c r="T601">
        <f t="shared" si="993"/>
        <v>-16.341880698400381</v>
      </c>
    </row>
    <row r="602" spans="1:20" x14ac:dyDescent="0.25">
      <c r="A602" s="5">
        <v>43991</v>
      </c>
      <c r="B602">
        <v>9.6100000000000005E-3</v>
      </c>
      <c r="C602">
        <v>9.9600000000000001E-3</v>
      </c>
      <c r="D602">
        <v>9.0699999999999999E-3</v>
      </c>
      <c r="E602">
        <v>9.1999999999999998E-3</v>
      </c>
      <c r="F602">
        <v>101467024.2</v>
      </c>
      <c r="G602">
        <v>0</v>
      </c>
      <c r="L602" t="s">
        <v>7</v>
      </c>
      <c r="M602" t="s">
        <v>8</v>
      </c>
      <c r="N602" t="s">
        <v>7</v>
      </c>
      <c r="P602">
        <f t="shared" si="989"/>
        <v>-0.70786516853932613</v>
      </c>
      <c r="Q602">
        <f t="shared" si="990"/>
        <v>-71824972.186516881</v>
      </c>
      <c r="R602">
        <f t="shared" si="991"/>
        <v>-1623180407.2569613</v>
      </c>
      <c r="S602">
        <f t="shared" si="992"/>
        <v>-16231.804072569614</v>
      </c>
      <c r="T602">
        <f t="shared" si="993"/>
        <v>-16.231804072569613</v>
      </c>
    </row>
    <row r="603" spans="1:20" x14ac:dyDescent="0.25">
      <c r="A603" s="5">
        <v>43990</v>
      </c>
      <c r="B603">
        <v>9.2499999999999995E-3</v>
      </c>
      <c r="C603">
        <v>1.0200000000000001E-2</v>
      </c>
      <c r="D603">
        <v>9.0500000000000008E-3</v>
      </c>
      <c r="E603">
        <v>9.5999999999999992E-3</v>
      </c>
      <c r="F603">
        <v>195330076.09999999</v>
      </c>
      <c r="G603">
        <v>0</v>
      </c>
      <c r="L603" t="s">
        <v>8</v>
      </c>
      <c r="M603" t="s">
        <v>8</v>
      </c>
      <c r="N603" t="s">
        <v>7</v>
      </c>
      <c r="P603">
        <f t="shared" si="989"/>
        <v>-4.3478260869567971E-2</v>
      </c>
      <c r="Q603">
        <f t="shared" si="990"/>
        <v>-8492612.0043483637</v>
      </c>
      <c r="R603">
        <f t="shared" si="991"/>
        <v>-1551355435.0704446</v>
      </c>
      <c r="S603">
        <f t="shared" si="992"/>
        <v>-15513.554350704446</v>
      </c>
      <c r="T603">
        <f t="shared" si="993"/>
        <v>-15.513554350704446</v>
      </c>
    </row>
    <row r="604" spans="1:20" x14ac:dyDescent="0.25">
      <c r="A604" s="5">
        <v>43989</v>
      </c>
      <c r="B604">
        <v>8.4600000000000005E-3</v>
      </c>
      <c r="C604">
        <v>9.4000000000000004E-3</v>
      </c>
      <c r="D604">
        <v>8.4399999999999996E-3</v>
      </c>
      <c r="E604">
        <v>9.2399999999999999E-3</v>
      </c>
      <c r="F604">
        <v>167864840.09999999</v>
      </c>
      <c r="G604">
        <v>0</v>
      </c>
      <c r="L604" t="s">
        <v>8</v>
      </c>
      <c r="M604" t="s">
        <v>8</v>
      </c>
      <c r="N604" t="s">
        <v>7</v>
      </c>
      <c r="P604">
        <f t="shared" si="989"/>
        <v>0.66666666666666607</v>
      </c>
      <c r="Q604">
        <f t="shared" si="990"/>
        <v>111909893.3999999</v>
      </c>
      <c r="R604">
        <f t="shared" si="991"/>
        <v>-1542862823.0660963</v>
      </c>
      <c r="S604">
        <f t="shared" si="992"/>
        <v>-15428.628230660963</v>
      </c>
      <c r="T604">
        <f t="shared" si="993"/>
        <v>-15.428628230660962</v>
      </c>
    </row>
    <row r="605" spans="1:20" x14ac:dyDescent="0.25">
      <c r="A605" s="5">
        <v>43988</v>
      </c>
      <c r="B605">
        <v>8.3000000000000001E-3</v>
      </c>
      <c r="C605">
        <v>8.5400000000000007E-3</v>
      </c>
      <c r="D605">
        <v>8.2799999999999992E-3</v>
      </c>
      <c r="E605">
        <v>8.5000000000000006E-3</v>
      </c>
      <c r="F605">
        <v>40987004</v>
      </c>
      <c r="G605">
        <v>0</v>
      </c>
      <c r="L605" t="s">
        <v>7</v>
      </c>
      <c r="M605" t="s">
        <v>8</v>
      </c>
      <c r="N605" t="s">
        <v>7</v>
      </c>
      <c r="P605">
        <f t="shared" si="989"/>
        <v>0.69230769230769329</v>
      </c>
      <c r="Q605">
        <f t="shared" si="990"/>
        <v>28375618.153846193</v>
      </c>
      <c r="R605">
        <f t="shared" si="991"/>
        <v>-1654772716.4660962</v>
      </c>
      <c r="S605">
        <f t="shared" si="992"/>
        <v>-16547.727164660962</v>
      </c>
      <c r="T605">
        <f t="shared" si="993"/>
        <v>-16.547727164660962</v>
      </c>
    </row>
    <row r="606" spans="1:20" x14ac:dyDescent="0.25">
      <c r="A606" s="5">
        <v>43987</v>
      </c>
      <c r="B606">
        <v>8.94E-3</v>
      </c>
      <c r="C606">
        <v>8.9599999999999992E-3</v>
      </c>
      <c r="D606">
        <v>8.2799999999999992E-3</v>
      </c>
      <c r="E606">
        <v>8.3499999999999998E-3</v>
      </c>
      <c r="F606">
        <v>92655894.700000003</v>
      </c>
      <c r="G606">
        <v>0</v>
      </c>
      <c r="L606" t="s">
        <v>7</v>
      </c>
      <c r="M606" t="s">
        <v>8</v>
      </c>
      <c r="N606" t="s">
        <v>7</v>
      </c>
      <c r="P606">
        <f t="shared" si="989"/>
        <v>-0.79411764705882171</v>
      </c>
      <c r="Q606">
        <f t="shared" si="990"/>
        <v>-73579681.085293949</v>
      </c>
      <c r="R606">
        <f t="shared" si="991"/>
        <v>-1683148334.6199424</v>
      </c>
      <c r="S606">
        <f t="shared" si="992"/>
        <v>-16831.483346199424</v>
      </c>
      <c r="T606">
        <f t="shared" si="993"/>
        <v>-16.831483346199423</v>
      </c>
    </row>
    <row r="607" spans="1:20" x14ac:dyDescent="0.25">
      <c r="A607" s="5">
        <v>43986</v>
      </c>
      <c r="B607">
        <v>8.0000000000000002E-3</v>
      </c>
      <c r="C607">
        <v>8.9800000000000001E-3</v>
      </c>
      <c r="D607">
        <v>7.9699999999999997E-3</v>
      </c>
      <c r="E607">
        <v>8.94E-3</v>
      </c>
      <c r="F607">
        <v>172385298.19999999</v>
      </c>
      <c r="G607">
        <v>0</v>
      </c>
      <c r="L607" t="s">
        <v>8</v>
      </c>
      <c r="M607" t="s">
        <v>8</v>
      </c>
      <c r="N607" t="s">
        <v>7</v>
      </c>
      <c r="P607">
        <f t="shared" si="989"/>
        <v>0.92079207920792061</v>
      </c>
      <c r="Q607">
        <f t="shared" si="990"/>
        <v>158731017.15445539</v>
      </c>
      <c r="R607">
        <f t="shared" si="991"/>
        <v>-1609568653.5346484</v>
      </c>
      <c r="S607">
        <f t="shared" si="992"/>
        <v>-16095.686535346484</v>
      </c>
      <c r="T607">
        <f t="shared" si="993"/>
        <v>-16.095686535346484</v>
      </c>
    </row>
    <row r="608" spans="1:20" x14ac:dyDescent="0.25">
      <c r="A608" s="5">
        <v>43985</v>
      </c>
      <c r="B608">
        <v>8.1600000000000006E-3</v>
      </c>
      <c r="C608">
        <v>8.3899999999999999E-3</v>
      </c>
      <c r="D608">
        <v>7.8799999999999999E-3</v>
      </c>
      <c r="E608">
        <v>8.0199999999999994E-3</v>
      </c>
      <c r="F608">
        <v>85354466</v>
      </c>
      <c r="G608">
        <v>0</v>
      </c>
      <c r="L608" t="s">
        <v>8</v>
      </c>
      <c r="M608" t="s">
        <v>7</v>
      </c>
      <c r="N608" t="s">
        <v>7</v>
      </c>
      <c r="P608">
        <f t="shared" si="989"/>
        <v>-0.45098039215686475</v>
      </c>
      <c r="Q608">
        <f t="shared" si="990"/>
        <v>-38493190.549019776</v>
      </c>
      <c r="R608">
        <f t="shared" si="991"/>
        <v>-1768299670.6891038</v>
      </c>
      <c r="S608">
        <f t="shared" si="992"/>
        <v>-17682.996706891037</v>
      </c>
      <c r="T608">
        <f t="shared" si="993"/>
        <v>-17.682996706891036</v>
      </c>
    </row>
    <row r="609" spans="1:20" x14ac:dyDescent="0.25">
      <c r="A609" s="5">
        <v>43984</v>
      </c>
      <c r="B609">
        <v>7.9299999999999995E-3</v>
      </c>
      <c r="C609">
        <v>8.5299999999999994E-3</v>
      </c>
      <c r="D609">
        <v>7.4999999999999997E-3</v>
      </c>
      <c r="E609">
        <v>8.2199999999999999E-3</v>
      </c>
      <c r="F609">
        <v>160490207.30000001</v>
      </c>
      <c r="G609">
        <v>0</v>
      </c>
      <c r="L609" t="s">
        <v>7</v>
      </c>
      <c r="M609" t="s">
        <v>7</v>
      </c>
      <c r="N609" t="s">
        <v>7</v>
      </c>
      <c r="P609">
        <f t="shared" si="989"/>
        <v>0.39805825242718523</v>
      </c>
      <c r="Q609">
        <f t="shared" si="990"/>
        <v>63884451.449514695</v>
      </c>
      <c r="R609">
        <f t="shared" si="991"/>
        <v>-1729806480.140084</v>
      </c>
      <c r="S609">
        <f t="shared" si="992"/>
        <v>-17298.06480140084</v>
      </c>
      <c r="T609">
        <f t="shared" si="993"/>
        <v>-17.298064801400841</v>
      </c>
    </row>
    <row r="610" spans="1:20" x14ac:dyDescent="0.25">
      <c r="A610" s="5">
        <v>43983</v>
      </c>
      <c r="B610">
        <v>7.7999999999999996E-3</v>
      </c>
      <c r="C610">
        <v>8.5800000000000008E-3</v>
      </c>
      <c r="D610">
        <v>7.7600000000000004E-3</v>
      </c>
      <c r="E610">
        <v>7.9299999999999995E-3</v>
      </c>
      <c r="F610">
        <v>138621909.30000001</v>
      </c>
      <c r="G610">
        <v>0</v>
      </c>
      <c r="L610" t="s">
        <v>8</v>
      </c>
      <c r="M610" t="s">
        <v>7</v>
      </c>
      <c r="N610" t="s">
        <v>7</v>
      </c>
      <c r="P610">
        <f t="shared" si="989"/>
        <v>-0.58536585365853888</v>
      </c>
      <c r="Q610">
        <f t="shared" si="990"/>
        <v>-81144532.273171052</v>
      </c>
      <c r="R610">
        <f t="shared" si="991"/>
        <v>-1793690931.5895987</v>
      </c>
      <c r="S610">
        <f t="shared" si="992"/>
        <v>-17936.909315895988</v>
      </c>
      <c r="T610">
        <f t="shared" si="993"/>
        <v>-17.936909315895988</v>
      </c>
    </row>
    <row r="611" spans="1:20" x14ac:dyDescent="0.25">
      <c r="A611" s="5">
        <v>43982</v>
      </c>
      <c r="B611">
        <v>8.7899999999999992E-3</v>
      </c>
      <c r="C611">
        <v>8.8400000000000006E-3</v>
      </c>
      <c r="D611">
        <v>7.62E-3</v>
      </c>
      <c r="E611">
        <v>7.8700000000000003E-3</v>
      </c>
      <c r="F611">
        <v>148270631.59999999</v>
      </c>
      <c r="G611">
        <v>0</v>
      </c>
      <c r="L611" t="s">
        <v>7</v>
      </c>
      <c r="M611" t="s">
        <v>7</v>
      </c>
      <c r="N611" t="s">
        <v>7</v>
      </c>
      <c r="P611">
        <f t="shared" si="989"/>
        <v>-0.59016393442622939</v>
      </c>
      <c r="Q611">
        <f t="shared" si="990"/>
        <v>-87503979.304918006</v>
      </c>
      <c r="R611">
        <f t="shared" si="991"/>
        <v>-1712546399.3164277</v>
      </c>
      <c r="S611">
        <f t="shared" si="992"/>
        <v>-17125.463993164278</v>
      </c>
      <c r="T611">
        <f t="shared" si="993"/>
        <v>-17.125463993164278</v>
      </c>
    </row>
    <row r="612" spans="1:20" x14ac:dyDescent="0.25">
      <c r="A612" s="5">
        <v>43981</v>
      </c>
      <c r="B612">
        <v>8.8100000000000001E-3</v>
      </c>
      <c r="C612">
        <v>8.9700000000000005E-3</v>
      </c>
      <c r="D612">
        <v>8.1600000000000006E-3</v>
      </c>
      <c r="E612">
        <v>8.7899999999999992E-3</v>
      </c>
      <c r="F612">
        <v>153439798.80000001</v>
      </c>
      <c r="G612">
        <v>0</v>
      </c>
      <c r="L612" t="s">
        <v>7</v>
      </c>
      <c r="M612" t="s">
        <v>7</v>
      </c>
      <c r="N612" t="s">
        <v>7</v>
      </c>
      <c r="P612">
        <f t="shared" si="989"/>
        <v>0.55555555555555225</v>
      </c>
      <c r="Q612">
        <f t="shared" si="990"/>
        <v>85244332.666666165</v>
      </c>
      <c r="R612">
        <f t="shared" si="991"/>
        <v>-1625042420.0115097</v>
      </c>
      <c r="S612">
        <f t="shared" si="992"/>
        <v>-16250.424200115096</v>
      </c>
      <c r="T612">
        <f t="shared" si="993"/>
        <v>-16.250424200115095</v>
      </c>
    </row>
    <row r="613" spans="1:20" x14ac:dyDescent="0.25">
      <c r="A613" s="5">
        <v>43980</v>
      </c>
      <c r="B613">
        <v>9.4199999999999996E-3</v>
      </c>
      <c r="C613">
        <v>9.5300000000000003E-3</v>
      </c>
      <c r="D613">
        <v>8.6199999999999992E-3</v>
      </c>
      <c r="E613">
        <v>8.8100000000000001E-3</v>
      </c>
      <c r="F613">
        <v>190656773.80000001</v>
      </c>
      <c r="G613">
        <v>0</v>
      </c>
      <c r="L613" t="s">
        <v>7</v>
      </c>
      <c r="M613" t="s">
        <v>7</v>
      </c>
      <c r="N613" t="s">
        <v>8</v>
      </c>
      <c r="P613">
        <f t="shared" si="989"/>
        <v>-0.5824175824175809</v>
      </c>
      <c r="Q613">
        <f t="shared" si="990"/>
        <v>-111041857.26813158</v>
      </c>
      <c r="R613">
        <f t="shared" si="991"/>
        <v>-1710286752.6781759</v>
      </c>
      <c r="S613">
        <f t="shared" si="992"/>
        <v>-17102.86752678176</v>
      </c>
      <c r="T613">
        <f t="shared" si="993"/>
        <v>-17.102867526781761</v>
      </c>
    </row>
    <row r="614" spans="1:20" x14ac:dyDescent="0.25">
      <c r="A614" s="5">
        <v>43979</v>
      </c>
      <c r="B614">
        <v>9.7699999999999992E-3</v>
      </c>
      <c r="C614">
        <v>1.073E-2</v>
      </c>
      <c r="D614">
        <v>9.3399999999999993E-3</v>
      </c>
      <c r="E614">
        <v>9.4000000000000004E-3</v>
      </c>
      <c r="F614">
        <v>218563262.5</v>
      </c>
      <c r="G614">
        <v>0</v>
      </c>
      <c r="L614" t="s">
        <v>7</v>
      </c>
      <c r="M614" t="s">
        <v>7</v>
      </c>
      <c r="N614" t="s">
        <v>8</v>
      </c>
      <c r="P614">
        <f t="shared" si="989"/>
        <v>-0.91366906474819998</v>
      </c>
      <c r="Q614">
        <f t="shared" si="990"/>
        <v>-199694491.63669032</v>
      </c>
      <c r="R614">
        <f t="shared" si="991"/>
        <v>-1599244895.4100444</v>
      </c>
      <c r="S614">
        <f t="shared" si="992"/>
        <v>-15992.448954100444</v>
      </c>
      <c r="T614">
        <f t="shared" si="993"/>
        <v>-15.992448954100444</v>
      </c>
    </row>
    <row r="615" spans="1:20" x14ac:dyDescent="0.25">
      <c r="A615" s="5">
        <v>43978</v>
      </c>
      <c r="B615">
        <v>1.0070000000000001E-2</v>
      </c>
      <c r="C615">
        <v>1.106E-2</v>
      </c>
      <c r="D615">
        <v>9.4199999999999996E-3</v>
      </c>
      <c r="E615">
        <v>9.7800000000000005E-3</v>
      </c>
      <c r="F615">
        <v>477640802.80000001</v>
      </c>
      <c r="G615">
        <v>0</v>
      </c>
      <c r="L615" t="s">
        <v>7</v>
      </c>
      <c r="M615" t="s">
        <v>7</v>
      </c>
      <c r="N615" t="s">
        <v>8</v>
      </c>
      <c r="P615">
        <f t="shared" si="989"/>
        <v>-0.56097560975609662</v>
      </c>
      <c r="Q615">
        <f t="shared" si="990"/>
        <v>-267944840.5951215</v>
      </c>
      <c r="R615">
        <f t="shared" si="991"/>
        <v>-1399550403.7733541</v>
      </c>
      <c r="S615">
        <f t="shared" si="992"/>
        <v>-13995.504037733541</v>
      </c>
      <c r="T615">
        <f t="shared" si="993"/>
        <v>-13.995504037733541</v>
      </c>
    </row>
    <row r="616" spans="1:20" x14ac:dyDescent="0.25">
      <c r="A616" s="5">
        <v>43977</v>
      </c>
      <c r="B616">
        <v>8.9899999999999997E-3</v>
      </c>
      <c r="C616">
        <v>1.2330000000000001E-2</v>
      </c>
      <c r="D616">
        <v>8.3700000000000007E-3</v>
      </c>
      <c r="E616">
        <v>1.005E-2</v>
      </c>
      <c r="F616">
        <v>878721808.5</v>
      </c>
      <c r="G616">
        <v>0</v>
      </c>
      <c r="L616" t="s">
        <v>8</v>
      </c>
      <c r="M616" t="s">
        <v>8</v>
      </c>
      <c r="N616" t="s">
        <v>8</v>
      </c>
      <c r="P616">
        <f t="shared" si="989"/>
        <v>-0.15151515151515191</v>
      </c>
      <c r="Q616">
        <f t="shared" si="990"/>
        <v>-133139667.9545458</v>
      </c>
      <c r="R616">
        <f t="shared" si="991"/>
        <v>-1131605563.1782324</v>
      </c>
      <c r="S616">
        <f t="shared" si="992"/>
        <v>-11316.055631782325</v>
      </c>
      <c r="T616">
        <f t="shared" si="993"/>
        <v>-11.316055631782325</v>
      </c>
    </row>
    <row r="617" spans="1:20" x14ac:dyDescent="0.25">
      <c r="A617" s="5">
        <v>43976</v>
      </c>
      <c r="B617">
        <v>8.7299999999999999E-3</v>
      </c>
      <c r="C617">
        <v>1.03E-2</v>
      </c>
      <c r="D617">
        <v>8.1099999999999992E-3</v>
      </c>
      <c r="E617">
        <v>8.9800000000000001E-3</v>
      </c>
      <c r="F617">
        <v>517069192.80000001</v>
      </c>
      <c r="G617">
        <v>0</v>
      </c>
      <c r="L617" t="s">
        <v>7</v>
      </c>
      <c r="M617" t="s">
        <v>7</v>
      </c>
      <c r="N617" t="s">
        <v>7</v>
      </c>
      <c r="P617">
        <f t="shared" si="989"/>
        <v>-0.20547945205479398</v>
      </c>
      <c r="Q617">
        <f t="shared" si="990"/>
        <v>-106247094.41095863</v>
      </c>
      <c r="R617">
        <f t="shared" si="991"/>
        <v>-998465895.22368658</v>
      </c>
      <c r="S617">
        <f t="shared" si="992"/>
        <v>-9984.6589522368649</v>
      </c>
      <c r="T617">
        <f t="shared" si="993"/>
        <v>-9.9846589522368649</v>
      </c>
    </row>
    <row r="618" spans="1:20" x14ac:dyDescent="0.25">
      <c r="A618" s="5">
        <v>43975</v>
      </c>
      <c r="B618">
        <v>9.0699999999999999E-3</v>
      </c>
      <c r="C618">
        <v>1.1780000000000001E-2</v>
      </c>
      <c r="D618">
        <v>8.26E-3</v>
      </c>
      <c r="E618">
        <v>8.7299999999999999E-3</v>
      </c>
      <c r="F618">
        <v>1346869031.4000001</v>
      </c>
      <c r="G618">
        <v>0</v>
      </c>
      <c r="L618" t="s">
        <v>8</v>
      </c>
      <c r="M618" t="s">
        <v>8</v>
      </c>
      <c r="N618" t="s">
        <v>8</v>
      </c>
      <c r="P618">
        <f t="shared" si="989"/>
        <v>-0.73295454545454553</v>
      </c>
      <c r="Q618">
        <f t="shared" si="990"/>
        <v>-987193778.69659102</v>
      </c>
      <c r="R618">
        <f t="shared" si="991"/>
        <v>-892218800.81272793</v>
      </c>
      <c r="S618">
        <f t="shared" si="992"/>
        <v>-8922.1880081272793</v>
      </c>
      <c r="T618">
        <f t="shared" si="993"/>
        <v>-8.9221880081272786</v>
      </c>
    </row>
    <row r="619" spans="1:20" x14ac:dyDescent="0.25">
      <c r="A619" s="5">
        <v>43974</v>
      </c>
      <c r="B619">
        <v>6.6600000000000001E-3</v>
      </c>
      <c r="C619">
        <v>9.0799999999999995E-3</v>
      </c>
      <c r="D619">
        <v>6.4099999999999999E-3</v>
      </c>
      <c r="E619">
        <v>9.0799999999999995E-3</v>
      </c>
      <c r="F619">
        <v>400963975.80000001</v>
      </c>
      <c r="G619">
        <v>0</v>
      </c>
      <c r="L619" t="s">
        <v>8</v>
      </c>
      <c r="M619" t="s">
        <v>8</v>
      </c>
      <c r="N619" t="s">
        <v>8</v>
      </c>
      <c r="P619">
        <f t="shared" si="989"/>
        <v>1</v>
      </c>
      <c r="Q619">
        <f t="shared" si="990"/>
        <v>400963975.80000001</v>
      </c>
      <c r="R619">
        <f t="shared" si="991"/>
        <v>94974977.883863151</v>
      </c>
      <c r="S619">
        <f t="shared" si="992"/>
        <v>949.74977883863153</v>
      </c>
      <c r="T619">
        <f t="shared" si="993"/>
        <v>0.94974977883863154</v>
      </c>
    </row>
    <row r="620" spans="1:20" x14ac:dyDescent="0.25">
      <c r="A620" s="5">
        <v>43973</v>
      </c>
      <c r="B620">
        <v>6.11E-3</v>
      </c>
      <c r="C620">
        <v>7.4400000000000004E-3</v>
      </c>
      <c r="D620">
        <v>5.96E-3</v>
      </c>
      <c r="E620">
        <v>6.6699999999999997E-3</v>
      </c>
      <c r="F620">
        <v>207632489.30000001</v>
      </c>
      <c r="G620">
        <v>0</v>
      </c>
      <c r="L620" t="s">
        <v>8</v>
      </c>
      <c r="M620" t="s">
        <v>8</v>
      </c>
      <c r="N620" t="s">
        <v>7</v>
      </c>
      <c r="P620">
        <f t="shared" si="989"/>
        <v>-4.0540540540541223E-2</v>
      </c>
      <c r="Q620">
        <f t="shared" si="990"/>
        <v>-8417533.3500001431</v>
      </c>
      <c r="R620">
        <f t="shared" si="991"/>
        <v>-305988997.91613686</v>
      </c>
      <c r="S620">
        <f t="shared" si="992"/>
        <v>-3059.8899791613685</v>
      </c>
      <c r="T620">
        <f t="shared" si="993"/>
        <v>-3.0598899791613685</v>
      </c>
    </row>
    <row r="621" spans="1:20" x14ac:dyDescent="0.25">
      <c r="A621" s="5">
        <v>43972</v>
      </c>
      <c r="B621">
        <v>6.1799999999999997E-3</v>
      </c>
      <c r="C621">
        <v>6.3899999999999998E-3</v>
      </c>
      <c r="D621">
        <v>5.7499999999999999E-3</v>
      </c>
      <c r="E621">
        <v>6.11E-3</v>
      </c>
      <c r="F621">
        <v>114652178.3</v>
      </c>
      <c r="G621">
        <v>0</v>
      </c>
      <c r="L621" t="s">
        <v>7</v>
      </c>
      <c r="M621" t="s">
        <v>7</v>
      </c>
      <c r="N621" t="s">
        <v>7</v>
      </c>
      <c r="P621">
        <f t="shared" si="989"/>
        <v>0.12500000000000033</v>
      </c>
      <c r="Q621">
        <f t="shared" si="990"/>
        <v>14331522.287500039</v>
      </c>
      <c r="R621">
        <f t="shared" si="991"/>
        <v>-297571464.56613672</v>
      </c>
      <c r="S621">
        <f t="shared" si="992"/>
        <v>-2975.7146456613673</v>
      </c>
      <c r="T621">
        <f t="shared" si="993"/>
        <v>-2.9757146456613675</v>
      </c>
    </row>
    <row r="622" spans="1:20" x14ac:dyDescent="0.25">
      <c r="A622" s="5">
        <v>43971</v>
      </c>
      <c r="B622">
        <v>6.7000000000000002E-3</v>
      </c>
      <c r="C622">
        <v>7.0299999999999998E-3</v>
      </c>
      <c r="D622">
        <v>6.13E-3</v>
      </c>
      <c r="E622">
        <v>6.1799999999999997E-3</v>
      </c>
      <c r="F622">
        <v>103837251.2</v>
      </c>
      <c r="G622">
        <v>0</v>
      </c>
      <c r="L622" t="s">
        <v>7</v>
      </c>
      <c r="M622" t="s">
        <v>7</v>
      </c>
      <c r="N622" t="s">
        <v>8</v>
      </c>
      <c r="P622">
        <f t="shared" si="989"/>
        <v>-0.88888888888888951</v>
      </c>
      <c r="Q622">
        <f t="shared" si="990"/>
        <v>-92299778.844444513</v>
      </c>
      <c r="R622">
        <f t="shared" si="991"/>
        <v>-311902986.85363674</v>
      </c>
      <c r="S622">
        <f t="shared" si="992"/>
        <v>-3119.0298685363673</v>
      </c>
      <c r="T622">
        <f t="shared" si="993"/>
        <v>-3.1190298685363671</v>
      </c>
    </row>
    <row r="623" spans="1:20" x14ac:dyDescent="0.25">
      <c r="A623" s="5">
        <v>43970</v>
      </c>
      <c r="B623">
        <v>7.6E-3</v>
      </c>
      <c r="C623">
        <v>7.7099999999999998E-3</v>
      </c>
      <c r="D623">
        <v>6.5700000000000003E-3</v>
      </c>
      <c r="E623">
        <v>6.7000000000000002E-3</v>
      </c>
      <c r="F623">
        <v>152497930.19999999</v>
      </c>
      <c r="G623">
        <v>0</v>
      </c>
      <c r="L623" t="s">
        <v>7</v>
      </c>
      <c r="M623" t="s">
        <v>8</v>
      </c>
      <c r="N623" t="s">
        <v>8</v>
      </c>
      <c r="P623">
        <f t="shared" si="989"/>
        <v>-0.77192982456140358</v>
      </c>
      <c r="Q623">
        <f t="shared" si="990"/>
        <v>-117717700.50526316</v>
      </c>
      <c r="R623">
        <f t="shared" si="991"/>
        <v>-219603208.00919223</v>
      </c>
      <c r="S623">
        <f t="shared" si="992"/>
        <v>-2196.0320800919221</v>
      </c>
      <c r="T623">
        <f t="shared" si="993"/>
        <v>-2.1960320800919222</v>
      </c>
    </row>
    <row r="624" spans="1:20" x14ac:dyDescent="0.25">
      <c r="A624" s="5">
        <v>43969</v>
      </c>
      <c r="B624">
        <v>6.8399999999999997E-3</v>
      </c>
      <c r="C624">
        <v>7.9799999999999992E-3</v>
      </c>
      <c r="D624">
        <v>6.6899999999999998E-3</v>
      </c>
      <c r="E624">
        <v>7.6E-3</v>
      </c>
      <c r="F624">
        <v>208187895.40000001</v>
      </c>
      <c r="G624">
        <v>0</v>
      </c>
      <c r="L624" t="s">
        <v>8</v>
      </c>
      <c r="M624" t="s">
        <v>8</v>
      </c>
      <c r="N624" t="s">
        <v>8</v>
      </c>
      <c r="P624">
        <f t="shared" si="989"/>
        <v>0.41085271317829547</v>
      </c>
      <c r="Q624">
        <f t="shared" si="990"/>
        <v>85534561.675969183</v>
      </c>
      <c r="R624">
        <f t="shared" si="991"/>
        <v>-101885507.50392908</v>
      </c>
      <c r="S624">
        <f t="shared" si="992"/>
        <v>-1018.8550750392908</v>
      </c>
      <c r="T624">
        <f t="shared" si="993"/>
        <v>-1.0188550750392908</v>
      </c>
    </row>
    <row r="625" spans="1:20" x14ac:dyDescent="0.25">
      <c r="A625" s="5">
        <v>43968</v>
      </c>
      <c r="B625">
        <v>5.9500000000000004E-3</v>
      </c>
      <c r="C625">
        <v>7.8200000000000006E-3</v>
      </c>
      <c r="D625">
        <v>5.8399999999999997E-3</v>
      </c>
      <c r="E625">
        <v>6.8399999999999997E-3</v>
      </c>
      <c r="F625">
        <v>309890617.69999999</v>
      </c>
      <c r="G625">
        <v>0</v>
      </c>
      <c r="L625" t="s">
        <v>8</v>
      </c>
      <c r="M625" t="s">
        <v>7</v>
      </c>
      <c r="N625" t="s">
        <v>8</v>
      </c>
      <c r="P625">
        <f t="shared" si="989"/>
        <v>1.0101010101009686E-2</v>
      </c>
      <c r="Q625">
        <f t="shared" si="990"/>
        <v>3130208.2595958309</v>
      </c>
      <c r="R625">
        <f t="shared" si="991"/>
        <v>-187420069.17989826</v>
      </c>
      <c r="S625">
        <f t="shared" si="992"/>
        <v>-1874.2006917989827</v>
      </c>
      <c r="T625">
        <f t="shared" si="993"/>
        <v>-1.8742006917989826</v>
      </c>
    </row>
    <row r="626" spans="1:20" x14ac:dyDescent="0.25">
      <c r="A626" s="5">
        <v>43967</v>
      </c>
      <c r="B626">
        <v>5.4099999999999999E-3</v>
      </c>
      <c r="C626">
        <v>7.7000000000000002E-3</v>
      </c>
      <c r="D626">
        <v>5.3899999999999998E-3</v>
      </c>
      <c r="E626">
        <v>5.9100000000000003E-3</v>
      </c>
      <c r="F626">
        <v>215747751.19999999</v>
      </c>
      <c r="G626">
        <v>0</v>
      </c>
      <c r="L626" t="s">
        <v>8</v>
      </c>
      <c r="M626" t="s">
        <v>8</v>
      </c>
      <c r="N626" t="s">
        <v>8</v>
      </c>
      <c r="P626">
        <f t="shared" si="989"/>
        <v>-0.54978354978354949</v>
      </c>
      <c r="Q626">
        <f t="shared" si="990"/>
        <v>-118614564.51255403</v>
      </c>
      <c r="R626">
        <f t="shared" si="991"/>
        <v>-190550277.4394941</v>
      </c>
      <c r="S626">
        <f t="shared" si="992"/>
        <v>-1905.5027743949411</v>
      </c>
      <c r="T626">
        <f t="shared" si="993"/>
        <v>-1.9055027743949411</v>
      </c>
    </row>
    <row r="627" spans="1:20" x14ac:dyDescent="0.25">
      <c r="A627" s="5">
        <v>43966</v>
      </c>
      <c r="B627">
        <v>5.5399999999999998E-3</v>
      </c>
      <c r="C627">
        <v>5.6299999999999996E-3</v>
      </c>
      <c r="D627">
        <v>5.2900000000000004E-3</v>
      </c>
      <c r="E627">
        <v>5.4200000000000003E-3</v>
      </c>
      <c r="F627">
        <v>21236743.100000001</v>
      </c>
      <c r="G627">
        <v>0</v>
      </c>
      <c r="L627" t="s">
        <v>8</v>
      </c>
      <c r="M627" t="s">
        <v>8</v>
      </c>
      <c r="N627" t="s">
        <v>7</v>
      </c>
      <c r="P627">
        <f t="shared" si="989"/>
        <v>-0.23529411764705746</v>
      </c>
      <c r="Q627">
        <f t="shared" si="990"/>
        <v>-4996880.7294117361</v>
      </c>
      <c r="R627">
        <f t="shared" si="991"/>
        <v>-71935712.926940069</v>
      </c>
      <c r="S627">
        <f t="shared" si="992"/>
        <v>-719.35712926940073</v>
      </c>
      <c r="T627">
        <f t="shared" si="993"/>
        <v>-0.71935712926940076</v>
      </c>
    </row>
    <row r="628" spans="1:20" x14ac:dyDescent="0.25">
      <c r="A628" s="5">
        <v>43965</v>
      </c>
      <c r="B628">
        <v>5.2100000000000002E-3</v>
      </c>
      <c r="C628">
        <v>5.5999999999999999E-3</v>
      </c>
      <c r="D628">
        <v>5.1500000000000001E-3</v>
      </c>
      <c r="E628">
        <v>5.5399999999999998E-3</v>
      </c>
      <c r="F628">
        <v>22607976.5</v>
      </c>
      <c r="G628">
        <v>0</v>
      </c>
      <c r="L628" t="s">
        <v>8</v>
      </c>
      <c r="M628" t="s">
        <v>8</v>
      </c>
      <c r="N628" t="s">
        <v>7</v>
      </c>
      <c r="P628">
        <f t="shared" si="989"/>
        <v>0.73333333333333262</v>
      </c>
      <c r="Q628">
        <f t="shared" si="990"/>
        <v>16579182.766666651</v>
      </c>
      <c r="R628">
        <f t="shared" si="991"/>
        <v>-66938832.197528332</v>
      </c>
      <c r="S628">
        <f t="shared" si="992"/>
        <v>-669.38832197528336</v>
      </c>
      <c r="T628">
        <f t="shared" si="993"/>
        <v>-0.66938832197528331</v>
      </c>
    </row>
    <row r="629" spans="1:20" x14ac:dyDescent="0.25">
      <c r="A629" s="5">
        <v>43964</v>
      </c>
      <c r="B629">
        <v>5.3699999999999998E-3</v>
      </c>
      <c r="C629">
        <v>5.5999999999999999E-3</v>
      </c>
      <c r="D629">
        <v>5.1500000000000001E-3</v>
      </c>
      <c r="E629">
        <v>5.2300000000000003E-3</v>
      </c>
      <c r="F629">
        <v>33039414.100000001</v>
      </c>
      <c r="G629">
        <v>0</v>
      </c>
      <c r="L629" t="s">
        <v>7</v>
      </c>
      <c r="M629" t="s">
        <v>8</v>
      </c>
      <c r="N629" t="s">
        <v>7</v>
      </c>
      <c r="P629">
        <f t="shared" si="989"/>
        <v>-0.64444444444444338</v>
      </c>
      <c r="Q629">
        <f t="shared" si="990"/>
        <v>-21292066.864444409</v>
      </c>
      <c r="R629">
        <f t="shared" si="991"/>
        <v>-83518014.964194983</v>
      </c>
      <c r="S629">
        <f t="shared" si="992"/>
        <v>-835.18014964194981</v>
      </c>
      <c r="T629">
        <f t="shared" si="993"/>
        <v>-0.83518014964194986</v>
      </c>
    </row>
    <row r="630" spans="1:20" x14ac:dyDescent="0.25">
      <c r="A630" s="5">
        <v>43963</v>
      </c>
      <c r="B630">
        <v>4.8700000000000002E-3</v>
      </c>
      <c r="C630">
        <v>5.6499999999999996E-3</v>
      </c>
      <c r="D630">
        <v>4.8700000000000002E-3</v>
      </c>
      <c r="E630">
        <v>5.3400000000000001E-3</v>
      </c>
      <c r="F630">
        <v>19597236.699999999</v>
      </c>
      <c r="G630">
        <v>0</v>
      </c>
      <c r="L630" t="s">
        <v>8</v>
      </c>
      <c r="M630" t="s">
        <v>8</v>
      </c>
      <c r="N630" t="s">
        <v>7</v>
      </c>
      <c r="P630">
        <f t="shared" si="989"/>
        <v>0.20512820512820581</v>
      </c>
      <c r="Q630">
        <f t="shared" si="990"/>
        <v>4019945.9897436029</v>
      </c>
      <c r="R630">
        <f t="shared" si="991"/>
        <v>-62225948.099750571</v>
      </c>
      <c r="S630">
        <f t="shared" si="992"/>
        <v>-622.25948099750576</v>
      </c>
      <c r="T630">
        <f t="shared" si="993"/>
        <v>-0.62225948099750572</v>
      </c>
    </row>
    <row r="631" spans="1:20" x14ac:dyDescent="0.25">
      <c r="A631" s="5">
        <v>43962</v>
      </c>
      <c r="B631">
        <v>4.7999999999999996E-3</v>
      </c>
      <c r="C631">
        <v>5.1900000000000002E-3</v>
      </c>
      <c r="D631">
        <v>4.64E-3</v>
      </c>
      <c r="E631">
        <v>4.8700000000000002E-3</v>
      </c>
      <c r="F631">
        <v>24505798.899999999</v>
      </c>
      <c r="G631">
        <v>0</v>
      </c>
      <c r="L631" t="s">
        <v>8</v>
      </c>
      <c r="M631" t="s">
        <v>7</v>
      </c>
      <c r="N631" t="s">
        <v>7</v>
      </c>
      <c r="P631">
        <f t="shared" si="989"/>
        <v>-0.16363636363636325</v>
      </c>
      <c r="Q631">
        <f t="shared" si="990"/>
        <v>-4010039.8199999901</v>
      </c>
      <c r="R631">
        <f t="shared" si="991"/>
        <v>-66245894.089494176</v>
      </c>
      <c r="S631">
        <f t="shared" si="992"/>
        <v>-662.45894089494175</v>
      </c>
      <c r="T631">
        <f t="shared" si="993"/>
        <v>-0.66245894089494173</v>
      </c>
    </row>
    <row r="632" spans="1:20" x14ac:dyDescent="0.25">
      <c r="A632" s="5">
        <v>43961</v>
      </c>
      <c r="B632">
        <v>5.3899999999999998E-3</v>
      </c>
      <c r="C632">
        <v>5.3899999999999998E-3</v>
      </c>
      <c r="D632">
        <v>4.47E-3</v>
      </c>
      <c r="E632">
        <v>4.7499999999999999E-3</v>
      </c>
      <c r="F632">
        <v>30020239.100000001</v>
      </c>
      <c r="G632">
        <v>0</v>
      </c>
      <c r="L632" t="s">
        <v>7</v>
      </c>
      <c r="M632" t="s">
        <v>7</v>
      </c>
      <c r="N632" t="s">
        <v>7</v>
      </c>
      <c r="P632">
        <f t="shared" si="989"/>
        <v>-0.39130434782608714</v>
      </c>
      <c r="Q632">
        <f t="shared" si="990"/>
        <v>-11747050.082608702</v>
      </c>
      <c r="R632">
        <f t="shared" si="991"/>
        <v>-62235854.269494183</v>
      </c>
      <c r="S632">
        <f t="shared" si="992"/>
        <v>-622.35854269494189</v>
      </c>
      <c r="T632">
        <f t="shared" si="993"/>
        <v>-0.62235854269494184</v>
      </c>
    </row>
    <row r="633" spans="1:20" x14ac:dyDescent="0.25">
      <c r="A633" s="5">
        <v>43960</v>
      </c>
      <c r="B633">
        <v>5.45E-3</v>
      </c>
      <c r="C633">
        <v>5.5199999999999997E-3</v>
      </c>
      <c r="D633">
        <v>5.3299999999999997E-3</v>
      </c>
      <c r="E633">
        <v>5.3899999999999998E-3</v>
      </c>
      <c r="F633">
        <v>14457208.6</v>
      </c>
      <c r="G633">
        <v>0</v>
      </c>
      <c r="L633" t="s">
        <v>7</v>
      </c>
      <c r="M633" t="s">
        <v>8</v>
      </c>
      <c r="N633" t="s">
        <v>8</v>
      </c>
      <c r="P633">
        <f t="shared" si="989"/>
        <v>-0.36842105263157748</v>
      </c>
      <c r="Q633">
        <f t="shared" si="990"/>
        <v>-5326340.0105262948</v>
      </c>
      <c r="R633">
        <f t="shared" si="991"/>
        <v>-50488804.186885484</v>
      </c>
      <c r="S633">
        <f t="shared" si="992"/>
        <v>-504.88804186885483</v>
      </c>
      <c r="T633">
        <f t="shared" si="993"/>
        <v>-0.50488804186885483</v>
      </c>
    </row>
    <row r="634" spans="1:20" x14ac:dyDescent="0.25">
      <c r="A634" s="5">
        <v>43959</v>
      </c>
      <c r="B634">
        <v>5.3699999999999998E-3</v>
      </c>
      <c r="C634">
        <v>5.8700000000000002E-3</v>
      </c>
      <c r="D634">
        <v>5.3099999999999996E-3</v>
      </c>
      <c r="E634">
        <v>5.45E-3</v>
      </c>
      <c r="F634">
        <v>43019255.700000003</v>
      </c>
      <c r="G634">
        <v>0</v>
      </c>
      <c r="L634" t="s">
        <v>8</v>
      </c>
      <c r="M634" t="s">
        <v>8</v>
      </c>
      <c r="N634" t="s">
        <v>8</v>
      </c>
      <c r="P634">
        <f t="shared" si="989"/>
        <v>-0.49999999999999922</v>
      </c>
      <c r="Q634">
        <f t="shared" si="990"/>
        <v>-21509627.849999968</v>
      </c>
      <c r="R634">
        <f t="shared" si="991"/>
        <v>-45162464.176359192</v>
      </c>
      <c r="S634">
        <f t="shared" si="992"/>
        <v>-451.62464176359191</v>
      </c>
      <c r="T634">
        <f t="shared" si="993"/>
        <v>-0.45162464176359191</v>
      </c>
    </row>
    <row r="635" spans="1:20" x14ac:dyDescent="0.25">
      <c r="A635" s="5">
        <v>43958</v>
      </c>
      <c r="B635">
        <v>5.4900000000000001E-3</v>
      </c>
      <c r="C635">
        <v>5.7299999999999999E-3</v>
      </c>
      <c r="D635">
        <v>5.3E-3</v>
      </c>
      <c r="E635">
        <v>5.3699999999999998E-3</v>
      </c>
      <c r="F635">
        <v>27061500.100000001</v>
      </c>
      <c r="G635">
        <v>0</v>
      </c>
      <c r="L635" t="s">
        <v>7</v>
      </c>
      <c r="M635" t="s">
        <v>8</v>
      </c>
      <c r="N635" t="s">
        <v>8</v>
      </c>
      <c r="P635">
        <f t="shared" si="989"/>
        <v>-0.67441860465116388</v>
      </c>
      <c r="Q635">
        <f t="shared" si="990"/>
        <v>-18250779.137209333</v>
      </c>
      <c r="R635">
        <f t="shared" si="991"/>
        <v>-23652836.326359224</v>
      </c>
      <c r="S635">
        <f t="shared" si="992"/>
        <v>-236.52836326359224</v>
      </c>
      <c r="T635">
        <f t="shared" si="993"/>
        <v>-0.23652836326359225</v>
      </c>
    </row>
    <row r="636" spans="1:20" x14ac:dyDescent="0.25">
      <c r="A636" s="5">
        <v>43957</v>
      </c>
      <c r="B636">
        <v>5.4099999999999999E-3</v>
      </c>
      <c r="C636">
        <v>5.8199999999999997E-3</v>
      </c>
      <c r="D636">
        <v>5.3400000000000001E-3</v>
      </c>
      <c r="E636">
        <v>5.4900000000000001E-3</v>
      </c>
      <c r="F636">
        <v>26223581.699999999</v>
      </c>
      <c r="G636">
        <v>0</v>
      </c>
      <c r="L636" t="s">
        <v>8</v>
      </c>
      <c r="M636" t="s">
        <v>8</v>
      </c>
      <c r="N636" t="s">
        <v>8</v>
      </c>
      <c r="P636">
        <f t="shared" si="989"/>
        <v>-0.37499999999999956</v>
      </c>
      <c r="Q636">
        <f t="shared" si="990"/>
        <v>-9833843.1374999881</v>
      </c>
      <c r="R636">
        <f t="shared" si="991"/>
        <v>-5402057.1891498901</v>
      </c>
      <c r="S636">
        <f t="shared" si="992"/>
        <v>-54.020571891498903</v>
      </c>
      <c r="T636">
        <f t="shared" si="993"/>
        <v>-5.4020571891498906E-2</v>
      </c>
    </row>
    <row r="637" spans="1:20" x14ac:dyDescent="0.25">
      <c r="A637" s="5">
        <v>43956</v>
      </c>
      <c r="B637">
        <v>5.3E-3</v>
      </c>
      <c r="C637">
        <v>5.5500000000000002E-3</v>
      </c>
      <c r="D637">
        <v>5.2599999999999999E-3</v>
      </c>
      <c r="E637">
        <v>5.4099999999999999E-3</v>
      </c>
      <c r="F637">
        <v>17117645.699999999</v>
      </c>
      <c r="G637">
        <v>0</v>
      </c>
      <c r="L637" t="s">
        <v>7</v>
      </c>
      <c r="M637" t="s">
        <v>8</v>
      </c>
      <c r="N637" t="s">
        <v>8</v>
      </c>
      <c r="P637">
        <f t="shared" si="989"/>
        <v>3.4482758620688211E-2</v>
      </c>
      <c r="Q637">
        <f t="shared" si="990"/>
        <v>590263.64482756145</v>
      </c>
      <c r="R637">
        <f t="shared" si="991"/>
        <v>4431785.948350098</v>
      </c>
      <c r="S637">
        <f t="shared" si="992"/>
        <v>44.317859483500982</v>
      </c>
      <c r="T637">
        <f t="shared" si="993"/>
        <v>4.4317859483500983E-2</v>
      </c>
    </row>
    <row r="638" spans="1:20" x14ac:dyDescent="0.25">
      <c r="A638" s="5">
        <v>43955</v>
      </c>
      <c r="B638">
        <v>5.4799999999999996E-3</v>
      </c>
      <c r="C638">
        <v>5.5399999999999998E-3</v>
      </c>
      <c r="D638">
        <v>5.2599999999999999E-3</v>
      </c>
      <c r="E638">
        <v>5.3200000000000001E-3</v>
      </c>
      <c r="F638">
        <v>19021948.300000001</v>
      </c>
      <c r="G638">
        <v>0</v>
      </c>
      <c r="L638" t="s">
        <v>7</v>
      </c>
      <c r="M638" t="s">
        <v>8</v>
      </c>
      <c r="N638" t="s">
        <v>8</v>
      </c>
      <c r="P638">
        <f t="shared" si="989"/>
        <v>-0.57142857142857006</v>
      </c>
      <c r="Q638">
        <f t="shared" si="990"/>
        <v>-10869684.742857117</v>
      </c>
      <c r="R638">
        <f t="shared" si="991"/>
        <v>3841522.3035225365</v>
      </c>
      <c r="S638">
        <f t="shared" si="992"/>
        <v>38.415223035225367</v>
      </c>
      <c r="T638">
        <f t="shared" si="993"/>
        <v>3.841522303522537E-2</v>
      </c>
    </row>
    <row r="639" spans="1:20" x14ac:dyDescent="0.25">
      <c r="A639" s="5">
        <v>43954</v>
      </c>
      <c r="B639">
        <v>5.62E-3</v>
      </c>
      <c r="C639">
        <v>5.7099999999999998E-3</v>
      </c>
      <c r="D639">
        <v>5.4400000000000004E-3</v>
      </c>
      <c r="E639">
        <v>5.4599999999999996E-3</v>
      </c>
      <c r="F639">
        <v>16858292.800000001</v>
      </c>
      <c r="G639">
        <v>0</v>
      </c>
      <c r="L639" t="s">
        <v>8</v>
      </c>
      <c r="M639" t="s">
        <v>8</v>
      </c>
      <c r="N639" t="s">
        <v>8</v>
      </c>
      <c r="P639">
        <f t="shared" si="989"/>
        <v>-0.85185185185185752</v>
      </c>
      <c r="Q639">
        <f t="shared" si="990"/>
        <v>-14360767.940740837</v>
      </c>
      <c r="R639">
        <f t="shared" si="991"/>
        <v>14711207.046379654</v>
      </c>
      <c r="S639">
        <f t="shared" si="992"/>
        <v>147.11207046379653</v>
      </c>
      <c r="T639">
        <f t="shared" si="993"/>
        <v>0.14711207046379654</v>
      </c>
    </row>
    <row r="640" spans="1:20" x14ac:dyDescent="0.25">
      <c r="A640" s="5">
        <v>43953</v>
      </c>
      <c r="B640">
        <v>5.5799999999999999E-3</v>
      </c>
      <c r="C640">
        <v>5.7999999999999996E-3</v>
      </c>
      <c r="D640">
        <v>5.4999999999999997E-3</v>
      </c>
      <c r="E640">
        <v>5.62E-3</v>
      </c>
      <c r="F640">
        <v>24419917.899999999</v>
      </c>
      <c r="G640">
        <v>0</v>
      </c>
      <c r="L640" t="s">
        <v>8</v>
      </c>
      <c r="M640" t="s">
        <v>8</v>
      </c>
      <c r="N640" t="s">
        <v>8</v>
      </c>
      <c r="P640">
        <f t="shared" si="989"/>
        <v>-0.19999999999999768</v>
      </c>
      <c r="Q640">
        <f t="shared" si="990"/>
        <v>-4883983.5799999433</v>
      </c>
      <c r="R640">
        <f t="shared" si="991"/>
        <v>29071974.987120491</v>
      </c>
      <c r="S640">
        <f t="shared" si="992"/>
        <v>290.7197498712049</v>
      </c>
      <c r="T640">
        <f t="shared" si="993"/>
        <v>0.29071974987120491</v>
      </c>
    </row>
    <row r="641" spans="1:20" x14ac:dyDescent="0.25">
      <c r="A641" s="5">
        <v>43952</v>
      </c>
      <c r="B641">
        <v>5.5199999999999997E-3</v>
      </c>
      <c r="C641">
        <v>5.6899999999999997E-3</v>
      </c>
      <c r="D641">
        <v>5.4799999999999996E-3</v>
      </c>
      <c r="E641">
        <v>5.5799999999999999E-3</v>
      </c>
      <c r="F641">
        <v>14833230.5</v>
      </c>
      <c r="G641">
        <v>0</v>
      </c>
      <c r="L641" t="s">
        <v>8</v>
      </c>
      <c r="M641" t="s">
        <v>8</v>
      </c>
      <c r="N641" t="s">
        <v>8</v>
      </c>
      <c r="P641">
        <f t="shared" si="989"/>
        <v>-4.7619047619045653E-2</v>
      </c>
      <c r="Q641">
        <f t="shared" si="990"/>
        <v>-706344.30952378036</v>
      </c>
      <c r="R641">
        <f t="shared" si="991"/>
        <v>33955958.567120433</v>
      </c>
      <c r="S641">
        <f t="shared" si="992"/>
        <v>339.55958567120433</v>
      </c>
      <c r="T641">
        <f t="shared" si="993"/>
        <v>0.33955958567120431</v>
      </c>
    </row>
    <row r="642" spans="1:20" x14ac:dyDescent="0.25">
      <c r="A642" s="5">
        <v>43951</v>
      </c>
      <c r="B642">
        <v>5.5300000000000002E-3</v>
      </c>
      <c r="C642">
        <v>5.7600000000000004E-3</v>
      </c>
      <c r="D642">
        <v>5.3499999999999997E-3</v>
      </c>
      <c r="E642">
        <v>5.4999999999999997E-3</v>
      </c>
      <c r="F642">
        <v>30591834.800000001</v>
      </c>
      <c r="G642">
        <v>0</v>
      </c>
      <c r="L642" t="s">
        <v>8</v>
      </c>
      <c r="M642" t="s">
        <v>8</v>
      </c>
      <c r="N642" t="s">
        <v>8</v>
      </c>
      <c r="P642">
        <f t="shared" si="989"/>
        <v>-0.26829268292683062</v>
      </c>
      <c r="Q642">
        <f t="shared" si="990"/>
        <v>-8207565.4341463828</v>
      </c>
      <c r="R642">
        <f t="shared" si="991"/>
        <v>34662302.876644216</v>
      </c>
      <c r="S642">
        <f t="shared" si="992"/>
        <v>346.62302876644219</v>
      </c>
      <c r="T642">
        <f t="shared" si="993"/>
        <v>0.34662302876644219</v>
      </c>
    </row>
    <row r="643" spans="1:20" x14ac:dyDescent="0.25">
      <c r="A643" s="5">
        <v>43950</v>
      </c>
      <c r="B643">
        <v>5.3400000000000001E-3</v>
      </c>
      <c r="C643">
        <v>5.6100000000000004E-3</v>
      </c>
      <c r="D643">
        <v>5.3200000000000001E-3</v>
      </c>
      <c r="E643">
        <v>5.5300000000000002E-3</v>
      </c>
      <c r="F643">
        <v>28134208.199999999</v>
      </c>
      <c r="G643">
        <v>0</v>
      </c>
      <c r="L643" t="s">
        <v>7</v>
      </c>
      <c r="M643" t="s">
        <v>8</v>
      </c>
      <c r="N643" t="s">
        <v>8</v>
      </c>
      <c r="P643">
        <f t="shared" si="989"/>
        <v>0.44827586206896469</v>
      </c>
      <c r="Q643">
        <f t="shared" si="990"/>
        <v>12611886.434482735</v>
      </c>
      <c r="R643">
        <f t="shared" si="991"/>
        <v>42869868.310790598</v>
      </c>
      <c r="S643">
        <f t="shared" si="992"/>
        <v>428.69868310790599</v>
      </c>
      <c r="T643">
        <f t="shared" si="993"/>
        <v>0.42869868310790599</v>
      </c>
    </row>
    <row r="644" spans="1:20" x14ac:dyDescent="0.25">
      <c r="A644" s="5">
        <v>43949</v>
      </c>
      <c r="B644">
        <v>5.4799999999999996E-3</v>
      </c>
      <c r="C644">
        <v>5.5199999999999997E-3</v>
      </c>
      <c r="D644">
        <v>5.3099999999999996E-3</v>
      </c>
      <c r="E644">
        <v>5.3400000000000001E-3</v>
      </c>
      <c r="F644">
        <v>10368999.699999999</v>
      </c>
      <c r="G644">
        <v>0</v>
      </c>
      <c r="L644" t="s">
        <v>7</v>
      </c>
      <c r="M644" t="s">
        <v>8</v>
      </c>
      <c r="N644" t="s">
        <v>8</v>
      </c>
      <c r="P644">
        <f t="shared" si="989"/>
        <v>-0.71428571428570953</v>
      </c>
      <c r="Q644">
        <f t="shared" si="990"/>
        <v>-7406428.357142807</v>
      </c>
      <c r="R644">
        <f t="shared" si="991"/>
        <v>30257981.87630786</v>
      </c>
      <c r="S644">
        <f t="shared" si="992"/>
        <v>302.57981876307861</v>
      </c>
      <c r="T644">
        <f t="shared" si="993"/>
        <v>0.3025798187630786</v>
      </c>
    </row>
    <row r="645" spans="1:20" x14ac:dyDescent="0.25">
      <c r="A645" s="5">
        <v>43948</v>
      </c>
      <c r="B645">
        <v>5.5100000000000001E-3</v>
      </c>
      <c r="C645">
        <v>5.7600000000000004E-3</v>
      </c>
      <c r="D645">
        <v>5.4099999999999999E-3</v>
      </c>
      <c r="E645">
        <v>5.4799999999999996E-3</v>
      </c>
      <c r="F645">
        <v>12320039.699999999</v>
      </c>
      <c r="G645">
        <v>0</v>
      </c>
      <c r="L645" t="s">
        <v>7</v>
      </c>
      <c r="M645" t="s">
        <v>8</v>
      </c>
      <c r="N645" t="s">
        <v>8</v>
      </c>
      <c r="P645">
        <f t="shared" si="989"/>
        <v>-0.60000000000000198</v>
      </c>
      <c r="Q645">
        <f t="shared" si="990"/>
        <v>-7392023.8200000236</v>
      </c>
      <c r="R645">
        <f t="shared" si="991"/>
        <v>37664410.233450666</v>
      </c>
      <c r="S645">
        <f t="shared" si="992"/>
        <v>376.64410233450667</v>
      </c>
      <c r="T645">
        <f t="shared" si="993"/>
        <v>0.37664410233450668</v>
      </c>
    </row>
    <row r="646" spans="1:20" x14ac:dyDescent="0.25">
      <c r="A646" s="5">
        <v>43947</v>
      </c>
      <c r="B646">
        <v>5.28E-3</v>
      </c>
      <c r="C646">
        <v>5.8300000000000001E-3</v>
      </c>
      <c r="D646">
        <v>5.2399999999999999E-3</v>
      </c>
      <c r="E646">
        <v>5.4999999999999997E-3</v>
      </c>
      <c r="F646">
        <v>38983529.200000003</v>
      </c>
      <c r="G646">
        <v>0</v>
      </c>
      <c r="L646" t="s">
        <v>8</v>
      </c>
      <c r="M646" t="s">
        <v>8</v>
      </c>
      <c r="N646" t="s">
        <v>8</v>
      </c>
      <c r="P646">
        <f t="shared" ref="P646:P709" si="994">IF(C646=D646,0,((E646-D646)-(C646-E646))/(C646-D646))</f>
        <v>-0.11864406779661117</v>
      </c>
      <c r="Q646">
        <f t="shared" ref="Q646:Q709" si="995">F646*P646</f>
        <v>-4625164.4813559717</v>
      </c>
      <c r="R646">
        <f t="shared" ref="R646:R709" si="996">R647+Q646</f>
        <v>45056434.053450689</v>
      </c>
      <c r="S646">
        <f t="shared" ref="S646:S709" si="997">R646/100000</f>
        <v>450.56434053450687</v>
      </c>
      <c r="T646">
        <f t="shared" ref="T646:T709" si="998">S646/1000</f>
        <v>0.45056434053450689</v>
      </c>
    </row>
    <row r="647" spans="1:20" x14ac:dyDescent="0.25">
      <c r="A647" s="5">
        <v>43946</v>
      </c>
      <c r="B647">
        <v>5.1900000000000002E-3</v>
      </c>
      <c r="C647">
        <v>5.3600000000000002E-3</v>
      </c>
      <c r="D647">
        <v>5.11E-3</v>
      </c>
      <c r="E647">
        <v>5.28E-3</v>
      </c>
      <c r="F647">
        <v>26952367.800000001</v>
      </c>
      <c r="G647">
        <v>0</v>
      </c>
      <c r="L647" t="s">
        <v>8</v>
      </c>
      <c r="M647" t="s">
        <v>7</v>
      </c>
      <c r="N647" t="s">
        <v>8</v>
      </c>
      <c r="P647">
        <f t="shared" si="994"/>
        <v>0.35999999999999888</v>
      </c>
      <c r="Q647">
        <f t="shared" si="995"/>
        <v>9702852.40799997</v>
      </c>
      <c r="R647">
        <f t="shared" si="996"/>
        <v>49681598.534806661</v>
      </c>
      <c r="S647">
        <f t="shared" si="997"/>
        <v>496.81598534806659</v>
      </c>
      <c r="T647">
        <f t="shared" si="998"/>
        <v>0.49681598534806659</v>
      </c>
    </row>
    <row r="648" spans="1:20" x14ac:dyDescent="0.25">
      <c r="A648" s="5">
        <v>43945</v>
      </c>
      <c r="B648">
        <v>5.1700000000000001E-3</v>
      </c>
      <c r="C648">
        <v>5.3E-3</v>
      </c>
      <c r="D648">
        <v>5.13E-3</v>
      </c>
      <c r="E648">
        <v>5.1900000000000002E-3</v>
      </c>
      <c r="F648">
        <v>13011723.9</v>
      </c>
      <c r="G648">
        <v>0</v>
      </c>
      <c r="L648" t="s">
        <v>8</v>
      </c>
      <c r="M648" t="s">
        <v>7</v>
      </c>
      <c r="N648" t="s">
        <v>8</v>
      </c>
      <c r="P648">
        <f t="shared" si="994"/>
        <v>-0.29411764705882171</v>
      </c>
      <c r="Q648">
        <f t="shared" si="995"/>
        <v>-3826977.617647035</v>
      </c>
      <c r="R648">
        <f t="shared" si="996"/>
        <v>39978746.126806691</v>
      </c>
      <c r="S648">
        <f t="shared" si="997"/>
        <v>399.78746126806692</v>
      </c>
      <c r="T648">
        <f t="shared" si="998"/>
        <v>0.39978746126806691</v>
      </c>
    </row>
    <row r="649" spans="1:20" x14ac:dyDescent="0.25">
      <c r="A649" s="5">
        <v>43944</v>
      </c>
      <c r="B649">
        <v>5.2100000000000002E-3</v>
      </c>
      <c r="C649">
        <v>5.3699999999999998E-3</v>
      </c>
      <c r="D649">
        <v>5.0299999999999997E-3</v>
      </c>
      <c r="E649">
        <v>5.1799999999999997E-3</v>
      </c>
      <c r="F649">
        <v>19209316.800000001</v>
      </c>
      <c r="G649">
        <v>0</v>
      </c>
      <c r="L649" t="s">
        <v>8</v>
      </c>
      <c r="M649" t="s">
        <v>7</v>
      </c>
      <c r="N649" t="s">
        <v>8</v>
      </c>
      <c r="P649">
        <f t="shared" si="994"/>
        <v>-0.11764705882352972</v>
      </c>
      <c r="Q649">
        <f t="shared" si="995"/>
        <v>-2259919.6235294179</v>
      </c>
      <c r="R649">
        <f t="shared" si="996"/>
        <v>43805723.744453728</v>
      </c>
      <c r="S649">
        <f t="shared" si="997"/>
        <v>438.05723744453729</v>
      </c>
      <c r="T649">
        <f t="shared" si="998"/>
        <v>0.43805723744453728</v>
      </c>
    </row>
    <row r="650" spans="1:20" x14ac:dyDescent="0.25">
      <c r="A650" s="5">
        <v>43943</v>
      </c>
      <c r="B650">
        <v>5.0499999999999998E-3</v>
      </c>
      <c r="C650">
        <v>5.2599999999999999E-3</v>
      </c>
      <c r="D650">
        <v>5.0299999999999997E-3</v>
      </c>
      <c r="E650">
        <v>5.2599999999999999E-3</v>
      </c>
      <c r="F650">
        <v>8340023.4000000004</v>
      </c>
      <c r="G650">
        <v>0</v>
      </c>
      <c r="L650" t="s">
        <v>8</v>
      </c>
      <c r="M650" t="s">
        <v>7</v>
      </c>
      <c r="N650" t="s">
        <v>8</v>
      </c>
      <c r="P650">
        <f t="shared" si="994"/>
        <v>1</v>
      </c>
      <c r="Q650">
        <f t="shared" si="995"/>
        <v>8340023.4000000004</v>
      </c>
      <c r="R650">
        <f t="shared" si="996"/>
        <v>46065643.367983148</v>
      </c>
      <c r="S650">
        <f t="shared" si="997"/>
        <v>460.65643367983148</v>
      </c>
      <c r="T650">
        <f t="shared" si="998"/>
        <v>0.4606564336798315</v>
      </c>
    </row>
    <row r="651" spans="1:20" x14ac:dyDescent="0.25">
      <c r="A651" s="5">
        <v>43942</v>
      </c>
      <c r="B651">
        <v>4.96E-3</v>
      </c>
      <c r="C651">
        <v>5.1200000000000004E-3</v>
      </c>
      <c r="D651">
        <v>4.9199999999999999E-3</v>
      </c>
      <c r="E651">
        <v>5.0699999999999999E-3</v>
      </c>
      <c r="F651">
        <v>6306030.5999999996</v>
      </c>
      <c r="G651">
        <v>0</v>
      </c>
      <c r="L651" t="s">
        <v>7</v>
      </c>
      <c r="M651" t="s">
        <v>7</v>
      </c>
      <c r="N651" t="s">
        <v>8</v>
      </c>
      <c r="P651">
        <f t="shared" si="994"/>
        <v>0.49999999999999567</v>
      </c>
      <c r="Q651">
        <f t="shared" si="995"/>
        <v>3153015.2999999723</v>
      </c>
      <c r="R651">
        <f t="shared" si="996"/>
        <v>37725619.967983149</v>
      </c>
      <c r="S651">
        <f t="shared" si="997"/>
        <v>377.25619967983147</v>
      </c>
      <c r="T651">
        <f t="shared" si="998"/>
        <v>0.37725619967983148</v>
      </c>
    </row>
    <row r="652" spans="1:20" x14ac:dyDescent="0.25">
      <c r="A652" s="5">
        <v>43941</v>
      </c>
      <c r="B652">
        <v>5.3E-3</v>
      </c>
      <c r="C652">
        <v>5.3899999999999998E-3</v>
      </c>
      <c r="D652">
        <v>4.8999999999999998E-3</v>
      </c>
      <c r="E652">
        <v>4.9699999999999996E-3</v>
      </c>
      <c r="F652">
        <v>14659586.4</v>
      </c>
      <c r="G652">
        <v>0</v>
      </c>
      <c r="L652" t="s">
        <v>7</v>
      </c>
      <c r="M652" t="s">
        <v>7</v>
      </c>
      <c r="N652" t="s">
        <v>8</v>
      </c>
      <c r="P652">
        <f t="shared" si="994"/>
        <v>-0.7142857142857153</v>
      </c>
      <c r="Q652">
        <f t="shared" si="995"/>
        <v>-10471133.142857159</v>
      </c>
      <c r="R652">
        <f t="shared" si="996"/>
        <v>34572604.667983174</v>
      </c>
      <c r="S652">
        <f t="shared" si="997"/>
        <v>345.72604667983177</v>
      </c>
      <c r="T652">
        <f t="shared" si="998"/>
        <v>0.34572604667983176</v>
      </c>
    </row>
    <row r="653" spans="1:20" x14ac:dyDescent="0.25">
      <c r="A653" s="5">
        <v>43940</v>
      </c>
      <c r="B653">
        <v>5.7299999999999999E-3</v>
      </c>
      <c r="C653">
        <v>5.8999999999999999E-3</v>
      </c>
      <c r="D653">
        <v>5.1500000000000001E-3</v>
      </c>
      <c r="E653">
        <v>5.3200000000000001E-3</v>
      </c>
      <c r="F653">
        <v>27396653.600000001</v>
      </c>
      <c r="G653">
        <v>0</v>
      </c>
      <c r="L653" t="s">
        <v>7</v>
      </c>
      <c r="M653" t="s">
        <v>8</v>
      </c>
      <c r="N653" t="s">
        <v>8</v>
      </c>
      <c r="P653">
        <f t="shared" si="994"/>
        <v>-0.54666666666666652</v>
      </c>
      <c r="Q653">
        <f t="shared" si="995"/>
        <v>-14976837.301333331</v>
      </c>
      <c r="R653">
        <f t="shared" si="996"/>
        <v>45043737.810840331</v>
      </c>
      <c r="S653">
        <f t="shared" si="997"/>
        <v>450.43737810840332</v>
      </c>
      <c r="T653">
        <f t="shared" si="998"/>
        <v>0.45043737810840334</v>
      </c>
    </row>
    <row r="654" spans="1:20" x14ac:dyDescent="0.25">
      <c r="A654" s="5">
        <v>43939</v>
      </c>
      <c r="B654">
        <v>5.1000000000000004E-3</v>
      </c>
      <c r="C654">
        <v>6.1000000000000004E-3</v>
      </c>
      <c r="D654">
        <v>5.0600000000000003E-3</v>
      </c>
      <c r="E654">
        <v>5.7099999999999998E-3</v>
      </c>
      <c r="F654">
        <v>67764683.400000006</v>
      </c>
      <c r="G654">
        <v>0</v>
      </c>
      <c r="L654" t="s">
        <v>8</v>
      </c>
      <c r="M654" t="s">
        <v>8</v>
      </c>
      <c r="N654" t="s">
        <v>8</v>
      </c>
      <c r="P654">
        <f t="shared" si="994"/>
        <v>0.24999999999999895</v>
      </c>
      <c r="Q654">
        <f t="shared" si="995"/>
        <v>16941170.849999931</v>
      </c>
      <c r="R654">
        <f t="shared" si="996"/>
        <v>60020575.112173662</v>
      </c>
      <c r="S654">
        <f t="shared" si="997"/>
        <v>600.20575112173663</v>
      </c>
      <c r="T654">
        <f t="shared" si="998"/>
        <v>0.60020575112173657</v>
      </c>
    </row>
    <row r="655" spans="1:20" x14ac:dyDescent="0.25">
      <c r="A655" s="5">
        <v>43938</v>
      </c>
      <c r="B655">
        <v>5.1999999999999998E-3</v>
      </c>
      <c r="C655">
        <v>5.2700000000000004E-3</v>
      </c>
      <c r="D655">
        <v>5.0899999999999999E-3</v>
      </c>
      <c r="E655">
        <v>5.1000000000000004E-3</v>
      </c>
      <c r="F655">
        <v>7815022.2000000002</v>
      </c>
      <c r="G655">
        <v>0</v>
      </c>
      <c r="L655" t="s">
        <v>8</v>
      </c>
      <c r="M655" t="s">
        <v>7</v>
      </c>
      <c r="N655" t="s">
        <v>8</v>
      </c>
      <c r="P655">
        <f t="shared" si="994"/>
        <v>-0.88888888888888407</v>
      </c>
      <c r="Q655">
        <f t="shared" si="995"/>
        <v>-6946686.3999999622</v>
      </c>
      <c r="R655">
        <f t="shared" si="996"/>
        <v>43079404.262173727</v>
      </c>
      <c r="S655">
        <f t="shared" si="997"/>
        <v>430.79404262173728</v>
      </c>
      <c r="T655">
        <f t="shared" si="998"/>
        <v>0.43079404262173726</v>
      </c>
    </row>
    <row r="656" spans="1:20" x14ac:dyDescent="0.25">
      <c r="A656" s="5">
        <v>43937</v>
      </c>
      <c r="B656">
        <v>4.9199999999999999E-3</v>
      </c>
      <c r="C656">
        <v>5.4200000000000003E-3</v>
      </c>
      <c r="D656">
        <v>4.81E-3</v>
      </c>
      <c r="E656">
        <v>5.2199999999999998E-3</v>
      </c>
      <c r="F656">
        <v>9159833</v>
      </c>
      <c r="G656">
        <v>0</v>
      </c>
      <c r="L656" t="s">
        <v>8</v>
      </c>
      <c r="M656" t="s">
        <v>7</v>
      </c>
      <c r="N656" t="s">
        <v>8</v>
      </c>
      <c r="P656">
        <f t="shared" si="994"/>
        <v>0.34426229508196582</v>
      </c>
      <c r="Q656">
        <f t="shared" si="995"/>
        <v>3153385.1311475281</v>
      </c>
      <c r="R656">
        <f t="shared" si="996"/>
        <v>50026090.662173688</v>
      </c>
      <c r="S656">
        <f t="shared" si="997"/>
        <v>500.26090662173686</v>
      </c>
      <c r="T656">
        <f t="shared" si="998"/>
        <v>0.50026090662173683</v>
      </c>
    </row>
    <row r="657" spans="1:20" x14ac:dyDescent="0.25">
      <c r="A657" s="5">
        <v>43936</v>
      </c>
      <c r="B657">
        <v>5.2199999999999998E-3</v>
      </c>
      <c r="C657">
        <v>5.28E-3</v>
      </c>
      <c r="D657">
        <v>4.8900000000000002E-3</v>
      </c>
      <c r="E657">
        <v>4.9199999999999999E-3</v>
      </c>
      <c r="F657">
        <v>5526703.4000000004</v>
      </c>
      <c r="G657">
        <v>0</v>
      </c>
      <c r="L657" t="s">
        <v>8</v>
      </c>
      <c r="M657" t="s">
        <v>7</v>
      </c>
      <c r="N657" t="s">
        <v>8</v>
      </c>
      <c r="P657">
        <f t="shared" si="994"/>
        <v>-0.84615384615384781</v>
      </c>
      <c r="Q657">
        <f t="shared" si="995"/>
        <v>-4676441.3384615481</v>
      </c>
      <c r="R657">
        <f t="shared" si="996"/>
        <v>46872705.531026162</v>
      </c>
      <c r="S657">
        <f t="shared" si="997"/>
        <v>468.72705531026162</v>
      </c>
      <c r="T657">
        <f t="shared" si="998"/>
        <v>0.4687270553102616</v>
      </c>
    </row>
    <row r="658" spans="1:20" x14ac:dyDescent="0.25">
      <c r="A658" s="5">
        <v>43935</v>
      </c>
      <c r="B658">
        <v>5.2700000000000004E-3</v>
      </c>
      <c r="C658">
        <v>5.5999999999999999E-3</v>
      </c>
      <c r="D658">
        <v>4.8700000000000002E-3</v>
      </c>
      <c r="E658">
        <v>5.2100000000000002E-3</v>
      </c>
      <c r="F658">
        <v>23224712.5</v>
      </c>
      <c r="G658">
        <v>0</v>
      </c>
      <c r="L658" t="s">
        <v>7</v>
      </c>
      <c r="M658" t="s">
        <v>7</v>
      </c>
      <c r="N658" t="s">
        <v>8</v>
      </c>
      <c r="P658">
        <f t="shared" si="994"/>
        <v>-6.8493150684931114E-2</v>
      </c>
      <c r="Q658">
        <f t="shared" si="995"/>
        <v>-1590733.7328767031</v>
      </c>
      <c r="R658">
        <f t="shared" si="996"/>
        <v>51549146.86948771</v>
      </c>
      <c r="S658">
        <f t="shared" si="997"/>
        <v>515.49146869487708</v>
      </c>
      <c r="T658">
        <f t="shared" si="998"/>
        <v>0.51549146869487705</v>
      </c>
    </row>
    <row r="659" spans="1:20" x14ac:dyDescent="0.25">
      <c r="A659" s="5">
        <v>43934</v>
      </c>
      <c r="B659">
        <v>5.3200000000000001E-3</v>
      </c>
      <c r="C659">
        <v>5.4000000000000003E-3</v>
      </c>
      <c r="D659">
        <v>5.0299999999999997E-3</v>
      </c>
      <c r="E659">
        <v>5.2399999999999999E-3</v>
      </c>
      <c r="F659">
        <v>14745089.9</v>
      </c>
      <c r="G659">
        <v>0</v>
      </c>
      <c r="L659" t="s">
        <v>7</v>
      </c>
      <c r="M659" t="s">
        <v>7</v>
      </c>
      <c r="N659" t="s">
        <v>8</v>
      </c>
      <c r="P659">
        <f t="shared" si="994"/>
        <v>0.13513513513513412</v>
      </c>
      <c r="Q659">
        <f t="shared" si="995"/>
        <v>1992579.7162162012</v>
      </c>
      <c r="R659">
        <f t="shared" si="996"/>
        <v>53139880.602364413</v>
      </c>
      <c r="S659">
        <f t="shared" si="997"/>
        <v>531.39880602364417</v>
      </c>
      <c r="T659">
        <f t="shared" si="998"/>
        <v>0.5313988060236442</v>
      </c>
    </row>
    <row r="660" spans="1:20" x14ac:dyDescent="0.25">
      <c r="A660" s="5">
        <v>43933</v>
      </c>
      <c r="B660">
        <v>5.2700000000000004E-3</v>
      </c>
      <c r="C660">
        <v>5.7400000000000003E-3</v>
      </c>
      <c r="D660">
        <v>5.1500000000000001E-3</v>
      </c>
      <c r="E660">
        <v>5.3400000000000001E-3</v>
      </c>
      <c r="F660">
        <v>16441207.5</v>
      </c>
      <c r="G660">
        <v>0</v>
      </c>
      <c r="L660" t="s">
        <v>8</v>
      </c>
      <c r="M660" t="s">
        <v>7</v>
      </c>
      <c r="N660" t="s">
        <v>8</v>
      </c>
      <c r="P660">
        <f t="shared" si="994"/>
        <v>-0.35593220338983056</v>
      </c>
      <c r="Q660">
        <f t="shared" si="995"/>
        <v>-5851955.2118644072</v>
      </c>
      <c r="R660">
        <f t="shared" si="996"/>
        <v>51147300.886148214</v>
      </c>
      <c r="S660">
        <f t="shared" si="997"/>
        <v>511.47300886148213</v>
      </c>
      <c r="T660">
        <f t="shared" si="998"/>
        <v>0.51147300886148217</v>
      </c>
    </row>
    <row r="661" spans="1:20" x14ac:dyDescent="0.25">
      <c r="A661" s="5">
        <v>43932</v>
      </c>
      <c r="B661">
        <v>5.4000000000000003E-3</v>
      </c>
      <c r="C661">
        <v>5.47E-3</v>
      </c>
      <c r="D661">
        <v>5.1200000000000004E-3</v>
      </c>
      <c r="E661">
        <v>5.2599999999999999E-3</v>
      </c>
      <c r="F661">
        <v>15355985.6</v>
      </c>
      <c r="G661">
        <v>0</v>
      </c>
      <c r="L661" t="s">
        <v>7</v>
      </c>
      <c r="M661" t="s">
        <v>7</v>
      </c>
      <c r="N661" t="s">
        <v>8</v>
      </c>
      <c r="P661">
        <f t="shared" si="994"/>
        <v>-0.20000000000000198</v>
      </c>
      <c r="Q661">
        <f t="shared" si="995"/>
        <v>-3071197.1200000304</v>
      </c>
      <c r="R661">
        <f t="shared" si="996"/>
        <v>56999256.098012619</v>
      </c>
      <c r="S661">
        <f t="shared" si="997"/>
        <v>569.9925609801262</v>
      </c>
      <c r="T661">
        <f t="shared" si="998"/>
        <v>0.56999256098012618</v>
      </c>
    </row>
    <row r="662" spans="1:20" x14ac:dyDescent="0.25">
      <c r="A662" s="5">
        <v>43931</v>
      </c>
      <c r="B662">
        <v>5.9899999999999997E-3</v>
      </c>
      <c r="C662">
        <v>6.1999999999999998E-3</v>
      </c>
      <c r="D662">
        <v>5.2500000000000003E-3</v>
      </c>
      <c r="E662">
        <v>5.3499999999999997E-3</v>
      </c>
      <c r="F662">
        <v>30065564.100000001</v>
      </c>
      <c r="G662">
        <v>0</v>
      </c>
      <c r="L662" t="s">
        <v>7</v>
      </c>
      <c r="M662" t="s">
        <v>7</v>
      </c>
      <c r="N662" t="s">
        <v>8</v>
      </c>
      <c r="P662">
        <f t="shared" si="994"/>
        <v>-0.78947368421052744</v>
      </c>
      <c r="Q662">
        <f t="shared" si="995"/>
        <v>-23735971.657894772</v>
      </c>
      <c r="R662">
        <f t="shared" si="996"/>
        <v>60070453.218012646</v>
      </c>
      <c r="S662">
        <f t="shared" si="997"/>
        <v>600.70453218012642</v>
      </c>
      <c r="T662">
        <f t="shared" si="998"/>
        <v>0.60070453218012643</v>
      </c>
    </row>
    <row r="663" spans="1:20" x14ac:dyDescent="0.25">
      <c r="A663" s="5">
        <v>43930</v>
      </c>
      <c r="B663">
        <v>5.8100000000000001E-3</v>
      </c>
      <c r="C663">
        <v>6.9699999999999996E-3</v>
      </c>
      <c r="D663">
        <v>5.77E-3</v>
      </c>
      <c r="E663">
        <v>5.9899999999999997E-3</v>
      </c>
      <c r="F663">
        <v>86195118.799999997</v>
      </c>
      <c r="G663">
        <v>0</v>
      </c>
      <c r="L663" t="s">
        <v>8</v>
      </c>
      <c r="M663" t="s">
        <v>8</v>
      </c>
      <c r="N663" t="s">
        <v>8</v>
      </c>
      <c r="P663">
        <f t="shared" si="994"/>
        <v>-0.63333333333333375</v>
      </c>
      <c r="Q663">
        <f t="shared" si="995"/>
        <v>-54590241.906666704</v>
      </c>
      <c r="R663">
        <f t="shared" si="996"/>
        <v>83806424.875907421</v>
      </c>
      <c r="S663">
        <f t="shared" si="997"/>
        <v>838.06424875907419</v>
      </c>
      <c r="T663">
        <f t="shared" si="998"/>
        <v>0.83806424875907415</v>
      </c>
    </row>
    <row r="664" spans="1:20" x14ac:dyDescent="0.25">
      <c r="A664" s="5">
        <v>43929</v>
      </c>
      <c r="B664">
        <v>5.5399999999999998E-3</v>
      </c>
      <c r="C664">
        <v>5.8999999999999999E-3</v>
      </c>
      <c r="D664">
        <v>5.4799999999999996E-3</v>
      </c>
      <c r="E664">
        <v>5.8100000000000001E-3</v>
      </c>
      <c r="F664">
        <v>7626385</v>
      </c>
      <c r="G664">
        <v>0</v>
      </c>
      <c r="L664" t="s">
        <v>7</v>
      </c>
      <c r="M664" t="s">
        <v>8</v>
      </c>
      <c r="N664" t="s">
        <v>8</v>
      </c>
      <c r="P664">
        <f t="shared" si="994"/>
        <v>0.57142857142857262</v>
      </c>
      <c r="Q664">
        <f t="shared" si="995"/>
        <v>4357934.2857142948</v>
      </c>
      <c r="R664">
        <f t="shared" si="996"/>
        <v>138396666.78257412</v>
      </c>
      <c r="S664">
        <f t="shared" si="997"/>
        <v>1383.9666678257411</v>
      </c>
      <c r="T664">
        <f t="shared" si="998"/>
        <v>1.383966667825741</v>
      </c>
    </row>
    <row r="665" spans="1:20" x14ac:dyDescent="0.25">
      <c r="A665" s="5">
        <v>43928</v>
      </c>
      <c r="B665">
        <v>5.5100000000000001E-3</v>
      </c>
      <c r="C665">
        <v>6.1000000000000004E-3</v>
      </c>
      <c r="D665">
        <v>5.4000000000000003E-3</v>
      </c>
      <c r="E665">
        <v>5.5300000000000002E-3</v>
      </c>
      <c r="F665">
        <v>26856822.300000001</v>
      </c>
      <c r="G665">
        <v>0</v>
      </c>
      <c r="L665" t="s">
        <v>8</v>
      </c>
      <c r="M665" t="s">
        <v>8</v>
      </c>
      <c r="N665" t="s">
        <v>8</v>
      </c>
      <c r="P665">
        <f t="shared" si="994"/>
        <v>-0.62857142857142889</v>
      </c>
      <c r="Q665">
        <f t="shared" si="995"/>
        <v>-16881431.160000008</v>
      </c>
      <c r="R665">
        <f t="shared" si="996"/>
        <v>134038732.49685983</v>
      </c>
      <c r="S665">
        <f t="shared" si="997"/>
        <v>1340.3873249685983</v>
      </c>
      <c r="T665">
        <f t="shared" si="998"/>
        <v>1.3403873249685982</v>
      </c>
    </row>
    <row r="666" spans="1:20" x14ac:dyDescent="0.25">
      <c r="A666" s="5">
        <v>43927</v>
      </c>
      <c r="B666">
        <v>5.3200000000000001E-3</v>
      </c>
      <c r="C666">
        <v>5.5999999999999999E-3</v>
      </c>
      <c r="D666">
        <v>5.2900000000000004E-3</v>
      </c>
      <c r="E666">
        <v>5.5399999999999998E-3</v>
      </c>
      <c r="F666">
        <v>15623768.1</v>
      </c>
      <c r="G666">
        <v>0</v>
      </c>
      <c r="L666" t="s">
        <v>8</v>
      </c>
      <c r="M666" t="s">
        <v>8</v>
      </c>
      <c r="N666" t="s">
        <v>7</v>
      </c>
      <c r="P666">
        <f t="shared" si="994"/>
        <v>0.61290322580644996</v>
      </c>
      <c r="Q666">
        <f t="shared" si="995"/>
        <v>9575857.8677419089</v>
      </c>
      <c r="R666">
        <f t="shared" si="996"/>
        <v>150920163.65685984</v>
      </c>
      <c r="S666">
        <f t="shared" si="997"/>
        <v>1509.2016365685984</v>
      </c>
      <c r="T666">
        <f t="shared" si="998"/>
        <v>1.5092016365685983</v>
      </c>
    </row>
    <row r="667" spans="1:20" x14ac:dyDescent="0.25">
      <c r="A667" s="5">
        <v>43926</v>
      </c>
      <c r="B667">
        <v>5.2900000000000004E-3</v>
      </c>
      <c r="C667">
        <v>5.6499999999999996E-3</v>
      </c>
      <c r="D667">
        <v>5.1799999999999997E-3</v>
      </c>
      <c r="E667">
        <v>5.2900000000000004E-3</v>
      </c>
      <c r="F667">
        <v>17202543.300000001</v>
      </c>
      <c r="G667">
        <v>0</v>
      </c>
      <c r="L667" t="s">
        <v>8</v>
      </c>
      <c r="M667" t="s">
        <v>8</v>
      </c>
      <c r="N667" t="s">
        <v>7</v>
      </c>
      <c r="P667">
        <f t="shared" si="994"/>
        <v>-0.53191489361701816</v>
      </c>
      <c r="Q667">
        <f t="shared" si="995"/>
        <v>-9150288.9893616494</v>
      </c>
      <c r="R667">
        <f t="shared" si="996"/>
        <v>141344305.78911793</v>
      </c>
      <c r="S667">
        <f t="shared" si="997"/>
        <v>1413.4430578911793</v>
      </c>
      <c r="T667">
        <f t="shared" si="998"/>
        <v>1.4134430578911792</v>
      </c>
    </row>
    <row r="668" spans="1:20" x14ac:dyDescent="0.25">
      <c r="A668" s="5">
        <v>43925</v>
      </c>
      <c r="B668">
        <v>5.2100000000000002E-3</v>
      </c>
      <c r="C668">
        <v>5.4000000000000003E-3</v>
      </c>
      <c r="D668">
        <v>5.0699999999999999E-3</v>
      </c>
      <c r="E668">
        <v>5.2399999999999999E-3</v>
      </c>
      <c r="F668">
        <v>9729053.4000000004</v>
      </c>
      <c r="G668">
        <v>0</v>
      </c>
      <c r="L668" t="s">
        <v>8</v>
      </c>
      <c r="M668" t="s">
        <v>8</v>
      </c>
      <c r="N668" t="s">
        <v>7</v>
      </c>
      <c r="P668">
        <f t="shared" si="994"/>
        <v>3.0303030303029027E-2</v>
      </c>
      <c r="Q668">
        <f t="shared" si="995"/>
        <v>294819.79999998759</v>
      </c>
      <c r="R668">
        <f t="shared" si="996"/>
        <v>150494594.77847958</v>
      </c>
      <c r="S668">
        <f t="shared" si="997"/>
        <v>1504.9459477847959</v>
      </c>
      <c r="T668">
        <f t="shared" si="998"/>
        <v>1.504945947784796</v>
      </c>
    </row>
    <row r="669" spans="1:20" x14ac:dyDescent="0.25">
      <c r="A669" s="5">
        <v>43924</v>
      </c>
      <c r="B669">
        <v>5.3600000000000002E-3</v>
      </c>
      <c r="C669">
        <v>5.4400000000000004E-3</v>
      </c>
      <c r="D669">
        <v>5.0400000000000002E-3</v>
      </c>
      <c r="E669">
        <v>5.1900000000000002E-3</v>
      </c>
      <c r="F669">
        <v>26474875.100000001</v>
      </c>
      <c r="G669">
        <v>0</v>
      </c>
      <c r="L669" t="s">
        <v>7</v>
      </c>
      <c r="M669" t="s">
        <v>8</v>
      </c>
      <c r="N669" t="s">
        <v>7</v>
      </c>
      <c r="P669">
        <f t="shared" si="994"/>
        <v>-0.25000000000000056</v>
      </c>
      <c r="Q669">
        <f t="shared" si="995"/>
        <v>-6618718.7750000153</v>
      </c>
      <c r="R669">
        <f t="shared" si="996"/>
        <v>150199774.97847959</v>
      </c>
      <c r="S669">
        <f t="shared" si="997"/>
        <v>1501.997749784796</v>
      </c>
      <c r="T669">
        <f t="shared" si="998"/>
        <v>1.5019977497847961</v>
      </c>
    </row>
    <row r="670" spans="1:20" x14ac:dyDescent="0.25">
      <c r="A670" s="5">
        <v>43923</v>
      </c>
      <c r="B670">
        <v>5.0800000000000003E-3</v>
      </c>
      <c r="C670">
        <v>5.7200000000000003E-3</v>
      </c>
      <c r="D670">
        <v>4.96E-3</v>
      </c>
      <c r="E670">
        <v>5.3E-3</v>
      </c>
      <c r="F670">
        <v>40705132.100000001</v>
      </c>
      <c r="G670">
        <v>0</v>
      </c>
      <c r="L670" t="s">
        <v>8</v>
      </c>
      <c r="M670" t="s">
        <v>8</v>
      </c>
      <c r="N670" t="s">
        <v>7</v>
      </c>
      <c r="P670">
        <f t="shared" si="994"/>
        <v>-0.10526315789473709</v>
      </c>
      <c r="Q670">
        <f t="shared" si="995"/>
        <v>-4284750.7473684307</v>
      </c>
      <c r="R670">
        <f t="shared" si="996"/>
        <v>156818493.7534796</v>
      </c>
      <c r="S670">
        <f t="shared" si="997"/>
        <v>1568.1849375347961</v>
      </c>
      <c r="T670">
        <f t="shared" si="998"/>
        <v>1.568184937534796</v>
      </c>
    </row>
    <row r="671" spans="1:20" x14ac:dyDescent="0.25">
      <c r="A671" s="5">
        <v>43922</v>
      </c>
      <c r="B671">
        <v>4.9100000000000003E-3</v>
      </c>
      <c r="C671">
        <v>5.4799999999999996E-3</v>
      </c>
      <c r="D671">
        <v>4.6699999999999997E-3</v>
      </c>
      <c r="E671">
        <v>5.0800000000000003E-3</v>
      </c>
      <c r="F671">
        <v>27756027.600000001</v>
      </c>
      <c r="G671">
        <v>0</v>
      </c>
      <c r="L671" t="s">
        <v>8</v>
      </c>
      <c r="M671" t="s">
        <v>8</v>
      </c>
      <c r="N671" t="s">
        <v>7</v>
      </c>
      <c r="P671">
        <f t="shared" si="994"/>
        <v>1.2345679012347318E-2</v>
      </c>
      <c r="Q671">
        <f t="shared" si="995"/>
        <v>342667.00740745291</v>
      </c>
      <c r="R671">
        <f t="shared" si="996"/>
        <v>161103244.50084803</v>
      </c>
      <c r="S671">
        <f t="shared" si="997"/>
        <v>1611.0324450084802</v>
      </c>
      <c r="T671">
        <f t="shared" si="998"/>
        <v>1.6110324450084801</v>
      </c>
    </row>
    <row r="672" spans="1:20" x14ac:dyDescent="0.25">
      <c r="A672" s="5">
        <v>43921</v>
      </c>
      <c r="B672">
        <v>4.7999999999999996E-3</v>
      </c>
      <c r="C672">
        <v>4.9699999999999996E-3</v>
      </c>
      <c r="D672">
        <v>4.7999999999999996E-3</v>
      </c>
      <c r="E672">
        <v>4.8799999999999998E-3</v>
      </c>
      <c r="F672">
        <v>3731058.8</v>
      </c>
      <c r="G672">
        <v>0</v>
      </c>
      <c r="L672" t="s">
        <v>8</v>
      </c>
      <c r="M672" t="s">
        <v>7</v>
      </c>
      <c r="N672" t="s">
        <v>7</v>
      </c>
      <c r="P672">
        <f t="shared" si="994"/>
        <v>-5.8823529411762304E-2</v>
      </c>
      <c r="Q672">
        <f t="shared" si="995"/>
        <v>-219474.04705881455</v>
      </c>
      <c r="R672">
        <f t="shared" si="996"/>
        <v>160760577.49344057</v>
      </c>
      <c r="S672">
        <f t="shared" si="997"/>
        <v>1607.6057749344056</v>
      </c>
      <c r="T672">
        <f t="shared" si="998"/>
        <v>1.6076057749344057</v>
      </c>
    </row>
    <row r="673" spans="1:20" x14ac:dyDescent="0.25">
      <c r="A673" s="5">
        <v>43920</v>
      </c>
      <c r="B673">
        <v>4.3600000000000002E-3</v>
      </c>
      <c r="C673">
        <v>4.9500000000000004E-3</v>
      </c>
      <c r="D673">
        <v>4.3499999999999997E-3</v>
      </c>
      <c r="E673">
        <v>4.7499999999999999E-3</v>
      </c>
      <c r="F673">
        <v>15000425.199999999</v>
      </c>
      <c r="G673">
        <v>0</v>
      </c>
      <c r="L673" t="s">
        <v>8</v>
      </c>
      <c r="M673" t="s">
        <v>7</v>
      </c>
      <c r="N673" t="s">
        <v>7</v>
      </c>
      <c r="P673">
        <f t="shared" si="994"/>
        <v>0.33333333333333237</v>
      </c>
      <c r="Q673">
        <f t="shared" si="995"/>
        <v>5000141.7333333185</v>
      </c>
      <c r="R673">
        <f t="shared" si="996"/>
        <v>160980051.54049939</v>
      </c>
      <c r="S673">
        <f t="shared" si="997"/>
        <v>1609.8005154049938</v>
      </c>
      <c r="T673">
        <f t="shared" si="998"/>
        <v>1.6098005154049937</v>
      </c>
    </row>
    <row r="674" spans="1:20" x14ac:dyDescent="0.25">
      <c r="A674" s="5">
        <v>43919</v>
      </c>
      <c r="B674">
        <v>4.8700000000000002E-3</v>
      </c>
      <c r="C674">
        <v>4.8999999999999998E-3</v>
      </c>
      <c r="D674">
        <v>4.3099999999999996E-3</v>
      </c>
      <c r="E674">
        <v>4.3800000000000002E-3</v>
      </c>
      <c r="F674">
        <v>12238419.800000001</v>
      </c>
      <c r="G674">
        <v>0</v>
      </c>
      <c r="L674" t="s">
        <v>7</v>
      </c>
      <c r="M674" t="s">
        <v>7</v>
      </c>
      <c r="N674" t="s">
        <v>7</v>
      </c>
      <c r="P674">
        <f t="shared" si="994"/>
        <v>-0.76271186440677763</v>
      </c>
      <c r="Q674">
        <f t="shared" si="995"/>
        <v>-9334387.9830508232</v>
      </c>
      <c r="R674">
        <f t="shared" si="996"/>
        <v>155979909.80716607</v>
      </c>
      <c r="S674">
        <f t="shared" si="997"/>
        <v>1559.7990980716606</v>
      </c>
      <c r="T674">
        <f t="shared" si="998"/>
        <v>1.5597990980716607</v>
      </c>
    </row>
    <row r="675" spans="1:20" x14ac:dyDescent="0.25">
      <c r="A675" s="5">
        <v>43918</v>
      </c>
      <c r="B675">
        <v>4.7099999999999998E-3</v>
      </c>
      <c r="C675">
        <v>4.8799999999999998E-3</v>
      </c>
      <c r="D675">
        <v>4.5100000000000001E-3</v>
      </c>
      <c r="E675">
        <v>4.8300000000000001E-3</v>
      </c>
      <c r="F675">
        <v>7361914</v>
      </c>
      <c r="G675">
        <v>0</v>
      </c>
      <c r="L675" t="s">
        <v>7</v>
      </c>
      <c r="M675" t="s">
        <v>7</v>
      </c>
      <c r="N675" t="s">
        <v>7</v>
      </c>
      <c r="P675">
        <f t="shared" si="994"/>
        <v>0.72972972972973116</v>
      </c>
      <c r="Q675">
        <f t="shared" si="995"/>
        <v>5372207.5135135241</v>
      </c>
      <c r="R675">
        <f t="shared" si="996"/>
        <v>165314297.79021689</v>
      </c>
      <c r="S675">
        <f t="shared" si="997"/>
        <v>1653.1429779021689</v>
      </c>
      <c r="T675">
        <f t="shared" si="998"/>
        <v>1.6531429779021689</v>
      </c>
    </row>
    <row r="676" spans="1:20" x14ac:dyDescent="0.25">
      <c r="A676" s="5">
        <v>43917</v>
      </c>
      <c r="B676">
        <v>5.0299999999999997E-3</v>
      </c>
      <c r="C676">
        <v>5.1000000000000004E-3</v>
      </c>
      <c r="D676">
        <v>4.6899999999999997E-3</v>
      </c>
      <c r="E676">
        <v>4.7099999999999998E-3</v>
      </c>
      <c r="F676">
        <v>9405075.5</v>
      </c>
      <c r="G676">
        <v>0</v>
      </c>
      <c r="L676" t="s">
        <v>7</v>
      </c>
      <c r="M676" t="s">
        <v>7</v>
      </c>
      <c r="N676" t="s">
        <v>7</v>
      </c>
      <c r="P676">
        <f t="shared" si="994"/>
        <v>-0.90243902439024382</v>
      </c>
      <c r="Q676">
        <f t="shared" si="995"/>
        <v>-8487507.158536585</v>
      </c>
      <c r="R676">
        <f t="shared" si="996"/>
        <v>159942090.27670336</v>
      </c>
      <c r="S676">
        <f t="shared" si="997"/>
        <v>1599.4209027670336</v>
      </c>
      <c r="T676">
        <f t="shared" si="998"/>
        <v>1.5994209027670336</v>
      </c>
    </row>
    <row r="677" spans="1:20" x14ac:dyDescent="0.25">
      <c r="A677" s="5">
        <v>43916</v>
      </c>
      <c r="B677">
        <v>5.1599999999999997E-3</v>
      </c>
      <c r="C677">
        <v>5.1999999999999998E-3</v>
      </c>
      <c r="D677">
        <v>4.8199999999999996E-3</v>
      </c>
      <c r="E677">
        <v>5.0600000000000003E-3</v>
      </c>
      <c r="F677">
        <v>6725713.9000000004</v>
      </c>
      <c r="G677">
        <v>0</v>
      </c>
      <c r="L677" t="s">
        <v>7</v>
      </c>
      <c r="M677" t="s">
        <v>7</v>
      </c>
      <c r="N677" t="s">
        <v>7</v>
      </c>
      <c r="P677">
        <f t="shared" si="994"/>
        <v>0.26315789473684498</v>
      </c>
      <c r="Q677">
        <f t="shared" si="995"/>
        <v>1769924.7105263353</v>
      </c>
      <c r="R677">
        <f t="shared" si="996"/>
        <v>168429597.43523994</v>
      </c>
      <c r="S677">
        <f t="shared" si="997"/>
        <v>1684.2959743523993</v>
      </c>
      <c r="T677">
        <f t="shared" si="998"/>
        <v>1.6842959743523993</v>
      </c>
    </row>
    <row r="678" spans="1:20" x14ac:dyDescent="0.25">
      <c r="A678" s="5">
        <v>43915</v>
      </c>
      <c r="B678">
        <v>4.9399999999999999E-3</v>
      </c>
      <c r="C678">
        <v>5.28E-3</v>
      </c>
      <c r="D678">
        <v>4.7499999999999999E-3</v>
      </c>
      <c r="E678">
        <v>5.11E-3</v>
      </c>
      <c r="F678">
        <v>7435090.9000000004</v>
      </c>
      <c r="G678">
        <v>0</v>
      </c>
      <c r="L678" t="s">
        <v>8</v>
      </c>
      <c r="M678" t="s">
        <v>7</v>
      </c>
      <c r="N678" t="s">
        <v>7</v>
      </c>
      <c r="P678">
        <f t="shared" si="994"/>
        <v>0.35849056603773594</v>
      </c>
      <c r="Q678">
        <f t="shared" si="995"/>
        <v>2665409.9452830194</v>
      </c>
      <c r="R678">
        <f t="shared" si="996"/>
        <v>166659672.72471359</v>
      </c>
      <c r="S678">
        <f t="shared" si="997"/>
        <v>1666.596727247136</v>
      </c>
      <c r="T678">
        <f t="shared" si="998"/>
        <v>1.666596727247136</v>
      </c>
    </row>
    <row r="679" spans="1:20" x14ac:dyDescent="0.25">
      <c r="A679" s="5">
        <v>43914</v>
      </c>
      <c r="B679">
        <v>5.0400000000000002E-3</v>
      </c>
      <c r="C679">
        <v>5.1900000000000002E-3</v>
      </c>
      <c r="D679">
        <v>4.79E-3</v>
      </c>
      <c r="E679">
        <v>4.9500000000000004E-3</v>
      </c>
      <c r="F679">
        <v>13962574.1</v>
      </c>
      <c r="G679">
        <v>0</v>
      </c>
      <c r="L679" t="s">
        <v>8</v>
      </c>
      <c r="M679" t="s">
        <v>7</v>
      </c>
      <c r="N679" t="s">
        <v>7</v>
      </c>
      <c r="P679">
        <f t="shared" si="994"/>
        <v>-0.19999999999999826</v>
      </c>
      <c r="Q679">
        <f t="shared" si="995"/>
        <v>-2792514.8199999756</v>
      </c>
      <c r="R679">
        <f t="shared" si="996"/>
        <v>163994262.77943057</v>
      </c>
      <c r="S679">
        <f t="shared" si="997"/>
        <v>1639.9426277943057</v>
      </c>
      <c r="T679">
        <f t="shared" si="998"/>
        <v>1.6399426277943057</v>
      </c>
    </row>
    <row r="680" spans="1:20" x14ac:dyDescent="0.25">
      <c r="A680" s="5">
        <v>43913</v>
      </c>
      <c r="B680">
        <v>4.5300000000000002E-3</v>
      </c>
      <c r="C680">
        <v>5.1200000000000004E-3</v>
      </c>
      <c r="D680">
        <v>4.45E-3</v>
      </c>
      <c r="E680">
        <v>5.0499999999999998E-3</v>
      </c>
      <c r="F680">
        <v>10717071</v>
      </c>
      <c r="G680">
        <v>0</v>
      </c>
      <c r="L680" t="s">
        <v>7</v>
      </c>
      <c r="M680" t="s">
        <v>7</v>
      </c>
      <c r="N680" t="s">
        <v>7</v>
      </c>
      <c r="P680">
        <f t="shared" si="994"/>
        <v>0.79104477611940127</v>
      </c>
      <c r="Q680">
        <f t="shared" si="995"/>
        <v>8477683.0298507288</v>
      </c>
      <c r="R680">
        <f t="shared" si="996"/>
        <v>166786777.59943053</v>
      </c>
      <c r="S680">
        <f t="shared" si="997"/>
        <v>1667.8677759943052</v>
      </c>
      <c r="T680">
        <f t="shared" si="998"/>
        <v>1.6678677759943052</v>
      </c>
    </row>
    <row r="681" spans="1:20" x14ac:dyDescent="0.25">
      <c r="A681" s="5">
        <v>43912</v>
      </c>
      <c r="B681">
        <v>4.8999999999999998E-3</v>
      </c>
      <c r="C681">
        <v>5.2900000000000004E-3</v>
      </c>
      <c r="D681">
        <v>4.5399999999999998E-3</v>
      </c>
      <c r="E681">
        <v>4.5900000000000003E-3</v>
      </c>
      <c r="F681">
        <v>7942694.7000000002</v>
      </c>
      <c r="G681">
        <v>0</v>
      </c>
      <c r="L681" t="s">
        <v>7</v>
      </c>
      <c r="M681" t="s">
        <v>7</v>
      </c>
      <c r="N681" t="s">
        <v>7</v>
      </c>
      <c r="P681">
        <f t="shared" si="994"/>
        <v>-0.86666666666666525</v>
      </c>
      <c r="Q681">
        <f t="shared" si="995"/>
        <v>-6883668.739999989</v>
      </c>
      <c r="R681">
        <f t="shared" si="996"/>
        <v>158309094.56957981</v>
      </c>
      <c r="S681">
        <f t="shared" si="997"/>
        <v>1583.0909456957982</v>
      </c>
      <c r="T681">
        <f t="shared" si="998"/>
        <v>1.5830909456957982</v>
      </c>
    </row>
    <row r="682" spans="1:20" x14ac:dyDescent="0.25">
      <c r="A682" s="5">
        <v>43911</v>
      </c>
      <c r="B682">
        <v>5.0000000000000001E-3</v>
      </c>
      <c r="C682">
        <v>5.1599999999999997E-3</v>
      </c>
      <c r="D682">
        <v>4.7400000000000003E-3</v>
      </c>
      <c r="E682">
        <v>4.96E-3</v>
      </c>
      <c r="F682">
        <v>11896777.699999999</v>
      </c>
      <c r="G682">
        <v>0</v>
      </c>
      <c r="L682" t="s">
        <v>7</v>
      </c>
      <c r="M682" t="s">
        <v>7</v>
      </c>
      <c r="N682" t="s">
        <v>7</v>
      </c>
      <c r="P682">
        <f t="shared" si="994"/>
        <v>4.7619047619047818E-2</v>
      </c>
      <c r="Q682">
        <f t="shared" si="995"/>
        <v>566513.22380952619</v>
      </c>
      <c r="R682">
        <f t="shared" si="996"/>
        <v>165192763.30957979</v>
      </c>
      <c r="S682">
        <f t="shared" si="997"/>
        <v>1651.927633095798</v>
      </c>
      <c r="T682">
        <f t="shared" si="998"/>
        <v>1.6519276330957979</v>
      </c>
    </row>
    <row r="683" spans="1:20" x14ac:dyDescent="0.25">
      <c r="A683" s="5">
        <v>43910</v>
      </c>
      <c r="B683">
        <v>5.28E-3</v>
      </c>
      <c r="C683">
        <v>5.7200000000000003E-3</v>
      </c>
      <c r="D683">
        <v>4.4999999999999997E-3</v>
      </c>
      <c r="E683">
        <v>5.0000000000000001E-3</v>
      </c>
      <c r="F683">
        <v>23157315.199999999</v>
      </c>
      <c r="G683">
        <v>0</v>
      </c>
      <c r="L683" t="s">
        <v>8</v>
      </c>
      <c r="M683" t="s">
        <v>8</v>
      </c>
      <c r="N683" t="s">
        <v>7</v>
      </c>
      <c r="P683">
        <f t="shared" si="994"/>
        <v>-0.18032786885245869</v>
      </c>
      <c r="Q683">
        <f t="shared" si="995"/>
        <v>-4175909.2983606481</v>
      </c>
      <c r="R683">
        <f t="shared" si="996"/>
        <v>164626250.08577025</v>
      </c>
      <c r="S683">
        <f t="shared" si="997"/>
        <v>1646.2625008577024</v>
      </c>
      <c r="T683">
        <f t="shared" si="998"/>
        <v>1.6462625008577025</v>
      </c>
    </row>
    <row r="684" spans="1:20" x14ac:dyDescent="0.25">
      <c r="A684" s="5">
        <v>43909</v>
      </c>
      <c r="B684">
        <v>4.6100000000000004E-3</v>
      </c>
      <c r="C684">
        <v>5.5199999999999997E-3</v>
      </c>
      <c r="D684">
        <v>4.5300000000000002E-3</v>
      </c>
      <c r="E684">
        <v>5.2300000000000003E-3</v>
      </c>
      <c r="F684">
        <v>20369687.899999999</v>
      </c>
      <c r="G684">
        <v>0</v>
      </c>
      <c r="L684" t="s">
        <v>8</v>
      </c>
      <c r="M684" t="s">
        <v>8</v>
      </c>
      <c r="N684" t="s">
        <v>7</v>
      </c>
      <c r="P684">
        <f t="shared" si="994"/>
        <v>0.41414141414141498</v>
      </c>
      <c r="Q684">
        <f t="shared" si="995"/>
        <v>8435931.3525252696</v>
      </c>
      <c r="R684">
        <f t="shared" si="996"/>
        <v>168802159.3841309</v>
      </c>
      <c r="S684">
        <f t="shared" si="997"/>
        <v>1688.0215938413089</v>
      </c>
      <c r="T684">
        <f t="shared" si="998"/>
        <v>1.688021593841309</v>
      </c>
    </row>
    <row r="685" spans="1:20" x14ac:dyDescent="0.25">
      <c r="A685" s="5">
        <v>43908</v>
      </c>
      <c r="B685">
        <v>4.7999999999999996E-3</v>
      </c>
      <c r="C685">
        <v>4.8900000000000002E-3</v>
      </c>
      <c r="D685">
        <v>4.3E-3</v>
      </c>
      <c r="E685">
        <v>4.6100000000000004E-3</v>
      </c>
      <c r="F685">
        <v>17669320.300000001</v>
      </c>
      <c r="G685">
        <v>0</v>
      </c>
      <c r="L685" t="s">
        <v>7</v>
      </c>
      <c r="M685" t="s">
        <v>7</v>
      </c>
      <c r="N685" t="s">
        <v>7</v>
      </c>
      <c r="P685">
        <f t="shared" si="994"/>
        <v>5.0847457627119494E-2</v>
      </c>
      <c r="Q685">
        <f t="shared" si="995"/>
        <v>898440.01525425236</v>
      </c>
      <c r="R685">
        <f t="shared" si="996"/>
        <v>160366228.03160563</v>
      </c>
      <c r="S685">
        <f t="shared" si="997"/>
        <v>1603.6622803160562</v>
      </c>
      <c r="T685">
        <f t="shared" si="998"/>
        <v>1.6036622803160563</v>
      </c>
    </row>
    <row r="686" spans="1:20" x14ac:dyDescent="0.25">
      <c r="A686" s="5">
        <v>43907</v>
      </c>
      <c r="B686">
        <v>4.4999999999999997E-3</v>
      </c>
      <c r="C686">
        <v>5.5199999999999997E-3</v>
      </c>
      <c r="D686">
        <v>4.3899999999999998E-3</v>
      </c>
      <c r="E686">
        <v>4.81E-3</v>
      </c>
      <c r="F686">
        <v>13728382.1</v>
      </c>
      <c r="G686">
        <v>0</v>
      </c>
      <c r="L686" t="s">
        <v>8</v>
      </c>
      <c r="M686" t="s">
        <v>8</v>
      </c>
      <c r="N686" t="s">
        <v>7</v>
      </c>
      <c r="P686">
        <f t="shared" si="994"/>
        <v>-0.25663716814159243</v>
      </c>
      <c r="Q686">
        <f t="shared" si="995"/>
        <v>-3523213.1053097276</v>
      </c>
      <c r="R686">
        <f t="shared" si="996"/>
        <v>159467788.01635137</v>
      </c>
      <c r="S686">
        <f t="shared" si="997"/>
        <v>1594.6778801635137</v>
      </c>
      <c r="T686">
        <f t="shared" si="998"/>
        <v>1.5946778801635138</v>
      </c>
    </row>
    <row r="687" spans="1:20" x14ac:dyDescent="0.25">
      <c r="A687" s="5">
        <v>43906</v>
      </c>
      <c r="B687">
        <v>5.5900000000000004E-3</v>
      </c>
      <c r="C687">
        <v>5.5999999999999999E-3</v>
      </c>
      <c r="D687">
        <v>4.1799999999999997E-3</v>
      </c>
      <c r="E687">
        <v>4.4900000000000001E-3</v>
      </c>
      <c r="F687">
        <v>13255535.300000001</v>
      </c>
      <c r="G687">
        <v>0</v>
      </c>
      <c r="L687" t="s">
        <v>7</v>
      </c>
      <c r="M687" t="s">
        <v>7</v>
      </c>
      <c r="N687" t="s">
        <v>7</v>
      </c>
      <c r="P687">
        <f t="shared" si="994"/>
        <v>-0.56338028169014043</v>
      </c>
      <c r="Q687">
        <f t="shared" si="995"/>
        <v>-7467907.2112676008</v>
      </c>
      <c r="R687">
        <f t="shared" si="996"/>
        <v>162991001.1216611</v>
      </c>
      <c r="S687">
        <f t="shared" si="997"/>
        <v>1629.9100112166109</v>
      </c>
      <c r="T687">
        <f t="shared" si="998"/>
        <v>1.6299100112166109</v>
      </c>
    </row>
    <row r="688" spans="1:20" x14ac:dyDescent="0.25">
      <c r="A688" s="5">
        <v>43905</v>
      </c>
      <c r="B688">
        <v>5.4200000000000003E-3</v>
      </c>
      <c r="C688">
        <v>5.9899999999999997E-3</v>
      </c>
      <c r="D688">
        <v>5.1700000000000001E-3</v>
      </c>
      <c r="E688">
        <v>5.5799999999999999E-3</v>
      </c>
      <c r="F688">
        <v>16325561.800000001</v>
      </c>
      <c r="G688">
        <v>0</v>
      </c>
      <c r="L688" t="s">
        <v>7</v>
      </c>
      <c r="M688" t="s">
        <v>8</v>
      </c>
      <c r="N688" t="s">
        <v>8</v>
      </c>
      <c r="P688">
        <f t="shared" si="994"/>
        <v>0</v>
      </c>
      <c r="Q688">
        <f t="shared" si="995"/>
        <v>0</v>
      </c>
      <c r="R688">
        <f t="shared" si="996"/>
        <v>170458908.33292869</v>
      </c>
      <c r="S688">
        <f t="shared" si="997"/>
        <v>1704.589083329287</v>
      </c>
      <c r="T688">
        <f t="shared" si="998"/>
        <v>1.7045890833292869</v>
      </c>
    </row>
    <row r="689" spans="1:20" x14ac:dyDescent="0.25">
      <c r="A689" s="5">
        <v>43904</v>
      </c>
      <c r="B689">
        <v>6.1199999999999996E-3</v>
      </c>
      <c r="C689">
        <v>6.1900000000000002E-3</v>
      </c>
      <c r="D689">
        <v>5.4000000000000003E-3</v>
      </c>
      <c r="E689">
        <v>5.4999999999999997E-3</v>
      </c>
      <c r="F689">
        <v>6659703.2999999998</v>
      </c>
      <c r="G689">
        <v>0</v>
      </c>
      <c r="L689" t="s">
        <v>8</v>
      </c>
      <c r="M689" t="s">
        <v>8</v>
      </c>
      <c r="N689" t="s">
        <v>8</v>
      </c>
      <c r="P689">
        <f t="shared" si="994"/>
        <v>-0.74683544303797622</v>
      </c>
      <c r="Q689">
        <f t="shared" si="995"/>
        <v>-4973702.4645569725</v>
      </c>
      <c r="R689">
        <f t="shared" si="996"/>
        <v>170458908.33292869</v>
      </c>
      <c r="S689">
        <f t="shared" si="997"/>
        <v>1704.589083329287</v>
      </c>
      <c r="T689">
        <f t="shared" si="998"/>
        <v>1.7045890833292869</v>
      </c>
    </row>
    <row r="690" spans="1:20" x14ac:dyDescent="0.25">
      <c r="A690" s="5">
        <v>43903</v>
      </c>
      <c r="B690">
        <v>4.8599999999999997E-3</v>
      </c>
      <c r="C690">
        <v>6.6E-3</v>
      </c>
      <c r="D690">
        <v>3.4199999999999999E-3</v>
      </c>
      <c r="E690">
        <v>6.1199999999999996E-3</v>
      </c>
      <c r="F690">
        <v>34602649.399999999</v>
      </c>
      <c r="G690">
        <v>0</v>
      </c>
      <c r="L690" t="s">
        <v>7</v>
      </c>
      <c r="M690" t="s">
        <v>7</v>
      </c>
      <c r="N690" t="s">
        <v>7</v>
      </c>
      <c r="P690">
        <f t="shared" si="994"/>
        <v>0.69811320754716955</v>
      </c>
      <c r="Q690">
        <f t="shared" si="995"/>
        <v>24156566.562264141</v>
      </c>
      <c r="R690">
        <f t="shared" si="996"/>
        <v>175432610.79748565</v>
      </c>
      <c r="S690">
        <f t="shared" si="997"/>
        <v>1754.3261079748565</v>
      </c>
      <c r="T690">
        <f t="shared" si="998"/>
        <v>1.7543261079748564</v>
      </c>
    </row>
    <row r="691" spans="1:20" x14ac:dyDescent="0.25">
      <c r="A691" s="5">
        <v>43902</v>
      </c>
      <c r="B691">
        <v>1.048E-2</v>
      </c>
      <c r="C691">
        <v>1.048E-2</v>
      </c>
      <c r="D691">
        <v>4.3E-3</v>
      </c>
      <c r="E691">
        <v>4.7999999999999996E-3</v>
      </c>
      <c r="F691">
        <v>76623939.900000006</v>
      </c>
      <c r="G691">
        <v>0</v>
      </c>
      <c r="L691" t="s">
        <v>7</v>
      </c>
      <c r="M691" t="s">
        <v>7</v>
      </c>
      <c r="N691" t="s">
        <v>7</v>
      </c>
      <c r="P691">
        <f t="shared" si="994"/>
        <v>-0.83818770226537231</v>
      </c>
      <c r="Q691">
        <f t="shared" si="995"/>
        <v>-64225244.123300985</v>
      </c>
      <c r="R691">
        <f t="shared" si="996"/>
        <v>151276044.23522151</v>
      </c>
      <c r="S691">
        <f t="shared" si="997"/>
        <v>1512.760442352215</v>
      </c>
      <c r="T691">
        <f t="shared" si="998"/>
        <v>1.512760442352215</v>
      </c>
    </row>
    <row r="692" spans="1:20" x14ac:dyDescent="0.25">
      <c r="A692" s="5">
        <v>43901</v>
      </c>
      <c r="B692">
        <v>1.064E-2</v>
      </c>
      <c r="C692">
        <v>1.1520000000000001E-2</v>
      </c>
      <c r="D692">
        <v>8.3800000000000003E-3</v>
      </c>
      <c r="E692">
        <v>1.047E-2</v>
      </c>
      <c r="F692">
        <v>287088492.19999999</v>
      </c>
      <c r="G692">
        <v>0</v>
      </c>
      <c r="L692" t="s">
        <v>8</v>
      </c>
      <c r="M692" t="s">
        <v>8</v>
      </c>
      <c r="N692" t="s">
        <v>7</v>
      </c>
      <c r="P692">
        <f t="shared" si="994"/>
        <v>0.33121019108280225</v>
      </c>
      <c r="Q692">
        <f t="shared" si="995"/>
        <v>95086634.359235585</v>
      </c>
      <c r="R692">
        <f t="shared" si="996"/>
        <v>215501288.3585225</v>
      </c>
      <c r="S692">
        <f t="shared" si="997"/>
        <v>2155.0128835852252</v>
      </c>
      <c r="T692">
        <f t="shared" si="998"/>
        <v>2.1550128835852251</v>
      </c>
    </row>
    <row r="693" spans="1:20" x14ac:dyDescent="0.25">
      <c r="A693" s="5">
        <v>43900</v>
      </c>
      <c r="B693">
        <v>9.5999999999999992E-3</v>
      </c>
      <c r="C693">
        <v>1.078E-2</v>
      </c>
      <c r="D693">
        <v>9.2200000000000008E-3</v>
      </c>
      <c r="E693">
        <v>1.0659999999999999E-2</v>
      </c>
      <c r="F693">
        <v>56100862</v>
      </c>
      <c r="G693">
        <v>0</v>
      </c>
      <c r="L693" t="s">
        <v>8</v>
      </c>
      <c r="M693" t="s">
        <v>8</v>
      </c>
      <c r="N693" t="s">
        <v>8</v>
      </c>
      <c r="P693">
        <f t="shared" si="994"/>
        <v>0.84615384615384559</v>
      </c>
      <c r="Q693">
        <f t="shared" si="995"/>
        <v>47469960.153846122</v>
      </c>
      <c r="R693">
        <f t="shared" si="996"/>
        <v>120414653.99928692</v>
      </c>
      <c r="S693">
        <f t="shared" si="997"/>
        <v>1204.1465399928693</v>
      </c>
      <c r="T693">
        <f t="shared" si="998"/>
        <v>1.2041465399928692</v>
      </c>
    </row>
    <row r="694" spans="1:20" x14ac:dyDescent="0.25">
      <c r="A694" s="5">
        <v>43899</v>
      </c>
      <c r="B694">
        <v>9.1800000000000007E-3</v>
      </c>
      <c r="C694">
        <v>1.009E-2</v>
      </c>
      <c r="D694">
        <v>8.5699999999999995E-3</v>
      </c>
      <c r="E694">
        <v>9.5700000000000004E-3</v>
      </c>
      <c r="F694">
        <v>48460515.799999997</v>
      </c>
      <c r="G694">
        <v>0</v>
      </c>
      <c r="L694" t="s">
        <v>7</v>
      </c>
      <c r="M694" t="s">
        <v>7</v>
      </c>
      <c r="N694" t="s">
        <v>8</v>
      </c>
      <c r="P694">
        <f t="shared" si="994"/>
        <v>0.31578947368421123</v>
      </c>
      <c r="Q694">
        <f t="shared" si="995"/>
        <v>15303320.778947402</v>
      </c>
      <c r="R694">
        <f t="shared" si="996"/>
        <v>72944693.84544079</v>
      </c>
      <c r="S694">
        <f t="shared" si="997"/>
        <v>729.44693845440793</v>
      </c>
      <c r="T694">
        <f t="shared" si="998"/>
        <v>0.72944693845440789</v>
      </c>
    </row>
    <row r="695" spans="1:20" x14ac:dyDescent="0.25">
      <c r="A695" s="5">
        <v>43898</v>
      </c>
      <c r="B695">
        <v>1.129E-2</v>
      </c>
      <c r="C695">
        <v>1.129E-2</v>
      </c>
      <c r="D695">
        <v>9.11E-3</v>
      </c>
      <c r="E695">
        <v>9.1599999999999997E-3</v>
      </c>
      <c r="F695">
        <v>48780909.700000003</v>
      </c>
      <c r="G695">
        <v>0</v>
      </c>
      <c r="L695" t="s">
        <v>7</v>
      </c>
      <c r="M695" t="s">
        <v>7</v>
      </c>
      <c r="N695" t="s">
        <v>8</v>
      </c>
      <c r="P695">
        <f t="shared" si="994"/>
        <v>-0.95412844036697275</v>
      </c>
      <c r="Q695">
        <f t="shared" si="995"/>
        <v>-46543253.291743137</v>
      </c>
      <c r="R695">
        <f t="shared" si="996"/>
        <v>57641373.066493385</v>
      </c>
      <c r="S695">
        <f t="shared" si="997"/>
        <v>576.41373066493384</v>
      </c>
      <c r="T695">
        <f t="shared" si="998"/>
        <v>0.57641373066493384</v>
      </c>
    </row>
    <row r="696" spans="1:20" x14ac:dyDescent="0.25">
      <c r="A696" s="5">
        <v>43897</v>
      </c>
      <c r="B696">
        <v>1.0279999999999999E-2</v>
      </c>
      <c r="C696">
        <v>1.2330000000000001E-2</v>
      </c>
      <c r="D696">
        <v>1.026E-2</v>
      </c>
      <c r="E696">
        <v>1.129E-2</v>
      </c>
      <c r="F696">
        <v>78297761.799999997</v>
      </c>
      <c r="G696">
        <v>0</v>
      </c>
      <c r="L696" t="s">
        <v>8</v>
      </c>
      <c r="M696" t="s">
        <v>8</v>
      </c>
      <c r="N696" t="s">
        <v>8</v>
      </c>
      <c r="P696">
        <f t="shared" si="994"/>
        <v>-4.8309178743967751E-3</v>
      </c>
      <c r="Q696">
        <f t="shared" si="995"/>
        <v>-378250.05700488103</v>
      </c>
      <c r="R696">
        <f t="shared" si="996"/>
        <v>104184626.35823652</v>
      </c>
      <c r="S696">
        <f t="shared" si="997"/>
        <v>1041.8462635823653</v>
      </c>
      <c r="T696">
        <f t="shared" si="998"/>
        <v>1.0418462635823653</v>
      </c>
    </row>
    <row r="697" spans="1:20" x14ac:dyDescent="0.25">
      <c r="A697" s="5">
        <v>43896</v>
      </c>
      <c r="B697">
        <v>9.4900000000000002E-3</v>
      </c>
      <c r="C697">
        <v>1.0999999999999999E-2</v>
      </c>
      <c r="D697">
        <v>9.1000000000000004E-3</v>
      </c>
      <c r="E697">
        <v>1.025E-2</v>
      </c>
      <c r="F697">
        <v>84049725.900000006</v>
      </c>
      <c r="G697">
        <v>0</v>
      </c>
      <c r="L697" t="s">
        <v>8</v>
      </c>
      <c r="M697" t="s">
        <v>8</v>
      </c>
      <c r="N697" t="s">
        <v>8</v>
      </c>
      <c r="P697">
        <f t="shared" si="994"/>
        <v>0.21052631578947437</v>
      </c>
      <c r="Q697">
        <f t="shared" si="995"/>
        <v>17694679.136842165</v>
      </c>
      <c r="R697">
        <f t="shared" si="996"/>
        <v>104562876.41524141</v>
      </c>
      <c r="S697">
        <f t="shared" si="997"/>
        <v>1045.6287641524141</v>
      </c>
      <c r="T697">
        <f t="shared" si="998"/>
        <v>1.045628764152414</v>
      </c>
    </row>
    <row r="698" spans="1:20" x14ac:dyDescent="0.25">
      <c r="A698" s="5">
        <v>43895</v>
      </c>
      <c r="B698">
        <v>8.2699999999999996E-3</v>
      </c>
      <c r="C698">
        <v>9.6200000000000001E-3</v>
      </c>
      <c r="D698">
        <v>8.26E-3</v>
      </c>
      <c r="E698">
        <v>9.4400000000000005E-3</v>
      </c>
      <c r="F698">
        <v>15938890.5</v>
      </c>
      <c r="G698">
        <v>0</v>
      </c>
      <c r="L698" t="s">
        <v>8</v>
      </c>
      <c r="M698" t="s">
        <v>8</v>
      </c>
      <c r="N698" t="s">
        <v>7</v>
      </c>
      <c r="P698">
        <f t="shared" si="994"/>
        <v>0.73529411764705943</v>
      </c>
      <c r="Q698">
        <f t="shared" si="995"/>
        <v>11719772.426470598</v>
      </c>
      <c r="R698">
        <f t="shared" si="996"/>
        <v>86868197.278399244</v>
      </c>
      <c r="S698">
        <f t="shared" si="997"/>
        <v>868.68197278399248</v>
      </c>
      <c r="T698">
        <f t="shared" si="998"/>
        <v>0.86868197278399251</v>
      </c>
    </row>
    <row r="699" spans="1:20" x14ac:dyDescent="0.25">
      <c r="A699" s="5">
        <v>43894</v>
      </c>
      <c r="B699">
        <v>8.2900000000000005E-3</v>
      </c>
      <c r="C699">
        <v>8.3899999999999999E-3</v>
      </c>
      <c r="D699">
        <v>8.0999999999999996E-3</v>
      </c>
      <c r="E699">
        <v>8.2299999999999995E-3</v>
      </c>
      <c r="F699">
        <v>6178486.2000000002</v>
      </c>
      <c r="G699">
        <v>0</v>
      </c>
      <c r="L699" t="s">
        <v>8</v>
      </c>
      <c r="M699" t="s">
        <v>7</v>
      </c>
      <c r="N699" t="s">
        <v>7</v>
      </c>
      <c r="P699">
        <f t="shared" si="994"/>
        <v>-0.10344827586207062</v>
      </c>
      <c r="Q699">
        <f t="shared" si="995"/>
        <v>-639153.74482759647</v>
      </c>
      <c r="R699">
        <f t="shared" si="996"/>
        <v>75148424.851928651</v>
      </c>
      <c r="S699">
        <f t="shared" si="997"/>
        <v>751.48424851928655</v>
      </c>
      <c r="T699">
        <f t="shared" si="998"/>
        <v>0.75148424851928652</v>
      </c>
    </row>
    <row r="700" spans="1:20" x14ac:dyDescent="0.25">
      <c r="A700" s="5">
        <v>43893</v>
      </c>
      <c r="B700">
        <v>8.3099999999999997E-3</v>
      </c>
      <c r="C700">
        <v>8.4499999999999992E-3</v>
      </c>
      <c r="D700">
        <v>8.0999999999999996E-3</v>
      </c>
      <c r="E700">
        <v>8.3300000000000006E-3</v>
      </c>
      <c r="F700">
        <v>7394362.5</v>
      </c>
      <c r="G700">
        <v>0</v>
      </c>
      <c r="L700" t="s">
        <v>8</v>
      </c>
      <c r="M700" t="s">
        <v>7</v>
      </c>
      <c r="N700" t="s">
        <v>7</v>
      </c>
      <c r="P700">
        <f t="shared" si="994"/>
        <v>0.31428571428572166</v>
      </c>
      <c r="Q700">
        <f t="shared" si="995"/>
        <v>2323942.5000000545</v>
      </c>
      <c r="R700">
        <f t="shared" si="996"/>
        <v>75787578.59675625</v>
      </c>
      <c r="S700">
        <f t="shared" si="997"/>
        <v>757.87578596756248</v>
      </c>
      <c r="T700">
        <f t="shared" si="998"/>
        <v>0.75787578596756244</v>
      </c>
    </row>
    <row r="701" spans="1:20" x14ac:dyDescent="0.25">
      <c r="A701" s="5">
        <v>43892</v>
      </c>
      <c r="B701">
        <v>7.9000000000000008E-3</v>
      </c>
      <c r="C701">
        <v>8.4700000000000001E-3</v>
      </c>
      <c r="D701">
        <v>7.77E-3</v>
      </c>
      <c r="E701">
        <v>8.26E-3</v>
      </c>
      <c r="F701">
        <v>14467135.699999999</v>
      </c>
      <c r="G701">
        <v>0</v>
      </c>
      <c r="L701" t="s">
        <v>8</v>
      </c>
      <c r="M701" t="s">
        <v>7</v>
      </c>
      <c r="N701" t="s">
        <v>7</v>
      </c>
      <c r="P701">
        <f t="shared" si="994"/>
        <v>0.39999999999999974</v>
      </c>
      <c r="Q701">
        <f t="shared" si="995"/>
        <v>5786854.2799999956</v>
      </c>
      <c r="R701">
        <f t="shared" si="996"/>
        <v>73463636.09675619</v>
      </c>
      <c r="S701">
        <f t="shared" si="997"/>
        <v>734.63636096756193</v>
      </c>
      <c r="T701">
        <f t="shared" si="998"/>
        <v>0.73463636096756191</v>
      </c>
    </row>
    <row r="702" spans="1:20" x14ac:dyDescent="0.25">
      <c r="A702" s="5">
        <v>43891</v>
      </c>
      <c r="B702">
        <v>8.43E-3</v>
      </c>
      <c r="C702">
        <v>8.4600000000000005E-3</v>
      </c>
      <c r="D702">
        <v>7.62E-3</v>
      </c>
      <c r="E702">
        <v>7.8200000000000006E-3</v>
      </c>
      <c r="F702">
        <v>16302272.9</v>
      </c>
      <c r="G702">
        <v>0</v>
      </c>
      <c r="L702" t="s">
        <v>7</v>
      </c>
      <c r="M702" t="s">
        <v>7</v>
      </c>
      <c r="N702" t="s">
        <v>7</v>
      </c>
      <c r="P702">
        <f t="shared" si="994"/>
        <v>-0.52380952380952284</v>
      </c>
      <c r="Q702">
        <f t="shared" si="995"/>
        <v>-8539285.8047618885</v>
      </c>
      <c r="R702">
        <f t="shared" si="996"/>
        <v>67676781.816756189</v>
      </c>
      <c r="S702">
        <f t="shared" si="997"/>
        <v>676.76781816756193</v>
      </c>
      <c r="T702">
        <f t="shared" si="998"/>
        <v>0.67676781816756193</v>
      </c>
    </row>
    <row r="703" spans="1:20" x14ac:dyDescent="0.25">
      <c r="A703" s="5">
        <v>43890</v>
      </c>
      <c r="B703">
        <v>9.1000000000000004E-3</v>
      </c>
      <c r="C703">
        <v>9.1500000000000001E-3</v>
      </c>
      <c r="D703">
        <v>8.3999999999999995E-3</v>
      </c>
      <c r="E703">
        <v>8.43E-3</v>
      </c>
      <c r="F703">
        <v>9864912</v>
      </c>
      <c r="G703">
        <v>0</v>
      </c>
      <c r="L703" t="s">
        <v>7</v>
      </c>
      <c r="M703" t="s">
        <v>7</v>
      </c>
      <c r="N703" t="s">
        <v>7</v>
      </c>
      <c r="P703">
        <f t="shared" si="994"/>
        <v>-0.91999999999999871</v>
      </c>
      <c r="Q703">
        <f t="shared" si="995"/>
        <v>-9075719.0399999879</v>
      </c>
      <c r="R703">
        <f t="shared" si="996"/>
        <v>76216067.621518075</v>
      </c>
      <c r="S703">
        <f t="shared" si="997"/>
        <v>762.16067621518073</v>
      </c>
      <c r="T703">
        <f t="shared" si="998"/>
        <v>0.76216067621518069</v>
      </c>
    </row>
    <row r="704" spans="1:20" x14ac:dyDescent="0.25">
      <c r="A704" s="5">
        <v>43889</v>
      </c>
      <c r="B704">
        <v>9.2899999999999996E-3</v>
      </c>
      <c r="C704">
        <v>9.5899999999999996E-3</v>
      </c>
      <c r="D704">
        <v>8.7600000000000004E-3</v>
      </c>
      <c r="E704">
        <v>9.0500000000000008E-3</v>
      </c>
      <c r="F704">
        <v>12690457.6</v>
      </c>
      <c r="G704">
        <v>0</v>
      </c>
      <c r="L704" t="s">
        <v>7</v>
      </c>
      <c r="M704" t="s">
        <v>7</v>
      </c>
      <c r="N704" t="s">
        <v>7</v>
      </c>
      <c r="P704">
        <f t="shared" si="994"/>
        <v>-0.30120481927710691</v>
      </c>
      <c r="Q704">
        <f t="shared" si="995"/>
        <v>-3822426.9879517877</v>
      </c>
      <c r="R704">
        <f t="shared" si="996"/>
        <v>85291786.661518067</v>
      </c>
      <c r="S704">
        <f t="shared" si="997"/>
        <v>852.91786661518063</v>
      </c>
      <c r="T704">
        <f t="shared" si="998"/>
        <v>0.85291786661518065</v>
      </c>
    </row>
    <row r="705" spans="1:20" x14ac:dyDescent="0.25">
      <c r="A705" s="5">
        <v>43888</v>
      </c>
      <c r="B705">
        <v>9.4599999999999997E-3</v>
      </c>
      <c r="C705">
        <v>1.03E-2</v>
      </c>
      <c r="D705">
        <v>9.0699999999999999E-3</v>
      </c>
      <c r="E705">
        <v>9.2700000000000005E-3</v>
      </c>
      <c r="F705">
        <v>41856552.200000003</v>
      </c>
      <c r="G705">
        <v>0</v>
      </c>
      <c r="L705" t="s">
        <v>8</v>
      </c>
      <c r="M705" t="s">
        <v>7</v>
      </c>
      <c r="N705" t="s">
        <v>7</v>
      </c>
      <c r="P705">
        <f t="shared" si="994"/>
        <v>-0.6747967479674789</v>
      </c>
      <c r="Q705">
        <f t="shared" si="995"/>
        <v>-28244665.305691026</v>
      </c>
      <c r="R705">
        <f t="shared" si="996"/>
        <v>89114213.649469852</v>
      </c>
      <c r="S705">
        <f t="shared" si="997"/>
        <v>891.14213649469855</v>
      </c>
      <c r="T705">
        <f t="shared" si="998"/>
        <v>0.89114213649469853</v>
      </c>
    </row>
    <row r="706" spans="1:20" x14ac:dyDescent="0.25">
      <c r="A706" s="5">
        <v>43887</v>
      </c>
      <c r="B706">
        <v>9.5200000000000007E-3</v>
      </c>
      <c r="C706">
        <v>9.7099999999999999E-3</v>
      </c>
      <c r="D706">
        <v>8.8900000000000003E-3</v>
      </c>
      <c r="E706">
        <v>9.4800000000000006E-3</v>
      </c>
      <c r="F706">
        <v>26851781.399999999</v>
      </c>
      <c r="G706">
        <v>0</v>
      </c>
      <c r="L706" t="s">
        <v>7</v>
      </c>
      <c r="M706" t="s">
        <v>7</v>
      </c>
      <c r="N706" t="s">
        <v>7</v>
      </c>
      <c r="P706">
        <f t="shared" si="994"/>
        <v>0.43902439024390383</v>
      </c>
      <c r="Q706">
        <f t="shared" si="995"/>
        <v>11788586.956097597</v>
      </c>
      <c r="R706">
        <f t="shared" si="996"/>
        <v>117358878.95516089</v>
      </c>
      <c r="S706">
        <f t="shared" si="997"/>
        <v>1173.5887895516089</v>
      </c>
      <c r="T706">
        <f t="shared" si="998"/>
        <v>1.1735887895516088</v>
      </c>
    </row>
    <row r="707" spans="1:20" x14ac:dyDescent="0.25">
      <c r="A707" s="5">
        <v>43886</v>
      </c>
      <c r="B707">
        <v>1.0630000000000001E-2</v>
      </c>
      <c r="C707">
        <v>1.0959999999999999E-2</v>
      </c>
      <c r="D707">
        <v>9.1000000000000004E-3</v>
      </c>
      <c r="E707">
        <v>9.5200000000000007E-3</v>
      </c>
      <c r="F707">
        <v>32644156.199999999</v>
      </c>
      <c r="G707">
        <v>0</v>
      </c>
      <c r="L707" t="s">
        <v>7</v>
      </c>
      <c r="M707" t="s">
        <v>7</v>
      </c>
      <c r="N707" t="s">
        <v>7</v>
      </c>
      <c r="P707">
        <f t="shared" si="994"/>
        <v>-0.54838709677419306</v>
      </c>
      <c r="Q707">
        <f t="shared" si="995"/>
        <v>-17901634.045161273</v>
      </c>
      <c r="R707">
        <f t="shared" si="996"/>
        <v>105570291.99906328</v>
      </c>
      <c r="S707">
        <f t="shared" si="997"/>
        <v>1055.7029199906328</v>
      </c>
      <c r="T707">
        <f t="shared" si="998"/>
        <v>1.0557029199906329</v>
      </c>
    </row>
    <row r="708" spans="1:20" x14ac:dyDescent="0.25">
      <c r="A708" s="5">
        <v>43885</v>
      </c>
      <c r="B708">
        <v>1.1950000000000001E-2</v>
      </c>
      <c r="C708">
        <v>1.1990000000000001E-2</v>
      </c>
      <c r="D708">
        <v>1.0149999999999999E-2</v>
      </c>
      <c r="E708">
        <v>1.064E-2</v>
      </c>
      <c r="F708">
        <v>32317243.300000001</v>
      </c>
      <c r="G708">
        <v>0</v>
      </c>
      <c r="L708" t="s">
        <v>7</v>
      </c>
      <c r="M708" t="s">
        <v>7</v>
      </c>
      <c r="N708" t="s">
        <v>8</v>
      </c>
      <c r="P708">
        <f t="shared" si="994"/>
        <v>-0.46739130434782555</v>
      </c>
      <c r="Q708">
        <f t="shared" si="995"/>
        <v>-15104798.498913027</v>
      </c>
      <c r="R708">
        <f t="shared" si="996"/>
        <v>123471926.04422456</v>
      </c>
      <c r="S708">
        <f t="shared" si="997"/>
        <v>1234.7192604422455</v>
      </c>
      <c r="T708">
        <f t="shared" si="998"/>
        <v>1.2347192604422454</v>
      </c>
    </row>
    <row r="709" spans="1:20" x14ac:dyDescent="0.25">
      <c r="A709" s="5">
        <v>43884</v>
      </c>
      <c r="B709">
        <v>1.146E-2</v>
      </c>
      <c r="C709">
        <v>1.2200000000000001E-2</v>
      </c>
      <c r="D709">
        <v>1.125E-2</v>
      </c>
      <c r="E709">
        <v>1.1950000000000001E-2</v>
      </c>
      <c r="F709">
        <v>34348005.299999997</v>
      </c>
      <c r="G709">
        <v>0</v>
      </c>
      <c r="L709" t="s">
        <v>8</v>
      </c>
      <c r="M709" t="s">
        <v>7</v>
      </c>
      <c r="N709" t="s">
        <v>8</v>
      </c>
      <c r="P709">
        <f t="shared" si="994"/>
        <v>0.47368421052631599</v>
      </c>
      <c r="Q709">
        <f t="shared" si="995"/>
        <v>16270107.773684217</v>
      </c>
      <c r="R709">
        <f t="shared" si="996"/>
        <v>138576724.54313758</v>
      </c>
      <c r="S709">
        <f t="shared" si="997"/>
        <v>1385.7672454313758</v>
      </c>
      <c r="T709">
        <f t="shared" si="998"/>
        <v>1.3857672454313759</v>
      </c>
    </row>
    <row r="710" spans="1:20" x14ac:dyDescent="0.25">
      <c r="A710" s="5">
        <v>43883</v>
      </c>
      <c r="B710">
        <v>1.123E-2</v>
      </c>
      <c r="C710">
        <v>1.2120000000000001E-2</v>
      </c>
      <c r="D710">
        <v>1.0659999999999999E-2</v>
      </c>
      <c r="E710">
        <v>1.1440000000000001E-2</v>
      </c>
      <c r="F710">
        <v>50607057</v>
      </c>
      <c r="G710">
        <v>0</v>
      </c>
      <c r="L710" t="s">
        <v>7</v>
      </c>
      <c r="M710" t="s">
        <v>7</v>
      </c>
      <c r="N710" t="s">
        <v>8</v>
      </c>
      <c r="P710">
        <f t="shared" ref="P710:P762" si="999">IF(C710=D710,0,((E710-D710)-(C710-E710))/(C710-D710))</f>
        <v>6.8493150684932225E-2</v>
      </c>
      <c r="Q710">
        <f t="shared" ref="Q710:Q762" si="1000">F710*P710</f>
        <v>3466236.7808219544</v>
      </c>
      <c r="R710">
        <f t="shared" ref="R710:R766" si="1001">R711+Q710</f>
        <v>122306616.76945338</v>
      </c>
      <c r="S710">
        <f t="shared" ref="S710:S766" si="1002">R710/100000</f>
        <v>1223.0661676945338</v>
      </c>
      <c r="T710">
        <f t="shared" ref="T710:T766" si="1003">S710/1000</f>
        <v>1.2230661676945338</v>
      </c>
    </row>
    <row r="711" spans="1:20" x14ac:dyDescent="0.25">
      <c r="A711" s="5">
        <v>43882</v>
      </c>
      <c r="B711">
        <v>9.7000000000000003E-3</v>
      </c>
      <c r="C711">
        <v>1.2829999999999999E-2</v>
      </c>
      <c r="D711">
        <v>9.6399999999999993E-3</v>
      </c>
      <c r="E711">
        <v>1.124E-2</v>
      </c>
      <c r="F711">
        <v>66298114.399999999</v>
      </c>
      <c r="G711">
        <v>0</v>
      </c>
      <c r="L711" t="s">
        <v>8</v>
      </c>
      <c r="M711" t="s">
        <v>8</v>
      </c>
      <c r="N711" t="s">
        <v>8</v>
      </c>
      <c r="P711">
        <f t="shared" si="999"/>
        <v>3.1347962382449299E-3</v>
      </c>
      <c r="Q711">
        <f t="shared" si="1000"/>
        <v>207831.07962385201</v>
      </c>
      <c r="R711">
        <f t="shared" si="1001"/>
        <v>118840379.98863143</v>
      </c>
      <c r="S711">
        <f t="shared" si="1002"/>
        <v>1188.4037998863143</v>
      </c>
      <c r="T711">
        <f t="shared" si="1003"/>
        <v>1.1884037998863144</v>
      </c>
    </row>
    <row r="712" spans="1:20" x14ac:dyDescent="0.25">
      <c r="A712" s="5">
        <v>43881</v>
      </c>
      <c r="B712">
        <v>9.4500000000000001E-3</v>
      </c>
      <c r="C712">
        <v>1.051E-2</v>
      </c>
      <c r="D712">
        <v>8.9800000000000001E-3</v>
      </c>
      <c r="E712">
        <v>9.7300000000000008E-3</v>
      </c>
      <c r="F712">
        <v>29710778.300000001</v>
      </c>
      <c r="G712">
        <v>0</v>
      </c>
      <c r="L712" t="s">
        <v>7</v>
      </c>
      <c r="M712" t="s">
        <v>7</v>
      </c>
      <c r="N712" t="s">
        <v>7</v>
      </c>
      <c r="P712">
        <f t="shared" si="999"/>
        <v>-1.96078431372541E-2</v>
      </c>
      <c r="Q712">
        <f t="shared" si="1000"/>
        <v>-582564.28039213305</v>
      </c>
      <c r="R712">
        <f t="shared" si="1001"/>
        <v>118632548.90900758</v>
      </c>
      <c r="S712">
        <f t="shared" si="1002"/>
        <v>1186.3254890900757</v>
      </c>
      <c r="T712">
        <f t="shared" si="1003"/>
        <v>1.1863254890900756</v>
      </c>
    </row>
    <row r="713" spans="1:20" x14ac:dyDescent="0.25">
      <c r="A713" s="5">
        <v>43880</v>
      </c>
      <c r="B713">
        <v>9.9799999999999993E-3</v>
      </c>
      <c r="C713">
        <v>1.09E-2</v>
      </c>
      <c r="D713">
        <v>8.9999999999999993E-3</v>
      </c>
      <c r="E713">
        <v>9.4500000000000001E-3</v>
      </c>
      <c r="F713">
        <v>28312302</v>
      </c>
      <c r="G713">
        <v>0</v>
      </c>
      <c r="L713" t="s">
        <v>8</v>
      </c>
      <c r="M713" t="s">
        <v>8</v>
      </c>
      <c r="N713" t="s">
        <v>7</v>
      </c>
      <c r="P713">
        <f t="shared" si="999"/>
        <v>-0.52631578947368363</v>
      </c>
      <c r="Q713">
        <f t="shared" si="1000"/>
        <v>-14901211.578947352</v>
      </c>
      <c r="R713">
        <f t="shared" si="1001"/>
        <v>119215113.18939972</v>
      </c>
      <c r="S713">
        <f t="shared" si="1002"/>
        <v>1192.1511318939972</v>
      </c>
      <c r="T713">
        <f t="shared" si="1003"/>
        <v>1.1921511318939972</v>
      </c>
    </row>
    <row r="714" spans="1:20" x14ac:dyDescent="0.25">
      <c r="A714" s="5">
        <v>43879</v>
      </c>
      <c r="B714">
        <v>9.6399999999999993E-3</v>
      </c>
      <c r="C714">
        <v>1.01E-2</v>
      </c>
      <c r="D714">
        <v>8.9800000000000001E-3</v>
      </c>
      <c r="E714">
        <v>1.001E-2</v>
      </c>
      <c r="F714">
        <v>20463830.300000001</v>
      </c>
      <c r="G714">
        <v>0</v>
      </c>
      <c r="L714" t="s">
        <v>7</v>
      </c>
      <c r="M714" t="s">
        <v>7</v>
      </c>
      <c r="N714" t="s">
        <v>7</v>
      </c>
      <c r="P714">
        <f t="shared" si="999"/>
        <v>0.83928571428571452</v>
      </c>
      <c r="Q714">
        <f t="shared" si="1000"/>
        <v>17175000.430357147</v>
      </c>
      <c r="R714">
        <f t="shared" si="1001"/>
        <v>134116324.76834707</v>
      </c>
      <c r="S714">
        <f t="shared" si="1002"/>
        <v>1341.1632476834707</v>
      </c>
      <c r="T714">
        <f t="shared" si="1003"/>
        <v>1.3411632476834707</v>
      </c>
    </row>
    <row r="715" spans="1:20" x14ac:dyDescent="0.25">
      <c r="A715" s="5">
        <v>43878</v>
      </c>
      <c r="B715">
        <v>9.1000000000000004E-3</v>
      </c>
      <c r="C715">
        <v>0.01</v>
      </c>
      <c r="D715">
        <v>8.5500000000000003E-3</v>
      </c>
      <c r="E715">
        <v>9.6200000000000001E-3</v>
      </c>
      <c r="F715">
        <v>42859549.100000001</v>
      </c>
      <c r="G715">
        <v>0</v>
      </c>
      <c r="L715" t="s">
        <v>8</v>
      </c>
      <c r="M715" t="s">
        <v>7</v>
      </c>
      <c r="N715" t="s">
        <v>7</v>
      </c>
      <c r="P715">
        <f t="shared" si="999"/>
        <v>0.47586206896551703</v>
      </c>
      <c r="Q715">
        <f t="shared" si="1000"/>
        <v>20395233.709655166</v>
      </c>
      <c r="R715">
        <f t="shared" si="1001"/>
        <v>116941324.33798993</v>
      </c>
      <c r="S715">
        <f t="shared" si="1002"/>
        <v>1169.4132433798993</v>
      </c>
      <c r="T715">
        <f t="shared" si="1003"/>
        <v>1.1694132433798994</v>
      </c>
    </row>
    <row r="716" spans="1:20" x14ac:dyDescent="0.25">
      <c r="A716" s="5">
        <v>43877</v>
      </c>
      <c r="B716">
        <v>1.01E-2</v>
      </c>
      <c r="C716">
        <v>1.042E-2</v>
      </c>
      <c r="D716">
        <v>8.4499999999999992E-3</v>
      </c>
      <c r="E716">
        <v>9.1400000000000006E-3</v>
      </c>
      <c r="F716">
        <v>37258234.200000003</v>
      </c>
      <c r="G716">
        <v>0</v>
      </c>
      <c r="L716" t="s">
        <v>7</v>
      </c>
      <c r="M716" t="s">
        <v>7</v>
      </c>
      <c r="N716" t="s">
        <v>7</v>
      </c>
      <c r="P716">
        <f t="shared" si="999"/>
        <v>-0.2994923857868011</v>
      </c>
      <c r="Q716">
        <f t="shared" si="1000"/>
        <v>-11158557.450761387</v>
      </c>
      <c r="R716">
        <f t="shared" si="1001"/>
        <v>96546090.628334761</v>
      </c>
      <c r="S716">
        <f t="shared" si="1002"/>
        <v>965.46090628334764</v>
      </c>
      <c r="T716">
        <f t="shared" si="1003"/>
        <v>0.96546090628334769</v>
      </c>
    </row>
    <row r="717" spans="1:20" x14ac:dyDescent="0.25">
      <c r="A717" s="5">
        <v>43876</v>
      </c>
      <c r="B717">
        <v>1.1089999999999999E-2</v>
      </c>
      <c r="C717">
        <v>1.163E-2</v>
      </c>
      <c r="D717">
        <v>9.6500000000000006E-3</v>
      </c>
      <c r="E717">
        <v>1.01E-2</v>
      </c>
      <c r="F717">
        <v>55194248.600000001</v>
      </c>
      <c r="G717">
        <v>0</v>
      </c>
      <c r="L717" t="s">
        <v>8</v>
      </c>
      <c r="M717" t="s">
        <v>7</v>
      </c>
      <c r="N717" t="s">
        <v>8</v>
      </c>
      <c r="P717">
        <f t="shared" si="999"/>
        <v>-0.5454545454545463</v>
      </c>
      <c r="Q717">
        <f t="shared" si="1000"/>
        <v>-30105953.78181823</v>
      </c>
      <c r="R717">
        <f t="shared" si="1001"/>
        <v>107704648.07909615</v>
      </c>
      <c r="S717">
        <f t="shared" si="1002"/>
        <v>1077.0464807909616</v>
      </c>
      <c r="T717">
        <f t="shared" si="1003"/>
        <v>1.0770464807909617</v>
      </c>
    </row>
    <row r="718" spans="1:20" x14ac:dyDescent="0.25">
      <c r="A718" s="5">
        <v>43875</v>
      </c>
      <c r="B718">
        <v>1.0370000000000001E-2</v>
      </c>
      <c r="C718">
        <v>1.154E-2</v>
      </c>
      <c r="D718">
        <v>9.9100000000000004E-3</v>
      </c>
      <c r="E718">
        <v>1.106E-2</v>
      </c>
      <c r="F718">
        <v>44598979.600000001</v>
      </c>
      <c r="G718">
        <v>0</v>
      </c>
      <c r="L718" t="s">
        <v>8</v>
      </c>
      <c r="M718" t="s">
        <v>8</v>
      </c>
      <c r="N718" t="s">
        <v>8</v>
      </c>
      <c r="P718">
        <f t="shared" si="999"/>
        <v>0.41104294478527648</v>
      </c>
      <c r="Q718">
        <f t="shared" si="1000"/>
        <v>18332095.909202471</v>
      </c>
      <c r="R718">
        <f t="shared" si="1001"/>
        <v>137810601.86091438</v>
      </c>
      <c r="S718">
        <f t="shared" si="1002"/>
        <v>1378.1060186091438</v>
      </c>
      <c r="T718">
        <f t="shared" si="1003"/>
        <v>1.3781060186091438</v>
      </c>
    </row>
    <row r="719" spans="1:20" x14ac:dyDescent="0.25">
      <c r="A719" s="5">
        <v>43874</v>
      </c>
      <c r="B719">
        <v>1.051E-2</v>
      </c>
      <c r="C719">
        <v>1.095E-2</v>
      </c>
      <c r="D719">
        <v>9.6200000000000001E-3</v>
      </c>
      <c r="E719">
        <v>1.04E-2</v>
      </c>
      <c r="F719">
        <v>47786548.600000001</v>
      </c>
      <c r="G719">
        <v>0</v>
      </c>
      <c r="L719" t="s">
        <v>7</v>
      </c>
      <c r="M719" t="s">
        <v>8</v>
      </c>
      <c r="N719" t="s">
        <v>8</v>
      </c>
      <c r="P719">
        <f t="shared" si="999"/>
        <v>0.17293233082706719</v>
      </c>
      <c r="Q719">
        <f t="shared" si="1000"/>
        <v>8263839.2315789247</v>
      </c>
      <c r="R719">
        <f t="shared" si="1001"/>
        <v>119478505.95171191</v>
      </c>
      <c r="S719">
        <f t="shared" si="1002"/>
        <v>1194.7850595171192</v>
      </c>
      <c r="T719">
        <f t="shared" si="1003"/>
        <v>1.1947850595171192</v>
      </c>
    </row>
    <row r="720" spans="1:20" x14ac:dyDescent="0.25">
      <c r="A720" s="5">
        <v>43873</v>
      </c>
      <c r="B720">
        <v>9.2200000000000008E-3</v>
      </c>
      <c r="C720">
        <v>1.0970000000000001E-2</v>
      </c>
      <c r="D720">
        <v>9.2200000000000008E-3</v>
      </c>
      <c r="E720">
        <v>1.0489999999999999E-2</v>
      </c>
      <c r="F720">
        <v>64039792.700000003</v>
      </c>
      <c r="G720">
        <v>0</v>
      </c>
      <c r="L720" t="s">
        <v>8</v>
      </c>
      <c r="M720" t="s">
        <v>8</v>
      </c>
      <c r="N720" t="s">
        <v>8</v>
      </c>
      <c r="P720">
        <f t="shared" si="999"/>
        <v>0.45142857142856996</v>
      </c>
      <c r="Q720">
        <f t="shared" si="1000"/>
        <v>28909392.133142766</v>
      </c>
      <c r="R720">
        <f t="shared" si="1001"/>
        <v>111214666.72013298</v>
      </c>
      <c r="S720">
        <f t="shared" si="1002"/>
        <v>1112.1466672013298</v>
      </c>
      <c r="T720">
        <f t="shared" si="1003"/>
        <v>1.1121466672013298</v>
      </c>
    </row>
    <row r="721" spans="1:20" x14ac:dyDescent="0.25">
      <c r="A721" s="5">
        <v>43872</v>
      </c>
      <c r="B721">
        <v>8.9599999999999992E-3</v>
      </c>
      <c r="C721">
        <v>9.2800000000000001E-3</v>
      </c>
      <c r="D721">
        <v>8.6400000000000001E-3</v>
      </c>
      <c r="E721">
        <v>9.2700000000000005E-3</v>
      </c>
      <c r="F721">
        <v>22205726</v>
      </c>
      <c r="G721">
        <v>0</v>
      </c>
      <c r="L721" t="s">
        <v>7</v>
      </c>
      <c r="M721" t="s">
        <v>8</v>
      </c>
      <c r="N721" t="s">
        <v>8</v>
      </c>
      <c r="P721">
        <f t="shared" si="999"/>
        <v>0.96875000000000122</v>
      </c>
      <c r="Q721">
        <f t="shared" si="1000"/>
        <v>21511797.062500026</v>
      </c>
      <c r="R721">
        <f t="shared" si="1001"/>
        <v>82305274.586990207</v>
      </c>
      <c r="S721">
        <f t="shared" si="1002"/>
        <v>823.05274586990208</v>
      </c>
      <c r="T721">
        <f t="shared" si="1003"/>
        <v>0.82305274586990207</v>
      </c>
    </row>
    <row r="722" spans="1:20" x14ac:dyDescent="0.25">
      <c r="A722" s="5">
        <v>43871</v>
      </c>
      <c r="B722">
        <v>9.5499999999999995E-3</v>
      </c>
      <c r="C722">
        <v>9.7800000000000005E-3</v>
      </c>
      <c r="D722">
        <v>8.4700000000000001E-3</v>
      </c>
      <c r="E722">
        <v>8.9499999999999996E-3</v>
      </c>
      <c r="F722">
        <v>48148841.600000001</v>
      </c>
      <c r="G722">
        <v>0</v>
      </c>
      <c r="L722" t="s">
        <v>8</v>
      </c>
      <c r="M722" t="s">
        <v>8</v>
      </c>
      <c r="N722" t="s">
        <v>8</v>
      </c>
      <c r="P722">
        <f t="shared" si="999"/>
        <v>-0.26717557251908491</v>
      </c>
      <c r="Q722">
        <f t="shared" si="1000"/>
        <v>-12864194.320610734</v>
      </c>
      <c r="R722">
        <f t="shared" si="1001"/>
        <v>60793477.524490178</v>
      </c>
      <c r="S722">
        <f t="shared" si="1002"/>
        <v>607.93477524490174</v>
      </c>
      <c r="T722">
        <f t="shared" si="1003"/>
        <v>0.60793477524490169</v>
      </c>
    </row>
    <row r="723" spans="1:20" x14ac:dyDescent="0.25">
      <c r="A723" s="5">
        <v>43870</v>
      </c>
      <c r="B723">
        <v>8.2199999999999999E-3</v>
      </c>
      <c r="C723">
        <v>9.6200000000000001E-3</v>
      </c>
      <c r="D723">
        <v>8.0999999999999996E-3</v>
      </c>
      <c r="E723">
        <v>9.5399999999999999E-3</v>
      </c>
      <c r="F723">
        <v>62646576.5</v>
      </c>
      <c r="G723">
        <v>0</v>
      </c>
      <c r="L723" t="s">
        <v>8</v>
      </c>
      <c r="M723" t="s">
        <v>8</v>
      </c>
      <c r="N723" t="s">
        <v>8</v>
      </c>
      <c r="P723">
        <f t="shared" si="999"/>
        <v>0.89473684210526294</v>
      </c>
      <c r="Q723">
        <f t="shared" si="1000"/>
        <v>56052200.026315778</v>
      </c>
      <c r="R723">
        <f t="shared" si="1001"/>
        <v>73657671.845100909</v>
      </c>
      <c r="S723">
        <f t="shared" si="1002"/>
        <v>736.57671845100913</v>
      </c>
      <c r="T723">
        <f t="shared" si="1003"/>
        <v>0.73657671845100914</v>
      </c>
    </row>
    <row r="724" spans="1:20" x14ac:dyDescent="0.25">
      <c r="A724" s="5">
        <v>43869</v>
      </c>
      <c r="B724">
        <v>8.6999999999999994E-3</v>
      </c>
      <c r="C724">
        <v>8.6999999999999994E-3</v>
      </c>
      <c r="D724">
        <v>7.7099999999999998E-3</v>
      </c>
      <c r="E724">
        <v>8.2000000000000007E-3</v>
      </c>
      <c r="F724">
        <v>48534433.5</v>
      </c>
      <c r="G724">
        <v>0</v>
      </c>
      <c r="L724" t="s">
        <v>7</v>
      </c>
      <c r="M724" t="s">
        <v>8</v>
      </c>
      <c r="N724" t="s">
        <v>7</v>
      </c>
      <c r="P724">
        <f t="shared" si="999"/>
        <v>-1.0101010101007942E-2</v>
      </c>
      <c r="Q724">
        <f t="shared" si="1000"/>
        <v>-490246.80303019827</v>
      </c>
      <c r="R724">
        <f t="shared" si="1001"/>
        <v>17605471.818785135</v>
      </c>
      <c r="S724">
        <f t="shared" si="1002"/>
        <v>176.05471818785134</v>
      </c>
      <c r="T724">
        <f t="shared" si="1003"/>
        <v>0.17605471818785134</v>
      </c>
    </row>
    <row r="725" spans="1:20" x14ac:dyDescent="0.25">
      <c r="A725" s="5">
        <v>43868</v>
      </c>
      <c r="B725">
        <v>7.9600000000000001E-3</v>
      </c>
      <c r="C725">
        <v>8.8000000000000005E-3</v>
      </c>
      <c r="D725">
        <v>7.5199999999999998E-3</v>
      </c>
      <c r="E725">
        <v>8.7100000000000007E-3</v>
      </c>
      <c r="F725">
        <v>66939897.600000001</v>
      </c>
      <c r="G725">
        <v>0</v>
      </c>
      <c r="L725" t="s">
        <v>8</v>
      </c>
      <c r="M725" t="s">
        <v>8</v>
      </c>
      <c r="N725" t="s">
        <v>7</v>
      </c>
      <c r="P725">
        <f t="shared" si="999"/>
        <v>0.85937500000000044</v>
      </c>
      <c r="Q725">
        <f t="shared" si="1000"/>
        <v>57526474.50000003</v>
      </c>
      <c r="R725">
        <f t="shared" si="1001"/>
        <v>18095718.621815331</v>
      </c>
      <c r="S725">
        <f t="shared" si="1002"/>
        <v>180.95718621815331</v>
      </c>
      <c r="T725">
        <f t="shared" si="1003"/>
        <v>0.18095718621815332</v>
      </c>
    </row>
    <row r="726" spans="1:20" x14ac:dyDescent="0.25">
      <c r="A726" s="5">
        <v>43867</v>
      </c>
      <c r="B726">
        <v>7.3499999999999998E-3</v>
      </c>
      <c r="C726">
        <v>8.2000000000000007E-3</v>
      </c>
      <c r="D726">
        <v>7.1599999999999997E-3</v>
      </c>
      <c r="E726">
        <v>7.9299999999999995E-3</v>
      </c>
      <c r="F726">
        <v>53046782.399999999</v>
      </c>
      <c r="G726">
        <v>0</v>
      </c>
      <c r="L726" t="s">
        <v>8</v>
      </c>
      <c r="M726" t="s">
        <v>8</v>
      </c>
      <c r="N726" t="s">
        <v>7</v>
      </c>
      <c r="P726">
        <f t="shared" si="999"/>
        <v>0.48076923076922906</v>
      </c>
      <c r="Q726">
        <f t="shared" si="1000"/>
        <v>25503260.769230679</v>
      </c>
      <c r="R726">
        <f t="shared" si="1001"/>
        <v>-39430755.878184699</v>
      </c>
      <c r="S726">
        <f t="shared" si="1002"/>
        <v>-394.30755878184698</v>
      </c>
      <c r="T726">
        <f t="shared" si="1003"/>
        <v>-0.39430755878184698</v>
      </c>
    </row>
    <row r="727" spans="1:20" x14ac:dyDescent="0.25">
      <c r="A727" s="5">
        <v>43866</v>
      </c>
      <c r="B727">
        <v>7.3000000000000001E-3</v>
      </c>
      <c r="C727">
        <v>7.43E-3</v>
      </c>
      <c r="D727">
        <v>6.9499999999999996E-3</v>
      </c>
      <c r="E727">
        <v>7.3699999999999998E-3</v>
      </c>
      <c r="F727">
        <v>31299253.300000001</v>
      </c>
      <c r="G727">
        <v>0</v>
      </c>
      <c r="L727" t="s">
        <v>8</v>
      </c>
      <c r="M727" t="s">
        <v>7</v>
      </c>
      <c r="N727" t="s">
        <v>7</v>
      </c>
      <c r="P727">
        <f t="shared" si="999"/>
        <v>0.74999999999999956</v>
      </c>
      <c r="Q727">
        <f t="shared" si="1000"/>
        <v>23474439.974999987</v>
      </c>
      <c r="R727">
        <f t="shared" si="1001"/>
        <v>-64934016.647415377</v>
      </c>
      <c r="S727">
        <f t="shared" si="1002"/>
        <v>-649.34016647415376</v>
      </c>
      <c r="T727">
        <f t="shared" si="1003"/>
        <v>-0.64934016647415371</v>
      </c>
    </row>
    <row r="728" spans="1:20" x14ac:dyDescent="0.25">
      <c r="A728" s="5">
        <v>43865</v>
      </c>
      <c r="B728">
        <v>7.0800000000000004E-3</v>
      </c>
      <c r="C728">
        <v>7.4200000000000004E-3</v>
      </c>
      <c r="D728">
        <v>7.0200000000000002E-3</v>
      </c>
      <c r="E728">
        <v>7.3000000000000001E-3</v>
      </c>
      <c r="F728">
        <v>35895349.100000001</v>
      </c>
      <c r="G728">
        <v>0</v>
      </c>
      <c r="L728" t="s">
        <v>8</v>
      </c>
      <c r="M728" t="s">
        <v>7</v>
      </c>
      <c r="N728" t="s">
        <v>7</v>
      </c>
      <c r="P728">
        <f t="shared" si="999"/>
        <v>0.39999999999999869</v>
      </c>
      <c r="Q728">
        <f t="shared" si="1000"/>
        <v>14358139.639999954</v>
      </c>
      <c r="R728">
        <f t="shared" si="1001"/>
        <v>-88408456.622415364</v>
      </c>
      <c r="S728">
        <f t="shared" si="1002"/>
        <v>-884.0845662241536</v>
      </c>
      <c r="T728">
        <f t="shared" si="1003"/>
        <v>-0.88408456622415366</v>
      </c>
    </row>
    <row r="729" spans="1:20" x14ac:dyDescent="0.25">
      <c r="A729" s="5">
        <v>43864</v>
      </c>
      <c r="B729">
        <v>7.4200000000000004E-3</v>
      </c>
      <c r="C729">
        <v>7.4999999999999997E-3</v>
      </c>
      <c r="D729">
        <v>6.7799999999999996E-3</v>
      </c>
      <c r="E729">
        <v>7.0600000000000003E-3</v>
      </c>
      <c r="F729">
        <v>50914147</v>
      </c>
      <c r="G729">
        <v>0</v>
      </c>
      <c r="L729" t="s">
        <v>7</v>
      </c>
      <c r="M729" t="s">
        <v>7</v>
      </c>
      <c r="N729" t="s">
        <v>7</v>
      </c>
      <c r="P729">
        <f t="shared" si="999"/>
        <v>-0.22222222222222035</v>
      </c>
      <c r="Q729">
        <f t="shared" si="1000"/>
        <v>-11314254.888888793</v>
      </c>
      <c r="R729">
        <f t="shared" si="1001"/>
        <v>-102766596.26241532</v>
      </c>
      <c r="S729">
        <f t="shared" si="1002"/>
        <v>-1027.6659626241533</v>
      </c>
      <c r="T729">
        <f t="shared" si="1003"/>
        <v>-1.0276659626241533</v>
      </c>
    </row>
    <row r="730" spans="1:20" x14ac:dyDescent="0.25">
      <c r="A730" s="5">
        <v>43863</v>
      </c>
      <c r="B730">
        <v>7.5199999999999998E-3</v>
      </c>
      <c r="C730">
        <v>7.5900000000000004E-3</v>
      </c>
      <c r="D730">
        <v>7.3499999999999998E-3</v>
      </c>
      <c r="E730">
        <v>7.4099999999999999E-3</v>
      </c>
      <c r="F730">
        <v>13848186.6</v>
      </c>
      <c r="G730">
        <v>0</v>
      </c>
      <c r="L730" t="s">
        <v>7</v>
      </c>
      <c r="M730" t="s">
        <v>7</v>
      </c>
      <c r="N730" t="s">
        <v>7</v>
      </c>
      <c r="P730">
        <f t="shared" si="999"/>
        <v>-0.5</v>
      </c>
      <c r="Q730">
        <f t="shared" si="1000"/>
        <v>-6924093.2999999998</v>
      </c>
      <c r="R730">
        <f t="shared" si="1001"/>
        <v>-91452341.373526528</v>
      </c>
      <c r="S730">
        <f t="shared" si="1002"/>
        <v>-914.52341373526531</v>
      </c>
      <c r="T730">
        <f t="shared" si="1003"/>
        <v>-0.91452341373526536</v>
      </c>
    </row>
    <row r="731" spans="1:20" x14ac:dyDescent="0.25">
      <c r="A731" s="5">
        <v>43862</v>
      </c>
      <c r="B731">
        <v>7.5799999999999999E-3</v>
      </c>
      <c r="C731">
        <v>7.8200000000000006E-3</v>
      </c>
      <c r="D731">
        <v>7.3499999999999998E-3</v>
      </c>
      <c r="E731">
        <v>7.5199999999999998E-3</v>
      </c>
      <c r="F731">
        <v>14158197</v>
      </c>
      <c r="G731">
        <v>0</v>
      </c>
      <c r="L731" t="s">
        <v>8</v>
      </c>
      <c r="M731" t="s">
        <v>7</v>
      </c>
      <c r="N731" t="s">
        <v>7</v>
      </c>
      <c r="P731">
        <f t="shared" si="999"/>
        <v>-0.27659574468085224</v>
      </c>
      <c r="Q731">
        <f t="shared" si="1000"/>
        <v>-3916097.0425532083</v>
      </c>
      <c r="R731">
        <f t="shared" si="1001"/>
        <v>-84528248.073526531</v>
      </c>
      <c r="S731">
        <f t="shared" si="1002"/>
        <v>-845.28248073526527</v>
      </c>
      <c r="T731">
        <f t="shared" si="1003"/>
        <v>-0.84528248073526524</v>
      </c>
    </row>
    <row r="732" spans="1:20" x14ac:dyDescent="0.25">
      <c r="A732" s="5">
        <v>43861</v>
      </c>
      <c r="B732">
        <v>7.4700000000000001E-3</v>
      </c>
      <c r="C732">
        <v>7.7099999999999998E-3</v>
      </c>
      <c r="D732">
        <v>7.3299999999999997E-3</v>
      </c>
      <c r="E732">
        <v>7.5799999999999999E-3</v>
      </c>
      <c r="F732">
        <v>9844206.4000000004</v>
      </c>
      <c r="G732">
        <v>0</v>
      </c>
      <c r="L732" t="s">
        <v>7</v>
      </c>
      <c r="M732" t="s">
        <v>7</v>
      </c>
      <c r="N732" t="s">
        <v>7</v>
      </c>
      <c r="P732">
        <f t="shared" si="999"/>
        <v>0.31578947368421123</v>
      </c>
      <c r="Q732">
        <f t="shared" si="1000"/>
        <v>3108696.7578947437</v>
      </c>
      <c r="R732">
        <f t="shared" si="1001"/>
        <v>-80612151.03097333</v>
      </c>
      <c r="S732">
        <f t="shared" si="1002"/>
        <v>-806.12151030973325</v>
      </c>
      <c r="T732">
        <f t="shared" si="1003"/>
        <v>-0.80612151030973322</v>
      </c>
    </row>
    <row r="733" spans="1:20" x14ac:dyDescent="0.25">
      <c r="A733" s="5">
        <v>43860</v>
      </c>
      <c r="B733">
        <v>7.5799999999999999E-3</v>
      </c>
      <c r="C733">
        <v>7.6600000000000001E-3</v>
      </c>
      <c r="D733">
        <v>7.3699999999999998E-3</v>
      </c>
      <c r="E733">
        <v>7.4900000000000001E-3</v>
      </c>
      <c r="F733">
        <v>8942088.4000000004</v>
      </c>
      <c r="G733">
        <v>0</v>
      </c>
      <c r="L733" t="s">
        <v>7</v>
      </c>
      <c r="M733" t="s">
        <v>7</v>
      </c>
      <c r="N733" t="s">
        <v>7</v>
      </c>
      <c r="P733">
        <f t="shared" si="999"/>
        <v>-0.17241379310344704</v>
      </c>
      <c r="Q733">
        <f t="shared" si="1000"/>
        <v>-1541739.3793103339</v>
      </c>
      <c r="R733">
        <f t="shared" si="1001"/>
        <v>-83720847.78886807</v>
      </c>
      <c r="S733">
        <f t="shared" si="1002"/>
        <v>-837.2084778886807</v>
      </c>
      <c r="T733">
        <f t="shared" si="1003"/>
        <v>-0.83720847788868069</v>
      </c>
    </row>
    <row r="734" spans="1:20" x14ac:dyDescent="0.25">
      <c r="A734" s="5">
        <v>43859</v>
      </c>
      <c r="B734">
        <v>7.9799999999999992E-3</v>
      </c>
      <c r="C734">
        <v>8.0300000000000007E-3</v>
      </c>
      <c r="D734">
        <v>7.5199999999999998E-3</v>
      </c>
      <c r="E734">
        <v>7.5599999999999999E-3</v>
      </c>
      <c r="F734">
        <v>15650509.6</v>
      </c>
      <c r="G734">
        <v>0</v>
      </c>
      <c r="L734" t="s">
        <v>7</v>
      </c>
      <c r="M734" t="s">
        <v>7</v>
      </c>
      <c r="N734" t="s">
        <v>7</v>
      </c>
      <c r="P734">
        <f t="shared" si="999"/>
        <v>-0.84313725490196068</v>
      </c>
      <c r="Q734">
        <f t="shared" si="1000"/>
        <v>-13195527.701960782</v>
      </c>
      <c r="R734">
        <f t="shared" si="1001"/>
        <v>-82179108.40955773</v>
      </c>
      <c r="S734">
        <f t="shared" si="1002"/>
        <v>-821.79108409557728</v>
      </c>
      <c r="T734">
        <f t="shared" si="1003"/>
        <v>-0.82179108409557733</v>
      </c>
    </row>
    <row r="735" spans="1:20" x14ac:dyDescent="0.25">
      <c r="A735" s="5">
        <v>43858</v>
      </c>
      <c r="B735">
        <v>8.2199999999999999E-3</v>
      </c>
      <c r="C735">
        <v>8.4100000000000008E-3</v>
      </c>
      <c r="D735">
        <v>7.8899999999999994E-3</v>
      </c>
      <c r="E735">
        <v>8.0300000000000007E-3</v>
      </c>
      <c r="F735">
        <v>16672755.699999999</v>
      </c>
      <c r="G735">
        <v>0</v>
      </c>
      <c r="L735" t="s">
        <v>7</v>
      </c>
      <c r="M735" t="s">
        <v>7</v>
      </c>
      <c r="N735" t="s">
        <v>7</v>
      </c>
      <c r="P735">
        <f t="shared" si="999"/>
        <v>-0.46153846153845818</v>
      </c>
      <c r="Q735">
        <f t="shared" si="1000"/>
        <v>-7695118.0153845586</v>
      </c>
      <c r="R735">
        <f t="shared" si="1001"/>
        <v>-68983580.707596943</v>
      </c>
      <c r="S735">
        <f t="shared" si="1002"/>
        <v>-689.83580707596946</v>
      </c>
      <c r="T735">
        <f t="shared" si="1003"/>
        <v>-0.68983580707596948</v>
      </c>
    </row>
    <row r="736" spans="1:20" x14ac:dyDescent="0.25">
      <c r="A736" s="5">
        <v>43857</v>
      </c>
      <c r="B736">
        <v>8.6199999999999992E-3</v>
      </c>
      <c r="C736">
        <v>8.6499999999999997E-3</v>
      </c>
      <c r="D736">
        <v>8.2199999999999999E-3</v>
      </c>
      <c r="E736">
        <v>8.2500000000000004E-3</v>
      </c>
      <c r="F736">
        <v>10255210.4</v>
      </c>
      <c r="G736">
        <v>0</v>
      </c>
      <c r="L736" t="s">
        <v>7</v>
      </c>
      <c r="M736" t="s">
        <v>8</v>
      </c>
      <c r="N736" t="s">
        <v>7</v>
      </c>
      <c r="P736">
        <f t="shared" si="999"/>
        <v>-0.8604651162790673</v>
      </c>
      <c r="Q736">
        <f t="shared" si="1000"/>
        <v>-8824250.8093023002</v>
      </c>
      <c r="R736">
        <f t="shared" si="1001"/>
        <v>-61288462.692212388</v>
      </c>
      <c r="S736">
        <f t="shared" si="1002"/>
        <v>-612.88462692212386</v>
      </c>
      <c r="T736">
        <f t="shared" si="1003"/>
        <v>-0.61288462692212387</v>
      </c>
    </row>
    <row r="737" spans="1:20" x14ac:dyDescent="0.25">
      <c r="A737" s="5">
        <v>43856</v>
      </c>
      <c r="B737">
        <v>8.5900000000000004E-3</v>
      </c>
      <c r="C737">
        <v>8.8599999999999998E-3</v>
      </c>
      <c r="D737">
        <v>8.5000000000000006E-3</v>
      </c>
      <c r="E737">
        <v>8.6199999999999992E-3</v>
      </c>
      <c r="F737">
        <v>5996487.0999999996</v>
      </c>
      <c r="G737">
        <v>0</v>
      </c>
      <c r="L737" t="s">
        <v>7</v>
      </c>
      <c r="M737" t="s">
        <v>8</v>
      </c>
      <c r="N737" t="s">
        <v>7</v>
      </c>
      <c r="P737">
        <f t="shared" si="999"/>
        <v>-0.33333333333333975</v>
      </c>
      <c r="Q737">
        <f t="shared" si="1000"/>
        <v>-1998829.0333333716</v>
      </c>
      <c r="R737">
        <f t="shared" si="1001"/>
        <v>-52464211.882910088</v>
      </c>
      <c r="S737">
        <f t="shared" si="1002"/>
        <v>-524.64211882910092</v>
      </c>
      <c r="T737">
        <f t="shared" si="1003"/>
        <v>-0.52464211882910095</v>
      </c>
    </row>
    <row r="738" spans="1:20" x14ac:dyDescent="0.25">
      <c r="A738" s="5">
        <v>43855</v>
      </c>
      <c r="B738">
        <v>8.8100000000000001E-3</v>
      </c>
      <c r="C738">
        <v>9.2599999999999991E-3</v>
      </c>
      <c r="D738">
        <v>8.4799999999999997E-3</v>
      </c>
      <c r="E738">
        <v>8.5500000000000003E-3</v>
      </c>
      <c r="F738">
        <v>15811909.6</v>
      </c>
      <c r="G738">
        <v>0</v>
      </c>
      <c r="L738" t="s">
        <v>8</v>
      </c>
      <c r="M738" t="s">
        <v>8</v>
      </c>
      <c r="N738" t="s">
        <v>7</v>
      </c>
      <c r="P738">
        <f t="shared" si="999"/>
        <v>-0.82051282051281882</v>
      </c>
      <c r="Q738">
        <f t="shared" si="1000"/>
        <v>-12973874.543589717</v>
      </c>
      <c r="R738">
        <f t="shared" si="1001"/>
        <v>-50465382.849576719</v>
      </c>
      <c r="S738">
        <f t="shared" si="1002"/>
        <v>-504.65382849576719</v>
      </c>
      <c r="T738">
        <f t="shared" si="1003"/>
        <v>-0.50465382849576723</v>
      </c>
    </row>
    <row r="739" spans="1:20" x14ac:dyDescent="0.25">
      <c r="A739" s="5">
        <v>43854</v>
      </c>
      <c r="B739">
        <v>8.3800000000000003E-3</v>
      </c>
      <c r="C739">
        <v>8.9599999999999992E-3</v>
      </c>
      <c r="D739">
        <v>8.3199999999999993E-3</v>
      </c>
      <c r="E739">
        <v>8.8100000000000001E-3</v>
      </c>
      <c r="F739">
        <v>8741923.5</v>
      </c>
      <c r="G739">
        <v>0</v>
      </c>
      <c r="L739" t="s">
        <v>7</v>
      </c>
      <c r="M739" t="s">
        <v>8</v>
      </c>
      <c r="N739" t="s">
        <v>7</v>
      </c>
      <c r="P739">
        <f t="shared" si="999"/>
        <v>0.53125000000000278</v>
      </c>
      <c r="Q739">
        <f t="shared" si="1000"/>
        <v>4644146.8593750242</v>
      </c>
      <c r="R739">
        <f t="shared" si="1001"/>
        <v>-37491508.305987</v>
      </c>
      <c r="S739">
        <f t="shared" si="1002"/>
        <v>-374.91508305987003</v>
      </c>
      <c r="T739">
        <f t="shared" si="1003"/>
        <v>-0.37491508305987004</v>
      </c>
    </row>
    <row r="740" spans="1:20" x14ac:dyDescent="0.25">
      <c r="A740" s="5">
        <v>43853</v>
      </c>
      <c r="B740">
        <v>9.41E-3</v>
      </c>
      <c r="C740">
        <v>9.5499999999999995E-3</v>
      </c>
      <c r="D740">
        <v>8.3099999999999997E-3</v>
      </c>
      <c r="E740">
        <v>8.3499999999999998E-3</v>
      </c>
      <c r="F740">
        <v>12256555.4</v>
      </c>
      <c r="G740">
        <v>0</v>
      </c>
      <c r="L740" t="s">
        <v>8</v>
      </c>
      <c r="M740" t="s">
        <v>8</v>
      </c>
      <c r="N740" t="s">
        <v>7</v>
      </c>
      <c r="P740">
        <f t="shared" si="999"/>
        <v>-0.93548387096774177</v>
      </c>
      <c r="Q740">
        <f t="shared" si="1000"/>
        <v>-11465809.890322579</v>
      </c>
      <c r="R740">
        <f t="shared" si="1001"/>
        <v>-42135655.165362023</v>
      </c>
      <c r="S740">
        <f t="shared" si="1002"/>
        <v>-421.35655165362022</v>
      </c>
      <c r="T740">
        <f t="shared" si="1003"/>
        <v>-0.42135655165362024</v>
      </c>
    </row>
    <row r="741" spans="1:20" x14ac:dyDescent="0.25">
      <c r="A741" s="5">
        <v>43852</v>
      </c>
      <c r="B741">
        <v>8.6899999999999998E-3</v>
      </c>
      <c r="C741">
        <v>9.4800000000000006E-3</v>
      </c>
      <c r="D741">
        <v>8.5100000000000002E-3</v>
      </c>
      <c r="E741">
        <v>9.4800000000000006E-3</v>
      </c>
      <c r="F741">
        <v>11975200.4</v>
      </c>
      <c r="G741">
        <v>0</v>
      </c>
      <c r="L741" t="s">
        <v>8</v>
      </c>
      <c r="M741" t="s">
        <v>8</v>
      </c>
      <c r="N741" t="s">
        <v>7</v>
      </c>
      <c r="P741">
        <f t="shared" si="999"/>
        <v>1</v>
      </c>
      <c r="Q741">
        <f t="shared" si="1000"/>
        <v>11975200.4</v>
      </c>
      <c r="R741">
        <f t="shared" si="1001"/>
        <v>-30669845.275039442</v>
      </c>
      <c r="S741">
        <f t="shared" si="1002"/>
        <v>-306.69845275039444</v>
      </c>
      <c r="T741">
        <f t="shared" si="1003"/>
        <v>-0.30669845275039442</v>
      </c>
    </row>
    <row r="742" spans="1:20" x14ac:dyDescent="0.25">
      <c r="A742" s="5">
        <v>43851</v>
      </c>
      <c r="B742">
        <v>7.9100000000000004E-3</v>
      </c>
      <c r="C742">
        <v>8.9999999999999993E-3</v>
      </c>
      <c r="D742">
        <v>7.8899999999999994E-3</v>
      </c>
      <c r="E742">
        <v>8.6999999999999994E-3</v>
      </c>
      <c r="F742">
        <v>24061504.300000001</v>
      </c>
      <c r="G742">
        <v>0</v>
      </c>
      <c r="L742" t="s">
        <v>8</v>
      </c>
      <c r="M742" t="s">
        <v>7</v>
      </c>
      <c r="N742" t="s">
        <v>7</v>
      </c>
      <c r="P742">
        <f t="shared" si="999"/>
        <v>0.45945945945945954</v>
      </c>
      <c r="Q742">
        <f t="shared" si="1000"/>
        <v>11055285.759459462</v>
      </c>
      <c r="R742">
        <f t="shared" si="1001"/>
        <v>-42645045.67503944</v>
      </c>
      <c r="S742">
        <f t="shared" si="1002"/>
        <v>-426.45045675039438</v>
      </c>
      <c r="T742">
        <f t="shared" si="1003"/>
        <v>-0.42645045675039439</v>
      </c>
    </row>
    <row r="743" spans="1:20" x14ac:dyDescent="0.25">
      <c r="A743" s="5">
        <v>43850</v>
      </c>
      <c r="B743">
        <v>7.8499999999999993E-3</v>
      </c>
      <c r="C743">
        <v>8.2900000000000005E-3</v>
      </c>
      <c r="D743">
        <v>7.7999999999999996E-3</v>
      </c>
      <c r="E743">
        <v>7.9500000000000005E-3</v>
      </c>
      <c r="F743">
        <v>4368164.8</v>
      </c>
      <c r="G743">
        <v>0</v>
      </c>
      <c r="L743" t="s">
        <v>8</v>
      </c>
      <c r="M743" t="s">
        <v>7</v>
      </c>
      <c r="N743" t="s">
        <v>7</v>
      </c>
      <c r="P743">
        <f t="shared" si="999"/>
        <v>-0.38775510204081404</v>
      </c>
      <c r="Q743">
        <f t="shared" si="1000"/>
        <v>-1693778.187755092</v>
      </c>
      <c r="R743">
        <f t="shared" si="1001"/>
        <v>-53700331.434498899</v>
      </c>
      <c r="S743">
        <f t="shared" si="1002"/>
        <v>-537.00331434498901</v>
      </c>
      <c r="T743">
        <f t="shared" si="1003"/>
        <v>-0.53700331434498905</v>
      </c>
    </row>
    <row r="744" spans="1:20" x14ac:dyDescent="0.25">
      <c r="A744" s="5">
        <v>43849</v>
      </c>
      <c r="B744">
        <v>8.2500000000000004E-3</v>
      </c>
      <c r="C744">
        <v>8.3300000000000006E-3</v>
      </c>
      <c r="D744">
        <v>7.6600000000000001E-3</v>
      </c>
      <c r="E744">
        <v>7.8499999999999993E-3</v>
      </c>
      <c r="F744">
        <v>7333243.2999999998</v>
      </c>
      <c r="G744">
        <v>0</v>
      </c>
      <c r="L744" t="s">
        <v>7</v>
      </c>
      <c r="M744" t="s">
        <v>7</v>
      </c>
      <c r="N744" t="s">
        <v>7</v>
      </c>
      <c r="P744">
        <f t="shared" si="999"/>
        <v>-0.43283582089552519</v>
      </c>
      <c r="Q744">
        <f t="shared" si="1000"/>
        <v>-3174090.3835821101</v>
      </c>
      <c r="R744">
        <f t="shared" si="1001"/>
        <v>-52006553.246743806</v>
      </c>
      <c r="S744">
        <f t="shared" si="1002"/>
        <v>-520.06553246743806</v>
      </c>
      <c r="T744">
        <f t="shared" si="1003"/>
        <v>-0.52006553246743803</v>
      </c>
    </row>
    <row r="745" spans="1:20" x14ac:dyDescent="0.25">
      <c r="A745" s="5">
        <v>43848</v>
      </c>
      <c r="B745">
        <v>8.1799999999999998E-3</v>
      </c>
      <c r="C745">
        <v>8.5599999999999999E-3</v>
      </c>
      <c r="D745">
        <v>8.1399999999999997E-3</v>
      </c>
      <c r="E745">
        <v>8.26E-3</v>
      </c>
      <c r="F745">
        <v>7837896.9000000004</v>
      </c>
      <c r="G745">
        <v>0</v>
      </c>
      <c r="L745" t="s">
        <v>8</v>
      </c>
      <c r="M745" t="s">
        <v>7</v>
      </c>
      <c r="N745" t="s">
        <v>7</v>
      </c>
      <c r="P745">
        <f t="shared" si="999"/>
        <v>-0.42857142857142738</v>
      </c>
      <c r="Q745">
        <f t="shared" si="1000"/>
        <v>-3359098.6714285621</v>
      </c>
      <c r="R745">
        <f t="shared" si="1001"/>
        <v>-48832462.863161698</v>
      </c>
      <c r="S745">
        <f t="shared" si="1002"/>
        <v>-488.32462863161697</v>
      </c>
      <c r="T745">
        <f t="shared" si="1003"/>
        <v>-0.48832462863161696</v>
      </c>
    </row>
    <row r="746" spans="1:20" x14ac:dyDescent="0.25">
      <c r="A746" s="5">
        <v>43847</v>
      </c>
      <c r="B746">
        <v>7.8700000000000003E-3</v>
      </c>
      <c r="C746">
        <v>8.2699999999999996E-3</v>
      </c>
      <c r="D746">
        <v>7.8300000000000002E-3</v>
      </c>
      <c r="E746">
        <v>8.1799999999999998E-3</v>
      </c>
      <c r="F746">
        <v>11095902.4</v>
      </c>
      <c r="G746">
        <v>0</v>
      </c>
      <c r="L746" t="s">
        <v>7</v>
      </c>
      <c r="M746" t="s">
        <v>7</v>
      </c>
      <c r="N746" t="s">
        <v>7</v>
      </c>
      <c r="P746">
        <f t="shared" si="999"/>
        <v>0.59090909090909127</v>
      </c>
      <c r="Q746">
        <f t="shared" si="1000"/>
        <v>6556669.6000000043</v>
      </c>
      <c r="R746">
        <f t="shared" si="1001"/>
        <v>-45473364.191733137</v>
      </c>
      <c r="S746">
        <f t="shared" si="1002"/>
        <v>-454.73364191733134</v>
      </c>
      <c r="T746">
        <f t="shared" si="1003"/>
        <v>-0.45473364191733134</v>
      </c>
    </row>
    <row r="747" spans="1:20" x14ac:dyDescent="0.25">
      <c r="A747" s="5">
        <v>43846</v>
      </c>
      <c r="B747">
        <v>8.2199999999999999E-3</v>
      </c>
      <c r="C747">
        <v>8.4200000000000004E-3</v>
      </c>
      <c r="D747">
        <v>7.6899999999999998E-3</v>
      </c>
      <c r="E747">
        <v>7.8700000000000003E-3</v>
      </c>
      <c r="F747">
        <v>14429817.699999999</v>
      </c>
      <c r="G747">
        <v>0</v>
      </c>
      <c r="L747" t="s">
        <v>7</v>
      </c>
      <c r="M747" t="s">
        <v>7</v>
      </c>
      <c r="N747" t="s">
        <v>7</v>
      </c>
      <c r="P747">
        <f t="shared" si="999"/>
        <v>-0.50684931506849229</v>
      </c>
      <c r="Q747">
        <f t="shared" si="1000"/>
        <v>-7313743.2178082066</v>
      </c>
      <c r="R747">
        <f t="shared" si="1001"/>
        <v>-52030033.791733138</v>
      </c>
      <c r="S747">
        <f t="shared" si="1002"/>
        <v>-520.30033791733138</v>
      </c>
      <c r="T747">
        <f t="shared" si="1003"/>
        <v>-0.52030033791733132</v>
      </c>
    </row>
    <row r="748" spans="1:20" x14ac:dyDescent="0.25">
      <c r="A748" s="5">
        <v>43845</v>
      </c>
      <c r="B748">
        <v>8.3300000000000006E-3</v>
      </c>
      <c r="C748">
        <v>8.6199999999999992E-3</v>
      </c>
      <c r="D748">
        <v>7.9000000000000008E-3</v>
      </c>
      <c r="E748">
        <v>8.2199999999999999E-3</v>
      </c>
      <c r="F748">
        <v>30998609.199999999</v>
      </c>
      <c r="G748">
        <v>0</v>
      </c>
      <c r="L748" t="s">
        <v>7</v>
      </c>
      <c r="M748" t="s">
        <v>7</v>
      </c>
      <c r="N748" t="s">
        <v>7</v>
      </c>
      <c r="P748">
        <f t="shared" si="999"/>
        <v>-0.11111111111111165</v>
      </c>
      <c r="Q748">
        <f t="shared" si="1000"/>
        <v>-3444289.9111111276</v>
      </c>
      <c r="R748">
        <f t="shared" si="1001"/>
        <v>-44716290.573924929</v>
      </c>
      <c r="S748">
        <f t="shared" si="1002"/>
        <v>-447.16290573924931</v>
      </c>
      <c r="T748">
        <f t="shared" si="1003"/>
        <v>-0.44716290573924933</v>
      </c>
    </row>
    <row r="749" spans="1:20" x14ac:dyDescent="0.25">
      <c r="A749" s="5">
        <v>43844</v>
      </c>
      <c r="B749">
        <v>8.4600000000000005E-3</v>
      </c>
      <c r="C749">
        <v>8.6700000000000006E-3</v>
      </c>
      <c r="D749">
        <v>8.26E-3</v>
      </c>
      <c r="E749">
        <v>8.3800000000000003E-3</v>
      </c>
      <c r="F749">
        <v>10202150.199999999</v>
      </c>
      <c r="G749">
        <v>0</v>
      </c>
      <c r="L749" t="s">
        <v>7</v>
      </c>
      <c r="M749" t="s">
        <v>7</v>
      </c>
      <c r="N749" t="s">
        <v>7</v>
      </c>
      <c r="P749">
        <f t="shared" si="999"/>
        <v>-0.41463414634146278</v>
      </c>
      <c r="Q749">
        <f t="shared" si="1000"/>
        <v>-4230159.8390243836</v>
      </c>
      <c r="R749">
        <f t="shared" si="1001"/>
        <v>-41272000.662813798</v>
      </c>
      <c r="S749">
        <f t="shared" si="1002"/>
        <v>-412.72000662813798</v>
      </c>
      <c r="T749">
        <f t="shared" si="1003"/>
        <v>-0.41272000662813796</v>
      </c>
    </row>
    <row r="750" spans="1:20" x14ac:dyDescent="0.25">
      <c r="A750" s="5">
        <v>43843</v>
      </c>
      <c r="B750">
        <v>8.4200000000000004E-3</v>
      </c>
      <c r="C750">
        <v>8.6899999999999998E-3</v>
      </c>
      <c r="D750">
        <v>8.3000000000000001E-3</v>
      </c>
      <c r="E750">
        <v>8.4799999999999997E-3</v>
      </c>
      <c r="F750">
        <v>6188445.4000000004</v>
      </c>
      <c r="G750">
        <v>0</v>
      </c>
      <c r="L750" t="s">
        <v>7</v>
      </c>
      <c r="M750" t="s">
        <v>7</v>
      </c>
      <c r="N750" t="s">
        <v>7</v>
      </c>
      <c r="P750">
        <f t="shared" si="999"/>
        <v>-7.6923076923078287E-2</v>
      </c>
      <c r="Q750">
        <f t="shared" si="1000"/>
        <v>-476034.26153846999</v>
      </c>
      <c r="R750">
        <f t="shared" si="1001"/>
        <v>-37041840.823789418</v>
      </c>
      <c r="S750">
        <f t="shared" si="1002"/>
        <v>-370.4184082378942</v>
      </c>
      <c r="T750">
        <f t="shared" si="1003"/>
        <v>-0.37041840823789418</v>
      </c>
    </row>
    <row r="751" spans="1:20" x14ac:dyDescent="0.25">
      <c r="A751" s="5">
        <v>43842</v>
      </c>
      <c r="B751">
        <v>8.4499999999999992E-3</v>
      </c>
      <c r="C751">
        <v>8.5599999999999999E-3</v>
      </c>
      <c r="D751">
        <v>8.3499999999999998E-3</v>
      </c>
      <c r="E751">
        <v>8.4200000000000004E-3</v>
      </c>
      <c r="F751">
        <v>5749485.2000000002</v>
      </c>
      <c r="G751">
        <v>0</v>
      </c>
      <c r="L751" t="s">
        <v>7</v>
      </c>
      <c r="M751" t="s">
        <v>7</v>
      </c>
      <c r="N751" t="s">
        <v>7</v>
      </c>
      <c r="P751">
        <f t="shared" si="999"/>
        <v>-0.33333333333332782</v>
      </c>
      <c r="Q751">
        <f t="shared" si="1000"/>
        <v>-1916495.066666635</v>
      </c>
      <c r="R751">
        <f t="shared" si="1001"/>
        <v>-36565806.562250949</v>
      </c>
      <c r="S751">
        <f t="shared" si="1002"/>
        <v>-365.65806562250947</v>
      </c>
      <c r="T751">
        <f t="shared" si="1003"/>
        <v>-0.36565806562250946</v>
      </c>
    </row>
    <row r="752" spans="1:20" x14ac:dyDescent="0.25">
      <c r="A752" s="5">
        <v>43841</v>
      </c>
      <c r="B752">
        <v>8.7200000000000003E-3</v>
      </c>
      <c r="C752">
        <v>9.1400000000000006E-3</v>
      </c>
      <c r="D752">
        <v>8.3899999999999999E-3</v>
      </c>
      <c r="E752">
        <v>8.4799999999999997E-3</v>
      </c>
      <c r="F752">
        <v>18349459.5</v>
      </c>
      <c r="G752">
        <v>0</v>
      </c>
      <c r="L752" t="s">
        <v>8</v>
      </c>
      <c r="M752" t="s">
        <v>7</v>
      </c>
      <c r="N752" t="s">
        <v>7</v>
      </c>
      <c r="P752">
        <f t="shared" si="999"/>
        <v>-0.76000000000000079</v>
      </c>
      <c r="Q752">
        <f t="shared" si="1000"/>
        <v>-13945589.220000014</v>
      </c>
      <c r="R752">
        <f t="shared" si="1001"/>
        <v>-34649311.495584317</v>
      </c>
      <c r="S752">
        <f t="shared" si="1002"/>
        <v>-346.49311495584317</v>
      </c>
      <c r="T752">
        <f t="shared" si="1003"/>
        <v>-0.34649311495584317</v>
      </c>
    </row>
    <row r="753" spans="1:20" x14ac:dyDescent="0.25">
      <c r="A753" s="5">
        <v>43840</v>
      </c>
      <c r="B753">
        <v>8.7799999999999996E-3</v>
      </c>
      <c r="C753">
        <v>9.2999999999999992E-3</v>
      </c>
      <c r="D753">
        <v>8.4399999999999996E-3</v>
      </c>
      <c r="E753">
        <v>8.6999999999999994E-3</v>
      </c>
      <c r="F753">
        <v>13142325.699999999</v>
      </c>
      <c r="G753">
        <v>0</v>
      </c>
      <c r="L753" t="s">
        <v>7</v>
      </c>
      <c r="M753" t="s">
        <v>7</v>
      </c>
      <c r="N753" t="s">
        <v>7</v>
      </c>
      <c r="P753">
        <f t="shared" si="999"/>
        <v>-0.39534883720930253</v>
      </c>
      <c r="Q753">
        <f t="shared" si="1000"/>
        <v>-5195803.1837209323</v>
      </c>
      <c r="R753">
        <f t="shared" si="1001"/>
        <v>-20703722.275584303</v>
      </c>
      <c r="S753">
        <f t="shared" si="1002"/>
        <v>-207.03722275584303</v>
      </c>
      <c r="T753">
        <f t="shared" si="1003"/>
        <v>-0.20703722275584302</v>
      </c>
    </row>
    <row r="754" spans="1:20" x14ac:dyDescent="0.25">
      <c r="A754" s="5">
        <v>43839</v>
      </c>
      <c r="B754">
        <v>8.8699999999999994E-3</v>
      </c>
      <c r="C754">
        <v>9.1299999999999992E-3</v>
      </c>
      <c r="D754">
        <v>8.6499999999999997E-3</v>
      </c>
      <c r="E754">
        <v>8.7500000000000008E-3</v>
      </c>
      <c r="F754">
        <v>4504420.4000000004</v>
      </c>
      <c r="G754">
        <v>0</v>
      </c>
      <c r="L754" t="s">
        <v>7</v>
      </c>
      <c r="M754" t="s">
        <v>7</v>
      </c>
      <c r="N754" t="s">
        <v>7</v>
      </c>
      <c r="P754">
        <f t="shared" si="999"/>
        <v>-0.58333333333332826</v>
      </c>
      <c r="Q754">
        <f t="shared" si="1000"/>
        <v>-2627578.5666666441</v>
      </c>
      <c r="R754">
        <f t="shared" si="1001"/>
        <v>-15507919.091863371</v>
      </c>
      <c r="S754">
        <f t="shared" si="1002"/>
        <v>-155.07919091863371</v>
      </c>
      <c r="T754">
        <f t="shared" si="1003"/>
        <v>-0.1550791909186337</v>
      </c>
    </row>
    <row r="755" spans="1:20" x14ac:dyDescent="0.25">
      <c r="A755" s="5">
        <v>43838</v>
      </c>
      <c r="B755">
        <v>9.1599999999999997E-3</v>
      </c>
      <c r="C755">
        <v>9.2399999999999999E-3</v>
      </c>
      <c r="D755">
        <v>8.7500000000000008E-3</v>
      </c>
      <c r="E755">
        <v>8.8699999999999994E-3</v>
      </c>
      <c r="F755">
        <v>3811885.5</v>
      </c>
      <c r="G755">
        <v>0</v>
      </c>
      <c r="L755" t="s">
        <v>7</v>
      </c>
      <c r="M755" t="s">
        <v>7</v>
      </c>
      <c r="N755" t="s">
        <v>7</v>
      </c>
      <c r="P755">
        <f t="shared" si="999"/>
        <v>-0.51020408163265796</v>
      </c>
      <c r="Q755">
        <f t="shared" si="1000"/>
        <v>-1944839.5408163453</v>
      </c>
      <c r="R755">
        <f t="shared" si="1001"/>
        <v>-12880340.525196727</v>
      </c>
      <c r="S755">
        <f t="shared" si="1002"/>
        <v>-128.80340525196726</v>
      </c>
      <c r="T755">
        <f t="shared" si="1003"/>
        <v>-0.12880340525196726</v>
      </c>
    </row>
    <row r="756" spans="1:20" x14ac:dyDescent="0.25">
      <c r="A756" s="5">
        <v>43837</v>
      </c>
      <c r="B756">
        <v>9.2599999999999991E-3</v>
      </c>
      <c r="C756">
        <v>9.4400000000000005E-3</v>
      </c>
      <c r="D756">
        <v>8.9700000000000005E-3</v>
      </c>
      <c r="E756">
        <v>9.1699999999999993E-3</v>
      </c>
      <c r="F756">
        <v>4015168.8</v>
      </c>
      <c r="G756">
        <v>0</v>
      </c>
      <c r="L756" t="s">
        <v>7</v>
      </c>
      <c r="M756" t="s">
        <v>7</v>
      </c>
      <c r="N756" t="s">
        <v>7</v>
      </c>
      <c r="P756">
        <f t="shared" si="999"/>
        <v>-0.14893617021277097</v>
      </c>
      <c r="Q756">
        <f t="shared" si="1000"/>
        <v>-598003.86382980738</v>
      </c>
      <c r="R756">
        <f t="shared" si="1001"/>
        <v>-10935500.984380383</v>
      </c>
      <c r="S756">
        <f t="shared" si="1002"/>
        <v>-109.35500984380383</v>
      </c>
      <c r="T756">
        <f t="shared" si="1003"/>
        <v>-0.10935500984380382</v>
      </c>
    </row>
    <row r="757" spans="1:20" x14ac:dyDescent="0.25">
      <c r="A757" s="5">
        <v>43836</v>
      </c>
      <c r="B757">
        <v>9.0699999999999999E-3</v>
      </c>
      <c r="C757">
        <v>9.5899999999999996E-3</v>
      </c>
      <c r="D757">
        <v>9.0600000000000003E-3</v>
      </c>
      <c r="E757">
        <v>9.2899999999999996E-3</v>
      </c>
      <c r="F757">
        <v>5609149.0999999996</v>
      </c>
      <c r="G757">
        <v>0</v>
      </c>
      <c r="L757" t="s">
        <v>8</v>
      </c>
      <c r="M757" t="s">
        <v>7</v>
      </c>
      <c r="N757" t="s">
        <v>7</v>
      </c>
      <c r="P757">
        <f t="shared" si="999"/>
        <v>-0.13207547169811457</v>
      </c>
      <c r="Q757">
        <f t="shared" si="1000"/>
        <v>-740831.0132075547</v>
      </c>
      <c r="R757">
        <f t="shared" si="1001"/>
        <v>-10337497.120550575</v>
      </c>
      <c r="S757">
        <f t="shared" si="1002"/>
        <v>-103.37497120550574</v>
      </c>
      <c r="T757">
        <f t="shared" si="1003"/>
        <v>-0.10337497120550575</v>
      </c>
    </row>
    <row r="758" spans="1:20" x14ac:dyDescent="0.25">
      <c r="A758" s="5">
        <v>43835</v>
      </c>
      <c r="B758">
        <v>9.2899999999999996E-3</v>
      </c>
      <c r="C758">
        <v>9.4000000000000004E-3</v>
      </c>
      <c r="D758">
        <v>9.0500000000000008E-3</v>
      </c>
      <c r="E758">
        <v>9.0900000000000009E-3</v>
      </c>
      <c r="F758">
        <v>7574902.7999999998</v>
      </c>
      <c r="G758">
        <v>0</v>
      </c>
      <c r="L758" t="s">
        <v>8</v>
      </c>
      <c r="M758" t="s">
        <v>7</v>
      </c>
      <c r="N758" t="s">
        <v>7</v>
      </c>
      <c r="P758">
        <f t="shared" si="999"/>
        <v>-0.77142857142857058</v>
      </c>
      <c r="Q758">
        <f t="shared" si="1000"/>
        <v>-5843496.4457142791</v>
      </c>
      <c r="R758">
        <f t="shared" si="1001"/>
        <v>-9596666.1073430199</v>
      </c>
      <c r="S758">
        <f t="shared" si="1002"/>
        <v>-95.966661073430203</v>
      </c>
      <c r="T758">
        <f t="shared" si="1003"/>
        <v>-9.5966661073430201E-2</v>
      </c>
    </row>
    <row r="759" spans="1:20" x14ac:dyDescent="0.25">
      <c r="A759" s="5">
        <v>43834</v>
      </c>
      <c r="B759">
        <v>9.3299999999999998E-3</v>
      </c>
      <c r="C759">
        <v>9.4000000000000004E-3</v>
      </c>
      <c r="D759">
        <v>9.1999999999999998E-3</v>
      </c>
      <c r="E759">
        <v>9.2999999999999992E-3</v>
      </c>
      <c r="F759">
        <v>7376405.0999999996</v>
      </c>
      <c r="G759">
        <v>0</v>
      </c>
      <c r="L759" t="s">
        <v>8</v>
      </c>
      <c r="M759" t="s">
        <v>7</v>
      </c>
      <c r="N759" t="s">
        <v>7</v>
      </c>
      <c r="P759">
        <f t="shared" si="999"/>
        <v>-8.6736173798840134E-15</v>
      </c>
      <c r="Q759">
        <f t="shared" si="1000"/>
        <v>-6.3980115476425065E-8</v>
      </c>
      <c r="R759">
        <f t="shared" si="1001"/>
        <v>-3753169.6616287404</v>
      </c>
      <c r="S759">
        <f t="shared" si="1002"/>
        <v>-37.531696616287405</v>
      </c>
      <c r="T759">
        <f t="shared" si="1003"/>
        <v>-3.7531696616287406E-2</v>
      </c>
    </row>
    <row r="760" spans="1:20" x14ac:dyDescent="0.25">
      <c r="A760" s="5">
        <v>43833</v>
      </c>
      <c r="B760">
        <v>8.8299999999999993E-3</v>
      </c>
      <c r="C760">
        <v>9.4999999999999998E-3</v>
      </c>
      <c r="D760">
        <v>8.7399999999999995E-3</v>
      </c>
      <c r="E760">
        <v>9.2999999999999992E-3</v>
      </c>
      <c r="F760">
        <v>3561466.6</v>
      </c>
      <c r="G760">
        <v>0</v>
      </c>
      <c r="L760" t="s">
        <v>8</v>
      </c>
      <c r="M760" t="s">
        <v>7</v>
      </c>
      <c r="N760" t="s">
        <v>7</v>
      </c>
      <c r="P760">
        <f t="shared" si="999"/>
        <v>0.4736842105263146</v>
      </c>
      <c r="Q760">
        <f t="shared" si="1000"/>
        <v>1687010.4947368379</v>
      </c>
      <c r="R760">
        <f t="shared" si="1001"/>
        <v>-3753169.6616286766</v>
      </c>
      <c r="S760">
        <f t="shared" si="1002"/>
        <v>-37.531696616286766</v>
      </c>
      <c r="T760">
        <f t="shared" si="1003"/>
        <v>-3.7531696616286768E-2</v>
      </c>
    </row>
    <row r="761" spans="1:20" x14ac:dyDescent="0.25">
      <c r="A761" s="5">
        <v>43832</v>
      </c>
      <c r="B761">
        <v>9.4599999999999997E-3</v>
      </c>
      <c r="C761">
        <v>9.4999999999999998E-3</v>
      </c>
      <c r="D761">
        <v>8.7799999999999996E-3</v>
      </c>
      <c r="E761">
        <v>8.8299999999999993E-3</v>
      </c>
      <c r="F761">
        <v>3286778.7</v>
      </c>
      <c r="G761">
        <v>0</v>
      </c>
      <c r="L761" t="s">
        <v>7</v>
      </c>
      <c r="M761" t="s">
        <v>7</v>
      </c>
      <c r="N761" t="s">
        <v>7</v>
      </c>
      <c r="P761">
        <f t="shared" si="999"/>
        <v>-0.86111111111111194</v>
      </c>
      <c r="Q761">
        <f t="shared" si="1000"/>
        <v>-2830281.658333336</v>
      </c>
      <c r="R761">
        <f t="shared" si="1001"/>
        <v>-5440180.1563655147</v>
      </c>
      <c r="S761">
        <f t="shared" si="1002"/>
        <v>-54.401801563655148</v>
      </c>
      <c r="T761">
        <f t="shared" si="1003"/>
        <v>-5.440180156365515E-2</v>
      </c>
    </row>
    <row r="762" spans="1:20" x14ac:dyDescent="0.25">
      <c r="A762" s="5">
        <v>43831</v>
      </c>
      <c r="B762">
        <v>9.2999999999999992E-3</v>
      </c>
      <c r="C762">
        <v>9.6100000000000005E-3</v>
      </c>
      <c r="D762">
        <v>9.2800000000000001E-3</v>
      </c>
      <c r="E762">
        <v>9.4800000000000006E-3</v>
      </c>
      <c r="F762">
        <v>2460902.7000000002</v>
      </c>
      <c r="G762">
        <v>0</v>
      </c>
      <c r="L762" t="s">
        <v>7</v>
      </c>
      <c r="M762" t="s">
        <v>7</v>
      </c>
      <c r="N762" t="s">
        <v>7</v>
      </c>
      <c r="P762">
        <f t="shared" si="999"/>
        <v>0.21212121212121371</v>
      </c>
      <c r="Q762">
        <f t="shared" si="1000"/>
        <v>522009.66363636759</v>
      </c>
      <c r="R762">
        <f t="shared" si="1001"/>
        <v>-2609898.4980321787</v>
      </c>
      <c r="S762">
        <f t="shared" si="1002"/>
        <v>-26.098984980321788</v>
      </c>
      <c r="T762">
        <f t="shared" si="1003"/>
        <v>-2.6098984980321788E-2</v>
      </c>
    </row>
    <row r="763" spans="1:20" x14ac:dyDescent="0.25">
      <c r="A763" s="5"/>
      <c r="C763"/>
      <c r="D763"/>
      <c r="L763" t="s">
        <v>7</v>
      </c>
      <c r="M763" t="s">
        <v>7</v>
      </c>
      <c r="N763" t="s">
        <v>7</v>
      </c>
      <c r="P763">
        <f>IF(C764=D764,0,((E764-D764)-(C764-E764))/(C764-D764))</f>
        <v>-0.53488372093023517</v>
      </c>
      <c r="Q763">
        <f>F764*P763</f>
        <v>-1849392.3441860557</v>
      </c>
      <c r="R763">
        <f t="shared" si="1001"/>
        <v>-3131908.1616685465</v>
      </c>
      <c r="S763">
        <f t="shared" si="1002"/>
        <v>-31.319081616685466</v>
      </c>
      <c r="T763">
        <f t="shared" si="1003"/>
        <v>-3.1319081616685465E-2</v>
      </c>
    </row>
    <row r="764" spans="1:20" x14ac:dyDescent="0.25">
      <c r="A764" s="5">
        <v>43830</v>
      </c>
      <c r="B764">
        <v>9.5300000000000003E-3</v>
      </c>
      <c r="C764">
        <v>9.6100000000000005E-3</v>
      </c>
      <c r="D764">
        <v>9.1800000000000007E-3</v>
      </c>
      <c r="E764">
        <v>9.2800000000000001E-3</v>
      </c>
      <c r="F764">
        <v>3457559.6</v>
      </c>
      <c r="G764">
        <v>0</v>
      </c>
      <c r="L764" t="s">
        <v>7</v>
      </c>
      <c r="M764" t="s">
        <v>7</v>
      </c>
      <c r="N764" t="s">
        <v>7</v>
      </c>
      <c r="P764">
        <f>IF(C765=D765,0,((E765-D765)-(C765-E765))/(C765-D765))</f>
        <v>0.63636363636364279</v>
      </c>
      <c r="Q764">
        <f>F765*P764</f>
        <v>2605439.1363636628</v>
      </c>
      <c r="R764">
        <f t="shared" si="1001"/>
        <v>-1282515.8174824906</v>
      </c>
      <c r="S764">
        <f t="shared" si="1002"/>
        <v>-12.825158174824905</v>
      </c>
      <c r="T764">
        <f t="shared" si="1003"/>
        <v>-1.2825158174824904E-2</v>
      </c>
    </row>
    <row r="765" spans="1:20" x14ac:dyDescent="0.25">
      <c r="A765" s="5">
        <v>43829</v>
      </c>
      <c r="B765">
        <v>9.41E-3</v>
      </c>
      <c r="C765">
        <v>9.6399999999999993E-3</v>
      </c>
      <c r="D765">
        <v>9.1999999999999998E-3</v>
      </c>
      <c r="E765">
        <v>9.5600000000000008E-3</v>
      </c>
      <c r="F765">
        <v>4094261.5</v>
      </c>
      <c r="G765">
        <v>0</v>
      </c>
      <c r="L765" t="s">
        <v>7</v>
      </c>
      <c r="M765" t="s">
        <v>7</v>
      </c>
      <c r="N765" t="s">
        <v>7</v>
      </c>
      <c r="P765">
        <f>IF(C766=D766,0,((E766-D766)-(C766-E766))/(C766-D766))</f>
        <v>-0.69230769230769573</v>
      </c>
      <c r="Q765">
        <f>F766*P765</f>
        <v>-2976102.5538461683</v>
      </c>
      <c r="R765">
        <f t="shared" si="1001"/>
        <v>-3887954.9538461533</v>
      </c>
      <c r="S765">
        <f t="shared" si="1002"/>
        <v>-38.879549538461532</v>
      </c>
      <c r="T765">
        <f t="shared" si="1003"/>
        <v>-3.8879549538461532E-2</v>
      </c>
    </row>
    <row r="766" spans="1:20" x14ac:dyDescent="0.25">
      <c r="A766" s="5">
        <v>43828</v>
      </c>
      <c r="B766">
        <v>9.6399999999999993E-3</v>
      </c>
      <c r="C766">
        <v>9.7599999999999996E-3</v>
      </c>
      <c r="D766">
        <v>9.3699999999999999E-3</v>
      </c>
      <c r="E766">
        <v>9.4299999999999991E-3</v>
      </c>
      <c r="F766">
        <v>4298814.8</v>
      </c>
      <c r="G766">
        <v>0</v>
      </c>
      <c r="L766" t="s">
        <v>7</v>
      </c>
      <c r="M766" t="s">
        <v>7</v>
      </c>
      <c r="N766" t="s">
        <v>7</v>
      </c>
      <c r="P766">
        <f>IF(C767=D767,0,((E767-D767)-(C767-E767))/(C767-D767))</f>
        <v>-0.33333333333332782</v>
      </c>
      <c r="Q766">
        <f>F767*P766</f>
        <v>-911852.39999998501</v>
      </c>
      <c r="R766">
        <f t="shared" si="1001"/>
        <v>-911852.39999998501</v>
      </c>
      <c r="S766">
        <f t="shared" si="1002"/>
        <v>-9.1185239999998497</v>
      </c>
      <c r="T766">
        <f t="shared" si="1003"/>
        <v>-9.1185239999998502E-3</v>
      </c>
    </row>
    <row r="767" spans="1:20" x14ac:dyDescent="0.25">
      <c r="A767" s="5">
        <v>43827</v>
      </c>
      <c r="B767">
        <v>9.6699999999999998E-3</v>
      </c>
      <c r="C767">
        <v>9.7999999999999997E-3</v>
      </c>
      <c r="D767">
        <v>9.5899999999999996E-3</v>
      </c>
      <c r="E767">
        <v>9.6600000000000002E-3</v>
      </c>
      <c r="F767">
        <v>2735557.2</v>
      </c>
      <c r="G767">
        <v>0</v>
      </c>
      <c r="L767" t="s">
        <v>7</v>
      </c>
      <c r="M767" t="s">
        <v>7</v>
      </c>
      <c r="N767" t="s">
        <v>7</v>
      </c>
    </row>
    <row r="768" spans="1:20" x14ac:dyDescent="0.25">
      <c r="A768" s="5">
        <v>43826</v>
      </c>
      <c r="B768">
        <v>9.9100000000000004E-3</v>
      </c>
      <c r="C768">
        <v>1.009E-2</v>
      </c>
      <c r="D768">
        <v>9.5499999999999995E-3</v>
      </c>
      <c r="E768">
        <v>9.6799999999999994E-3</v>
      </c>
      <c r="F768">
        <v>4217887.0999999996</v>
      </c>
      <c r="G768">
        <v>0</v>
      </c>
      <c r="L768" t="s">
        <v>7</v>
      </c>
      <c r="M768" t="s">
        <v>7</v>
      </c>
      <c r="N768" t="s">
        <v>7</v>
      </c>
    </row>
    <row r="769" spans="1:14" x14ac:dyDescent="0.25">
      <c r="A769" s="5">
        <v>43825</v>
      </c>
      <c r="B769">
        <v>1.03E-2</v>
      </c>
      <c r="C769">
        <v>1.034E-2</v>
      </c>
      <c r="D769">
        <v>9.8399999999999998E-3</v>
      </c>
      <c r="E769">
        <v>9.9500000000000005E-3</v>
      </c>
      <c r="F769">
        <v>3126626.8</v>
      </c>
      <c r="G769">
        <v>0</v>
      </c>
      <c r="L769" t="s">
        <v>7</v>
      </c>
      <c r="M769" t="s">
        <v>7</v>
      </c>
      <c r="N769" t="s">
        <v>7</v>
      </c>
    </row>
    <row r="770" spans="1:14" x14ac:dyDescent="0.25">
      <c r="A770" s="5">
        <v>43824</v>
      </c>
      <c r="B770">
        <v>1.0540000000000001E-2</v>
      </c>
      <c r="C770">
        <v>1.057E-2</v>
      </c>
      <c r="D770">
        <v>9.9000000000000008E-3</v>
      </c>
      <c r="E770">
        <v>1.0290000000000001E-2</v>
      </c>
      <c r="F770">
        <v>4404004.5999999996</v>
      </c>
      <c r="G770">
        <v>0</v>
      </c>
      <c r="L770" t="s">
        <v>7</v>
      </c>
      <c r="M770" t="s">
        <v>7</v>
      </c>
      <c r="N770" t="s">
        <v>7</v>
      </c>
    </row>
    <row r="771" spans="1:14" x14ac:dyDescent="0.25">
      <c r="A771" s="5">
        <v>43823</v>
      </c>
      <c r="B771">
        <v>1.0529999999999999E-2</v>
      </c>
      <c r="C771">
        <v>1.086E-2</v>
      </c>
      <c r="D771">
        <v>1.0359999999999999E-2</v>
      </c>
      <c r="E771">
        <v>1.055E-2</v>
      </c>
      <c r="F771">
        <v>5669048.0999999996</v>
      </c>
      <c r="G771">
        <v>0</v>
      </c>
      <c r="L771" t="s">
        <v>7</v>
      </c>
      <c r="M771" t="s">
        <v>7</v>
      </c>
      <c r="N771" t="s">
        <v>7</v>
      </c>
    </row>
    <row r="772" spans="1:14" x14ac:dyDescent="0.25">
      <c r="A772" s="5">
        <v>43822</v>
      </c>
      <c r="B772">
        <v>1.1560000000000001E-2</v>
      </c>
      <c r="C772">
        <v>1.162E-2</v>
      </c>
      <c r="D772">
        <v>1.039E-2</v>
      </c>
      <c r="E772">
        <v>1.055E-2</v>
      </c>
      <c r="F772">
        <v>8276435</v>
      </c>
      <c r="G772">
        <v>0</v>
      </c>
      <c r="L772" t="s">
        <v>7</v>
      </c>
      <c r="M772" t="s">
        <v>8</v>
      </c>
      <c r="N772" t="s">
        <v>7</v>
      </c>
    </row>
    <row r="773" spans="1:14" x14ac:dyDescent="0.25">
      <c r="A773" s="5">
        <v>43821</v>
      </c>
      <c r="B773">
        <v>1.1299999999999999E-2</v>
      </c>
      <c r="C773">
        <v>1.162E-2</v>
      </c>
      <c r="D773">
        <v>1.108E-2</v>
      </c>
      <c r="E773">
        <v>1.154E-2</v>
      </c>
      <c r="F773">
        <v>5185642.2</v>
      </c>
      <c r="G773">
        <v>0</v>
      </c>
      <c r="L773" t="s">
        <v>7</v>
      </c>
      <c r="M773" t="s">
        <v>8</v>
      </c>
      <c r="N773" t="s">
        <v>7</v>
      </c>
    </row>
    <row r="774" spans="1:14" x14ac:dyDescent="0.25">
      <c r="A774" s="5">
        <v>43820</v>
      </c>
      <c r="B774">
        <v>1.157E-2</v>
      </c>
      <c r="C774">
        <v>1.1610000000000001E-2</v>
      </c>
      <c r="D774">
        <v>1.123E-2</v>
      </c>
      <c r="E774">
        <v>1.1299999999999999E-2</v>
      </c>
      <c r="F774">
        <v>6050680.0999999996</v>
      </c>
      <c r="G774">
        <v>0</v>
      </c>
      <c r="L774" t="s">
        <v>8</v>
      </c>
      <c r="M774" t="s">
        <v>8</v>
      </c>
      <c r="N774" t="s">
        <v>7</v>
      </c>
    </row>
    <row r="775" spans="1:14" x14ac:dyDescent="0.25">
      <c r="A775" s="5">
        <v>43819</v>
      </c>
      <c r="B775">
        <v>1.1259999999999999E-2</v>
      </c>
      <c r="C775">
        <v>1.2999999999999999E-2</v>
      </c>
      <c r="D775">
        <v>1.1039999999999999E-2</v>
      </c>
      <c r="E775">
        <v>1.157E-2</v>
      </c>
      <c r="F775">
        <v>8104248.7999999998</v>
      </c>
      <c r="G775">
        <v>0</v>
      </c>
      <c r="L775" t="s">
        <v>8</v>
      </c>
      <c r="M775" t="s">
        <v>7</v>
      </c>
      <c r="N775" t="s">
        <v>7</v>
      </c>
    </row>
    <row r="776" spans="1:14" x14ac:dyDescent="0.25">
      <c r="A776" s="5">
        <v>43818</v>
      </c>
      <c r="B776">
        <v>1.1390000000000001E-2</v>
      </c>
      <c r="C776">
        <v>1.141E-2</v>
      </c>
      <c r="D776">
        <v>1.0789999999999999E-2</v>
      </c>
      <c r="E776">
        <v>1.129E-2</v>
      </c>
      <c r="F776">
        <v>5473607.9000000004</v>
      </c>
      <c r="G776">
        <v>0</v>
      </c>
      <c r="L776" t="s">
        <v>7</v>
      </c>
      <c r="M776" t="s">
        <v>7</v>
      </c>
      <c r="N776" t="s">
        <v>7</v>
      </c>
    </row>
    <row r="777" spans="1:14" x14ac:dyDescent="0.25">
      <c r="A777" s="5">
        <v>43817</v>
      </c>
      <c r="B777">
        <v>1.022E-2</v>
      </c>
      <c r="C777">
        <v>1.15E-2</v>
      </c>
      <c r="D777">
        <v>9.8600000000000007E-3</v>
      </c>
      <c r="E777">
        <v>1.1390000000000001E-2</v>
      </c>
      <c r="F777">
        <v>3912085.6</v>
      </c>
      <c r="G777">
        <v>0</v>
      </c>
      <c r="L777" t="s">
        <v>7</v>
      </c>
      <c r="M777" t="s">
        <v>7</v>
      </c>
      <c r="N777" t="s">
        <v>7</v>
      </c>
    </row>
    <row r="778" spans="1:14" x14ac:dyDescent="0.25">
      <c r="A778" s="5">
        <v>43816</v>
      </c>
      <c r="B778">
        <v>1.0749999999999999E-2</v>
      </c>
      <c r="C778">
        <v>1.091E-2</v>
      </c>
      <c r="D778">
        <v>1.004E-2</v>
      </c>
      <c r="E778">
        <v>1.0240000000000001E-2</v>
      </c>
      <c r="F778">
        <v>5278921.5999999996</v>
      </c>
      <c r="G778">
        <v>0</v>
      </c>
      <c r="L778" t="s">
        <v>7</v>
      </c>
      <c r="M778" t="s">
        <v>7</v>
      </c>
      <c r="N778" t="s">
        <v>7</v>
      </c>
    </row>
    <row r="779" spans="1:14" x14ac:dyDescent="0.25">
      <c r="A779" s="5">
        <v>43815</v>
      </c>
      <c r="B779">
        <v>1.125E-2</v>
      </c>
      <c r="C779">
        <v>1.129E-2</v>
      </c>
      <c r="D779">
        <v>1.051E-2</v>
      </c>
      <c r="E779">
        <v>1.073E-2</v>
      </c>
      <c r="F779">
        <v>5023193.2</v>
      </c>
      <c r="G779">
        <v>0</v>
      </c>
      <c r="L779" t="s">
        <v>7</v>
      </c>
      <c r="M779" t="s">
        <v>7</v>
      </c>
      <c r="N779" t="s">
        <v>7</v>
      </c>
    </row>
    <row r="780" spans="1:14" x14ac:dyDescent="0.25">
      <c r="A780" s="5">
        <v>43814</v>
      </c>
      <c r="B780">
        <v>1.119E-2</v>
      </c>
      <c r="C780">
        <v>1.146E-2</v>
      </c>
      <c r="D780">
        <v>1.11E-2</v>
      </c>
      <c r="E780">
        <v>1.1259999999999999E-2</v>
      </c>
      <c r="F780">
        <v>3681710.3</v>
      </c>
      <c r="G780">
        <v>0</v>
      </c>
      <c r="L780" t="s">
        <v>8</v>
      </c>
      <c r="M780" t="s">
        <v>7</v>
      </c>
      <c r="N780" t="s">
        <v>7</v>
      </c>
    </row>
    <row r="781" spans="1:14" x14ac:dyDescent="0.25">
      <c r="A781" s="5">
        <v>43813</v>
      </c>
      <c r="B781">
        <v>1.162E-2</v>
      </c>
      <c r="C781">
        <v>1.2E-2</v>
      </c>
      <c r="D781">
        <v>1.085E-2</v>
      </c>
      <c r="E781">
        <v>1.119E-2</v>
      </c>
      <c r="F781">
        <v>3285865.8</v>
      </c>
      <c r="G781">
        <v>0</v>
      </c>
      <c r="L781" t="s">
        <v>8</v>
      </c>
      <c r="M781" t="s">
        <v>7</v>
      </c>
      <c r="N781" t="s">
        <v>7</v>
      </c>
    </row>
    <row r="782" spans="1:14" x14ac:dyDescent="0.25">
      <c r="A782" s="5">
        <v>43812</v>
      </c>
      <c r="B782">
        <v>1.1339999999999999E-2</v>
      </c>
      <c r="C782">
        <v>1.1730000000000001E-2</v>
      </c>
      <c r="D782">
        <v>1.124E-2</v>
      </c>
      <c r="E782">
        <v>1.155E-2</v>
      </c>
      <c r="F782">
        <v>498198.2</v>
      </c>
      <c r="G782">
        <v>0</v>
      </c>
      <c r="L782" t="s">
        <v>8</v>
      </c>
      <c r="M782" t="s">
        <v>7</v>
      </c>
      <c r="N782" t="s">
        <v>7</v>
      </c>
    </row>
    <row r="783" spans="1:14" x14ac:dyDescent="0.25">
      <c r="A783" s="5">
        <v>43811</v>
      </c>
      <c r="B783">
        <v>1.15E-2</v>
      </c>
      <c r="C783">
        <v>1.154E-2</v>
      </c>
      <c r="D783">
        <v>1.0999999999999999E-2</v>
      </c>
      <c r="E783">
        <v>1.133E-2</v>
      </c>
      <c r="F783">
        <v>1608838.9</v>
      </c>
      <c r="G783">
        <v>0</v>
      </c>
      <c r="L783" t="s">
        <v>8</v>
      </c>
      <c r="M783" t="s">
        <v>7</v>
      </c>
      <c r="N783" t="s">
        <v>7</v>
      </c>
    </row>
    <row r="784" spans="1:14" x14ac:dyDescent="0.25">
      <c r="A784" s="5">
        <v>43810</v>
      </c>
      <c r="B784">
        <v>1.1599999999999999E-2</v>
      </c>
      <c r="C784">
        <v>1.174E-2</v>
      </c>
      <c r="D784">
        <v>1.128E-2</v>
      </c>
      <c r="E784">
        <v>1.1440000000000001E-2</v>
      </c>
      <c r="F784">
        <v>810013.8</v>
      </c>
      <c r="G784">
        <v>0</v>
      </c>
      <c r="L784" t="s">
        <v>7</v>
      </c>
      <c r="M784" t="s">
        <v>7</v>
      </c>
      <c r="N784" t="s">
        <v>7</v>
      </c>
    </row>
    <row r="785" spans="1:14" x14ac:dyDescent="0.25">
      <c r="A785" s="5">
        <v>43809</v>
      </c>
      <c r="B785">
        <v>1.2319999999999999E-2</v>
      </c>
      <c r="C785">
        <v>1.2319999999999999E-2</v>
      </c>
      <c r="D785">
        <v>1.09E-2</v>
      </c>
      <c r="E785">
        <v>1.154E-2</v>
      </c>
      <c r="F785">
        <v>8444924.9000000004</v>
      </c>
      <c r="G785">
        <v>0</v>
      </c>
      <c r="L785" t="s">
        <v>7</v>
      </c>
      <c r="M785" t="s">
        <v>8</v>
      </c>
      <c r="N785" t="s">
        <v>7</v>
      </c>
    </row>
    <row r="786" spans="1:14" x14ac:dyDescent="0.25">
      <c r="A786" s="5">
        <v>43808</v>
      </c>
      <c r="B786">
        <v>1.294E-2</v>
      </c>
      <c r="C786">
        <v>1.319E-2</v>
      </c>
      <c r="D786">
        <v>1.222E-2</v>
      </c>
      <c r="E786">
        <v>1.2239999999999999E-2</v>
      </c>
      <c r="F786">
        <v>6322259.7000000002</v>
      </c>
      <c r="G786">
        <v>0</v>
      </c>
      <c r="L786" t="s">
        <v>8</v>
      </c>
      <c r="M786" t="s">
        <v>8</v>
      </c>
      <c r="N786" t="s">
        <v>7</v>
      </c>
    </row>
    <row r="787" spans="1:14" x14ac:dyDescent="0.25">
      <c r="A787" s="5">
        <v>43807</v>
      </c>
      <c r="B787">
        <v>1.345E-2</v>
      </c>
      <c r="C787">
        <v>1.353E-2</v>
      </c>
      <c r="D787">
        <v>1.291E-2</v>
      </c>
      <c r="E787">
        <v>1.2959999999999999E-2</v>
      </c>
      <c r="F787">
        <v>7442055.5999999996</v>
      </c>
      <c r="G787">
        <v>0</v>
      </c>
      <c r="L787" t="s">
        <v>8</v>
      </c>
      <c r="M787" t="s">
        <v>8</v>
      </c>
      <c r="N787" t="s">
        <v>7</v>
      </c>
    </row>
    <row r="788" spans="1:14" x14ac:dyDescent="0.25">
      <c r="A788" s="5">
        <v>43806</v>
      </c>
      <c r="B788">
        <v>1.303E-2</v>
      </c>
      <c r="C788">
        <v>1.355E-2</v>
      </c>
      <c r="D788">
        <v>1.285E-2</v>
      </c>
      <c r="E788">
        <v>1.345E-2</v>
      </c>
      <c r="F788">
        <v>15179638.699999999</v>
      </c>
      <c r="G788">
        <v>0</v>
      </c>
      <c r="L788" t="s">
        <v>7</v>
      </c>
      <c r="M788" t="s">
        <v>8</v>
      </c>
      <c r="N788" t="s">
        <v>7</v>
      </c>
    </row>
    <row r="789" spans="1:14" x14ac:dyDescent="0.25">
      <c r="A789" s="5">
        <v>43805</v>
      </c>
      <c r="B789">
        <v>1.2500000000000001E-2</v>
      </c>
      <c r="C789">
        <v>1.354E-2</v>
      </c>
      <c r="D789">
        <v>1.225E-2</v>
      </c>
      <c r="E789">
        <v>1.302E-2</v>
      </c>
      <c r="F789">
        <v>16610899.300000001</v>
      </c>
      <c r="G789">
        <v>0</v>
      </c>
      <c r="L789" t="s">
        <v>8</v>
      </c>
      <c r="M789" t="s">
        <v>8</v>
      </c>
      <c r="N789" t="s">
        <v>7</v>
      </c>
    </row>
    <row r="790" spans="1:14" x14ac:dyDescent="0.25">
      <c r="A790" s="5">
        <v>43804</v>
      </c>
      <c r="B790">
        <v>1.1979999999999999E-2</v>
      </c>
      <c r="C790">
        <v>1.338E-2</v>
      </c>
      <c r="D790">
        <v>1.1950000000000001E-2</v>
      </c>
      <c r="E790">
        <v>1.251E-2</v>
      </c>
      <c r="F790">
        <v>13495036.800000001</v>
      </c>
      <c r="G790">
        <v>0</v>
      </c>
      <c r="L790" t="s">
        <v>8</v>
      </c>
      <c r="M790" t="s">
        <v>8</v>
      </c>
      <c r="N790" t="s">
        <v>7</v>
      </c>
    </row>
    <row r="791" spans="1:14" x14ac:dyDescent="0.25">
      <c r="A791" s="5">
        <v>43803</v>
      </c>
      <c r="B791">
        <v>1.213E-2</v>
      </c>
      <c r="C791">
        <v>1.294E-2</v>
      </c>
      <c r="D791">
        <v>1.17E-2</v>
      </c>
      <c r="E791">
        <v>1.1979999999999999E-2</v>
      </c>
      <c r="F791">
        <v>8160748.2999999998</v>
      </c>
      <c r="G791">
        <v>0</v>
      </c>
      <c r="L791" t="s">
        <v>8</v>
      </c>
      <c r="M791" t="s">
        <v>8</v>
      </c>
      <c r="N791" t="s">
        <v>7</v>
      </c>
    </row>
    <row r="792" spans="1:14" x14ac:dyDescent="0.25">
      <c r="A792" s="5">
        <v>43802</v>
      </c>
      <c r="B792">
        <v>1.184E-2</v>
      </c>
      <c r="C792">
        <v>1.26E-2</v>
      </c>
      <c r="D792">
        <v>1.183E-2</v>
      </c>
      <c r="E792">
        <v>1.2120000000000001E-2</v>
      </c>
      <c r="F792">
        <v>6405726</v>
      </c>
      <c r="G792">
        <v>0</v>
      </c>
      <c r="L792" t="s">
        <v>7</v>
      </c>
      <c r="M792" t="s">
        <v>8</v>
      </c>
      <c r="N792" t="s">
        <v>7</v>
      </c>
    </row>
    <row r="793" spans="1:14" x14ac:dyDescent="0.25">
      <c r="A793" s="5">
        <v>43801</v>
      </c>
      <c r="B793">
        <v>1.201E-2</v>
      </c>
      <c r="C793">
        <v>1.206E-2</v>
      </c>
      <c r="D793">
        <v>1.1650000000000001E-2</v>
      </c>
      <c r="E793">
        <v>1.184E-2</v>
      </c>
      <c r="F793">
        <v>4349372.9000000004</v>
      </c>
      <c r="G793">
        <v>0</v>
      </c>
      <c r="L793" t="s">
        <v>7</v>
      </c>
      <c r="M793" t="s">
        <v>8</v>
      </c>
      <c r="N793" t="s">
        <v>7</v>
      </c>
    </row>
    <row r="794" spans="1:14" x14ac:dyDescent="0.25">
      <c r="A794" s="5">
        <v>43800</v>
      </c>
      <c r="B794">
        <v>1.2279999999999999E-2</v>
      </c>
      <c r="C794">
        <v>1.26E-2</v>
      </c>
      <c r="D794">
        <v>1.166E-2</v>
      </c>
      <c r="E794">
        <v>1.2E-2</v>
      </c>
      <c r="F794">
        <v>6202704.4000000004</v>
      </c>
      <c r="G794">
        <v>0</v>
      </c>
      <c r="L794" t="s">
        <v>8</v>
      </c>
      <c r="M794" t="s">
        <v>8</v>
      </c>
      <c r="N794" t="s">
        <v>7</v>
      </c>
    </row>
    <row r="795" spans="1:14" x14ac:dyDescent="0.25">
      <c r="A795" s="5">
        <v>43799</v>
      </c>
      <c r="B795">
        <v>1.2370000000000001E-2</v>
      </c>
      <c r="C795">
        <v>1.2619999999999999E-2</v>
      </c>
      <c r="D795">
        <v>1.197E-2</v>
      </c>
      <c r="E795">
        <v>1.23E-2</v>
      </c>
      <c r="F795">
        <v>4272178.8</v>
      </c>
      <c r="G795">
        <v>0</v>
      </c>
      <c r="L795" t="s">
        <v>8</v>
      </c>
      <c r="M795" t="s">
        <v>8</v>
      </c>
      <c r="N795" t="s">
        <v>7</v>
      </c>
    </row>
    <row r="796" spans="1:14" x14ac:dyDescent="0.25">
      <c r="A796" s="5">
        <v>43798</v>
      </c>
      <c r="B796">
        <v>1.187E-2</v>
      </c>
      <c r="C796">
        <v>1.2659999999999999E-2</v>
      </c>
      <c r="D796">
        <v>1.183E-2</v>
      </c>
      <c r="E796">
        <v>1.238E-2</v>
      </c>
      <c r="F796">
        <v>6241936.5999999996</v>
      </c>
      <c r="G796">
        <v>0</v>
      </c>
      <c r="L796" t="s">
        <v>8</v>
      </c>
      <c r="M796" t="s">
        <v>8</v>
      </c>
      <c r="N796" t="s">
        <v>7</v>
      </c>
    </row>
    <row r="797" spans="1:14" x14ac:dyDescent="0.25">
      <c r="A797" s="5">
        <v>43797</v>
      </c>
      <c r="B797">
        <v>1.1979999999999999E-2</v>
      </c>
      <c r="C797">
        <v>1.223E-2</v>
      </c>
      <c r="D797">
        <v>1.1639999999999999E-2</v>
      </c>
      <c r="E797">
        <v>1.187E-2</v>
      </c>
      <c r="F797">
        <v>5618267.2999999998</v>
      </c>
      <c r="G797">
        <v>0</v>
      </c>
      <c r="L797" t="s">
        <v>7</v>
      </c>
      <c r="M797" t="s">
        <v>8</v>
      </c>
      <c r="N797" t="s">
        <v>7</v>
      </c>
    </row>
    <row r="798" spans="1:14" x14ac:dyDescent="0.25">
      <c r="A798" s="5">
        <v>43796</v>
      </c>
      <c r="B798">
        <v>1.1950000000000001E-2</v>
      </c>
      <c r="C798">
        <v>1.225E-2</v>
      </c>
      <c r="D798">
        <v>1.0959999999999999E-2</v>
      </c>
      <c r="E798">
        <v>1.1990000000000001E-2</v>
      </c>
      <c r="F798">
        <v>8487222.4000000004</v>
      </c>
      <c r="G798">
        <v>0</v>
      </c>
      <c r="L798" t="s">
        <v>8</v>
      </c>
      <c r="M798" t="s">
        <v>8</v>
      </c>
      <c r="N798" t="s">
        <v>7</v>
      </c>
    </row>
    <row r="799" spans="1:14" x14ac:dyDescent="0.25">
      <c r="A799" s="5">
        <v>43795</v>
      </c>
      <c r="B799">
        <v>1.14E-2</v>
      </c>
      <c r="C799">
        <v>1.2160000000000001E-2</v>
      </c>
      <c r="D799">
        <v>1.136E-2</v>
      </c>
      <c r="E799">
        <v>1.1950000000000001E-2</v>
      </c>
      <c r="F799">
        <v>6212341.7000000002</v>
      </c>
      <c r="G799">
        <v>0</v>
      </c>
      <c r="L799" t="s">
        <v>7</v>
      </c>
      <c r="M799" t="s">
        <v>8</v>
      </c>
      <c r="N799" t="s">
        <v>7</v>
      </c>
    </row>
    <row r="800" spans="1:14" x14ac:dyDescent="0.25">
      <c r="A800" s="5">
        <v>43794</v>
      </c>
      <c r="B800">
        <v>1.085E-2</v>
      </c>
      <c r="C800">
        <v>1.2109999999999999E-2</v>
      </c>
      <c r="D800">
        <v>9.7699999999999992E-3</v>
      </c>
      <c r="E800">
        <v>1.137E-2</v>
      </c>
      <c r="F800">
        <v>7850340.4000000004</v>
      </c>
      <c r="G800">
        <v>0</v>
      </c>
      <c r="L800" t="s">
        <v>7</v>
      </c>
      <c r="M800" t="s">
        <v>7</v>
      </c>
      <c r="N800" t="s">
        <v>7</v>
      </c>
    </row>
    <row r="801" spans="1:14" x14ac:dyDescent="0.25">
      <c r="A801" s="5">
        <v>43793</v>
      </c>
      <c r="B801">
        <v>1.171E-2</v>
      </c>
      <c r="C801">
        <v>1.171E-2</v>
      </c>
      <c r="D801">
        <v>1.0749999999999999E-2</v>
      </c>
      <c r="E801">
        <v>1.085E-2</v>
      </c>
      <c r="F801">
        <v>4289831.2</v>
      </c>
      <c r="G801">
        <v>0</v>
      </c>
      <c r="L801" t="s">
        <v>8</v>
      </c>
      <c r="M801" t="s">
        <v>7</v>
      </c>
      <c r="N801" t="s">
        <v>7</v>
      </c>
    </row>
    <row r="802" spans="1:14" x14ac:dyDescent="0.25">
      <c r="A802" s="5">
        <v>43792</v>
      </c>
      <c r="B802">
        <v>1.141E-2</v>
      </c>
      <c r="C802">
        <v>1.175E-2</v>
      </c>
      <c r="D802">
        <v>1.0999999999999999E-2</v>
      </c>
      <c r="E802">
        <v>1.174E-2</v>
      </c>
      <c r="F802">
        <v>4466599.8</v>
      </c>
      <c r="G802">
        <v>0</v>
      </c>
      <c r="L802" t="s">
        <v>7</v>
      </c>
      <c r="M802" t="s">
        <v>7</v>
      </c>
      <c r="N802" t="s">
        <v>7</v>
      </c>
    </row>
    <row r="803" spans="1:14" x14ac:dyDescent="0.25">
      <c r="A803" s="5">
        <v>43791</v>
      </c>
      <c r="B803">
        <v>1.1809999999999999E-2</v>
      </c>
      <c r="C803">
        <v>1.2500000000000001E-2</v>
      </c>
      <c r="D803">
        <v>0.01</v>
      </c>
      <c r="E803">
        <v>1.153E-2</v>
      </c>
      <c r="F803">
        <v>7513695.7999999998</v>
      </c>
      <c r="G803">
        <v>0</v>
      </c>
      <c r="L803" t="s">
        <v>7</v>
      </c>
      <c r="M803" t="s">
        <v>7</v>
      </c>
      <c r="N803" t="s">
        <v>7</v>
      </c>
    </row>
    <row r="804" spans="1:14" x14ac:dyDescent="0.25">
      <c r="A804" s="5">
        <v>43790</v>
      </c>
      <c r="B804">
        <v>1.2760000000000001E-2</v>
      </c>
      <c r="C804">
        <v>1.2829999999999999E-2</v>
      </c>
      <c r="D804">
        <v>1.0789999999999999E-2</v>
      </c>
      <c r="E804">
        <v>1.179E-2</v>
      </c>
      <c r="F804">
        <v>5522324.7999999998</v>
      </c>
      <c r="G804">
        <v>0</v>
      </c>
      <c r="L804" t="s">
        <v>7</v>
      </c>
      <c r="M804" t="s">
        <v>7</v>
      </c>
      <c r="N804" t="s">
        <v>7</v>
      </c>
    </row>
    <row r="805" spans="1:14" x14ac:dyDescent="0.25">
      <c r="A805" s="5">
        <v>43789</v>
      </c>
      <c r="B805">
        <v>1.306E-2</v>
      </c>
      <c r="C805">
        <v>1.323E-2</v>
      </c>
      <c r="D805">
        <v>1.269E-2</v>
      </c>
      <c r="E805">
        <v>1.2749999999999999E-2</v>
      </c>
      <c r="F805">
        <v>3843516.2</v>
      </c>
      <c r="G805">
        <v>0</v>
      </c>
      <c r="L805" t="s">
        <v>7</v>
      </c>
      <c r="M805" t="s">
        <v>7</v>
      </c>
      <c r="N805" t="s">
        <v>7</v>
      </c>
    </row>
    <row r="806" spans="1:14" x14ac:dyDescent="0.25">
      <c r="A806" s="5">
        <v>43788</v>
      </c>
      <c r="B806">
        <v>1.3390000000000001E-2</v>
      </c>
      <c r="C806">
        <v>1.3429999999999999E-2</v>
      </c>
      <c r="D806">
        <v>1.252E-2</v>
      </c>
      <c r="E806">
        <v>1.306E-2</v>
      </c>
      <c r="F806">
        <v>4970597.5999999996</v>
      </c>
      <c r="G806">
        <v>0</v>
      </c>
      <c r="L806" t="s">
        <v>7</v>
      </c>
      <c r="M806" t="s">
        <v>7</v>
      </c>
      <c r="N806" t="s">
        <v>7</v>
      </c>
    </row>
    <row r="807" spans="1:14" x14ac:dyDescent="0.25">
      <c r="A807" s="5">
        <v>43787</v>
      </c>
      <c r="B807">
        <v>1.431E-2</v>
      </c>
      <c r="C807">
        <v>1.431E-2</v>
      </c>
      <c r="D807">
        <v>1.321E-2</v>
      </c>
      <c r="E807">
        <v>1.34E-2</v>
      </c>
      <c r="F807">
        <v>3722334.6</v>
      </c>
      <c r="G807">
        <v>0</v>
      </c>
      <c r="L807" t="s">
        <v>8</v>
      </c>
      <c r="M807" t="s">
        <v>7</v>
      </c>
      <c r="N807" t="s">
        <v>7</v>
      </c>
    </row>
    <row r="808" spans="1:14" x14ac:dyDescent="0.25">
      <c r="A808" s="5">
        <v>43786</v>
      </c>
      <c r="B808">
        <v>1.392E-2</v>
      </c>
      <c r="C808">
        <v>1.448E-2</v>
      </c>
      <c r="D808">
        <v>1.383E-2</v>
      </c>
      <c r="E808">
        <v>1.434E-2</v>
      </c>
      <c r="F808">
        <v>4463338.5</v>
      </c>
      <c r="G808">
        <v>0</v>
      </c>
      <c r="L808" t="s">
        <v>7</v>
      </c>
      <c r="M808" t="s">
        <v>7</v>
      </c>
      <c r="N808" t="s">
        <v>7</v>
      </c>
    </row>
    <row r="809" spans="1:14" x14ac:dyDescent="0.25">
      <c r="A809" s="5">
        <v>43785</v>
      </c>
      <c r="B809">
        <v>1.389E-2</v>
      </c>
      <c r="C809">
        <v>1.401E-2</v>
      </c>
      <c r="D809">
        <v>1.367E-2</v>
      </c>
      <c r="E809">
        <v>1.389E-2</v>
      </c>
      <c r="F809">
        <v>2613266.5</v>
      </c>
      <c r="G809">
        <v>0</v>
      </c>
      <c r="L809" t="s">
        <v>7</v>
      </c>
      <c r="M809" t="s">
        <v>7</v>
      </c>
      <c r="N809" t="s">
        <v>7</v>
      </c>
    </row>
    <row r="810" spans="1:14" x14ac:dyDescent="0.25">
      <c r="A810" s="5">
        <v>43784</v>
      </c>
      <c r="B810">
        <v>1.435E-2</v>
      </c>
      <c r="C810">
        <v>1.4420000000000001E-2</v>
      </c>
      <c r="D810">
        <v>1.3599999999999999E-2</v>
      </c>
      <c r="E810">
        <v>1.389E-2</v>
      </c>
      <c r="F810">
        <v>4543657.4000000004</v>
      </c>
      <c r="G810">
        <v>0</v>
      </c>
      <c r="L810" t="s">
        <v>7</v>
      </c>
      <c r="M810" t="s">
        <v>7</v>
      </c>
      <c r="N810" t="s">
        <v>7</v>
      </c>
    </row>
    <row r="811" spans="1:14" x14ac:dyDescent="0.25">
      <c r="A811" s="5">
        <v>43783</v>
      </c>
      <c r="B811">
        <v>1.49E-2</v>
      </c>
      <c r="C811">
        <v>1.49E-2</v>
      </c>
      <c r="D811">
        <v>1.414E-2</v>
      </c>
      <c r="E811">
        <v>1.4370000000000001E-2</v>
      </c>
      <c r="F811">
        <v>3977382.8</v>
      </c>
      <c r="G811">
        <v>0</v>
      </c>
      <c r="L811" t="s">
        <v>8</v>
      </c>
      <c r="M811" t="s">
        <v>7</v>
      </c>
      <c r="N811" t="s">
        <v>7</v>
      </c>
    </row>
    <row r="812" spans="1:14" x14ac:dyDescent="0.25">
      <c r="A812" s="5">
        <v>43782</v>
      </c>
      <c r="B812">
        <v>1.457E-2</v>
      </c>
      <c r="C812">
        <v>1.52E-2</v>
      </c>
      <c r="D812">
        <v>1.44E-2</v>
      </c>
      <c r="E812">
        <v>1.49E-2</v>
      </c>
      <c r="F812">
        <v>4638288.9000000004</v>
      </c>
      <c r="G812">
        <v>0</v>
      </c>
      <c r="L812" t="s">
        <v>8</v>
      </c>
      <c r="M812" t="s">
        <v>7</v>
      </c>
      <c r="N812" t="s">
        <v>7</v>
      </c>
    </row>
    <row r="813" spans="1:14" x14ac:dyDescent="0.25">
      <c r="A813" s="5">
        <v>43781</v>
      </c>
      <c r="B813">
        <v>1.456E-2</v>
      </c>
      <c r="C813">
        <v>1.4840000000000001E-2</v>
      </c>
      <c r="D813">
        <v>1.43E-2</v>
      </c>
      <c r="E813">
        <v>1.455E-2</v>
      </c>
      <c r="F813">
        <v>3719451.4</v>
      </c>
      <c r="G813">
        <v>0</v>
      </c>
      <c r="L813" t="s">
        <v>8</v>
      </c>
      <c r="M813" t="s">
        <v>7</v>
      </c>
      <c r="N813" t="s">
        <v>7</v>
      </c>
    </row>
    <row r="814" spans="1:14" x14ac:dyDescent="0.25">
      <c r="A814" s="5">
        <v>43780</v>
      </c>
      <c r="B814">
        <v>1.507E-2</v>
      </c>
      <c r="C814">
        <v>1.5169999999999999E-2</v>
      </c>
      <c r="D814">
        <v>1.4319999999999999E-2</v>
      </c>
      <c r="E814">
        <v>1.456E-2</v>
      </c>
      <c r="F814">
        <v>5119185.5</v>
      </c>
      <c r="G814">
        <v>0</v>
      </c>
      <c r="L814" t="s">
        <v>8</v>
      </c>
      <c r="M814" t="s">
        <v>7</v>
      </c>
      <c r="N814" t="s">
        <v>7</v>
      </c>
    </row>
    <row r="815" spans="1:14" x14ac:dyDescent="0.25">
      <c r="A815" s="5">
        <v>43779</v>
      </c>
      <c r="B815">
        <v>1.4959999999999999E-2</v>
      </c>
      <c r="C815">
        <v>1.523E-2</v>
      </c>
      <c r="D815">
        <v>1.465E-2</v>
      </c>
      <c r="E815">
        <v>1.507E-2</v>
      </c>
      <c r="F815">
        <v>3416598.9</v>
      </c>
      <c r="G815">
        <v>0</v>
      </c>
      <c r="L815" t="s">
        <v>8</v>
      </c>
      <c r="M815" t="s">
        <v>7</v>
      </c>
      <c r="N815" t="s">
        <v>7</v>
      </c>
    </row>
    <row r="816" spans="1:14" x14ac:dyDescent="0.25">
      <c r="A816" s="5">
        <v>43778</v>
      </c>
      <c r="B816">
        <v>1.4500000000000001E-2</v>
      </c>
      <c r="C816">
        <v>1.5299999999999999E-2</v>
      </c>
      <c r="D816">
        <v>1.438E-2</v>
      </c>
      <c r="E816">
        <v>1.4959999999999999E-2</v>
      </c>
      <c r="F816">
        <v>4121376.9</v>
      </c>
      <c r="G816">
        <v>0</v>
      </c>
      <c r="L816" t="s">
        <v>7</v>
      </c>
      <c r="M816" t="s">
        <v>7</v>
      </c>
      <c r="N816" t="s">
        <v>7</v>
      </c>
    </row>
    <row r="817" spans="1:14" x14ac:dyDescent="0.25">
      <c r="A817" s="5">
        <v>43777</v>
      </c>
      <c r="B817">
        <v>1.5350000000000001E-2</v>
      </c>
      <c r="C817">
        <v>1.5440000000000001E-2</v>
      </c>
      <c r="D817">
        <v>1.405E-2</v>
      </c>
      <c r="E817">
        <v>1.4500000000000001E-2</v>
      </c>
      <c r="F817">
        <v>6871053.7999999998</v>
      </c>
      <c r="G817">
        <v>0</v>
      </c>
      <c r="L817" t="s">
        <v>7</v>
      </c>
      <c r="M817" t="s">
        <v>7</v>
      </c>
      <c r="N817" t="s">
        <v>7</v>
      </c>
    </row>
    <row r="818" spans="1:14" x14ac:dyDescent="0.25">
      <c r="A818" s="5">
        <v>43776</v>
      </c>
      <c r="B818">
        <v>1.566E-2</v>
      </c>
      <c r="C818">
        <v>1.583E-2</v>
      </c>
      <c r="D818">
        <v>1.503E-2</v>
      </c>
      <c r="E818">
        <v>1.5350000000000001E-2</v>
      </c>
      <c r="F818">
        <v>4495880.9000000004</v>
      </c>
      <c r="G818">
        <v>0</v>
      </c>
      <c r="L818" t="s">
        <v>7</v>
      </c>
      <c r="M818" t="s">
        <v>7</v>
      </c>
      <c r="N818" t="s">
        <v>7</v>
      </c>
    </row>
    <row r="819" spans="1:14" x14ac:dyDescent="0.25">
      <c r="A819" s="5">
        <v>43775</v>
      </c>
      <c r="B819">
        <v>1.618E-2</v>
      </c>
      <c r="C819">
        <v>1.6330000000000001E-2</v>
      </c>
      <c r="D819">
        <v>1.5599999999999999E-2</v>
      </c>
      <c r="E819">
        <v>1.5650000000000001E-2</v>
      </c>
      <c r="F819">
        <v>4636367.3</v>
      </c>
      <c r="G819">
        <v>0</v>
      </c>
      <c r="L819" t="s">
        <v>8</v>
      </c>
      <c r="M819" t="s">
        <v>7</v>
      </c>
      <c r="N819" t="s">
        <v>7</v>
      </c>
    </row>
    <row r="820" spans="1:14" x14ac:dyDescent="0.25">
      <c r="A820" s="5">
        <v>43774</v>
      </c>
      <c r="B820">
        <v>1.6310000000000002E-2</v>
      </c>
      <c r="C820">
        <v>1.6629999999999999E-2</v>
      </c>
      <c r="D820">
        <v>1.5679999999999999E-2</v>
      </c>
      <c r="E820">
        <v>1.618E-2</v>
      </c>
      <c r="F820">
        <v>5654908.9000000004</v>
      </c>
      <c r="G820">
        <v>0</v>
      </c>
      <c r="L820" t="s">
        <v>8</v>
      </c>
      <c r="M820" t="s">
        <v>7</v>
      </c>
      <c r="N820" t="s">
        <v>7</v>
      </c>
    </row>
    <row r="821" spans="1:14" x14ac:dyDescent="0.25">
      <c r="A821" s="5">
        <v>43773</v>
      </c>
      <c r="B821">
        <v>1.593E-2</v>
      </c>
      <c r="C821">
        <v>1.6879999999999999E-2</v>
      </c>
      <c r="D821">
        <v>1.545E-2</v>
      </c>
      <c r="E821">
        <v>1.6490000000000001E-2</v>
      </c>
      <c r="F821">
        <v>16579534.300000001</v>
      </c>
      <c r="G821">
        <v>0</v>
      </c>
      <c r="L821" t="s">
        <v>8</v>
      </c>
      <c r="M821" t="s">
        <v>7</v>
      </c>
      <c r="N821" t="s">
        <v>7</v>
      </c>
    </row>
    <row r="822" spans="1:14" x14ac:dyDescent="0.25">
      <c r="A822" s="5">
        <v>43772</v>
      </c>
      <c r="B822">
        <v>1.537E-2</v>
      </c>
      <c r="C822">
        <v>1.6379999999999999E-2</v>
      </c>
      <c r="D822">
        <v>1.4930000000000001E-2</v>
      </c>
      <c r="E822">
        <v>1.592E-2</v>
      </c>
      <c r="F822">
        <v>9078303.1999999993</v>
      </c>
      <c r="G822">
        <v>0</v>
      </c>
      <c r="L822" t="s">
        <v>7</v>
      </c>
      <c r="M822" t="s">
        <v>7</v>
      </c>
      <c r="N822" t="s">
        <v>7</v>
      </c>
    </row>
    <row r="823" spans="1:14" x14ac:dyDescent="0.25">
      <c r="A823" s="5">
        <v>43771</v>
      </c>
      <c r="B823">
        <v>1.546E-2</v>
      </c>
      <c r="C823">
        <v>1.5709999999999998E-2</v>
      </c>
      <c r="D823">
        <v>1.5169999999999999E-2</v>
      </c>
      <c r="E823">
        <v>1.538E-2</v>
      </c>
      <c r="F823">
        <v>2315167.2000000002</v>
      </c>
      <c r="G823">
        <v>0</v>
      </c>
      <c r="L823" t="s">
        <v>7</v>
      </c>
      <c r="M823" t="s">
        <v>7</v>
      </c>
      <c r="N823" t="s">
        <v>7</v>
      </c>
    </row>
    <row r="824" spans="1:14" x14ac:dyDescent="0.25">
      <c r="A824" s="5">
        <v>43770</v>
      </c>
      <c r="B824">
        <v>1.5389999999999999E-2</v>
      </c>
      <c r="C824">
        <v>1.5699999999999999E-2</v>
      </c>
      <c r="D824">
        <v>1.5049999999999999E-2</v>
      </c>
      <c r="E824">
        <v>1.5350000000000001E-2</v>
      </c>
      <c r="F824">
        <v>2720255.4</v>
      </c>
      <c r="G824">
        <v>0</v>
      </c>
      <c r="L824" t="s">
        <v>7</v>
      </c>
      <c r="M824" t="s">
        <v>7</v>
      </c>
      <c r="N824" t="s">
        <v>7</v>
      </c>
    </row>
    <row r="825" spans="1:14" x14ac:dyDescent="0.25">
      <c r="A825" s="5">
        <v>43769</v>
      </c>
      <c r="B825">
        <v>1.529E-2</v>
      </c>
      <c r="C825">
        <v>1.5800000000000002E-2</v>
      </c>
      <c r="D825">
        <v>1.502E-2</v>
      </c>
      <c r="E825">
        <v>1.5389999999999999E-2</v>
      </c>
      <c r="F825">
        <v>4006041.4</v>
      </c>
      <c r="G825">
        <v>0</v>
      </c>
      <c r="L825" t="s">
        <v>7</v>
      </c>
      <c r="M825" t="s">
        <v>8</v>
      </c>
      <c r="N825" t="s">
        <v>7</v>
      </c>
    </row>
    <row r="826" spans="1:14" x14ac:dyDescent="0.25">
      <c r="A826" s="5">
        <v>43768</v>
      </c>
      <c r="B826">
        <v>1.5859999999999999E-2</v>
      </c>
      <c r="C826">
        <v>1.619E-2</v>
      </c>
      <c r="D826">
        <v>1.511E-2</v>
      </c>
      <c r="E826">
        <v>1.529E-2</v>
      </c>
      <c r="F826">
        <v>5732144.5</v>
      </c>
      <c r="G826">
        <v>0</v>
      </c>
      <c r="L826" t="s">
        <v>7</v>
      </c>
      <c r="M826" t="s">
        <v>8</v>
      </c>
      <c r="N826" t="s">
        <v>7</v>
      </c>
    </row>
    <row r="827" spans="1:14" x14ac:dyDescent="0.25">
      <c r="A827" s="5">
        <v>43767</v>
      </c>
      <c r="B827">
        <v>1.7160000000000002E-2</v>
      </c>
      <c r="C827">
        <v>1.746E-2</v>
      </c>
      <c r="D827">
        <v>1.5610000000000001E-2</v>
      </c>
      <c r="E827">
        <v>1.5959999999999998E-2</v>
      </c>
      <c r="F827">
        <v>5761597.4000000004</v>
      </c>
      <c r="G827">
        <v>0</v>
      </c>
      <c r="L827" t="s">
        <v>7</v>
      </c>
      <c r="M827" t="s">
        <v>8</v>
      </c>
      <c r="N827" t="s">
        <v>7</v>
      </c>
    </row>
    <row r="828" spans="1:14" x14ac:dyDescent="0.25">
      <c r="A828" s="5">
        <v>43766</v>
      </c>
      <c r="B828">
        <v>1.6809999999999999E-2</v>
      </c>
      <c r="C828">
        <v>1.7399999999999999E-2</v>
      </c>
      <c r="D828">
        <v>1.5800000000000002E-2</v>
      </c>
      <c r="E828">
        <v>1.7219999999999999E-2</v>
      </c>
      <c r="F828">
        <v>7893813.5999999996</v>
      </c>
      <c r="G828">
        <v>0</v>
      </c>
      <c r="L828" t="s">
        <v>8</v>
      </c>
      <c r="M828" t="s">
        <v>7</v>
      </c>
      <c r="N828" t="s">
        <v>7</v>
      </c>
    </row>
    <row r="829" spans="1:14" x14ac:dyDescent="0.25">
      <c r="A829" s="5">
        <v>43765</v>
      </c>
      <c r="B829">
        <v>1.436E-2</v>
      </c>
      <c r="C829">
        <v>1.7399999999999999E-2</v>
      </c>
      <c r="D829">
        <v>1.37E-2</v>
      </c>
      <c r="E829">
        <v>1.6799999999999999E-2</v>
      </c>
      <c r="F829">
        <v>22133602.800000001</v>
      </c>
      <c r="G829">
        <v>0</v>
      </c>
      <c r="L829" t="s">
        <v>8</v>
      </c>
      <c r="M829" t="s">
        <v>8</v>
      </c>
      <c r="N829" t="s">
        <v>7</v>
      </c>
    </row>
    <row r="830" spans="1:14" x14ac:dyDescent="0.25">
      <c r="A830" s="5">
        <v>43764</v>
      </c>
      <c r="B830">
        <v>1.511E-2</v>
      </c>
      <c r="C830">
        <v>1.66E-2</v>
      </c>
      <c r="D830">
        <v>1.3690000000000001E-2</v>
      </c>
      <c r="E830">
        <v>1.435E-2</v>
      </c>
      <c r="F830">
        <v>18600334.800000001</v>
      </c>
      <c r="G830">
        <v>0</v>
      </c>
      <c r="L830" t="s">
        <v>8</v>
      </c>
      <c r="M830" t="s">
        <v>8</v>
      </c>
      <c r="N830" t="s">
        <v>7</v>
      </c>
    </row>
    <row r="831" spans="1:14" x14ac:dyDescent="0.25">
      <c r="A831" s="5">
        <v>43763</v>
      </c>
      <c r="B831">
        <v>1.379E-2</v>
      </c>
      <c r="C831">
        <v>1.5339999999999999E-2</v>
      </c>
      <c r="D831">
        <v>1.3010000000000001E-2</v>
      </c>
      <c r="E831">
        <v>1.516E-2</v>
      </c>
      <c r="F831">
        <v>22493432.600000001</v>
      </c>
      <c r="G831">
        <v>0</v>
      </c>
      <c r="L831" t="s">
        <v>7</v>
      </c>
      <c r="M831" t="s">
        <v>7</v>
      </c>
      <c r="N831" t="s">
        <v>7</v>
      </c>
    </row>
    <row r="832" spans="1:14" x14ac:dyDescent="0.25">
      <c r="A832" s="5">
        <v>43762</v>
      </c>
      <c r="B832">
        <v>1.3849999999999999E-2</v>
      </c>
      <c r="C832">
        <v>1.3979999999999999E-2</v>
      </c>
      <c r="D832">
        <v>1.2999999999999999E-2</v>
      </c>
      <c r="E832">
        <v>1.376E-2</v>
      </c>
      <c r="F832">
        <v>11838343.4</v>
      </c>
      <c r="G832">
        <v>0</v>
      </c>
      <c r="L832" t="s">
        <v>7</v>
      </c>
      <c r="M832" t="s">
        <v>7</v>
      </c>
      <c r="N832" t="s">
        <v>7</v>
      </c>
    </row>
    <row r="833" spans="1:14" x14ac:dyDescent="0.25">
      <c r="A833" s="5">
        <v>43761</v>
      </c>
      <c r="B833">
        <v>1.5959999999999998E-2</v>
      </c>
      <c r="C833">
        <v>1.6369999999999999E-2</v>
      </c>
      <c r="D833">
        <v>1.3650000000000001E-2</v>
      </c>
      <c r="E833">
        <v>1.3849999999999999E-2</v>
      </c>
      <c r="F833">
        <v>12209994.9</v>
      </c>
      <c r="G833">
        <v>0</v>
      </c>
      <c r="L833" t="s">
        <v>8</v>
      </c>
      <c r="M833" t="s">
        <v>7</v>
      </c>
      <c r="N833" t="s">
        <v>8</v>
      </c>
    </row>
    <row r="834" spans="1:14" x14ac:dyDescent="0.25">
      <c r="A834" s="5">
        <v>43760</v>
      </c>
      <c r="B834">
        <v>1.6979999999999999E-2</v>
      </c>
      <c r="C834">
        <v>1.763E-2</v>
      </c>
      <c r="D834">
        <v>1.5959999999999998E-2</v>
      </c>
      <c r="E834">
        <v>1.5959999999999998E-2</v>
      </c>
      <c r="F834">
        <v>11247548.699999999</v>
      </c>
      <c r="G834">
        <v>0</v>
      </c>
      <c r="L834" t="s">
        <v>8</v>
      </c>
      <c r="M834" t="s">
        <v>7</v>
      </c>
      <c r="N834" t="s">
        <v>8</v>
      </c>
    </row>
    <row r="835" spans="1:14" x14ac:dyDescent="0.25">
      <c r="A835" s="5">
        <v>43759</v>
      </c>
      <c r="B835">
        <v>1.5789999999999998E-2</v>
      </c>
      <c r="C835">
        <v>1.7049999999999999E-2</v>
      </c>
      <c r="D835">
        <v>1.55E-2</v>
      </c>
      <c r="E835">
        <v>1.6879999999999999E-2</v>
      </c>
      <c r="F835">
        <v>11682400.699999999</v>
      </c>
      <c r="G835">
        <v>0</v>
      </c>
      <c r="L835" t="s">
        <v>7</v>
      </c>
      <c r="M835" t="s">
        <v>7</v>
      </c>
      <c r="N835" t="s">
        <v>8</v>
      </c>
    </row>
    <row r="836" spans="1:14" x14ac:dyDescent="0.25">
      <c r="A836" s="5">
        <v>43758</v>
      </c>
      <c r="B836">
        <v>1.609E-2</v>
      </c>
      <c r="C836">
        <v>1.609E-2</v>
      </c>
      <c r="D836">
        <v>1.5599999999999999E-2</v>
      </c>
      <c r="E836">
        <v>1.5869999999999999E-2</v>
      </c>
      <c r="F836">
        <v>4712657.5</v>
      </c>
      <c r="G836">
        <v>0</v>
      </c>
      <c r="L836" t="s">
        <v>7</v>
      </c>
      <c r="M836" t="s">
        <v>7</v>
      </c>
      <c r="N836" t="s">
        <v>8</v>
      </c>
    </row>
    <row r="837" spans="1:14" x14ac:dyDescent="0.25">
      <c r="A837" s="5">
        <v>43757</v>
      </c>
      <c r="B837">
        <v>1.6729999999999998E-2</v>
      </c>
      <c r="C837">
        <v>1.6990000000000002E-2</v>
      </c>
      <c r="D837">
        <v>1.576E-2</v>
      </c>
      <c r="E837">
        <v>1.601E-2</v>
      </c>
      <c r="F837">
        <v>7191758.2000000002</v>
      </c>
      <c r="G837">
        <v>0</v>
      </c>
      <c r="L837" t="s">
        <v>8</v>
      </c>
      <c r="M837" t="s">
        <v>7</v>
      </c>
      <c r="N837" t="s">
        <v>8</v>
      </c>
    </row>
    <row r="838" spans="1:14" x14ac:dyDescent="0.25">
      <c r="A838" s="5">
        <v>43756</v>
      </c>
      <c r="B838">
        <v>1.6570000000000001E-2</v>
      </c>
      <c r="C838">
        <v>1.7979999999999999E-2</v>
      </c>
      <c r="D838">
        <v>1.6559999999999998E-2</v>
      </c>
      <c r="E838">
        <v>1.668E-2</v>
      </c>
      <c r="F838">
        <v>12960555.4</v>
      </c>
      <c r="G838">
        <v>0</v>
      </c>
      <c r="L838" t="s">
        <v>8</v>
      </c>
      <c r="M838" t="s">
        <v>7</v>
      </c>
      <c r="N838" t="s">
        <v>8</v>
      </c>
    </row>
    <row r="839" spans="1:14" x14ac:dyDescent="0.25">
      <c r="A839" s="5">
        <v>43755</v>
      </c>
      <c r="B839">
        <v>1.618E-2</v>
      </c>
      <c r="C839">
        <v>1.7010000000000001E-2</v>
      </c>
      <c r="D839">
        <v>1.5859999999999999E-2</v>
      </c>
      <c r="E839">
        <v>1.6639999999999999E-2</v>
      </c>
      <c r="F839">
        <v>3323391.4</v>
      </c>
      <c r="G839">
        <v>0</v>
      </c>
      <c r="L839" t="s">
        <v>7</v>
      </c>
      <c r="M839" t="s">
        <v>7</v>
      </c>
      <c r="N839" t="s">
        <v>8</v>
      </c>
    </row>
    <row r="840" spans="1:14" x14ac:dyDescent="0.25">
      <c r="A840" s="5">
        <v>43754</v>
      </c>
      <c r="B840">
        <v>1.636E-2</v>
      </c>
      <c r="C840">
        <v>1.6650000000000002E-2</v>
      </c>
      <c r="D840">
        <v>1.5689999999999999E-2</v>
      </c>
      <c r="E840">
        <v>1.6140000000000002E-2</v>
      </c>
      <c r="F840">
        <v>2637674.5</v>
      </c>
      <c r="G840">
        <v>0</v>
      </c>
      <c r="L840" t="s">
        <v>7</v>
      </c>
      <c r="M840" t="s">
        <v>7</v>
      </c>
      <c r="N840" t="s">
        <v>8</v>
      </c>
    </row>
    <row r="841" spans="1:14" x14ac:dyDescent="0.25">
      <c r="A841" s="5">
        <v>43753</v>
      </c>
      <c r="B841">
        <v>1.7299999999999999E-2</v>
      </c>
      <c r="C841">
        <v>1.7610000000000001E-2</v>
      </c>
      <c r="D841">
        <v>1.6330000000000001E-2</v>
      </c>
      <c r="E841">
        <v>1.636E-2</v>
      </c>
      <c r="F841">
        <v>3913265.6</v>
      </c>
      <c r="G841">
        <v>0</v>
      </c>
      <c r="L841" t="s">
        <v>8</v>
      </c>
      <c r="M841" t="s">
        <v>7</v>
      </c>
      <c r="N841" t="s">
        <v>8</v>
      </c>
    </row>
    <row r="842" spans="1:14" x14ac:dyDescent="0.25">
      <c r="A842" s="5">
        <v>43752</v>
      </c>
      <c r="B842">
        <v>1.702E-2</v>
      </c>
      <c r="C842">
        <v>1.7989999999999999E-2</v>
      </c>
      <c r="D842">
        <v>1.6920000000000001E-2</v>
      </c>
      <c r="E842">
        <v>1.7260000000000001E-2</v>
      </c>
      <c r="F842">
        <v>3799382.8</v>
      </c>
      <c r="G842">
        <v>0</v>
      </c>
      <c r="L842" t="s">
        <v>7</v>
      </c>
      <c r="M842" t="s">
        <v>7</v>
      </c>
      <c r="N842" t="s">
        <v>8</v>
      </c>
    </row>
    <row r="843" spans="1:14" x14ac:dyDescent="0.25">
      <c r="A843" s="5">
        <v>43751</v>
      </c>
      <c r="B843">
        <v>1.7610000000000001E-2</v>
      </c>
      <c r="C843">
        <v>1.7989999999999999E-2</v>
      </c>
      <c r="D843">
        <v>1.686E-2</v>
      </c>
      <c r="E843">
        <v>1.702E-2</v>
      </c>
      <c r="F843">
        <v>4584786.9000000004</v>
      </c>
      <c r="G843">
        <v>0</v>
      </c>
      <c r="L843" t="s">
        <v>8</v>
      </c>
      <c r="M843" t="s">
        <v>7</v>
      </c>
      <c r="N843" t="s">
        <v>8</v>
      </c>
    </row>
    <row r="844" spans="1:14" x14ac:dyDescent="0.25">
      <c r="A844" s="5">
        <v>43750</v>
      </c>
      <c r="B844">
        <v>1.6889999999999999E-2</v>
      </c>
      <c r="C844">
        <v>1.7989999999999999E-2</v>
      </c>
      <c r="D844">
        <v>1.67E-2</v>
      </c>
      <c r="E844">
        <v>1.754E-2</v>
      </c>
      <c r="F844">
        <v>6511474.2999999998</v>
      </c>
      <c r="G844">
        <v>0</v>
      </c>
      <c r="L844" t="s">
        <v>7</v>
      </c>
      <c r="M844" t="s">
        <v>7</v>
      </c>
      <c r="N844" t="s">
        <v>8</v>
      </c>
    </row>
    <row r="845" spans="1:14" x14ac:dyDescent="0.25">
      <c r="A845" s="5">
        <v>43749</v>
      </c>
      <c r="B845">
        <v>1.7409999999999998E-2</v>
      </c>
      <c r="C845">
        <v>1.7520000000000001E-2</v>
      </c>
      <c r="D845">
        <v>1.6639999999999999E-2</v>
      </c>
      <c r="E845">
        <v>1.6879999999999999E-2</v>
      </c>
      <c r="F845">
        <v>5197044.9000000004</v>
      </c>
      <c r="G845">
        <v>0</v>
      </c>
      <c r="L845" t="s">
        <v>7</v>
      </c>
      <c r="M845" t="s">
        <v>7</v>
      </c>
      <c r="N845" t="s">
        <v>8</v>
      </c>
    </row>
    <row r="846" spans="1:14" x14ac:dyDescent="0.25">
      <c r="A846" s="5">
        <v>43748</v>
      </c>
      <c r="B846">
        <v>1.8190000000000001E-2</v>
      </c>
      <c r="C846">
        <v>1.839E-2</v>
      </c>
      <c r="D846">
        <v>1.7139999999999999E-2</v>
      </c>
      <c r="E846">
        <v>1.7399999999999999E-2</v>
      </c>
      <c r="F846">
        <v>5079005.4000000004</v>
      </c>
      <c r="G846">
        <v>0</v>
      </c>
      <c r="L846" t="s">
        <v>8</v>
      </c>
      <c r="M846" t="s">
        <v>7</v>
      </c>
      <c r="N846" t="s">
        <v>8</v>
      </c>
    </row>
    <row r="847" spans="1:14" x14ac:dyDescent="0.25">
      <c r="A847" s="5">
        <v>43747</v>
      </c>
      <c r="B847">
        <v>1.755E-2</v>
      </c>
      <c r="C847">
        <v>1.8409999999999999E-2</v>
      </c>
      <c r="D847">
        <v>1.721E-2</v>
      </c>
      <c r="E847">
        <v>1.8190000000000001E-2</v>
      </c>
      <c r="F847">
        <v>8301229</v>
      </c>
      <c r="G847">
        <v>0</v>
      </c>
      <c r="L847" t="s">
        <v>8</v>
      </c>
      <c r="M847" t="s">
        <v>7</v>
      </c>
      <c r="N847" t="s">
        <v>8</v>
      </c>
    </row>
    <row r="848" spans="1:14" x14ac:dyDescent="0.25">
      <c r="A848" s="5">
        <v>43746</v>
      </c>
      <c r="B848">
        <v>1.7080000000000001E-2</v>
      </c>
      <c r="C848">
        <v>1.7940000000000001E-2</v>
      </c>
      <c r="D848">
        <v>1.6760000000000001E-2</v>
      </c>
      <c r="E848">
        <v>1.755E-2</v>
      </c>
      <c r="F848">
        <v>5962431.5</v>
      </c>
      <c r="G848">
        <v>0</v>
      </c>
      <c r="L848" t="s">
        <v>8</v>
      </c>
      <c r="M848" t="s">
        <v>7</v>
      </c>
      <c r="N848" t="s">
        <v>8</v>
      </c>
    </row>
    <row r="849" spans="1:14" x14ac:dyDescent="0.25">
      <c r="A849" s="5">
        <v>43745</v>
      </c>
      <c r="B849">
        <v>1.6469999999999999E-2</v>
      </c>
      <c r="C849">
        <v>1.745E-2</v>
      </c>
      <c r="D849">
        <v>1.636E-2</v>
      </c>
      <c r="E849">
        <v>1.7080000000000001E-2</v>
      </c>
      <c r="F849">
        <v>3349959</v>
      </c>
      <c r="G849">
        <v>0</v>
      </c>
      <c r="L849" t="s">
        <v>7</v>
      </c>
      <c r="M849" t="s">
        <v>7</v>
      </c>
      <c r="N849" t="s">
        <v>8</v>
      </c>
    </row>
    <row r="850" spans="1:14" x14ac:dyDescent="0.25">
      <c r="A850" s="5">
        <v>43744</v>
      </c>
      <c r="B850">
        <v>1.8239999999999999E-2</v>
      </c>
      <c r="C850">
        <v>1.8239999999999999E-2</v>
      </c>
      <c r="D850">
        <v>1.6240000000000001E-2</v>
      </c>
      <c r="E850">
        <v>1.6539999999999999E-2</v>
      </c>
      <c r="F850">
        <v>7469733</v>
      </c>
      <c r="G850">
        <v>0</v>
      </c>
      <c r="L850" t="s">
        <v>7</v>
      </c>
      <c r="M850" t="s">
        <v>7</v>
      </c>
      <c r="N850" t="s">
        <v>8</v>
      </c>
    </row>
    <row r="851" spans="1:14" x14ac:dyDescent="0.25">
      <c r="A851" s="5">
        <v>43743</v>
      </c>
      <c r="B851">
        <v>1.8519999999999998E-2</v>
      </c>
      <c r="C851">
        <v>1.899E-2</v>
      </c>
      <c r="D851">
        <v>1.7659999999999999E-2</v>
      </c>
      <c r="E851">
        <v>1.8190000000000001E-2</v>
      </c>
      <c r="F851">
        <v>6215252</v>
      </c>
      <c r="G851">
        <v>0</v>
      </c>
      <c r="L851" t="s">
        <v>7</v>
      </c>
      <c r="M851" t="s">
        <v>7</v>
      </c>
      <c r="N851" t="s">
        <v>8</v>
      </c>
    </row>
    <row r="852" spans="1:14" x14ac:dyDescent="0.25">
      <c r="A852" s="5">
        <v>43742</v>
      </c>
      <c r="B852">
        <v>1.8419999999999999E-2</v>
      </c>
      <c r="C852">
        <v>1.916E-2</v>
      </c>
      <c r="D852">
        <v>1.7999999999999999E-2</v>
      </c>
      <c r="E852">
        <v>1.8599999999999998E-2</v>
      </c>
      <c r="F852">
        <v>9966373.5999999996</v>
      </c>
      <c r="G852">
        <v>0</v>
      </c>
      <c r="L852" t="s">
        <v>8</v>
      </c>
      <c r="M852" t="s">
        <v>7</v>
      </c>
      <c r="N852" t="s">
        <v>8</v>
      </c>
    </row>
    <row r="853" spans="1:14" x14ac:dyDescent="0.25">
      <c r="A853" s="5">
        <v>43741</v>
      </c>
      <c r="B853">
        <v>1.9619999999999999E-2</v>
      </c>
      <c r="C853">
        <v>2.1499999999999998E-2</v>
      </c>
      <c r="D853">
        <v>1.7899999999999999E-2</v>
      </c>
      <c r="E853">
        <v>1.8450000000000001E-2</v>
      </c>
      <c r="F853">
        <v>22806970.199999999</v>
      </c>
      <c r="G853">
        <v>0</v>
      </c>
      <c r="L853" t="s">
        <v>8</v>
      </c>
      <c r="M853" t="s">
        <v>8</v>
      </c>
      <c r="N853" t="s">
        <v>8</v>
      </c>
    </row>
    <row r="854" spans="1:14" x14ac:dyDescent="0.25">
      <c r="A854" s="5">
        <v>43740</v>
      </c>
      <c r="B854">
        <v>1.7999999999999999E-2</v>
      </c>
      <c r="C854">
        <v>2.1270000000000001E-2</v>
      </c>
      <c r="D854">
        <v>1.7409999999999998E-2</v>
      </c>
      <c r="E854">
        <v>1.9740000000000001E-2</v>
      </c>
      <c r="F854">
        <v>11852541.699999999</v>
      </c>
      <c r="G854">
        <v>0</v>
      </c>
      <c r="L854" t="s">
        <v>8</v>
      </c>
      <c r="M854" t="s">
        <v>8</v>
      </c>
      <c r="N854" t="s">
        <v>7</v>
      </c>
    </row>
    <row r="855" spans="1:14" x14ac:dyDescent="0.25">
      <c r="A855" s="5">
        <v>43739</v>
      </c>
      <c r="B855">
        <v>1.6230000000000001E-2</v>
      </c>
      <c r="C855">
        <v>1.898E-2</v>
      </c>
      <c r="D855">
        <v>1.6070000000000001E-2</v>
      </c>
      <c r="E855">
        <v>1.796E-2</v>
      </c>
      <c r="F855">
        <v>10929755.9</v>
      </c>
      <c r="G855">
        <v>0</v>
      </c>
      <c r="L855" t="s">
        <v>8</v>
      </c>
      <c r="M855" t="s">
        <v>7</v>
      </c>
      <c r="N855" t="s">
        <v>7</v>
      </c>
    </row>
    <row r="856" spans="1:14" x14ac:dyDescent="0.25">
      <c r="A856" s="5">
        <v>43738</v>
      </c>
      <c r="B856">
        <v>1.5810000000000001E-2</v>
      </c>
      <c r="C856">
        <v>1.7000000000000001E-2</v>
      </c>
      <c r="D856">
        <v>1.546E-2</v>
      </c>
      <c r="E856">
        <v>1.6230000000000001E-2</v>
      </c>
      <c r="F856">
        <v>4620175.0999999996</v>
      </c>
      <c r="G856">
        <v>0</v>
      </c>
      <c r="L856" t="s">
        <v>7</v>
      </c>
      <c r="M856" t="s">
        <v>7</v>
      </c>
      <c r="N856" t="s">
        <v>7</v>
      </c>
    </row>
    <row r="857" spans="1:14" x14ac:dyDescent="0.25">
      <c r="A857" s="5">
        <v>43737</v>
      </c>
      <c r="B857">
        <v>1.6049999999999998E-2</v>
      </c>
      <c r="C857">
        <v>1.6639999999999999E-2</v>
      </c>
      <c r="D857">
        <v>1.5509999999999999E-2</v>
      </c>
      <c r="E857">
        <v>1.5890000000000001E-2</v>
      </c>
      <c r="F857">
        <v>4414258.0999999996</v>
      </c>
      <c r="G857">
        <v>0</v>
      </c>
      <c r="L857" t="s">
        <v>8</v>
      </c>
      <c r="M857" t="s">
        <v>7</v>
      </c>
      <c r="N857" t="s">
        <v>7</v>
      </c>
    </row>
    <row r="858" spans="1:14" x14ac:dyDescent="0.25">
      <c r="A858" s="5">
        <v>43736</v>
      </c>
      <c r="B858">
        <v>1.5720000000000001E-2</v>
      </c>
      <c r="C858">
        <v>1.6670000000000001E-2</v>
      </c>
      <c r="D858">
        <v>1.5599999999999999E-2</v>
      </c>
      <c r="E858">
        <v>1.6160000000000001E-2</v>
      </c>
      <c r="F858">
        <v>2793078.5</v>
      </c>
      <c r="G858">
        <v>0</v>
      </c>
      <c r="L858" t="s">
        <v>7</v>
      </c>
      <c r="M858" t="s">
        <v>7</v>
      </c>
      <c r="N858" t="s">
        <v>7</v>
      </c>
    </row>
    <row r="859" spans="1:14" x14ac:dyDescent="0.25">
      <c r="A859" s="5">
        <v>43735</v>
      </c>
      <c r="B859">
        <v>1.585E-2</v>
      </c>
      <c r="C859">
        <v>1.5900000000000001E-2</v>
      </c>
      <c r="D859">
        <v>1.5140000000000001E-2</v>
      </c>
      <c r="E859">
        <v>1.5679999999999999E-2</v>
      </c>
      <c r="F859">
        <v>3179595.5</v>
      </c>
      <c r="G859">
        <v>0</v>
      </c>
      <c r="L859" t="s">
        <v>7</v>
      </c>
      <c r="M859" t="s">
        <v>7</v>
      </c>
      <c r="N859" t="s">
        <v>7</v>
      </c>
    </row>
    <row r="860" spans="1:14" x14ac:dyDescent="0.25">
      <c r="A860" s="5">
        <v>43734</v>
      </c>
      <c r="B860">
        <v>1.6469999999999999E-2</v>
      </c>
      <c r="C860">
        <v>1.7129999999999999E-2</v>
      </c>
      <c r="D860">
        <v>1.502E-2</v>
      </c>
      <c r="E860">
        <v>1.5789999999999998E-2</v>
      </c>
      <c r="F860">
        <v>5698190.9000000004</v>
      </c>
      <c r="G860">
        <v>0</v>
      </c>
      <c r="L860" t="s">
        <v>8</v>
      </c>
      <c r="M860" t="s">
        <v>7</v>
      </c>
      <c r="N860" t="s">
        <v>7</v>
      </c>
    </row>
    <row r="861" spans="1:14" x14ac:dyDescent="0.25">
      <c r="A861" s="5">
        <v>43733</v>
      </c>
      <c r="B861">
        <v>1.5679999999999999E-2</v>
      </c>
      <c r="C861">
        <v>1.736E-2</v>
      </c>
      <c r="D861">
        <v>1.5640000000000001E-2</v>
      </c>
      <c r="E861">
        <v>1.6449999999999999E-2</v>
      </c>
      <c r="F861">
        <v>7045810.7999999998</v>
      </c>
      <c r="G861">
        <v>0</v>
      </c>
      <c r="L861" t="s">
        <v>7</v>
      </c>
      <c r="M861" t="s">
        <v>7</v>
      </c>
      <c r="N861" t="s">
        <v>7</v>
      </c>
    </row>
    <row r="862" spans="1:14" x14ac:dyDescent="0.25">
      <c r="A862" s="5">
        <v>43732</v>
      </c>
      <c r="B862">
        <v>1.9109999999999999E-2</v>
      </c>
      <c r="C862">
        <v>2.0209999999999999E-2</v>
      </c>
      <c r="D862">
        <v>1.5299999999999999E-2</v>
      </c>
      <c r="E862">
        <v>1.5509999999999999E-2</v>
      </c>
      <c r="F862">
        <v>8607628.9000000004</v>
      </c>
      <c r="G862">
        <v>0</v>
      </c>
      <c r="L862" t="s">
        <v>7</v>
      </c>
      <c r="M862" t="s">
        <v>7</v>
      </c>
      <c r="N862" t="s">
        <v>7</v>
      </c>
    </row>
    <row r="863" spans="1:14" x14ac:dyDescent="0.25">
      <c r="A863" s="5">
        <v>43731</v>
      </c>
      <c r="B863">
        <v>1.959E-2</v>
      </c>
      <c r="C863">
        <v>2.0400000000000001E-2</v>
      </c>
      <c r="D863">
        <v>1.831E-2</v>
      </c>
      <c r="E863">
        <v>1.9189999999999999E-2</v>
      </c>
      <c r="F863">
        <v>9428355.9000000004</v>
      </c>
      <c r="G863">
        <v>0</v>
      </c>
      <c r="L863" t="s">
        <v>7</v>
      </c>
      <c r="M863" t="s">
        <v>7</v>
      </c>
      <c r="N863" t="s">
        <v>7</v>
      </c>
    </row>
    <row r="864" spans="1:14" x14ac:dyDescent="0.25">
      <c r="A864" s="5">
        <v>43730</v>
      </c>
      <c r="B864">
        <v>2.035E-2</v>
      </c>
      <c r="C864">
        <v>2.0449999999999999E-2</v>
      </c>
      <c r="D864">
        <v>1.9429999999999999E-2</v>
      </c>
      <c r="E864">
        <v>1.959E-2</v>
      </c>
      <c r="F864">
        <v>3653131.9</v>
      </c>
      <c r="G864">
        <v>0</v>
      </c>
      <c r="L864" t="s">
        <v>7</v>
      </c>
      <c r="M864" t="s">
        <v>7</v>
      </c>
      <c r="N864" t="s">
        <v>7</v>
      </c>
    </row>
    <row r="865" spans="1:14" x14ac:dyDescent="0.25">
      <c r="A865" s="5">
        <v>43729</v>
      </c>
      <c r="B865">
        <v>2.061E-2</v>
      </c>
      <c r="C865">
        <v>2.0899999999999998E-2</v>
      </c>
      <c r="D865">
        <v>2.009E-2</v>
      </c>
      <c r="E865">
        <v>2.0369999999999999E-2</v>
      </c>
      <c r="F865">
        <v>3407011.7</v>
      </c>
      <c r="G865">
        <v>0</v>
      </c>
      <c r="L865" t="s">
        <v>8</v>
      </c>
      <c r="M865" t="s">
        <v>7</v>
      </c>
      <c r="N865" t="s">
        <v>7</v>
      </c>
    </row>
    <row r="866" spans="1:14" x14ac:dyDescent="0.25">
      <c r="A866" s="5">
        <v>43728</v>
      </c>
      <c r="B866">
        <v>2.0400000000000001E-2</v>
      </c>
      <c r="C866">
        <v>2.2880000000000001E-2</v>
      </c>
      <c r="D866">
        <v>2.0109999999999999E-2</v>
      </c>
      <c r="E866">
        <v>2.0709999999999999E-2</v>
      </c>
      <c r="F866">
        <v>9862704.4000000004</v>
      </c>
      <c r="G866">
        <v>0</v>
      </c>
      <c r="L866" t="s">
        <v>7</v>
      </c>
      <c r="M866" t="s">
        <v>7</v>
      </c>
      <c r="N866" t="s">
        <v>7</v>
      </c>
    </row>
    <row r="867" spans="1:14" x14ac:dyDescent="0.25">
      <c r="A867" s="5">
        <v>43727</v>
      </c>
      <c r="B867">
        <v>2.197E-2</v>
      </c>
      <c r="C867">
        <v>2.197E-2</v>
      </c>
      <c r="D867">
        <v>1.951E-2</v>
      </c>
      <c r="E867">
        <v>2.0400000000000001E-2</v>
      </c>
      <c r="F867">
        <v>9615539.1999999993</v>
      </c>
      <c r="G867">
        <v>0</v>
      </c>
      <c r="L867" t="s">
        <v>8</v>
      </c>
      <c r="M867" t="s">
        <v>8</v>
      </c>
      <c r="N867" t="s">
        <v>7</v>
      </c>
    </row>
    <row r="868" spans="1:14" x14ac:dyDescent="0.25">
      <c r="A868" s="5">
        <v>43726</v>
      </c>
      <c r="B868">
        <v>2.248E-2</v>
      </c>
      <c r="C868">
        <v>2.3789999999999999E-2</v>
      </c>
      <c r="D868">
        <v>2.1440000000000001E-2</v>
      </c>
      <c r="E868">
        <v>2.1989999999999999E-2</v>
      </c>
      <c r="F868">
        <v>14233849.1</v>
      </c>
      <c r="G868">
        <v>0</v>
      </c>
      <c r="L868" t="s">
        <v>8</v>
      </c>
      <c r="M868" t="s">
        <v>8</v>
      </c>
      <c r="N868" t="s">
        <v>7</v>
      </c>
    </row>
    <row r="869" spans="1:14" x14ac:dyDescent="0.25">
      <c r="A869" s="5">
        <v>43725</v>
      </c>
      <c r="B869">
        <v>2.1350000000000001E-2</v>
      </c>
      <c r="C869">
        <v>2.3630000000000002E-2</v>
      </c>
      <c r="D869">
        <v>2.0820000000000002E-2</v>
      </c>
      <c r="E869">
        <v>2.249E-2</v>
      </c>
      <c r="F869">
        <v>13454475.5</v>
      </c>
      <c r="G869">
        <v>0</v>
      </c>
      <c r="L869" t="s">
        <v>8</v>
      </c>
      <c r="M869" t="s">
        <v>8</v>
      </c>
      <c r="N869" t="s">
        <v>7</v>
      </c>
    </row>
    <row r="870" spans="1:14" x14ac:dyDescent="0.25">
      <c r="A870" s="5">
        <v>43724</v>
      </c>
      <c r="B870">
        <v>2.0230000000000001E-2</v>
      </c>
      <c r="C870">
        <v>2.3040000000000001E-2</v>
      </c>
      <c r="D870">
        <v>2.0070000000000001E-2</v>
      </c>
      <c r="E870">
        <v>2.1440000000000001E-2</v>
      </c>
      <c r="F870">
        <v>20728154.899999999</v>
      </c>
      <c r="G870">
        <v>0</v>
      </c>
      <c r="L870" t="s">
        <v>8</v>
      </c>
      <c r="M870" t="s">
        <v>8</v>
      </c>
      <c r="N870" t="s">
        <v>7</v>
      </c>
    </row>
    <row r="871" spans="1:14" x14ac:dyDescent="0.25">
      <c r="A871" s="5">
        <v>43723</v>
      </c>
      <c r="B871">
        <v>1.9699999999999999E-2</v>
      </c>
      <c r="C871">
        <v>2.1270000000000001E-2</v>
      </c>
      <c r="D871">
        <v>1.941E-2</v>
      </c>
      <c r="E871">
        <v>2.017E-2</v>
      </c>
      <c r="F871">
        <v>5286499.9000000004</v>
      </c>
      <c r="G871">
        <v>0</v>
      </c>
      <c r="L871" t="s">
        <v>7</v>
      </c>
      <c r="M871" t="s">
        <v>7</v>
      </c>
      <c r="N871" t="s">
        <v>7</v>
      </c>
    </row>
    <row r="872" spans="1:14" x14ac:dyDescent="0.25">
      <c r="A872" s="5">
        <v>43722</v>
      </c>
      <c r="B872">
        <v>1.9959999999999999E-2</v>
      </c>
      <c r="C872">
        <v>1.9959999999999999E-2</v>
      </c>
      <c r="D872">
        <v>1.924E-2</v>
      </c>
      <c r="E872">
        <v>1.9689999999999999E-2</v>
      </c>
      <c r="F872">
        <v>2138348.2999999998</v>
      </c>
      <c r="G872">
        <v>0</v>
      </c>
      <c r="L872" t="s">
        <v>8</v>
      </c>
      <c r="M872" t="s">
        <v>7</v>
      </c>
      <c r="N872" t="s">
        <v>7</v>
      </c>
    </row>
    <row r="873" spans="1:14" x14ac:dyDescent="0.25">
      <c r="A873" s="5">
        <v>43721</v>
      </c>
      <c r="B873">
        <v>1.9570000000000001E-2</v>
      </c>
      <c r="C873">
        <v>2.095E-2</v>
      </c>
      <c r="D873">
        <v>1.9140000000000001E-2</v>
      </c>
      <c r="E873">
        <v>1.9949999999999999E-2</v>
      </c>
      <c r="F873">
        <v>7134615.5</v>
      </c>
      <c r="G873">
        <v>0</v>
      </c>
      <c r="L873" t="s">
        <v>7</v>
      </c>
      <c r="M873" t="s">
        <v>7</v>
      </c>
      <c r="N873" t="s">
        <v>7</v>
      </c>
    </row>
    <row r="874" spans="1:14" x14ac:dyDescent="0.25">
      <c r="A874" s="5">
        <v>43720</v>
      </c>
      <c r="B874">
        <v>1.9400000000000001E-2</v>
      </c>
      <c r="C874">
        <v>1.9980000000000001E-2</v>
      </c>
      <c r="D874">
        <v>1.7999999999999999E-2</v>
      </c>
      <c r="E874">
        <v>1.9699999999999999E-2</v>
      </c>
      <c r="F874">
        <v>8670203.5999999996</v>
      </c>
      <c r="G874">
        <v>0</v>
      </c>
      <c r="L874" t="s">
        <v>7</v>
      </c>
      <c r="M874" t="s">
        <v>7</v>
      </c>
      <c r="N874" t="s">
        <v>7</v>
      </c>
    </row>
    <row r="875" spans="1:14" x14ac:dyDescent="0.25">
      <c r="A875" s="5">
        <v>43719</v>
      </c>
      <c r="B875">
        <v>2.068E-2</v>
      </c>
      <c r="C875">
        <v>2.1069999999999998E-2</v>
      </c>
      <c r="D875">
        <v>1.9E-2</v>
      </c>
      <c r="E875">
        <v>1.9300000000000001E-2</v>
      </c>
      <c r="F875">
        <v>10727248.9</v>
      </c>
      <c r="G875">
        <v>0</v>
      </c>
      <c r="L875" t="s">
        <v>8</v>
      </c>
      <c r="M875" t="s">
        <v>7</v>
      </c>
      <c r="N875" t="s">
        <v>7</v>
      </c>
    </row>
    <row r="876" spans="1:14" x14ac:dyDescent="0.25">
      <c r="A876" s="5">
        <v>43718</v>
      </c>
      <c r="B876">
        <v>2.1299999999999999E-2</v>
      </c>
      <c r="C876">
        <v>2.2519999999999998E-2</v>
      </c>
      <c r="D876">
        <v>2.0209999999999999E-2</v>
      </c>
      <c r="E876">
        <v>2.0709999999999999E-2</v>
      </c>
      <c r="F876">
        <v>24639049.600000001</v>
      </c>
      <c r="G876">
        <v>0</v>
      </c>
      <c r="L876" t="s">
        <v>7</v>
      </c>
      <c r="M876" t="s">
        <v>7</v>
      </c>
      <c r="N876" t="s">
        <v>7</v>
      </c>
    </row>
    <row r="877" spans="1:14" x14ac:dyDescent="0.25">
      <c r="A877" s="5">
        <v>43717</v>
      </c>
      <c r="B877">
        <v>2.1649999999999999E-2</v>
      </c>
      <c r="C877">
        <v>2.2159999999999999E-2</v>
      </c>
      <c r="D877">
        <v>2.0209999999999999E-2</v>
      </c>
      <c r="E877">
        <v>2.1299999999999999E-2</v>
      </c>
      <c r="F877">
        <v>6826814.2999999998</v>
      </c>
      <c r="G877">
        <v>0</v>
      </c>
      <c r="L877" t="s">
        <v>8</v>
      </c>
      <c r="M877" t="s">
        <v>7</v>
      </c>
      <c r="N877" t="s">
        <v>7</v>
      </c>
    </row>
    <row r="878" spans="1:14" x14ac:dyDescent="0.25">
      <c r="A878" s="5">
        <v>43716</v>
      </c>
      <c r="B878">
        <v>2.121E-2</v>
      </c>
      <c r="C878">
        <v>2.2579999999999999E-2</v>
      </c>
      <c r="D878">
        <v>2.1000000000000001E-2</v>
      </c>
      <c r="E878">
        <v>2.1649999999999999E-2</v>
      </c>
      <c r="F878">
        <v>8248748.7000000002</v>
      </c>
      <c r="G878">
        <v>0</v>
      </c>
      <c r="L878" t="s">
        <v>8</v>
      </c>
      <c r="M878" t="s">
        <v>7</v>
      </c>
      <c r="N878" t="s">
        <v>7</v>
      </c>
    </row>
    <row r="879" spans="1:14" x14ac:dyDescent="0.25">
      <c r="A879" s="5">
        <v>43715</v>
      </c>
      <c r="B879">
        <v>2.087E-2</v>
      </c>
      <c r="C879">
        <v>2.2089999999999999E-2</v>
      </c>
      <c r="D879">
        <v>2.034E-2</v>
      </c>
      <c r="E879">
        <v>2.121E-2</v>
      </c>
      <c r="F879">
        <v>8218349.2999999998</v>
      </c>
      <c r="G879">
        <v>0</v>
      </c>
      <c r="L879" t="s">
        <v>7</v>
      </c>
      <c r="M879" t="s">
        <v>7</v>
      </c>
      <c r="N879" t="s">
        <v>7</v>
      </c>
    </row>
    <row r="880" spans="1:14" x14ac:dyDescent="0.25">
      <c r="A880" s="5">
        <v>43714</v>
      </c>
      <c r="B880">
        <v>2.3E-2</v>
      </c>
      <c r="C880">
        <v>2.3650000000000001E-2</v>
      </c>
      <c r="D880">
        <v>2.0500000000000001E-2</v>
      </c>
      <c r="E880">
        <v>2.087E-2</v>
      </c>
      <c r="F880">
        <v>19754589.5</v>
      </c>
      <c r="G880">
        <v>0</v>
      </c>
      <c r="L880" t="s">
        <v>7</v>
      </c>
      <c r="M880" t="s">
        <v>8</v>
      </c>
      <c r="N880" t="s">
        <v>7</v>
      </c>
    </row>
    <row r="881" spans="1:14" x14ac:dyDescent="0.25">
      <c r="A881" s="5">
        <v>43713</v>
      </c>
      <c r="B881">
        <v>2.3879999999999998E-2</v>
      </c>
      <c r="C881">
        <v>2.589E-2</v>
      </c>
      <c r="D881">
        <v>2.3E-2</v>
      </c>
      <c r="E881">
        <v>2.3E-2</v>
      </c>
      <c r="F881">
        <v>38986910</v>
      </c>
      <c r="G881">
        <v>0</v>
      </c>
      <c r="L881" t="s">
        <v>8</v>
      </c>
      <c r="M881" t="s">
        <v>8</v>
      </c>
      <c r="N881" t="s">
        <v>7</v>
      </c>
    </row>
    <row r="882" spans="1:14" x14ac:dyDescent="0.25">
      <c r="A882" s="5">
        <v>43712</v>
      </c>
      <c r="B882">
        <v>2.0899999999999998E-2</v>
      </c>
      <c r="C882">
        <v>2.6360000000000001E-2</v>
      </c>
      <c r="D882">
        <v>2.018E-2</v>
      </c>
      <c r="E882">
        <v>2.3900000000000001E-2</v>
      </c>
      <c r="F882">
        <v>53300129.700000003</v>
      </c>
      <c r="G882">
        <v>0</v>
      </c>
      <c r="L882" t="s">
        <v>7</v>
      </c>
      <c r="M882" t="s">
        <v>7</v>
      </c>
      <c r="N882" t="s">
        <v>7</v>
      </c>
    </row>
    <row r="883" spans="1:14" x14ac:dyDescent="0.25">
      <c r="A883" s="5">
        <v>43711</v>
      </c>
      <c r="B883">
        <v>2.0549999999999999E-2</v>
      </c>
      <c r="C883">
        <v>2.197E-2</v>
      </c>
      <c r="D883">
        <v>1.9900000000000001E-2</v>
      </c>
      <c r="E883">
        <v>2.0789999999999999E-2</v>
      </c>
      <c r="F883">
        <v>10617997.699999999</v>
      </c>
      <c r="G883">
        <v>0</v>
      </c>
      <c r="L883" t="s">
        <v>8</v>
      </c>
      <c r="M883" t="s">
        <v>7</v>
      </c>
      <c r="N883" t="s">
        <v>7</v>
      </c>
    </row>
    <row r="884" spans="1:14" x14ac:dyDescent="0.25">
      <c r="A884" s="5">
        <v>43710</v>
      </c>
      <c r="B884">
        <v>2.0389999999999998E-2</v>
      </c>
      <c r="C884">
        <v>2.2020000000000001E-2</v>
      </c>
      <c r="D884">
        <v>0.02</v>
      </c>
      <c r="E884">
        <v>2.0549999999999999E-2</v>
      </c>
      <c r="F884">
        <v>11295449.800000001</v>
      </c>
      <c r="G884">
        <v>0</v>
      </c>
      <c r="L884" t="s">
        <v>7</v>
      </c>
      <c r="M884" t="s">
        <v>7</v>
      </c>
      <c r="N884" t="s">
        <v>7</v>
      </c>
    </row>
    <row r="885" spans="1:14" x14ac:dyDescent="0.25">
      <c r="A885" s="5">
        <v>43709</v>
      </c>
      <c r="B885">
        <v>2.1069999999999998E-2</v>
      </c>
      <c r="C885">
        <v>2.145E-2</v>
      </c>
      <c r="D885">
        <v>1.9599999999999999E-2</v>
      </c>
      <c r="E885">
        <v>2.0240000000000001E-2</v>
      </c>
      <c r="F885">
        <v>14285102.4</v>
      </c>
      <c r="G885">
        <v>0</v>
      </c>
      <c r="L885" t="s">
        <v>7</v>
      </c>
      <c r="M885" t="s">
        <v>7</v>
      </c>
      <c r="N885" t="s">
        <v>7</v>
      </c>
    </row>
    <row r="886" spans="1:14" x14ac:dyDescent="0.25">
      <c r="A886" s="5">
        <v>43708</v>
      </c>
      <c r="B886">
        <v>2.2380000000000001E-2</v>
      </c>
      <c r="C886">
        <v>2.366E-2</v>
      </c>
      <c r="D886">
        <v>2.0570000000000001E-2</v>
      </c>
      <c r="E886">
        <v>2.1069999999999998E-2</v>
      </c>
      <c r="F886">
        <v>7817266.9000000004</v>
      </c>
      <c r="G886">
        <v>0</v>
      </c>
      <c r="L886" t="s">
        <v>7</v>
      </c>
      <c r="M886" t="s">
        <v>7</v>
      </c>
      <c r="N886" t="s">
        <v>7</v>
      </c>
    </row>
    <row r="887" spans="1:14" x14ac:dyDescent="0.25">
      <c r="A887" s="5">
        <v>43707</v>
      </c>
      <c r="B887">
        <v>2.181E-2</v>
      </c>
      <c r="C887">
        <v>2.3E-2</v>
      </c>
      <c r="D887">
        <v>2.1760000000000002E-2</v>
      </c>
      <c r="E887">
        <v>2.2380000000000001E-2</v>
      </c>
      <c r="F887">
        <v>6509048.2000000002</v>
      </c>
      <c r="G887">
        <v>0</v>
      </c>
      <c r="L887" t="s">
        <v>7</v>
      </c>
      <c r="M887" t="s">
        <v>7</v>
      </c>
      <c r="N887" t="s">
        <v>7</v>
      </c>
    </row>
    <row r="888" spans="1:14" x14ac:dyDescent="0.25">
      <c r="A888" s="5">
        <v>43706</v>
      </c>
      <c r="B888">
        <v>2.4510000000000001E-2</v>
      </c>
      <c r="C888">
        <v>2.4510000000000001E-2</v>
      </c>
      <c r="D888">
        <v>2.1600000000000001E-2</v>
      </c>
      <c r="E888">
        <v>2.1659999999999999E-2</v>
      </c>
      <c r="F888">
        <v>12823839</v>
      </c>
      <c r="G888">
        <v>0</v>
      </c>
      <c r="L888" t="s">
        <v>7</v>
      </c>
      <c r="M888" t="s">
        <v>8</v>
      </c>
      <c r="N888" t="s">
        <v>7</v>
      </c>
    </row>
    <row r="889" spans="1:14" x14ac:dyDescent="0.25">
      <c r="A889" s="5">
        <v>43705</v>
      </c>
      <c r="B889">
        <v>2.375E-2</v>
      </c>
      <c r="C889">
        <v>2.828E-2</v>
      </c>
      <c r="D889">
        <v>2.2790000000000001E-2</v>
      </c>
      <c r="E889">
        <v>2.4639999999999999E-2</v>
      </c>
      <c r="F889">
        <v>47110392.700000003</v>
      </c>
      <c r="G889">
        <v>0</v>
      </c>
      <c r="L889" t="s">
        <v>7</v>
      </c>
      <c r="M889" t="s">
        <v>7</v>
      </c>
      <c r="N889" t="s">
        <v>7</v>
      </c>
    </row>
    <row r="890" spans="1:14" x14ac:dyDescent="0.25">
      <c r="A890" s="5">
        <v>43704</v>
      </c>
      <c r="B890">
        <v>2.4899999999999999E-2</v>
      </c>
      <c r="C890">
        <v>2.52E-2</v>
      </c>
      <c r="D890">
        <v>2.3310000000000001E-2</v>
      </c>
      <c r="E890">
        <v>2.3740000000000001E-2</v>
      </c>
      <c r="F890">
        <v>17458822.800000001</v>
      </c>
      <c r="G890">
        <v>0</v>
      </c>
      <c r="L890" t="s">
        <v>7</v>
      </c>
      <c r="M890" t="s">
        <v>7</v>
      </c>
      <c r="N890" t="s">
        <v>7</v>
      </c>
    </row>
    <row r="891" spans="1:14" x14ac:dyDescent="0.25">
      <c r="A891" s="5">
        <v>43703</v>
      </c>
      <c r="B891">
        <v>2.716E-2</v>
      </c>
      <c r="C891">
        <v>2.7490000000000001E-2</v>
      </c>
      <c r="D891">
        <v>2.4709999999999999E-2</v>
      </c>
      <c r="E891">
        <v>2.4899999999999999E-2</v>
      </c>
      <c r="F891">
        <v>15124257.4</v>
      </c>
      <c r="G891">
        <v>0</v>
      </c>
      <c r="L891" t="s">
        <v>8</v>
      </c>
      <c r="M891" t="s">
        <v>7</v>
      </c>
      <c r="N891" t="s">
        <v>7</v>
      </c>
    </row>
    <row r="892" spans="1:14" x14ac:dyDescent="0.25">
      <c r="A892" s="5">
        <v>43702</v>
      </c>
      <c r="B892">
        <v>2.8119999999999999E-2</v>
      </c>
      <c r="C892">
        <v>2.9850000000000002E-2</v>
      </c>
      <c r="D892">
        <v>2.6589999999999999E-2</v>
      </c>
      <c r="E892">
        <v>2.7009999999999999E-2</v>
      </c>
      <c r="F892">
        <v>16766942.1</v>
      </c>
      <c r="G892">
        <v>0</v>
      </c>
      <c r="L892" t="s">
        <v>7</v>
      </c>
      <c r="M892" t="s">
        <v>7</v>
      </c>
      <c r="N892" t="s">
        <v>7</v>
      </c>
    </row>
    <row r="893" spans="1:14" x14ac:dyDescent="0.25">
      <c r="A893" s="5">
        <v>43701</v>
      </c>
      <c r="B893">
        <v>2.861E-2</v>
      </c>
      <c r="C893">
        <v>2.9440000000000001E-2</v>
      </c>
      <c r="D893">
        <v>2.631E-2</v>
      </c>
      <c r="E893">
        <v>2.811E-2</v>
      </c>
      <c r="F893">
        <v>17057596.699999999</v>
      </c>
      <c r="G893">
        <v>0</v>
      </c>
      <c r="L893" t="s">
        <v>8</v>
      </c>
      <c r="M893" t="s">
        <v>7</v>
      </c>
      <c r="N893" t="s">
        <v>7</v>
      </c>
    </row>
    <row r="894" spans="1:14" x14ac:dyDescent="0.25">
      <c r="A894" s="5">
        <v>43700</v>
      </c>
      <c r="B894">
        <v>2.9409999999999999E-2</v>
      </c>
      <c r="C894">
        <v>3.1E-2</v>
      </c>
      <c r="D894">
        <v>2.8139999999999998E-2</v>
      </c>
      <c r="E894">
        <v>2.8809999999999999E-2</v>
      </c>
      <c r="F894">
        <v>13287434.800000001</v>
      </c>
      <c r="G894">
        <v>0</v>
      </c>
      <c r="L894" t="s">
        <v>7</v>
      </c>
      <c r="M894" t="s">
        <v>7</v>
      </c>
      <c r="N894" t="s">
        <v>7</v>
      </c>
    </row>
    <row r="895" spans="1:14" x14ac:dyDescent="0.25">
      <c r="A895" s="5">
        <v>43699</v>
      </c>
      <c r="B895">
        <v>2.9080000000000002E-2</v>
      </c>
      <c r="C895">
        <v>3.014E-2</v>
      </c>
      <c r="D895">
        <v>2.6720000000000001E-2</v>
      </c>
      <c r="E895">
        <v>2.964E-2</v>
      </c>
      <c r="F895">
        <v>33175677.300000001</v>
      </c>
      <c r="G895">
        <v>0</v>
      </c>
      <c r="L895" t="s">
        <v>7</v>
      </c>
      <c r="M895" t="s">
        <v>7</v>
      </c>
      <c r="N895" t="s">
        <v>7</v>
      </c>
    </row>
    <row r="896" spans="1:14" x14ac:dyDescent="0.25">
      <c r="A896" s="5">
        <v>43698</v>
      </c>
      <c r="B896">
        <v>3.4860000000000002E-2</v>
      </c>
      <c r="C896">
        <v>3.5209999999999998E-2</v>
      </c>
      <c r="D896">
        <v>2.801E-2</v>
      </c>
      <c r="E896">
        <v>2.9080000000000002E-2</v>
      </c>
      <c r="F896">
        <v>63879268.299999997</v>
      </c>
      <c r="G896">
        <v>0</v>
      </c>
      <c r="L896" t="s">
        <v>8</v>
      </c>
      <c r="M896" t="s">
        <v>8</v>
      </c>
      <c r="N896" t="s">
        <v>8</v>
      </c>
    </row>
    <row r="897" spans="1:14" x14ac:dyDescent="0.25">
      <c r="A897" s="5">
        <v>43697</v>
      </c>
      <c r="B897">
        <v>3.3349999999999998E-2</v>
      </c>
      <c r="C897">
        <v>3.7069999999999999E-2</v>
      </c>
      <c r="D897">
        <v>3.243E-2</v>
      </c>
      <c r="E897">
        <v>3.4860000000000002E-2</v>
      </c>
      <c r="F897">
        <v>94590522.099999994</v>
      </c>
      <c r="G897">
        <v>0</v>
      </c>
      <c r="L897" t="s">
        <v>8</v>
      </c>
      <c r="M897" t="s">
        <v>7</v>
      </c>
      <c r="N897" t="s">
        <v>8</v>
      </c>
    </row>
    <row r="898" spans="1:14" x14ac:dyDescent="0.25">
      <c r="A898" s="5">
        <v>43696</v>
      </c>
      <c r="B898">
        <v>3.0679999999999999E-2</v>
      </c>
      <c r="C898">
        <v>3.5020000000000003E-2</v>
      </c>
      <c r="D898">
        <v>3.0040000000000001E-2</v>
      </c>
      <c r="E898">
        <v>3.3340000000000002E-2</v>
      </c>
      <c r="F898">
        <v>72590642</v>
      </c>
      <c r="G898">
        <v>0</v>
      </c>
      <c r="L898" t="s">
        <v>7</v>
      </c>
      <c r="M898" t="s">
        <v>7</v>
      </c>
      <c r="N898" t="s">
        <v>8</v>
      </c>
    </row>
    <row r="899" spans="1:14" x14ac:dyDescent="0.25">
      <c r="A899" s="5">
        <v>43695</v>
      </c>
      <c r="B899">
        <v>3.5150000000000001E-2</v>
      </c>
      <c r="C899">
        <v>3.5470000000000002E-2</v>
      </c>
      <c r="D899">
        <v>0.03</v>
      </c>
      <c r="E899">
        <v>3.0669999999999999E-2</v>
      </c>
      <c r="F899">
        <v>70615094.200000003</v>
      </c>
      <c r="G899">
        <v>0</v>
      </c>
      <c r="L899" t="s">
        <v>7</v>
      </c>
      <c r="M899" t="s">
        <v>7</v>
      </c>
      <c r="N899" t="s">
        <v>8</v>
      </c>
    </row>
    <row r="900" spans="1:14" x14ac:dyDescent="0.25">
      <c r="A900" s="5">
        <v>43694</v>
      </c>
      <c r="B900">
        <v>3.3000000000000002E-2</v>
      </c>
      <c r="C900">
        <v>3.841E-2</v>
      </c>
      <c r="D900">
        <v>3.2259999999999997E-2</v>
      </c>
      <c r="E900">
        <v>3.5150000000000001E-2</v>
      </c>
      <c r="F900">
        <v>117048955.8</v>
      </c>
      <c r="G900">
        <v>0</v>
      </c>
      <c r="L900" t="s">
        <v>8</v>
      </c>
      <c r="M900" t="s">
        <v>8</v>
      </c>
      <c r="N900" t="s">
        <v>8</v>
      </c>
    </row>
    <row r="901" spans="1:14" x14ac:dyDescent="0.25">
      <c r="A901" s="5">
        <v>43693</v>
      </c>
      <c r="B901">
        <v>3.4209999999999997E-2</v>
      </c>
      <c r="C901">
        <v>3.9969999999999999E-2</v>
      </c>
      <c r="D901">
        <v>2.9989999999999999E-2</v>
      </c>
      <c r="E901">
        <v>3.288E-2</v>
      </c>
      <c r="F901">
        <v>165153606.90000001</v>
      </c>
      <c r="G901">
        <v>0</v>
      </c>
      <c r="L901" t="s">
        <v>8</v>
      </c>
      <c r="M901" t="s">
        <v>8</v>
      </c>
      <c r="N901" t="s">
        <v>8</v>
      </c>
    </row>
    <row r="902" spans="1:14" x14ac:dyDescent="0.25">
      <c r="A902" s="5">
        <v>43692</v>
      </c>
      <c r="B902">
        <v>2.5999999999999999E-2</v>
      </c>
      <c r="C902">
        <v>3.6200000000000003E-2</v>
      </c>
      <c r="D902">
        <v>2.5770000000000001E-2</v>
      </c>
      <c r="E902">
        <v>3.4130000000000001E-2</v>
      </c>
      <c r="F902">
        <v>142824745</v>
      </c>
      <c r="G902">
        <v>0</v>
      </c>
      <c r="L902" t="s">
        <v>7</v>
      </c>
      <c r="M902" t="s">
        <v>7</v>
      </c>
      <c r="N902" t="s">
        <v>8</v>
      </c>
    </row>
    <row r="903" spans="1:14" x14ac:dyDescent="0.25">
      <c r="A903" s="5">
        <v>43691</v>
      </c>
      <c r="B903">
        <v>3.0800000000000001E-2</v>
      </c>
      <c r="C903">
        <v>3.1980000000000001E-2</v>
      </c>
      <c r="D903">
        <v>2.5360000000000001E-2</v>
      </c>
      <c r="E903">
        <v>2.5999999999999999E-2</v>
      </c>
      <c r="F903">
        <v>56372966.399999999</v>
      </c>
      <c r="G903">
        <v>0</v>
      </c>
      <c r="L903" t="s">
        <v>8</v>
      </c>
      <c r="M903" t="s">
        <v>8</v>
      </c>
      <c r="N903" t="s">
        <v>8</v>
      </c>
    </row>
    <row r="904" spans="1:14" x14ac:dyDescent="0.25">
      <c r="A904" s="5">
        <v>43690</v>
      </c>
      <c r="B904">
        <v>3.0300000000000001E-2</v>
      </c>
      <c r="C904">
        <v>3.3329999999999999E-2</v>
      </c>
      <c r="D904">
        <v>2.8680000000000001E-2</v>
      </c>
      <c r="E904">
        <v>3.066E-2</v>
      </c>
      <c r="F904">
        <v>83573438.299999997</v>
      </c>
      <c r="G904">
        <v>0</v>
      </c>
      <c r="L904" t="s">
        <v>8</v>
      </c>
      <c r="M904" t="s">
        <v>8</v>
      </c>
      <c r="N904" t="s">
        <v>8</v>
      </c>
    </row>
    <row r="905" spans="1:14" x14ac:dyDescent="0.25">
      <c r="A905" s="5">
        <v>43689</v>
      </c>
      <c r="B905">
        <v>2.4989999999999998E-2</v>
      </c>
      <c r="C905">
        <v>3.2500000000000001E-2</v>
      </c>
      <c r="D905">
        <v>2.4729999999999999E-2</v>
      </c>
      <c r="E905">
        <v>3.0280000000000001E-2</v>
      </c>
      <c r="F905">
        <v>89568475.400000006</v>
      </c>
      <c r="G905">
        <v>0</v>
      </c>
      <c r="L905" t="s">
        <v>8</v>
      </c>
      <c r="M905" t="s">
        <v>8</v>
      </c>
      <c r="N905" t="s">
        <v>7</v>
      </c>
    </row>
    <row r="906" spans="1:14" x14ac:dyDescent="0.25">
      <c r="A906" s="5">
        <v>43688</v>
      </c>
      <c r="B906">
        <v>2.681E-2</v>
      </c>
      <c r="C906">
        <v>2.8500000000000001E-2</v>
      </c>
      <c r="D906">
        <v>2.4580000000000001E-2</v>
      </c>
      <c r="E906">
        <v>2.4989999999999998E-2</v>
      </c>
      <c r="F906">
        <v>53491515.200000003</v>
      </c>
      <c r="G906">
        <v>0</v>
      </c>
      <c r="L906" t="s">
        <v>8</v>
      </c>
      <c r="M906" t="s">
        <v>7</v>
      </c>
      <c r="N906" t="s">
        <v>7</v>
      </c>
    </row>
    <row r="907" spans="1:14" x14ac:dyDescent="0.25">
      <c r="A907" s="5">
        <v>43687</v>
      </c>
      <c r="B907">
        <v>2.2839999999999999E-2</v>
      </c>
      <c r="C907">
        <v>2.777E-2</v>
      </c>
      <c r="D907">
        <v>2.2100000000000002E-2</v>
      </c>
      <c r="E907">
        <v>2.6769999999999999E-2</v>
      </c>
      <c r="F907">
        <v>59388249.899999999</v>
      </c>
      <c r="G907">
        <v>0</v>
      </c>
      <c r="L907" t="s">
        <v>7</v>
      </c>
      <c r="M907" t="s">
        <v>7</v>
      </c>
      <c r="N907" t="s">
        <v>7</v>
      </c>
    </row>
    <row r="908" spans="1:14" x14ac:dyDescent="0.25">
      <c r="A908" s="5">
        <v>43686</v>
      </c>
      <c r="B908">
        <v>2.8150000000000001E-2</v>
      </c>
      <c r="C908">
        <v>3.1800000000000002E-2</v>
      </c>
      <c r="D908">
        <v>2.23E-2</v>
      </c>
      <c r="E908">
        <v>2.2790000000000001E-2</v>
      </c>
      <c r="F908">
        <v>111887841.40000001</v>
      </c>
      <c r="G908">
        <v>0</v>
      </c>
      <c r="L908" t="s">
        <v>8</v>
      </c>
      <c r="M908" t="s">
        <v>8</v>
      </c>
      <c r="N908" t="s">
        <v>8</v>
      </c>
    </row>
    <row r="909" spans="1:14" x14ac:dyDescent="0.25">
      <c r="A909" s="5">
        <v>43685</v>
      </c>
      <c r="B909">
        <v>3.7609999999999998E-2</v>
      </c>
      <c r="C909">
        <v>5.3679999999999999E-2</v>
      </c>
      <c r="D909">
        <v>2.777E-2</v>
      </c>
      <c r="E909">
        <v>2.801E-2</v>
      </c>
      <c r="F909">
        <v>397252506.60000002</v>
      </c>
      <c r="G909">
        <v>0</v>
      </c>
      <c r="L909" t="s">
        <v>8</v>
      </c>
      <c r="M909" t="s">
        <v>8</v>
      </c>
      <c r="N909" t="s">
        <v>8</v>
      </c>
    </row>
    <row r="910" spans="1:14" x14ac:dyDescent="0.25">
      <c r="A910" s="5">
        <v>43684</v>
      </c>
      <c r="B910">
        <v>1.9300000000000001E-2</v>
      </c>
      <c r="C910">
        <v>4.2299999999999997E-2</v>
      </c>
      <c r="D910">
        <v>1.9300000000000001E-2</v>
      </c>
      <c r="E910">
        <v>3.7190000000000001E-2</v>
      </c>
      <c r="F910">
        <v>125213689.7</v>
      </c>
      <c r="G910">
        <v>0</v>
      </c>
      <c r="L910" t="s">
        <v>8</v>
      </c>
      <c r="M910" t="s">
        <v>8</v>
      </c>
      <c r="N910" t="s">
        <v>7</v>
      </c>
    </row>
    <row r="911" spans="1:14" x14ac:dyDescent="0.25">
      <c r="A911" s="5">
        <v>43683</v>
      </c>
      <c r="B911">
        <v>1.7569999999999999E-2</v>
      </c>
      <c r="C911">
        <v>2.1999999999999999E-2</v>
      </c>
      <c r="D911">
        <v>1.755E-2</v>
      </c>
      <c r="E911">
        <v>1.9300000000000001E-2</v>
      </c>
      <c r="F911">
        <v>34213627.200000003</v>
      </c>
      <c r="G911">
        <v>0</v>
      </c>
      <c r="L911" t="s">
        <v>7</v>
      </c>
      <c r="M911" t="s">
        <v>7</v>
      </c>
      <c r="N911" t="s">
        <v>7</v>
      </c>
    </row>
    <row r="912" spans="1:14" x14ac:dyDescent="0.25">
      <c r="A912" s="5">
        <v>43682</v>
      </c>
      <c r="B912">
        <v>2.07E-2</v>
      </c>
      <c r="C912">
        <v>2.179E-2</v>
      </c>
      <c r="D912">
        <v>1.721E-2</v>
      </c>
      <c r="E912">
        <v>1.7569999999999999E-2</v>
      </c>
      <c r="F912">
        <v>24934922.100000001</v>
      </c>
      <c r="G912">
        <v>0</v>
      </c>
      <c r="L912" t="s">
        <v>7</v>
      </c>
      <c r="M912" t="s">
        <v>7</v>
      </c>
      <c r="N912" t="s">
        <v>7</v>
      </c>
    </row>
    <row r="913" spans="1:7" x14ac:dyDescent="0.25">
      <c r="A913" s="5">
        <v>43681</v>
      </c>
      <c r="B913">
        <v>2.2259999999999999E-2</v>
      </c>
      <c r="C913">
        <v>2.35E-2</v>
      </c>
      <c r="D913">
        <v>2.052E-2</v>
      </c>
      <c r="E913">
        <v>2.07E-2</v>
      </c>
      <c r="F913">
        <v>17506683.800000001</v>
      </c>
      <c r="G913">
        <v>0</v>
      </c>
    </row>
    <row r="914" spans="1:7" x14ac:dyDescent="0.25">
      <c r="A914" s="5">
        <v>43680</v>
      </c>
      <c r="B914">
        <v>3.2680000000000001E-2</v>
      </c>
      <c r="C914">
        <v>3.5999999999999997E-2</v>
      </c>
      <c r="D914">
        <v>2.2200000000000001E-2</v>
      </c>
      <c r="E914">
        <v>2.2259999999999999E-2</v>
      </c>
      <c r="F914">
        <v>81829347.200000003</v>
      </c>
      <c r="G914">
        <v>0</v>
      </c>
    </row>
    <row r="915" spans="1:7" x14ac:dyDescent="0.25">
      <c r="A915" s="5"/>
      <c r="C915" s="4"/>
      <c r="D915" s="4"/>
    </row>
    <row r="916" spans="1:7" x14ac:dyDescent="0.25">
      <c r="A916" s="5"/>
      <c r="C916" s="4"/>
      <c r="D916" s="4"/>
    </row>
    <row r="917" spans="1:7" x14ac:dyDescent="0.25">
      <c r="A917" s="5"/>
      <c r="C917" s="4"/>
      <c r="D917" s="4"/>
    </row>
    <row r="918" spans="1:7" x14ac:dyDescent="0.25">
      <c r="A918" s="5"/>
      <c r="C918" s="4"/>
      <c r="D918" s="4"/>
    </row>
    <row r="919" spans="1:7" x14ac:dyDescent="0.25">
      <c r="A919" s="5"/>
      <c r="C919" s="4"/>
      <c r="D919" s="4"/>
    </row>
    <row r="920" spans="1:7" x14ac:dyDescent="0.25">
      <c r="A920" s="5"/>
      <c r="C920" s="4"/>
      <c r="D920" s="4"/>
    </row>
    <row r="921" spans="1:7" x14ac:dyDescent="0.25">
      <c r="A921" s="5"/>
      <c r="C921" s="4"/>
      <c r="D921" s="4"/>
    </row>
    <row r="922" spans="1:7" x14ac:dyDescent="0.25">
      <c r="A922" s="5"/>
      <c r="C922" s="4"/>
      <c r="D922" s="4"/>
    </row>
    <row r="923" spans="1:7" x14ac:dyDescent="0.25">
      <c r="A923" s="5"/>
      <c r="C923" s="4"/>
      <c r="D923" s="4"/>
    </row>
    <row r="924" spans="1:7" x14ac:dyDescent="0.25">
      <c r="A924" s="5"/>
      <c r="C924" s="4"/>
      <c r="D924" s="4"/>
    </row>
    <row r="925" spans="1:7" x14ac:dyDescent="0.25">
      <c r="A925" s="5"/>
      <c r="C925" s="4"/>
      <c r="D925" s="4"/>
    </row>
    <row r="926" spans="1:7" x14ac:dyDescent="0.25">
      <c r="A926" s="5"/>
      <c r="C926" s="4"/>
      <c r="D926" s="4"/>
    </row>
    <row r="927" spans="1:7" x14ac:dyDescent="0.25">
      <c r="A927" s="5"/>
      <c r="C927" s="4"/>
      <c r="D927" s="4"/>
    </row>
    <row r="928" spans="1:7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  <c r="C953" s="4"/>
      <c r="D953" s="4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  <c r="C1716"/>
      <c r="D1716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  <row r="2889" spans="1:1" x14ac:dyDescent="0.25">
      <c r="A2889" s="5"/>
    </row>
  </sheetData>
  <conditionalFormatting sqref="D1:D4 C200:D201 D202:D1048576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QP802" sqref="QP802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$A$801</v>
      </c>
      <c r="D111" s="1" t="str">
        <f>ADDRESS(C121-1,D121,1,1)</f>
        <v>$QP$801</v>
      </c>
      <c r="E111"/>
    </row>
    <row r="112" spans="1:5" x14ac:dyDescent="0.25">
      <c r="A112" s="7">
        <v>12164.144957890772</v>
      </c>
      <c r="C112" s="1" t="str">
        <f>ADDRESS(C121,1,1,1)</f>
        <v>$A$802</v>
      </c>
      <c r="D112" s="1" t="str">
        <f>ADDRESS(C121,D121-1,1,1)</f>
        <v>$QO$802</v>
      </c>
      <c r="E112"/>
    </row>
    <row r="113" spans="1:5" x14ac:dyDescent="0.25">
      <c r="A113" s="7">
        <v>11925.63231165762</v>
      </c>
      <c r="C113" s="1" t="str">
        <f>ADDRESS(C121+1,1,1,1)</f>
        <v>$A$803</v>
      </c>
      <c r="D113" s="1" t="str">
        <f>ADDRESS(C121-1,D121+1,1,1)</f>
        <v>$QQ$801</v>
      </c>
    </row>
    <row r="114" spans="1:5" x14ac:dyDescent="0.25">
      <c r="A114" s="7">
        <v>11691.796383978059</v>
      </c>
      <c r="C114" s="1" t="str">
        <f>ADDRESS(C121,D121,1,1)</f>
        <v>$QP$802</v>
      </c>
      <c r="D114" s="1" t="str">
        <f>ADDRESS(C121+1,D121+1,1,1)</f>
        <v>$QQ$803</v>
      </c>
    </row>
    <row r="115" spans="1:5" x14ac:dyDescent="0.25">
      <c r="A115" s="7">
        <v>11462.545474488292</v>
      </c>
      <c r="C115" s="1" t="str">
        <f>ADDRESS(C121+1,D121,1,1)</f>
        <v>$QP$803</v>
      </c>
    </row>
    <row r="116" spans="1:5" x14ac:dyDescent="0.25">
      <c r="A116" s="7">
        <v>11237.789680870874</v>
      </c>
      <c r="C116" s="1">
        <f>C117-1</f>
        <v>801</v>
      </c>
    </row>
    <row r="117" spans="1:5" x14ac:dyDescent="0.25">
      <c r="A117" s="7">
        <v>11017.440863598895</v>
      </c>
      <c r="C117" s="1">
        <f>C121</f>
        <v>802</v>
      </c>
      <c r="D117" s="1">
        <f>D121</f>
        <v>458</v>
      </c>
    </row>
    <row r="118" spans="1:5" x14ac:dyDescent="0.25">
      <c r="A118" s="7">
        <v>10801.412611371465</v>
      </c>
      <c r="C118" s="1">
        <f>C117+1</f>
        <v>803</v>
      </c>
      <c r="D118" s="1">
        <f>D117+1</f>
        <v>459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802</v>
      </c>
      <c r="D121" s="19">
        <v>458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R802</v>
      </c>
      <c r="D123" s="1" t="str">
        <f>"C"&amp;D121</f>
        <v>C458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1.4156733976771318E-2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5" x14ac:dyDescent="0.25">
      <c r="A529" s="7">
        <v>3.1536243640574906</v>
      </c>
      <c r="B529"/>
      <c r="C529"/>
      <c r="D529"/>
      <c r="E529"/>
    </row>
    <row r="530" spans="1:5" x14ac:dyDescent="0.25">
      <c r="A530" s="7">
        <v>3.0917885922132262</v>
      </c>
      <c r="B530"/>
      <c r="C530"/>
      <c r="D530"/>
      <c r="E530"/>
    </row>
    <row r="531" spans="1:5" x14ac:dyDescent="0.25">
      <c r="A531" s="7">
        <v>3.0311652864835552</v>
      </c>
      <c r="B531"/>
      <c r="C531"/>
      <c r="D531"/>
      <c r="E531"/>
    </row>
    <row r="532" spans="1:5" x14ac:dyDescent="0.25">
      <c r="A532" s="7">
        <v>2.9717306730230932</v>
      </c>
      <c r="B532"/>
      <c r="C532"/>
      <c r="D532"/>
      <c r="E532"/>
    </row>
    <row r="533" spans="1:5" x14ac:dyDescent="0.25">
      <c r="A533" s="7">
        <v>2.9134614441402875</v>
      </c>
      <c r="B533"/>
      <c r="C533"/>
      <c r="D533"/>
      <c r="E533"/>
    </row>
    <row r="534" spans="1:5" x14ac:dyDescent="0.25">
      <c r="A534" s="7">
        <v>2.8563347491571447</v>
      </c>
      <c r="B534"/>
      <c r="C534"/>
      <c r="D534"/>
      <c r="E534"/>
    </row>
    <row r="535" spans="1:5" x14ac:dyDescent="0.25">
      <c r="A535" s="7">
        <v>2.8003281854481812</v>
      </c>
      <c r="B535"/>
      <c r="C535"/>
      <c r="D535"/>
      <c r="E535"/>
    </row>
    <row r="536" spans="1:5" x14ac:dyDescent="0.25">
      <c r="A536" s="7">
        <v>2.7454197896550796</v>
      </c>
      <c r="B536"/>
      <c r="C536"/>
      <c r="D536"/>
      <c r="E536"/>
    </row>
    <row r="537" spans="1:5" x14ac:dyDescent="0.25">
      <c r="A537" s="7">
        <v>2.6915880290736074</v>
      </c>
      <c r="B537"/>
      <c r="C537"/>
      <c r="D537"/>
      <c r="E537"/>
    </row>
    <row r="538" spans="1:5" x14ac:dyDescent="0.25">
      <c r="A538" s="7">
        <v>2.6388117932094191</v>
      </c>
      <c r="B538"/>
      <c r="C538"/>
      <c r="D538"/>
      <c r="E538"/>
    </row>
    <row r="539" spans="1:5" x14ac:dyDescent="0.25">
      <c r="A539" s="7">
        <v>2.5870703854994304</v>
      </c>
      <c r="B539"/>
      <c r="C539"/>
      <c r="D539"/>
      <c r="E539"/>
    </row>
    <row r="540" spans="1:5" x14ac:dyDescent="0.25">
      <c r="A540" s="7">
        <v>2.53634351519552</v>
      </c>
      <c r="B540"/>
      <c r="C540"/>
      <c r="D540"/>
      <c r="E540"/>
    </row>
    <row r="541" spans="1:5" x14ac:dyDescent="0.25">
      <c r="A541" s="7">
        <v>2.4866112894073726</v>
      </c>
      <c r="B541"/>
      <c r="C541"/>
      <c r="D541"/>
      <c r="E541"/>
    </row>
    <row r="542" spans="1:5" x14ac:dyDescent="0.25">
      <c r="A542" s="7">
        <v>2.4378542053013459</v>
      </c>
      <c r="B542"/>
      <c r="C542"/>
      <c r="D542"/>
      <c r="E542"/>
    </row>
    <row r="543" spans="1:5" x14ac:dyDescent="0.25">
      <c r="A543" s="7">
        <v>2.3900531424522997</v>
      </c>
      <c r="B543"/>
      <c r="C543"/>
      <c r="D543"/>
      <c r="E543"/>
    </row>
    <row r="544" spans="1:5" x14ac:dyDescent="0.25">
      <c r="A544" s="7">
        <v>2.343189355345392</v>
      </c>
      <c r="B544"/>
      <c r="C544"/>
      <c r="D544"/>
      <c r="E544"/>
    </row>
    <row r="545" spans="1:5" x14ac:dyDescent="0.25">
      <c r="A545" s="7">
        <v>2.2972444660248938</v>
      </c>
      <c r="B545"/>
      <c r="C545"/>
      <c r="D545"/>
      <c r="E545"/>
    </row>
    <row r="546" spans="1:5" x14ac:dyDescent="0.25">
      <c r="A546" s="7">
        <v>2.252200456887151</v>
      </c>
      <c r="B546"/>
      <c r="C546"/>
      <c r="D546"/>
      <c r="E546"/>
    </row>
    <row r="547" spans="1:5" x14ac:dyDescent="0.25">
      <c r="A547" s="7">
        <v>2.208039663614854</v>
      </c>
      <c r="B547"/>
      <c r="C547"/>
      <c r="D547"/>
      <c r="E547"/>
    </row>
    <row r="548" spans="1:5" x14ac:dyDescent="0.25">
      <c r="A548" s="7">
        <v>2.1647447682498568</v>
      </c>
      <c r="B548"/>
      <c r="C548"/>
      <c r="D548"/>
      <c r="E548"/>
    </row>
    <row r="549" spans="1:5" x14ac:dyDescent="0.25">
      <c r="A549" s="7">
        <v>2.1222987924018204</v>
      </c>
      <c r="B549"/>
      <c r="C549"/>
      <c r="D549"/>
      <c r="E549"/>
    </row>
    <row r="550" spans="1:5" x14ac:dyDescent="0.25">
      <c r="A550" s="7">
        <v>2.0806850905900198</v>
      </c>
      <c r="B550"/>
      <c r="C550"/>
      <c r="D550"/>
      <c r="E550"/>
    </row>
    <row r="551" spans="1:5" x14ac:dyDescent="0.25">
      <c r="A551" s="7">
        <v>2.0398873437157055</v>
      </c>
      <c r="B551"/>
      <c r="C551"/>
      <c r="D551"/>
      <c r="E551"/>
    </row>
    <row r="552" spans="1:5" x14ac:dyDescent="0.25">
      <c r="A552" s="7">
        <v>1.9998895526624565</v>
      </c>
      <c r="B552"/>
      <c r="C552"/>
      <c r="D552"/>
      <c r="E552"/>
    </row>
    <row r="553" spans="1:5" x14ac:dyDescent="0.25">
      <c r="A553" s="7">
        <v>1.9606760320220162</v>
      </c>
      <c r="B553"/>
      <c r="C553"/>
      <c r="D553"/>
      <c r="E553"/>
    </row>
    <row r="554" spans="1:5" x14ac:dyDescent="0.25">
      <c r="A554" s="7">
        <v>1.9222314039431532</v>
      </c>
      <c r="B554"/>
      <c r="C554"/>
      <c r="D554"/>
      <c r="E554"/>
    </row>
    <row r="555" spans="1:5" x14ac:dyDescent="0.25">
      <c r="A555" s="7">
        <v>1.8845405921011305</v>
      </c>
      <c r="B555"/>
      <c r="C555"/>
      <c r="D555"/>
      <c r="E555"/>
    </row>
    <row r="556" spans="1:5" x14ac:dyDescent="0.25">
      <c r="A556" s="7">
        <v>1.8475888157854219</v>
      </c>
      <c r="B556"/>
      <c r="C556"/>
      <c r="D556"/>
      <c r="E556"/>
    </row>
    <row r="557" spans="1:5" x14ac:dyDescent="0.25">
      <c r="A557" s="7">
        <v>1.8113615841033548</v>
      </c>
      <c r="B557"/>
      <c r="C557"/>
      <c r="D557"/>
      <c r="E557"/>
    </row>
    <row r="558" spans="1:5" x14ac:dyDescent="0.25">
      <c r="A558" s="7">
        <v>1.7758446902974065</v>
      </c>
      <c r="B558"/>
      <c r="C558"/>
      <c r="D558"/>
      <c r="E558"/>
    </row>
    <row r="559" spans="1:5" x14ac:dyDescent="0.25">
      <c r="A559" s="7">
        <v>1.7410242061739281</v>
      </c>
      <c r="B559"/>
      <c r="C559"/>
      <c r="D559"/>
      <c r="E559"/>
    </row>
    <row r="560" spans="1:5" x14ac:dyDescent="0.25">
      <c r="A560" s="7">
        <v>1.7068864766411058</v>
      </c>
      <c r="B560"/>
      <c r="C560"/>
      <c r="D560"/>
      <c r="E560"/>
    </row>
    <row r="561" spans="1:5" x14ac:dyDescent="0.25">
      <c r="A561" s="7">
        <v>1.6734181143540252</v>
      </c>
      <c r="B561"/>
      <c r="C561"/>
      <c r="D561"/>
      <c r="E561"/>
    </row>
    <row r="562" spans="1:5" x14ac:dyDescent="0.25">
      <c r="A562" s="7">
        <v>1.6406059944647307</v>
      </c>
      <c r="B562"/>
      <c r="C562"/>
      <c r="D562"/>
      <c r="E562"/>
    </row>
    <row r="563" spans="1:5" x14ac:dyDescent="0.25">
      <c r="A563" s="7">
        <v>1.6084372494752261</v>
      </c>
      <c r="B563"/>
      <c r="C563"/>
      <c r="D563"/>
      <c r="E563"/>
    </row>
    <row r="564" spans="1:5" x14ac:dyDescent="0.25">
      <c r="A564" s="7">
        <v>1.5768992641913981</v>
      </c>
      <c r="B564"/>
      <c r="C564"/>
      <c r="D564"/>
      <c r="E564"/>
    </row>
    <row r="565" spans="1:5" x14ac:dyDescent="0.25">
      <c r="A565" s="7">
        <v>1.5459796707758806</v>
      </c>
      <c r="B565"/>
      <c r="C565"/>
      <c r="D565"/>
      <c r="E565"/>
    </row>
    <row r="566" spans="1:5" x14ac:dyDescent="0.25">
      <c r="A566" s="7">
        <v>1.5156663438979221</v>
      </c>
      <c r="B566"/>
      <c r="C566"/>
      <c r="D566"/>
      <c r="E566"/>
    </row>
    <row r="567" spans="1:5" x14ac:dyDescent="0.25">
      <c r="A567" s="7">
        <v>1.4859473959783549</v>
      </c>
      <c r="B567"/>
      <c r="C567"/>
      <c r="D567"/>
      <c r="E567"/>
    </row>
    <row r="568" spans="1:5" x14ac:dyDescent="0.25">
      <c r="A568" s="7">
        <v>1.4568111725277988</v>
      </c>
      <c r="B568"/>
      <c r="C568"/>
      <c r="D568"/>
      <c r="E568"/>
    </row>
    <row r="569" spans="1:5" x14ac:dyDescent="0.25">
      <c r="A569" s="7">
        <v>1.4282462475762734</v>
      </c>
      <c r="B569"/>
      <c r="C569"/>
      <c r="D569"/>
      <c r="E569"/>
    </row>
    <row r="570" spans="1:5" x14ac:dyDescent="0.25">
      <c r="A570" s="7">
        <v>1.4002414191924248</v>
      </c>
      <c r="B570"/>
      <c r="C570"/>
      <c r="D570"/>
      <c r="E570"/>
    </row>
    <row r="571" spans="1:5" x14ac:dyDescent="0.25">
      <c r="A571" s="7">
        <v>1.3727857050906125</v>
      </c>
      <c r="B571"/>
      <c r="C571"/>
      <c r="D571"/>
      <c r="E571"/>
    </row>
    <row r="572" spans="1:5" x14ac:dyDescent="0.25">
      <c r="A572" s="7">
        <v>1.3458683383241299</v>
      </c>
      <c r="B572"/>
      <c r="C572"/>
      <c r="D572"/>
      <c r="E572"/>
    </row>
    <row r="573" spans="1:5" x14ac:dyDescent="0.25">
      <c r="A573" s="7">
        <v>1.3194787630628724</v>
      </c>
      <c r="B573"/>
      <c r="C573"/>
      <c r="D573"/>
      <c r="E573"/>
    </row>
    <row r="574" spans="1:5" x14ac:dyDescent="0.25">
      <c r="A574" s="7">
        <v>1.2936066304537963</v>
      </c>
      <c r="B574"/>
      <c r="C574"/>
      <c r="D574"/>
      <c r="E574"/>
    </row>
    <row r="575" spans="1:5" x14ac:dyDescent="0.25">
      <c r="A575" s="7">
        <v>1.2682417945625455</v>
      </c>
      <c r="B575"/>
      <c r="C575"/>
      <c r="D575"/>
      <c r="E575"/>
    </row>
    <row r="576" spans="1:5" x14ac:dyDescent="0.25">
      <c r="A576" s="7">
        <v>1.2433743083946525</v>
      </c>
      <c r="B576"/>
      <c r="C576"/>
      <c r="D576"/>
      <c r="E576"/>
    </row>
    <row r="577" spans="1:6" x14ac:dyDescent="0.25">
      <c r="A577" s="7">
        <v>1.2189944199947573</v>
      </c>
      <c r="B577"/>
      <c r="C577"/>
      <c r="D577"/>
      <c r="E577"/>
    </row>
    <row r="578" spans="1:6" x14ac:dyDescent="0.25">
      <c r="A578" s="7">
        <v>1.1950925686223111</v>
      </c>
      <c r="B578"/>
      <c r="C578"/>
      <c r="D578"/>
      <c r="E578"/>
    </row>
    <row r="579" spans="1:6" x14ac:dyDescent="0.25">
      <c r="A579" s="7">
        <v>1.1716593810022657</v>
      </c>
      <c r="B579"/>
      <c r="C579"/>
      <c r="D579"/>
      <c r="E579"/>
    </row>
    <row r="580" spans="1:6" x14ac:dyDescent="0.25">
      <c r="A580" s="7">
        <v>1.14868566764928</v>
      </c>
      <c r="B580"/>
      <c r="C580"/>
      <c r="D580"/>
      <c r="E580"/>
    </row>
    <row r="581" spans="1:6" x14ac:dyDescent="0.25">
      <c r="A581" s="7">
        <v>1.1261624192640001</v>
      </c>
      <c r="B581"/>
      <c r="C581"/>
      <c r="D581"/>
      <c r="E581"/>
    </row>
    <row r="582" spans="1:6" x14ac:dyDescent="0.25">
      <c r="A582" s="7">
        <v>1.1040808032</v>
      </c>
      <c r="B582"/>
      <c r="C582"/>
      <c r="D582"/>
      <c r="E582"/>
    </row>
    <row r="583" spans="1:6" x14ac:dyDescent="0.25">
      <c r="A583" s="7">
        <v>1.08243216</v>
      </c>
      <c r="B583"/>
      <c r="C583"/>
      <c r="D583"/>
      <c r="E583"/>
    </row>
    <row r="584" spans="1:6" x14ac:dyDescent="0.25">
      <c r="A584" s="7">
        <v>1.0612079999999999</v>
      </c>
      <c r="B584"/>
      <c r="C584"/>
      <c r="D584"/>
      <c r="E584"/>
    </row>
    <row r="585" spans="1:6" x14ac:dyDescent="0.25">
      <c r="A585" s="7">
        <v>1.0404</v>
      </c>
      <c r="B585"/>
      <c r="C585"/>
      <c r="D585"/>
      <c r="E585"/>
    </row>
    <row r="586" spans="1:6" x14ac:dyDescent="0.25">
      <c r="A586" s="7">
        <v>1.02</v>
      </c>
      <c r="B586"/>
      <c r="C586"/>
      <c r="D586"/>
      <c r="E586"/>
    </row>
    <row r="587" spans="1:6" x14ac:dyDescent="0.25">
      <c r="A587" s="7">
        <v>1</v>
      </c>
      <c r="B587"/>
      <c r="C587"/>
      <c r="D587"/>
      <c r="E587" s="29" t="s">
        <v>8</v>
      </c>
    </row>
    <row r="588" spans="1:6" x14ac:dyDescent="0.25">
      <c r="A588" s="7">
        <v>0.98039215686274506</v>
      </c>
      <c r="B588"/>
      <c r="C588"/>
      <c r="D588"/>
      <c r="E588"/>
      <c r="F588" s="27" t="s">
        <v>7</v>
      </c>
    </row>
    <row r="589" spans="1:6" x14ac:dyDescent="0.25">
      <c r="A589" s="7">
        <v>0.96116878123798544</v>
      </c>
      <c r="B589"/>
      <c r="C589"/>
      <c r="D589"/>
      <c r="E589"/>
      <c r="F589" s="27" t="s">
        <v>7</v>
      </c>
    </row>
    <row r="590" spans="1:6" x14ac:dyDescent="0.25">
      <c r="A590" s="7">
        <v>0.94232233454704462</v>
      </c>
      <c r="B590"/>
      <c r="C590"/>
      <c r="D590"/>
      <c r="E590"/>
      <c r="F590" s="27" t="s">
        <v>7</v>
      </c>
    </row>
    <row r="591" spans="1:6" x14ac:dyDescent="0.25">
      <c r="A591" s="7">
        <v>0.92384542602651432</v>
      </c>
      <c r="B591"/>
      <c r="C591"/>
      <c r="D591"/>
      <c r="E591"/>
      <c r="F591" s="27" t="s">
        <v>7</v>
      </c>
    </row>
    <row r="592" spans="1:6" x14ac:dyDescent="0.25">
      <c r="A592" s="7">
        <v>0.90573080982991594</v>
      </c>
      <c r="B592"/>
      <c r="C592"/>
      <c r="D592"/>
      <c r="E592"/>
      <c r="F592" s="27" t="s">
        <v>7</v>
      </c>
    </row>
    <row r="593" spans="1:6" x14ac:dyDescent="0.25">
      <c r="A593" s="7">
        <v>0.8879713821861922</v>
      </c>
      <c r="B593"/>
      <c r="C593"/>
      <c r="D593"/>
      <c r="E593"/>
      <c r="F593" s="27" t="s">
        <v>7</v>
      </c>
    </row>
    <row r="594" spans="1:6" x14ac:dyDescent="0.25">
      <c r="A594" s="7">
        <v>0.87056017861391399</v>
      </c>
      <c r="B594"/>
      <c r="C594"/>
      <c r="D594"/>
      <c r="E594"/>
      <c r="F594" s="27" t="s">
        <v>7</v>
      </c>
    </row>
    <row r="595" spans="1:6" x14ac:dyDescent="0.25">
      <c r="A595" s="7">
        <v>0.85349037119011173</v>
      </c>
      <c r="B595"/>
      <c r="C595"/>
      <c r="D595"/>
      <c r="E595"/>
      <c r="F595" s="27" t="s">
        <v>7</v>
      </c>
    </row>
    <row r="596" spans="1:6" x14ac:dyDescent="0.25">
      <c r="A596" s="7">
        <v>0.83675526587265858</v>
      </c>
      <c r="B596"/>
      <c r="C596"/>
      <c r="D596"/>
      <c r="E596"/>
      <c r="F596" s="27" t="s">
        <v>7</v>
      </c>
    </row>
    <row r="597" spans="1:6" x14ac:dyDescent="0.25">
      <c r="A597" s="7">
        <v>0.82034829987515545</v>
      </c>
      <c r="B597"/>
      <c r="C597"/>
      <c r="D597"/>
      <c r="E597"/>
      <c r="F597" s="27" t="s">
        <v>7</v>
      </c>
    </row>
    <row r="598" spans="1:6" x14ac:dyDescent="0.25">
      <c r="A598" s="7">
        <v>0.80426303909328967</v>
      </c>
      <c r="B598"/>
      <c r="C598"/>
      <c r="D598"/>
      <c r="E598"/>
      <c r="F598" s="27" t="s">
        <v>7</v>
      </c>
    </row>
    <row r="599" spans="1:6" x14ac:dyDescent="0.25">
      <c r="A599" s="7">
        <v>0.78849317558165644</v>
      </c>
      <c r="B599"/>
      <c r="C599"/>
      <c r="D599"/>
      <c r="E599"/>
      <c r="F599" s="27" t="s">
        <v>7</v>
      </c>
    </row>
    <row r="600" spans="1:6" x14ac:dyDescent="0.25">
      <c r="A600" s="7">
        <v>0.77303252508005538</v>
      </c>
      <c r="B600"/>
      <c r="C600"/>
      <c r="D600"/>
      <c r="E600"/>
      <c r="F600" s="27" t="s">
        <v>7</v>
      </c>
    </row>
    <row r="601" spans="1:6" x14ac:dyDescent="0.25">
      <c r="A601" s="7">
        <v>0.75787502458828959</v>
      </c>
      <c r="B601"/>
      <c r="C601"/>
      <c r="D601"/>
      <c r="E601"/>
      <c r="F601" s="27" t="s">
        <v>7</v>
      </c>
    </row>
    <row r="602" spans="1:6" x14ac:dyDescent="0.25">
      <c r="A602" s="7">
        <v>0.74301472998851925</v>
      </c>
      <c r="B602"/>
      <c r="C602"/>
      <c r="D602"/>
      <c r="E602"/>
      <c r="F602" s="27" t="s">
        <v>7</v>
      </c>
    </row>
    <row r="603" spans="1:6" x14ac:dyDescent="0.25">
      <c r="A603" s="7">
        <v>0.72844581371423456</v>
      </c>
      <c r="B603"/>
      <c r="C603"/>
      <c r="D603"/>
      <c r="E603"/>
      <c r="F603" s="27" t="s">
        <v>7</v>
      </c>
    </row>
    <row r="604" spans="1:6" x14ac:dyDescent="0.25">
      <c r="A604" s="7">
        <v>0.71416256246493581</v>
      </c>
      <c r="B604"/>
      <c r="C604"/>
      <c r="D604"/>
      <c r="E604"/>
      <c r="F604" s="27" t="s">
        <v>7</v>
      </c>
    </row>
    <row r="605" spans="1:6" x14ac:dyDescent="0.25">
      <c r="A605" s="7">
        <v>0.7001593749656233</v>
      </c>
      <c r="B605"/>
      <c r="C605"/>
      <c r="D605"/>
      <c r="E605"/>
      <c r="F605" s="27" t="s">
        <v>7</v>
      </c>
    </row>
    <row r="606" spans="1:6" x14ac:dyDescent="0.25">
      <c r="A606" s="7">
        <v>0.68643075977021883</v>
      </c>
      <c r="B606"/>
      <c r="C606"/>
      <c r="D606"/>
      <c r="E606"/>
      <c r="F606" s="27" t="s">
        <v>7</v>
      </c>
    </row>
    <row r="607" spans="1:6" x14ac:dyDescent="0.25">
      <c r="A607" s="7">
        <v>0.67297133310805768</v>
      </c>
      <c r="B607"/>
      <c r="C607"/>
      <c r="D607"/>
      <c r="E607"/>
      <c r="F607" s="27" t="s">
        <v>7</v>
      </c>
    </row>
    <row r="608" spans="1:6" x14ac:dyDescent="0.25">
      <c r="A608" s="7">
        <v>0.65977581677260566</v>
      </c>
      <c r="B608"/>
      <c r="C608"/>
      <c r="D608"/>
      <c r="E608"/>
      <c r="F608" s="27" t="s">
        <v>7</v>
      </c>
    </row>
    <row r="609" spans="1:6" x14ac:dyDescent="0.25">
      <c r="A609" s="7">
        <v>0.64683903605157422</v>
      </c>
      <c r="B609"/>
      <c r="C609"/>
      <c r="D609"/>
      <c r="E609"/>
      <c r="F609" s="27" t="s">
        <v>7</v>
      </c>
    </row>
    <row r="610" spans="1:6" x14ac:dyDescent="0.25">
      <c r="A610" s="7">
        <v>0.63415591769762181</v>
      </c>
      <c r="B610"/>
      <c r="C610"/>
      <c r="D610"/>
      <c r="E610"/>
      <c r="F610" s="27" t="s">
        <v>7</v>
      </c>
    </row>
    <row r="611" spans="1:6" x14ac:dyDescent="0.25">
      <c r="A611" s="7">
        <v>0.62172148793884496</v>
      </c>
      <c r="B611"/>
      <c r="C611"/>
      <c r="D611"/>
      <c r="E611"/>
      <c r="F611" s="27" t="s">
        <v>7</v>
      </c>
    </row>
    <row r="612" spans="1:6" x14ac:dyDescent="0.25">
      <c r="A612" s="7">
        <v>0.60953087052827937</v>
      </c>
      <c r="B612"/>
      <c r="C612"/>
      <c r="D612"/>
      <c r="E612"/>
      <c r="F612" s="27" t="s">
        <v>7</v>
      </c>
    </row>
    <row r="613" spans="1:6" x14ac:dyDescent="0.25">
      <c r="A613" s="7">
        <v>0.59757928483164646</v>
      </c>
      <c r="B613"/>
      <c r="C613"/>
      <c r="D613"/>
      <c r="E613"/>
      <c r="F613" s="27" t="s">
        <v>7</v>
      </c>
    </row>
    <row r="614" spans="1:6" x14ac:dyDescent="0.25">
      <c r="A614" s="7">
        <v>0.58586204395259456</v>
      </c>
      <c r="B614"/>
      <c r="C614"/>
      <c r="D614"/>
      <c r="E614"/>
      <c r="F614" s="27" t="s">
        <v>7</v>
      </c>
    </row>
    <row r="615" spans="1:6" x14ac:dyDescent="0.25">
      <c r="A615" s="7">
        <v>0.57437455289470052</v>
      </c>
      <c r="B615"/>
      <c r="C615"/>
      <c r="D615"/>
      <c r="E615"/>
      <c r="F615" s="27" t="s">
        <v>7</v>
      </c>
    </row>
    <row r="616" spans="1:6" x14ac:dyDescent="0.25">
      <c r="A616" s="7">
        <v>0.56311230675951029</v>
      </c>
      <c r="B616"/>
      <c r="C616"/>
      <c r="D616"/>
      <c r="E616"/>
      <c r="F616" s="27" t="s">
        <v>7</v>
      </c>
    </row>
    <row r="617" spans="1:6" x14ac:dyDescent="0.25">
      <c r="A617" s="7">
        <v>0.55207088897991208</v>
      </c>
      <c r="B617"/>
      <c r="C617"/>
      <c r="D617"/>
      <c r="E617"/>
      <c r="F617" s="27" t="s">
        <v>7</v>
      </c>
    </row>
    <row r="618" spans="1:6" x14ac:dyDescent="0.25">
      <c r="A618" s="7">
        <v>0.54124596958814908</v>
      </c>
      <c r="B618"/>
      <c r="C618"/>
      <c r="D618"/>
      <c r="E618"/>
      <c r="F618" s="27" t="s">
        <v>7</v>
      </c>
    </row>
    <row r="619" spans="1:6" x14ac:dyDescent="0.25">
      <c r="A619" s="7">
        <v>0.53063330351779314</v>
      </c>
      <c r="B619"/>
      <c r="C619"/>
      <c r="D619"/>
      <c r="E619"/>
      <c r="F619" s="27" t="s">
        <v>7</v>
      </c>
    </row>
    <row r="620" spans="1:6" x14ac:dyDescent="0.25">
      <c r="A620" s="7">
        <v>0.52022872893901284</v>
      </c>
      <c r="B620"/>
      <c r="C620"/>
      <c r="D620"/>
      <c r="E620"/>
      <c r="F620" s="27" t="s">
        <v>7</v>
      </c>
    </row>
    <row r="621" spans="1:6" x14ac:dyDescent="0.25">
      <c r="A621" s="7">
        <v>0.51002816562648323</v>
      </c>
      <c r="B621"/>
      <c r="C621"/>
      <c r="D621"/>
      <c r="E621"/>
      <c r="F621" s="27" t="s">
        <v>7</v>
      </c>
    </row>
    <row r="622" spans="1:6" x14ac:dyDescent="0.25">
      <c r="A622" s="7">
        <v>0.50002761335929735</v>
      </c>
      <c r="B622"/>
      <c r="C622"/>
      <c r="D622"/>
      <c r="E622"/>
      <c r="F622" s="27" t="s">
        <v>7</v>
      </c>
    </row>
    <row r="623" spans="1:6" x14ac:dyDescent="0.25">
      <c r="A623" s="7">
        <v>0.49022315035225228</v>
      </c>
      <c r="B623"/>
      <c r="C623"/>
      <c r="D623"/>
      <c r="E623"/>
      <c r="F623" s="27" t="s">
        <v>7</v>
      </c>
    </row>
    <row r="624" spans="1:6" x14ac:dyDescent="0.25">
      <c r="A624" s="7">
        <v>0.48061093171789437</v>
      </c>
      <c r="B624"/>
      <c r="C624"/>
      <c r="D624"/>
      <c r="E624"/>
      <c r="F624" s="27" t="s">
        <v>7</v>
      </c>
    </row>
    <row r="625" spans="1:6" x14ac:dyDescent="0.25">
      <c r="A625" s="7">
        <v>0.47118718795871994</v>
      </c>
      <c r="B625"/>
      <c r="C625"/>
      <c r="D625"/>
      <c r="E625"/>
      <c r="F625" s="27" t="s">
        <v>7</v>
      </c>
    </row>
    <row r="626" spans="1:6" x14ac:dyDescent="0.25">
      <c r="A626" s="7">
        <v>0.46194822348894116</v>
      </c>
      <c r="B626"/>
      <c r="C626"/>
      <c r="D626"/>
      <c r="E626"/>
      <c r="F626" s="27" t="s">
        <v>7</v>
      </c>
    </row>
    <row r="627" spans="1:6" x14ac:dyDescent="0.25">
      <c r="A627" s="7">
        <v>0.45289041518523643</v>
      </c>
      <c r="B627"/>
      <c r="C627"/>
      <c r="D627"/>
      <c r="E627"/>
      <c r="F627" s="27" t="s">
        <v>7</v>
      </c>
    </row>
    <row r="628" spans="1:6" x14ac:dyDescent="0.25">
      <c r="A628" s="7">
        <v>0.44401021096591808</v>
      </c>
      <c r="B628"/>
      <c r="C628"/>
      <c r="D628"/>
      <c r="E628"/>
      <c r="F628" s="27" t="s">
        <v>7</v>
      </c>
    </row>
    <row r="629" spans="1:6" x14ac:dyDescent="0.25">
      <c r="A629" s="7">
        <v>0.4353041283979589</v>
      </c>
      <c r="B629"/>
      <c r="C629"/>
      <c r="D629"/>
      <c r="E629"/>
      <c r="F629" s="27" t="s">
        <v>7</v>
      </c>
    </row>
    <row r="630" spans="1:6" x14ac:dyDescent="0.25">
      <c r="A630" s="7">
        <v>0.4267687533313323</v>
      </c>
      <c r="B630"/>
      <c r="C630"/>
      <c r="D630"/>
      <c r="E630"/>
      <c r="F630" s="27" t="s">
        <v>7</v>
      </c>
    </row>
    <row r="631" spans="1:6" x14ac:dyDescent="0.25">
      <c r="A631" s="7">
        <v>0.41840073856012971</v>
      </c>
      <c r="B631"/>
      <c r="C631"/>
      <c r="D631"/>
      <c r="E631"/>
      <c r="F631" s="27" t="s">
        <v>7</v>
      </c>
    </row>
    <row r="632" spans="1:6" x14ac:dyDescent="0.25">
      <c r="A632" s="7">
        <v>0.41019680250993112</v>
      </c>
      <c r="B632"/>
      <c r="C632"/>
      <c r="D632"/>
      <c r="E632"/>
      <c r="F632" s="27" t="s">
        <v>7</v>
      </c>
    </row>
    <row r="633" spans="1:6" x14ac:dyDescent="0.25">
      <c r="A633" s="7">
        <v>0.40215372795091286</v>
      </c>
      <c r="B633"/>
      <c r="C633"/>
      <c r="D633"/>
      <c r="E633"/>
      <c r="F633" s="27" t="s">
        <v>7</v>
      </c>
    </row>
    <row r="634" spans="1:6" x14ac:dyDescent="0.25">
      <c r="A634" s="7">
        <v>0.39426836073618904</v>
      </c>
      <c r="B634"/>
      <c r="C634"/>
      <c r="D634"/>
      <c r="E634"/>
      <c r="F634" s="27" t="s">
        <v>7</v>
      </c>
    </row>
    <row r="635" spans="1:6" x14ac:dyDescent="0.25">
      <c r="A635" s="7">
        <v>0.38653760856489122</v>
      </c>
      <c r="B635"/>
      <c r="C635"/>
      <c r="D635"/>
      <c r="E635"/>
      <c r="F635" s="27" t="s">
        <v>7</v>
      </c>
    </row>
    <row r="636" spans="1:6" x14ac:dyDescent="0.25">
      <c r="A636" s="7">
        <v>0.37895843976950117</v>
      </c>
      <c r="B636"/>
      <c r="C636"/>
      <c r="D636"/>
      <c r="E636"/>
      <c r="F636" s="27" t="s">
        <v>7</v>
      </c>
    </row>
    <row r="637" spans="1:6" x14ac:dyDescent="0.25">
      <c r="A637" s="7">
        <v>0.37152788212696197</v>
      </c>
      <c r="B637"/>
      <c r="C637"/>
      <c r="D637"/>
      <c r="E637"/>
      <c r="F637" s="27" t="s">
        <v>7</v>
      </c>
    </row>
    <row r="638" spans="1:6" x14ac:dyDescent="0.25">
      <c r="A638" s="7">
        <v>0.36424302169310002</v>
      </c>
      <c r="B638"/>
      <c r="C638"/>
      <c r="D638"/>
      <c r="E638"/>
      <c r="F638" s="27" t="s">
        <v>7</v>
      </c>
    </row>
    <row r="639" spans="1:6" x14ac:dyDescent="0.25">
      <c r="A639" s="7">
        <v>0.35710100165990194</v>
      </c>
      <c r="B639"/>
      <c r="C639"/>
      <c r="D639"/>
      <c r="E639"/>
      <c r="F639" s="27" t="s">
        <v>7</v>
      </c>
    </row>
    <row r="640" spans="1:6" x14ac:dyDescent="0.25">
      <c r="A640" s="7">
        <v>0.35009902123519804</v>
      </c>
      <c r="B640"/>
      <c r="C640"/>
      <c r="D640"/>
      <c r="E640"/>
      <c r="F640" s="27" t="s">
        <v>7</v>
      </c>
    </row>
    <row r="641" spans="1:6" x14ac:dyDescent="0.25">
      <c r="A641" s="7">
        <v>0.34323433454431179</v>
      </c>
      <c r="B641"/>
      <c r="C641"/>
      <c r="D641"/>
      <c r="E641"/>
      <c r="F641" s="27" t="s">
        <v>7</v>
      </c>
    </row>
    <row r="642" spans="1:6" x14ac:dyDescent="0.25">
      <c r="A642" s="7">
        <v>0.33650424955324681</v>
      </c>
      <c r="B642"/>
      <c r="C642"/>
      <c r="D642"/>
      <c r="E642"/>
      <c r="F642" s="27" t="s">
        <v>7</v>
      </c>
    </row>
    <row r="643" spans="1:6" x14ac:dyDescent="0.25">
      <c r="A643" s="7">
        <v>0.3299061270129871</v>
      </c>
      <c r="B643"/>
      <c r="C643"/>
      <c r="D643"/>
      <c r="E643"/>
      <c r="F643" s="27" t="s">
        <v>7</v>
      </c>
    </row>
    <row r="644" spans="1:6" x14ac:dyDescent="0.25">
      <c r="A644" s="7">
        <v>0.32343737942449713</v>
      </c>
      <c r="B644"/>
      <c r="C644"/>
      <c r="D644"/>
      <c r="E644"/>
      <c r="F644" s="27" t="s">
        <v>7</v>
      </c>
    </row>
    <row r="645" spans="1:6" x14ac:dyDescent="0.25">
      <c r="A645" s="7">
        <v>0.31709547002401678</v>
      </c>
      <c r="B645"/>
      <c r="C645"/>
      <c r="D645"/>
      <c r="E645"/>
      <c r="F645" s="27" t="s">
        <v>7</v>
      </c>
    </row>
    <row r="646" spans="1:6" x14ac:dyDescent="0.25">
      <c r="A646" s="7">
        <v>0.31087791178825175</v>
      </c>
      <c r="B646"/>
      <c r="C646"/>
      <c r="D646"/>
      <c r="E646"/>
      <c r="F646" s="27" t="s">
        <v>7</v>
      </c>
    </row>
    <row r="647" spans="1:6" x14ac:dyDescent="0.25">
      <c r="A647" s="7">
        <v>0.30478226645907036</v>
      </c>
      <c r="B647"/>
      <c r="C647"/>
      <c r="D647"/>
      <c r="E647"/>
      <c r="F647" s="27" t="s">
        <v>7</v>
      </c>
    </row>
    <row r="648" spans="1:6" x14ac:dyDescent="0.25">
      <c r="A648" s="7">
        <v>0.29880614358732388</v>
      </c>
      <c r="B648"/>
      <c r="C648"/>
      <c r="D648"/>
      <c r="E648"/>
      <c r="F648" s="27" t="s">
        <v>7</v>
      </c>
    </row>
    <row r="649" spans="1:6" x14ac:dyDescent="0.25">
      <c r="A649" s="7">
        <v>0.2929471995954156</v>
      </c>
      <c r="B649"/>
      <c r="C649"/>
      <c r="D649"/>
      <c r="E649"/>
      <c r="F649" s="27" t="s">
        <v>7</v>
      </c>
    </row>
    <row r="650" spans="1:6" x14ac:dyDescent="0.25">
      <c r="A650" s="7">
        <v>0.28720313685825055</v>
      </c>
      <c r="B650"/>
      <c r="C650"/>
      <c r="D650"/>
      <c r="E650"/>
      <c r="F650" s="27" t="s">
        <v>7</v>
      </c>
    </row>
    <row r="651" spans="1:6" x14ac:dyDescent="0.25">
      <c r="A651" s="7">
        <v>0.28157170280220645</v>
      </c>
      <c r="B651"/>
      <c r="C651"/>
      <c r="D651"/>
      <c r="E651"/>
      <c r="F651" s="27" t="s">
        <v>7</v>
      </c>
    </row>
    <row r="652" spans="1:6" x14ac:dyDescent="0.25">
      <c r="A652" s="7">
        <v>0.27605068902177105</v>
      </c>
      <c r="B652"/>
      <c r="C652"/>
      <c r="D652"/>
      <c r="E652"/>
      <c r="F652" s="27" t="s">
        <v>7</v>
      </c>
    </row>
    <row r="653" spans="1:6" x14ac:dyDescent="0.25">
      <c r="A653" s="7">
        <v>0.27063793041350104</v>
      </c>
      <c r="B653"/>
      <c r="C653"/>
      <c r="D653"/>
      <c r="E653"/>
      <c r="F653" s="27" t="s">
        <v>7</v>
      </c>
    </row>
    <row r="654" spans="1:6" x14ac:dyDescent="0.25">
      <c r="A654" s="7">
        <v>0.26533130432696184</v>
      </c>
      <c r="B654"/>
      <c r="C654"/>
      <c r="D654"/>
      <c r="E654"/>
      <c r="F654" s="27" t="s">
        <v>7</v>
      </c>
    </row>
    <row r="655" spans="1:6" x14ac:dyDescent="0.25">
      <c r="A655" s="7">
        <v>0.26012872973231554</v>
      </c>
      <c r="B655"/>
      <c r="C655"/>
      <c r="D655"/>
      <c r="E655"/>
      <c r="F655" s="27" t="s">
        <v>7</v>
      </c>
    </row>
    <row r="656" spans="1:6" x14ac:dyDescent="0.25">
      <c r="A656" s="7">
        <v>0.25502816640423093</v>
      </c>
      <c r="B656"/>
      <c r="C656"/>
      <c r="D656"/>
      <c r="E656"/>
      <c r="F656" s="27" t="s">
        <v>7</v>
      </c>
    </row>
    <row r="657" spans="1:6" x14ac:dyDescent="0.25">
      <c r="A657" s="7">
        <v>0.25002761412179503</v>
      </c>
      <c r="B657"/>
      <c r="C657"/>
      <c r="D657"/>
      <c r="E657"/>
      <c r="F657" s="27" t="s">
        <v>7</v>
      </c>
    </row>
    <row r="658" spans="1:6" x14ac:dyDescent="0.25">
      <c r="A658" s="7">
        <v>0.24512511188411276</v>
      </c>
      <c r="B658"/>
      <c r="C658"/>
      <c r="D658"/>
      <c r="E658"/>
      <c r="F658" s="27" t="s">
        <v>7</v>
      </c>
    </row>
    <row r="659" spans="1:6" x14ac:dyDescent="0.25">
      <c r="A659" s="7">
        <v>0.24031873714128701</v>
      </c>
      <c r="B659"/>
      <c r="C659"/>
      <c r="D659"/>
      <c r="E659"/>
      <c r="F659" s="27" t="s">
        <v>7</v>
      </c>
    </row>
    <row r="660" spans="1:6" x14ac:dyDescent="0.25">
      <c r="A660" s="7">
        <v>0.23560660504047748</v>
      </c>
      <c r="B660"/>
      <c r="C660"/>
      <c r="D660"/>
      <c r="E660"/>
      <c r="F660" s="27" t="s">
        <v>7</v>
      </c>
    </row>
    <row r="661" spans="1:6" x14ac:dyDescent="0.25">
      <c r="A661" s="7">
        <v>0.23098686768674265</v>
      </c>
      <c r="B661"/>
      <c r="C661"/>
      <c r="D661"/>
      <c r="E661"/>
      <c r="F661" s="27" t="s">
        <v>7</v>
      </c>
    </row>
    <row r="662" spans="1:6" x14ac:dyDescent="0.25">
      <c r="A662" s="7">
        <v>0.22645771341837515</v>
      </c>
      <c r="B662"/>
      <c r="C662"/>
      <c r="D662"/>
      <c r="E662"/>
      <c r="F662" s="27" t="s">
        <v>7</v>
      </c>
    </row>
    <row r="663" spans="1:6" x14ac:dyDescent="0.25">
      <c r="A663" s="7">
        <v>0.22201736609644623</v>
      </c>
      <c r="B663"/>
      <c r="C663"/>
      <c r="D663"/>
      <c r="E663"/>
      <c r="F663" s="27" t="s">
        <v>7</v>
      </c>
    </row>
    <row r="664" spans="1:6" x14ac:dyDescent="0.25">
      <c r="A664" s="7">
        <v>0.21766408440828061</v>
      </c>
      <c r="B664"/>
      <c r="C664"/>
      <c r="D664"/>
      <c r="E664"/>
      <c r="F664" s="27" t="s">
        <v>7</v>
      </c>
    </row>
    <row r="665" spans="1:6" x14ac:dyDescent="0.25">
      <c r="A665" s="7">
        <v>0.21339616118458882</v>
      </c>
      <c r="B665"/>
      <c r="C665"/>
      <c r="D665"/>
      <c r="E665"/>
      <c r="F665" s="27" t="s">
        <v>7</v>
      </c>
    </row>
    <row r="666" spans="1:6" x14ac:dyDescent="0.25">
      <c r="A666" s="7">
        <v>0.20921192272998904</v>
      </c>
      <c r="B666"/>
      <c r="C666"/>
      <c r="D666"/>
      <c r="E666"/>
      <c r="F666" s="27" t="s">
        <v>7</v>
      </c>
    </row>
    <row r="667" spans="1:6" x14ac:dyDescent="0.25">
      <c r="A667" s="7">
        <v>0.20510972816665593</v>
      </c>
      <c r="B667"/>
      <c r="C667"/>
      <c r="D667"/>
      <c r="E667"/>
      <c r="F667" s="27" t="s">
        <v>7</v>
      </c>
    </row>
    <row r="668" spans="1:6" x14ac:dyDescent="0.25">
      <c r="A668" s="7">
        <v>0.20108796879083912</v>
      </c>
      <c r="B668"/>
      <c r="C668"/>
      <c r="D668"/>
      <c r="E668"/>
      <c r="F668" s="27" t="s">
        <v>7</v>
      </c>
    </row>
    <row r="669" spans="1:6" x14ac:dyDescent="0.25">
      <c r="A669" s="7">
        <v>0.19714506744199917</v>
      </c>
      <c r="B669"/>
      <c r="C669"/>
      <c r="D669"/>
      <c r="E669"/>
      <c r="F669" s="27" t="s">
        <v>7</v>
      </c>
    </row>
    <row r="670" spans="1:6" x14ac:dyDescent="0.25">
      <c r="A670" s="7">
        <v>0.19327947788431293</v>
      </c>
      <c r="B670"/>
      <c r="C670"/>
      <c r="D670"/>
      <c r="E670"/>
      <c r="F670" s="27" t="s">
        <v>7</v>
      </c>
    </row>
    <row r="671" spans="1:6" x14ac:dyDescent="0.25">
      <c r="A671" s="7">
        <v>0.18948968420030682</v>
      </c>
      <c r="B671"/>
      <c r="C671"/>
      <c r="D671"/>
      <c r="E671"/>
      <c r="F671" s="27" t="s">
        <v>7</v>
      </c>
    </row>
    <row r="672" spans="1:6" x14ac:dyDescent="0.25">
      <c r="A672" s="7">
        <v>0.18577420019637925</v>
      </c>
      <c r="B672"/>
      <c r="C672"/>
      <c r="D672"/>
      <c r="E672"/>
      <c r="F672" s="27" t="s">
        <v>7</v>
      </c>
    </row>
    <row r="673" spans="1:6" x14ac:dyDescent="0.25">
      <c r="A673" s="7">
        <v>0.18213156881997963</v>
      </c>
      <c r="B673"/>
      <c r="C673"/>
      <c r="D673"/>
      <c r="E673"/>
      <c r="F673" s="27" t="s">
        <v>7</v>
      </c>
    </row>
    <row r="674" spans="1:6" x14ac:dyDescent="0.25">
      <c r="A674" s="7">
        <v>0.17856036158821534</v>
      </c>
      <c r="B674"/>
      <c r="C674"/>
      <c r="D674"/>
      <c r="E674"/>
      <c r="F674" s="27" t="s">
        <v>7</v>
      </c>
    </row>
    <row r="675" spans="1:6" x14ac:dyDescent="0.25">
      <c r="A675" s="7">
        <v>0.17505917802766208</v>
      </c>
      <c r="B675"/>
      <c r="C675"/>
      <c r="D675"/>
      <c r="E675"/>
      <c r="F675" s="27" t="s">
        <v>7</v>
      </c>
    </row>
    <row r="676" spans="1:6" x14ac:dyDescent="0.25">
      <c r="A676" s="7">
        <v>0.17162664512515888</v>
      </c>
      <c r="B676"/>
      <c r="C676"/>
      <c r="D676"/>
      <c r="E676"/>
      <c r="F676" s="27" t="s">
        <v>7</v>
      </c>
    </row>
    <row r="677" spans="1:6" x14ac:dyDescent="0.25">
      <c r="A677" s="7">
        <v>0.16826141678937145</v>
      </c>
      <c r="B677"/>
      <c r="C677"/>
      <c r="D677"/>
      <c r="E677"/>
      <c r="F677" s="27" t="s">
        <v>7</v>
      </c>
    </row>
    <row r="678" spans="1:6" x14ac:dyDescent="0.25">
      <c r="A678" s="7">
        <v>0.16496217332291319</v>
      </c>
      <c r="B678"/>
      <c r="C678"/>
      <c r="D678"/>
      <c r="E678"/>
      <c r="F678" s="27" t="s">
        <v>7</v>
      </c>
    </row>
    <row r="679" spans="1:6" x14ac:dyDescent="0.25">
      <c r="A679" s="7">
        <v>0.16172762090481685</v>
      </c>
      <c r="B679"/>
      <c r="C679"/>
      <c r="D679"/>
      <c r="E679"/>
      <c r="F679" s="27" t="s">
        <v>7</v>
      </c>
    </row>
    <row r="680" spans="1:6" x14ac:dyDescent="0.25">
      <c r="A680" s="7">
        <v>0.15855649108315376</v>
      </c>
      <c r="B680"/>
      <c r="C680"/>
      <c r="D680"/>
      <c r="E680"/>
      <c r="F680" s="27" t="s">
        <v>7</v>
      </c>
    </row>
    <row r="681" spans="1:6" x14ac:dyDescent="0.25">
      <c r="A681" s="7">
        <v>0.15544754027760171</v>
      </c>
      <c r="B681"/>
      <c r="C681"/>
      <c r="D681"/>
      <c r="E681"/>
      <c r="F681" s="27" t="s">
        <v>7</v>
      </c>
    </row>
    <row r="682" spans="1:6" x14ac:dyDescent="0.25">
      <c r="A682" s="7">
        <v>0.15239954929176638</v>
      </c>
      <c r="B682"/>
      <c r="C682"/>
      <c r="D682"/>
      <c r="E682"/>
      <c r="F682" s="27" t="s">
        <v>7</v>
      </c>
    </row>
    <row r="683" spans="1:6" x14ac:dyDescent="0.25">
      <c r="A683" s="7">
        <v>0.14941132283506509</v>
      </c>
      <c r="B683"/>
      <c r="C683"/>
      <c r="D683"/>
      <c r="E683"/>
      <c r="F683" s="27" t="s">
        <v>7</v>
      </c>
    </row>
    <row r="684" spans="1:6" x14ac:dyDescent="0.25">
      <c r="A684" s="7">
        <v>0.14648168905398537</v>
      </c>
      <c r="B684"/>
      <c r="C684"/>
      <c r="D684"/>
      <c r="E684"/>
      <c r="F684" s="27" t="s">
        <v>7</v>
      </c>
    </row>
    <row r="685" spans="1:6" x14ac:dyDescent="0.25">
      <c r="A685" s="7">
        <v>0.14360949907253467</v>
      </c>
      <c r="B685"/>
      <c r="C685"/>
      <c r="D685"/>
      <c r="E685"/>
      <c r="F685" s="27" t="s">
        <v>7</v>
      </c>
    </row>
    <row r="686" spans="1:6" x14ac:dyDescent="0.25">
      <c r="A686" s="7">
        <v>0.14079362654170066</v>
      </c>
      <c r="B686"/>
      <c r="C686"/>
      <c r="D686"/>
      <c r="E686"/>
      <c r="F686" s="27" t="s">
        <v>7</v>
      </c>
    </row>
    <row r="687" spans="1:6" x14ac:dyDescent="0.25">
      <c r="A687" s="7">
        <v>0.13803296719774574</v>
      </c>
      <c r="B687"/>
      <c r="C687"/>
      <c r="D687"/>
      <c r="E687"/>
      <c r="F687" s="27" t="s">
        <v>7</v>
      </c>
    </row>
    <row r="688" spans="1:6" x14ac:dyDescent="0.25">
      <c r="A688" s="7">
        <v>0.1353264384291625</v>
      </c>
      <c r="B688"/>
      <c r="C688"/>
      <c r="D688"/>
      <c r="E688"/>
      <c r="F688" s="27" t="s">
        <v>7</v>
      </c>
    </row>
    <row r="689" spans="1:6" x14ac:dyDescent="0.25">
      <c r="A689" s="7">
        <v>0.13267297885212009</v>
      </c>
      <c r="B689"/>
      <c r="C689"/>
      <c r="D689"/>
      <c r="E689"/>
      <c r="F689" s="27" t="s">
        <v>7</v>
      </c>
    </row>
    <row r="690" spans="1:6" x14ac:dyDescent="0.25">
      <c r="A690" s="7">
        <v>0.13007154789423539</v>
      </c>
      <c r="B690"/>
      <c r="C690"/>
      <c r="D690"/>
      <c r="E690"/>
      <c r="F690" s="27" t="s">
        <v>7</v>
      </c>
    </row>
    <row r="691" spans="1:6" x14ac:dyDescent="0.25">
      <c r="A691" s="7">
        <v>0.12752112538650529</v>
      </c>
      <c r="B691"/>
      <c r="C691"/>
      <c r="D691"/>
      <c r="E691"/>
      <c r="F691" s="27" t="s">
        <v>7</v>
      </c>
    </row>
    <row r="692" spans="1:6" x14ac:dyDescent="0.25">
      <c r="A692" s="7">
        <v>0.12502071116324048</v>
      </c>
      <c r="B692"/>
      <c r="C692"/>
      <c r="D692"/>
      <c r="E692"/>
      <c r="F692" s="27" t="s">
        <v>7</v>
      </c>
    </row>
    <row r="693" spans="1:6" x14ac:dyDescent="0.25">
      <c r="A693" s="7">
        <v>0.1225693246698436</v>
      </c>
      <c r="B693"/>
      <c r="C693"/>
      <c r="D693"/>
      <c r="E693"/>
      <c r="F693" s="27" t="s">
        <v>7</v>
      </c>
    </row>
    <row r="694" spans="1:6" x14ac:dyDescent="0.25">
      <c r="A694" s="7">
        <v>0.12016600457827803</v>
      </c>
      <c r="B694"/>
      <c r="C694"/>
      <c r="D694"/>
      <c r="E694"/>
      <c r="F694" s="27" t="s">
        <v>7</v>
      </c>
    </row>
    <row r="695" spans="1:6" x14ac:dyDescent="0.25">
      <c r="A695" s="7">
        <v>0.1178098084100765</v>
      </c>
      <c r="B695"/>
      <c r="C695"/>
      <c r="D695"/>
      <c r="E695"/>
      <c r="F695" s="27" t="s">
        <v>7</v>
      </c>
    </row>
    <row r="696" spans="1:6" x14ac:dyDescent="0.25">
      <c r="A696" s="7">
        <v>0.11549981216674166</v>
      </c>
      <c r="B696"/>
      <c r="C696"/>
      <c r="D696"/>
      <c r="E696"/>
      <c r="F696" s="27" t="s">
        <v>7</v>
      </c>
    </row>
    <row r="697" spans="1:6" x14ac:dyDescent="0.25">
      <c r="A697" s="7">
        <v>0.11323510996739378</v>
      </c>
      <c r="B697"/>
      <c r="C697"/>
      <c r="D697"/>
      <c r="E697"/>
      <c r="F697" s="27" t="s">
        <v>7</v>
      </c>
    </row>
    <row r="698" spans="1:6" x14ac:dyDescent="0.25">
      <c r="A698" s="7">
        <v>0.11101481369352331</v>
      </c>
      <c r="B698"/>
      <c r="C698"/>
      <c r="D698"/>
      <c r="E698"/>
      <c r="F698" s="27" t="s">
        <v>7</v>
      </c>
    </row>
    <row r="699" spans="1:6" x14ac:dyDescent="0.25">
      <c r="A699" s="7">
        <v>0.10883805264070913</v>
      </c>
      <c r="B699"/>
      <c r="C699"/>
      <c r="D699"/>
      <c r="E699"/>
      <c r="F699" s="27" t="s">
        <v>7</v>
      </c>
    </row>
    <row r="700" spans="1:6" x14ac:dyDescent="0.25">
      <c r="A700" s="7">
        <v>0.10670397317716582</v>
      </c>
      <c r="B700"/>
      <c r="C700"/>
      <c r="D700"/>
      <c r="E700"/>
      <c r="F700" s="27" t="s">
        <v>7</v>
      </c>
    </row>
    <row r="701" spans="1:6" x14ac:dyDescent="0.25">
      <c r="A701" s="7">
        <v>0.1046117384089861</v>
      </c>
      <c r="B701"/>
      <c r="C701"/>
      <c r="D701"/>
      <c r="E701"/>
      <c r="F701" s="27" t="s">
        <v>7</v>
      </c>
    </row>
    <row r="702" spans="1:6" x14ac:dyDescent="0.25">
      <c r="A702" s="7">
        <v>0.10256052785194716</v>
      </c>
      <c r="B702"/>
      <c r="C702"/>
      <c r="D702"/>
      <c r="E702"/>
      <c r="F702" s="27" t="s">
        <v>7</v>
      </c>
    </row>
    <row r="703" spans="1:6" x14ac:dyDescent="0.25">
      <c r="A703" s="7">
        <v>0.10054953710975212</v>
      </c>
      <c r="B703"/>
      <c r="C703"/>
      <c r="D703"/>
      <c r="E703"/>
      <c r="F703" s="27" t="s">
        <v>7</v>
      </c>
    </row>
    <row r="704" spans="1:6" x14ac:dyDescent="0.25">
      <c r="A704" s="7">
        <v>9.8577977558580512E-2</v>
      </c>
      <c r="B704"/>
      <c r="C704"/>
      <c r="D704"/>
      <c r="E704"/>
      <c r="F704" s="27" t="s">
        <v>7</v>
      </c>
    </row>
    <row r="705" spans="1:6" x14ac:dyDescent="0.25">
      <c r="A705" s="7">
        <v>9.6645076037824032E-2</v>
      </c>
      <c r="B705"/>
      <c r="C705"/>
      <c r="D705"/>
      <c r="E705"/>
      <c r="F705" s="27" t="s">
        <v>7</v>
      </c>
    </row>
    <row r="706" spans="1:6" x14ac:dyDescent="0.25">
      <c r="A706" s="7">
        <v>9.4750074546886304E-2</v>
      </c>
      <c r="B706"/>
      <c r="C706"/>
      <c r="D706"/>
      <c r="E706"/>
      <c r="F706" s="27" t="s">
        <v>7</v>
      </c>
    </row>
    <row r="707" spans="1:6" x14ac:dyDescent="0.25">
      <c r="A707" s="7">
        <v>9.2892229947927743E-2</v>
      </c>
      <c r="B707"/>
      <c r="C707"/>
      <c r="D707"/>
      <c r="E707"/>
      <c r="F707" s="27" t="s">
        <v>7</v>
      </c>
    </row>
    <row r="708" spans="1:6" x14ac:dyDescent="0.25">
      <c r="A708" s="7">
        <v>9.1070813674438963E-2</v>
      </c>
      <c r="B708"/>
      <c r="C708"/>
      <c r="D708"/>
      <c r="E708"/>
      <c r="F708" s="27" t="s">
        <v>7</v>
      </c>
    </row>
    <row r="709" spans="1:6" x14ac:dyDescent="0.25">
      <c r="A709" s="7">
        <v>8.9285111445528392E-2</v>
      </c>
      <c r="B709"/>
      <c r="C709"/>
      <c r="D709"/>
      <c r="E709"/>
      <c r="F709" s="27" t="s">
        <v>7</v>
      </c>
    </row>
    <row r="710" spans="1:6" x14ac:dyDescent="0.25">
      <c r="A710" s="7">
        <v>8.7534422985812155E-2</v>
      </c>
      <c r="B710"/>
      <c r="C710"/>
      <c r="D710"/>
      <c r="E710"/>
      <c r="F710" s="27" t="s">
        <v>7</v>
      </c>
    </row>
    <row r="711" spans="1:6" x14ac:dyDescent="0.25">
      <c r="A711" s="7">
        <v>8.5818061750796232E-2</v>
      </c>
      <c r="B711"/>
      <c r="C711"/>
      <c r="D711"/>
      <c r="E711"/>
      <c r="F711" s="27" t="s">
        <v>7</v>
      </c>
    </row>
    <row r="712" spans="1:6" x14ac:dyDescent="0.25">
      <c r="A712" s="7">
        <v>8.4135354657643366E-2</v>
      </c>
      <c r="B712"/>
      <c r="C712"/>
      <c r="D712"/>
      <c r="E712"/>
      <c r="F712" s="27" t="s">
        <v>7</v>
      </c>
    </row>
    <row r="713" spans="1:6" x14ac:dyDescent="0.25">
      <c r="A713" s="7">
        <v>8.248564182121898E-2</v>
      </c>
      <c r="B713"/>
      <c r="C713"/>
      <c r="D713"/>
      <c r="E713"/>
      <c r="F713" s="27" t="s">
        <v>7</v>
      </c>
    </row>
    <row r="714" spans="1:6" x14ac:dyDescent="0.25">
      <c r="A714" s="7">
        <v>8.0868276295312735E-2</v>
      </c>
      <c r="B714"/>
      <c r="C714"/>
      <c r="D714"/>
      <c r="E714"/>
      <c r="F714" s="27" t="s">
        <v>7</v>
      </c>
    </row>
    <row r="715" spans="1:6" x14ac:dyDescent="0.25">
      <c r="A715" s="7">
        <v>7.9282623818934056E-2</v>
      </c>
      <c r="B715"/>
      <c r="C715"/>
      <c r="D715"/>
      <c r="E715"/>
      <c r="F715" s="27" t="s">
        <v>7</v>
      </c>
    </row>
    <row r="716" spans="1:6" x14ac:dyDescent="0.25">
      <c r="A716" s="7">
        <v>7.7728062567582412E-2</v>
      </c>
      <c r="B716"/>
      <c r="C716"/>
      <c r="D716"/>
      <c r="E716"/>
      <c r="F716" s="27" t="s">
        <v>7</v>
      </c>
    </row>
    <row r="717" spans="1:6" x14ac:dyDescent="0.25">
      <c r="A717" s="7">
        <v>7.6203982909394521E-2</v>
      </c>
      <c r="B717"/>
      <c r="C717"/>
      <c r="D717"/>
      <c r="E717"/>
      <c r="F717" s="27" t="s">
        <v>7</v>
      </c>
    </row>
    <row r="718" spans="1:6" x14ac:dyDescent="0.25">
      <c r="A718" s="7">
        <v>7.4709787166073058E-2</v>
      </c>
      <c r="B718"/>
      <c r="C718"/>
      <c r="D718"/>
      <c r="E718"/>
      <c r="F718" s="27" t="s">
        <v>7</v>
      </c>
    </row>
    <row r="719" spans="1:6" x14ac:dyDescent="0.25">
      <c r="A719" s="7">
        <v>7.3244889378503E-2</v>
      </c>
      <c r="B719"/>
      <c r="C719"/>
      <c r="D719"/>
      <c r="E719"/>
      <c r="F719" s="27" t="s">
        <v>7</v>
      </c>
    </row>
    <row r="720" spans="1:6" x14ac:dyDescent="0.25">
      <c r="A720" s="7">
        <v>7.1808715076963722E-2</v>
      </c>
      <c r="B720"/>
      <c r="C720"/>
      <c r="D720"/>
      <c r="E720"/>
      <c r="F720" s="27" t="s">
        <v>7</v>
      </c>
    </row>
    <row r="721" spans="1:426" x14ac:dyDescent="0.25">
      <c r="A721" s="7">
        <v>7.0400701055846782E-2</v>
      </c>
      <c r="B721"/>
      <c r="C721"/>
      <c r="D721"/>
      <c r="E721"/>
      <c r="F721" s="27" t="s">
        <v>7</v>
      </c>
    </row>
    <row r="722" spans="1:426" x14ac:dyDescent="0.25">
      <c r="A722" s="7">
        <v>6.9020295152790956E-2</v>
      </c>
      <c r="B722"/>
      <c r="C722"/>
      <c r="D722"/>
      <c r="E722"/>
      <c r="F722" s="27" t="s">
        <v>7</v>
      </c>
    </row>
    <row r="723" spans="1:426" x14ac:dyDescent="0.25">
      <c r="A723" s="7">
        <v>6.7666956032147993E-2</v>
      </c>
      <c r="B723"/>
      <c r="C723"/>
      <c r="D723"/>
      <c r="E723"/>
      <c r="F723" s="27" t="s">
        <v>7</v>
      </c>
    </row>
    <row r="724" spans="1:426" x14ac:dyDescent="0.25">
      <c r="A724" s="7">
        <v>6.6340152972694105E-2</v>
      </c>
      <c r="B724"/>
      <c r="C724"/>
      <c r="D724"/>
      <c r="E724"/>
      <c r="F724" s="27" t="s">
        <v>7</v>
      </c>
    </row>
    <row r="725" spans="1:426" x14ac:dyDescent="0.25">
      <c r="A725" s="7">
        <v>6.5039365659504023E-2</v>
      </c>
      <c r="B725"/>
      <c r="C725"/>
      <c r="D725"/>
      <c r="E725"/>
      <c r="F725" s="27" t="s">
        <v>7</v>
      </c>
    </row>
    <row r="726" spans="1:426" x14ac:dyDescent="0.25">
      <c r="A726" s="7">
        <v>6.3764083979905906E-2</v>
      </c>
      <c r="B726"/>
      <c r="C726"/>
      <c r="D726"/>
      <c r="E726"/>
      <c r="F726" s="27" t="s">
        <v>7</v>
      </c>
      <c r="PI726" s="27" t="s">
        <v>8</v>
      </c>
    </row>
    <row r="727" spans="1:426" x14ac:dyDescent="0.25">
      <c r="A727" s="7">
        <v>6.251380782343717E-2</v>
      </c>
      <c r="B727"/>
      <c r="C727"/>
      <c r="D727"/>
      <c r="E727"/>
      <c r="F727" s="27" t="s">
        <v>7</v>
      </c>
      <c r="PI727" s="27" t="s">
        <v>8</v>
      </c>
      <c r="PJ727" s="27" t="s">
        <v>7</v>
      </c>
    </row>
    <row r="728" spans="1:426" x14ac:dyDescent="0.25">
      <c r="A728" s="7">
        <v>6.1288046885722716E-2</v>
      </c>
      <c r="B728"/>
      <c r="C728"/>
      <c r="D728"/>
      <c r="E728"/>
      <c r="F728" s="27" t="s">
        <v>7</v>
      </c>
      <c r="PI728" s="27" t="s">
        <v>8</v>
      </c>
      <c r="PJ728" s="27" t="s">
        <v>7</v>
      </c>
    </row>
    <row r="729" spans="1:426" x14ac:dyDescent="0.25">
      <c r="A729" s="7">
        <v>6.0086320476198739E-2</v>
      </c>
      <c r="B729"/>
      <c r="C729"/>
      <c r="D729"/>
      <c r="E729"/>
      <c r="F729" s="27" t="s">
        <v>7</v>
      </c>
      <c r="PI729" s="27" t="s">
        <v>8</v>
      </c>
      <c r="PJ729" s="27" t="s">
        <v>7</v>
      </c>
    </row>
    <row r="730" spans="1:426" x14ac:dyDescent="0.25">
      <c r="A730" s="7">
        <v>5.8908157329606609E-2</v>
      </c>
      <c r="B730"/>
      <c r="C730"/>
      <c r="D730"/>
      <c r="E730"/>
      <c r="F730" s="27" t="s">
        <v>7</v>
      </c>
      <c r="PI730" s="27" t="s">
        <v>8</v>
      </c>
      <c r="PJ730" s="27" t="s">
        <v>7</v>
      </c>
    </row>
    <row r="731" spans="1:426" x14ac:dyDescent="0.25">
      <c r="A731" s="7">
        <v>5.7753095421182947E-2</v>
      </c>
      <c r="B731"/>
      <c r="C731"/>
      <c r="D731"/>
      <c r="E731"/>
      <c r="F731" s="27" t="s">
        <v>7</v>
      </c>
      <c r="PI731" s="27" t="s">
        <v>8</v>
      </c>
      <c r="PJ731" s="27" t="s">
        <v>7</v>
      </c>
    </row>
    <row r="732" spans="1:426" x14ac:dyDescent="0.25">
      <c r="A732" s="7">
        <v>5.6620681785473484E-2</v>
      </c>
      <c r="B732"/>
      <c r="C732"/>
      <c r="D732"/>
      <c r="E732"/>
      <c r="F732" s="27" t="s">
        <v>7</v>
      </c>
      <c r="PI732" s="27" t="s">
        <v>8</v>
      </c>
      <c r="PJ732" s="27" t="s">
        <v>7</v>
      </c>
    </row>
    <row r="733" spans="1:426" x14ac:dyDescent="0.25">
      <c r="A733" s="7">
        <v>5.5510472338699497E-2</v>
      </c>
      <c r="B733"/>
      <c r="C733"/>
      <c r="D733"/>
      <c r="E733"/>
      <c r="F733" s="27" t="s">
        <v>7</v>
      </c>
      <c r="PI733" s="27" t="s">
        <v>8</v>
      </c>
      <c r="PJ733" s="27" t="s">
        <v>7</v>
      </c>
    </row>
    <row r="734" spans="1:426" x14ac:dyDescent="0.25">
      <c r="A734" s="7">
        <v>5.4422031704607354E-2</v>
      </c>
      <c r="B734"/>
      <c r="C734"/>
      <c r="D734"/>
      <c r="E734"/>
      <c r="F734" s="27" t="s">
        <v>7</v>
      </c>
      <c r="PI734" s="27" t="s">
        <v>8</v>
      </c>
      <c r="PJ734" s="27" t="s">
        <v>7</v>
      </c>
    </row>
    <row r="735" spans="1:426" x14ac:dyDescent="0.25">
      <c r="A735" s="7">
        <v>5.3354933043732705E-2</v>
      </c>
      <c r="B735"/>
      <c r="C735"/>
      <c r="D735"/>
      <c r="E735"/>
      <c r="F735" s="27" t="s">
        <v>7</v>
      </c>
      <c r="G735" s="27" t="s">
        <v>8</v>
      </c>
      <c r="PI735" s="27" t="s">
        <v>8</v>
      </c>
      <c r="PJ735" s="27" t="s">
        <v>7</v>
      </c>
    </row>
    <row r="736" spans="1:426" x14ac:dyDescent="0.25">
      <c r="A736" s="7">
        <v>5.2308757886012455E-2</v>
      </c>
      <c r="B736"/>
      <c r="C736"/>
      <c r="D736"/>
      <c r="E736"/>
      <c r="F736" s="27" t="s">
        <v>7</v>
      </c>
      <c r="G736" s="27" t="s">
        <v>8</v>
      </c>
      <c r="H736" s="27" t="s">
        <v>7</v>
      </c>
      <c r="PI736" s="27" t="s">
        <v>8</v>
      </c>
      <c r="PJ736" s="27" t="s">
        <v>7</v>
      </c>
    </row>
    <row r="737" spans="1:436" x14ac:dyDescent="0.25">
      <c r="A737" s="7">
        <v>5.1283095966678877E-2</v>
      </c>
      <c r="B737"/>
      <c r="C737"/>
      <c r="D737"/>
      <c r="E737"/>
      <c r="F737" s="27" t="s">
        <v>7</v>
      </c>
      <c r="G737" s="27" t="s">
        <v>8</v>
      </c>
      <c r="H737" s="27" t="s">
        <v>7</v>
      </c>
      <c r="PI737" s="27" t="s">
        <v>8</v>
      </c>
      <c r="PJ737" s="27" t="s">
        <v>7</v>
      </c>
    </row>
    <row r="738" spans="1:436" x14ac:dyDescent="0.25">
      <c r="A738" s="7">
        <v>5.0277545065371444E-2</v>
      </c>
      <c r="B738"/>
      <c r="C738"/>
      <c r="D738"/>
      <c r="E738"/>
      <c r="F738" s="27" t="s">
        <v>7</v>
      </c>
      <c r="G738" s="27" t="s">
        <v>8</v>
      </c>
      <c r="H738" s="27" t="s">
        <v>7</v>
      </c>
      <c r="KI738" s="27" t="s">
        <v>8</v>
      </c>
      <c r="PI738" s="27" t="s">
        <v>8</v>
      </c>
      <c r="PJ738" s="27" t="s">
        <v>7</v>
      </c>
    </row>
    <row r="739" spans="1:436" x14ac:dyDescent="0.25">
      <c r="A739" s="7">
        <v>4.9291710848403378E-2</v>
      </c>
      <c r="B739"/>
      <c r="C739"/>
      <c r="D739"/>
      <c r="E739"/>
      <c r="F739" s="27" t="s">
        <v>7</v>
      </c>
      <c r="G739" s="27" t="s">
        <v>8</v>
      </c>
      <c r="H739" s="27" t="s">
        <v>7</v>
      </c>
      <c r="KI739" s="27" t="s">
        <v>8</v>
      </c>
      <c r="KJ739" s="27" t="s">
        <v>7</v>
      </c>
      <c r="PI739" s="27" t="s">
        <v>8</v>
      </c>
      <c r="PJ739" s="27" t="s">
        <v>7</v>
      </c>
    </row>
    <row r="740" spans="1:436" x14ac:dyDescent="0.25">
      <c r="A740" s="7">
        <v>4.8325206714120959E-2</v>
      </c>
      <c r="B740"/>
      <c r="C740"/>
      <c r="D740"/>
      <c r="E740"/>
      <c r="F740" s="27" t="s">
        <v>7</v>
      </c>
      <c r="G740" s="27" t="s">
        <v>8</v>
      </c>
      <c r="H740" s="27" t="s">
        <v>7</v>
      </c>
      <c r="KI740" s="27" t="s">
        <v>8</v>
      </c>
      <c r="KJ740" s="27" t="s">
        <v>7</v>
      </c>
      <c r="PI740" s="27" t="s">
        <v>8</v>
      </c>
      <c r="PJ740" s="27" t="s">
        <v>7</v>
      </c>
    </row>
    <row r="741" spans="1:436" x14ac:dyDescent="0.25">
      <c r="A741" s="7">
        <v>4.7377653641295057E-2</v>
      </c>
      <c r="B741"/>
      <c r="C741"/>
      <c r="D741"/>
      <c r="E741"/>
      <c r="F741" s="27" t="s">
        <v>7</v>
      </c>
      <c r="G741" s="27" t="s">
        <v>8</v>
      </c>
      <c r="H741" s="27" t="s">
        <v>7</v>
      </c>
      <c r="KI741" s="27" t="s">
        <v>8</v>
      </c>
      <c r="KJ741" s="27" t="s">
        <v>7</v>
      </c>
      <c r="KO741" s="27" t="s">
        <v>8</v>
      </c>
      <c r="KU741" s="27" t="s">
        <v>8</v>
      </c>
      <c r="PI741" s="27" t="s">
        <v>8</v>
      </c>
      <c r="PJ741" s="27" t="s">
        <v>7</v>
      </c>
    </row>
    <row r="742" spans="1:436" x14ac:dyDescent="0.25">
      <c r="A742" s="7">
        <v>4.644868004048535E-2</v>
      </c>
      <c r="B742"/>
      <c r="C742"/>
      <c r="D742"/>
      <c r="E742"/>
      <c r="F742" s="27" t="s">
        <v>7</v>
      </c>
      <c r="G742" s="27" t="s">
        <v>8</v>
      </c>
      <c r="H742" s="27" t="s">
        <v>7</v>
      </c>
      <c r="KI742" s="27" t="s">
        <v>8</v>
      </c>
      <c r="KJ742" s="27" t="s">
        <v>7</v>
      </c>
      <c r="KO742" s="27" t="s">
        <v>8</v>
      </c>
      <c r="KP742" s="27" t="s">
        <v>7</v>
      </c>
      <c r="KU742" s="27" t="s">
        <v>8</v>
      </c>
      <c r="KV742" s="27" t="s">
        <v>7</v>
      </c>
      <c r="PI742" s="27" t="s">
        <v>8</v>
      </c>
      <c r="PJ742" s="27" t="s">
        <v>7</v>
      </c>
    </row>
    <row r="743" spans="1:436" x14ac:dyDescent="0.25">
      <c r="A743" s="7">
        <v>4.5537921608318974E-2</v>
      </c>
      <c r="B743"/>
      <c r="C743"/>
      <c r="D743"/>
      <c r="E743"/>
      <c r="F743" s="27" t="s">
        <v>7</v>
      </c>
      <c r="G743" s="27" t="s">
        <v>8</v>
      </c>
      <c r="H743" s="27" t="s">
        <v>7</v>
      </c>
      <c r="KI743" s="27" t="s">
        <v>8</v>
      </c>
      <c r="KJ743" s="27" t="s">
        <v>7</v>
      </c>
      <c r="KO743" s="27" t="s">
        <v>8</v>
      </c>
      <c r="KP743" s="27" t="s">
        <v>7</v>
      </c>
      <c r="KU743" s="27" t="s">
        <v>8</v>
      </c>
      <c r="KV743" s="27" t="s">
        <v>7</v>
      </c>
      <c r="PI743" s="27" t="s">
        <v>8</v>
      </c>
      <c r="PJ743" s="27" t="s">
        <v>7</v>
      </c>
    </row>
    <row r="744" spans="1:436" x14ac:dyDescent="0.25">
      <c r="A744" s="7">
        <v>4.4645021184626446E-2</v>
      </c>
      <c r="B744"/>
      <c r="C744"/>
      <c r="D744"/>
      <c r="E744"/>
      <c r="F744" s="27" t="s">
        <v>7</v>
      </c>
      <c r="G744" s="27" t="s">
        <v>8</v>
      </c>
      <c r="H744" s="27" t="s">
        <v>7</v>
      </c>
      <c r="KI744" s="27" t="s">
        <v>8</v>
      </c>
      <c r="KJ744" s="27" t="s">
        <v>7</v>
      </c>
      <c r="KO744" s="27" t="s">
        <v>8</v>
      </c>
      <c r="KP744" s="27" t="s">
        <v>7</v>
      </c>
      <c r="KU744" s="27" t="s">
        <v>8</v>
      </c>
      <c r="KV744" s="27" t="s">
        <v>7</v>
      </c>
      <c r="PI744" s="27" t="s">
        <v>8</v>
      </c>
      <c r="PJ744" s="27" t="s">
        <v>7</v>
      </c>
    </row>
    <row r="745" spans="1:436" x14ac:dyDescent="0.25">
      <c r="A745" s="7">
        <v>4.3769628612378868E-2</v>
      </c>
      <c r="B745"/>
      <c r="C745"/>
      <c r="D745"/>
      <c r="E745"/>
      <c r="F745" s="27" t="s">
        <v>7</v>
      </c>
      <c r="G745" s="27" t="s">
        <v>8</v>
      </c>
      <c r="H745" s="27" t="s">
        <v>7</v>
      </c>
      <c r="KI745" s="27" t="s">
        <v>8</v>
      </c>
      <c r="KJ745" s="27" t="s">
        <v>7</v>
      </c>
      <c r="KO745" s="27" t="s">
        <v>8</v>
      </c>
      <c r="KP745" s="27" t="s">
        <v>7</v>
      </c>
      <c r="KU745" s="27" t="s">
        <v>8</v>
      </c>
      <c r="KV745" s="27" t="s">
        <v>7</v>
      </c>
      <c r="PI745" s="27" t="s">
        <v>8</v>
      </c>
      <c r="PJ745" s="27" t="s">
        <v>7</v>
      </c>
    </row>
    <row r="746" spans="1:436" x14ac:dyDescent="0.25">
      <c r="A746" s="7">
        <v>4.2911400600371442E-2</v>
      </c>
      <c r="B746"/>
      <c r="C746"/>
      <c r="D746"/>
      <c r="E746"/>
      <c r="F746" s="27" t="s">
        <v>7</v>
      </c>
      <c r="G746" s="27" t="s">
        <v>8</v>
      </c>
      <c r="H746" s="27" t="s">
        <v>7</v>
      </c>
      <c r="KI746" s="27" t="s">
        <v>8</v>
      </c>
      <c r="KJ746" s="27" t="s">
        <v>7</v>
      </c>
      <c r="KK746" s="27" t="s">
        <v>8</v>
      </c>
      <c r="KO746" s="27" t="s">
        <v>8</v>
      </c>
      <c r="KP746" s="27" t="s">
        <v>7</v>
      </c>
      <c r="KU746" s="27" t="s">
        <v>8</v>
      </c>
      <c r="KV746" s="27" t="s">
        <v>7</v>
      </c>
      <c r="PI746" s="27" t="s">
        <v>8</v>
      </c>
      <c r="PJ746" s="27" t="s">
        <v>7</v>
      </c>
    </row>
    <row r="747" spans="1:436" x14ac:dyDescent="0.25">
      <c r="A747" s="7">
        <v>4.2070000588599457E-2</v>
      </c>
      <c r="B747"/>
      <c r="C747"/>
      <c r="D747"/>
      <c r="E747"/>
      <c r="F747" s="27" t="s">
        <v>7</v>
      </c>
      <c r="G747" s="27" t="s">
        <v>8</v>
      </c>
      <c r="H747" s="27" t="s">
        <v>7</v>
      </c>
      <c r="KI747" s="27" t="s">
        <v>8</v>
      </c>
      <c r="KJ747" s="27" t="s">
        <v>7</v>
      </c>
      <c r="KK747" s="27" t="s">
        <v>8</v>
      </c>
      <c r="KL747" s="27" t="s">
        <v>7</v>
      </c>
      <c r="KM747" s="27" t="s">
        <v>8</v>
      </c>
      <c r="KO747" s="27" t="s">
        <v>8</v>
      </c>
      <c r="KP747" s="27" t="s">
        <v>7</v>
      </c>
      <c r="KU747" s="27" t="s">
        <v>8</v>
      </c>
      <c r="KV747" s="27" t="s">
        <v>7</v>
      </c>
      <c r="LA747" s="27" t="s">
        <v>8</v>
      </c>
      <c r="PI747" s="27" t="s">
        <v>8</v>
      </c>
      <c r="PJ747" s="27" t="s">
        <v>7</v>
      </c>
    </row>
    <row r="748" spans="1:436" x14ac:dyDescent="0.25">
      <c r="A748" s="7">
        <v>4.1245098616273977E-2</v>
      </c>
      <c r="B748"/>
      <c r="C748"/>
      <c r="D748"/>
      <c r="E748"/>
      <c r="F748" s="27" t="s">
        <v>7</v>
      </c>
      <c r="G748" s="27" t="s">
        <v>8</v>
      </c>
      <c r="H748" s="27" t="s">
        <v>7</v>
      </c>
      <c r="KI748" s="27" t="s">
        <v>8</v>
      </c>
      <c r="KJ748" s="27" t="s">
        <v>7</v>
      </c>
      <c r="KK748" s="27" t="s">
        <v>8</v>
      </c>
      <c r="KL748" s="27" t="s">
        <v>7</v>
      </c>
      <c r="KM748" s="27" t="s">
        <v>8</v>
      </c>
      <c r="KN748" s="27" t="s">
        <v>7</v>
      </c>
      <c r="KO748" s="27" t="s">
        <v>8</v>
      </c>
      <c r="KP748" s="27" t="s">
        <v>7</v>
      </c>
      <c r="KQ748" s="27" t="s">
        <v>8</v>
      </c>
      <c r="KS748" s="27" t="s">
        <v>8</v>
      </c>
      <c r="KU748" s="27" t="s">
        <v>8</v>
      </c>
      <c r="KV748" s="27" t="s">
        <v>7</v>
      </c>
      <c r="LA748" s="27" t="s">
        <v>8</v>
      </c>
      <c r="LB748" s="27" t="s">
        <v>7</v>
      </c>
      <c r="PI748" s="27" t="s">
        <v>8</v>
      </c>
      <c r="PJ748" s="27" t="s">
        <v>7</v>
      </c>
    </row>
    <row r="749" spans="1:436" x14ac:dyDescent="0.25">
      <c r="A749" s="7">
        <v>4.043637119242547E-2</v>
      </c>
      <c r="B749"/>
      <c r="C749"/>
      <c r="D749"/>
      <c r="E749"/>
      <c r="F749" s="27" t="s">
        <v>7</v>
      </c>
      <c r="G749" s="27" t="s">
        <v>8</v>
      </c>
      <c r="H749" s="27" t="s">
        <v>7</v>
      </c>
      <c r="KI749" s="27" t="s">
        <v>8</v>
      </c>
      <c r="KJ749" s="27" t="s">
        <v>7</v>
      </c>
      <c r="KK749" s="27" t="s">
        <v>8</v>
      </c>
      <c r="KL749" s="27" t="s">
        <v>7</v>
      </c>
      <c r="KM749" s="27" t="s">
        <v>8</v>
      </c>
      <c r="KN749" s="27" t="s">
        <v>7</v>
      </c>
      <c r="KO749" s="27" t="s">
        <v>8</v>
      </c>
      <c r="KP749" s="27" t="s">
        <v>7</v>
      </c>
      <c r="KQ749" s="27" t="s">
        <v>8</v>
      </c>
      <c r="KR749" s="27" t="s">
        <v>7</v>
      </c>
      <c r="KS749" s="27" t="s">
        <v>8</v>
      </c>
      <c r="KT749" s="27" t="s">
        <v>7</v>
      </c>
      <c r="KU749" s="27" t="s">
        <v>8</v>
      </c>
      <c r="KV749" s="27" t="s">
        <v>7</v>
      </c>
      <c r="LA749" s="27" t="s">
        <v>8</v>
      </c>
      <c r="LB749" s="27" t="s">
        <v>7</v>
      </c>
      <c r="PI749" s="27" t="s">
        <v>8</v>
      </c>
      <c r="PJ749" s="27" t="s">
        <v>7</v>
      </c>
    </row>
    <row r="750" spans="1:436" x14ac:dyDescent="0.25">
      <c r="A750" s="7">
        <v>3.9643501169044582E-2</v>
      </c>
      <c r="B750"/>
      <c r="C750"/>
      <c r="D750"/>
      <c r="E750"/>
      <c r="F750" s="27" t="s">
        <v>7</v>
      </c>
      <c r="G750" s="27" t="s">
        <v>8</v>
      </c>
      <c r="H750" s="27" t="s">
        <v>7</v>
      </c>
      <c r="K750" s="27" t="s">
        <v>8</v>
      </c>
      <c r="KI750" s="27" t="s">
        <v>8</v>
      </c>
      <c r="KJ750" s="27" t="s">
        <v>7</v>
      </c>
      <c r="KK750" s="27" t="s">
        <v>8</v>
      </c>
      <c r="KL750" s="27" t="s">
        <v>7</v>
      </c>
      <c r="KM750" s="27" t="s">
        <v>8</v>
      </c>
      <c r="KN750" s="27" t="s">
        <v>7</v>
      </c>
      <c r="KO750" s="27" t="s">
        <v>8</v>
      </c>
      <c r="KP750" s="27" t="s">
        <v>7</v>
      </c>
      <c r="KQ750" s="27" t="s">
        <v>8</v>
      </c>
      <c r="KR750" s="27" t="s">
        <v>7</v>
      </c>
      <c r="KS750" s="27" t="s">
        <v>8</v>
      </c>
      <c r="KT750" s="27" t="s">
        <v>7</v>
      </c>
      <c r="KU750" s="27" t="s">
        <v>8</v>
      </c>
      <c r="KV750" s="27" t="s">
        <v>7</v>
      </c>
      <c r="LA750" s="27" t="s">
        <v>8</v>
      </c>
      <c r="LB750" s="27" t="s">
        <v>7</v>
      </c>
      <c r="PI750" s="27" t="s">
        <v>8</v>
      </c>
      <c r="PJ750" s="27" t="s">
        <v>7</v>
      </c>
    </row>
    <row r="751" spans="1:436" x14ac:dyDescent="0.25">
      <c r="A751" s="7">
        <v>3.8866177616710372E-2</v>
      </c>
      <c r="B751"/>
      <c r="C751"/>
      <c r="D751"/>
      <c r="E751"/>
      <c r="F751" s="27" t="s">
        <v>7</v>
      </c>
      <c r="G751" s="27" t="s">
        <v>8</v>
      </c>
      <c r="H751" s="27" t="s">
        <v>7</v>
      </c>
      <c r="K751" s="27" t="s">
        <v>8</v>
      </c>
      <c r="L751" s="27" t="s">
        <v>7</v>
      </c>
      <c r="KG751" s="27" t="s">
        <v>8</v>
      </c>
      <c r="KI751" s="27" t="s">
        <v>8</v>
      </c>
      <c r="KJ751" s="27" t="s">
        <v>7</v>
      </c>
      <c r="KK751" s="27" t="s">
        <v>8</v>
      </c>
      <c r="KL751" s="27" t="s">
        <v>7</v>
      </c>
      <c r="KN751" s="27" t="s">
        <v>7</v>
      </c>
      <c r="KO751" s="27" t="s">
        <v>8</v>
      </c>
      <c r="KP751" s="27" t="s">
        <v>7</v>
      </c>
      <c r="KQ751" s="27" t="s">
        <v>8</v>
      </c>
      <c r="KR751" s="27" t="s">
        <v>7</v>
      </c>
      <c r="KS751" s="27" t="s">
        <v>8</v>
      </c>
      <c r="KT751" s="27" t="s">
        <v>7</v>
      </c>
      <c r="KU751" s="27" t="s">
        <v>8</v>
      </c>
      <c r="KV751" s="27" t="s">
        <v>7</v>
      </c>
      <c r="LA751" s="27" t="s">
        <v>8</v>
      </c>
      <c r="LB751" s="27" t="s">
        <v>7</v>
      </c>
      <c r="PI751" s="27" t="s">
        <v>8</v>
      </c>
      <c r="PJ751" s="27" t="s">
        <v>7</v>
      </c>
      <c r="PS751" s="27" t="s">
        <v>8</v>
      </c>
    </row>
    <row r="752" spans="1:436" x14ac:dyDescent="0.25">
      <c r="A752" s="7">
        <v>3.8104095702657229E-2</v>
      </c>
      <c r="B752"/>
      <c r="C752"/>
      <c r="D752"/>
      <c r="E752"/>
      <c r="F752" s="27" t="s">
        <v>7</v>
      </c>
      <c r="G752" s="27" t="s">
        <v>8</v>
      </c>
      <c r="H752" s="27" t="s">
        <v>7</v>
      </c>
      <c r="K752" s="27" t="s">
        <v>8</v>
      </c>
      <c r="L752" s="27" t="s">
        <v>7</v>
      </c>
      <c r="KG752" s="27" t="s">
        <v>8</v>
      </c>
      <c r="KH752" s="27" t="s">
        <v>7</v>
      </c>
      <c r="KI752" s="27" t="s">
        <v>8</v>
      </c>
      <c r="KJ752" s="27" t="s">
        <v>7</v>
      </c>
      <c r="KK752" s="27" t="s">
        <v>8</v>
      </c>
      <c r="KN752" s="27" t="s">
        <v>7</v>
      </c>
      <c r="KO752" s="27" t="s">
        <v>8</v>
      </c>
      <c r="KP752" s="27" t="s">
        <v>7</v>
      </c>
      <c r="KQ752" s="27" t="s">
        <v>8</v>
      </c>
      <c r="KR752" s="27" t="s">
        <v>7</v>
      </c>
      <c r="KS752" s="27" t="s">
        <v>8</v>
      </c>
      <c r="KT752" s="27" t="s">
        <v>7</v>
      </c>
      <c r="KU752" s="27" t="s">
        <v>8</v>
      </c>
      <c r="KV752" s="27" t="s">
        <v>7</v>
      </c>
      <c r="LA752" s="27" t="s">
        <v>8</v>
      </c>
      <c r="LB752" s="27" t="s">
        <v>7</v>
      </c>
      <c r="PI752" s="27" t="s">
        <v>8</v>
      </c>
      <c r="PJ752" s="27" t="s">
        <v>7</v>
      </c>
      <c r="PS752" s="27" t="s">
        <v>8</v>
      </c>
      <c r="PT752" s="27" t="s">
        <v>7</v>
      </c>
    </row>
    <row r="753" spans="1:444" x14ac:dyDescent="0.25">
      <c r="A753" s="7">
        <v>3.7356956571232579E-2</v>
      </c>
      <c r="B753"/>
      <c r="C753"/>
      <c r="D753"/>
      <c r="E753"/>
      <c r="F753" s="27" t="s">
        <v>7</v>
      </c>
      <c r="G753" s="27" t="s">
        <v>8</v>
      </c>
      <c r="H753" s="27" t="s">
        <v>7</v>
      </c>
      <c r="K753" s="27" t="s">
        <v>8</v>
      </c>
      <c r="L753" s="27" t="s">
        <v>7</v>
      </c>
      <c r="KG753" s="27" t="s">
        <v>8</v>
      </c>
      <c r="KH753" s="27" t="s">
        <v>7</v>
      </c>
      <c r="KI753" s="27" t="s">
        <v>8</v>
      </c>
      <c r="KJ753" s="27" t="s">
        <v>7</v>
      </c>
      <c r="KK753" s="27" t="s">
        <v>8</v>
      </c>
      <c r="KN753" s="27" t="s">
        <v>7</v>
      </c>
      <c r="KO753" s="27" t="s">
        <v>8</v>
      </c>
      <c r="KP753" s="27" t="s">
        <v>7</v>
      </c>
      <c r="KQ753" s="27" t="s">
        <v>8</v>
      </c>
      <c r="KR753" s="27" t="s">
        <v>7</v>
      </c>
      <c r="KT753" s="27" t="s">
        <v>7</v>
      </c>
      <c r="KU753" s="27" t="s">
        <v>8</v>
      </c>
      <c r="KV753" s="27" t="s">
        <v>7</v>
      </c>
      <c r="LA753" s="27" t="s">
        <v>8</v>
      </c>
      <c r="LB753" s="27" t="s">
        <v>7</v>
      </c>
      <c r="LC753" s="27" t="s">
        <v>8</v>
      </c>
      <c r="PI753" s="27" t="s">
        <v>8</v>
      </c>
      <c r="PJ753" s="27" t="s">
        <v>7</v>
      </c>
      <c r="PS753" s="27" t="s">
        <v>8</v>
      </c>
      <c r="PT753" s="27" t="s">
        <v>7</v>
      </c>
    </row>
    <row r="754" spans="1:444" x14ac:dyDescent="0.25">
      <c r="A754" s="7">
        <v>3.6624467226698605E-2</v>
      </c>
      <c r="B754"/>
      <c r="C754"/>
      <c r="D754"/>
      <c r="E754"/>
      <c r="F754" s="27" t="s">
        <v>7</v>
      </c>
      <c r="G754" s="27" t="s">
        <v>8</v>
      </c>
      <c r="H754" s="27" t="s">
        <v>7</v>
      </c>
      <c r="K754" s="27" t="s">
        <v>8</v>
      </c>
      <c r="L754" s="27" t="s">
        <v>7</v>
      </c>
      <c r="M754" s="27" t="s">
        <v>8</v>
      </c>
      <c r="KG754" s="27" t="s">
        <v>8</v>
      </c>
      <c r="KH754" s="27" t="s">
        <v>7</v>
      </c>
      <c r="KI754" s="27" t="s">
        <v>8</v>
      </c>
      <c r="KJ754" s="27" t="s">
        <v>7</v>
      </c>
      <c r="KN754" s="27" t="s">
        <v>7</v>
      </c>
      <c r="KP754" s="27" t="s">
        <v>7</v>
      </c>
      <c r="KQ754" s="27" t="s">
        <v>8</v>
      </c>
      <c r="KT754" s="27" t="s">
        <v>7</v>
      </c>
      <c r="KU754" s="27" t="s">
        <v>8</v>
      </c>
      <c r="KV754" s="27" t="s">
        <v>7</v>
      </c>
      <c r="KW754" s="27" t="s">
        <v>8</v>
      </c>
      <c r="LA754" s="27" t="s">
        <v>8</v>
      </c>
      <c r="LB754" s="27" t="s">
        <v>7</v>
      </c>
      <c r="LC754" s="27" t="s">
        <v>8</v>
      </c>
      <c r="LD754" s="27" t="s">
        <v>7</v>
      </c>
      <c r="PI754" s="27" t="s">
        <v>8</v>
      </c>
      <c r="PJ754" s="27" t="s">
        <v>7</v>
      </c>
      <c r="PS754" s="27" t="s">
        <v>8</v>
      </c>
      <c r="PT754" s="27" t="s">
        <v>7</v>
      </c>
    </row>
    <row r="755" spans="1:444" x14ac:dyDescent="0.25">
      <c r="A755" s="7">
        <v>3.5906340418331961E-2</v>
      </c>
      <c r="B755"/>
      <c r="C755"/>
      <c r="D755"/>
      <c r="E755"/>
      <c r="F755" s="27" t="s">
        <v>7</v>
      </c>
      <c r="G755" s="27" t="s">
        <v>8</v>
      </c>
      <c r="H755" s="27" t="s">
        <v>7</v>
      </c>
      <c r="K755" s="27" t="s">
        <v>8</v>
      </c>
      <c r="L755" s="27" t="s">
        <v>7</v>
      </c>
      <c r="M755" s="27" t="s">
        <v>8</v>
      </c>
      <c r="N755" s="27" t="s">
        <v>7</v>
      </c>
      <c r="KG755" s="27" t="s">
        <v>8</v>
      </c>
      <c r="KH755" s="27" t="s">
        <v>7</v>
      </c>
      <c r="KI755" s="27" t="s">
        <v>8</v>
      </c>
      <c r="KP755" s="27" t="s">
        <v>7</v>
      </c>
      <c r="KQ755" s="27" t="s">
        <v>8</v>
      </c>
      <c r="KT755" s="27" t="s">
        <v>7</v>
      </c>
      <c r="KV755" s="27" t="s">
        <v>7</v>
      </c>
      <c r="KW755" s="27" t="s">
        <v>8</v>
      </c>
      <c r="KX755" s="27" t="s">
        <v>7</v>
      </c>
      <c r="LA755" s="27" t="s">
        <v>8</v>
      </c>
      <c r="LB755" s="27" t="s">
        <v>7</v>
      </c>
      <c r="LC755" s="27" t="s">
        <v>8</v>
      </c>
      <c r="LD755" s="27" t="s">
        <v>7</v>
      </c>
      <c r="PI755" s="27" t="s">
        <v>8</v>
      </c>
      <c r="PJ755" s="27" t="s">
        <v>7</v>
      </c>
      <c r="PS755" s="27" t="s">
        <v>8</v>
      </c>
      <c r="PT755" s="27" t="s">
        <v>7</v>
      </c>
    </row>
    <row r="756" spans="1:444" x14ac:dyDescent="0.25">
      <c r="A756" s="7">
        <v>3.5202294527776436E-2</v>
      </c>
      <c r="B756"/>
      <c r="C756"/>
      <c r="D756"/>
      <c r="E756"/>
      <c r="F756" s="27" t="s">
        <v>7</v>
      </c>
      <c r="G756" s="27" t="s">
        <v>8</v>
      </c>
      <c r="H756" s="27" t="s">
        <v>7</v>
      </c>
      <c r="K756" s="27" t="s">
        <v>8</v>
      </c>
      <c r="L756" s="27" t="s">
        <v>7</v>
      </c>
      <c r="M756" s="27" t="s">
        <v>8</v>
      </c>
      <c r="N756" s="27" t="s">
        <v>7</v>
      </c>
      <c r="KG756" s="27" t="s">
        <v>8</v>
      </c>
      <c r="KH756" s="27" t="s">
        <v>7</v>
      </c>
      <c r="KI756" s="27" t="s">
        <v>8</v>
      </c>
      <c r="KP756" s="27" t="s">
        <v>7</v>
      </c>
      <c r="KQ756" s="27" t="s">
        <v>8</v>
      </c>
      <c r="KV756" s="27" t="s">
        <v>7</v>
      </c>
      <c r="KW756" s="27" t="s">
        <v>8</v>
      </c>
      <c r="KX756" s="27" t="s">
        <v>7</v>
      </c>
      <c r="LA756" s="27" t="s">
        <v>8</v>
      </c>
      <c r="LB756" s="27" t="s">
        <v>7</v>
      </c>
      <c r="LD756" s="27" t="s">
        <v>7</v>
      </c>
      <c r="LE756" s="27" t="s">
        <v>8</v>
      </c>
      <c r="LG756" s="27" t="s">
        <v>8</v>
      </c>
      <c r="PI756" s="27" t="s">
        <v>8</v>
      </c>
      <c r="PJ756" s="27" t="s">
        <v>7</v>
      </c>
      <c r="PS756" s="27" t="s">
        <v>8</v>
      </c>
      <c r="PT756" s="27" t="s">
        <v>7</v>
      </c>
    </row>
    <row r="757" spans="1:444" x14ac:dyDescent="0.25">
      <c r="A757" s="7">
        <v>3.451205345860435E-2</v>
      </c>
      <c r="B757"/>
      <c r="C757"/>
      <c r="D757"/>
      <c r="E757"/>
      <c r="F757" s="27" t="s">
        <v>7</v>
      </c>
      <c r="G757" s="27" t="s">
        <v>8</v>
      </c>
      <c r="H757" s="27" t="s">
        <v>7</v>
      </c>
      <c r="K757" s="27" t="s">
        <v>8</v>
      </c>
      <c r="L757" s="27" t="s">
        <v>7</v>
      </c>
      <c r="M757" s="27" t="s">
        <v>8</v>
      </c>
      <c r="N757" s="27" t="s">
        <v>7</v>
      </c>
      <c r="KE757" s="27" t="s">
        <v>8</v>
      </c>
      <c r="KG757" s="27" t="s">
        <v>8</v>
      </c>
      <c r="KH757" s="27" t="s">
        <v>7</v>
      </c>
      <c r="KI757" s="27" t="s">
        <v>8</v>
      </c>
      <c r="KP757" s="27" t="s">
        <v>7</v>
      </c>
      <c r="KV757" s="27" t="s">
        <v>7</v>
      </c>
      <c r="KW757" s="27" t="s">
        <v>8</v>
      </c>
      <c r="KX757" s="27" t="s">
        <v>7</v>
      </c>
      <c r="KY757" s="27" t="s">
        <v>8</v>
      </c>
      <c r="LA757" s="27" t="s">
        <v>8</v>
      </c>
      <c r="LD757" s="27" t="s">
        <v>7</v>
      </c>
      <c r="LE757" s="27" t="s">
        <v>8</v>
      </c>
      <c r="LF757" s="27" t="s">
        <v>7</v>
      </c>
      <c r="LG757" s="27" t="s">
        <v>8</v>
      </c>
      <c r="LH757" s="27" t="s">
        <v>7</v>
      </c>
      <c r="PI757" s="27" t="s">
        <v>8</v>
      </c>
      <c r="PJ757" s="27" t="s">
        <v>7</v>
      </c>
      <c r="PS757" s="27" t="s">
        <v>8</v>
      </c>
      <c r="PT757" s="27" t="s">
        <v>7</v>
      </c>
    </row>
    <row r="758" spans="1:444" x14ac:dyDescent="0.25">
      <c r="A758" s="7">
        <v>3.3835346528043479E-2</v>
      </c>
      <c r="B758"/>
      <c r="C758"/>
      <c r="D758"/>
      <c r="E758"/>
      <c r="F758" s="27" t="s">
        <v>7</v>
      </c>
      <c r="G758" s="27" t="s">
        <v>8</v>
      </c>
      <c r="H758" s="27" t="s">
        <v>7</v>
      </c>
      <c r="K758" s="27" t="s">
        <v>8</v>
      </c>
      <c r="L758" s="27" t="s">
        <v>7</v>
      </c>
      <c r="M758" s="27" t="s">
        <v>8</v>
      </c>
      <c r="N758" s="27" t="s">
        <v>7</v>
      </c>
      <c r="KE758" s="27" t="s">
        <v>8</v>
      </c>
      <c r="KF758" s="27" t="s">
        <v>7</v>
      </c>
      <c r="KG758" s="27" t="s">
        <v>8</v>
      </c>
      <c r="KH758" s="27" t="s">
        <v>7</v>
      </c>
      <c r="KI758" s="27" t="s">
        <v>8</v>
      </c>
      <c r="KV758" s="27" t="s">
        <v>7</v>
      </c>
      <c r="KW758" s="27" t="s">
        <v>8</v>
      </c>
      <c r="KX758" s="27" t="s">
        <v>7</v>
      </c>
      <c r="KY758" s="27" t="s">
        <v>8</v>
      </c>
      <c r="KZ758" s="27" t="s">
        <v>7</v>
      </c>
      <c r="LA758" s="27" t="s">
        <v>8</v>
      </c>
      <c r="LD758" s="27" t="s">
        <v>7</v>
      </c>
      <c r="LE758" s="27" t="s">
        <v>8</v>
      </c>
      <c r="LF758" s="27" t="s">
        <v>7</v>
      </c>
      <c r="LG758" s="27" t="s">
        <v>8</v>
      </c>
      <c r="LH758" s="27" t="s">
        <v>7</v>
      </c>
      <c r="PI758" s="27" t="s">
        <v>8</v>
      </c>
      <c r="PJ758" s="27" t="s">
        <v>7</v>
      </c>
      <c r="PK758" s="27" t="s">
        <v>8</v>
      </c>
      <c r="PO758" s="27" t="s">
        <v>8</v>
      </c>
      <c r="PS758" s="27" t="s">
        <v>8</v>
      </c>
      <c r="PT758" s="27" t="s">
        <v>7</v>
      </c>
    </row>
    <row r="759" spans="1:444" x14ac:dyDescent="0.25">
      <c r="A759" s="7">
        <v>3.3171908360826938E-2</v>
      </c>
      <c r="B759"/>
      <c r="C759"/>
      <c r="D759"/>
      <c r="E759"/>
      <c r="F759" s="27" t="s">
        <v>7</v>
      </c>
      <c r="G759" s="27" t="s">
        <v>8</v>
      </c>
      <c r="H759" s="27" t="s">
        <v>7</v>
      </c>
      <c r="I759" s="27" t="s">
        <v>8</v>
      </c>
      <c r="K759" s="27" t="s">
        <v>8</v>
      </c>
      <c r="L759" s="27" t="s">
        <v>7</v>
      </c>
      <c r="M759" s="27" t="s">
        <v>8</v>
      </c>
      <c r="N759" s="27" t="s">
        <v>7</v>
      </c>
      <c r="KE759" s="27" t="s">
        <v>8</v>
      </c>
      <c r="KF759" s="27" t="s">
        <v>7</v>
      </c>
      <c r="KG759" s="27" t="s">
        <v>8</v>
      </c>
      <c r="KH759" s="27" t="s">
        <v>7</v>
      </c>
      <c r="KI759" s="27" t="s">
        <v>8</v>
      </c>
      <c r="KV759" s="27" t="s">
        <v>7</v>
      </c>
      <c r="KW759" s="27" t="s">
        <v>8</v>
      </c>
      <c r="KX759" s="27" t="s">
        <v>7</v>
      </c>
      <c r="KY759" s="27" t="s">
        <v>8</v>
      </c>
      <c r="KZ759" s="27" t="s">
        <v>7</v>
      </c>
      <c r="LA759" s="27" t="s">
        <v>8</v>
      </c>
      <c r="LD759" s="27" t="s">
        <v>7</v>
      </c>
      <c r="LE759" s="27" t="s">
        <v>8</v>
      </c>
      <c r="LF759" s="27" t="s">
        <v>7</v>
      </c>
      <c r="LG759" s="27" t="s">
        <v>8</v>
      </c>
      <c r="LH759" s="27" t="s">
        <v>7</v>
      </c>
      <c r="PI759" s="27" t="s">
        <v>8</v>
      </c>
      <c r="PJ759" s="27" t="s">
        <v>7</v>
      </c>
      <c r="PK759" s="27" t="s">
        <v>8</v>
      </c>
      <c r="PL759" s="27" t="s">
        <v>7</v>
      </c>
      <c r="PO759" s="27" t="s">
        <v>8</v>
      </c>
      <c r="PP759" s="27" t="s">
        <v>7</v>
      </c>
      <c r="PS759" s="27" t="s">
        <v>8</v>
      </c>
      <c r="PT759" s="27" t="s">
        <v>7</v>
      </c>
    </row>
    <row r="760" spans="1:444" x14ac:dyDescent="0.25">
      <c r="A760" s="7">
        <v>3.2521478785124451E-2</v>
      </c>
      <c r="B760"/>
      <c r="C760"/>
      <c r="D760"/>
      <c r="E760"/>
      <c r="F760" s="27" t="s">
        <v>7</v>
      </c>
      <c r="G760" s="27" t="s">
        <v>8</v>
      </c>
      <c r="H760" s="27" t="s">
        <v>7</v>
      </c>
      <c r="I760" s="27" t="s">
        <v>8</v>
      </c>
      <c r="J760" s="27" t="s">
        <v>7</v>
      </c>
      <c r="K760" s="27" t="s">
        <v>8</v>
      </c>
      <c r="L760" s="27" t="s">
        <v>7</v>
      </c>
      <c r="M760" s="27" t="s">
        <v>8</v>
      </c>
      <c r="N760" s="27" t="s">
        <v>7</v>
      </c>
      <c r="KC760" s="27" t="s">
        <v>8</v>
      </c>
      <c r="KE760" s="27" t="s">
        <v>8</v>
      </c>
      <c r="KF760" s="27" t="s">
        <v>7</v>
      </c>
      <c r="KG760" s="27" t="s">
        <v>8</v>
      </c>
      <c r="KH760" s="27" t="s">
        <v>7</v>
      </c>
      <c r="KI760" s="27" t="s">
        <v>8</v>
      </c>
      <c r="KV760" s="27" t="s">
        <v>7</v>
      </c>
      <c r="KW760" s="27" t="s">
        <v>8</v>
      </c>
      <c r="KX760" s="27" t="s">
        <v>7</v>
      </c>
      <c r="KY760" s="27" t="s">
        <v>8</v>
      </c>
      <c r="KZ760" s="27" t="s">
        <v>7</v>
      </c>
      <c r="LA760" s="27" t="s">
        <v>8</v>
      </c>
      <c r="LD760" s="27" t="s">
        <v>7</v>
      </c>
      <c r="LE760" s="27" t="s">
        <v>8</v>
      </c>
      <c r="LF760" s="27" t="s">
        <v>7</v>
      </c>
      <c r="LG760" s="27" t="s">
        <v>8</v>
      </c>
      <c r="LH760" s="27" t="s">
        <v>7</v>
      </c>
      <c r="PI760" s="27" t="s">
        <v>8</v>
      </c>
      <c r="PJ760" s="27" t="s">
        <v>7</v>
      </c>
      <c r="PK760" s="27" t="s">
        <v>8</v>
      </c>
      <c r="PL760" s="27" t="s">
        <v>7</v>
      </c>
      <c r="PO760" s="27" t="s">
        <v>8</v>
      </c>
      <c r="PP760" s="27" t="s">
        <v>7</v>
      </c>
      <c r="PS760" s="27" t="s">
        <v>8</v>
      </c>
      <c r="PT760" s="27" t="s">
        <v>7</v>
      </c>
    </row>
    <row r="761" spans="1:444" x14ac:dyDescent="0.25">
      <c r="A761" s="7">
        <v>3.1883802730514173E-2</v>
      </c>
      <c r="B761"/>
      <c r="C761"/>
      <c r="D761"/>
      <c r="E761"/>
      <c r="F761" s="27" t="s">
        <v>7</v>
      </c>
      <c r="G761" s="27" t="s">
        <v>8</v>
      </c>
      <c r="H761" s="27" t="s">
        <v>7</v>
      </c>
      <c r="I761" s="27" t="s">
        <v>8</v>
      </c>
      <c r="J761" s="27" t="s">
        <v>7</v>
      </c>
      <c r="K761" s="27" t="s">
        <v>8</v>
      </c>
      <c r="L761" s="27" t="s">
        <v>7</v>
      </c>
      <c r="M761" s="27" t="s">
        <v>8</v>
      </c>
      <c r="N761" s="27" t="s">
        <v>7</v>
      </c>
      <c r="KC761" s="27" t="s">
        <v>8</v>
      </c>
      <c r="KD761" s="27" t="s">
        <v>7</v>
      </c>
      <c r="KE761" s="27" t="s">
        <v>8</v>
      </c>
      <c r="KF761" s="27" t="s">
        <v>7</v>
      </c>
      <c r="KG761" s="27" t="s">
        <v>8</v>
      </c>
      <c r="KH761" s="27" t="s">
        <v>7</v>
      </c>
      <c r="KV761" s="27" t="s">
        <v>7</v>
      </c>
      <c r="KW761" s="27" t="s">
        <v>8</v>
      </c>
      <c r="KX761" s="27" t="s">
        <v>7</v>
      </c>
      <c r="KY761" s="27" t="s">
        <v>8</v>
      </c>
      <c r="KZ761" s="27" t="s">
        <v>7</v>
      </c>
      <c r="LA761" s="27" t="s">
        <v>8</v>
      </c>
      <c r="LD761" s="27" t="s">
        <v>7</v>
      </c>
      <c r="LE761" s="27" t="s">
        <v>8</v>
      </c>
      <c r="LF761" s="27" t="s">
        <v>7</v>
      </c>
      <c r="LG761" s="27" t="s">
        <v>8</v>
      </c>
      <c r="LH761" s="27" t="s">
        <v>7</v>
      </c>
      <c r="PI761" s="27" t="s">
        <v>8</v>
      </c>
      <c r="PJ761" s="27" t="s">
        <v>7</v>
      </c>
      <c r="PK761" s="27" t="s">
        <v>8</v>
      </c>
      <c r="PL761" s="27" t="s">
        <v>7</v>
      </c>
      <c r="PO761" s="27" t="s">
        <v>8</v>
      </c>
      <c r="PP761" s="27" t="s">
        <v>7</v>
      </c>
      <c r="PS761" s="27" t="s">
        <v>8</v>
      </c>
      <c r="PT761" s="27" t="s">
        <v>7</v>
      </c>
      <c r="PW761" s="27" t="s">
        <v>8</v>
      </c>
    </row>
    <row r="762" spans="1:444" x14ac:dyDescent="0.25">
      <c r="A762" s="7">
        <v>3.1258630127955073E-2</v>
      </c>
      <c r="B762"/>
      <c r="C762"/>
      <c r="D762"/>
      <c r="E762"/>
      <c r="F762" s="27" t="s">
        <v>7</v>
      </c>
      <c r="G762" s="27" t="s">
        <v>8</v>
      </c>
      <c r="H762" s="27" t="s">
        <v>7</v>
      </c>
      <c r="I762" s="27" t="s">
        <v>8</v>
      </c>
      <c r="J762" s="27" t="s">
        <v>7</v>
      </c>
      <c r="K762" s="27" t="s">
        <v>8</v>
      </c>
      <c r="L762" s="27" t="s">
        <v>7</v>
      </c>
      <c r="M762" s="27" t="s">
        <v>8</v>
      </c>
      <c r="N762" s="27" t="s">
        <v>7</v>
      </c>
      <c r="KC762" s="27" t="s">
        <v>8</v>
      </c>
      <c r="KD762" s="27" t="s">
        <v>7</v>
      </c>
      <c r="KE762" s="27" t="s">
        <v>8</v>
      </c>
      <c r="KF762" s="27" t="s">
        <v>7</v>
      </c>
      <c r="KG762" s="27" t="s">
        <v>8</v>
      </c>
      <c r="KV762" s="27" t="s">
        <v>7</v>
      </c>
      <c r="KW762" s="27" t="s">
        <v>8</v>
      </c>
      <c r="KX762" s="27" t="s">
        <v>7</v>
      </c>
      <c r="KY762" s="27" t="s">
        <v>8</v>
      </c>
      <c r="KZ762" s="27" t="s">
        <v>7</v>
      </c>
      <c r="LD762" s="27" t="s">
        <v>7</v>
      </c>
      <c r="LF762" s="27" t="s">
        <v>7</v>
      </c>
      <c r="LH762" s="27" t="s">
        <v>7</v>
      </c>
      <c r="LI762" s="27" t="s">
        <v>8</v>
      </c>
      <c r="NK762" s="27" t="s">
        <v>8</v>
      </c>
      <c r="PI762" s="27" t="s">
        <v>8</v>
      </c>
      <c r="PJ762" s="27" t="s">
        <v>7</v>
      </c>
      <c r="PK762" s="27" t="s">
        <v>8</v>
      </c>
      <c r="PL762" s="27" t="s">
        <v>7</v>
      </c>
      <c r="PO762" s="27" t="s">
        <v>8</v>
      </c>
      <c r="PP762" s="27" t="s">
        <v>7</v>
      </c>
      <c r="PS762" s="27" t="s">
        <v>8</v>
      </c>
      <c r="PT762" s="27" t="s">
        <v>7</v>
      </c>
      <c r="PW762" s="27" t="s">
        <v>8</v>
      </c>
      <c r="PX762" s="27" t="s">
        <v>7</v>
      </c>
    </row>
    <row r="763" spans="1:444" x14ac:dyDescent="0.25">
      <c r="A763" s="7">
        <v>3.064571581172066E-2</v>
      </c>
      <c r="B763"/>
      <c r="C763"/>
      <c r="D763"/>
      <c r="E763"/>
      <c r="F763" s="27" t="s">
        <v>7</v>
      </c>
      <c r="G763" s="27" t="s">
        <v>8</v>
      </c>
      <c r="H763" s="27" t="s">
        <v>7</v>
      </c>
      <c r="I763" s="27" t="s">
        <v>8</v>
      </c>
      <c r="J763" s="27" t="s">
        <v>7</v>
      </c>
      <c r="K763" s="27" t="s">
        <v>8</v>
      </c>
      <c r="L763" s="27" t="s">
        <v>7</v>
      </c>
      <c r="M763" s="27" t="s">
        <v>8</v>
      </c>
      <c r="N763" s="27" t="s">
        <v>7</v>
      </c>
      <c r="O763" s="27" t="s">
        <v>8</v>
      </c>
      <c r="KC763" s="27" t="s">
        <v>8</v>
      </c>
      <c r="KD763" s="27" t="s">
        <v>7</v>
      </c>
      <c r="KE763" s="27" t="s">
        <v>8</v>
      </c>
      <c r="KF763" s="27" t="s">
        <v>7</v>
      </c>
      <c r="KV763" s="27" t="s">
        <v>7</v>
      </c>
      <c r="KW763" s="27" t="s">
        <v>8</v>
      </c>
      <c r="KX763" s="27" t="s">
        <v>7</v>
      </c>
      <c r="KY763" s="27" t="s">
        <v>8</v>
      </c>
      <c r="LH763" s="27" t="s">
        <v>7</v>
      </c>
      <c r="LI763" s="27" t="s">
        <v>8</v>
      </c>
      <c r="LJ763" s="27" t="s">
        <v>7</v>
      </c>
      <c r="NC763" s="27" t="s">
        <v>8</v>
      </c>
      <c r="NK763" s="27" t="s">
        <v>8</v>
      </c>
      <c r="NL763" s="27" t="s">
        <v>7</v>
      </c>
      <c r="PI763" s="27" t="s">
        <v>8</v>
      </c>
      <c r="PJ763" s="27" t="s">
        <v>7</v>
      </c>
      <c r="PK763" s="27" t="s">
        <v>8</v>
      </c>
      <c r="PL763" s="27" t="s">
        <v>7</v>
      </c>
      <c r="PO763" s="27" t="s">
        <v>8</v>
      </c>
      <c r="PP763" s="27" t="s">
        <v>7</v>
      </c>
      <c r="PS763" s="27" t="s">
        <v>8</v>
      </c>
      <c r="PT763" s="27" t="s">
        <v>7</v>
      </c>
      <c r="PW763" s="27" t="s">
        <v>8</v>
      </c>
      <c r="PX763" s="27" t="s">
        <v>7</v>
      </c>
    </row>
    <row r="764" spans="1:444" x14ac:dyDescent="0.25">
      <c r="A764" s="7">
        <v>3.0044819423255549E-2</v>
      </c>
      <c r="B764"/>
      <c r="C764"/>
      <c r="D764"/>
      <c r="E764"/>
      <c r="F764" s="27" t="s">
        <v>7</v>
      </c>
      <c r="G764" s="27" t="s">
        <v>8</v>
      </c>
      <c r="H764" s="27" t="s">
        <v>7</v>
      </c>
      <c r="I764" s="27" t="s">
        <v>8</v>
      </c>
      <c r="J764" s="27" t="s">
        <v>7</v>
      </c>
      <c r="K764" s="27" t="s">
        <v>8</v>
      </c>
      <c r="L764" s="27" t="s">
        <v>7</v>
      </c>
      <c r="N764" s="27" t="s">
        <v>7</v>
      </c>
      <c r="O764" s="27" t="s">
        <v>8</v>
      </c>
      <c r="P764" s="27" t="s">
        <v>7</v>
      </c>
      <c r="KC764" s="27" t="s">
        <v>8</v>
      </c>
      <c r="KD764" s="27" t="s">
        <v>7</v>
      </c>
      <c r="KE764" s="27" t="s">
        <v>8</v>
      </c>
      <c r="KV764" s="27" t="s">
        <v>7</v>
      </c>
      <c r="KW764" s="27" t="s">
        <v>8</v>
      </c>
      <c r="KX764" s="27" t="s">
        <v>7</v>
      </c>
      <c r="KY764" s="27" t="s">
        <v>8</v>
      </c>
      <c r="LH764" s="27" t="s">
        <v>7</v>
      </c>
      <c r="LI764" s="27" t="s">
        <v>8</v>
      </c>
      <c r="LJ764" s="27" t="s">
        <v>7</v>
      </c>
      <c r="NC764" s="27" t="s">
        <v>8</v>
      </c>
      <c r="ND764" s="27" t="s">
        <v>7</v>
      </c>
      <c r="NK764" s="27" t="s">
        <v>8</v>
      </c>
      <c r="NL764" s="27" t="s">
        <v>7</v>
      </c>
      <c r="PI764" s="27" t="s">
        <v>8</v>
      </c>
      <c r="PJ764" s="27" t="s">
        <v>7</v>
      </c>
      <c r="PK764" s="27" t="s">
        <v>8</v>
      </c>
      <c r="PL764" s="27" t="s">
        <v>7</v>
      </c>
      <c r="PO764" s="27" t="s">
        <v>8</v>
      </c>
      <c r="PP764" s="27" t="s">
        <v>7</v>
      </c>
      <c r="PS764" s="27" t="s">
        <v>8</v>
      </c>
      <c r="PT764" s="27" t="s">
        <v>7</v>
      </c>
      <c r="PW764" s="27" t="s">
        <v>8</v>
      </c>
      <c r="PX764" s="27" t="s">
        <v>7</v>
      </c>
      <c r="QA764" s="27" t="s">
        <v>8</v>
      </c>
    </row>
    <row r="765" spans="1:444" x14ac:dyDescent="0.25">
      <c r="A765" s="7">
        <v>2.9455705316917203E-2</v>
      </c>
      <c r="B765"/>
      <c r="C765"/>
      <c r="D765"/>
      <c r="E765"/>
      <c r="F765" s="27" t="s">
        <v>7</v>
      </c>
      <c r="G765" s="27" t="s">
        <v>8</v>
      </c>
      <c r="H765" s="27" t="s">
        <v>7</v>
      </c>
      <c r="I765" s="27" t="s">
        <v>8</v>
      </c>
      <c r="J765" s="27" t="s">
        <v>7</v>
      </c>
      <c r="K765" s="27" t="s">
        <v>8</v>
      </c>
      <c r="N765" s="27" t="s">
        <v>7</v>
      </c>
      <c r="O765" s="27" t="s">
        <v>8</v>
      </c>
      <c r="P765" s="27" t="s">
        <v>7</v>
      </c>
      <c r="Q765" s="27" t="s">
        <v>8</v>
      </c>
      <c r="KC765" s="27" t="s">
        <v>8</v>
      </c>
      <c r="KD765" s="27" t="s">
        <v>7</v>
      </c>
      <c r="KE765" s="27" t="s">
        <v>8</v>
      </c>
      <c r="KV765" s="27" t="s">
        <v>7</v>
      </c>
      <c r="KW765" s="27" t="s">
        <v>8</v>
      </c>
      <c r="KX765" s="27" t="s">
        <v>7</v>
      </c>
      <c r="KY765" s="27" t="s">
        <v>8</v>
      </c>
      <c r="LH765" s="27" t="s">
        <v>7</v>
      </c>
      <c r="LI765" s="27" t="s">
        <v>8</v>
      </c>
      <c r="LJ765" s="27" t="s">
        <v>7</v>
      </c>
      <c r="NC765" s="27" t="s">
        <v>8</v>
      </c>
      <c r="ND765" s="27" t="s">
        <v>7</v>
      </c>
      <c r="NK765" s="27" t="s">
        <v>8</v>
      </c>
      <c r="NL765" s="27" t="s">
        <v>7</v>
      </c>
      <c r="OU765" s="27" t="s">
        <v>8</v>
      </c>
      <c r="PI765" s="27" t="s">
        <v>8</v>
      </c>
      <c r="PJ765" s="27" t="s">
        <v>7</v>
      </c>
      <c r="PK765" s="27" t="s">
        <v>8</v>
      </c>
      <c r="PL765" s="27" t="s">
        <v>7</v>
      </c>
      <c r="PM765" s="27" t="s">
        <v>8</v>
      </c>
      <c r="PO765" s="27" t="s">
        <v>8</v>
      </c>
      <c r="PP765" s="27" t="s">
        <v>7</v>
      </c>
      <c r="PS765" s="27" t="s">
        <v>8</v>
      </c>
      <c r="PT765" s="27" t="s">
        <v>7</v>
      </c>
      <c r="PW765" s="27" t="s">
        <v>8</v>
      </c>
      <c r="PX765" s="27" t="s">
        <v>7</v>
      </c>
      <c r="QA765" s="27" t="s">
        <v>8</v>
      </c>
      <c r="QB765" s="27" t="s">
        <v>7</v>
      </c>
    </row>
    <row r="766" spans="1:444" x14ac:dyDescent="0.25">
      <c r="A766" s="7">
        <v>2.8878142467565884E-2</v>
      </c>
      <c r="B766"/>
      <c r="C766"/>
      <c r="D766"/>
      <c r="E766"/>
      <c r="F766" s="27" t="s">
        <v>7</v>
      </c>
      <c r="G766" s="27" t="s">
        <v>8</v>
      </c>
      <c r="H766" s="27" t="s">
        <v>7</v>
      </c>
      <c r="I766" s="27" t="s">
        <v>8</v>
      </c>
      <c r="J766" s="27" t="s">
        <v>7</v>
      </c>
      <c r="K766" s="27" t="s">
        <v>8</v>
      </c>
      <c r="N766" s="27" t="s">
        <v>7</v>
      </c>
      <c r="O766" s="27" t="s">
        <v>8</v>
      </c>
      <c r="P766" s="27" t="s">
        <v>7</v>
      </c>
      <c r="Q766" s="27" t="s">
        <v>8</v>
      </c>
      <c r="R766" s="27" t="s">
        <v>7</v>
      </c>
      <c r="KA766" s="27" t="s">
        <v>8</v>
      </c>
      <c r="KC766" s="27" t="s">
        <v>8</v>
      </c>
      <c r="KD766" s="27" t="s">
        <v>7</v>
      </c>
      <c r="KE766" s="27" t="s">
        <v>8</v>
      </c>
      <c r="KV766" s="27" t="s">
        <v>7</v>
      </c>
      <c r="KW766" s="27" t="s">
        <v>8</v>
      </c>
      <c r="KX766" s="27" t="s">
        <v>7</v>
      </c>
      <c r="KY766" s="27" t="s">
        <v>8</v>
      </c>
      <c r="LH766" s="27" t="s">
        <v>7</v>
      </c>
      <c r="LJ766" s="27" t="s">
        <v>7</v>
      </c>
      <c r="NC766" s="27" t="s">
        <v>8</v>
      </c>
      <c r="ND766" s="27" t="s">
        <v>7</v>
      </c>
      <c r="NK766" s="27" t="s">
        <v>8</v>
      </c>
      <c r="NL766" s="27" t="s">
        <v>7</v>
      </c>
      <c r="OU766" s="27" t="s">
        <v>8</v>
      </c>
      <c r="OV766" s="27" t="s">
        <v>7</v>
      </c>
      <c r="PI766" s="27" t="s">
        <v>8</v>
      </c>
      <c r="PJ766" s="27" t="s">
        <v>7</v>
      </c>
      <c r="PK766" s="27" t="s">
        <v>8</v>
      </c>
      <c r="PL766" s="27" t="s">
        <v>7</v>
      </c>
      <c r="PM766" s="27" t="s">
        <v>8</v>
      </c>
      <c r="PN766" s="27" t="s">
        <v>7</v>
      </c>
      <c r="PO766" s="27" t="s">
        <v>8</v>
      </c>
      <c r="PP766" s="27" t="s">
        <v>7</v>
      </c>
      <c r="PS766" s="27" t="s">
        <v>8</v>
      </c>
      <c r="PT766" s="27" t="s">
        <v>7</v>
      </c>
      <c r="PW766" s="27" t="s">
        <v>8</v>
      </c>
      <c r="PX766" s="27" t="s">
        <v>7</v>
      </c>
      <c r="QA766" s="27" t="s">
        <v>8</v>
      </c>
      <c r="QB766" s="27" t="s">
        <v>7</v>
      </c>
    </row>
    <row r="767" spans="1:444" x14ac:dyDescent="0.25">
      <c r="A767" s="7">
        <v>2.8311904379966554E-2</v>
      </c>
      <c r="B767"/>
      <c r="C767"/>
      <c r="D767"/>
      <c r="E767"/>
      <c r="F767" s="27" t="s">
        <v>7</v>
      </c>
      <c r="G767" s="27" t="s">
        <v>8</v>
      </c>
      <c r="H767" s="27" t="s">
        <v>7</v>
      </c>
      <c r="I767" s="27" t="s">
        <v>8</v>
      </c>
      <c r="J767" s="27" t="s">
        <v>7</v>
      </c>
      <c r="K767" s="27" t="s">
        <v>8</v>
      </c>
      <c r="N767" s="27" t="s">
        <v>7</v>
      </c>
      <c r="O767" s="27" t="s">
        <v>8</v>
      </c>
      <c r="P767" s="27" t="s">
        <v>7</v>
      </c>
      <c r="Q767" s="27" t="s">
        <v>8</v>
      </c>
      <c r="R767" s="27" t="s">
        <v>7</v>
      </c>
      <c r="KA767" s="27" t="s">
        <v>8</v>
      </c>
      <c r="KB767" s="27" t="s">
        <v>7</v>
      </c>
      <c r="KC767" s="27" t="s">
        <v>8</v>
      </c>
      <c r="KD767" s="27" t="s">
        <v>7</v>
      </c>
      <c r="KE767" s="27" t="s">
        <v>8</v>
      </c>
      <c r="KV767" s="27" t="s">
        <v>7</v>
      </c>
      <c r="KX767" s="27" t="s">
        <v>7</v>
      </c>
      <c r="KY767" s="27" t="s">
        <v>8</v>
      </c>
      <c r="LJ767" s="27" t="s">
        <v>7</v>
      </c>
      <c r="NC767" s="27" t="s">
        <v>8</v>
      </c>
      <c r="ND767" s="27" t="s">
        <v>7</v>
      </c>
      <c r="NE767" s="27" t="s">
        <v>8</v>
      </c>
      <c r="NI767" s="27" t="s">
        <v>8</v>
      </c>
      <c r="NK767" s="27" t="s">
        <v>8</v>
      </c>
      <c r="NL767" s="27" t="s">
        <v>7</v>
      </c>
      <c r="OU767" s="27" t="s">
        <v>8</v>
      </c>
      <c r="OV767" s="27" t="s">
        <v>7</v>
      </c>
      <c r="PI767" s="27" t="s">
        <v>8</v>
      </c>
      <c r="PJ767" s="27" t="s">
        <v>7</v>
      </c>
      <c r="PK767" s="27" t="s">
        <v>8</v>
      </c>
      <c r="PL767" s="27" t="s">
        <v>7</v>
      </c>
      <c r="PM767" s="27" t="s">
        <v>8</v>
      </c>
      <c r="PN767" s="27" t="s">
        <v>7</v>
      </c>
      <c r="PO767" s="27" t="s">
        <v>8</v>
      </c>
      <c r="PP767" s="27" t="s">
        <v>7</v>
      </c>
      <c r="PS767" s="27" t="s">
        <v>8</v>
      </c>
      <c r="PT767" s="27" t="s">
        <v>7</v>
      </c>
      <c r="PW767" s="27" t="s">
        <v>8</v>
      </c>
      <c r="PX767" s="27" t="s">
        <v>7</v>
      </c>
      <c r="PY767" s="27" t="s">
        <v>8</v>
      </c>
      <c r="QA767" s="27" t="s">
        <v>8</v>
      </c>
      <c r="QB767" s="27" t="s">
        <v>7</v>
      </c>
    </row>
    <row r="768" spans="1:444" x14ac:dyDescent="0.25">
      <c r="A768" s="7">
        <v>2.7756768999967207E-2</v>
      </c>
      <c r="B768"/>
      <c r="C768"/>
      <c r="D768"/>
      <c r="E768"/>
      <c r="F768" s="27" t="s">
        <v>7</v>
      </c>
      <c r="G768" s="27" t="s">
        <v>8</v>
      </c>
      <c r="H768" s="27" t="s">
        <v>7</v>
      </c>
      <c r="I768" s="27" t="s">
        <v>8</v>
      </c>
      <c r="J768" s="27" t="s">
        <v>7</v>
      </c>
      <c r="K768" s="27" t="s">
        <v>8</v>
      </c>
      <c r="N768" s="27" t="s">
        <v>7</v>
      </c>
      <c r="O768" s="27" t="s">
        <v>8</v>
      </c>
      <c r="P768" s="27" t="s">
        <v>7</v>
      </c>
      <c r="Q768" s="27" t="s">
        <v>8</v>
      </c>
      <c r="R768" s="27" t="s">
        <v>7</v>
      </c>
      <c r="KA768" s="27" t="s">
        <v>8</v>
      </c>
      <c r="KB768" s="27" t="s">
        <v>7</v>
      </c>
      <c r="KC768" s="27" t="s">
        <v>8</v>
      </c>
      <c r="KD768" s="27" t="s">
        <v>7</v>
      </c>
      <c r="KE768" s="27" t="s">
        <v>8</v>
      </c>
      <c r="KX768" s="27" t="s">
        <v>7</v>
      </c>
      <c r="KY768" s="27" t="s">
        <v>8</v>
      </c>
      <c r="LJ768" s="27" t="s">
        <v>7</v>
      </c>
      <c r="LK768" s="27" t="s">
        <v>8</v>
      </c>
      <c r="NC768" s="27" t="s">
        <v>8</v>
      </c>
      <c r="ND768" s="27" t="s">
        <v>7</v>
      </c>
      <c r="NE768" s="27" t="s">
        <v>8</v>
      </c>
      <c r="NF768" s="27" t="s">
        <v>7</v>
      </c>
      <c r="NI768" s="27" t="s">
        <v>8</v>
      </c>
      <c r="NJ768" s="27" t="s">
        <v>7</v>
      </c>
      <c r="NK768" s="27" t="s">
        <v>8</v>
      </c>
      <c r="NL768" s="27" t="s">
        <v>7</v>
      </c>
      <c r="OU768" s="27" t="s">
        <v>8</v>
      </c>
      <c r="OV768" s="27" t="s">
        <v>7</v>
      </c>
      <c r="PI768" s="27" t="s">
        <v>8</v>
      </c>
      <c r="PJ768" s="27" t="s">
        <v>7</v>
      </c>
      <c r="PK768" s="27" t="s">
        <v>8</v>
      </c>
      <c r="PL768" s="27" t="s">
        <v>7</v>
      </c>
      <c r="PM768" s="27" t="s">
        <v>8</v>
      </c>
      <c r="PN768" s="27" t="s">
        <v>7</v>
      </c>
      <c r="PO768" s="27" t="s">
        <v>8</v>
      </c>
      <c r="PP768" s="27" t="s">
        <v>7</v>
      </c>
      <c r="PS768" s="27" t="s">
        <v>8</v>
      </c>
      <c r="PT768" s="27" t="s">
        <v>7</v>
      </c>
      <c r="PW768" s="27" t="s">
        <v>8</v>
      </c>
      <c r="PX768" s="27" t="s">
        <v>7</v>
      </c>
      <c r="PY768" s="27" t="s">
        <v>8</v>
      </c>
      <c r="PZ768" s="27" t="s">
        <v>7</v>
      </c>
      <c r="QA768" s="27" t="s">
        <v>8</v>
      </c>
      <c r="QB768" s="27" t="s">
        <v>7</v>
      </c>
    </row>
    <row r="769" spans="1:452" x14ac:dyDescent="0.25">
      <c r="A769" s="7">
        <v>2.7212518627418834E-2</v>
      </c>
      <c r="B769"/>
      <c r="C769"/>
      <c r="D769"/>
      <c r="E769"/>
      <c r="F769" s="27" t="s">
        <v>7</v>
      </c>
      <c r="G769" s="27" t="s">
        <v>8</v>
      </c>
      <c r="H769" s="27" t="s">
        <v>7</v>
      </c>
      <c r="I769" s="27" t="s">
        <v>8</v>
      </c>
      <c r="J769" s="27" t="s">
        <v>7</v>
      </c>
      <c r="K769" s="27" t="s">
        <v>8</v>
      </c>
      <c r="N769" s="27" t="s">
        <v>7</v>
      </c>
      <c r="P769" s="27" t="s">
        <v>7</v>
      </c>
      <c r="Q769" s="27" t="s">
        <v>8</v>
      </c>
      <c r="R769" s="27" t="s">
        <v>7</v>
      </c>
      <c r="KA769" s="27" t="s">
        <v>8</v>
      </c>
      <c r="KB769" s="27" t="s">
        <v>7</v>
      </c>
      <c r="KC769" s="27" t="s">
        <v>8</v>
      </c>
      <c r="KD769" s="27" t="s">
        <v>7</v>
      </c>
      <c r="KX769" s="27" t="s">
        <v>7</v>
      </c>
      <c r="KY769" s="27" t="s">
        <v>8</v>
      </c>
      <c r="LJ769" s="27" t="s">
        <v>7</v>
      </c>
      <c r="LK769" s="27" t="s">
        <v>8</v>
      </c>
      <c r="LL769" s="27" t="s">
        <v>7</v>
      </c>
      <c r="NC769" s="27" t="s">
        <v>8</v>
      </c>
      <c r="ND769" s="27" t="s">
        <v>7</v>
      </c>
      <c r="NE769" s="27" t="s">
        <v>8</v>
      </c>
      <c r="NF769" s="27" t="s">
        <v>7</v>
      </c>
      <c r="NI769" s="27" t="s">
        <v>8</v>
      </c>
      <c r="NJ769" s="27" t="s">
        <v>7</v>
      </c>
      <c r="NK769" s="27" t="s">
        <v>8</v>
      </c>
      <c r="NL769" s="27" t="s">
        <v>7</v>
      </c>
      <c r="OU769" s="27" t="s">
        <v>8</v>
      </c>
      <c r="OV769" s="27" t="s">
        <v>7</v>
      </c>
      <c r="PA769" s="27" t="s">
        <v>8</v>
      </c>
      <c r="PI769" s="27" t="s">
        <v>8</v>
      </c>
      <c r="PJ769" s="27" t="s">
        <v>7</v>
      </c>
      <c r="PK769" s="27" t="s">
        <v>8</v>
      </c>
      <c r="PL769" s="27" t="s">
        <v>7</v>
      </c>
      <c r="PM769" s="27" t="s">
        <v>8</v>
      </c>
      <c r="PN769" s="27" t="s">
        <v>7</v>
      </c>
      <c r="PO769" s="27" t="s">
        <v>8</v>
      </c>
      <c r="PP769" s="27" t="s">
        <v>7</v>
      </c>
      <c r="PS769" s="27" t="s">
        <v>8</v>
      </c>
      <c r="PT769" s="27" t="s">
        <v>7</v>
      </c>
      <c r="PU769" s="27" t="s">
        <v>8</v>
      </c>
      <c r="PW769" s="27" t="s">
        <v>8</v>
      </c>
      <c r="PX769" s="27" t="s">
        <v>7</v>
      </c>
      <c r="PY769" s="27" t="s">
        <v>8</v>
      </c>
      <c r="PZ769" s="27" t="s">
        <v>7</v>
      </c>
      <c r="QA769" s="27" t="s">
        <v>8</v>
      </c>
      <c r="QB769" s="27" t="s">
        <v>7</v>
      </c>
    </row>
    <row r="770" spans="1:452" x14ac:dyDescent="0.25">
      <c r="A770" s="7">
        <v>2.6678939830802779E-2</v>
      </c>
      <c r="B770"/>
      <c r="C770"/>
      <c r="D770"/>
      <c r="E770"/>
      <c r="F770" s="27" t="s">
        <v>7</v>
      </c>
      <c r="G770" s="27" t="s">
        <v>8</v>
      </c>
      <c r="H770" s="27" t="s">
        <v>7</v>
      </c>
      <c r="I770" s="27" t="s">
        <v>8</v>
      </c>
      <c r="J770" s="27" t="s">
        <v>7</v>
      </c>
      <c r="K770" s="27" t="s">
        <v>8</v>
      </c>
      <c r="P770" s="27" t="s">
        <v>7</v>
      </c>
      <c r="R770" s="27" t="s">
        <v>7</v>
      </c>
      <c r="KA770" s="27" t="s">
        <v>8</v>
      </c>
      <c r="KB770" s="27" t="s">
        <v>7</v>
      </c>
      <c r="KC770" s="27" t="s">
        <v>8</v>
      </c>
      <c r="KX770" s="27" t="s">
        <v>7</v>
      </c>
      <c r="KY770" s="27" t="s">
        <v>8</v>
      </c>
      <c r="LJ770" s="27" t="s">
        <v>7</v>
      </c>
      <c r="LK770" s="27" t="s">
        <v>8</v>
      </c>
      <c r="LL770" s="27" t="s">
        <v>7</v>
      </c>
      <c r="NC770" s="27" t="s">
        <v>8</v>
      </c>
      <c r="ND770" s="27" t="s">
        <v>7</v>
      </c>
      <c r="NE770" s="27" t="s">
        <v>8</v>
      </c>
      <c r="NF770" s="27" t="s">
        <v>7</v>
      </c>
      <c r="NG770" s="27" t="s">
        <v>8</v>
      </c>
      <c r="NI770" s="27" t="s">
        <v>8</v>
      </c>
      <c r="NJ770" s="27" t="s">
        <v>7</v>
      </c>
      <c r="NK770" s="27" t="s">
        <v>8</v>
      </c>
      <c r="NL770" s="27" t="s">
        <v>7</v>
      </c>
      <c r="OU770" s="27" t="s">
        <v>8</v>
      </c>
      <c r="OV770" s="27" t="s">
        <v>7</v>
      </c>
      <c r="PA770" s="27" t="s">
        <v>8</v>
      </c>
      <c r="PB770" s="27" t="s">
        <v>7</v>
      </c>
      <c r="PI770" s="27" t="s">
        <v>8</v>
      </c>
      <c r="PJ770" s="27" t="s">
        <v>7</v>
      </c>
      <c r="PK770" s="27" t="s">
        <v>8</v>
      </c>
      <c r="PL770" s="27" t="s">
        <v>7</v>
      </c>
      <c r="PM770" s="27" t="s">
        <v>8</v>
      </c>
      <c r="PN770" s="27" t="s">
        <v>7</v>
      </c>
      <c r="PO770" s="27" t="s">
        <v>8</v>
      </c>
      <c r="PP770" s="27" t="s">
        <v>7</v>
      </c>
      <c r="PQ770" s="27" t="s">
        <v>8</v>
      </c>
      <c r="PS770" s="27" t="s">
        <v>8</v>
      </c>
      <c r="PT770" s="27" t="s">
        <v>7</v>
      </c>
      <c r="PU770" s="27" t="s">
        <v>8</v>
      </c>
      <c r="PV770" s="27" t="s">
        <v>7</v>
      </c>
      <c r="PW770" s="27" t="s">
        <v>8</v>
      </c>
      <c r="PX770" s="27" t="s">
        <v>7</v>
      </c>
      <c r="PZ770" s="27" t="s">
        <v>7</v>
      </c>
      <c r="QA770" s="27" t="s">
        <v>8</v>
      </c>
      <c r="QB770" s="27" t="s">
        <v>7</v>
      </c>
    </row>
    <row r="771" spans="1:452" x14ac:dyDescent="0.25">
      <c r="A771" s="7">
        <v>2.615582336353214E-2</v>
      </c>
      <c r="B771"/>
      <c r="C771"/>
      <c r="D771"/>
      <c r="E771"/>
      <c r="F771" s="27" t="s">
        <v>7</v>
      </c>
      <c r="G771" s="27" t="s">
        <v>8</v>
      </c>
      <c r="H771" s="27" t="s">
        <v>7</v>
      </c>
      <c r="I771" s="27" t="s">
        <v>8</v>
      </c>
      <c r="J771" s="27" t="s">
        <v>7</v>
      </c>
      <c r="K771" s="27" t="s">
        <v>8</v>
      </c>
      <c r="R771" s="27" t="s">
        <v>7</v>
      </c>
      <c r="U771" s="27" t="s">
        <v>8</v>
      </c>
      <c r="KA771" s="27" t="s">
        <v>8</v>
      </c>
      <c r="KB771" s="27" t="s">
        <v>7</v>
      </c>
      <c r="KC771" s="27" t="s">
        <v>8</v>
      </c>
      <c r="KX771" s="27" t="s">
        <v>7</v>
      </c>
      <c r="KY771" s="27" t="s">
        <v>8</v>
      </c>
      <c r="LJ771" s="27" t="s">
        <v>7</v>
      </c>
      <c r="LK771" s="27" t="s">
        <v>8</v>
      </c>
      <c r="LL771" s="27" t="s">
        <v>7</v>
      </c>
      <c r="NC771" s="27" t="s">
        <v>8</v>
      </c>
      <c r="ND771" s="27" t="s">
        <v>7</v>
      </c>
      <c r="NE771" s="27" t="s">
        <v>8</v>
      </c>
      <c r="NF771" s="27" t="s">
        <v>7</v>
      </c>
      <c r="NG771" s="27" t="s">
        <v>8</v>
      </c>
      <c r="NH771" s="27" t="s">
        <v>7</v>
      </c>
      <c r="NI771" s="27" t="s">
        <v>8</v>
      </c>
      <c r="NJ771" s="27" t="s">
        <v>7</v>
      </c>
      <c r="NK771" s="27" t="s">
        <v>8</v>
      </c>
      <c r="NL771" s="27" t="s">
        <v>7</v>
      </c>
      <c r="OU771" s="27" t="s">
        <v>8</v>
      </c>
      <c r="OV771" s="27" t="s">
        <v>7</v>
      </c>
      <c r="PA771" s="27" t="s">
        <v>8</v>
      </c>
      <c r="PB771" s="27" t="s">
        <v>7</v>
      </c>
      <c r="PI771" s="27" t="s">
        <v>8</v>
      </c>
      <c r="PJ771" s="27" t="s">
        <v>7</v>
      </c>
      <c r="PK771" s="27" t="s">
        <v>8</v>
      </c>
      <c r="PL771" s="27" t="s">
        <v>7</v>
      </c>
      <c r="PM771" s="27" t="s">
        <v>8</v>
      </c>
      <c r="PN771" s="27" t="s">
        <v>7</v>
      </c>
      <c r="PO771" s="27" t="s">
        <v>8</v>
      </c>
      <c r="PP771" s="27" t="s">
        <v>7</v>
      </c>
      <c r="PQ771" s="27" t="s">
        <v>8</v>
      </c>
      <c r="PR771" s="27" t="s">
        <v>7</v>
      </c>
      <c r="PS771" s="27" t="s">
        <v>8</v>
      </c>
      <c r="PT771" s="27" t="s">
        <v>7</v>
      </c>
      <c r="PU771" s="27" t="s">
        <v>8</v>
      </c>
      <c r="PV771" s="27" t="s">
        <v>7</v>
      </c>
      <c r="PW771" s="27" t="s">
        <v>8</v>
      </c>
      <c r="PZ771" s="27" t="s">
        <v>7</v>
      </c>
      <c r="QA771" s="27" t="s">
        <v>8</v>
      </c>
      <c r="QB771" s="27" t="s">
        <v>7</v>
      </c>
    </row>
    <row r="772" spans="1:452" x14ac:dyDescent="0.25">
      <c r="A772" s="7">
        <v>2.5642964081894253E-2</v>
      </c>
      <c r="B772"/>
      <c r="C772"/>
      <c r="D772"/>
      <c r="E772"/>
      <c r="F772" s="27" t="s">
        <v>7</v>
      </c>
      <c r="G772" s="27" t="s">
        <v>8</v>
      </c>
      <c r="H772" s="27" t="s">
        <v>7</v>
      </c>
      <c r="I772" s="27" t="s">
        <v>8</v>
      </c>
      <c r="J772" s="27" t="s">
        <v>7</v>
      </c>
      <c r="R772" s="27" t="s">
        <v>7</v>
      </c>
      <c r="U772" s="27" t="s">
        <v>8</v>
      </c>
      <c r="V772" s="27" t="s">
        <v>7</v>
      </c>
      <c r="KA772" s="27" t="s">
        <v>8</v>
      </c>
      <c r="KB772" s="27" t="s">
        <v>7</v>
      </c>
      <c r="KC772" s="27" t="s">
        <v>8</v>
      </c>
      <c r="KX772" s="27" t="s">
        <v>7</v>
      </c>
      <c r="KY772" s="27" t="s">
        <v>8</v>
      </c>
      <c r="LJ772" s="27" t="s">
        <v>7</v>
      </c>
      <c r="LK772" s="27" t="s">
        <v>8</v>
      </c>
      <c r="LL772" s="27" t="s">
        <v>7</v>
      </c>
      <c r="NC772" s="27" t="s">
        <v>8</v>
      </c>
      <c r="ND772" s="27" t="s">
        <v>7</v>
      </c>
      <c r="NE772" s="27" t="s">
        <v>8</v>
      </c>
      <c r="NF772" s="27" t="s">
        <v>7</v>
      </c>
      <c r="NG772" s="27" t="s">
        <v>8</v>
      </c>
      <c r="NH772" s="27" t="s">
        <v>7</v>
      </c>
      <c r="NI772" s="27" t="s">
        <v>8</v>
      </c>
      <c r="NJ772" s="27" t="s">
        <v>7</v>
      </c>
      <c r="NL772" s="27" t="s">
        <v>7</v>
      </c>
      <c r="NQ772" s="27" t="s">
        <v>8</v>
      </c>
      <c r="OI772" s="27" t="s">
        <v>8</v>
      </c>
      <c r="OU772" s="27" t="s">
        <v>8</v>
      </c>
      <c r="OV772" s="27" t="s">
        <v>7</v>
      </c>
      <c r="PA772" s="27" t="s">
        <v>8</v>
      </c>
      <c r="PB772" s="27" t="s">
        <v>7</v>
      </c>
      <c r="PI772" s="27" t="s">
        <v>8</v>
      </c>
      <c r="PJ772" s="27" t="s">
        <v>7</v>
      </c>
      <c r="PK772" s="27" t="s">
        <v>8</v>
      </c>
      <c r="PL772" s="27" t="s">
        <v>7</v>
      </c>
      <c r="PM772" s="27" t="s">
        <v>8</v>
      </c>
      <c r="PN772" s="27" t="s">
        <v>7</v>
      </c>
      <c r="PO772" s="27" t="s">
        <v>8</v>
      </c>
      <c r="PP772" s="27" t="s">
        <v>7</v>
      </c>
      <c r="PQ772" s="27" t="s">
        <v>8</v>
      </c>
      <c r="PR772" s="27" t="s">
        <v>7</v>
      </c>
      <c r="PS772" s="27" t="s">
        <v>8</v>
      </c>
      <c r="PT772" s="27" t="s">
        <v>7</v>
      </c>
      <c r="PU772" s="27" t="s">
        <v>8</v>
      </c>
      <c r="PV772" s="27" t="s">
        <v>7</v>
      </c>
      <c r="PW772" s="27" t="s">
        <v>8</v>
      </c>
      <c r="PZ772" s="27" t="s">
        <v>7</v>
      </c>
      <c r="QA772" s="27" t="s">
        <v>8</v>
      </c>
      <c r="QB772" s="27" t="s">
        <v>7</v>
      </c>
    </row>
    <row r="773" spans="1:452" x14ac:dyDescent="0.25">
      <c r="A773" s="7">
        <v>2.5140160864602207E-2</v>
      </c>
      <c r="B773"/>
      <c r="C773"/>
      <c r="D773"/>
      <c r="E773"/>
      <c r="F773" s="27" t="s">
        <v>7</v>
      </c>
      <c r="G773" s="27" t="s">
        <v>8</v>
      </c>
      <c r="H773" s="27" t="s">
        <v>7</v>
      </c>
      <c r="I773" s="27" t="s">
        <v>8</v>
      </c>
      <c r="R773" s="27" t="s">
        <v>7</v>
      </c>
      <c r="U773" s="27" t="s">
        <v>8</v>
      </c>
      <c r="V773" s="27" t="s">
        <v>7</v>
      </c>
      <c r="KA773" s="27" t="s">
        <v>8</v>
      </c>
      <c r="KB773" s="27" t="s">
        <v>7</v>
      </c>
      <c r="KC773" s="27" t="s">
        <v>8</v>
      </c>
      <c r="KX773" s="27" t="s">
        <v>7</v>
      </c>
      <c r="KY773" s="27" t="s">
        <v>8</v>
      </c>
      <c r="LJ773" s="27" t="s">
        <v>7</v>
      </c>
      <c r="LK773" s="27" t="s">
        <v>8</v>
      </c>
      <c r="LL773" s="27" t="s">
        <v>7</v>
      </c>
      <c r="NC773" s="27" t="s">
        <v>8</v>
      </c>
      <c r="ND773" s="27" t="s">
        <v>7</v>
      </c>
      <c r="NE773" s="27" t="s">
        <v>8</v>
      </c>
      <c r="NF773" s="27" t="s">
        <v>7</v>
      </c>
      <c r="NG773" s="27" t="s">
        <v>8</v>
      </c>
      <c r="NH773" s="27" t="s">
        <v>7</v>
      </c>
      <c r="NI773" s="27" t="s">
        <v>8</v>
      </c>
      <c r="NL773" s="27" t="s">
        <v>7</v>
      </c>
      <c r="NQ773" s="27" t="s">
        <v>8</v>
      </c>
      <c r="NR773" s="27" t="s">
        <v>7</v>
      </c>
      <c r="NS773" s="27" t="s">
        <v>8</v>
      </c>
      <c r="OI773" s="27" t="s">
        <v>8</v>
      </c>
      <c r="OJ773" s="27" t="s">
        <v>7</v>
      </c>
      <c r="OK773" s="27" t="s">
        <v>8</v>
      </c>
      <c r="OU773" s="27" t="s">
        <v>8</v>
      </c>
      <c r="OV773" s="27" t="s">
        <v>7</v>
      </c>
      <c r="OW773" s="27" t="s">
        <v>8</v>
      </c>
      <c r="PA773" s="27" t="s">
        <v>8</v>
      </c>
      <c r="PB773" s="27" t="s">
        <v>7</v>
      </c>
      <c r="PI773" s="27" t="s">
        <v>8</v>
      </c>
      <c r="PJ773" s="27" t="s">
        <v>7</v>
      </c>
      <c r="PK773" s="27" t="s">
        <v>8</v>
      </c>
      <c r="PL773" s="27" t="s">
        <v>7</v>
      </c>
      <c r="PM773" s="27" t="s">
        <v>8</v>
      </c>
      <c r="PN773" s="27" t="s">
        <v>7</v>
      </c>
      <c r="PO773" s="27" t="s">
        <v>8</v>
      </c>
      <c r="PP773" s="27" t="s">
        <v>7</v>
      </c>
      <c r="PR773" s="27" t="s">
        <v>7</v>
      </c>
      <c r="PS773" s="27" t="s">
        <v>8</v>
      </c>
      <c r="PT773" s="27" t="s">
        <v>7</v>
      </c>
      <c r="PU773" s="27" t="s">
        <v>8</v>
      </c>
      <c r="PV773" s="27" t="s">
        <v>7</v>
      </c>
      <c r="PZ773" s="27" t="s">
        <v>7</v>
      </c>
      <c r="QA773" s="27" t="s">
        <v>8</v>
      </c>
      <c r="QB773" s="27" t="s">
        <v>7</v>
      </c>
    </row>
    <row r="774" spans="1:452" x14ac:dyDescent="0.25">
      <c r="A774" s="7">
        <v>2.4647216533923735E-2</v>
      </c>
      <c r="B774"/>
      <c r="C774"/>
      <c r="D774"/>
      <c r="E774"/>
      <c r="F774" s="27" t="s">
        <v>7</v>
      </c>
      <c r="G774" s="27" t="s">
        <v>8</v>
      </c>
      <c r="H774" s="27" t="s">
        <v>7</v>
      </c>
      <c r="I774" s="27" t="s">
        <v>8</v>
      </c>
      <c r="R774" s="27" t="s">
        <v>7</v>
      </c>
      <c r="U774" s="27" t="s">
        <v>8</v>
      </c>
      <c r="V774" s="27" t="s">
        <v>7</v>
      </c>
      <c r="KA774" s="27" t="s">
        <v>8</v>
      </c>
      <c r="KB774" s="27" t="s">
        <v>7</v>
      </c>
      <c r="KC774" s="27" t="s">
        <v>8</v>
      </c>
      <c r="KX774" s="27" t="s">
        <v>7</v>
      </c>
      <c r="KY774" s="27" t="s">
        <v>8</v>
      </c>
      <c r="LJ774" s="27" t="s">
        <v>7</v>
      </c>
      <c r="LK774" s="27" t="s">
        <v>8</v>
      </c>
      <c r="LL774" s="27" t="s">
        <v>7</v>
      </c>
      <c r="LM774" s="27" t="s">
        <v>8</v>
      </c>
      <c r="NC774" s="27" t="s">
        <v>8</v>
      </c>
      <c r="ND774" s="27" t="s">
        <v>7</v>
      </c>
      <c r="NE774" s="27" t="s">
        <v>8</v>
      </c>
      <c r="NF774" s="27" t="s">
        <v>7</v>
      </c>
      <c r="NG774" s="27" t="s">
        <v>8</v>
      </c>
      <c r="NH774" s="27" t="s">
        <v>7</v>
      </c>
      <c r="NI774" s="27" t="s">
        <v>8</v>
      </c>
      <c r="NL774" s="27" t="s">
        <v>7</v>
      </c>
      <c r="NQ774" s="27" t="s">
        <v>8</v>
      </c>
      <c r="NR774" s="27" t="s">
        <v>7</v>
      </c>
      <c r="NS774" s="27" t="s">
        <v>8</v>
      </c>
      <c r="NT774" s="27" t="s">
        <v>7</v>
      </c>
      <c r="OI774" s="27" t="s">
        <v>8</v>
      </c>
      <c r="OJ774" s="27" t="s">
        <v>7</v>
      </c>
      <c r="OK774" s="27" t="s">
        <v>8</v>
      </c>
      <c r="OL774" s="27" t="s">
        <v>7</v>
      </c>
      <c r="OU774" s="27" t="s">
        <v>8</v>
      </c>
      <c r="OV774" s="27" t="s">
        <v>7</v>
      </c>
      <c r="OW774" s="27" t="s">
        <v>8</v>
      </c>
      <c r="OX774" s="27" t="s">
        <v>7</v>
      </c>
      <c r="PA774" s="27" t="s">
        <v>8</v>
      </c>
      <c r="PB774" s="27" t="s">
        <v>7</v>
      </c>
      <c r="PI774" s="27" t="s">
        <v>8</v>
      </c>
      <c r="PJ774" s="27" t="s">
        <v>7</v>
      </c>
      <c r="PL774" s="27" t="s">
        <v>7</v>
      </c>
      <c r="PM774" s="27" t="s">
        <v>8</v>
      </c>
      <c r="PN774" s="27" t="s">
        <v>7</v>
      </c>
      <c r="PO774" s="27" t="s">
        <v>8</v>
      </c>
      <c r="PR774" s="27" t="s">
        <v>7</v>
      </c>
      <c r="PS774" s="27" t="s">
        <v>8</v>
      </c>
      <c r="PT774" s="27" t="s">
        <v>7</v>
      </c>
      <c r="PZ774" s="27" t="s">
        <v>7</v>
      </c>
      <c r="QB774" s="27" t="s">
        <v>7</v>
      </c>
    </row>
    <row r="775" spans="1:452" x14ac:dyDescent="0.25">
      <c r="A775" s="7">
        <v>2.4163937778356601E-2</v>
      </c>
      <c r="B775"/>
      <c r="C775"/>
      <c r="D775"/>
      <c r="E775"/>
      <c r="F775" s="27" t="s">
        <v>7</v>
      </c>
      <c r="G775" s="27" t="s">
        <v>8</v>
      </c>
      <c r="H775" s="27" t="s">
        <v>7</v>
      </c>
      <c r="I775" s="27" t="s">
        <v>8</v>
      </c>
      <c r="R775" s="27" t="s">
        <v>7</v>
      </c>
      <c r="U775" s="27" t="s">
        <v>8</v>
      </c>
      <c r="V775" s="27" t="s">
        <v>7</v>
      </c>
      <c r="KA775" s="27" t="s">
        <v>8</v>
      </c>
      <c r="KB775" s="27" t="s">
        <v>7</v>
      </c>
      <c r="KC775" s="27" t="s">
        <v>8</v>
      </c>
      <c r="KX775" s="27" t="s">
        <v>7</v>
      </c>
      <c r="KY775" s="27" t="s">
        <v>8</v>
      </c>
      <c r="LJ775" s="27" t="s">
        <v>7</v>
      </c>
      <c r="LK775" s="27" t="s">
        <v>8</v>
      </c>
      <c r="LL775" s="27" t="s">
        <v>7</v>
      </c>
      <c r="LM775" s="27" t="s">
        <v>8</v>
      </c>
      <c r="LN775" s="27" t="s">
        <v>7</v>
      </c>
      <c r="NC775" s="27" t="s">
        <v>8</v>
      </c>
      <c r="ND775" s="27" t="s">
        <v>7</v>
      </c>
      <c r="NE775" s="27" t="s">
        <v>8</v>
      </c>
      <c r="NF775" s="27" t="s">
        <v>7</v>
      </c>
      <c r="NG775" s="27" t="s">
        <v>8</v>
      </c>
      <c r="NH775" s="27" t="s">
        <v>7</v>
      </c>
      <c r="NL775" s="27" t="s">
        <v>7</v>
      </c>
      <c r="NQ775" s="27" t="s">
        <v>8</v>
      </c>
      <c r="NR775" s="27" t="s">
        <v>7</v>
      </c>
      <c r="NS775" s="27" t="s">
        <v>8</v>
      </c>
      <c r="NT775" s="27" t="s">
        <v>7</v>
      </c>
      <c r="OI775" s="27" t="s">
        <v>8</v>
      </c>
      <c r="OJ775" s="27" t="s">
        <v>7</v>
      </c>
      <c r="OK775" s="27" t="s">
        <v>8</v>
      </c>
      <c r="OL775" s="27" t="s">
        <v>7</v>
      </c>
      <c r="OM775" s="27" t="s">
        <v>8</v>
      </c>
      <c r="OU775" s="27" t="s">
        <v>8</v>
      </c>
      <c r="OV775" s="27" t="s">
        <v>7</v>
      </c>
      <c r="OW775" s="27" t="s">
        <v>8</v>
      </c>
      <c r="OX775" s="27" t="s">
        <v>7</v>
      </c>
      <c r="PA775" s="27" t="s">
        <v>8</v>
      </c>
      <c r="PB775" s="27" t="s">
        <v>7</v>
      </c>
      <c r="PI775" s="27" t="s">
        <v>8</v>
      </c>
      <c r="PL775" s="27" t="s">
        <v>7</v>
      </c>
      <c r="PM775" s="27" t="s">
        <v>8</v>
      </c>
      <c r="PN775" s="27" t="s">
        <v>7</v>
      </c>
      <c r="PO775" s="27" t="s">
        <v>8</v>
      </c>
      <c r="PR775" s="27" t="s">
        <v>7</v>
      </c>
      <c r="PS775" s="27" t="s">
        <v>8</v>
      </c>
      <c r="QB775" s="27" t="s">
        <v>7</v>
      </c>
      <c r="QE775" s="27" t="s">
        <v>8</v>
      </c>
    </row>
    <row r="776" spans="1:452" x14ac:dyDescent="0.25">
      <c r="A776" s="7">
        <v>2.3690135076820197E-2</v>
      </c>
      <c r="B776"/>
      <c r="C776"/>
      <c r="D776"/>
      <c r="E776"/>
      <c r="F776" s="27" t="s">
        <v>7</v>
      </c>
      <c r="G776" s="27" t="s">
        <v>8</v>
      </c>
      <c r="H776" s="27" t="s">
        <v>7</v>
      </c>
      <c r="I776" s="27" t="s">
        <v>8</v>
      </c>
      <c r="R776" s="27" t="s">
        <v>7</v>
      </c>
      <c r="U776" s="27" t="s">
        <v>8</v>
      </c>
      <c r="V776" s="27" t="s">
        <v>7</v>
      </c>
      <c r="AC776" s="27" t="s">
        <v>8</v>
      </c>
      <c r="KA776" s="27" t="s">
        <v>8</v>
      </c>
      <c r="KB776" s="27" t="s">
        <v>7</v>
      </c>
      <c r="KC776" s="27" t="s">
        <v>8</v>
      </c>
      <c r="KX776" s="27" t="s">
        <v>7</v>
      </c>
      <c r="KY776" s="27" t="s">
        <v>8</v>
      </c>
      <c r="LJ776" s="27" t="s">
        <v>7</v>
      </c>
      <c r="LK776" s="27" t="s">
        <v>8</v>
      </c>
      <c r="LL776" s="27" t="s">
        <v>7</v>
      </c>
      <c r="LM776" s="27" t="s">
        <v>8</v>
      </c>
      <c r="LN776" s="27" t="s">
        <v>7</v>
      </c>
      <c r="NC776" s="27" t="s">
        <v>8</v>
      </c>
      <c r="ND776" s="27" t="s">
        <v>7</v>
      </c>
      <c r="NE776" s="27" t="s">
        <v>8</v>
      </c>
      <c r="NF776" s="27" t="s">
        <v>7</v>
      </c>
      <c r="NL776" s="27" t="s">
        <v>7</v>
      </c>
      <c r="NM776" s="27" t="s">
        <v>8</v>
      </c>
      <c r="NQ776" s="27" t="s">
        <v>8</v>
      </c>
      <c r="NR776" s="27" t="s">
        <v>7</v>
      </c>
      <c r="NS776" s="27" t="s">
        <v>8</v>
      </c>
      <c r="NT776" s="27" t="s">
        <v>7</v>
      </c>
      <c r="OI776" s="27" t="s">
        <v>8</v>
      </c>
      <c r="OJ776" s="27" t="s">
        <v>7</v>
      </c>
      <c r="OK776" s="27" t="s">
        <v>8</v>
      </c>
      <c r="OL776" s="27" t="s">
        <v>7</v>
      </c>
      <c r="OM776" s="27" t="s">
        <v>8</v>
      </c>
      <c r="ON776" s="27" t="s">
        <v>7</v>
      </c>
      <c r="OU776" s="27" t="s">
        <v>8</v>
      </c>
      <c r="OV776" s="27" t="s">
        <v>7</v>
      </c>
      <c r="OW776" s="27" t="s">
        <v>8</v>
      </c>
      <c r="OX776" s="27" t="s">
        <v>7</v>
      </c>
      <c r="PA776" s="27" t="s">
        <v>8</v>
      </c>
      <c r="PB776" s="27" t="s">
        <v>7</v>
      </c>
      <c r="PC776" s="27" t="s">
        <v>8</v>
      </c>
      <c r="PI776" s="27" t="s">
        <v>8</v>
      </c>
      <c r="PL776" s="27" t="s">
        <v>7</v>
      </c>
      <c r="PM776" s="27" t="s">
        <v>8</v>
      </c>
      <c r="PN776" s="27" t="s">
        <v>7</v>
      </c>
      <c r="PO776" s="27" t="s">
        <v>8</v>
      </c>
      <c r="PR776" s="27" t="s">
        <v>7</v>
      </c>
      <c r="PS776" s="27" t="s">
        <v>8</v>
      </c>
      <c r="QB776" s="27" t="s">
        <v>7</v>
      </c>
      <c r="QC776" s="27" t="s">
        <v>8</v>
      </c>
      <c r="QE776" s="27" t="s">
        <v>8</v>
      </c>
      <c r="QF776" s="27" t="s">
        <v>7</v>
      </c>
    </row>
    <row r="777" spans="1:452" x14ac:dyDescent="0.25">
      <c r="A777" s="7">
        <v>2.3225622624333527E-2</v>
      </c>
      <c r="B777"/>
      <c r="C777"/>
      <c r="D777"/>
      <c r="E777"/>
      <c r="F777" s="27" t="s">
        <v>7</v>
      </c>
      <c r="G777" s="27" t="s">
        <v>8</v>
      </c>
      <c r="H777" s="27" t="s">
        <v>7</v>
      </c>
      <c r="I777" s="27" t="s">
        <v>8</v>
      </c>
      <c r="R777" s="27" t="s">
        <v>7</v>
      </c>
      <c r="U777" s="27" t="s">
        <v>8</v>
      </c>
      <c r="V777" s="27" t="s">
        <v>7</v>
      </c>
      <c r="AC777" s="27" t="s">
        <v>8</v>
      </c>
      <c r="AD777" s="27" t="s">
        <v>7</v>
      </c>
      <c r="KA777" s="27" t="s">
        <v>8</v>
      </c>
      <c r="KB777" s="27" t="s">
        <v>7</v>
      </c>
      <c r="KC777" s="27" t="s">
        <v>8</v>
      </c>
      <c r="KX777" s="27" t="s">
        <v>7</v>
      </c>
      <c r="KY777" s="27" t="s">
        <v>8</v>
      </c>
      <c r="LJ777" s="27" t="s">
        <v>7</v>
      </c>
      <c r="LL777" s="27" t="s">
        <v>7</v>
      </c>
      <c r="LM777" s="27" t="s">
        <v>8</v>
      </c>
      <c r="LN777" s="27" t="s">
        <v>7</v>
      </c>
      <c r="NC777" s="27" t="s">
        <v>8</v>
      </c>
      <c r="ND777" s="27" t="s">
        <v>7</v>
      </c>
      <c r="NE777" s="27" t="s">
        <v>8</v>
      </c>
      <c r="NL777" s="27" t="s">
        <v>7</v>
      </c>
      <c r="NM777" s="27" t="s">
        <v>8</v>
      </c>
      <c r="NN777" s="27" t="s">
        <v>7</v>
      </c>
      <c r="NQ777" s="27" t="s">
        <v>8</v>
      </c>
      <c r="NR777" s="27" t="s">
        <v>7</v>
      </c>
      <c r="NS777" s="27" t="s">
        <v>8</v>
      </c>
      <c r="NT777" s="27" t="s">
        <v>7</v>
      </c>
      <c r="OG777" s="27" t="s">
        <v>8</v>
      </c>
      <c r="OI777" s="27" t="s">
        <v>8</v>
      </c>
      <c r="OJ777" s="27" t="s">
        <v>7</v>
      </c>
      <c r="OK777" s="27" t="s">
        <v>8</v>
      </c>
      <c r="OL777" s="27" t="s">
        <v>7</v>
      </c>
      <c r="OM777" s="27" t="s">
        <v>8</v>
      </c>
      <c r="ON777" s="27" t="s">
        <v>7</v>
      </c>
      <c r="OO777" s="27" t="s">
        <v>8</v>
      </c>
      <c r="OU777" s="27" t="s">
        <v>8</v>
      </c>
      <c r="OV777" s="27" t="s">
        <v>7</v>
      </c>
      <c r="OX777" s="27" t="s">
        <v>7</v>
      </c>
      <c r="PA777" s="27" t="s">
        <v>8</v>
      </c>
      <c r="PB777" s="27" t="s">
        <v>7</v>
      </c>
      <c r="PC777" s="27" t="s">
        <v>8</v>
      </c>
      <c r="PD777" s="27" t="s">
        <v>7</v>
      </c>
      <c r="PG777" s="27" t="s">
        <v>8</v>
      </c>
      <c r="PI777" s="27" t="s">
        <v>8</v>
      </c>
      <c r="PL777" s="27" t="s">
        <v>7</v>
      </c>
      <c r="PM777" s="27" t="s">
        <v>8</v>
      </c>
      <c r="PN777" s="27" t="s">
        <v>7</v>
      </c>
      <c r="PR777" s="27" t="s">
        <v>7</v>
      </c>
      <c r="PS777" s="27" t="s">
        <v>8</v>
      </c>
      <c r="QB777" s="27" t="s">
        <v>7</v>
      </c>
      <c r="QC777" s="27" t="s">
        <v>8</v>
      </c>
      <c r="QD777" s="27" t="s">
        <v>7</v>
      </c>
      <c r="QE777" s="27" t="s">
        <v>8</v>
      </c>
      <c r="QF777" s="27" t="s">
        <v>7</v>
      </c>
    </row>
    <row r="778" spans="1:452" x14ac:dyDescent="0.25">
      <c r="A778" s="7">
        <v>2.2770218259150519E-2</v>
      </c>
      <c r="B778"/>
      <c r="C778"/>
      <c r="D778"/>
      <c r="E778"/>
      <c r="F778" s="27" t="s">
        <v>7</v>
      </c>
      <c r="G778" s="27" t="s">
        <v>8</v>
      </c>
      <c r="H778" s="27" t="s">
        <v>7</v>
      </c>
      <c r="I778" s="27" t="s">
        <v>8</v>
      </c>
      <c r="R778" s="27" t="s">
        <v>7</v>
      </c>
      <c r="U778" s="27" t="s">
        <v>8</v>
      </c>
      <c r="V778" s="27" t="s">
        <v>7</v>
      </c>
      <c r="AC778" s="27" t="s">
        <v>8</v>
      </c>
      <c r="AD778" s="27" t="s">
        <v>7</v>
      </c>
      <c r="AE778" s="27" t="s">
        <v>8</v>
      </c>
      <c r="KA778" s="27" t="s">
        <v>8</v>
      </c>
      <c r="KB778" s="27" t="s">
        <v>7</v>
      </c>
      <c r="KC778" s="27" t="s">
        <v>8</v>
      </c>
      <c r="KX778" s="27" t="s">
        <v>7</v>
      </c>
      <c r="KY778" s="27" t="s">
        <v>8</v>
      </c>
      <c r="LL778" s="27" t="s">
        <v>7</v>
      </c>
      <c r="LM778" s="27" t="s">
        <v>8</v>
      </c>
      <c r="LN778" s="27" t="s">
        <v>7</v>
      </c>
      <c r="NC778" s="27" t="s">
        <v>8</v>
      </c>
      <c r="ND778" s="27" t="s">
        <v>7</v>
      </c>
      <c r="NE778" s="27" t="s">
        <v>8</v>
      </c>
      <c r="NL778" s="27" t="s">
        <v>7</v>
      </c>
      <c r="NM778" s="27" t="s">
        <v>8</v>
      </c>
      <c r="NN778" s="27" t="s">
        <v>7</v>
      </c>
      <c r="NQ778" s="27" t="s">
        <v>8</v>
      </c>
      <c r="NR778" s="27" t="s">
        <v>7</v>
      </c>
      <c r="NS778" s="27" t="s">
        <v>8</v>
      </c>
      <c r="NT778" s="27" t="s">
        <v>7</v>
      </c>
      <c r="OG778" s="27" t="s">
        <v>8</v>
      </c>
      <c r="OH778" s="27" t="s">
        <v>7</v>
      </c>
      <c r="OI778" s="27" t="s">
        <v>8</v>
      </c>
      <c r="OJ778" s="27" t="s">
        <v>7</v>
      </c>
      <c r="OK778" s="27" t="s">
        <v>8</v>
      </c>
      <c r="OL778" s="27" t="s">
        <v>7</v>
      </c>
      <c r="OM778" s="27" t="s">
        <v>8</v>
      </c>
      <c r="ON778" s="27" t="s">
        <v>7</v>
      </c>
      <c r="OO778" s="27" t="s">
        <v>8</v>
      </c>
      <c r="OP778" s="27" t="s">
        <v>7</v>
      </c>
      <c r="OU778" s="27" t="s">
        <v>8</v>
      </c>
      <c r="OX778" s="27" t="s">
        <v>7</v>
      </c>
      <c r="PA778" s="27" t="s">
        <v>8</v>
      </c>
      <c r="PB778" s="27" t="s">
        <v>7</v>
      </c>
      <c r="PC778" s="27" t="s">
        <v>8</v>
      </c>
      <c r="PD778" s="27" t="s">
        <v>7</v>
      </c>
      <c r="PG778" s="27" t="s">
        <v>8</v>
      </c>
      <c r="PH778" s="27" t="s">
        <v>7</v>
      </c>
      <c r="PI778" s="27" t="s">
        <v>8</v>
      </c>
      <c r="PL778" s="27" t="s">
        <v>7</v>
      </c>
      <c r="PR778" s="27" t="s">
        <v>7</v>
      </c>
      <c r="PS778" s="27" t="s">
        <v>8</v>
      </c>
      <c r="QB778" s="27" t="s">
        <v>7</v>
      </c>
      <c r="QC778" s="27" t="s">
        <v>8</v>
      </c>
      <c r="QD778" s="27" t="s">
        <v>7</v>
      </c>
      <c r="QE778" s="27" t="s">
        <v>8</v>
      </c>
      <c r="QF778" s="27" t="s">
        <v>7</v>
      </c>
    </row>
    <row r="779" spans="1:452" x14ac:dyDescent="0.25">
      <c r="A779" s="7">
        <v>2.2323743391324039E-2</v>
      </c>
      <c r="B779"/>
      <c r="C779"/>
      <c r="D779"/>
      <c r="E779"/>
      <c r="F779" s="27" t="s">
        <v>7</v>
      </c>
      <c r="G779" s="27" t="s">
        <v>8</v>
      </c>
      <c r="H779" s="27" t="s">
        <v>7</v>
      </c>
      <c r="R779" s="27" t="s">
        <v>7</v>
      </c>
      <c r="U779" s="27" t="s">
        <v>8</v>
      </c>
      <c r="V779" s="27" t="s">
        <v>7</v>
      </c>
      <c r="W779" s="27" t="s">
        <v>8</v>
      </c>
      <c r="Y779" s="27" t="s">
        <v>8</v>
      </c>
      <c r="AC779" s="27" t="s">
        <v>8</v>
      </c>
      <c r="AD779" s="27" t="s">
        <v>7</v>
      </c>
      <c r="AE779" s="27" t="s">
        <v>8</v>
      </c>
      <c r="AF779" s="27" t="s">
        <v>7</v>
      </c>
      <c r="KA779" s="27" t="s">
        <v>8</v>
      </c>
      <c r="KB779" s="27" t="s">
        <v>7</v>
      </c>
      <c r="KC779" s="27" t="s">
        <v>8</v>
      </c>
      <c r="KX779" s="27" t="s">
        <v>7</v>
      </c>
      <c r="LL779" s="27" t="s">
        <v>7</v>
      </c>
      <c r="LM779" s="27" t="s">
        <v>8</v>
      </c>
      <c r="LN779" s="27" t="s">
        <v>7</v>
      </c>
      <c r="NC779" s="27" t="s">
        <v>8</v>
      </c>
      <c r="ND779" s="27" t="s">
        <v>7</v>
      </c>
      <c r="NE779" s="27" t="s">
        <v>8</v>
      </c>
      <c r="NL779" s="27" t="s">
        <v>7</v>
      </c>
      <c r="NM779" s="27" t="s">
        <v>8</v>
      </c>
      <c r="NN779" s="27" t="s">
        <v>7</v>
      </c>
      <c r="NQ779" s="27" t="s">
        <v>8</v>
      </c>
      <c r="NR779" s="27" t="s">
        <v>7</v>
      </c>
      <c r="NT779" s="27" t="s">
        <v>7</v>
      </c>
      <c r="OG779" s="27" t="s">
        <v>8</v>
      </c>
      <c r="OH779" s="27" t="s">
        <v>7</v>
      </c>
      <c r="OI779" s="27" t="s">
        <v>8</v>
      </c>
      <c r="OJ779" s="27" t="s">
        <v>7</v>
      </c>
      <c r="OK779" s="27" t="s">
        <v>8</v>
      </c>
      <c r="OL779" s="27" t="s">
        <v>7</v>
      </c>
      <c r="OM779" s="27" t="s">
        <v>8</v>
      </c>
      <c r="ON779" s="27" t="s">
        <v>7</v>
      </c>
      <c r="OO779" s="27" t="s">
        <v>8</v>
      </c>
      <c r="OP779" s="27" t="s">
        <v>7</v>
      </c>
      <c r="OS779" s="27" t="s">
        <v>8</v>
      </c>
      <c r="OU779" s="27" t="s">
        <v>8</v>
      </c>
      <c r="OX779" s="27" t="s">
        <v>7</v>
      </c>
      <c r="PA779" s="27" t="s">
        <v>8</v>
      </c>
      <c r="PB779" s="27" t="s">
        <v>7</v>
      </c>
      <c r="PC779" s="27" t="s">
        <v>8</v>
      </c>
      <c r="PD779" s="27" t="s">
        <v>7</v>
      </c>
      <c r="PG779" s="27" t="s">
        <v>8</v>
      </c>
      <c r="PH779" s="27" t="s">
        <v>7</v>
      </c>
      <c r="PI779" s="27" t="s">
        <v>8</v>
      </c>
      <c r="PR779" s="27" t="s">
        <v>7</v>
      </c>
      <c r="PS779" s="27" t="s">
        <v>8</v>
      </c>
      <c r="QB779" s="27" t="s">
        <v>7</v>
      </c>
      <c r="QC779" s="27" t="s">
        <v>8</v>
      </c>
      <c r="QD779" s="27" t="s">
        <v>7</v>
      </c>
      <c r="QE779" s="27" t="s">
        <v>8</v>
      </c>
      <c r="QF779" s="27" t="s">
        <v>7</v>
      </c>
      <c r="QG779" s="27" t="s">
        <v>8</v>
      </c>
    </row>
    <row r="780" spans="1:452" x14ac:dyDescent="0.25">
      <c r="A780" s="7">
        <v>2.188602293267063E-2</v>
      </c>
      <c r="B780"/>
      <c r="C780"/>
      <c r="D780"/>
      <c r="E780"/>
      <c r="F780" s="27" t="s">
        <v>7</v>
      </c>
      <c r="G780" s="27" t="s">
        <v>8</v>
      </c>
      <c r="R780" s="27" t="s">
        <v>7</v>
      </c>
      <c r="S780" s="27" t="s">
        <v>8</v>
      </c>
      <c r="U780" s="27" t="s">
        <v>8</v>
      </c>
      <c r="V780" s="27" t="s">
        <v>7</v>
      </c>
      <c r="W780" s="27" t="s">
        <v>8</v>
      </c>
      <c r="X780" s="27" t="s">
        <v>7</v>
      </c>
      <c r="Y780" s="27" t="s">
        <v>8</v>
      </c>
      <c r="Z780" s="27" t="s">
        <v>7</v>
      </c>
      <c r="AC780" s="27" t="s">
        <v>8</v>
      </c>
      <c r="AD780" s="27" t="s">
        <v>7</v>
      </c>
      <c r="AE780" s="27" t="s">
        <v>8</v>
      </c>
      <c r="AF780" s="27" t="s">
        <v>7</v>
      </c>
      <c r="KA780" s="27" t="s">
        <v>8</v>
      </c>
      <c r="KB780" s="27" t="s">
        <v>7</v>
      </c>
      <c r="LL780" s="27" t="s">
        <v>7</v>
      </c>
      <c r="LM780" s="27" t="s">
        <v>8</v>
      </c>
      <c r="LN780" s="27" t="s">
        <v>7</v>
      </c>
      <c r="LY780" s="27" t="s">
        <v>8</v>
      </c>
      <c r="NC780" s="27" t="s">
        <v>8</v>
      </c>
      <c r="ND780" s="27" t="s">
        <v>7</v>
      </c>
      <c r="NL780" s="27" t="s">
        <v>7</v>
      </c>
      <c r="NM780" s="27" t="s">
        <v>8</v>
      </c>
      <c r="NN780" s="27" t="s">
        <v>7</v>
      </c>
      <c r="NO780" s="27" t="s">
        <v>8</v>
      </c>
      <c r="NQ780" s="27" t="s">
        <v>8</v>
      </c>
      <c r="NT780" s="27" t="s">
        <v>7</v>
      </c>
      <c r="OG780" s="27" t="s">
        <v>8</v>
      </c>
      <c r="OH780" s="27" t="s">
        <v>7</v>
      </c>
      <c r="OI780" s="27" t="s">
        <v>8</v>
      </c>
      <c r="OJ780" s="27" t="s">
        <v>7</v>
      </c>
      <c r="OK780" s="27" t="s">
        <v>8</v>
      </c>
      <c r="OL780" s="27" t="s">
        <v>7</v>
      </c>
      <c r="ON780" s="27" t="s">
        <v>7</v>
      </c>
      <c r="OO780" s="27" t="s">
        <v>8</v>
      </c>
      <c r="OP780" s="27" t="s">
        <v>7</v>
      </c>
      <c r="OQ780" s="27" t="s">
        <v>8</v>
      </c>
      <c r="OS780" s="27" t="s">
        <v>8</v>
      </c>
      <c r="OT780" s="27" t="s">
        <v>7</v>
      </c>
      <c r="OU780" s="27" t="s">
        <v>8</v>
      </c>
      <c r="OX780" s="27" t="s">
        <v>7</v>
      </c>
      <c r="PA780" s="27" t="s">
        <v>8</v>
      </c>
      <c r="PB780" s="27" t="s">
        <v>7</v>
      </c>
      <c r="PC780" s="27" t="s">
        <v>8</v>
      </c>
      <c r="PD780" s="27" t="s">
        <v>7</v>
      </c>
      <c r="PG780" s="27" t="s">
        <v>8</v>
      </c>
      <c r="PH780" s="27" t="s">
        <v>7</v>
      </c>
      <c r="PI780" s="27" t="s">
        <v>8</v>
      </c>
      <c r="PR780" s="27" t="s">
        <v>7</v>
      </c>
      <c r="PS780" s="27" t="s">
        <v>8</v>
      </c>
      <c r="QB780" s="27" t="s">
        <v>7</v>
      </c>
      <c r="QD780" s="27" t="s">
        <v>7</v>
      </c>
      <c r="QE780" s="27" t="s">
        <v>8</v>
      </c>
      <c r="QF780" s="27" t="s">
        <v>7</v>
      </c>
      <c r="QG780" s="27" t="s">
        <v>8</v>
      </c>
      <c r="QH780" s="27" t="s">
        <v>7</v>
      </c>
      <c r="QI780" s="27" t="s">
        <v>8</v>
      </c>
    </row>
    <row r="781" spans="1:452" x14ac:dyDescent="0.25">
      <c r="A781" s="7">
        <v>2.1456885228108461E-2</v>
      </c>
      <c r="B781"/>
      <c r="C781"/>
      <c r="D781"/>
      <c r="E781"/>
      <c r="F781" s="27" t="s">
        <v>7</v>
      </c>
      <c r="G781" s="27" t="s">
        <v>8</v>
      </c>
      <c r="R781" s="27" t="s">
        <v>7</v>
      </c>
      <c r="S781" s="27" t="s">
        <v>8</v>
      </c>
      <c r="T781" s="27" t="s">
        <v>7</v>
      </c>
      <c r="U781" s="27" t="s">
        <v>8</v>
      </c>
      <c r="V781" s="27" t="s">
        <v>7</v>
      </c>
      <c r="W781" s="27" t="s">
        <v>8</v>
      </c>
      <c r="X781" s="27" t="s">
        <v>7</v>
      </c>
      <c r="Y781" s="27" t="s">
        <v>8</v>
      </c>
      <c r="Z781" s="27" t="s">
        <v>7</v>
      </c>
      <c r="AC781" s="27" t="s">
        <v>8</v>
      </c>
      <c r="AD781" s="27" t="s">
        <v>7</v>
      </c>
      <c r="AE781" s="27" t="s">
        <v>8</v>
      </c>
      <c r="AF781" s="27" t="s">
        <v>7</v>
      </c>
      <c r="AK781" s="27" t="s">
        <v>8</v>
      </c>
      <c r="KA781" s="27" t="s">
        <v>8</v>
      </c>
      <c r="LL781" s="27" t="s">
        <v>7</v>
      </c>
      <c r="LM781" s="27" t="s">
        <v>8</v>
      </c>
      <c r="LN781" s="27" t="s">
        <v>7</v>
      </c>
      <c r="LY781" s="27" t="s">
        <v>8</v>
      </c>
      <c r="LZ781" s="27" t="s">
        <v>7</v>
      </c>
      <c r="NC781" s="27" t="s">
        <v>8</v>
      </c>
      <c r="NL781" s="27" t="s">
        <v>7</v>
      </c>
      <c r="NM781" s="27" t="s">
        <v>8</v>
      </c>
      <c r="NN781" s="27" t="s">
        <v>7</v>
      </c>
      <c r="NO781" s="27" t="s">
        <v>8</v>
      </c>
      <c r="NP781" s="27" t="s">
        <v>7</v>
      </c>
      <c r="NQ781" s="27" t="s">
        <v>8</v>
      </c>
      <c r="NT781" s="27" t="s">
        <v>7</v>
      </c>
      <c r="OG781" s="27" t="s">
        <v>8</v>
      </c>
      <c r="OH781" s="27" t="s">
        <v>7</v>
      </c>
      <c r="OI781" s="27" t="s">
        <v>8</v>
      </c>
      <c r="OJ781" s="27" t="s">
        <v>7</v>
      </c>
      <c r="OK781" s="27" t="s">
        <v>8</v>
      </c>
      <c r="ON781" s="27" t="s">
        <v>7</v>
      </c>
      <c r="OO781" s="27" t="s">
        <v>8</v>
      </c>
      <c r="OP781" s="27" t="s">
        <v>7</v>
      </c>
      <c r="OQ781" s="27" t="s">
        <v>8</v>
      </c>
      <c r="OR781" s="27" t="s">
        <v>7</v>
      </c>
      <c r="OS781" s="27" t="s">
        <v>8</v>
      </c>
      <c r="OT781" s="27" t="s">
        <v>7</v>
      </c>
      <c r="OU781" s="27" t="s">
        <v>8</v>
      </c>
      <c r="OX781" s="27" t="s">
        <v>7</v>
      </c>
      <c r="OY781" s="27" t="s">
        <v>8</v>
      </c>
      <c r="PA781" s="27" t="s">
        <v>8</v>
      </c>
      <c r="PB781" s="27" t="s">
        <v>7</v>
      </c>
      <c r="PC781" s="27" t="s">
        <v>8</v>
      </c>
      <c r="PD781" s="27" t="s">
        <v>7</v>
      </c>
      <c r="PG781" s="27" t="s">
        <v>8</v>
      </c>
      <c r="PH781" s="27" t="s">
        <v>7</v>
      </c>
      <c r="PI781" s="27" t="s">
        <v>8</v>
      </c>
      <c r="PR781" s="27" t="s">
        <v>7</v>
      </c>
      <c r="PS781" s="27" t="s">
        <v>8</v>
      </c>
      <c r="QD781" s="27" t="s">
        <v>7</v>
      </c>
      <c r="QF781" s="27" t="s">
        <v>7</v>
      </c>
      <c r="QG781" s="27" t="s">
        <v>8</v>
      </c>
      <c r="QH781" s="27" t="s">
        <v>7</v>
      </c>
      <c r="QI781" s="27" t="s">
        <v>8</v>
      </c>
      <c r="QJ781" s="27" t="s">
        <v>7</v>
      </c>
    </row>
    <row r="782" spans="1:452" x14ac:dyDescent="0.25">
      <c r="A782" s="7">
        <v>2.1036161988341632E-2</v>
      </c>
      <c r="B782"/>
      <c r="C782"/>
      <c r="D782"/>
      <c r="E782"/>
      <c r="F782" s="27" t="s">
        <v>7</v>
      </c>
      <c r="G782" s="27" t="s">
        <v>8</v>
      </c>
      <c r="R782" s="27" t="s">
        <v>7</v>
      </c>
      <c r="S782" s="27" t="s">
        <v>8</v>
      </c>
      <c r="T782" s="27" t="s">
        <v>7</v>
      </c>
      <c r="U782" s="27" t="s">
        <v>8</v>
      </c>
      <c r="V782" s="27" t="s">
        <v>7</v>
      </c>
      <c r="W782" s="27" t="s">
        <v>8</v>
      </c>
      <c r="X782" s="27" t="s">
        <v>7</v>
      </c>
      <c r="Y782" s="27" t="s">
        <v>8</v>
      </c>
      <c r="Z782" s="27" t="s">
        <v>7</v>
      </c>
      <c r="AC782" s="27" t="s">
        <v>8</v>
      </c>
      <c r="AD782" s="27" t="s">
        <v>7</v>
      </c>
      <c r="AE782" s="27" t="s">
        <v>8</v>
      </c>
      <c r="AF782" s="27" t="s">
        <v>7</v>
      </c>
      <c r="AK782" s="27" t="s">
        <v>8</v>
      </c>
      <c r="AL782" s="27" t="s">
        <v>7</v>
      </c>
      <c r="KA782" s="27" t="s">
        <v>8</v>
      </c>
      <c r="LL782" s="27" t="s">
        <v>7</v>
      </c>
      <c r="LN782" s="27" t="s">
        <v>7</v>
      </c>
      <c r="LY782" s="27" t="s">
        <v>8</v>
      </c>
      <c r="LZ782" s="27" t="s">
        <v>7</v>
      </c>
      <c r="NC782" s="27" t="s">
        <v>8</v>
      </c>
      <c r="NL782" s="27" t="s">
        <v>7</v>
      </c>
      <c r="NM782" s="27" t="s">
        <v>8</v>
      </c>
      <c r="NN782" s="27" t="s">
        <v>7</v>
      </c>
      <c r="NO782" s="27" t="s">
        <v>8</v>
      </c>
      <c r="NP782" s="27" t="s">
        <v>7</v>
      </c>
      <c r="NQ782" s="27" t="s">
        <v>8</v>
      </c>
      <c r="NT782" s="27" t="s">
        <v>7</v>
      </c>
      <c r="OG782" s="27" t="s">
        <v>8</v>
      </c>
      <c r="OH782" s="27" t="s">
        <v>7</v>
      </c>
      <c r="OI782" s="27" t="s">
        <v>8</v>
      </c>
      <c r="OJ782" s="27" t="s">
        <v>7</v>
      </c>
      <c r="OK782" s="27" t="s">
        <v>8</v>
      </c>
      <c r="ON782" s="27" t="s">
        <v>7</v>
      </c>
      <c r="OO782" s="27" t="s">
        <v>8</v>
      </c>
      <c r="OP782" s="27" t="s">
        <v>7</v>
      </c>
      <c r="OQ782" s="27" t="s">
        <v>8</v>
      </c>
      <c r="OR782" s="27" t="s">
        <v>7</v>
      </c>
      <c r="OS782" s="27" t="s">
        <v>8</v>
      </c>
      <c r="OT782" s="27" t="s">
        <v>7</v>
      </c>
      <c r="OX782" s="27" t="s">
        <v>7</v>
      </c>
      <c r="OY782" s="27" t="s">
        <v>8</v>
      </c>
      <c r="OZ782" s="27" t="s">
        <v>7</v>
      </c>
      <c r="PA782" s="27" t="s">
        <v>8</v>
      </c>
      <c r="PB782" s="27" t="s">
        <v>7</v>
      </c>
      <c r="PD782" s="27" t="s">
        <v>7</v>
      </c>
      <c r="PE782" s="27" t="s">
        <v>8</v>
      </c>
      <c r="PG782" s="27" t="s">
        <v>8</v>
      </c>
      <c r="PH782" s="27" t="s">
        <v>7</v>
      </c>
      <c r="PI782" s="27" t="s">
        <v>8</v>
      </c>
      <c r="PR782" s="27" t="s">
        <v>7</v>
      </c>
      <c r="PS782" s="27" t="s">
        <v>8</v>
      </c>
      <c r="QF782" s="27" t="s">
        <v>7</v>
      </c>
      <c r="QG782" s="27" t="s">
        <v>8</v>
      </c>
      <c r="QH782" s="27" t="s">
        <v>7</v>
      </c>
      <c r="QI782" s="27" t="s">
        <v>8</v>
      </c>
      <c r="QJ782" s="27" t="s">
        <v>7</v>
      </c>
    </row>
    <row r="783" spans="1:452" x14ac:dyDescent="0.25">
      <c r="A783" s="7">
        <v>2.0623688223864345E-2</v>
      </c>
      <c r="B783"/>
      <c r="C783"/>
      <c r="D783"/>
      <c r="E783"/>
      <c r="F783" s="27" t="s">
        <v>7</v>
      </c>
      <c r="G783" s="27" t="s">
        <v>8</v>
      </c>
      <c r="R783" s="27" t="s">
        <v>7</v>
      </c>
      <c r="S783" s="27" t="s">
        <v>8</v>
      </c>
      <c r="T783" s="27" t="s">
        <v>7</v>
      </c>
      <c r="U783" s="27" t="s">
        <v>8</v>
      </c>
      <c r="V783" s="27" t="s">
        <v>7</v>
      </c>
      <c r="X783" s="27" t="s">
        <v>7</v>
      </c>
      <c r="Y783" s="27" t="s">
        <v>8</v>
      </c>
      <c r="Z783" s="27" t="s">
        <v>7</v>
      </c>
      <c r="AA783" s="27" t="s">
        <v>8</v>
      </c>
      <c r="AC783" s="27" t="s">
        <v>8</v>
      </c>
      <c r="AD783" s="27" t="s">
        <v>7</v>
      </c>
      <c r="AE783" s="27" t="s">
        <v>8</v>
      </c>
      <c r="AF783" s="27" t="s">
        <v>7</v>
      </c>
      <c r="AK783" s="27" t="s">
        <v>8</v>
      </c>
      <c r="AL783" s="27" t="s">
        <v>7</v>
      </c>
      <c r="JO783" s="27" t="s">
        <v>8</v>
      </c>
      <c r="KA783" s="27" t="s">
        <v>8</v>
      </c>
      <c r="LN783" s="27" t="s">
        <v>7</v>
      </c>
      <c r="LY783" s="27" t="s">
        <v>8</v>
      </c>
      <c r="LZ783" s="27" t="s">
        <v>7</v>
      </c>
      <c r="NC783" s="27" t="s">
        <v>8</v>
      </c>
      <c r="NL783" s="27" t="s">
        <v>7</v>
      </c>
      <c r="NM783" s="27" t="s">
        <v>8</v>
      </c>
      <c r="NN783" s="27" t="s">
        <v>7</v>
      </c>
      <c r="NO783" s="27" t="s">
        <v>8</v>
      </c>
      <c r="NP783" s="27" t="s">
        <v>7</v>
      </c>
      <c r="NQ783" s="27" t="s">
        <v>8</v>
      </c>
      <c r="NT783" s="27" t="s">
        <v>7</v>
      </c>
      <c r="NU783" s="27" t="s">
        <v>8</v>
      </c>
      <c r="OG783" s="27" t="s">
        <v>8</v>
      </c>
      <c r="OH783" s="27" t="s">
        <v>7</v>
      </c>
      <c r="OI783" s="27" t="s">
        <v>8</v>
      </c>
      <c r="OJ783" s="27" t="s">
        <v>7</v>
      </c>
      <c r="ON783" s="27" t="s">
        <v>7</v>
      </c>
      <c r="OP783" s="27" t="s">
        <v>7</v>
      </c>
      <c r="OQ783" s="27" t="s">
        <v>8</v>
      </c>
      <c r="OR783" s="27" t="s">
        <v>7</v>
      </c>
      <c r="OS783" s="27" t="s">
        <v>8</v>
      </c>
      <c r="OX783" s="27" t="s">
        <v>7</v>
      </c>
      <c r="OY783" s="27" t="s">
        <v>8</v>
      </c>
      <c r="OZ783" s="27" t="s">
        <v>7</v>
      </c>
      <c r="PA783" s="27" t="s">
        <v>8</v>
      </c>
      <c r="PD783" s="27" t="s">
        <v>7</v>
      </c>
      <c r="PE783" s="27" t="s">
        <v>8</v>
      </c>
      <c r="PF783" s="27" t="s">
        <v>7</v>
      </c>
      <c r="PG783" s="27" t="s">
        <v>8</v>
      </c>
      <c r="PH783" s="27" t="s">
        <v>7</v>
      </c>
      <c r="PR783" s="27" t="s">
        <v>7</v>
      </c>
      <c r="QF783" s="27" t="s">
        <v>7</v>
      </c>
      <c r="QG783" s="27" t="s">
        <v>8</v>
      </c>
      <c r="QH783" s="27" t="s">
        <v>7</v>
      </c>
      <c r="QI783" s="27" t="s">
        <v>8</v>
      </c>
      <c r="QJ783" s="27" t="s">
        <v>7</v>
      </c>
    </row>
    <row r="784" spans="1:452" x14ac:dyDescent="0.25">
      <c r="A784" s="7">
        <v>2.021930218025916E-2</v>
      </c>
      <c r="B784"/>
      <c r="C784"/>
      <c r="D784"/>
      <c r="E784"/>
      <c r="F784" s="27" t="s">
        <v>7</v>
      </c>
      <c r="G784" s="27" t="s">
        <v>8</v>
      </c>
      <c r="R784" s="27" t="s">
        <v>7</v>
      </c>
      <c r="S784" s="27" t="s">
        <v>8</v>
      </c>
      <c r="T784" s="27" t="s">
        <v>7</v>
      </c>
      <c r="X784" s="27" t="s">
        <v>7</v>
      </c>
      <c r="Z784" s="27" t="s">
        <v>7</v>
      </c>
      <c r="AA784" s="27" t="s">
        <v>8</v>
      </c>
      <c r="AB784" s="27" t="s">
        <v>7</v>
      </c>
      <c r="AC784" s="27" t="s">
        <v>8</v>
      </c>
      <c r="AD784" s="27" t="s">
        <v>7</v>
      </c>
      <c r="AE784" s="27" t="s">
        <v>8</v>
      </c>
      <c r="AF784" s="27" t="s">
        <v>7</v>
      </c>
      <c r="AK784" s="27" t="s">
        <v>8</v>
      </c>
      <c r="AL784" s="27" t="s">
        <v>7</v>
      </c>
      <c r="JO784" s="27" t="s">
        <v>8</v>
      </c>
      <c r="JP784" s="27" t="s">
        <v>7</v>
      </c>
      <c r="KA784" s="27" t="s">
        <v>8</v>
      </c>
      <c r="LN784" s="27" t="s">
        <v>7</v>
      </c>
      <c r="LY784" s="27" t="s">
        <v>8</v>
      </c>
      <c r="LZ784" s="27" t="s">
        <v>7</v>
      </c>
      <c r="NC784" s="27" t="s">
        <v>8</v>
      </c>
      <c r="NL784" s="27" t="s">
        <v>7</v>
      </c>
      <c r="NM784" s="27" t="s">
        <v>8</v>
      </c>
      <c r="NN784" s="27" t="s">
        <v>7</v>
      </c>
      <c r="NP784" s="27" t="s">
        <v>7</v>
      </c>
      <c r="NQ784" s="27" t="s">
        <v>8</v>
      </c>
      <c r="NT784" s="27" t="s">
        <v>7</v>
      </c>
      <c r="NU784" s="27" t="s">
        <v>8</v>
      </c>
      <c r="NV784" s="27" t="s">
        <v>7</v>
      </c>
      <c r="OC784" s="27" t="s">
        <v>8</v>
      </c>
      <c r="OE784" s="27" t="s">
        <v>8</v>
      </c>
      <c r="OG784" s="27" t="s">
        <v>8</v>
      </c>
      <c r="OH784" s="27" t="s">
        <v>7</v>
      </c>
      <c r="OP784" s="27" t="s">
        <v>7</v>
      </c>
      <c r="OQ784" s="27" t="s">
        <v>8</v>
      </c>
      <c r="OR784" s="27" t="s">
        <v>7</v>
      </c>
      <c r="OS784" s="27" t="s">
        <v>8</v>
      </c>
      <c r="OX784" s="27" t="s">
        <v>7</v>
      </c>
      <c r="OZ784" s="27" t="s">
        <v>7</v>
      </c>
      <c r="PA784" s="27" t="s">
        <v>8</v>
      </c>
      <c r="PD784" s="27" t="s">
        <v>7</v>
      </c>
      <c r="PE784" s="27" t="s">
        <v>8</v>
      </c>
      <c r="PF784" s="27" t="s">
        <v>7</v>
      </c>
      <c r="PG784" s="27" t="s">
        <v>8</v>
      </c>
      <c r="QF784" s="27" t="s">
        <v>7</v>
      </c>
      <c r="QG784" s="27" t="s">
        <v>8</v>
      </c>
      <c r="QH784" s="27" t="s">
        <v>7</v>
      </c>
      <c r="QJ784" s="27" t="s">
        <v>7</v>
      </c>
    </row>
    <row r="785" spans="1:458" x14ac:dyDescent="0.25">
      <c r="A785" s="7">
        <v>1.9822845274763884E-2</v>
      </c>
      <c r="B785"/>
      <c r="C785"/>
      <c r="D785"/>
      <c r="E785"/>
      <c r="F785" s="27" t="s">
        <v>7</v>
      </c>
      <c r="G785" s="27" t="s">
        <v>8</v>
      </c>
      <c r="R785" s="27" t="s">
        <v>7</v>
      </c>
      <c r="Z785" s="27" t="s">
        <v>7</v>
      </c>
      <c r="AA785" s="27" t="s">
        <v>8</v>
      </c>
      <c r="AB785" s="27" t="s">
        <v>7</v>
      </c>
      <c r="AC785" s="27" t="s">
        <v>8</v>
      </c>
      <c r="AD785" s="27" t="s">
        <v>7</v>
      </c>
      <c r="AF785" s="27" t="s">
        <v>7</v>
      </c>
      <c r="AK785" s="27" t="s">
        <v>8</v>
      </c>
      <c r="AL785" s="27" t="s">
        <v>7</v>
      </c>
      <c r="JM785" s="27" t="s">
        <v>8</v>
      </c>
      <c r="JO785" s="27" t="s">
        <v>8</v>
      </c>
      <c r="JP785" s="27" t="s">
        <v>7</v>
      </c>
      <c r="KA785" s="27" t="s">
        <v>8</v>
      </c>
      <c r="LN785" s="27" t="s">
        <v>7</v>
      </c>
      <c r="LY785" s="27" t="s">
        <v>8</v>
      </c>
      <c r="LZ785" s="27" t="s">
        <v>7</v>
      </c>
      <c r="NC785" s="27" t="s">
        <v>8</v>
      </c>
      <c r="NL785" s="27" t="s">
        <v>7</v>
      </c>
      <c r="NP785" s="27" t="s">
        <v>7</v>
      </c>
      <c r="NQ785" s="27" t="s">
        <v>8</v>
      </c>
      <c r="NT785" s="27" t="s">
        <v>7</v>
      </c>
      <c r="NU785" s="27" t="s">
        <v>8</v>
      </c>
      <c r="NV785" s="27" t="s">
        <v>7</v>
      </c>
      <c r="OC785" s="27" t="s">
        <v>8</v>
      </c>
      <c r="OD785" s="27" t="s">
        <v>7</v>
      </c>
      <c r="OE785" s="27" t="s">
        <v>8</v>
      </c>
      <c r="OF785" s="27" t="s">
        <v>7</v>
      </c>
      <c r="OG785" s="27" t="s">
        <v>8</v>
      </c>
      <c r="OP785" s="27" t="s">
        <v>7</v>
      </c>
      <c r="OQ785" s="27" t="s">
        <v>8</v>
      </c>
      <c r="OR785" s="27" t="s">
        <v>7</v>
      </c>
      <c r="OZ785" s="27" t="s">
        <v>7</v>
      </c>
      <c r="PA785" s="27" t="s">
        <v>8</v>
      </c>
      <c r="PD785" s="27" t="s">
        <v>7</v>
      </c>
      <c r="PF785" s="27" t="s">
        <v>7</v>
      </c>
      <c r="QF785" s="27" t="s">
        <v>7</v>
      </c>
      <c r="QG785" s="27" t="s">
        <v>8</v>
      </c>
      <c r="QJ785" s="27" t="s">
        <v>7</v>
      </c>
      <c r="QK785" s="27" t="s">
        <v>8</v>
      </c>
    </row>
    <row r="786" spans="1:458" x14ac:dyDescent="0.25">
      <c r="A786" s="7">
        <v>1.9434162034082238E-2</v>
      </c>
      <c r="B786"/>
      <c r="C786"/>
      <c r="D786"/>
      <c r="E786"/>
      <c r="F786" s="27" t="s">
        <v>7</v>
      </c>
      <c r="G786" s="27" t="s">
        <v>8</v>
      </c>
      <c r="Z786" s="27" t="s">
        <v>7</v>
      </c>
      <c r="AA786" s="27" t="s">
        <v>8</v>
      </c>
      <c r="AB786" s="27" t="s">
        <v>7</v>
      </c>
      <c r="AF786" s="27" t="s">
        <v>7</v>
      </c>
      <c r="AK786" s="27" t="s">
        <v>8</v>
      </c>
      <c r="AL786" s="27" t="s">
        <v>7</v>
      </c>
      <c r="JK786" s="27" t="s">
        <v>8</v>
      </c>
      <c r="JM786" s="27" t="s">
        <v>8</v>
      </c>
      <c r="JN786" s="27" t="s">
        <v>7</v>
      </c>
      <c r="JO786" s="27" t="s">
        <v>8</v>
      </c>
      <c r="JP786" s="27" t="s">
        <v>7</v>
      </c>
      <c r="KA786" s="27" t="s">
        <v>8</v>
      </c>
      <c r="LN786" s="27" t="s">
        <v>7</v>
      </c>
      <c r="LW786" s="27" t="s">
        <v>8</v>
      </c>
      <c r="LY786" s="27" t="s">
        <v>8</v>
      </c>
      <c r="LZ786" s="27" t="s">
        <v>7</v>
      </c>
      <c r="MY786" s="27" t="s">
        <v>8</v>
      </c>
      <c r="NC786" s="27" t="s">
        <v>8</v>
      </c>
      <c r="NP786" s="27" t="s">
        <v>7</v>
      </c>
      <c r="NT786" s="27" t="s">
        <v>7</v>
      </c>
      <c r="NU786" s="27" t="s">
        <v>8</v>
      </c>
      <c r="NV786" s="27" t="s">
        <v>7</v>
      </c>
      <c r="OC786" s="27" t="s">
        <v>8</v>
      </c>
      <c r="OD786" s="27" t="s">
        <v>7</v>
      </c>
      <c r="OE786" s="27" t="s">
        <v>8</v>
      </c>
      <c r="OF786" s="27" t="s">
        <v>7</v>
      </c>
      <c r="OG786" s="27" t="s">
        <v>8</v>
      </c>
      <c r="OP786" s="27" t="s">
        <v>7</v>
      </c>
      <c r="OQ786" s="27" t="s">
        <v>8</v>
      </c>
      <c r="OZ786" s="27" t="s">
        <v>7</v>
      </c>
      <c r="PA786" s="27" t="s">
        <v>8</v>
      </c>
      <c r="QF786" s="27" t="s">
        <v>7</v>
      </c>
      <c r="QJ786" s="27" t="s">
        <v>7</v>
      </c>
      <c r="QK786" s="27" t="s">
        <v>8</v>
      </c>
      <c r="QL786" s="27" t="s">
        <v>7</v>
      </c>
    </row>
    <row r="787" spans="1:458" x14ac:dyDescent="0.25">
      <c r="A787" s="7">
        <v>1.9053100033413959E-2</v>
      </c>
      <c r="B787"/>
      <c r="C787"/>
      <c r="D787"/>
      <c r="E787"/>
      <c r="F787" s="27" t="s">
        <v>7</v>
      </c>
      <c r="G787" s="27" t="s">
        <v>8</v>
      </c>
      <c r="Z787" s="27" t="s">
        <v>7</v>
      </c>
      <c r="AA787" s="27" t="s">
        <v>8</v>
      </c>
      <c r="AF787" s="27" t="s">
        <v>7</v>
      </c>
      <c r="AK787" s="27" t="s">
        <v>8</v>
      </c>
      <c r="AL787" s="27" t="s">
        <v>7</v>
      </c>
      <c r="JK787" s="27" t="s">
        <v>8</v>
      </c>
      <c r="JL787" s="27" t="s">
        <v>7</v>
      </c>
      <c r="JM787" s="27" t="s">
        <v>8</v>
      </c>
      <c r="JN787" s="27" t="s">
        <v>7</v>
      </c>
      <c r="JO787" s="27" t="s">
        <v>8</v>
      </c>
      <c r="JP787" s="27" t="s">
        <v>7</v>
      </c>
      <c r="KA787" s="27" t="s">
        <v>8</v>
      </c>
      <c r="LN787" s="27" t="s">
        <v>7</v>
      </c>
      <c r="LW787" s="27" t="s">
        <v>8</v>
      </c>
      <c r="LX787" s="27" t="s">
        <v>7</v>
      </c>
      <c r="LY787" s="27" t="s">
        <v>8</v>
      </c>
      <c r="LZ787" s="27" t="s">
        <v>7</v>
      </c>
      <c r="MY787" s="27" t="s">
        <v>8</v>
      </c>
      <c r="MZ787" s="27" t="s">
        <v>7</v>
      </c>
      <c r="NA787" s="27" t="s">
        <v>8</v>
      </c>
      <c r="NC787" s="27" t="s">
        <v>8</v>
      </c>
      <c r="NT787" s="27" t="s">
        <v>7</v>
      </c>
      <c r="NU787" s="27" t="s">
        <v>8</v>
      </c>
      <c r="NV787" s="27" t="s">
        <v>7</v>
      </c>
      <c r="NW787" s="27" t="s">
        <v>8</v>
      </c>
      <c r="OC787" s="27" t="s">
        <v>8</v>
      </c>
      <c r="OD787" s="27" t="s">
        <v>7</v>
      </c>
      <c r="OE787" s="27" t="s">
        <v>8</v>
      </c>
      <c r="OF787" s="27" t="s">
        <v>7</v>
      </c>
      <c r="OG787" s="27" t="s">
        <v>8</v>
      </c>
      <c r="OP787" s="27" t="s">
        <v>7</v>
      </c>
      <c r="OQ787" s="27" t="s">
        <v>8</v>
      </c>
      <c r="OZ787" s="27" t="s">
        <v>7</v>
      </c>
      <c r="PA787" s="27" t="s">
        <v>8</v>
      </c>
      <c r="QJ787" s="27" t="s">
        <v>7</v>
      </c>
      <c r="QK787" s="27" t="s">
        <v>8</v>
      </c>
      <c r="QL787" s="27" t="s">
        <v>7</v>
      </c>
    </row>
    <row r="788" spans="1:458" x14ac:dyDescent="0.25">
      <c r="A788" s="7">
        <v>1.867950983668035E-2</v>
      </c>
      <c r="B788"/>
      <c r="C788"/>
      <c r="D788"/>
      <c r="E788"/>
      <c r="F788" s="27" t="s">
        <v>7</v>
      </c>
      <c r="G788" s="27" t="s">
        <v>8</v>
      </c>
      <c r="Z788" s="27" t="s">
        <v>7</v>
      </c>
      <c r="AA788" s="27" t="s">
        <v>8</v>
      </c>
      <c r="AF788" s="27" t="s">
        <v>7</v>
      </c>
      <c r="AK788" s="27" t="s">
        <v>8</v>
      </c>
      <c r="AL788" s="27" t="s">
        <v>7</v>
      </c>
      <c r="JK788" s="27" t="s">
        <v>8</v>
      </c>
      <c r="JL788" s="27" t="s">
        <v>7</v>
      </c>
      <c r="JM788" s="27" t="s">
        <v>8</v>
      </c>
      <c r="JN788" s="27" t="s">
        <v>7</v>
      </c>
      <c r="JO788" s="27" t="s">
        <v>8</v>
      </c>
      <c r="JP788" s="27" t="s">
        <v>7</v>
      </c>
      <c r="JY788" s="27" t="s">
        <v>8</v>
      </c>
      <c r="KA788" s="27" t="s">
        <v>8</v>
      </c>
      <c r="LN788" s="27" t="s">
        <v>7</v>
      </c>
      <c r="LW788" s="27" t="s">
        <v>8</v>
      </c>
      <c r="LX788" s="27" t="s">
        <v>7</v>
      </c>
      <c r="LY788" s="27" t="s">
        <v>8</v>
      </c>
      <c r="LZ788" s="27" t="s">
        <v>7</v>
      </c>
      <c r="MY788" s="27" t="s">
        <v>8</v>
      </c>
      <c r="MZ788" s="27" t="s">
        <v>7</v>
      </c>
      <c r="NA788" s="27" t="s">
        <v>8</v>
      </c>
      <c r="NB788" s="27" t="s">
        <v>7</v>
      </c>
      <c r="NC788" s="27" t="s">
        <v>8</v>
      </c>
      <c r="NT788" s="27" t="s">
        <v>7</v>
      </c>
      <c r="NU788" s="27" t="s">
        <v>8</v>
      </c>
      <c r="NV788" s="27" t="s">
        <v>7</v>
      </c>
      <c r="NW788" s="27" t="s">
        <v>8</v>
      </c>
      <c r="NX788" s="27" t="s">
        <v>7</v>
      </c>
      <c r="OA788" s="27" t="s">
        <v>8</v>
      </c>
      <c r="OC788" s="27" t="s">
        <v>8</v>
      </c>
      <c r="OD788" s="27" t="s">
        <v>7</v>
      </c>
      <c r="OE788" s="27" t="s">
        <v>8</v>
      </c>
      <c r="OF788" s="27" t="s">
        <v>7</v>
      </c>
      <c r="OG788" s="27" t="s">
        <v>8</v>
      </c>
      <c r="OP788" s="27" t="s">
        <v>7</v>
      </c>
      <c r="OQ788" s="27" t="s">
        <v>8</v>
      </c>
      <c r="OZ788" s="27" t="s">
        <v>7</v>
      </c>
      <c r="QJ788" s="27" t="s">
        <v>7</v>
      </c>
      <c r="QL788" s="27" t="s">
        <v>7</v>
      </c>
    </row>
    <row r="789" spans="1:458" x14ac:dyDescent="0.25">
      <c r="A789" s="7">
        <v>1.8313244937921913E-2</v>
      </c>
      <c r="B789"/>
      <c r="C789"/>
      <c r="D789"/>
      <c r="E789"/>
      <c r="F789" s="27" t="s">
        <v>7</v>
      </c>
      <c r="G789" s="27" t="s">
        <v>8</v>
      </c>
      <c r="Z789" s="27" t="s">
        <v>7</v>
      </c>
      <c r="AF789" s="27" t="s">
        <v>7</v>
      </c>
      <c r="AK789" s="27" t="s">
        <v>8</v>
      </c>
      <c r="AL789" s="27" t="s">
        <v>7</v>
      </c>
      <c r="AM789" s="27" t="s">
        <v>8</v>
      </c>
      <c r="JK789" s="27" t="s">
        <v>8</v>
      </c>
      <c r="JL789" s="27" t="s">
        <v>7</v>
      </c>
      <c r="JM789" s="27" t="s">
        <v>8</v>
      </c>
      <c r="JN789" s="27" t="s">
        <v>7</v>
      </c>
      <c r="JO789" s="27" t="s">
        <v>8</v>
      </c>
      <c r="JP789" s="27" t="s">
        <v>7</v>
      </c>
      <c r="JY789" s="27" t="s">
        <v>8</v>
      </c>
      <c r="JZ789" s="27" t="s">
        <v>7</v>
      </c>
      <c r="KA789" s="27" t="s">
        <v>8</v>
      </c>
      <c r="LN789" s="27" t="s">
        <v>7</v>
      </c>
      <c r="LW789" s="27" t="s">
        <v>8</v>
      </c>
      <c r="LX789" s="27" t="s">
        <v>7</v>
      </c>
      <c r="LY789" s="27" t="s">
        <v>8</v>
      </c>
      <c r="LZ789" s="27" t="s">
        <v>7</v>
      </c>
      <c r="MA789" s="27" t="s">
        <v>8</v>
      </c>
      <c r="MY789" s="27" t="s">
        <v>8</v>
      </c>
      <c r="MZ789" s="27" t="s">
        <v>7</v>
      </c>
      <c r="NA789" s="27" t="s">
        <v>8</v>
      </c>
      <c r="NB789" s="27" t="s">
        <v>7</v>
      </c>
      <c r="NC789" s="27" t="s">
        <v>8</v>
      </c>
      <c r="NT789" s="27" t="s">
        <v>7</v>
      </c>
      <c r="NU789" s="27" t="s">
        <v>8</v>
      </c>
      <c r="NV789" s="27" t="s">
        <v>7</v>
      </c>
      <c r="NW789" s="27" t="s">
        <v>8</v>
      </c>
      <c r="NX789" s="27" t="s">
        <v>7</v>
      </c>
      <c r="NY789" s="27" t="s">
        <v>8</v>
      </c>
      <c r="OA789" s="27" t="s">
        <v>8</v>
      </c>
      <c r="OB789" s="27" t="s">
        <v>7</v>
      </c>
      <c r="OC789" s="27" t="s">
        <v>8</v>
      </c>
      <c r="OD789" s="27" t="s">
        <v>7</v>
      </c>
      <c r="OE789" s="27" t="s">
        <v>8</v>
      </c>
      <c r="OF789" s="27" t="s">
        <v>7</v>
      </c>
      <c r="OP789" s="27" t="s">
        <v>7</v>
      </c>
      <c r="QL789" s="27" t="s">
        <v>7</v>
      </c>
    </row>
    <row r="790" spans="1:458" x14ac:dyDescent="0.25">
      <c r="A790" s="7">
        <v>1.7954161703845013E-2</v>
      </c>
      <c r="B790"/>
      <c r="C790"/>
      <c r="D790"/>
      <c r="E790"/>
      <c r="F790" s="27" t="s">
        <v>7</v>
      </c>
      <c r="G790" s="27" t="s">
        <v>8</v>
      </c>
      <c r="AF790" s="27" t="s">
        <v>7</v>
      </c>
      <c r="AK790" s="27" t="s">
        <v>8</v>
      </c>
      <c r="AL790" s="27" t="s">
        <v>7</v>
      </c>
      <c r="AM790" s="27" t="s">
        <v>8</v>
      </c>
      <c r="AN790" s="27" t="s">
        <v>7</v>
      </c>
      <c r="AO790" s="27" t="s">
        <v>8</v>
      </c>
      <c r="AQ790" s="27" t="s">
        <v>8</v>
      </c>
      <c r="AS790" s="27" t="s">
        <v>8</v>
      </c>
      <c r="JK790" s="27" t="s">
        <v>8</v>
      </c>
      <c r="JL790" s="27" t="s">
        <v>7</v>
      </c>
      <c r="JM790" s="27" t="s">
        <v>8</v>
      </c>
      <c r="JN790" s="27" t="s">
        <v>7</v>
      </c>
      <c r="JO790" s="27" t="s">
        <v>8</v>
      </c>
      <c r="JP790" s="27" t="s">
        <v>7</v>
      </c>
      <c r="JY790" s="27" t="s">
        <v>8</v>
      </c>
      <c r="JZ790" s="27" t="s">
        <v>7</v>
      </c>
      <c r="KA790" s="27" t="s">
        <v>8</v>
      </c>
      <c r="LN790" s="27" t="s">
        <v>7</v>
      </c>
      <c r="LU790" s="27" t="s">
        <v>8</v>
      </c>
      <c r="LW790" s="27" t="s">
        <v>8</v>
      </c>
      <c r="LX790" s="27" t="s">
        <v>7</v>
      </c>
      <c r="LY790" s="27" t="s">
        <v>8</v>
      </c>
      <c r="LZ790" s="27" t="s">
        <v>7</v>
      </c>
      <c r="MA790" s="27" t="s">
        <v>8</v>
      </c>
      <c r="MB790" s="27" t="s">
        <v>7</v>
      </c>
      <c r="MY790" s="27" t="s">
        <v>8</v>
      </c>
      <c r="MZ790" s="27" t="s">
        <v>7</v>
      </c>
      <c r="NB790" s="27" t="s">
        <v>7</v>
      </c>
      <c r="NC790" s="27" t="s">
        <v>8</v>
      </c>
      <c r="NT790" s="27" t="s">
        <v>7</v>
      </c>
      <c r="NU790" s="27" t="s">
        <v>8</v>
      </c>
      <c r="NV790" s="27" t="s">
        <v>7</v>
      </c>
      <c r="NW790" s="27" t="s">
        <v>8</v>
      </c>
      <c r="NX790" s="27" t="s">
        <v>7</v>
      </c>
      <c r="NY790" s="27" t="s">
        <v>8</v>
      </c>
      <c r="NZ790" s="27" t="s">
        <v>7</v>
      </c>
      <c r="OA790" s="27" t="s">
        <v>8</v>
      </c>
      <c r="OB790" s="27" t="s">
        <v>7</v>
      </c>
      <c r="OC790" s="27" t="s">
        <v>8</v>
      </c>
      <c r="OD790" s="27" t="s">
        <v>7</v>
      </c>
      <c r="OE790" s="27" t="s">
        <v>8</v>
      </c>
      <c r="QL790" s="27" t="s">
        <v>7</v>
      </c>
    </row>
    <row r="791" spans="1:458" x14ac:dyDescent="0.25">
      <c r="A791" s="7">
        <v>1.7602119317495109E-2</v>
      </c>
      <c r="B791"/>
      <c r="C791"/>
      <c r="D791"/>
      <c r="E791"/>
      <c r="F791" s="27" t="s">
        <v>7</v>
      </c>
      <c r="G791" s="27" t="s">
        <v>8</v>
      </c>
      <c r="AF791" s="27" t="s">
        <v>7</v>
      </c>
      <c r="AK791" s="27" t="s">
        <v>8</v>
      </c>
      <c r="AL791" s="27" t="s">
        <v>7</v>
      </c>
      <c r="AM791" s="27" t="s">
        <v>8</v>
      </c>
      <c r="AN791" s="27" t="s">
        <v>7</v>
      </c>
      <c r="AO791" s="27" t="s">
        <v>8</v>
      </c>
      <c r="AP791" s="27" t="s">
        <v>7</v>
      </c>
      <c r="AQ791" s="27" t="s">
        <v>8</v>
      </c>
      <c r="AR791" s="27" t="s">
        <v>7</v>
      </c>
      <c r="AS791" s="27" t="s">
        <v>8</v>
      </c>
      <c r="AT791" s="27" t="s">
        <v>7</v>
      </c>
      <c r="AU791" s="27" t="s">
        <v>8</v>
      </c>
      <c r="JK791" s="27" t="s">
        <v>8</v>
      </c>
      <c r="JL791" s="27" t="s">
        <v>7</v>
      </c>
      <c r="JM791" s="27" t="s">
        <v>8</v>
      </c>
      <c r="JN791" s="27" t="s">
        <v>7</v>
      </c>
      <c r="JO791" s="27" t="s">
        <v>8</v>
      </c>
      <c r="JP791" s="27" t="s">
        <v>7</v>
      </c>
      <c r="JW791" s="27" t="s">
        <v>8</v>
      </c>
      <c r="JY791" s="27" t="s">
        <v>8</v>
      </c>
      <c r="JZ791" s="27" t="s">
        <v>7</v>
      </c>
      <c r="KA791" s="27" t="s">
        <v>8</v>
      </c>
      <c r="LN791" s="27" t="s">
        <v>7</v>
      </c>
      <c r="LQ791" s="27" t="s">
        <v>8</v>
      </c>
      <c r="LU791" s="27" t="s">
        <v>8</v>
      </c>
      <c r="LV791" s="27" t="s">
        <v>7</v>
      </c>
      <c r="LW791" s="27" t="s">
        <v>8</v>
      </c>
      <c r="LX791" s="27" t="s">
        <v>7</v>
      </c>
      <c r="LY791" s="27" t="s">
        <v>8</v>
      </c>
      <c r="LZ791" s="27" t="s">
        <v>7</v>
      </c>
      <c r="MA791" s="27" t="s">
        <v>8</v>
      </c>
      <c r="MB791" s="27" t="s">
        <v>7</v>
      </c>
      <c r="MY791" s="27" t="s">
        <v>8</v>
      </c>
      <c r="NB791" s="27" t="s">
        <v>7</v>
      </c>
      <c r="NC791" s="27" t="s">
        <v>8</v>
      </c>
      <c r="NT791" s="27" t="s">
        <v>7</v>
      </c>
      <c r="NV791" s="27" t="s">
        <v>7</v>
      </c>
      <c r="NW791" s="27" t="s">
        <v>8</v>
      </c>
      <c r="NX791" s="27" t="s">
        <v>7</v>
      </c>
      <c r="NY791" s="27" t="s">
        <v>8</v>
      </c>
      <c r="NZ791" s="27" t="s">
        <v>7</v>
      </c>
      <c r="OA791" s="27" t="s">
        <v>8</v>
      </c>
      <c r="OB791" s="27" t="s">
        <v>7</v>
      </c>
      <c r="OC791" s="27" t="s">
        <v>8</v>
      </c>
      <c r="OD791" s="27" t="s">
        <v>7</v>
      </c>
      <c r="QL791" s="27" t="s">
        <v>7</v>
      </c>
    </row>
    <row r="792" spans="1:458" x14ac:dyDescent="0.25">
      <c r="A792" s="7">
        <v>1.7256979723034419E-2</v>
      </c>
      <c r="B792"/>
      <c r="C792"/>
      <c r="D792"/>
      <c r="E792"/>
      <c r="F792" s="27" t="s">
        <v>7</v>
      </c>
      <c r="AF792" s="27" t="s">
        <v>7</v>
      </c>
      <c r="AG792" s="27" t="s">
        <v>8</v>
      </c>
      <c r="AK792" s="27" t="s">
        <v>8</v>
      </c>
      <c r="AL792" s="27" t="s">
        <v>7</v>
      </c>
      <c r="AM792" s="27" t="s">
        <v>8</v>
      </c>
      <c r="AN792" s="27" t="s">
        <v>7</v>
      </c>
      <c r="AO792" s="27" t="s">
        <v>8</v>
      </c>
      <c r="AP792" s="27" t="s">
        <v>7</v>
      </c>
      <c r="AQ792" s="27" t="s">
        <v>8</v>
      </c>
      <c r="AR792" s="27" t="s">
        <v>7</v>
      </c>
      <c r="AS792" s="27" t="s">
        <v>8</v>
      </c>
      <c r="AT792" s="27" t="s">
        <v>7</v>
      </c>
      <c r="AU792" s="27" t="s">
        <v>8</v>
      </c>
      <c r="AV792" s="27" t="s">
        <v>7</v>
      </c>
      <c r="AW792" s="27" t="s">
        <v>8</v>
      </c>
      <c r="JK792" s="27" t="s">
        <v>8</v>
      </c>
      <c r="JL792" s="27" t="s">
        <v>7</v>
      </c>
      <c r="JM792" s="27" t="s">
        <v>8</v>
      </c>
      <c r="JN792" s="27" t="s">
        <v>7</v>
      </c>
      <c r="JO792" s="27" t="s">
        <v>8</v>
      </c>
      <c r="JP792" s="27" t="s">
        <v>7</v>
      </c>
      <c r="JW792" s="27" t="s">
        <v>8</v>
      </c>
      <c r="JX792" s="27" t="s">
        <v>7</v>
      </c>
      <c r="JY792" s="27" t="s">
        <v>8</v>
      </c>
      <c r="JZ792" s="27" t="s">
        <v>7</v>
      </c>
      <c r="KA792" s="27" t="s">
        <v>8</v>
      </c>
      <c r="LN792" s="27" t="s">
        <v>7</v>
      </c>
      <c r="LQ792" s="27" t="s">
        <v>8</v>
      </c>
      <c r="LR792" s="27" t="s">
        <v>7</v>
      </c>
      <c r="LU792" s="27" t="s">
        <v>8</v>
      </c>
      <c r="LV792" s="27" t="s">
        <v>7</v>
      </c>
      <c r="LW792" s="27" t="s">
        <v>8</v>
      </c>
      <c r="LX792" s="27" t="s">
        <v>7</v>
      </c>
      <c r="LY792" s="27" t="s">
        <v>8</v>
      </c>
      <c r="LZ792" s="27" t="s">
        <v>7</v>
      </c>
      <c r="MA792" s="27" t="s">
        <v>8</v>
      </c>
      <c r="MB792" s="27" t="s">
        <v>7</v>
      </c>
      <c r="MK792" s="27" t="s">
        <v>8</v>
      </c>
      <c r="MY792" s="27" t="s">
        <v>8</v>
      </c>
      <c r="NB792" s="27" t="s">
        <v>7</v>
      </c>
      <c r="NC792" s="27" t="s">
        <v>8</v>
      </c>
      <c r="NV792" s="27" t="s">
        <v>7</v>
      </c>
      <c r="NW792" s="27" t="s">
        <v>8</v>
      </c>
      <c r="NX792" s="27" t="s">
        <v>7</v>
      </c>
      <c r="NY792" s="27" t="s">
        <v>8</v>
      </c>
      <c r="NZ792" s="27" t="s">
        <v>7</v>
      </c>
      <c r="OA792" s="27" t="s">
        <v>8</v>
      </c>
      <c r="OB792" s="27" t="s">
        <v>7</v>
      </c>
      <c r="OC792" s="27" t="s">
        <v>8</v>
      </c>
      <c r="QL792" s="27" t="s">
        <v>7</v>
      </c>
    </row>
    <row r="793" spans="1:458" x14ac:dyDescent="0.25">
      <c r="A793" s="7">
        <v>1.6918607571602372E-2</v>
      </c>
      <c r="B793"/>
      <c r="C793"/>
      <c r="D793"/>
      <c r="E793"/>
      <c r="AF793" s="27" t="s">
        <v>7</v>
      </c>
      <c r="AG793" s="27" t="s">
        <v>8</v>
      </c>
      <c r="AH793" s="27" t="s">
        <v>7</v>
      </c>
      <c r="AK793" s="27" t="s">
        <v>8</v>
      </c>
      <c r="AL793" s="27" t="s">
        <v>7</v>
      </c>
      <c r="AM793" s="27" t="s">
        <v>8</v>
      </c>
      <c r="AN793" s="27" t="s">
        <v>7</v>
      </c>
      <c r="AP793" s="27" t="s">
        <v>7</v>
      </c>
      <c r="AR793" s="27" t="s">
        <v>7</v>
      </c>
      <c r="AS793" s="27" t="s">
        <v>8</v>
      </c>
      <c r="AT793" s="27" t="s">
        <v>7</v>
      </c>
      <c r="AU793" s="27" t="s">
        <v>8</v>
      </c>
      <c r="AV793" s="27" t="s">
        <v>7</v>
      </c>
      <c r="AW793" s="27" t="s">
        <v>8</v>
      </c>
      <c r="AX793" s="27" t="s">
        <v>7</v>
      </c>
      <c r="JK793" s="27" t="s">
        <v>8</v>
      </c>
      <c r="JL793" s="27" t="s">
        <v>7</v>
      </c>
      <c r="JM793" s="27" t="s">
        <v>8</v>
      </c>
      <c r="JN793" s="27" t="s">
        <v>7</v>
      </c>
      <c r="JP793" s="27" t="s">
        <v>7</v>
      </c>
      <c r="JW793" s="27" t="s">
        <v>8</v>
      </c>
      <c r="JX793" s="27" t="s">
        <v>7</v>
      </c>
      <c r="JY793" s="27" t="s">
        <v>8</v>
      </c>
      <c r="JZ793" s="27" t="s">
        <v>7</v>
      </c>
      <c r="KA793" s="27" t="s">
        <v>8</v>
      </c>
      <c r="LN793" s="27" t="s">
        <v>7</v>
      </c>
      <c r="LQ793" s="27" t="s">
        <v>8</v>
      </c>
      <c r="LR793" s="27" t="s">
        <v>7</v>
      </c>
      <c r="LU793" s="27" t="s">
        <v>8</v>
      </c>
      <c r="LV793" s="27" t="s">
        <v>7</v>
      </c>
      <c r="LW793" s="27" t="s">
        <v>8</v>
      </c>
      <c r="LX793" s="27" t="s">
        <v>7</v>
      </c>
      <c r="LY793" s="27" t="s">
        <v>8</v>
      </c>
      <c r="LZ793" s="27" t="s">
        <v>7</v>
      </c>
      <c r="MA793" s="27" t="s">
        <v>8</v>
      </c>
      <c r="MB793" s="27" t="s">
        <v>7</v>
      </c>
      <c r="MK793" s="27" t="s">
        <v>8</v>
      </c>
      <c r="ML793" s="27" t="s">
        <v>7</v>
      </c>
      <c r="MY793" s="27" t="s">
        <v>8</v>
      </c>
      <c r="NB793" s="27" t="s">
        <v>7</v>
      </c>
      <c r="NC793" s="27" t="s">
        <v>8</v>
      </c>
      <c r="NV793" s="27" t="s">
        <v>7</v>
      </c>
      <c r="NX793" s="27" t="s">
        <v>7</v>
      </c>
      <c r="NY793" s="27" t="s">
        <v>8</v>
      </c>
      <c r="NZ793" s="27" t="s">
        <v>7</v>
      </c>
      <c r="OA793" s="27" t="s">
        <v>8</v>
      </c>
      <c r="OB793" s="27" t="s">
        <v>7</v>
      </c>
      <c r="OC793" s="27" t="s">
        <v>8</v>
      </c>
      <c r="QL793" s="27" t="s">
        <v>7</v>
      </c>
    </row>
    <row r="794" spans="1:458" x14ac:dyDescent="0.25">
      <c r="A794" s="7">
        <v>1.6586870168237622E-2</v>
      </c>
      <c r="B794"/>
      <c r="C794"/>
      <c r="D794"/>
      <c r="E794"/>
      <c r="AF794" s="27" t="s">
        <v>7</v>
      </c>
      <c r="AG794" s="27" t="s">
        <v>8</v>
      </c>
      <c r="AH794" s="27" t="s">
        <v>7</v>
      </c>
      <c r="AI794" s="27" t="s">
        <v>8</v>
      </c>
      <c r="AK794" s="27" t="s">
        <v>8</v>
      </c>
      <c r="AL794" s="27" t="s">
        <v>7</v>
      </c>
      <c r="AM794" s="27" t="s">
        <v>8</v>
      </c>
      <c r="AR794" s="27" t="s">
        <v>7</v>
      </c>
      <c r="AS794" s="27" t="s">
        <v>8</v>
      </c>
      <c r="AT794" s="27" t="s">
        <v>7</v>
      </c>
      <c r="AU794" s="27" t="s">
        <v>8</v>
      </c>
      <c r="AV794" s="27" t="s">
        <v>7</v>
      </c>
      <c r="AW794" s="27" t="s">
        <v>8</v>
      </c>
      <c r="AX794" s="27" t="s">
        <v>7</v>
      </c>
      <c r="AY794" s="27" t="s">
        <v>8</v>
      </c>
      <c r="JI794" s="27" t="s">
        <v>8</v>
      </c>
      <c r="JK794" s="27" t="s">
        <v>8</v>
      </c>
      <c r="JL794" s="27" t="s">
        <v>7</v>
      </c>
      <c r="JM794" s="27" t="s">
        <v>8</v>
      </c>
      <c r="JP794" s="27" t="s">
        <v>7</v>
      </c>
      <c r="JQ794" s="27" t="s">
        <v>8</v>
      </c>
      <c r="JW794" s="27" t="s">
        <v>8</v>
      </c>
      <c r="JX794" s="27" t="s">
        <v>7</v>
      </c>
      <c r="JY794" s="27" t="s">
        <v>8</v>
      </c>
      <c r="JZ794" s="27" t="s">
        <v>7</v>
      </c>
      <c r="KA794" s="27" t="s">
        <v>8</v>
      </c>
      <c r="LN794" s="27" t="s">
        <v>7</v>
      </c>
      <c r="LQ794" s="27" t="s">
        <v>8</v>
      </c>
      <c r="LR794" s="27" t="s">
        <v>7</v>
      </c>
      <c r="LU794" s="27" t="s">
        <v>8</v>
      </c>
      <c r="LV794" s="27" t="s">
        <v>7</v>
      </c>
      <c r="LW794" s="27" t="s">
        <v>8</v>
      </c>
      <c r="LX794" s="27" t="s">
        <v>7</v>
      </c>
      <c r="LY794" s="27" t="s">
        <v>8</v>
      </c>
      <c r="LZ794" s="27" t="s">
        <v>7</v>
      </c>
      <c r="MA794" s="27" t="s">
        <v>8</v>
      </c>
      <c r="MB794" s="27" t="s">
        <v>7</v>
      </c>
      <c r="MK794" s="27" t="s">
        <v>8</v>
      </c>
      <c r="ML794" s="27" t="s">
        <v>7</v>
      </c>
      <c r="MY794" s="27" t="s">
        <v>8</v>
      </c>
      <c r="NB794" s="27" t="s">
        <v>7</v>
      </c>
      <c r="NC794" s="27" t="s">
        <v>8</v>
      </c>
      <c r="NX794" s="27" t="s">
        <v>7</v>
      </c>
      <c r="NY794" s="27" t="s">
        <v>8</v>
      </c>
      <c r="NZ794" s="27" t="s">
        <v>7</v>
      </c>
      <c r="OA794" s="27" t="s">
        <v>8</v>
      </c>
      <c r="OB794" s="27" t="s">
        <v>7</v>
      </c>
      <c r="QL794" s="27" t="s">
        <v>7</v>
      </c>
    </row>
    <row r="795" spans="1:458" x14ac:dyDescent="0.25">
      <c r="A795" s="7">
        <v>1.6261637419840807E-2</v>
      </c>
      <c r="B795"/>
      <c r="C795"/>
      <c r="D795"/>
      <c r="E795"/>
      <c r="AF795" s="27" t="s">
        <v>7</v>
      </c>
      <c r="AG795" s="27" t="s">
        <v>8</v>
      </c>
      <c r="AH795" s="27" t="s">
        <v>7</v>
      </c>
      <c r="AI795" s="27" t="s">
        <v>8</v>
      </c>
      <c r="AJ795" s="27" t="s">
        <v>7</v>
      </c>
      <c r="AK795" s="27" t="s">
        <v>8</v>
      </c>
      <c r="AL795" s="27" t="s">
        <v>7</v>
      </c>
      <c r="AR795" s="27" t="s">
        <v>7</v>
      </c>
      <c r="AS795" s="27" t="s">
        <v>8</v>
      </c>
      <c r="AT795" s="27" t="s">
        <v>7</v>
      </c>
      <c r="AU795" s="27" t="s">
        <v>8</v>
      </c>
      <c r="AV795" s="27" t="s">
        <v>7</v>
      </c>
      <c r="AW795" s="27" t="s">
        <v>8</v>
      </c>
      <c r="AX795" s="27" t="s">
        <v>7</v>
      </c>
      <c r="AY795" s="27" t="s">
        <v>8</v>
      </c>
      <c r="AZ795" s="27" t="s">
        <v>7</v>
      </c>
      <c r="JI795" s="27" t="s">
        <v>8</v>
      </c>
      <c r="JJ795" s="27" t="s">
        <v>7</v>
      </c>
      <c r="JK795" s="27" t="s">
        <v>8</v>
      </c>
      <c r="JL795" s="27" t="s">
        <v>7</v>
      </c>
      <c r="JM795" s="27" t="s">
        <v>8</v>
      </c>
      <c r="JP795" s="27" t="s">
        <v>7</v>
      </c>
      <c r="JQ795" s="27" t="s">
        <v>8</v>
      </c>
      <c r="JR795" s="27" t="s">
        <v>7</v>
      </c>
      <c r="JW795" s="27" t="s">
        <v>8</v>
      </c>
      <c r="JX795" s="27" t="s">
        <v>7</v>
      </c>
      <c r="JY795" s="27" t="s">
        <v>8</v>
      </c>
      <c r="JZ795" s="27" t="s">
        <v>7</v>
      </c>
      <c r="LN795" s="27" t="s">
        <v>7</v>
      </c>
      <c r="LQ795" s="27" t="s">
        <v>8</v>
      </c>
      <c r="LR795" s="27" t="s">
        <v>7</v>
      </c>
      <c r="LU795" s="27" t="s">
        <v>8</v>
      </c>
      <c r="LV795" s="27" t="s">
        <v>7</v>
      </c>
      <c r="LW795" s="27" t="s">
        <v>8</v>
      </c>
      <c r="LX795" s="27" t="s">
        <v>7</v>
      </c>
      <c r="LY795" s="27" t="s">
        <v>8</v>
      </c>
      <c r="LZ795" s="27" t="s">
        <v>7</v>
      </c>
      <c r="MA795" s="27" t="s">
        <v>8</v>
      </c>
      <c r="MB795" s="27" t="s">
        <v>7</v>
      </c>
      <c r="MK795" s="27" t="s">
        <v>8</v>
      </c>
      <c r="ML795" s="27" t="s">
        <v>7</v>
      </c>
      <c r="MY795" s="27" t="s">
        <v>8</v>
      </c>
      <c r="NB795" s="27" t="s">
        <v>7</v>
      </c>
      <c r="NX795" s="27" t="s">
        <v>7</v>
      </c>
      <c r="NZ795" s="27" t="s">
        <v>7</v>
      </c>
      <c r="OA795" s="27" t="s">
        <v>8</v>
      </c>
      <c r="QL795" s="27" t="s">
        <v>7</v>
      </c>
    </row>
    <row r="796" spans="1:458" x14ac:dyDescent="0.25">
      <c r="A796" s="7">
        <v>1.5942781784157655E-2</v>
      </c>
      <c r="B796"/>
      <c r="C796"/>
      <c r="D796"/>
      <c r="E796"/>
      <c r="AF796" s="27" t="s">
        <v>7</v>
      </c>
      <c r="AG796" s="27" t="s">
        <v>8</v>
      </c>
      <c r="AH796" s="27" t="s">
        <v>7</v>
      </c>
      <c r="AI796" s="27" t="s">
        <v>8</v>
      </c>
      <c r="AJ796" s="27" t="s">
        <v>7</v>
      </c>
      <c r="AK796" s="27" t="s">
        <v>8</v>
      </c>
      <c r="AR796" s="27" t="s">
        <v>7</v>
      </c>
      <c r="AT796" s="27" t="s">
        <v>7</v>
      </c>
      <c r="AU796" s="27" t="s">
        <v>8</v>
      </c>
      <c r="AV796" s="27" t="s">
        <v>7</v>
      </c>
      <c r="AW796" s="27" t="s">
        <v>8</v>
      </c>
      <c r="AX796" s="27" t="s">
        <v>7</v>
      </c>
      <c r="AY796" s="27" t="s">
        <v>8</v>
      </c>
      <c r="AZ796" s="27" t="s">
        <v>7</v>
      </c>
      <c r="JI796" s="27" t="s">
        <v>8</v>
      </c>
      <c r="JJ796" s="27" t="s">
        <v>7</v>
      </c>
      <c r="JK796" s="27" t="s">
        <v>8</v>
      </c>
      <c r="JL796" s="27" t="s">
        <v>7</v>
      </c>
      <c r="JM796" s="27" t="s">
        <v>8</v>
      </c>
      <c r="JP796" s="27" t="s">
        <v>7</v>
      </c>
      <c r="JQ796" s="27" t="s">
        <v>8</v>
      </c>
      <c r="JR796" s="27" t="s">
        <v>7</v>
      </c>
      <c r="JW796" s="27" t="s">
        <v>8</v>
      </c>
      <c r="JX796" s="27" t="s">
        <v>7</v>
      </c>
      <c r="JY796" s="27" t="s">
        <v>8</v>
      </c>
      <c r="LN796" s="27" t="s">
        <v>7</v>
      </c>
      <c r="LQ796" s="27" t="s">
        <v>8</v>
      </c>
      <c r="LR796" s="27" t="s">
        <v>7</v>
      </c>
      <c r="LS796" s="27" t="s">
        <v>8</v>
      </c>
      <c r="LU796" s="27" t="s">
        <v>8</v>
      </c>
      <c r="LV796" s="27" t="s">
        <v>7</v>
      </c>
      <c r="LW796" s="27" t="s">
        <v>8</v>
      </c>
      <c r="LX796" s="27" t="s">
        <v>7</v>
      </c>
      <c r="LY796" s="27" t="s">
        <v>8</v>
      </c>
      <c r="LZ796" s="27" t="s">
        <v>7</v>
      </c>
      <c r="MA796" s="27" t="s">
        <v>8</v>
      </c>
      <c r="MB796" s="27" t="s">
        <v>7</v>
      </c>
      <c r="MK796" s="27" t="s">
        <v>8</v>
      </c>
      <c r="ML796" s="27" t="s">
        <v>7</v>
      </c>
      <c r="MY796" s="27" t="s">
        <v>8</v>
      </c>
      <c r="NZ796" s="27" t="s">
        <v>7</v>
      </c>
      <c r="QL796" s="27" t="s">
        <v>7</v>
      </c>
    </row>
    <row r="797" spans="1:458" x14ac:dyDescent="0.25">
      <c r="A797" s="7">
        <v>1.5630178219762408E-2</v>
      </c>
      <c r="B797"/>
      <c r="C797"/>
      <c r="D797"/>
      <c r="E797"/>
      <c r="AF797" s="27" t="s">
        <v>7</v>
      </c>
      <c r="AG797" s="27" t="s">
        <v>8</v>
      </c>
      <c r="AH797" s="27" t="s">
        <v>7</v>
      </c>
      <c r="AI797" s="27" t="s">
        <v>8</v>
      </c>
      <c r="AJ797" s="27" t="s">
        <v>7</v>
      </c>
      <c r="AT797" s="27" t="s">
        <v>7</v>
      </c>
      <c r="AV797" s="27" t="s">
        <v>7</v>
      </c>
      <c r="AW797" s="27" t="s">
        <v>8</v>
      </c>
      <c r="AX797" s="27" t="s">
        <v>7</v>
      </c>
      <c r="AY797" s="27" t="s">
        <v>8</v>
      </c>
      <c r="AZ797" s="27" t="s">
        <v>7</v>
      </c>
      <c r="JI797" s="27" t="s">
        <v>8</v>
      </c>
      <c r="JJ797" s="27" t="s">
        <v>7</v>
      </c>
      <c r="JK797" s="27" t="s">
        <v>8</v>
      </c>
      <c r="JL797" s="27" t="s">
        <v>7</v>
      </c>
      <c r="JM797" s="27" t="s">
        <v>8</v>
      </c>
      <c r="JP797" s="27" t="s">
        <v>7</v>
      </c>
      <c r="JQ797" s="27" t="s">
        <v>8</v>
      </c>
      <c r="JR797" s="27" t="s">
        <v>7</v>
      </c>
      <c r="JW797" s="27" t="s">
        <v>8</v>
      </c>
      <c r="JX797" s="27" t="s">
        <v>7</v>
      </c>
      <c r="JY797" s="27" t="s">
        <v>8</v>
      </c>
      <c r="LN797" s="27" t="s">
        <v>7</v>
      </c>
      <c r="LQ797" s="27" t="s">
        <v>8</v>
      </c>
      <c r="LR797" s="27" t="s">
        <v>7</v>
      </c>
      <c r="LS797" s="27" t="s">
        <v>8</v>
      </c>
      <c r="LT797" s="27" t="s">
        <v>7</v>
      </c>
      <c r="LU797" s="27" t="s">
        <v>8</v>
      </c>
      <c r="LV797" s="27" t="s">
        <v>7</v>
      </c>
      <c r="LW797" s="27" t="s">
        <v>8</v>
      </c>
      <c r="LX797" s="27" t="s">
        <v>7</v>
      </c>
      <c r="LY797" s="27" t="s">
        <v>8</v>
      </c>
      <c r="LZ797" s="27" t="s">
        <v>7</v>
      </c>
      <c r="MA797" s="27" t="s">
        <v>8</v>
      </c>
      <c r="MB797" s="27" t="s">
        <v>7</v>
      </c>
      <c r="MK797" s="27" t="s">
        <v>8</v>
      </c>
      <c r="ML797" s="27" t="s">
        <v>7</v>
      </c>
      <c r="MY797" s="27" t="s">
        <v>8</v>
      </c>
      <c r="QL797" s="27" t="s">
        <v>7</v>
      </c>
      <c r="QO797" s="27" t="s">
        <v>8</v>
      </c>
    </row>
    <row r="798" spans="1:458" x14ac:dyDescent="0.25">
      <c r="A798" s="7">
        <v>1.5323704137021967E-2</v>
      </c>
      <c r="B798"/>
      <c r="C798"/>
      <c r="D798"/>
      <c r="E798"/>
      <c r="AF798" s="27" t="s">
        <v>7</v>
      </c>
      <c r="AH798" s="27" t="s">
        <v>7</v>
      </c>
      <c r="AI798" s="27" t="s">
        <v>8</v>
      </c>
      <c r="AV798" s="27" t="s">
        <v>7</v>
      </c>
      <c r="AW798" s="27" t="s">
        <v>8</v>
      </c>
      <c r="AX798" s="27" t="s">
        <v>7</v>
      </c>
      <c r="AY798" s="27" t="s">
        <v>8</v>
      </c>
      <c r="AZ798" s="27" t="s">
        <v>7</v>
      </c>
      <c r="JI798" s="27" t="s">
        <v>8</v>
      </c>
      <c r="JJ798" s="27" t="s">
        <v>7</v>
      </c>
      <c r="JK798" s="27" t="s">
        <v>8</v>
      </c>
      <c r="JL798" s="27" t="s">
        <v>7</v>
      </c>
      <c r="JM798" s="27" t="s">
        <v>8</v>
      </c>
      <c r="JP798" s="27" t="s">
        <v>7</v>
      </c>
      <c r="JQ798" s="27" t="s">
        <v>8</v>
      </c>
      <c r="JR798" s="27" t="s">
        <v>7</v>
      </c>
      <c r="JW798" s="27" t="s">
        <v>8</v>
      </c>
      <c r="JX798" s="27" t="s">
        <v>7</v>
      </c>
      <c r="LN798" s="27" t="s">
        <v>7</v>
      </c>
      <c r="LQ798" s="27" t="s">
        <v>8</v>
      </c>
      <c r="LR798" s="27" t="s">
        <v>7</v>
      </c>
      <c r="LS798" s="27" t="s">
        <v>8</v>
      </c>
      <c r="LT798" s="27" t="s">
        <v>7</v>
      </c>
      <c r="LU798" s="27" t="s">
        <v>8</v>
      </c>
      <c r="LV798" s="27" t="s">
        <v>7</v>
      </c>
      <c r="LW798" s="27" t="s">
        <v>8</v>
      </c>
      <c r="LX798" s="27" t="s">
        <v>7</v>
      </c>
      <c r="LY798" s="27" t="s">
        <v>8</v>
      </c>
      <c r="LZ798" s="27" t="s">
        <v>7</v>
      </c>
      <c r="MA798" s="27" t="s">
        <v>8</v>
      </c>
      <c r="MB798" s="27" t="s">
        <v>7</v>
      </c>
      <c r="MK798" s="27" t="s">
        <v>8</v>
      </c>
      <c r="ML798" s="27" t="s">
        <v>7</v>
      </c>
      <c r="MW798" s="27" t="s">
        <v>8</v>
      </c>
      <c r="MY798" s="27" t="s">
        <v>8</v>
      </c>
      <c r="QL798" s="27" t="s">
        <v>7</v>
      </c>
      <c r="QO798" s="27" t="s">
        <v>8</v>
      </c>
      <c r="QP798" s="27" t="s">
        <v>7</v>
      </c>
    </row>
    <row r="799" spans="1:458" x14ac:dyDescent="0.25">
      <c r="A799" s="7">
        <v>1.5023239350021535E-2</v>
      </c>
      <c r="B799"/>
      <c r="C799"/>
      <c r="D799"/>
      <c r="E799"/>
      <c r="AH799" s="27" t="s">
        <v>7</v>
      </c>
      <c r="AV799" s="27" t="s">
        <v>7</v>
      </c>
      <c r="AW799" s="27" t="s">
        <v>8</v>
      </c>
      <c r="AX799" s="27" t="s">
        <v>7</v>
      </c>
      <c r="AZ799" s="27" t="s">
        <v>7</v>
      </c>
      <c r="BA799" s="27" t="s">
        <v>8</v>
      </c>
      <c r="JI799" s="27" t="s">
        <v>8</v>
      </c>
      <c r="JJ799" s="27" t="s">
        <v>7</v>
      </c>
      <c r="JK799" s="27" t="s">
        <v>8</v>
      </c>
      <c r="JL799" s="27" t="s">
        <v>7</v>
      </c>
      <c r="JM799" s="27" t="s">
        <v>8</v>
      </c>
      <c r="JP799" s="27" t="s">
        <v>7</v>
      </c>
      <c r="JQ799" s="27" t="s">
        <v>8</v>
      </c>
      <c r="JR799" s="27" t="s">
        <v>7</v>
      </c>
      <c r="JU799" s="27" t="s">
        <v>8</v>
      </c>
      <c r="JW799" s="27" t="s">
        <v>8</v>
      </c>
      <c r="LN799" s="27" t="s">
        <v>7</v>
      </c>
      <c r="LO799" s="27" t="s">
        <v>8</v>
      </c>
      <c r="LQ799" s="27" t="s">
        <v>8</v>
      </c>
      <c r="LR799" s="27" t="s">
        <v>7</v>
      </c>
      <c r="LS799" s="27" t="s">
        <v>8</v>
      </c>
      <c r="LT799" s="27" t="s">
        <v>7</v>
      </c>
      <c r="LU799" s="27" t="s">
        <v>8</v>
      </c>
      <c r="LV799" s="27" t="s">
        <v>7</v>
      </c>
      <c r="LW799" s="27" t="s">
        <v>8</v>
      </c>
      <c r="LX799" s="27" t="s">
        <v>7</v>
      </c>
      <c r="LY799" s="27" t="s">
        <v>8</v>
      </c>
      <c r="LZ799" s="27" t="s">
        <v>7</v>
      </c>
      <c r="MA799" s="27" t="s">
        <v>8</v>
      </c>
      <c r="MB799" s="27" t="s">
        <v>7</v>
      </c>
      <c r="MK799" s="27" t="s">
        <v>8</v>
      </c>
      <c r="ML799" s="27" t="s">
        <v>7</v>
      </c>
      <c r="MW799" s="27" t="s">
        <v>8</v>
      </c>
      <c r="MX799" s="27" t="s">
        <v>7</v>
      </c>
      <c r="MY799" s="27" t="s">
        <v>8</v>
      </c>
      <c r="QL799" s="27" t="s">
        <v>7</v>
      </c>
      <c r="QM799" s="27" t="s">
        <v>8</v>
      </c>
      <c r="QO799" s="27" t="s">
        <v>8</v>
      </c>
      <c r="QP799" s="27" t="s">
        <v>7</v>
      </c>
    </row>
    <row r="800" spans="1:458" x14ac:dyDescent="0.25">
      <c r="A800" s="7">
        <v>1.4728666029432878E-2</v>
      </c>
      <c r="B800"/>
      <c r="C800"/>
      <c r="D800"/>
      <c r="E800"/>
      <c r="AV800" s="27" t="s">
        <v>7</v>
      </c>
      <c r="AW800" s="27" t="s">
        <v>8</v>
      </c>
      <c r="AZ800" s="27" t="s">
        <v>7</v>
      </c>
      <c r="BA800" s="27" t="s">
        <v>8</v>
      </c>
      <c r="BB800" s="27" t="s">
        <v>7</v>
      </c>
      <c r="JI800" s="27" t="s">
        <v>8</v>
      </c>
      <c r="JJ800" s="27" t="s">
        <v>7</v>
      </c>
      <c r="JL800" s="27" t="s">
        <v>7</v>
      </c>
      <c r="JM800" s="27" t="s">
        <v>8</v>
      </c>
      <c r="JP800" s="27" t="s">
        <v>7</v>
      </c>
      <c r="JQ800" s="27" t="s">
        <v>8</v>
      </c>
      <c r="JR800" s="27" t="s">
        <v>7</v>
      </c>
      <c r="JU800" s="27" t="s">
        <v>8</v>
      </c>
      <c r="JV800" s="27" t="s">
        <v>7</v>
      </c>
      <c r="JW800" s="27" t="s">
        <v>8</v>
      </c>
      <c r="LN800" s="27" t="s">
        <v>7</v>
      </c>
      <c r="LO800" s="27" t="s">
        <v>8</v>
      </c>
      <c r="LP800" s="27" t="s">
        <v>7</v>
      </c>
      <c r="LQ800" s="27" t="s">
        <v>8</v>
      </c>
      <c r="LR800" s="27" t="s">
        <v>7</v>
      </c>
      <c r="LS800" s="27" t="s">
        <v>8</v>
      </c>
      <c r="LT800" s="27" t="s">
        <v>7</v>
      </c>
      <c r="LU800" s="27" t="s">
        <v>8</v>
      </c>
      <c r="LV800" s="27" t="s">
        <v>7</v>
      </c>
      <c r="LW800" s="27" t="s">
        <v>8</v>
      </c>
      <c r="LX800" s="27" t="s">
        <v>7</v>
      </c>
      <c r="LY800" s="27" t="s">
        <v>8</v>
      </c>
      <c r="LZ800" s="27" t="s">
        <v>7</v>
      </c>
      <c r="MA800" s="27" t="s">
        <v>8</v>
      </c>
      <c r="MB800" s="27" t="s">
        <v>7</v>
      </c>
      <c r="MK800" s="27" t="s">
        <v>8</v>
      </c>
      <c r="ML800" s="27" t="s">
        <v>7</v>
      </c>
      <c r="MS800" s="27" t="s">
        <v>8</v>
      </c>
      <c r="MW800" s="27" t="s">
        <v>8</v>
      </c>
      <c r="MX800" s="27" t="s">
        <v>7</v>
      </c>
      <c r="MY800" s="27" t="s">
        <v>8</v>
      </c>
      <c r="QL800" s="27" t="s">
        <v>7</v>
      </c>
      <c r="QM800" s="27" t="s">
        <v>8</v>
      </c>
      <c r="QN800" s="27" t="s">
        <v>7</v>
      </c>
      <c r="QO800" s="27" t="s">
        <v>8</v>
      </c>
      <c r="QP800" s="27" t="s">
        <v>7</v>
      </c>
    </row>
    <row r="801" spans="1:458" x14ac:dyDescent="0.25">
      <c r="A801" s="7">
        <v>1.4439868656306743E-2</v>
      </c>
      <c r="B801"/>
      <c r="C801"/>
      <c r="D801"/>
      <c r="E801"/>
      <c r="AV801" s="27" t="s">
        <v>7</v>
      </c>
      <c r="AW801" s="27" t="s">
        <v>8</v>
      </c>
      <c r="AZ801" s="27" t="s">
        <v>7</v>
      </c>
      <c r="BA801" s="27" t="s">
        <v>8</v>
      </c>
      <c r="BB801" s="27" t="s">
        <v>7</v>
      </c>
      <c r="BC801" s="27" t="s">
        <v>8</v>
      </c>
      <c r="JI801" s="27" t="s">
        <v>8</v>
      </c>
      <c r="JL801" s="27" t="s">
        <v>7</v>
      </c>
      <c r="JM801" s="27" t="s">
        <v>8</v>
      </c>
      <c r="JP801" s="27" t="s">
        <v>7</v>
      </c>
      <c r="JQ801" s="27" t="s">
        <v>8</v>
      </c>
      <c r="JR801" s="27" t="s">
        <v>7</v>
      </c>
      <c r="JS801" s="27" t="s">
        <v>8</v>
      </c>
      <c r="JU801" s="27" t="s">
        <v>8</v>
      </c>
      <c r="JV801" s="27" t="s">
        <v>7</v>
      </c>
      <c r="JW801" s="27" t="s">
        <v>8</v>
      </c>
      <c r="LN801" s="27" t="s">
        <v>7</v>
      </c>
      <c r="LO801" s="27" t="s">
        <v>8</v>
      </c>
      <c r="LP801" s="27" t="s">
        <v>7</v>
      </c>
      <c r="LQ801" s="27" t="s">
        <v>8</v>
      </c>
      <c r="LR801" s="27" t="s">
        <v>7</v>
      </c>
      <c r="LS801" s="27" t="s">
        <v>8</v>
      </c>
      <c r="LT801" s="27" t="s">
        <v>7</v>
      </c>
      <c r="LU801" s="27" t="s">
        <v>8</v>
      </c>
      <c r="LV801" s="27" t="s">
        <v>7</v>
      </c>
      <c r="LX801" s="27" t="s">
        <v>7</v>
      </c>
      <c r="LY801" s="27" t="s">
        <v>8</v>
      </c>
      <c r="LZ801" s="27" t="s">
        <v>7</v>
      </c>
      <c r="MB801" s="27" t="s">
        <v>7</v>
      </c>
      <c r="MK801" s="27" t="s">
        <v>8</v>
      </c>
      <c r="ML801" s="27" t="s">
        <v>7</v>
      </c>
      <c r="MO801" s="27" t="s">
        <v>8</v>
      </c>
      <c r="MS801" s="27" t="s">
        <v>8</v>
      </c>
      <c r="MT801" s="27" t="s">
        <v>7</v>
      </c>
      <c r="MU801" s="27" t="s">
        <v>8</v>
      </c>
      <c r="MW801" s="27" t="s">
        <v>8</v>
      </c>
      <c r="MX801" s="27" t="s">
        <v>7</v>
      </c>
      <c r="MY801" s="27" t="s">
        <v>8</v>
      </c>
      <c r="QL801" s="27" t="s">
        <v>7</v>
      </c>
      <c r="QM801" s="27" t="s">
        <v>8</v>
      </c>
      <c r="QN801" s="27" t="s">
        <v>7</v>
      </c>
      <c r="QO801" s="27" t="s">
        <v>8</v>
      </c>
      <c r="QP801" s="27" t="s">
        <v>7</v>
      </c>
    </row>
    <row r="802" spans="1:458" x14ac:dyDescent="0.25">
      <c r="A802" s="7">
        <v>1.4156733976771318E-2</v>
      </c>
      <c r="B802"/>
      <c r="C802"/>
      <c r="D802"/>
      <c r="E802"/>
      <c r="AV802" s="27" t="s">
        <v>7</v>
      </c>
      <c r="AW802" s="27" t="s">
        <v>8</v>
      </c>
      <c r="AZ802" s="27" t="s">
        <v>7</v>
      </c>
      <c r="BB802" s="27" t="s">
        <v>7</v>
      </c>
      <c r="BC802" s="27" t="s">
        <v>8</v>
      </c>
      <c r="BD802" s="27" t="s">
        <v>7</v>
      </c>
      <c r="JI802" s="27" t="s">
        <v>8</v>
      </c>
      <c r="JL802" s="27" t="s">
        <v>7</v>
      </c>
      <c r="JP802" s="27" t="s">
        <v>7</v>
      </c>
      <c r="JQ802" s="27" t="s">
        <v>8</v>
      </c>
      <c r="JR802" s="27" t="s">
        <v>7</v>
      </c>
      <c r="JS802" s="27" t="s">
        <v>8</v>
      </c>
      <c r="JT802" s="27" t="s">
        <v>7</v>
      </c>
      <c r="JU802" s="27" t="s">
        <v>8</v>
      </c>
      <c r="JV802" s="27" t="s">
        <v>7</v>
      </c>
      <c r="JW802" s="27" t="s">
        <v>8</v>
      </c>
      <c r="LN802" s="27" t="s">
        <v>7</v>
      </c>
      <c r="LO802" s="27" t="s">
        <v>8</v>
      </c>
      <c r="LP802" s="27" t="s">
        <v>7</v>
      </c>
      <c r="LQ802" s="27" t="s">
        <v>8</v>
      </c>
      <c r="LR802" s="27" t="s">
        <v>7</v>
      </c>
      <c r="LS802" s="27" t="s">
        <v>8</v>
      </c>
      <c r="LT802" s="27" t="s">
        <v>7</v>
      </c>
      <c r="LX802" s="27" t="s">
        <v>7</v>
      </c>
      <c r="LY802" s="27" t="s">
        <v>8</v>
      </c>
      <c r="MB802" s="27" t="s">
        <v>7</v>
      </c>
      <c r="MG802" s="27" t="s">
        <v>8</v>
      </c>
      <c r="MK802" s="27" t="s">
        <v>8</v>
      </c>
      <c r="ML802" s="27" t="s">
        <v>7</v>
      </c>
      <c r="MO802" s="27" t="s">
        <v>8</v>
      </c>
      <c r="MP802" s="27" t="s">
        <v>7</v>
      </c>
      <c r="MS802" s="27" t="s">
        <v>8</v>
      </c>
      <c r="MT802" s="27" t="s">
        <v>7</v>
      </c>
      <c r="MU802" s="27" t="s">
        <v>8</v>
      </c>
      <c r="MV802" s="27" t="s">
        <v>7</v>
      </c>
      <c r="MW802" s="27" t="s">
        <v>8</v>
      </c>
      <c r="MX802" s="27" t="s">
        <v>7</v>
      </c>
      <c r="QL802" s="27" t="s">
        <v>7</v>
      </c>
      <c r="QM802" s="27" t="s">
        <v>8</v>
      </c>
      <c r="QN802" s="27" t="s">
        <v>7</v>
      </c>
      <c r="QO802" s="27" t="s">
        <v>8</v>
      </c>
      <c r="QP802" s="27" t="s">
        <v>7</v>
      </c>
    </row>
    <row r="803" spans="1:458" x14ac:dyDescent="0.25">
      <c r="A803" s="7">
        <v>1.3879150957618939E-2</v>
      </c>
      <c r="B803"/>
      <c r="C803"/>
      <c r="D803"/>
      <c r="E803"/>
      <c r="AV803" s="27" t="s">
        <v>7</v>
      </c>
      <c r="AW803" s="27" t="s">
        <v>8</v>
      </c>
      <c r="BB803" s="27" t="s">
        <v>7</v>
      </c>
      <c r="BC803" s="27" t="s">
        <v>8</v>
      </c>
      <c r="BD803" s="27" t="s">
        <v>7</v>
      </c>
      <c r="JG803" s="27" t="s">
        <v>8</v>
      </c>
      <c r="JI803" s="27" t="s">
        <v>8</v>
      </c>
      <c r="JP803" s="27" t="s">
        <v>7</v>
      </c>
      <c r="JQ803" s="27" t="s">
        <v>8</v>
      </c>
      <c r="JR803" s="27" t="s">
        <v>7</v>
      </c>
      <c r="JS803" s="27" t="s">
        <v>8</v>
      </c>
      <c r="JT803" s="27" t="s">
        <v>7</v>
      </c>
      <c r="JU803" s="27" t="s">
        <v>8</v>
      </c>
      <c r="JV803" s="27" t="s">
        <v>7</v>
      </c>
      <c r="JW803" s="27" t="s">
        <v>8</v>
      </c>
      <c r="LN803" s="27" t="s">
        <v>7</v>
      </c>
      <c r="LO803" s="27" t="s">
        <v>8</v>
      </c>
      <c r="LP803" s="27" t="s">
        <v>7</v>
      </c>
      <c r="LQ803" s="27" t="s">
        <v>8</v>
      </c>
      <c r="LR803" s="27" t="s">
        <v>7</v>
      </c>
      <c r="LS803" s="27" t="s">
        <v>8</v>
      </c>
      <c r="LX803" s="27" t="s">
        <v>7</v>
      </c>
      <c r="LY803" s="27" t="s">
        <v>8</v>
      </c>
      <c r="MB803" s="27" t="s">
        <v>7</v>
      </c>
      <c r="MG803" s="27" t="s">
        <v>8</v>
      </c>
      <c r="MH803" s="27" t="s">
        <v>7</v>
      </c>
      <c r="MK803" s="27" t="s">
        <v>8</v>
      </c>
      <c r="ML803" s="27" t="s">
        <v>7</v>
      </c>
      <c r="MM803" s="27" t="s">
        <v>8</v>
      </c>
      <c r="MO803" s="27" t="s">
        <v>8</v>
      </c>
      <c r="MP803" s="27" t="s">
        <v>7</v>
      </c>
      <c r="MS803" s="27" t="s">
        <v>8</v>
      </c>
      <c r="MT803" s="27" t="s">
        <v>7</v>
      </c>
      <c r="MU803" s="27" t="s">
        <v>8</v>
      </c>
      <c r="MV803" s="27" t="s">
        <v>7</v>
      </c>
      <c r="MW803" s="27" t="s">
        <v>8</v>
      </c>
      <c r="QL803" s="27" t="s">
        <v>7</v>
      </c>
      <c r="QM803" s="27" t="s">
        <v>8</v>
      </c>
      <c r="QN803" s="27" t="s">
        <v>7</v>
      </c>
      <c r="QO803" s="27" t="s">
        <v>8</v>
      </c>
    </row>
    <row r="804" spans="1:458" x14ac:dyDescent="0.25">
      <c r="A804" s="7">
        <v>1.3607010742763666E-2</v>
      </c>
      <c r="B804"/>
      <c r="C804"/>
      <c r="D804"/>
      <c r="E804"/>
      <c r="AV804" s="27" t="s">
        <v>7</v>
      </c>
      <c r="AW804" s="27" t="s">
        <v>8</v>
      </c>
      <c r="BB804" s="27" t="s">
        <v>7</v>
      </c>
      <c r="BD804" s="27" t="s">
        <v>7</v>
      </c>
      <c r="JG804" s="27" t="s">
        <v>8</v>
      </c>
      <c r="JH804" s="27" t="s">
        <v>7</v>
      </c>
      <c r="JI804" s="27" t="s">
        <v>8</v>
      </c>
      <c r="JP804" s="27" t="s">
        <v>7</v>
      </c>
      <c r="JQ804" s="27" t="s">
        <v>8</v>
      </c>
      <c r="JR804" s="27" t="s">
        <v>7</v>
      </c>
      <c r="JS804" s="27" t="s">
        <v>8</v>
      </c>
      <c r="JT804" s="27" t="s">
        <v>7</v>
      </c>
      <c r="JU804" s="27" t="s">
        <v>8</v>
      </c>
      <c r="JV804" s="27" t="s">
        <v>7</v>
      </c>
      <c r="LN804" s="27" t="s">
        <v>7</v>
      </c>
      <c r="LO804" s="27" t="s">
        <v>8</v>
      </c>
      <c r="LP804" s="27" t="s">
        <v>7</v>
      </c>
      <c r="LQ804" s="27" t="s">
        <v>8</v>
      </c>
      <c r="LR804" s="27" t="s">
        <v>7</v>
      </c>
      <c r="LS804" s="27" t="s">
        <v>8</v>
      </c>
      <c r="LX804" s="27" t="s">
        <v>7</v>
      </c>
      <c r="LY804" s="27" t="s">
        <v>8</v>
      </c>
      <c r="MB804" s="27" t="s">
        <v>7</v>
      </c>
      <c r="MG804" s="27" t="s">
        <v>8</v>
      </c>
      <c r="MH804" s="27" t="s">
        <v>7</v>
      </c>
      <c r="MK804" s="27" t="s">
        <v>8</v>
      </c>
      <c r="ML804" s="27" t="s">
        <v>7</v>
      </c>
      <c r="MM804" s="27" t="s">
        <v>8</v>
      </c>
      <c r="MN804" s="27" t="s">
        <v>7</v>
      </c>
      <c r="MO804" s="27" t="s">
        <v>8</v>
      </c>
      <c r="MP804" s="27" t="s">
        <v>7</v>
      </c>
      <c r="MS804" s="27" t="s">
        <v>8</v>
      </c>
      <c r="MT804" s="27" t="s">
        <v>7</v>
      </c>
      <c r="MU804" s="27" t="s">
        <v>8</v>
      </c>
      <c r="MV804" s="27" t="s">
        <v>7</v>
      </c>
      <c r="MW804" s="27" t="s">
        <v>8</v>
      </c>
      <c r="QL804" s="27" t="s">
        <v>7</v>
      </c>
      <c r="QM804" s="27" t="s">
        <v>8</v>
      </c>
      <c r="QN804" s="27" t="s">
        <v>7</v>
      </c>
      <c r="QO804" s="27" t="s">
        <v>8</v>
      </c>
    </row>
    <row r="805" spans="1:458" x14ac:dyDescent="0.25">
      <c r="A805" s="7">
        <v>1.3340206610552614E-2</v>
      </c>
      <c r="B805"/>
      <c r="C805"/>
      <c r="D805"/>
      <c r="E805"/>
      <c r="AV805" s="27" t="s">
        <v>7</v>
      </c>
      <c r="AW805" s="27" t="s">
        <v>8</v>
      </c>
      <c r="BD805" s="27" t="s">
        <v>7</v>
      </c>
      <c r="BK805" s="27" t="s">
        <v>8</v>
      </c>
      <c r="BM805" s="27" t="s">
        <v>8</v>
      </c>
      <c r="JG805" s="27" t="s">
        <v>8</v>
      </c>
      <c r="JH805" s="27" t="s">
        <v>7</v>
      </c>
      <c r="JI805" s="27" t="s">
        <v>8</v>
      </c>
      <c r="JP805" s="27" t="s">
        <v>7</v>
      </c>
      <c r="JQ805" s="27" t="s">
        <v>8</v>
      </c>
      <c r="JR805" s="27" t="s">
        <v>7</v>
      </c>
      <c r="JS805" s="27" t="s">
        <v>8</v>
      </c>
      <c r="JT805" s="27" t="s">
        <v>7</v>
      </c>
      <c r="JU805" s="27" t="s">
        <v>8</v>
      </c>
      <c r="LN805" s="27" t="s">
        <v>7</v>
      </c>
      <c r="LO805" s="27" t="s">
        <v>8</v>
      </c>
      <c r="LP805" s="27" t="s">
        <v>7</v>
      </c>
      <c r="LQ805" s="27" t="s">
        <v>8</v>
      </c>
      <c r="LR805" s="27" t="s">
        <v>7</v>
      </c>
      <c r="LS805" s="27" t="s">
        <v>8</v>
      </c>
      <c r="LX805" s="27" t="s">
        <v>7</v>
      </c>
      <c r="MB805" s="27" t="s">
        <v>7</v>
      </c>
      <c r="MG805" s="27" t="s">
        <v>8</v>
      </c>
      <c r="MH805" s="27" t="s">
        <v>7</v>
      </c>
      <c r="MK805" s="27" t="s">
        <v>8</v>
      </c>
      <c r="ML805" s="27" t="s">
        <v>7</v>
      </c>
      <c r="MM805" s="27" t="s">
        <v>8</v>
      </c>
      <c r="MN805" s="27" t="s">
        <v>7</v>
      </c>
      <c r="MO805" s="27" t="s">
        <v>8</v>
      </c>
      <c r="MP805" s="27" t="s">
        <v>7</v>
      </c>
      <c r="MS805" s="27" t="s">
        <v>8</v>
      </c>
      <c r="MT805" s="27" t="s">
        <v>7</v>
      </c>
      <c r="MU805" s="27" t="s">
        <v>8</v>
      </c>
      <c r="MV805" s="27" t="s">
        <v>7</v>
      </c>
      <c r="MW805" s="27" t="s">
        <v>8</v>
      </c>
      <c r="QL805" s="27" t="s">
        <v>7</v>
      </c>
      <c r="QM805" s="27" t="s">
        <v>8</v>
      </c>
      <c r="QN805" s="27" t="s">
        <v>7</v>
      </c>
      <c r="QO805" s="27" t="s">
        <v>8</v>
      </c>
    </row>
    <row r="806" spans="1:458" x14ac:dyDescent="0.25">
      <c r="A806" s="7">
        <v>1.3078633931914328E-2</v>
      </c>
      <c r="B806"/>
      <c r="C806"/>
      <c r="D806"/>
      <c r="E806"/>
      <c r="AV806" s="27" t="s">
        <v>7</v>
      </c>
      <c r="BD806" s="27" t="s">
        <v>7</v>
      </c>
      <c r="BK806" s="27" t="s">
        <v>8</v>
      </c>
      <c r="BL806" s="27" t="s">
        <v>7</v>
      </c>
      <c r="BM806" s="27" t="s">
        <v>8</v>
      </c>
      <c r="BN806" s="27" t="s">
        <v>7</v>
      </c>
      <c r="JG806" s="27" t="s">
        <v>8</v>
      </c>
      <c r="JH806" s="27" t="s">
        <v>7</v>
      </c>
      <c r="JI806" s="27" t="s">
        <v>8</v>
      </c>
      <c r="JP806" s="27" t="s">
        <v>7</v>
      </c>
      <c r="JQ806" s="27" t="s">
        <v>8</v>
      </c>
      <c r="JR806" s="27" t="s">
        <v>7</v>
      </c>
      <c r="JT806" s="27" t="s">
        <v>7</v>
      </c>
      <c r="JU806" s="27" t="s">
        <v>8</v>
      </c>
      <c r="LN806" s="27" t="s">
        <v>7</v>
      </c>
      <c r="LO806" s="27" t="s">
        <v>8</v>
      </c>
      <c r="LP806" s="27" t="s">
        <v>7</v>
      </c>
      <c r="LQ806" s="27" t="s">
        <v>8</v>
      </c>
      <c r="LR806" s="27" t="s">
        <v>7</v>
      </c>
      <c r="LS806" s="27" t="s">
        <v>8</v>
      </c>
      <c r="MB806" s="27" t="s">
        <v>7</v>
      </c>
      <c r="MG806" s="27" t="s">
        <v>8</v>
      </c>
      <c r="MH806" s="27" t="s">
        <v>7</v>
      </c>
      <c r="MI806" s="27" t="s">
        <v>8</v>
      </c>
      <c r="MK806" s="27" t="s">
        <v>8</v>
      </c>
      <c r="ML806" s="27" t="s">
        <v>7</v>
      </c>
      <c r="MM806" s="27" t="s">
        <v>8</v>
      </c>
      <c r="MN806" s="27" t="s">
        <v>7</v>
      </c>
      <c r="MO806" s="27" t="s">
        <v>8</v>
      </c>
      <c r="MP806" s="27" t="s">
        <v>7</v>
      </c>
      <c r="MS806" s="27" t="s">
        <v>8</v>
      </c>
      <c r="MT806" s="27" t="s">
        <v>7</v>
      </c>
      <c r="MU806" s="27" t="s">
        <v>8</v>
      </c>
      <c r="MV806" s="27" t="s">
        <v>7</v>
      </c>
      <c r="MW806" s="27" t="s">
        <v>8</v>
      </c>
      <c r="QL806" s="27" t="s">
        <v>7</v>
      </c>
      <c r="QM806" s="27" t="s">
        <v>8</v>
      </c>
      <c r="QN806" s="27" t="s">
        <v>7</v>
      </c>
      <c r="QO806" s="27" t="s">
        <v>8</v>
      </c>
    </row>
    <row r="807" spans="1:458" x14ac:dyDescent="0.25">
      <c r="A807" s="7">
        <v>1.2822190129327771E-2</v>
      </c>
      <c r="B807"/>
      <c r="C807"/>
      <c r="D807"/>
      <c r="E807"/>
      <c r="BD807" s="27" t="s">
        <v>7</v>
      </c>
      <c r="BK807" s="27" t="s">
        <v>8</v>
      </c>
      <c r="BL807" s="27" t="s">
        <v>7</v>
      </c>
      <c r="BM807" s="27" t="s">
        <v>8</v>
      </c>
      <c r="BN807" s="27" t="s">
        <v>7</v>
      </c>
      <c r="BQ807" s="27" t="s">
        <v>8</v>
      </c>
      <c r="CQ807" s="27" t="s">
        <v>8</v>
      </c>
      <c r="JG807" s="27" t="s">
        <v>8</v>
      </c>
      <c r="JH807" s="27" t="s">
        <v>7</v>
      </c>
      <c r="JI807" s="27" t="s">
        <v>8</v>
      </c>
      <c r="JP807" s="27" t="s">
        <v>7</v>
      </c>
      <c r="JQ807" s="27" t="s">
        <v>8</v>
      </c>
      <c r="JT807" s="27" t="s">
        <v>7</v>
      </c>
      <c r="JU807" s="27" t="s">
        <v>8</v>
      </c>
      <c r="LN807" s="27" t="s">
        <v>7</v>
      </c>
      <c r="LO807" s="27" t="s">
        <v>8</v>
      </c>
      <c r="LP807" s="27" t="s">
        <v>7</v>
      </c>
      <c r="LQ807" s="27" t="s">
        <v>8</v>
      </c>
      <c r="LR807" s="27" t="s">
        <v>7</v>
      </c>
      <c r="LS807" s="27" t="s">
        <v>8</v>
      </c>
      <c r="MB807" s="27" t="s">
        <v>7</v>
      </c>
      <c r="MG807" s="27" t="s">
        <v>8</v>
      </c>
      <c r="MH807" s="27" t="s">
        <v>7</v>
      </c>
      <c r="MI807" s="27" t="s">
        <v>8</v>
      </c>
      <c r="MJ807" s="27" t="s">
        <v>7</v>
      </c>
      <c r="MK807" s="27" t="s">
        <v>8</v>
      </c>
      <c r="ML807" s="27" t="s">
        <v>7</v>
      </c>
      <c r="MN807" s="27" t="s">
        <v>7</v>
      </c>
      <c r="MO807" s="27" t="s">
        <v>8</v>
      </c>
      <c r="MP807" s="27" t="s">
        <v>7</v>
      </c>
      <c r="MS807" s="27" t="s">
        <v>8</v>
      </c>
      <c r="MT807" s="27" t="s">
        <v>7</v>
      </c>
      <c r="MU807" s="27" t="s">
        <v>8</v>
      </c>
      <c r="MV807" s="27" t="s">
        <v>7</v>
      </c>
      <c r="QL807" s="27" t="s">
        <v>7</v>
      </c>
      <c r="QN807" s="27" t="s">
        <v>7</v>
      </c>
      <c r="QO807" s="27" t="s">
        <v>8</v>
      </c>
    </row>
    <row r="808" spans="1:458" x14ac:dyDescent="0.25">
      <c r="A808" s="7">
        <v>1.2570774636595854E-2</v>
      </c>
      <c r="B808"/>
      <c r="C808"/>
      <c r="D808"/>
      <c r="E808"/>
      <c r="BD808" s="27" t="s">
        <v>7</v>
      </c>
      <c r="BI808" s="27" t="s">
        <v>8</v>
      </c>
      <c r="BK808" s="27" t="s">
        <v>8</v>
      </c>
      <c r="BL808" s="27" t="s">
        <v>7</v>
      </c>
      <c r="BM808" s="27" t="s">
        <v>8</v>
      </c>
      <c r="BN808" s="27" t="s">
        <v>7</v>
      </c>
      <c r="BQ808" s="27" t="s">
        <v>8</v>
      </c>
      <c r="BR808" s="27" t="s">
        <v>7</v>
      </c>
      <c r="CQ808" s="27" t="s">
        <v>8</v>
      </c>
      <c r="CR808" s="27" t="s">
        <v>7</v>
      </c>
      <c r="JC808" s="27" t="s">
        <v>8</v>
      </c>
      <c r="JE808" s="27" t="s">
        <v>8</v>
      </c>
      <c r="JG808" s="27" t="s">
        <v>8</v>
      </c>
      <c r="JH808" s="27" t="s">
        <v>7</v>
      </c>
      <c r="JI808" s="27" t="s">
        <v>8</v>
      </c>
      <c r="JP808" s="27" t="s">
        <v>7</v>
      </c>
      <c r="JQ808" s="27" t="s">
        <v>8</v>
      </c>
      <c r="JT808" s="27" t="s">
        <v>7</v>
      </c>
      <c r="JU808" s="27" t="s">
        <v>8</v>
      </c>
      <c r="LN808" s="27" t="s">
        <v>7</v>
      </c>
      <c r="LO808" s="27" t="s">
        <v>8</v>
      </c>
      <c r="LP808" s="27" t="s">
        <v>7</v>
      </c>
      <c r="LQ808" s="27" t="s">
        <v>8</v>
      </c>
      <c r="LR808" s="27" t="s">
        <v>7</v>
      </c>
      <c r="MB808" s="27" t="s">
        <v>7</v>
      </c>
      <c r="ME808" s="27" t="s">
        <v>8</v>
      </c>
      <c r="MG808" s="27" t="s">
        <v>8</v>
      </c>
      <c r="MH808" s="27" t="s">
        <v>7</v>
      </c>
      <c r="MI808" s="27" t="s">
        <v>8</v>
      </c>
      <c r="MJ808" s="27" t="s">
        <v>7</v>
      </c>
      <c r="MK808" s="27" t="s">
        <v>8</v>
      </c>
      <c r="MN808" s="27" t="s">
        <v>7</v>
      </c>
      <c r="MO808" s="27" t="s">
        <v>8</v>
      </c>
      <c r="MP808" s="27" t="s">
        <v>7</v>
      </c>
      <c r="MS808" s="27" t="s">
        <v>8</v>
      </c>
      <c r="MT808" s="27" t="s">
        <v>7</v>
      </c>
      <c r="QN808" s="27" t="s">
        <v>7</v>
      </c>
    </row>
    <row r="809" spans="1:458" x14ac:dyDescent="0.25">
      <c r="A809" s="7">
        <v>1.23242888594077E-2</v>
      </c>
      <c r="B809"/>
      <c r="C809"/>
      <c r="D809"/>
      <c r="E809"/>
      <c r="BD809" s="27" t="s">
        <v>7</v>
      </c>
      <c r="BI809" s="27" t="s">
        <v>8</v>
      </c>
      <c r="BJ809" s="27" t="s">
        <v>7</v>
      </c>
      <c r="BK809" s="27" t="s">
        <v>8</v>
      </c>
      <c r="BL809" s="27" t="s">
        <v>7</v>
      </c>
      <c r="BN809" s="27" t="s">
        <v>7</v>
      </c>
      <c r="BQ809" s="27" t="s">
        <v>8</v>
      </c>
      <c r="BR809" s="27" t="s">
        <v>7</v>
      </c>
      <c r="CQ809" s="27" t="s">
        <v>8</v>
      </c>
      <c r="CR809" s="27" t="s">
        <v>7</v>
      </c>
      <c r="CW809" s="27" t="s">
        <v>8</v>
      </c>
      <c r="EG809" s="27" t="s">
        <v>8</v>
      </c>
      <c r="JC809" s="27" t="s">
        <v>8</v>
      </c>
      <c r="JD809" s="27" t="s">
        <v>7</v>
      </c>
      <c r="JE809" s="27" t="s">
        <v>8</v>
      </c>
      <c r="JF809" s="27" t="s">
        <v>7</v>
      </c>
      <c r="JG809" s="27" t="s">
        <v>8</v>
      </c>
      <c r="JH809" s="27" t="s">
        <v>7</v>
      </c>
      <c r="JI809" s="27" t="s">
        <v>8</v>
      </c>
      <c r="JP809" s="27" t="s">
        <v>7</v>
      </c>
      <c r="JT809" s="27" t="s">
        <v>7</v>
      </c>
      <c r="JU809" s="27" t="s">
        <v>8</v>
      </c>
      <c r="LN809" s="27" t="s">
        <v>7</v>
      </c>
      <c r="LP809" s="27" t="s">
        <v>7</v>
      </c>
      <c r="LQ809" s="27" t="s">
        <v>8</v>
      </c>
      <c r="MB809" s="27" t="s">
        <v>7</v>
      </c>
      <c r="ME809" s="27" t="s">
        <v>8</v>
      </c>
      <c r="MF809" s="27" t="s">
        <v>7</v>
      </c>
      <c r="MG809" s="27" t="s">
        <v>8</v>
      </c>
      <c r="MH809" s="27" t="s">
        <v>7</v>
      </c>
      <c r="MJ809" s="27" t="s">
        <v>7</v>
      </c>
      <c r="MK809" s="27" t="s">
        <v>8</v>
      </c>
      <c r="MN809" s="27" t="s">
        <v>7</v>
      </c>
      <c r="MO809" s="27" t="s">
        <v>8</v>
      </c>
      <c r="MP809" s="27" t="s">
        <v>7</v>
      </c>
      <c r="MS809" s="27" t="s">
        <v>8</v>
      </c>
    </row>
    <row r="810" spans="1:458" x14ac:dyDescent="0.25">
      <c r="A810" s="7">
        <v>1.2082636136674216E-2</v>
      </c>
      <c r="B810"/>
      <c r="C810"/>
      <c r="D810"/>
      <c r="E810"/>
      <c r="BD810" s="27" t="s">
        <v>7</v>
      </c>
      <c r="BG810" s="27" t="s">
        <v>8</v>
      </c>
      <c r="BI810" s="27" t="s">
        <v>8</v>
      </c>
      <c r="BJ810" s="27" t="s">
        <v>7</v>
      </c>
      <c r="BK810" s="27" t="s">
        <v>8</v>
      </c>
      <c r="BN810" s="27" t="s">
        <v>7</v>
      </c>
      <c r="BQ810" s="27" t="s">
        <v>8</v>
      </c>
      <c r="BR810" s="27" t="s">
        <v>7</v>
      </c>
      <c r="CQ810" s="27" t="s">
        <v>8</v>
      </c>
      <c r="CR810" s="27" t="s">
        <v>7</v>
      </c>
      <c r="CS810" s="27" t="s">
        <v>8</v>
      </c>
      <c r="CW810" s="27" t="s">
        <v>8</v>
      </c>
      <c r="CX810" s="27" t="s">
        <v>7</v>
      </c>
      <c r="EG810" s="27" t="s">
        <v>8</v>
      </c>
      <c r="EH810" s="27" t="s">
        <v>7</v>
      </c>
      <c r="JC810" s="27" t="s">
        <v>8</v>
      </c>
      <c r="JD810" s="27" t="s">
        <v>7</v>
      </c>
      <c r="JE810" s="27" t="s">
        <v>8</v>
      </c>
      <c r="JF810" s="27" t="s">
        <v>7</v>
      </c>
      <c r="JG810" s="27" t="s">
        <v>8</v>
      </c>
      <c r="JH810" s="27" t="s">
        <v>7</v>
      </c>
      <c r="JI810" s="27" t="s">
        <v>8</v>
      </c>
      <c r="JT810" s="27" t="s">
        <v>7</v>
      </c>
      <c r="JU810" s="27" t="s">
        <v>8</v>
      </c>
      <c r="LP810" s="27" t="s">
        <v>7</v>
      </c>
      <c r="LQ810" s="27" t="s">
        <v>8</v>
      </c>
      <c r="MB810" s="27" t="s">
        <v>7</v>
      </c>
      <c r="MC810" s="27" t="s">
        <v>8</v>
      </c>
      <c r="ME810" s="27" t="s">
        <v>8</v>
      </c>
      <c r="MF810" s="27" t="s">
        <v>7</v>
      </c>
      <c r="MG810" s="27" t="s">
        <v>8</v>
      </c>
      <c r="MJ810" s="27" t="s">
        <v>7</v>
      </c>
      <c r="MN810" s="27" t="s">
        <v>7</v>
      </c>
      <c r="MO810" s="27" t="s">
        <v>8</v>
      </c>
      <c r="MP810" s="27" t="s">
        <v>7</v>
      </c>
      <c r="MS810" s="27" t="s">
        <v>8</v>
      </c>
    </row>
    <row r="811" spans="1:458" x14ac:dyDescent="0.25">
      <c r="A811" s="7">
        <v>1.184572170262178E-2</v>
      </c>
      <c r="B811"/>
      <c r="C811"/>
      <c r="D811"/>
      <c r="E811"/>
      <c r="BD811" s="27" t="s">
        <v>7</v>
      </c>
      <c r="BG811" s="27" t="s">
        <v>8</v>
      </c>
      <c r="BH811" s="27" t="s">
        <v>7</v>
      </c>
      <c r="BI811" s="27" t="s">
        <v>8</v>
      </c>
      <c r="BJ811" s="27" t="s">
        <v>7</v>
      </c>
      <c r="BN811" s="27" t="s">
        <v>7</v>
      </c>
      <c r="BO811" s="27" t="s">
        <v>8</v>
      </c>
      <c r="BQ811" s="27" t="s">
        <v>8</v>
      </c>
      <c r="BR811" s="27" t="s">
        <v>7</v>
      </c>
      <c r="CQ811" s="27" t="s">
        <v>8</v>
      </c>
      <c r="CR811" s="27" t="s">
        <v>7</v>
      </c>
      <c r="CS811" s="27" t="s">
        <v>8</v>
      </c>
      <c r="CT811" s="27" t="s">
        <v>7</v>
      </c>
      <c r="CW811" s="27" t="s">
        <v>8</v>
      </c>
      <c r="CX811" s="27" t="s">
        <v>7</v>
      </c>
      <c r="EG811" s="27" t="s">
        <v>8</v>
      </c>
      <c r="EH811" s="27" t="s">
        <v>7</v>
      </c>
      <c r="JC811" s="27" t="s">
        <v>8</v>
      </c>
      <c r="JD811" s="27" t="s">
        <v>7</v>
      </c>
      <c r="JE811" s="27" t="s">
        <v>8</v>
      </c>
      <c r="JF811" s="27" t="s">
        <v>7</v>
      </c>
      <c r="JG811" s="27" t="s">
        <v>8</v>
      </c>
      <c r="JH811" s="27" t="s">
        <v>7</v>
      </c>
      <c r="JI811" s="27" t="s">
        <v>8</v>
      </c>
      <c r="JT811" s="27" t="s">
        <v>7</v>
      </c>
      <c r="LP811" s="27" t="s">
        <v>7</v>
      </c>
      <c r="LQ811" s="27" t="s">
        <v>8</v>
      </c>
      <c r="MB811" s="27" t="s">
        <v>7</v>
      </c>
      <c r="MC811" s="27" t="s">
        <v>8</v>
      </c>
      <c r="MD811" s="27" t="s">
        <v>7</v>
      </c>
      <c r="ME811" s="27" t="s">
        <v>8</v>
      </c>
      <c r="MF811" s="27" t="s">
        <v>7</v>
      </c>
      <c r="MG811" s="27" t="s">
        <v>8</v>
      </c>
      <c r="MN811" s="27" t="s">
        <v>7</v>
      </c>
      <c r="MP811" s="27" t="s">
        <v>7</v>
      </c>
      <c r="MQ811" s="27" t="s">
        <v>8</v>
      </c>
      <c r="MS811" s="27" t="s">
        <v>8</v>
      </c>
    </row>
    <row r="812" spans="1:458" x14ac:dyDescent="0.25">
      <c r="A812" s="7">
        <v>1.1613452649629196E-2</v>
      </c>
      <c r="B812"/>
      <c r="C812"/>
      <c r="D812"/>
      <c r="E812"/>
      <c r="BD812" s="27" t="s">
        <v>7</v>
      </c>
      <c r="BE812" s="27" t="s">
        <v>8</v>
      </c>
      <c r="BG812" s="27" t="s">
        <v>8</v>
      </c>
      <c r="BH812" s="27" t="s">
        <v>7</v>
      </c>
      <c r="BI812" s="27" t="s">
        <v>8</v>
      </c>
      <c r="BN812" s="27" t="s">
        <v>7</v>
      </c>
      <c r="BO812" s="27" t="s">
        <v>8</v>
      </c>
      <c r="BP812" s="27" t="s">
        <v>7</v>
      </c>
      <c r="BQ812" s="27" t="s">
        <v>8</v>
      </c>
      <c r="BR812" s="27" t="s">
        <v>7</v>
      </c>
      <c r="CK812" s="27" t="s">
        <v>8</v>
      </c>
      <c r="CQ812" s="27" t="s">
        <v>8</v>
      </c>
      <c r="CR812" s="27" t="s">
        <v>7</v>
      </c>
      <c r="CS812" s="27" t="s">
        <v>8</v>
      </c>
      <c r="CT812" s="27" t="s">
        <v>7</v>
      </c>
      <c r="CW812" s="27" t="s">
        <v>8</v>
      </c>
      <c r="CX812" s="27" t="s">
        <v>7</v>
      </c>
      <c r="EE812" s="27" t="s">
        <v>8</v>
      </c>
      <c r="EG812" s="27" t="s">
        <v>8</v>
      </c>
      <c r="EH812" s="27" t="s">
        <v>7</v>
      </c>
      <c r="JC812" s="27" t="s">
        <v>8</v>
      </c>
      <c r="JD812" s="27" t="s">
        <v>7</v>
      </c>
      <c r="JE812" s="27" t="s">
        <v>8</v>
      </c>
      <c r="JF812" s="27" t="s">
        <v>7</v>
      </c>
      <c r="JG812" s="27" t="s">
        <v>8</v>
      </c>
      <c r="JH812" s="27" t="s">
        <v>7</v>
      </c>
      <c r="LP812" s="27" t="s">
        <v>7</v>
      </c>
      <c r="LQ812" s="27" t="s">
        <v>8</v>
      </c>
      <c r="MB812" s="27" t="s">
        <v>7</v>
      </c>
      <c r="MC812" s="27" t="s">
        <v>8</v>
      </c>
      <c r="MD812" s="27" t="s">
        <v>7</v>
      </c>
      <c r="ME812" s="27" t="s">
        <v>8</v>
      </c>
      <c r="MF812" s="27" t="s">
        <v>7</v>
      </c>
      <c r="MG812" s="27" t="s">
        <v>8</v>
      </c>
      <c r="MP812" s="27" t="s">
        <v>7</v>
      </c>
      <c r="MQ812" s="27" t="s">
        <v>8</v>
      </c>
      <c r="MR812" s="27" t="s">
        <v>7</v>
      </c>
      <c r="MS812" s="27" t="s">
        <v>8</v>
      </c>
    </row>
    <row r="813" spans="1:458" x14ac:dyDescent="0.25">
      <c r="A813" s="7">
        <v>1.138573789179333E-2</v>
      </c>
      <c r="B813"/>
      <c r="C813"/>
      <c r="D813"/>
      <c r="E813"/>
      <c r="BD813" s="27" t="s">
        <v>7</v>
      </c>
      <c r="BE813" s="27" t="s">
        <v>8</v>
      </c>
      <c r="BF813" s="27" t="s">
        <v>7</v>
      </c>
      <c r="BG813" s="27" t="s">
        <v>8</v>
      </c>
      <c r="BH813" s="27" t="s">
        <v>7</v>
      </c>
      <c r="BI813" s="27" t="s">
        <v>8</v>
      </c>
      <c r="BN813" s="27" t="s">
        <v>7</v>
      </c>
      <c r="BO813" s="27" t="s">
        <v>8</v>
      </c>
      <c r="BP813" s="27" t="s">
        <v>7</v>
      </c>
      <c r="BQ813" s="27" t="s">
        <v>8</v>
      </c>
      <c r="BR813" s="27" t="s">
        <v>7</v>
      </c>
      <c r="CK813" s="27" t="s">
        <v>8</v>
      </c>
      <c r="CL813" s="27" t="s">
        <v>7</v>
      </c>
      <c r="CQ813" s="27" t="s">
        <v>8</v>
      </c>
      <c r="CR813" s="27" t="s">
        <v>7</v>
      </c>
      <c r="CS813" s="27" t="s">
        <v>8</v>
      </c>
      <c r="CT813" s="27" t="s">
        <v>7</v>
      </c>
      <c r="CW813" s="27" t="s">
        <v>8</v>
      </c>
      <c r="CX813" s="27" t="s">
        <v>7</v>
      </c>
      <c r="CY813" s="27" t="s">
        <v>8</v>
      </c>
      <c r="EE813" s="27" t="s">
        <v>8</v>
      </c>
      <c r="EF813" s="27" t="s">
        <v>7</v>
      </c>
      <c r="EG813" s="27" t="s">
        <v>8</v>
      </c>
      <c r="EH813" s="27" t="s">
        <v>7</v>
      </c>
      <c r="IW813" s="27" t="s">
        <v>8</v>
      </c>
      <c r="JC813" s="27" t="s">
        <v>8</v>
      </c>
      <c r="JD813" s="27" t="s">
        <v>7</v>
      </c>
      <c r="JE813" s="27" t="s">
        <v>8</v>
      </c>
      <c r="JF813" s="27" t="s">
        <v>7</v>
      </c>
      <c r="JG813" s="27" t="s">
        <v>8</v>
      </c>
      <c r="LP813" s="27" t="s">
        <v>7</v>
      </c>
      <c r="LQ813" s="27" t="s">
        <v>8</v>
      </c>
      <c r="MB813" s="27" t="s">
        <v>7</v>
      </c>
      <c r="MC813" s="27" t="s">
        <v>8</v>
      </c>
      <c r="MD813" s="27" t="s">
        <v>7</v>
      </c>
      <c r="ME813" s="27" t="s">
        <v>8</v>
      </c>
      <c r="MF813" s="27" t="s">
        <v>7</v>
      </c>
      <c r="MP813" s="27" t="s">
        <v>7</v>
      </c>
      <c r="MQ813" s="27" t="s">
        <v>8</v>
      </c>
      <c r="MR813" s="27" t="s">
        <v>7</v>
      </c>
      <c r="MS813" s="27" t="s">
        <v>8</v>
      </c>
    </row>
    <row r="814" spans="1:458" x14ac:dyDescent="0.25">
      <c r="A814" s="7">
        <v>1.1162488129209149E-2</v>
      </c>
      <c r="B814"/>
      <c r="C814"/>
      <c r="D814"/>
      <c r="E814"/>
      <c r="BD814" s="27" t="s">
        <v>7</v>
      </c>
      <c r="BE814" s="27" t="s">
        <v>8</v>
      </c>
      <c r="BF814" s="27" t="s">
        <v>7</v>
      </c>
      <c r="BG814" s="27" t="s">
        <v>8</v>
      </c>
      <c r="BH814" s="27" t="s">
        <v>7</v>
      </c>
      <c r="BN814" s="27" t="s">
        <v>7</v>
      </c>
      <c r="BO814" s="27" t="s">
        <v>8</v>
      </c>
      <c r="BP814" s="27" t="s">
        <v>7</v>
      </c>
      <c r="BQ814" s="27" t="s">
        <v>8</v>
      </c>
      <c r="BR814" s="27" t="s">
        <v>7</v>
      </c>
      <c r="CK814" s="27" t="s">
        <v>8</v>
      </c>
      <c r="CL814" s="27" t="s">
        <v>7</v>
      </c>
      <c r="CQ814" s="27" t="s">
        <v>8</v>
      </c>
      <c r="CR814" s="27" t="s">
        <v>7</v>
      </c>
      <c r="CS814" s="27" t="s">
        <v>8</v>
      </c>
      <c r="CT814" s="27" t="s">
        <v>7</v>
      </c>
      <c r="CW814" s="27" t="s">
        <v>8</v>
      </c>
      <c r="CX814" s="27" t="s">
        <v>7</v>
      </c>
      <c r="CY814" s="27" t="s">
        <v>8</v>
      </c>
      <c r="CZ814" s="27" t="s">
        <v>7</v>
      </c>
      <c r="EE814" s="27" t="s">
        <v>8</v>
      </c>
      <c r="EF814" s="27" t="s">
        <v>7</v>
      </c>
      <c r="EG814" s="27" t="s">
        <v>8</v>
      </c>
      <c r="EH814" s="27" t="s">
        <v>7</v>
      </c>
      <c r="IW814" s="27" t="s">
        <v>8</v>
      </c>
      <c r="IX814" s="27" t="s">
        <v>7</v>
      </c>
      <c r="JC814" s="27" t="s">
        <v>8</v>
      </c>
      <c r="JD814" s="27" t="s">
        <v>7</v>
      </c>
      <c r="JE814" s="27" t="s">
        <v>8</v>
      </c>
      <c r="JF814" s="27" t="s">
        <v>7</v>
      </c>
      <c r="JG814" s="27" t="s">
        <v>8</v>
      </c>
      <c r="LP814" s="27" t="s">
        <v>7</v>
      </c>
      <c r="LQ814" s="27" t="s">
        <v>8</v>
      </c>
      <c r="MB814" s="27" t="s">
        <v>7</v>
      </c>
      <c r="MC814" s="27" t="s">
        <v>8</v>
      </c>
      <c r="MD814" s="27" t="s">
        <v>7</v>
      </c>
      <c r="ME814" s="27" t="s">
        <v>8</v>
      </c>
      <c r="MP814" s="27" t="s">
        <v>7</v>
      </c>
      <c r="MQ814" s="27" t="s">
        <v>8</v>
      </c>
      <c r="MR814" s="27" t="s">
        <v>7</v>
      </c>
      <c r="MS814" s="27" t="s">
        <v>8</v>
      </c>
    </row>
    <row r="815" spans="1:458" x14ac:dyDescent="0.25">
      <c r="A815" s="7">
        <v>1.0943615812950145E-2</v>
      </c>
      <c r="B815"/>
      <c r="C815"/>
      <c r="D815"/>
      <c r="E815"/>
      <c r="BD815" s="27" t="s">
        <v>7</v>
      </c>
      <c r="BE815" s="27" t="s">
        <v>8</v>
      </c>
      <c r="BF815" s="27" t="s">
        <v>7</v>
      </c>
      <c r="BG815" s="27" t="s">
        <v>8</v>
      </c>
      <c r="BN815" s="27" t="s">
        <v>7</v>
      </c>
      <c r="BP815" s="27" t="s">
        <v>7</v>
      </c>
      <c r="BQ815" s="27" t="s">
        <v>8</v>
      </c>
      <c r="BR815" s="27" t="s">
        <v>7</v>
      </c>
      <c r="CI815" s="27" t="s">
        <v>8</v>
      </c>
      <c r="CK815" s="27" t="s">
        <v>8</v>
      </c>
      <c r="CL815" s="27" t="s">
        <v>7</v>
      </c>
      <c r="CQ815" s="27" t="s">
        <v>8</v>
      </c>
      <c r="CR815" s="27" t="s">
        <v>7</v>
      </c>
      <c r="CS815" s="27" t="s">
        <v>8</v>
      </c>
      <c r="CT815" s="27" t="s">
        <v>7</v>
      </c>
      <c r="CW815" s="27" t="s">
        <v>8</v>
      </c>
      <c r="CX815" s="27" t="s">
        <v>7</v>
      </c>
      <c r="CY815" s="27" t="s">
        <v>8</v>
      </c>
      <c r="CZ815" s="27" t="s">
        <v>7</v>
      </c>
      <c r="EE815" s="27" t="s">
        <v>8</v>
      </c>
      <c r="EF815" s="27" t="s">
        <v>7</v>
      </c>
      <c r="EG815" s="27" t="s">
        <v>8</v>
      </c>
      <c r="EH815" s="27" t="s">
        <v>7</v>
      </c>
      <c r="FG815" s="27" t="s">
        <v>8</v>
      </c>
      <c r="IW815" s="27" t="s">
        <v>8</v>
      </c>
      <c r="IX815" s="27" t="s">
        <v>7</v>
      </c>
      <c r="JC815" s="27" t="s">
        <v>8</v>
      </c>
      <c r="JD815" s="27" t="s">
        <v>7</v>
      </c>
      <c r="JE815" s="27" t="s">
        <v>8</v>
      </c>
      <c r="JF815" s="27" t="s">
        <v>7</v>
      </c>
      <c r="JG815" s="27" t="s">
        <v>8</v>
      </c>
      <c r="LP815" s="27" t="s">
        <v>7</v>
      </c>
      <c r="LQ815" s="27" t="s">
        <v>8</v>
      </c>
      <c r="MB815" s="27" t="s">
        <v>7</v>
      </c>
      <c r="MC815" s="27" t="s">
        <v>8</v>
      </c>
      <c r="MD815" s="27" t="s">
        <v>7</v>
      </c>
      <c r="ME815" s="27" t="s">
        <v>8</v>
      </c>
      <c r="MP815" s="18" t="s">
        <v>7</v>
      </c>
      <c r="MQ815" s="27" t="s">
        <v>8</v>
      </c>
      <c r="MR815" s="27" t="s">
        <v>7</v>
      </c>
    </row>
    <row r="816" spans="1:458" x14ac:dyDescent="0.25">
      <c r="A816" s="7">
        <v>1.0729035110735436E-2</v>
      </c>
      <c r="B816"/>
      <c r="C816"/>
      <c r="D816"/>
      <c r="E816"/>
      <c r="BD816" s="27" t="s">
        <v>7</v>
      </c>
      <c r="BE816" s="27" t="s">
        <v>8</v>
      </c>
      <c r="BF816" s="27" t="s">
        <v>7</v>
      </c>
      <c r="BG816" s="27" t="s">
        <v>8</v>
      </c>
      <c r="BP816" s="27" t="s">
        <v>7</v>
      </c>
      <c r="BQ816" s="27" t="s">
        <v>8</v>
      </c>
      <c r="BR816" s="27" t="s">
        <v>7</v>
      </c>
      <c r="CI816" s="27" t="s">
        <v>8</v>
      </c>
      <c r="CJ816" s="27" t="s">
        <v>7</v>
      </c>
      <c r="CK816" s="27" t="s">
        <v>8</v>
      </c>
      <c r="CL816" s="27" t="s">
        <v>7</v>
      </c>
      <c r="CO816" s="27" t="s">
        <v>8</v>
      </c>
      <c r="CQ816" s="27" t="s">
        <v>8</v>
      </c>
      <c r="CR816" s="27" t="s">
        <v>7</v>
      </c>
      <c r="CT816" s="27" t="s">
        <v>7</v>
      </c>
      <c r="CW816" s="27" t="s">
        <v>8</v>
      </c>
      <c r="CX816" s="27" t="s">
        <v>7</v>
      </c>
      <c r="CY816" s="27" t="s">
        <v>8</v>
      </c>
      <c r="CZ816" s="27" t="s">
        <v>7</v>
      </c>
      <c r="EE816" s="27" t="s">
        <v>8</v>
      </c>
      <c r="EF816" s="27" t="s">
        <v>7</v>
      </c>
      <c r="EG816" s="27" t="s">
        <v>8</v>
      </c>
      <c r="EH816" s="27" t="s">
        <v>7</v>
      </c>
      <c r="FG816" s="27" t="s">
        <v>8</v>
      </c>
      <c r="FH816" s="27" t="s">
        <v>7</v>
      </c>
      <c r="FI816" s="27" t="s">
        <v>8</v>
      </c>
      <c r="IW816" s="27" t="s">
        <v>8</v>
      </c>
      <c r="IX816" s="27" t="s">
        <v>7</v>
      </c>
      <c r="JC816" s="27" t="s">
        <v>8</v>
      </c>
      <c r="JD816" s="27" t="s">
        <v>7</v>
      </c>
      <c r="JE816" s="27" t="s">
        <v>8</v>
      </c>
      <c r="JF816" s="27" t="s">
        <v>7</v>
      </c>
      <c r="JG816" s="27" t="s">
        <v>8</v>
      </c>
      <c r="LP816" s="27" t="s">
        <v>7</v>
      </c>
      <c r="LQ816" s="27" t="s">
        <v>8</v>
      </c>
      <c r="MB816" s="27" t="s">
        <v>7</v>
      </c>
      <c r="MC816" s="27" t="s">
        <v>8</v>
      </c>
      <c r="MD816" s="27" t="s">
        <v>7</v>
      </c>
      <c r="ME816" s="27" t="s">
        <v>8</v>
      </c>
      <c r="MP816" s="27" t="s">
        <v>7</v>
      </c>
      <c r="MQ816" s="27" t="s">
        <v>8</v>
      </c>
    </row>
    <row r="817" spans="1:355" x14ac:dyDescent="0.25">
      <c r="A817" s="7">
        <v>1.0518661873270036E-2</v>
      </c>
      <c r="B817"/>
      <c r="C817"/>
      <c r="D817"/>
      <c r="E817"/>
      <c r="BD817" s="27" t="s">
        <v>7</v>
      </c>
      <c r="BE817" s="27" t="s">
        <v>8</v>
      </c>
      <c r="BF817" s="27" t="s">
        <v>7</v>
      </c>
      <c r="BG817" s="27" t="s">
        <v>8</v>
      </c>
      <c r="BP817" s="27" t="s">
        <v>7</v>
      </c>
      <c r="BQ817" s="27" t="s">
        <v>8</v>
      </c>
      <c r="BR817" s="27" t="s">
        <v>7</v>
      </c>
      <c r="CI817" s="27" t="s">
        <v>8</v>
      </c>
      <c r="CJ817" s="27" t="s">
        <v>7</v>
      </c>
      <c r="CK817" s="27" t="s">
        <v>8</v>
      </c>
      <c r="CL817" s="27" t="s">
        <v>7</v>
      </c>
      <c r="CO817" s="27" t="s">
        <v>8</v>
      </c>
      <c r="CP817" s="27" t="s">
        <v>7</v>
      </c>
      <c r="CQ817" s="27" t="s">
        <v>8</v>
      </c>
      <c r="CT817" s="27" t="s">
        <v>7</v>
      </c>
      <c r="CW817" s="27" t="s">
        <v>8</v>
      </c>
      <c r="CX817" s="27" t="s">
        <v>7</v>
      </c>
      <c r="CY817" s="27" t="s">
        <v>8</v>
      </c>
      <c r="CZ817" s="27" t="s">
        <v>7</v>
      </c>
      <c r="EE817" s="27" t="s">
        <v>8</v>
      </c>
      <c r="EF817" s="27" t="s">
        <v>7</v>
      </c>
      <c r="EG817" s="27" t="s">
        <v>8</v>
      </c>
      <c r="EH817" s="27" t="s">
        <v>7</v>
      </c>
      <c r="FG817" s="27" t="s">
        <v>8</v>
      </c>
      <c r="FH817" s="27" t="s">
        <v>7</v>
      </c>
      <c r="FI817" s="27" t="s">
        <v>8</v>
      </c>
      <c r="FJ817" s="27" t="s">
        <v>7</v>
      </c>
      <c r="FS817" s="27" t="s">
        <v>8</v>
      </c>
      <c r="FU817" s="27" t="s">
        <v>8</v>
      </c>
      <c r="GC817" s="27" t="s">
        <v>8</v>
      </c>
      <c r="IW817" s="27" t="s">
        <v>8</v>
      </c>
      <c r="IX817" s="27" t="s">
        <v>7</v>
      </c>
      <c r="JA817" s="27" t="s">
        <v>8</v>
      </c>
      <c r="JC817" s="27" t="s">
        <v>8</v>
      </c>
      <c r="JD817" s="27" t="s">
        <v>7</v>
      </c>
      <c r="JE817" s="27" t="s">
        <v>8</v>
      </c>
      <c r="JF817" s="27" t="s">
        <v>7</v>
      </c>
      <c r="JG817" s="27" t="s">
        <v>8</v>
      </c>
      <c r="LP817" s="27" t="s">
        <v>7</v>
      </c>
      <c r="LQ817" s="27" t="s">
        <v>8</v>
      </c>
      <c r="MB817" s="27" t="s">
        <v>7</v>
      </c>
      <c r="MC817" s="27" t="s">
        <v>8</v>
      </c>
      <c r="MD817" s="27" t="s">
        <v>7</v>
      </c>
      <c r="ME817" s="27" t="s">
        <v>8</v>
      </c>
      <c r="MP817" s="27" t="s">
        <v>7</v>
      </c>
      <c r="MQ817" s="27" t="s">
        <v>8</v>
      </c>
    </row>
    <row r="818" spans="1:355" x14ac:dyDescent="0.25">
      <c r="A818" s="7">
        <v>1.0312413601245135E-2</v>
      </c>
      <c r="B818"/>
      <c r="C818"/>
      <c r="D818"/>
      <c r="E818"/>
      <c r="BD818" s="27" t="s">
        <v>7</v>
      </c>
      <c r="BE818" s="27" t="s">
        <v>8</v>
      </c>
      <c r="BF818" s="27" t="s">
        <v>7</v>
      </c>
      <c r="BG818" s="27" t="s">
        <v>8</v>
      </c>
      <c r="BP818" s="27" t="s">
        <v>7</v>
      </c>
      <c r="BQ818" s="27" t="s">
        <v>8</v>
      </c>
      <c r="BR818" s="27" t="s">
        <v>7</v>
      </c>
      <c r="CI818" s="27" t="s">
        <v>8</v>
      </c>
      <c r="CJ818" s="27" t="s">
        <v>7</v>
      </c>
      <c r="CK818" s="27" t="s">
        <v>8</v>
      </c>
      <c r="CL818" s="27" t="s">
        <v>7</v>
      </c>
      <c r="CO818" s="27" t="s">
        <v>8</v>
      </c>
      <c r="CP818" s="27" t="s">
        <v>7</v>
      </c>
      <c r="CQ818" s="27" t="s">
        <v>8</v>
      </c>
      <c r="CT818" s="27" t="s">
        <v>7</v>
      </c>
      <c r="CW818" s="27" t="s">
        <v>8</v>
      </c>
      <c r="CX818" s="27" t="s">
        <v>7</v>
      </c>
      <c r="CY818" s="27" t="s">
        <v>8</v>
      </c>
      <c r="CZ818" s="27" t="s">
        <v>7</v>
      </c>
      <c r="EE818" s="27" t="s">
        <v>8</v>
      </c>
      <c r="EF818" s="27" t="s">
        <v>7</v>
      </c>
      <c r="EG818" s="27" t="s">
        <v>8</v>
      </c>
      <c r="EH818" s="27" t="s">
        <v>7</v>
      </c>
      <c r="FG818" s="27" t="s">
        <v>8</v>
      </c>
      <c r="FH818" s="27" t="s">
        <v>7</v>
      </c>
      <c r="FI818" s="27" t="s">
        <v>8</v>
      </c>
      <c r="FJ818" s="27" t="s">
        <v>7</v>
      </c>
      <c r="FS818" s="27" t="s">
        <v>8</v>
      </c>
      <c r="FT818" s="27" t="s">
        <v>7</v>
      </c>
      <c r="FU818" s="27" t="s">
        <v>8</v>
      </c>
      <c r="FV818" s="27" t="s">
        <v>7</v>
      </c>
      <c r="FW818" s="27" t="s">
        <v>8</v>
      </c>
      <c r="GC818" s="27" t="s">
        <v>8</v>
      </c>
      <c r="GD818" s="27" t="s">
        <v>7</v>
      </c>
      <c r="IW818" s="27" t="s">
        <v>8</v>
      </c>
      <c r="IX818" s="27" t="s">
        <v>7</v>
      </c>
      <c r="JA818" s="27" t="s">
        <v>8</v>
      </c>
      <c r="JB818" s="27" t="s">
        <v>7</v>
      </c>
      <c r="JC818" s="27" t="s">
        <v>8</v>
      </c>
      <c r="JD818" s="27" t="s">
        <v>7</v>
      </c>
      <c r="JE818" s="27" t="s">
        <v>8</v>
      </c>
      <c r="JF818" s="27" t="s">
        <v>7</v>
      </c>
      <c r="JG818" s="27" t="s">
        <v>8</v>
      </c>
      <c r="LP818" s="27" t="s">
        <v>7</v>
      </c>
      <c r="LQ818" s="27" t="s">
        <v>8</v>
      </c>
      <c r="MB818" s="27" t="s">
        <v>7</v>
      </c>
      <c r="MC818" s="27" t="s">
        <v>8</v>
      </c>
      <c r="MD818" s="27" t="s">
        <v>7</v>
      </c>
      <c r="ME818" s="27" t="s">
        <v>8</v>
      </c>
      <c r="MP818" s="27" t="s">
        <v>7</v>
      </c>
      <c r="MQ818" s="27" t="s">
        <v>8</v>
      </c>
    </row>
    <row r="819" spans="1:355" x14ac:dyDescent="0.25">
      <c r="A819" s="7">
        <v>1.0110209412985426E-2</v>
      </c>
      <c r="B819"/>
      <c r="C819"/>
      <c r="D819"/>
      <c r="E819"/>
      <c r="BD819" s="27" t="s">
        <v>7</v>
      </c>
      <c r="BF819" s="27" t="s">
        <v>7</v>
      </c>
      <c r="BG819" s="27" t="s">
        <v>8</v>
      </c>
      <c r="BP819" s="27" t="s">
        <v>7</v>
      </c>
      <c r="BQ819" s="27" t="s">
        <v>8</v>
      </c>
      <c r="BR819" s="27" t="s">
        <v>7</v>
      </c>
      <c r="CI819" s="27" t="s">
        <v>8</v>
      </c>
      <c r="CJ819" s="27" t="s">
        <v>7</v>
      </c>
      <c r="CK819" s="27" t="s">
        <v>8</v>
      </c>
      <c r="CL819" s="27" t="s">
        <v>7</v>
      </c>
      <c r="CO819" s="27" t="s">
        <v>8</v>
      </c>
      <c r="CP819" s="27" t="s">
        <v>7</v>
      </c>
      <c r="CQ819" s="27" t="s">
        <v>8</v>
      </c>
      <c r="CT819" s="27" t="s">
        <v>7</v>
      </c>
      <c r="CU819" s="27" t="s">
        <v>8</v>
      </c>
      <c r="CW819" s="27" t="s">
        <v>8</v>
      </c>
      <c r="CX819" s="27" t="s">
        <v>7</v>
      </c>
      <c r="CY819" s="27" t="s">
        <v>8</v>
      </c>
      <c r="CZ819" s="27" t="s">
        <v>7</v>
      </c>
      <c r="EE819" s="27" t="s">
        <v>8</v>
      </c>
      <c r="EF819" s="27" t="s">
        <v>7</v>
      </c>
      <c r="EG819" s="27" t="s">
        <v>8</v>
      </c>
      <c r="EH819" s="27" t="s">
        <v>7</v>
      </c>
      <c r="EM819" s="27" t="s">
        <v>8</v>
      </c>
      <c r="FC819" s="27" t="s">
        <v>8</v>
      </c>
      <c r="FG819" s="27" t="s">
        <v>8</v>
      </c>
      <c r="FH819" s="27" t="s">
        <v>7</v>
      </c>
      <c r="FI819" s="27" t="s">
        <v>8</v>
      </c>
      <c r="FJ819" s="27" t="s">
        <v>7</v>
      </c>
      <c r="FQ819" s="27" t="s">
        <v>8</v>
      </c>
      <c r="FS819" s="27" t="s">
        <v>8</v>
      </c>
      <c r="FT819" s="27" t="s">
        <v>7</v>
      </c>
      <c r="FU819" s="27" t="s">
        <v>8</v>
      </c>
      <c r="FV819" s="27" t="s">
        <v>7</v>
      </c>
      <c r="FW819" s="27" t="s">
        <v>8</v>
      </c>
      <c r="FX819" s="27" t="s">
        <v>7</v>
      </c>
      <c r="GC819" s="27" t="s">
        <v>8</v>
      </c>
      <c r="GD819" s="27" t="s">
        <v>7</v>
      </c>
      <c r="IW819" s="27" t="s">
        <v>8</v>
      </c>
      <c r="IX819" s="27" t="s">
        <v>7</v>
      </c>
      <c r="JA819" s="27" t="s">
        <v>8</v>
      </c>
      <c r="JB819" s="27" t="s">
        <v>7</v>
      </c>
      <c r="JC819" s="27" t="s">
        <v>8</v>
      </c>
      <c r="JD819" s="27" t="s">
        <v>7</v>
      </c>
      <c r="JE819" s="27" t="s">
        <v>8</v>
      </c>
      <c r="JF819" s="27" t="s">
        <v>7</v>
      </c>
      <c r="JG819" s="27" t="s">
        <v>8</v>
      </c>
      <c r="LP819" s="27" t="s">
        <v>7</v>
      </c>
      <c r="LQ819" s="27" t="s">
        <v>8</v>
      </c>
      <c r="MB819" s="27" t="s">
        <v>7</v>
      </c>
      <c r="MC819" s="27" t="s">
        <v>8</v>
      </c>
      <c r="MD819" s="27" t="s">
        <v>7</v>
      </c>
      <c r="ME819" s="27" t="s">
        <v>8</v>
      </c>
      <c r="MP819" s="27" t="s">
        <v>7</v>
      </c>
    </row>
    <row r="820" spans="1:355" x14ac:dyDescent="0.25">
      <c r="A820" s="7">
        <v>9.9119700127308103E-3</v>
      </c>
      <c r="B820"/>
      <c r="C820"/>
      <c r="D820"/>
      <c r="E820"/>
      <c r="BF820" s="27" t="s">
        <v>7</v>
      </c>
      <c r="BP820" s="27" t="s">
        <v>7</v>
      </c>
      <c r="BR820" s="27" t="s">
        <v>7</v>
      </c>
      <c r="CI820" s="27" t="s">
        <v>8</v>
      </c>
      <c r="CJ820" s="27" t="s">
        <v>7</v>
      </c>
      <c r="CK820" s="27" t="s">
        <v>8</v>
      </c>
      <c r="CL820" s="27" t="s">
        <v>7</v>
      </c>
      <c r="CM820" s="27" t="s">
        <v>8</v>
      </c>
      <c r="CO820" s="27" t="s">
        <v>8</v>
      </c>
      <c r="CP820" s="27" t="s">
        <v>7</v>
      </c>
      <c r="CQ820" s="27" t="s">
        <v>8</v>
      </c>
      <c r="CT820" s="27" t="s">
        <v>7</v>
      </c>
      <c r="CU820" s="27" t="s">
        <v>8</v>
      </c>
      <c r="CV820" s="27" t="s">
        <v>7</v>
      </c>
      <c r="CW820" s="27" t="s">
        <v>8</v>
      </c>
      <c r="CX820" s="27" t="s">
        <v>7</v>
      </c>
      <c r="CY820" s="27" t="s">
        <v>8</v>
      </c>
      <c r="CZ820" s="27" t="s">
        <v>7</v>
      </c>
      <c r="EE820" s="27" t="s">
        <v>8</v>
      </c>
      <c r="EF820" s="27" t="s">
        <v>7</v>
      </c>
      <c r="EG820" s="27" t="s">
        <v>8</v>
      </c>
      <c r="EH820" s="27" t="s">
        <v>7</v>
      </c>
      <c r="EM820" s="27" t="s">
        <v>8</v>
      </c>
      <c r="EN820" s="27" t="s">
        <v>7</v>
      </c>
      <c r="FC820" s="27" t="s">
        <v>8</v>
      </c>
      <c r="FD820" s="27" t="s">
        <v>7</v>
      </c>
      <c r="FE820" s="27" t="s">
        <v>8</v>
      </c>
      <c r="FG820" s="27" t="s">
        <v>8</v>
      </c>
      <c r="FH820" s="27" t="s">
        <v>7</v>
      </c>
      <c r="FI820" s="27" t="s">
        <v>8</v>
      </c>
      <c r="FJ820" s="27" t="s">
        <v>7</v>
      </c>
      <c r="FQ820" s="27" t="s">
        <v>8</v>
      </c>
      <c r="FR820" s="27" t="s">
        <v>7</v>
      </c>
      <c r="FS820" s="27" t="s">
        <v>8</v>
      </c>
      <c r="FT820" s="27" t="s">
        <v>7</v>
      </c>
      <c r="FU820" s="27" t="s">
        <v>8</v>
      </c>
      <c r="FV820" s="27" t="s">
        <v>7</v>
      </c>
      <c r="FW820" s="27" t="s">
        <v>8</v>
      </c>
      <c r="FX820" s="27" t="s">
        <v>7</v>
      </c>
      <c r="GC820" s="27" t="s">
        <v>8</v>
      </c>
      <c r="GD820" s="27" t="s">
        <v>7</v>
      </c>
      <c r="IW820" s="27" t="s">
        <v>8</v>
      </c>
      <c r="IX820" s="27" t="s">
        <v>7</v>
      </c>
      <c r="JA820" s="27" t="s">
        <v>8</v>
      </c>
      <c r="JB820" s="27" t="s">
        <v>7</v>
      </c>
      <c r="JC820" s="27" t="s">
        <v>8</v>
      </c>
      <c r="JD820" s="27" t="s">
        <v>7</v>
      </c>
      <c r="JF820" s="27" t="s">
        <v>7</v>
      </c>
      <c r="LP820" s="27" t="s">
        <v>7</v>
      </c>
      <c r="LQ820" s="27" t="s">
        <v>8</v>
      </c>
      <c r="MB820" s="27" t="s">
        <v>7</v>
      </c>
      <c r="MC820" s="27" t="s">
        <v>8</v>
      </c>
      <c r="MD820" s="27" t="s">
        <v>7</v>
      </c>
    </row>
    <row r="821" spans="1:355" x14ac:dyDescent="0.25">
      <c r="A821" s="7">
        <v>9.717617659540009E-3</v>
      </c>
      <c r="B821"/>
      <c r="C821"/>
      <c r="D821"/>
      <c r="E821"/>
      <c r="BR821" s="27" t="s">
        <v>7</v>
      </c>
      <c r="CG821" s="27" t="s">
        <v>8</v>
      </c>
      <c r="CI821" s="27" t="s">
        <v>8</v>
      </c>
      <c r="CJ821" s="27" t="s">
        <v>7</v>
      </c>
      <c r="CL821" s="27" t="s">
        <v>7</v>
      </c>
      <c r="CM821" s="27" t="s">
        <v>8</v>
      </c>
      <c r="CN821" s="27" t="s">
        <v>7</v>
      </c>
      <c r="CO821" s="27" t="s">
        <v>8</v>
      </c>
      <c r="CP821" s="27" t="s">
        <v>7</v>
      </c>
      <c r="CQ821" s="27" t="s">
        <v>8</v>
      </c>
      <c r="CT821" s="27" t="s">
        <v>7</v>
      </c>
      <c r="CU821" s="27" t="s">
        <v>8</v>
      </c>
      <c r="CV821" s="27" t="s">
        <v>7</v>
      </c>
      <c r="CW821" s="27" t="s">
        <v>8</v>
      </c>
      <c r="CX821" s="27" t="s">
        <v>7</v>
      </c>
      <c r="CY821" s="27" t="s">
        <v>8</v>
      </c>
      <c r="CZ821" s="27" t="s">
        <v>7</v>
      </c>
      <c r="EE821" s="27" t="s">
        <v>8</v>
      </c>
      <c r="EF821" s="27" t="s">
        <v>7</v>
      </c>
      <c r="EG821" s="27" t="s">
        <v>8</v>
      </c>
      <c r="EH821" s="27" t="s">
        <v>7</v>
      </c>
      <c r="EM821" s="27" t="s">
        <v>8</v>
      </c>
      <c r="EN821" s="27" t="s">
        <v>7</v>
      </c>
      <c r="EQ821" s="27" t="s">
        <v>8</v>
      </c>
      <c r="FC821" s="27" t="s">
        <v>8</v>
      </c>
      <c r="FD821" s="27" t="s">
        <v>7</v>
      </c>
      <c r="FE821" s="27" t="s">
        <v>8</v>
      </c>
      <c r="FF821" s="27" t="s">
        <v>7</v>
      </c>
      <c r="FG821" s="27" t="s">
        <v>8</v>
      </c>
      <c r="FH821" s="27" t="s">
        <v>7</v>
      </c>
      <c r="FJ821" s="27" t="s">
        <v>7</v>
      </c>
      <c r="FQ821" s="27" t="s">
        <v>8</v>
      </c>
      <c r="FR821" s="27" t="s">
        <v>7</v>
      </c>
      <c r="FS821" s="27" t="s">
        <v>8</v>
      </c>
      <c r="FT821" s="27" t="s">
        <v>7</v>
      </c>
      <c r="FU821" s="27" t="s">
        <v>8</v>
      </c>
      <c r="FV821" s="27" t="s">
        <v>7</v>
      </c>
      <c r="FW821" s="27" t="s">
        <v>8</v>
      </c>
      <c r="FX821" s="27" t="s">
        <v>7</v>
      </c>
      <c r="GC821" s="27" t="s">
        <v>8</v>
      </c>
      <c r="GD821" s="27" t="s">
        <v>7</v>
      </c>
      <c r="IW821" s="27" t="s">
        <v>8</v>
      </c>
      <c r="IX821" s="27" t="s">
        <v>7</v>
      </c>
      <c r="JA821" s="27" t="s">
        <v>8</v>
      </c>
      <c r="JB821" s="27" t="s">
        <v>7</v>
      </c>
      <c r="JC821" s="27" t="s">
        <v>8</v>
      </c>
      <c r="LP821" s="27" t="s">
        <v>7</v>
      </c>
      <c r="LQ821" s="27" t="s">
        <v>8</v>
      </c>
      <c r="MB821" s="27" t="s">
        <v>7</v>
      </c>
      <c r="MC821" s="27" t="s">
        <v>8</v>
      </c>
    </row>
    <row r="822" spans="1:355" x14ac:dyDescent="0.25">
      <c r="A822" s="7">
        <v>9.5270761368039299E-3</v>
      </c>
      <c r="B822"/>
      <c r="C822"/>
      <c r="D822"/>
      <c r="E822"/>
      <c r="BR822" s="27" t="s">
        <v>7</v>
      </c>
      <c r="BS822" s="27" t="s">
        <v>8</v>
      </c>
      <c r="BY822" s="27" t="s">
        <v>8</v>
      </c>
      <c r="CG822" s="27" t="s">
        <v>8</v>
      </c>
      <c r="CH822" s="27" t="s">
        <v>7</v>
      </c>
      <c r="CI822" s="27" t="s">
        <v>8</v>
      </c>
      <c r="CL822" s="27" t="s">
        <v>7</v>
      </c>
      <c r="CM822" s="27" t="s">
        <v>8</v>
      </c>
      <c r="CN822" s="27" t="s">
        <v>7</v>
      </c>
      <c r="CO822" s="27" t="s">
        <v>8</v>
      </c>
      <c r="CP822" s="27" t="s">
        <v>7</v>
      </c>
      <c r="CQ822" s="27" t="s">
        <v>8</v>
      </c>
      <c r="CT822" s="27" t="s">
        <v>7</v>
      </c>
      <c r="CU822" s="27" t="s">
        <v>8</v>
      </c>
      <c r="CV822" s="27" t="s">
        <v>7</v>
      </c>
      <c r="CW822" s="27" t="s">
        <v>8</v>
      </c>
      <c r="CX822" s="27" t="s">
        <v>7</v>
      </c>
      <c r="CY822" s="27" t="s">
        <v>8</v>
      </c>
      <c r="CZ822" s="27" t="s">
        <v>7</v>
      </c>
      <c r="EE822" s="27" t="s">
        <v>8</v>
      </c>
      <c r="EF822" s="27" t="s">
        <v>7</v>
      </c>
      <c r="EG822" s="27" t="s">
        <v>8</v>
      </c>
      <c r="EH822" s="27" t="s">
        <v>7</v>
      </c>
      <c r="EM822" s="27" t="s">
        <v>8</v>
      </c>
      <c r="EN822" s="27" t="s">
        <v>7</v>
      </c>
      <c r="EQ822" s="27" t="s">
        <v>8</v>
      </c>
      <c r="ER822" s="27" t="s">
        <v>7</v>
      </c>
      <c r="ES822" s="27" t="s">
        <v>8</v>
      </c>
      <c r="FA822" s="27" t="s">
        <v>8</v>
      </c>
      <c r="FC822" s="27" t="s">
        <v>8</v>
      </c>
      <c r="FD822" s="27" t="s">
        <v>7</v>
      </c>
      <c r="FE822" s="27" t="s">
        <v>8</v>
      </c>
      <c r="FF822" s="27" t="s">
        <v>7</v>
      </c>
      <c r="FG822" s="27" t="s">
        <v>8</v>
      </c>
      <c r="FJ822" s="27" t="s">
        <v>7</v>
      </c>
      <c r="FQ822" s="27" t="s">
        <v>8</v>
      </c>
      <c r="FR822" s="27" t="s">
        <v>7</v>
      </c>
      <c r="FS822" s="27" t="s">
        <v>8</v>
      </c>
      <c r="FT822" s="27" t="s">
        <v>7</v>
      </c>
      <c r="FV822" s="27" t="s">
        <v>7</v>
      </c>
      <c r="FW822" s="27" t="s">
        <v>8</v>
      </c>
      <c r="FX822" s="27" t="s">
        <v>7</v>
      </c>
      <c r="FY822" s="27" t="s">
        <v>8</v>
      </c>
      <c r="GC822" s="27" t="s">
        <v>8</v>
      </c>
      <c r="GD822" s="27" t="s">
        <v>7</v>
      </c>
      <c r="IW822" s="27" t="s">
        <v>8</v>
      </c>
      <c r="IX822" s="27" t="s">
        <v>7</v>
      </c>
      <c r="JA822" s="27" t="s">
        <v>8</v>
      </c>
      <c r="JB822" s="27" t="s">
        <v>7</v>
      </c>
      <c r="JC822" s="27" t="s">
        <v>8</v>
      </c>
      <c r="LP822" s="27" t="s">
        <v>7</v>
      </c>
      <c r="MB822" s="27" t="s">
        <v>7</v>
      </c>
      <c r="MC822" s="27" t="s">
        <v>8</v>
      </c>
    </row>
    <row r="823" spans="1:355" x14ac:dyDescent="0.25">
      <c r="A823" s="7">
        <v>9.3402707223567936E-3</v>
      </c>
      <c r="B823"/>
      <c r="C823"/>
      <c r="D823"/>
      <c r="E823"/>
      <c r="BR823" s="27" t="s">
        <v>7</v>
      </c>
      <c r="BS823" s="27" t="s">
        <v>8</v>
      </c>
      <c r="BT823" s="27" t="s">
        <v>7</v>
      </c>
      <c r="BY823" s="27" t="s">
        <v>8</v>
      </c>
      <c r="BZ823" s="27" t="s">
        <v>7</v>
      </c>
      <c r="CG823" s="27" t="s">
        <v>8</v>
      </c>
      <c r="CH823" s="27" t="s">
        <v>7</v>
      </c>
      <c r="CI823" s="27" t="s">
        <v>8</v>
      </c>
      <c r="CL823" s="27" t="s">
        <v>7</v>
      </c>
      <c r="CM823" s="27" t="s">
        <v>8</v>
      </c>
      <c r="CN823" s="27" t="s">
        <v>7</v>
      </c>
      <c r="CO823" s="27" t="s">
        <v>8</v>
      </c>
      <c r="CP823" s="27" t="s">
        <v>7</v>
      </c>
      <c r="CQ823" s="27" t="s">
        <v>8</v>
      </c>
      <c r="CT823" s="27" t="s">
        <v>7</v>
      </c>
      <c r="CU823" s="27" t="s">
        <v>8</v>
      </c>
      <c r="CV823" s="27" t="s">
        <v>7</v>
      </c>
      <c r="CW823" s="27" t="s">
        <v>8</v>
      </c>
      <c r="CX823" s="27" t="s">
        <v>7</v>
      </c>
      <c r="CY823" s="27" t="s">
        <v>8</v>
      </c>
      <c r="CZ823" s="27" t="s">
        <v>7</v>
      </c>
      <c r="EE823" s="27" t="s">
        <v>8</v>
      </c>
      <c r="EF823" s="27" t="s">
        <v>7</v>
      </c>
      <c r="EG823" s="27" t="s">
        <v>8</v>
      </c>
      <c r="EH823" s="27" t="s">
        <v>7</v>
      </c>
      <c r="EM823" s="27" t="s">
        <v>8</v>
      </c>
      <c r="EN823" s="27" t="s">
        <v>7</v>
      </c>
      <c r="EQ823" s="27" t="s">
        <v>8</v>
      </c>
      <c r="ER823" s="27" t="s">
        <v>7</v>
      </c>
      <c r="ES823" s="27" t="s">
        <v>8</v>
      </c>
      <c r="ET823" s="27" t="s">
        <v>7</v>
      </c>
      <c r="FA823" s="27" t="s">
        <v>8</v>
      </c>
      <c r="FB823" s="27" t="s">
        <v>7</v>
      </c>
      <c r="FC823" s="27" t="s">
        <v>8</v>
      </c>
      <c r="FD823" s="27" t="s">
        <v>7</v>
      </c>
      <c r="FE823" s="27" t="s">
        <v>8</v>
      </c>
      <c r="FF823" s="27" t="s">
        <v>7</v>
      </c>
      <c r="FJ823" s="27" t="s">
        <v>7</v>
      </c>
      <c r="FQ823" s="27" t="s">
        <v>8</v>
      </c>
      <c r="FR823" s="27" t="s">
        <v>7</v>
      </c>
      <c r="FS823" s="27" t="s">
        <v>8</v>
      </c>
      <c r="FV823" s="27" t="s">
        <v>7</v>
      </c>
      <c r="FX823" s="27" t="s">
        <v>7</v>
      </c>
      <c r="FY823" s="27" t="s">
        <v>8</v>
      </c>
      <c r="FZ823" s="27" t="s">
        <v>7</v>
      </c>
      <c r="GA823" s="27" t="s">
        <v>8</v>
      </c>
      <c r="GC823" s="27" t="s">
        <v>8</v>
      </c>
      <c r="GD823" s="27" t="s">
        <v>7</v>
      </c>
      <c r="IW823" s="27" t="s">
        <v>8</v>
      </c>
      <c r="IX823" s="27" t="s">
        <v>7</v>
      </c>
      <c r="JA823" s="27" t="s">
        <v>8</v>
      </c>
      <c r="JB823" s="27" t="s">
        <v>7</v>
      </c>
      <c r="JC823" s="27" t="s">
        <v>8</v>
      </c>
      <c r="MB823" s="27" t="s">
        <v>7</v>
      </c>
      <c r="MC823" s="27" t="s">
        <v>8</v>
      </c>
    </row>
    <row r="824" spans="1:355" x14ac:dyDescent="0.25">
      <c r="A824" s="7">
        <v>9.1571281591733261E-3</v>
      </c>
      <c r="B824"/>
      <c r="C824"/>
      <c r="D824"/>
      <c r="E824"/>
      <c r="BR824" s="27" t="s">
        <v>7</v>
      </c>
      <c r="BS824" s="27" t="s">
        <v>8</v>
      </c>
      <c r="BT824" s="27" t="s">
        <v>7</v>
      </c>
      <c r="BY824" s="27" t="s">
        <v>8</v>
      </c>
      <c r="BZ824" s="27" t="s">
        <v>7</v>
      </c>
      <c r="CA824" s="27" t="s">
        <v>8</v>
      </c>
      <c r="CG824" s="27" t="s">
        <v>8</v>
      </c>
      <c r="CH824" s="27" t="s">
        <v>7</v>
      </c>
      <c r="CI824" s="27" t="s">
        <v>8</v>
      </c>
      <c r="CL824" s="27" t="s">
        <v>7</v>
      </c>
      <c r="CM824" s="27" t="s">
        <v>8</v>
      </c>
      <c r="CN824" s="27" t="s">
        <v>7</v>
      </c>
      <c r="CP824" s="27" t="s">
        <v>7</v>
      </c>
      <c r="CT824" s="27" t="s">
        <v>7</v>
      </c>
      <c r="CU824" s="27" t="s">
        <v>8</v>
      </c>
      <c r="CV824" s="27" t="s">
        <v>7</v>
      </c>
      <c r="CW824" s="27" t="s">
        <v>8</v>
      </c>
      <c r="CX824" s="27" t="s">
        <v>7</v>
      </c>
      <c r="CY824" s="27" t="s">
        <v>8</v>
      </c>
      <c r="CZ824" s="27" t="s">
        <v>7</v>
      </c>
      <c r="EE824" s="27" t="s">
        <v>8</v>
      </c>
      <c r="EF824" s="27" t="s">
        <v>7</v>
      </c>
      <c r="EG824" s="27" t="s">
        <v>8</v>
      </c>
      <c r="EH824" s="27" t="s">
        <v>7</v>
      </c>
      <c r="EM824" s="27" t="s">
        <v>8</v>
      </c>
      <c r="EN824" s="27" t="s">
        <v>7</v>
      </c>
      <c r="EQ824" s="27" t="s">
        <v>8</v>
      </c>
      <c r="ER824" s="27" t="s">
        <v>7</v>
      </c>
      <c r="ES824" s="27" t="s">
        <v>8</v>
      </c>
      <c r="ET824" s="27" t="s">
        <v>7</v>
      </c>
      <c r="FA824" s="27" t="s">
        <v>8</v>
      </c>
      <c r="FB824" s="27" t="s">
        <v>7</v>
      </c>
      <c r="FC824" s="27" t="s">
        <v>8</v>
      </c>
      <c r="FD824" s="27" t="s">
        <v>7</v>
      </c>
      <c r="FE824" s="27" t="s">
        <v>8</v>
      </c>
      <c r="FJ824" s="27" t="s">
        <v>7</v>
      </c>
      <c r="FQ824" s="27" t="s">
        <v>8</v>
      </c>
      <c r="FR824" s="27" t="s">
        <v>7</v>
      </c>
      <c r="FS824" s="27" t="s">
        <v>8</v>
      </c>
      <c r="FX824" s="27" t="s">
        <v>7</v>
      </c>
      <c r="FY824" s="27" t="s">
        <v>8</v>
      </c>
      <c r="FZ824" s="27" t="s">
        <v>7</v>
      </c>
      <c r="GA824" s="27" t="s">
        <v>8</v>
      </c>
      <c r="GB824" s="27" t="s">
        <v>7</v>
      </c>
      <c r="GC824" s="27" t="s">
        <v>8</v>
      </c>
      <c r="GD824" s="27" t="s">
        <v>7</v>
      </c>
      <c r="GG824" s="27" t="s">
        <v>8</v>
      </c>
      <c r="IW824" s="27" t="s">
        <v>8</v>
      </c>
      <c r="IX824" s="27" t="s">
        <v>7</v>
      </c>
      <c r="JA824" s="27" t="s">
        <v>8</v>
      </c>
      <c r="JB824" s="27" t="s">
        <v>7</v>
      </c>
      <c r="JC824" s="27" t="s">
        <v>8</v>
      </c>
      <c r="MB824" s="27" t="s">
        <v>7</v>
      </c>
      <c r="MC824" s="27" t="s">
        <v>8</v>
      </c>
    </row>
    <row r="825" spans="1:355" x14ac:dyDescent="0.25">
      <c r="A825" s="7">
        <v>8.9775766266405148E-3</v>
      </c>
      <c r="B825"/>
      <c r="C825"/>
      <c r="D825"/>
      <c r="E825"/>
      <c r="BR825" s="27" t="s">
        <v>7</v>
      </c>
      <c r="BS825" s="27" t="s">
        <v>8</v>
      </c>
      <c r="BT825" s="27" t="s">
        <v>7</v>
      </c>
      <c r="BU825" s="27" t="s">
        <v>8</v>
      </c>
      <c r="BY825" s="27" t="s">
        <v>8</v>
      </c>
      <c r="BZ825" s="27" t="s">
        <v>7</v>
      </c>
      <c r="CA825" s="27" t="s">
        <v>8</v>
      </c>
      <c r="CB825" s="27" t="s">
        <v>7</v>
      </c>
      <c r="CG825" s="27" t="s">
        <v>8</v>
      </c>
      <c r="CH825" s="27" t="s">
        <v>7</v>
      </c>
      <c r="CI825" s="27" t="s">
        <v>8</v>
      </c>
      <c r="CL825" s="27" t="s">
        <v>7</v>
      </c>
      <c r="CM825" s="27" t="s">
        <v>8</v>
      </c>
      <c r="CT825" s="27" t="s">
        <v>7</v>
      </c>
      <c r="CV825" s="27" t="s">
        <v>7</v>
      </c>
      <c r="CW825" s="27" t="s">
        <v>8</v>
      </c>
      <c r="CX825" s="27" t="s">
        <v>7</v>
      </c>
      <c r="CY825" s="27" t="s">
        <v>8</v>
      </c>
      <c r="CZ825" s="27" t="s">
        <v>7</v>
      </c>
      <c r="EE825" s="27" t="s">
        <v>8</v>
      </c>
      <c r="EF825" s="27" t="s">
        <v>7</v>
      </c>
      <c r="EG825" s="27" t="s">
        <v>8</v>
      </c>
      <c r="EH825" s="27" t="s">
        <v>7</v>
      </c>
      <c r="EK825" s="27" t="s">
        <v>8</v>
      </c>
      <c r="EM825" s="27" t="s">
        <v>8</v>
      </c>
      <c r="EN825" s="27" t="s">
        <v>7</v>
      </c>
      <c r="EQ825" s="27" t="s">
        <v>8</v>
      </c>
      <c r="ER825" s="27" t="s">
        <v>7</v>
      </c>
      <c r="ES825" s="27" t="s">
        <v>8</v>
      </c>
      <c r="ET825" s="27" t="s">
        <v>7</v>
      </c>
      <c r="FA825" s="27" t="s">
        <v>8</v>
      </c>
      <c r="FB825" s="27" t="s">
        <v>7</v>
      </c>
      <c r="FC825" s="27" t="s">
        <v>8</v>
      </c>
      <c r="FD825" s="27" t="s">
        <v>7</v>
      </c>
      <c r="FJ825" s="27" t="s">
        <v>7</v>
      </c>
      <c r="FK825" s="27" t="s">
        <v>8</v>
      </c>
      <c r="FO825" s="27" t="s">
        <v>8</v>
      </c>
      <c r="FQ825" s="27" t="s">
        <v>8</v>
      </c>
      <c r="FR825" s="27" t="s">
        <v>7</v>
      </c>
      <c r="FS825" s="27" t="s">
        <v>8</v>
      </c>
      <c r="FX825" s="27" t="s">
        <v>7</v>
      </c>
      <c r="FZ825" s="27" t="s">
        <v>7</v>
      </c>
      <c r="GA825" s="27" t="s">
        <v>8</v>
      </c>
      <c r="GB825" s="27" t="s">
        <v>7</v>
      </c>
      <c r="GC825" s="27" t="s">
        <v>8</v>
      </c>
      <c r="GD825" s="27" t="s">
        <v>7</v>
      </c>
      <c r="GG825" s="27" t="s">
        <v>8</v>
      </c>
      <c r="GH825" s="27" t="s">
        <v>7</v>
      </c>
      <c r="GQ825" s="27" t="s">
        <v>8</v>
      </c>
      <c r="IW825" s="27" t="s">
        <v>8</v>
      </c>
      <c r="IX825" s="27" t="s">
        <v>7</v>
      </c>
      <c r="JA825" s="27" t="s">
        <v>8</v>
      </c>
      <c r="JB825" s="27" t="s">
        <v>7</v>
      </c>
      <c r="JC825" s="27" t="s">
        <v>8</v>
      </c>
      <c r="MB825" s="27" t="s">
        <v>7</v>
      </c>
      <c r="MC825" s="27" t="s">
        <v>8</v>
      </c>
    </row>
    <row r="826" spans="1:355" x14ac:dyDescent="0.25">
      <c r="A826" s="7">
        <v>8.8015457123926614E-3</v>
      </c>
      <c r="B826"/>
      <c r="C826"/>
      <c r="D826"/>
      <c r="E826"/>
      <c r="BR826" s="27" t="s">
        <v>7</v>
      </c>
      <c r="BT826" s="27" t="s">
        <v>7</v>
      </c>
      <c r="BU826" s="27" t="s">
        <v>8</v>
      </c>
      <c r="BV826" s="27" t="s">
        <v>7</v>
      </c>
      <c r="BY826" s="27" t="s">
        <v>8</v>
      </c>
      <c r="BZ826" s="27" t="s">
        <v>7</v>
      </c>
      <c r="CA826" s="27" t="s">
        <v>8</v>
      </c>
      <c r="CB826" s="27" t="s">
        <v>7</v>
      </c>
      <c r="CG826" s="27" t="s">
        <v>8</v>
      </c>
      <c r="CH826" s="27" t="s">
        <v>7</v>
      </c>
      <c r="CL826" s="27" t="s">
        <v>7</v>
      </c>
      <c r="CM826" s="27" t="s">
        <v>8</v>
      </c>
      <c r="CV826" s="27" t="s">
        <v>7</v>
      </c>
      <c r="CW826" s="27" t="s">
        <v>8</v>
      </c>
      <c r="CX826" s="27" t="s">
        <v>7</v>
      </c>
      <c r="CY826" s="27" t="s">
        <v>8</v>
      </c>
      <c r="CZ826" s="27" t="s">
        <v>7</v>
      </c>
      <c r="EE826" s="27" t="s">
        <v>8</v>
      </c>
      <c r="EF826" s="27" t="s">
        <v>7</v>
      </c>
      <c r="EG826" s="27" t="s">
        <v>8</v>
      </c>
      <c r="EH826" s="27" t="s">
        <v>7</v>
      </c>
      <c r="EK826" s="27" t="s">
        <v>8</v>
      </c>
      <c r="EL826" s="27" t="s">
        <v>7</v>
      </c>
      <c r="EM826" s="27" t="s">
        <v>8</v>
      </c>
      <c r="EN826" s="27" t="s">
        <v>7</v>
      </c>
      <c r="EO826" s="27" t="s">
        <v>8</v>
      </c>
      <c r="EQ826" s="27" t="s">
        <v>8</v>
      </c>
      <c r="ER826" s="27" t="s">
        <v>7</v>
      </c>
      <c r="ES826" s="27" t="s">
        <v>8</v>
      </c>
      <c r="ET826" s="27" t="s">
        <v>7</v>
      </c>
      <c r="EY826" s="27" t="s">
        <v>8</v>
      </c>
      <c r="FA826" s="27" t="s">
        <v>8</v>
      </c>
      <c r="FB826" s="27" t="s">
        <v>7</v>
      </c>
      <c r="FJ826" s="27" t="s">
        <v>7</v>
      </c>
      <c r="FK826" s="27" t="s">
        <v>8</v>
      </c>
      <c r="FL826" s="27" t="s">
        <v>7</v>
      </c>
      <c r="FO826" s="27" t="s">
        <v>8</v>
      </c>
      <c r="FP826" s="27" t="s">
        <v>7</v>
      </c>
      <c r="FQ826" s="27" t="s">
        <v>8</v>
      </c>
      <c r="FR826" s="27" t="s">
        <v>7</v>
      </c>
      <c r="FS826" s="27" t="s">
        <v>8</v>
      </c>
      <c r="FZ826" s="27" t="s">
        <v>7</v>
      </c>
      <c r="GA826" s="27" t="s">
        <v>8</v>
      </c>
      <c r="GB826" s="27" t="s">
        <v>7</v>
      </c>
      <c r="GD826" s="27" t="s">
        <v>7</v>
      </c>
      <c r="GG826" s="27" t="s">
        <v>8</v>
      </c>
      <c r="GH826" s="27" t="s">
        <v>7</v>
      </c>
      <c r="GQ826" s="27" t="s">
        <v>8</v>
      </c>
      <c r="GR826" s="27" t="s">
        <v>7</v>
      </c>
      <c r="GS826" s="27" t="s">
        <v>8</v>
      </c>
      <c r="IU826" s="27" t="s">
        <v>8</v>
      </c>
      <c r="IW826" s="27" t="s">
        <v>8</v>
      </c>
      <c r="IX826" s="27" t="s">
        <v>7</v>
      </c>
      <c r="IY826" s="27" t="s">
        <v>8</v>
      </c>
      <c r="JA826" s="27" t="s">
        <v>8</v>
      </c>
      <c r="JB826" s="27" t="s">
        <v>7</v>
      </c>
      <c r="JC826" s="27" t="s">
        <v>8</v>
      </c>
      <c r="MB826" s="27" t="s">
        <v>7</v>
      </c>
    </row>
    <row r="827" spans="1:355" x14ac:dyDescent="0.25">
      <c r="A827" s="7">
        <v>8.6289663846986879E-3</v>
      </c>
      <c r="B827"/>
      <c r="C827"/>
      <c r="D827"/>
      <c r="E827"/>
      <c r="BT827" s="27" t="s">
        <v>7</v>
      </c>
      <c r="BU827" s="27" t="s">
        <v>8</v>
      </c>
      <c r="BV827" s="27" t="s">
        <v>7</v>
      </c>
      <c r="BY827" s="27" t="s">
        <v>8</v>
      </c>
      <c r="BZ827" s="27" t="s">
        <v>7</v>
      </c>
      <c r="CA827" s="27" t="s">
        <v>8</v>
      </c>
      <c r="CB827" s="27" t="s">
        <v>7</v>
      </c>
      <c r="CE827" s="27" t="s">
        <v>8</v>
      </c>
      <c r="CG827" s="27" t="s">
        <v>8</v>
      </c>
      <c r="CL827" s="27" t="s">
        <v>7</v>
      </c>
      <c r="CM827" s="27" t="s">
        <v>8</v>
      </c>
      <c r="CV827" s="27" t="s">
        <v>7</v>
      </c>
      <c r="CW827" s="27" t="s">
        <v>8</v>
      </c>
      <c r="CX827" s="27" t="s">
        <v>7</v>
      </c>
      <c r="CZ827" s="27" t="s">
        <v>7</v>
      </c>
      <c r="EE827" s="27" t="s">
        <v>8</v>
      </c>
      <c r="EF827" s="27" t="s">
        <v>7</v>
      </c>
      <c r="EG827" s="27" t="s">
        <v>8</v>
      </c>
      <c r="EH827" s="27" t="s">
        <v>7</v>
      </c>
      <c r="EK827" s="27" t="s">
        <v>8</v>
      </c>
      <c r="EL827" s="27" t="s">
        <v>7</v>
      </c>
      <c r="EM827" s="27" t="s">
        <v>8</v>
      </c>
      <c r="EN827" s="27" t="s">
        <v>7</v>
      </c>
      <c r="EO827" s="27" t="s">
        <v>8</v>
      </c>
      <c r="EP827" s="27" t="s">
        <v>7</v>
      </c>
      <c r="EQ827" s="27" t="s">
        <v>8</v>
      </c>
      <c r="ER827" s="27" t="s">
        <v>7</v>
      </c>
      <c r="ET827" s="27" t="s">
        <v>7</v>
      </c>
      <c r="EU827" s="27" t="s">
        <v>8</v>
      </c>
      <c r="EW827" s="27" t="s">
        <v>8</v>
      </c>
      <c r="EY827" s="27" t="s">
        <v>8</v>
      </c>
      <c r="EZ827" s="27" t="s">
        <v>7</v>
      </c>
      <c r="FA827" s="27" t="s">
        <v>8</v>
      </c>
      <c r="FJ827" s="27" t="s">
        <v>7</v>
      </c>
      <c r="FK827" s="27" t="s">
        <v>8</v>
      </c>
      <c r="FL827" s="27" t="s">
        <v>7</v>
      </c>
      <c r="FO827" s="27" t="s">
        <v>8</v>
      </c>
      <c r="FP827" s="27" t="s">
        <v>7</v>
      </c>
      <c r="FQ827" s="27" t="s">
        <v>8</v>
      </c>
      <c r="FR827" s="27" t="s">
        <v>7</v>
      </c>
      <c r="FZ827" s="27" t="s">
        <v>7</v>
      </c>
      <c r="GD827" s="27" t="s">
        <v>7</v>
      </c>
      <c r="GG827" s="27" t="s">
        <v>8</v>
      </c>
      <c r="GH827" s="27" t="s">
        <v>7</v>
      </c>
      <c r="GQ827" s="27" t="s">
        <v>8</v>
      </c>
      <c r="GR827" s="27" t="s">
        <v>7</v>
      </c>
      <c r="GS827" s="27" t="s">
        <v>8</v>
      </c>
      <c r="GT827" s="27" t="s">
        <v>7</v>
      </c>
      <c r="IQ827" s="27" t="s">
        <v>8</v>
      </c>
      <c r="IU827" s="27" t="s">
        <v>8</v>
      </c>
      <c r="IV827" s="27" t="s">
        <v>7</v>
      </c>
      <c r="IW827" s="27" t="s">
        <v>8</v>
      </c>
      <c r="IX827" s="27" t="s">
        <v>7</v>
      </c>
      <c r="IY827" s="27" t="s">
        <v>8</v>
      </c>
      <c r="IZ827" s="27" t="s">
        <v>7</v>
      </c>
      <c r="JA827" s="27" t="s">
        <v>8</v>
      </c>
      <c r="JB827" s="27" t="s">
        <v>7</v>
      </c>
      <c r="JC827" s="27" t="s">
        <v>8</v>
      </c>
    </row>
    <row r="828" spans="1:355" x14ac:dyDescent="0.25">
      <c r="A828" s="7">
        <v>8.4597709653908715E-3</v>
      </c>
      <c r="B828"/>
      <c r="C828"/>
      <c r="D828"/>
      <c r="E828"/>
      <c r="BT828" s="27" t="s">
        <v>7</v>
      </c>
      <c r="BV828" s="27" t="s">
        <v>7</v>
      </c>
      <c r="BW828" s="27" t="s">
        <v>8</v>
      </c>
      <c r="BY828" s="27" t="s">
        <v>8</v>
      </c>
      <c r="BZ828" s="27" t="s">
        <v>7</v>
      </c>
      <c r="CB828" s="27" t="s">
        <v>7</v>
      </c>
      <c r="CE828" s="27" t="s">
        <v>8</v>
      </c>
      <c r="CF828" s="27" t="s">
        <v>7</v>
      </c>
      <c r="CG828" s="27" t="s">
        <v>8</v>
      </c>
      <c r="CL828" s="27" t="s">
        <v>7</v>
      </c>
      <c r="CV828" s="27" t="s">
        <v>7</v>
      </c>
      <c r="CW828" s="27" t="s">
        <v>8</v>
      </c>
      <c r="CZ828" s="27" t="s">
        <v>7</v>
      </c>
      <c r="EE828" s="27" t="s">
        <v>8</v>
      </c>
      <c r="EF828" s="27" t="s">
        <v>7</v>
      </c>
      <c r="EG828" s="27" t="s">
        <v>8</v>
      </c>
      <c r="EH828" s="27" t="s">
        <v>7</v>
      </c>
      <c r="EI828" s="27" t="s">
        <v>8</v>
      </c>
      <c r="EK828" s="27" t="s">
        <v>8</v>
      </c>
      <c r="EL828" s="27" t="s">
        <v>7</v>
      </c>
      <c r="EM828" s="27" t="s">
        <v>8</v>
      </c>
      <c r="EN828" s="27" t="s">
        <v>7</v>
      </c>
      <c r="EO828" s="27" t="s">
        <v>8</v>
      </c>
      <c r="EP828" s="27" t="s">
        <v>7</v>
      </c>
      <c r="EQ828" s="27" t="s">
        <v>8</v>
      </c>
      <c r="ET828" s="27" t="s">
        <v>7</v>
      </c>
      <c r="EU828" s="27" t="s">
        <v>8</v>
      </c>
      <c r="EV828" s="27" t="s">
        <v>7</v>
      </c>
      <c r="EW828" s="27" t="s">
        <v>8</v>
      </c>
      <c r="EX828" s="27" t="s">
        <v>7</v>
      </c>
      <c r="EY828" s="27" t="s">
        <v>8</v>
      </c>
      <c r="EZ828" s="27" t="s">
        <v>7</v>
      </c>
      <c r="FA828" s="27" t="s">
        <v>8</v>
      </c>
      <c r="FJ828" s="27" t="s">
        <v>7</v>
      </c>
      <c r="FK828" s="27" t="s">
        <v>8</v>
      </c>
      <c r="FL828" s="27" t="s">
        <v>7</v>
      </c>
      <c r="FO828" s="27" t="s">
        <v>8</v>
      </c>
      <c r="FP828" s="27" t="s">
        <v>7</v>
      </c>
      <c r="GD828" s="27" t="s">
        <v>7</v>
      </c>
      <c r="GG828" s="27" t="s">
        <v>8</v>
      </c>
      <c r="GH828" s="27" t="s">
        <v>7</v>
      </c>
      <c r="GQ828" s="27" t="s">
        <v>8</v>
      </c>
      <c r="GR828" s="27" t="s">
        <v>7</v>
      </c>
      <c r="GS828" s="27" t="s">
        <v>8</v>
      </c>
      <c r="GT828" s="27" t="s">
        <v>7</v>
      </c>
      <c r="IQ828" s="27" t="s">
        <v>8</v>
      </c>
      <c r="IR828" s="27" t="s">
        <v>7</v>
      </c>
      <c r="IU828" s="27" t="s">
        <v>8</v>
      </c>
      <c r="IV828" s="27" t="s">
        <v>7</v>
      </c>
      <c r="IW828" s="27" t="s">
        <v>8</v>
      </c>
      <c r="IX828" s="27" t="s">
        <v>7</v>
      </c>
      <c r="IY828" s="27" t="s">
        <v>8</v>
      </c>
      <c r="IZ828" s="27" t="s">
        <v>7</v>
      </c>
      <c r="JA828" s="27" t="s">
        <v>8</v>
      </c>
      <c r="JB828" s="27" t="s">
        <v>7</v>
      </c>
    </row>
    <row r="829" spans="1:355" x14ac:dyDescent="0.25">
      <c r="A829" s="7">
        <v>8.2938931033243839E-3</v>
      </c>
      <c r="B829"/>
      <c r="C829"/>
      <c r="D829"/>
      <c r="E829"/>
      <c r="BV829" s="27" t="s">
        <v>7</v>
      </c>
      <c r="BW829" s="27" t="s">
        <v>8</v>
      </c>
      <c r="BX829" s="27" t="s">
        <v>7</v>
      </c>
      <c r="BY829" s="27" t="s">
        <v>8</v>
      </c>
      <c r="CB829" s="27" t="s">
        <v>7</v>
      </c>
      <c r="CE829" s="27" t="s">
        <v>8</v>
      </c>
      <c r="CF829" s="27" t="s">
        <v>7</v>
      </c>
      <c r="CG829" s="27" t="s">
        <v>8</v>
      </c>
      <c r="CV829" s="27" t="s">
        <v>7</v>
      </c>
      <c r="CW829" s="27" t="s">
        <v>8</v>
      </c>
      <c r="CZ829" s="27" t="s">
        <v>7</v>
      </c>
      <c r="EE829" s="27" t="s">
        <v>8</v>
      </c>
      <c r="EF829" s="27" t="s">
        <v>7</v>
      </c>
      <c r="EG829" s="27" t="s">
        <v>8</v>
      </c>
      <c r="EH829" s="27" t="s">
        <v>7</v>
      </c>
      <c r="EI829" s="27" t="s">
        <v>8</v>
      </c>
      <c r="EJ829" s="27" t="s">
        <v>7</v>
      </c>
      <c r="EK829" s="27" t="s">
        <v>8</v>
      </c>
      <c r="EL829" s="27" t="s">
        <v>7</v>
      </c>
      <c r="EN829" s="27" t="s">
        <v>7</v>
      </c>
      <c r="EO829" s="27" t="s">
        <v>8</v>
      </c>
      <c r="EP829" s="27" t="s">
        <v>7</v>
      </c>
      <c r="EQ829" s="27" t="s">
        <v>8</v>
      </c>
      <c r="ET829" s="27" t="s">
        <v>7</v>
      </c>
      <c r="EU829" s="27" t="s">
        <v>8</v>
      </c>
      <c r="EV829" s="27" t="s">
        <v>7</v>
      </c>
      <c r="EW829" s="27" t="s">
        <v>8</v>
      </c>
      <c r="EX829" s="27" t="s">
        <v>7</v>
      </c>
      <c r="EY829" s="27" t="s">
        <v>8</v>
      </c>
      <c r="EZ829" s="27" t="s">
        <v>7</v>
      </c>
      <c r="FA829" s="27" t="s">
        <v>8</v>
      </c>
      <c r="FJ829" s="27" t="s">
        <v>7</v>
      </c>
      <c r="FK829" s="27" t="s">
        <v>8</v>
      </c>
      <c r="FL829" s="27" t="s">
        <v>7</v>
      </c>
      <c r="FM829" s="27" t="s">
        <v>8</v>
      </c>
      <c r="FO829" s="27" t="s">
        <v>8</v>
      </c>
      <c r="GD829" s="27" t="s">
        <v>7</v>
      </c>
      <c r="GG829" s="27" t="s">
        <v>8</v>
      </c>
      <c r="GH829" s="27" t="s">
        <v>7</v>
      </c>
      <c r="GI829" s="27" t="s">
        <v>8</v>
      </c>
      <c r="GK829" s="27" t="s">
        <v>8</v>
      </c>
      <c r="GQ829" s="27" t="s">
        <v>8</v>
      </c>
      <c r="GR829" s="27" t="s">
        <v>7</v>
      </c>
      <c r="GS829" s="27" t="s">
        <v>8</v>
      </c>
      <c r="GT829" s="27" t="s">
        <v>7</v>
      </c>
      <c r="IQ829" s="27" t="s">
        <v>8</v>
      </c>
      <c r="IR829" s="27" t="s">
        <v>7</v>
      </c>
      <c r="IU829" s="27" t="s">
        <v>8</v>
      </c>
      <c r="IV829" s="27" t="s">
        <v>7</v>
      </c>
      <c r="IW829" s="27" t="s">
        <v>8</v>
      </c>
      <c r="IX829" s="27" t="s">
        <v>7</v>
      </c>
      <c r="IY829" s="27" t="s">
        <v>8</v>
      </c>
      <c r="IZ829" s="27" t="s">
        <v>7</v>
      </c>
      <c r="JA829" s="27" t="s">
        <v>8</v>
      </c>
    </row>
    <row r="830" spans="1:355" x14ac:dyDescent="0.25">
      <c r="A830" s="7">
        <v>8.1312677483572383E-3</v>
      </c>
      <c r="B830"/>
      <c r="C830"/>
      <c r="D830"/>
      <c r="E830"/>
      <c r="BV830" s="27" t="s">
        <v>7</v>
      </c>
      <c r="BW830" s="27" t="s">
        <v>8</v>
      </c>
      <c r="BX830" s="27" t="s">
        <v>7</v>
      </c>
      <c r="BY830" s="27" t="s">
        <v>8</v>
      </c>
      <c r="CB830" s="27" t="s">
        <v>7</v>
      </c>
      <c r="CE830" s="27" t="s">
        <v>8</v>
      </c>
      <c r="CF830" s="27" t="s">
        <v>7</v>
      </c>
      <c r="CG830" s="27" t="s">
        <v>8</v>
      </c>
      <c r="CV830" s="27" t="s">
        <v>7</v>
      </c>
      <c r="CW830" s="27" t="s">
        <v>8</v>
      </c>
      <c r="CZ830" s="27" t="s">
        <v>7</v>
      </c>
      <c r="EE830" s="27" t="s">
        <v>8</v>
      </c>
      <c r="EF830" s="27" t="s">
        <v>7</v>
      </c>
      <c r="EH830" s="27" t="s">
        <v>7</v>
      </c>
      <c r="EI830" s="27" t="s">
        <v>8</v>
      </c>
      <c r="EJ830" s="27" t="s">
        <v>7</v>
      </c>
      <c r="EK830" s="27" t="s">
        <v>8</v>
      </c>
      <c r="EN830" s="27" t="s">
        <v>7</v>
      </c>
      <c r="EO830" s="27" t="s">
        <v>8</v>
      </c>
      <c r="EP830" s="27" t="s">
        <v>7</v>
      </c>
      <c r="EQ830" s="27" t="s">
        <v>8</v>
      </c>
      <c r="ET830" s="27" t="s">
        <v>7</v>
      </c>
      <c r="EU830" s="27" t="s">
        <v>8</v>
      </c>
      <c r="EV830" s="27" t="s">
        <v>7</v>
      </c>
      <c r="EW830" s="27" t="s">
        <v>8</v>
      </c>
      <c r="EX830" s="27" t="s">
        <v>7</v>
      </c>
      <c r="EZ830" s="27" t="s">
        <v>7</v>
      </c>
      <c r="FJ830" s="27" t="s">
        <v>7</v>
      </c>
      <c r="FK830" s="27" t="s">
        <v>8</v>
      </c>
      <c r="FL830" s="27" t="s">
        <v>7</v>
      </c>
      <c r="FM830" s="27" t="s">
        <v>8</v>
      </c>
      <c r="FN830" s="27" t="s">
        <v>7</v>
      </c>
      <c r="FO830" s="27" t="s">
        <v>8</v>
      </c>
      <c r="GD830" s="27" t="s">
        <v>7</v>
      </c>
      <c r="GG830" s="27" t="s">
        <v>8</v>
      </c>
      <c r="GH830" s="27" t="s">
        <v>7</v>
      </c>
      <c r="GI830" s="27" t="s">
        <v>8</v>
      </c>
      <c r="GJ830" s="27" t="s">
        <v>7</v>
      </c>
      <c r="GK830" s="27" t="s">
        <v>8</v>
      </c>
      <c r="GL830" s="27" t="s">
        <v>7</v>
      </c>
      <c r="GQ830" s="27" t="s">
        <v>8</v>
      </c>
      <c r="GR830" s="27" t="s">
        <v>7</v>
      </c>
      <c r="GT830" s="27" t="s">
        <v>7</v>
      </c>
      <c r="IE830" s="27" t="s">
        <v>8</v>
      </c>
      <c r="IM830" s="27" t="s">
        <v>8</v>
      </c>
      <c r="IO830" s="27" t="s">
        <v>8</v>
      </c>
      <c r="IQ830" s="27" t="s">
        <v>8</v>
      </c>
      <c r="IR830" s="27" t="s">
        <v>7</v>
      </c>
      <c r="IS830" s="27" t="s">
        <v>8</v>
      </c>
      <c r="IU830" s="27" t="s">
        <v>8</v>
      </c>
      <c r="IV830" s="27" t="s">
        <v>7</v>
      </c>
      <c r="IW830" s="27" t="s">
        <v>8</v>
      </c>
      <c r="IX830" s="27" t="s">
        <v>7</v>
      </c>
      <c r="IY830" s="27" t="s">
        <v>8</v>
      </c>
      <c r="IZ830" s="27" t="s">
        <v>7</v>
      </c>
      <c r="JA830" s="27" t="s">
        <v>8</v>
      </c>
    </row>
    <row r="831" spans="1:355" x14ac:dyDescent="0.25">
      <c r="A831" s="7">
        <v>7.9718311258404305E-3</v>
      </c>
      <c r="B831"/>
      <c r="C831"/>
      <c r="D831"/>
      <c r="E831"/>
      <c r="BV831" s="27" t="s">
        <v>7</v>
      </c>
      <c r="BW831" s="27" t="s">
        <v>8</v>
      </c>
      <c r="BX831" s="27" t="s">
        <v>7</v>
      </c>
      <c r="BY831" s="27" t="s">
        <v>8</v>
      </c>
      <c r="CB831" s="27" t="s">
        <v>7</v>
      </c>
      <c r="CE831" s="27" t="s">
        <v>8</v>
      </c>
      <c r="CF831" s="27" t="s">
        <v>7</v>
      </c>
      <c r="CG831" s="27" t="s">
        <v>8</v>
      </c>
      <c r="CV831" s="27" t="s">
        <v>7</v>
      </c>
      <c r="CW831" s="27" t="s">
        <v>8</v>
      </c>
      <c r="CZ831" s="27" t="s">
        <v>7</v>
      </c>
      <c r="EC831" s="27" t="s">
        <v>8</v>
      </c>
      <c r="EE831" s="27" t="s">
        <v>8</v>
      </c>
      <c r="EH831" s="27" t="s">
        <v>7</v>
      </c>
      <c r="EI831" s="27" t="s">
        <v>8</v>
      </c>
      <c r="EJ831" s="27" t="s">
        <v>7</v>
      </c>
      <c r="EK831" s="27" t="s">
        <v>8</v>
      </c>
      <c r="EN831" s="27" t="s">
        <v>7</v>
      </c>
      <c r="EO831" s="27" t="s">
        <v>8</v>
      </c>
      <c r="EP831" s="27" t="s">
        <v>7</v>
      </c>
      <c r="EQ831" s="27" t="s">
        <v>8</v>
      </c>
      <c r="ET831" s="27" t="s">
        <v>7</v>
      </c>
      <c r="EU831" s="27" t="s">
        <v>8</v>
      </c>
      <c r="EV831" s="27" t="s">
        <v>7</v>
      </c>
      <c r="EW831" s="27" t="s">
        <v>8</v>
      </c>
      <c r="FJ831" s="27" t="s">
        <v>7</v>
      </c>
      <c r="FK831" s="27" t="s">
        <v>8</v>
      </c>
      <c r="FL831" s="27" t="s">
        <v>7</v>
      </c>
      <c r="FM831" s="27" t="s">
        <v>8</v>
      </c>
      <c r="FN831" s="27" t="s">
        <v>7</v>
      </c>
      <c r="FO831" s="27" t="s">
        <v>8</v>
      </c>
      <c r="GD831" s="27" t="s">
        <v>7</v>
      </c>
      <c r="GG831" s="27" t="s">
        <v>8</v>
      </c>
      <c r="GH831" s="27" t="s">
        <v>7</v>
      </c>
      <c r="GI831" s="27" t="s">
        <v>8</v>
      </c>
      <c r="GJ831" s="27" t="s">
        <v>7</v>
      </c>
      <c r="GK831" s="27" t="s">
        <v>8</v>
      </c>
      <c r="GL831" s="27" t="s">
        <v>7</v>
      </c>
      <c r="GQ831" s="27" t="s">
        <v>8</v>
      </c>
      <c r="GT831" s="27" t="s">
        <v>7</v>
      </c>
      <c r="GW831" s="27" t="s">
        <v>8</v>
      </c>
      <c r="HS831" s="27" t="s">
        <v>8</v>
      </c>
      <c r="IE831" s="27" t="s">
        <v>8</v>
      </c>
      <c r="IF831" s="27" t="s">
        <v>7</v>
      </c>
      <c r="IM831" s="27" t="s">
        <v>8</v>
      </c>
      <c r="IN831" s="27" t="s">
        <v>7</v>
      </c>
      <c r="IO831" s="27" t="s">
        <v>8</v>
      </c>
      <c r="IP831" s="27" t="s">
        <v>7</v>
      </c>
      <c r="IQ831" s="27" t="s">
        <v>8</v>
      </c>
      <c r="IR831" s="27" t="s">
        <v>7</v>
      </c>
      <c r="IS831" s="27" t="s">
        <v>8</v>
      </c>
      <c r="IT831" s="27" t="s">
        <v>7</v>
      </c>
      <c r="IU831" s="27" t="s">
        <v>8</v>
      </c>
      <c r="IV831" s="27" t="s">
        <v>7</v>
      </c>
      <c r="IW831" s="27" t="s">
        <v>8</v>
      </c>
      <c r="IX831" s="27" t="s">
        <v>7</v>
      </c>
      <c r="IY831" s="27" t="s">
        <v>8</v>
      </c>
      <c r="IZ831" s="27" t="s">
        <v>7</v>
      </c>
      <c r="JA831" s="27" t="s">
        <v>8</v>
      </c>
    </row>
    <row r="832" spans="1:355" x14ac:dyDescent="0.25">
      <c r="A832" s="7">
        <v>7.8155207116082648E-3</v>
      </c>
      <c r="B832"/>
      <c r="C832"/>
      <c r="D832"/>
      <c r="E832"/>
      <c r="BV832" s="27" t="s">
        <v>7</v>
      </c>
      <c r="BX832" s="27" t="s">
        <v>7</v>
      </c>
      <c r="BY832" s="27" t="s">
        <v>8</v>
      </c>
      <c r="CB832" s="27" t="s">
        <v>7</v>
      </c>
      <c r="CC832" s="27" t="s">
        <v>8</v>
      </c>
      <c r="CE832" s="27" t="s">
        <v>8</v>
      </c>
      <c r="CF832" s="27" t="s">
        <v>7</v>
      </c>
      <c r="CV832" s="27" t="s">
        <v>7</v>
      </c>
      <c r="CW832" s="27" t="s">
        <v>8</v>
      </c>
      <c r="CZ832" s="27" t="s">
        <v>7</v>
      </c>
      <c r="EC832" s="27" t="s">
        <v>8</v>
      </c>
      <c r="ED832" s="27" t="s">
        <v>7</v>
      </c>
      <c r="EE832" s="27" t="s">
        <v>8</v>
      </c>
      <c r="EH832" s="27" t="s">
        <v>7</v>
      </c>
      <c r="EI832" s="27" t="s">
        <v>8</v>
      </c>
      <c r="EJ832" s="27" t="s">
        <v>7</v>
      </c>
      <c r="EK832" s="27" t="s">
        <v>8</v>
      </c>
      <c r="EN832" s="27" t="s">
        <v>7</v>
      </c>
      <c r="EP832" s="27" t="s">
        <v>7</v>
      </c>
      <c r="EQ832" s="27" t="s">
        <v>8</v>
      </c>
      <c r="ET832" s="27" t="s">
        <v>7</v>
      </c>
      <c r="EU832" s="27" t="s">
        <v>8</v>
      </c>
      <c r="EV832" s="27" t="s">
        <v>7</v>
      </c>
      <c r="FJ832" s="27" t="s">
        <v>7</v>
      </c>
      <c r="FL832" s="27" t="s">
        <v>7</v>
      </c>
      <c r="FM832" s="27" t="s">
        <v>8</v>
      </c>
      <c r="FN832" s="27" t="s">
        <v>7</v>
      </c>
      <c r="GD832" s="27" t="s">
        <v>7</v>
      </c>
      <c r="GE832" s="27" t="s">
        <v>8</v>
      </c>
      <c r="GG832" s="27" t="s">
        <v>8</v>
      </c>
      <c r="GH832" s="27" t="s">
        <v>7</v>
      </c>
      <c r="GI832" s="27" t="s">
        <v>8</v>
      </c>
      <c r="GJ832" s="27" t="s">
        <v>7</v>
      </c>
      <c r="GL832" s="27" t="s">
        <v>7</v>
      </c>
      <c r="GO832" s="27" t="s">
        <v>8</v>
      </c>
      <c r="GQ832" s="27" t="s">
        <v>8</v>
      </c>
      <c r="GT832" s="27" t="s">
        <v>7</v>
      </c>
      <c r="GW832" s="27" t="s">
        <v>8</v>
      </c>
      <c r="GX832" s="27" t="s">
        <v>7</v>
      </c>
      <c r="HS832" s="27" t="s">
        <v>8</v>
      </c>
      <c r="HT832" s="27" t="s">
        <v>7</v>
      </c>
      <c r="IE832" s="27" t="s">
        <v>8</v>
      </c>
      <c r="IF832" s="27" t="s">
        <v>7</v>
      </c>
      <c r="IM832" s="27" t="s">
        <v>8</v>
      </c>
      <c r="IN832" s="27" t="s">
        <v>7</v>
      </c>
      <c r="IO832" s="27" t="s">
        <v>8</v>
      </c>
      <c r="IP832" s="27" t="s">
        <v>7</v>
      </c>
      <c r="IQ832" s="27" t="s">
        <v>8</v>
      </c>
      <c r="IR832" s="27" t="s">
        <v>7</v>
      </c>
      <c r="IS832" s="27" t="s">
        <v>8</v>
      </c>
      <c r="IT832" s="27" t="s">
        <v>7</v>
      </c>
      <c r="IU832" s="27" t="s">
        <v>8</v>
      </c>
      <c r="IV832" s="27" t="s">
        <v>7</v>
      </c>
      <c r="IW832" s="27" t="s">
        <v>8</v>
      </c>
      <c r="IX832" s="27" t="s">
        <v>7</v>
      </c>
      <c r="IY832" s="27" t="s">
        <v>8</v>
      </c>
      <c r="IZ832" s="27" t="s">
        <v>7</v>
      </c>
      <c r="JA832" s="27" t="s">
        <v>8</v>
      </c>
    </row>
    <row r="833" spans="1:261" x14ac:dyDescent="0.25">
      <c r="A833" s="7">
        <v>7.6622752074590825E-3</v>
      </c>
      <c r="B833"/>
      <c r="C833"/>
      <c r="D833"/>
      <c r="E833"/>
      <c r="BX833" s="27" t="s">
        <v>7</v>
      </c>
      <c r="CB833" s="27" t="s">
        <v>7</v>
      </c>
      <c r="CC833" s="27" t="s">
        <v>8</v>
      </c>
      <c r="CD833" s="27" t="s">
        <v>7</v>
      </c>
      <c r="CE833" s="27" t="s">
        <v>8</v>
      </c>
      <c r="CV833" s="27" t="s">
        <v>7</v>
      </c>
      <c r="CZ833" s="27" t="s">
        <v>7</v>
      </c>
      <c r="EC833" s="27" t="s">
        <v>8</v>
      </c>
      <c r="ED833" s="27" t="s">
        <v>7</v>
      </c>
      <c r="EE833" s="27" t="s">
        <v>8</v>
      </c>
      <c r="EH833" s="27" t="s">
        <v>7</v>
      </c>
      <c r="EJ833" s="27" t="s">
        <v>7</v>
      </c>
      <c r="EK833" s="27" t="s">
        <v>8</v>
      </c>
      <c r="EP833" s="27" t="s">
        <v>7</v>
      </c>
      <c r="ET833" s="27" t="s">
        <v>7</v>
      </c>
      <c r="EU833" s="27" t="s">
        <v>8</v>
      </c>
      <c r="FL833" s="27" t="s">
        <v>7</v>
      </c>
      <c r="GD833" s="27" t="s">
        <v>7</v>
      </c>
      <c r="GE833" s="27" t="s">
        <v>8</v>
      </c>
      <c r="GF833" s="27" t="s">
        <v>7</v>
      </c>
      <c r="GG833" s="27" t="s">
        <v>8</v>
      </c>
      <c r="GH833" s="27" t="s">
        <v>7</v>
      </c>
      <c r="GI833" s="27" t="s">
        <v>8</v>
      </c>
      <c r="GL833" s="27" t="s">
        <v>7</v>
      </c>
      <c r="GO833" s="27" t="s">
        <v>8</v>
      </c>
      <c r="GP833" s="27" t="s">
        <v>7</v>
      </c>
      <c r="GQ833" s="27" t="s">
        <v>8</v>
      </c>
      <c r="GT833" s="27" t="s">
        <v>7</v>
      </c>
      <c r="GU833" s="27" t="s">
        <v>8</v>
      </c>
      <c r="GW833" s="27" t="s">
        <v>8</v>
      </c>
      <c r="GX833" s="27" t="s">
        <v>7</v>
      </c>
      <c r="GY833" s="27" t="s">
        <v>8</v>
      </c>
      <c r="HS833" s="27" t="s">
        <v>8</v>
      </c>
      <c r="HT833" s="27" t="s">
        <v>7</v>
      </c>
      <c r="IE833" s="27" t="s">
        <v>8</v>
      </c>
      <c r="IF833" s="27" t="s">
        <v>7</v>
      </c>
      <c r="IM833" s="27" t="s">
        <v>8</v>
      </c>
      <c r="IN833" s="27" t="s">
        <v>7</v>
      </c>
      <c r="IO833" s="27" t="s">
        <v>8</v>
      </c>
      <c r="IP833" s="27" t="s">
        <v>7</v>
      </c>
      <c r="IQ833" s="27" t="s">
        <v>8</v>
      </c>
      <c r="IR833" s="27" t="s">
        <v>7</v>
      </c>
      <c r="IS833" s="27" t="s">
        <v>8</v>
      </c>
      <c r="IT833" s="27" t="s">
        <v>7</v>
      </c>
      <c r="IU833" s="27" t="s">
        <v>8</v>
      </c>
      <c r="IV833" s="27" t="s">
        <v>7</v>
      </c>
      <c r="IW833" s="27" t="s">
        <v>8</v>
      </c>
      <c r="IX833" s="27" t="s">
        <v>7</v>
      </c>
      <c r="IY833" s="27" t="s">
        <v>8</v>
      </c>
      <c r="IZ833" s="27" t="s">
        <v>7</v>
      </c>
      <c r="JA833" s="27" t="s">
        <v>8</v>
      </c>
    </row>
    <row r="834" spans="1:261" x14ac:dyDescent="0.25">
      <c r="A834" s="7">
        <v>7.5120345171167469E-3</v>
      </c>
      <c r="B834"/>
      <c r="C834"/>
      <c r="D834"/>
      <c r="E834"/>
      <c r="CB834" s="27" t="s">
        <v>7</v>
      </c>
      <c r="CC834" s="27" t="s">
        <v>8</v>
      </c>
      <c r="CD834" s="27" t="s">
        <v>7</v>
      </c>
      <c r="CE834" s="27" t="s">
        <v>8</v>
      </c>
      <c r="CZ834" s="27" t="s">
        <v>7</v>
      </c>
      <c r="EC834" s="27" t="s">
        <v>8</v>
      </c>
      <c r="ED834" s="27" t="s">
        <v>7</v>
      </c>
      <c r="EE834" s="27" t="s">
        <v>8</v>
      </c>
      <c r="EJ834" s="27" t="s">
        <v>7</v>
      </c>
      <c r="ET834" s="27" t="s">
        <v>7</v>
      </c>
      <c r="EU834" s="27" t="s">
        <v>8</v>
      </c>
      <c r="GD834" s="27" t="s">
        <v>7</v>
      </c>
      <c r="GE834" s="27" t="s">
        <v>8</v>
      </c>
      <c r="GF834" s="27" t="s">
        <v>7</v>
      </c>
      <c r="GG834" s="27" t="s">
        <v>8</v>
      </c>
      <c r="GH834" s="27" t="s">
        <v>7</v>
      </c>
      <c r="GI834" s="27" t="s">
        <v>8</v>
      </c>
      <c r="GL834" s="27" t="s">
        <v>7</v>
      </c>
      <c r="GO834" s="27" t="s">
        <v>8</v>
      </c>
      <c r="GP834" s="27" t="s">
        <v>7</v>
      </c>
      <c r="GQ834" s="27" t="s">
        <v>8</v>
      </c>
      <c r="GT834" s="27" t="s">
        <v>7</v>
      </c>
      <c r="GU834" s="27" t="s">
        <v>8</v>
      </c>
      <c r="GV834" s="27" t="s">
        <v>7</v>
      </c>
      <c r="GW834" s="27" t="s">
        <v>8</v>
      </c>
      <c r="GX834" s="27" t="s">
        <v>7</v>
      </c>
      <c r="GY834" s="27" t="s">
        <v>8</v>
      </c>
      <c r="GZ834" s="27" t="s">
        <v>7</v>
      </c>
      <c r="HS834" s="27" t="s">
        <v>8</v>
      </c>
      <c r="HT834" s="27" t="s">
        <v>7</v>
      </c>
      <c r="IE834" s="27" t="s">
        <v>8</v>
      </c>
      <c r="IF834" s="27" t="s">
        <v>7</v>
      </c>
      <c r="IM834" s="27" t="s">
        <v>8</v>
      </c>
      <c r="IN834" s="27" t="s">
        <v>7</v>
      </c>
      <c r="IO834" s="27" t="s">
        <v>8</v>
      </c>
      <c r="IP834" s="27" t="s">
        <v>7</v>
      </c>
      <c r="IQ834" s="27" t="s">
        <v>8</v>
      </c>
      <c r="IR834" s="27" t="s">
        <v>7</v>
      </c>
      <c r="IS834" s="27" t="s">
        <v>8</v>
      </c>
      <c r="IT834" s="27" t="s">
        <v>7</v>
      </c>
      <c r="IU834" s="27" t="s">
        <v>8</v>
      </c>
      <c r="IV834" s="27" t="s">
        <v>7</v>
      </c>
      <c r="IX834" s="27" t="s">
        <v>7</v>
      </c>
      <c r="IY834" s="27" t="s">
        <v>8</v>
      </c>
      <c r="IZ834" s="27" t="s">
        <v>7</v>
      </c>
      <c r="JA834" s="27" t="s">
        <v>8</v>
      </c>
    </row>
    <row r="835" spans="1:261" x14ac:dyDescent="0.25">
      <c r="A835" s="7">
        <v>7.3647397226634772E-3</v>
      </c>
      <c r="B835"/>
      <c r="C835"/>
      <c r="D835"/>
      <c r="E835"/>
      <c r="CB835" s="27" t="s">
        <v>7</v>
      </c>
      <c r="CD835" s="27" t="s">
        <v>7</v>
      </c>
      <c r="CE835" s="27" t="s">
        <v>8</v>
      </c>
      <c r="CZ835" s="27" t="s">
        <v>7</v>
      </c>
      <c r="EC835" s="27" t="s">
        <v>8</v>
      </c>
      <c r="ED835" s="27" t="s">
        <v>7</v>
      </c>
      <c r="EE835" s="27" t="s">
        <v>8</v>
      </c>
      <c r="ET835" s="27" t="s">
        <v>7</v>
      </c>
      <c r="EU835" s="27" t="s">
        <v>8</v>
      </c>
      <c r="GD835" s="27" t="s">
        <v>7</v>
      </c>
      <c r="GE835" s="27" t="s">
        <v>8</v>
      </c>
      <c r="GF835" s="27" t="s">
        <v>7</v>
      </c>
      <c r="GG835" s="27" t="s">
        <v>8</v>
      </c>
      <c r="GH835" s="27" t="s">
        <v>7</v>
      </c>
      <c r="GL835" s="27" t="s">
        <v>7</v>
      </c>
      <c r="GO835" s="27" t="s">
        <v>8</v>
      </c>
      <c r="GP835" s="27" t="s">
        <v>7</v>
      </c>
      <c r="GT835" s="27" t="s">
        <v>7</v>
      </c>
      <c r="GU835" s="27" t="s">
        <v>8</v>
      </c>
      <c r="GV835" s="27" t="s">
        <v>7</v>
      </c>
      <c r="GW835" s="27" t="s">
        <v>8</v>
      </c>
      <c r="GX835" s="27" t="s">
        <v>7</v>
      </c>
      <c r="GY835" s="27" t="s">
        <v>8</v>
      </c>
      <c r="GZ835" s="27" t="s">
        <v>7</v>
      </c>
      <c r="HS835" s="27" t="s">
        <v>8</v>
      </c>
      <c r="HT835" s="27" t="s">
        <v>7</v>
      </c>
      <c r="IC835" s="27" t="s">
        <v>8</v>
      </c>
      <c r="IE835" s="27" t="s">
        <v>8</v>
      </c>
      <c r="IF835" s="27" t="s">
        <v>7</v>
      </c>
      <c r="IM835" s="27" t="s">
        <v>8</v>
      </c>
      <c r="IN835" s="27" t="s">
        <v>7</v>
      </c>
      <c r="IO835" s="27" t="s">
        <v>8</v>
      </c>
      <c r="IP835" s="27" t="s">
        <v>7</v>
      </c>
      <c r="IQ835" s="27" t="s">
        <v>8</v>
      </c>
      <c r="IR835" s="27" t="s">
        <v>7</v>
      </c>
      <c r="IS835" s="27" t="s">
        <v>8</v>
      </c>
      <c r="IT835" s="27" t="s">
        <v>7</v>
      </c>
      <c r="IU835" s="27" t="s">
        <v>8</v>
      </c>
      <c r="IX835" s="27" t="s">
        <v>7</v>
      </c>
      <c r="IZ835" s="27" t="s">
        <v>7</v>
      </c>
      <c r="JA835" s="27" t="s">
        <v>8</v>
      </c>
    </row>
    <row r="836" spans="1:261" x14ac:dyDescent="0.25">
      <c r="A836" s="7">
        <v>7.2203330614347815E-3</v>
      </c>
      <c r="B836"/>
      <c r="C836"/>
      <c r="D836"/>
      <c r="E836"/>
      <c r="CD836" s="27" t="s">
        <v>7</v>
      </c>
      <c r="CE836" s="27" t="s">
        <v>8</v>
      </c>
      <c r="CZ836" s="27" t="s">
        <v>7</v>
      </c>
      <c r="EC836" s="27" t="s">
        <v>8</v>
      </c>
      <c r="ED836" s="27" t="s">
        <v>7</v>
      </c>
      <c r="EE836" s="27" t="s">
        <v>8</v>
      </c>
      <c r="ET836" s="27" t="s">
        <v>7</v>
      </c>
      <c r="GD836" s="27" t="s">
        <v>7</v>
      </c>
      <c r="GE836" s="27" t="s">
        <v>8</v>
      </c>
      <c r="GF836" s="27" t="s">
        <v>7</v>
      </c>
      <c r="GG836" s="27" t="s">
        <v>8</v>
      </c>
      <c r="GL836" s="27" t="s">
        <v>7</v>
      </c>
      <c r="GM836" s="27" t="s">
        <v>8</v>
      </c>
      <c r="GO836" s="27" t="s">
        <v>8</v>
      </c>
      <c r="GT836" s="27" t="s">
        <v>7</v>
      </c>
      <c r="GV836" s="27" t="s">
        <v>7</v>
      </c>
      <c r="GW836" s="27" t="s">
        <v>8</v>
      </c>
      <c r="GX836" s="27" t="s">
        <v>7</v>
      </c>
      <c r="GY836" s="27" t="s">
        <v>8</v>
      </c>
      <c r="GZ836" s="27" t="s">
        <v>7</v>
      </c>
      <c r="HS836" s="27" t="s">
        <v>8</v>
      </c>
      <c r="HT836" s="27" t="s">
        <v>7</v>
      </c>
      <c r="IC836" s="27" t="s">
        <v>8</v>
      </c>
      <c r="ID836" s="27" t="s">
        <v>7</v>
      </c>
      <c r="IE836" s="27" t="s">
        <v>8</v>
      </c>
      <c r="IF836" s="27" t="s">
        <v>7</v>
      </c>
      <c r="IM836" s="27" t="s">
        <v>8</v>
      </c>
      <c r="IN836" s="27" t="s">
        <v>7</v>
      </c>
      <c r="IO836" s="27" t="s">
        <v>8</v>
      </c>
      <c r="IP836" s="27" t="s">
        <v>7</v>
      </c>
      <c r="IR836" s="27" t="s">
        <v>7</v>
      </c>
      <c r="IT836" s="27" t="s">
        <v>7</v>
      </c>
      <c r="IU836" s="27" t="s">
        <v>8</v>
      </c>
      <c r="IZ836" s="27" t="s">
        <v>7</v>
      </c>
    </row>
    <row r="837" spans="1:261" x14ac:dyDescent="0.25">
      <c r="A837" s="7">
        <v>7.0787579033674327E-3</v>
      </c>
      <c r="B837"/>
      <c r="C837"/>
      <c r="D837"/>
      <c r="E837"/>
      <c r="CD837" s="27" t="s">
        <v>7</v>
      </c>
      <c r="CE837" s="27" t="s">
        <v>8</v>
      </c>
      <c r="CZ837" s="27" t="s">
        <v>7</v>
      </c>
      <c r="EC837" s="27" t="s">
        <v>8</v>
      </c>
      <c r="ED837" s="27" t="s">
        <v>7</v>
      </c>
      <c r="EE837" s="27" t="s">
        <v>8</v>
      </c>
      <c r="GD837" s="27" t="s">
        <v>7</v>
      </c>
      <c r="GE837" s="27" t="s">
        <v>8</v>
      </c>
      <c r="GF837" s="27" t="s">
        <v>7</v>
      </c>
      <c r="GG837" s="27" t="s">
        <v>8</v>
      </c>
      <c r="GL837" s="27" t="s">
        <v>7</v>
      </c>
      <c r="GM837" s="27" t="s">
        <v>8</v>
      </c>
      <c r="GN837" s="27" t="s">
        <v>7</v>
      </c>
      <c r="GO837" s="27" t="s">
        <v>8</v>
      </c>
      <c r="GV837" s="27" t="s">
        <v>7</v>
      </c>
      <c r="GW837" s="27" t="s">
        <v>8</v>
      </c>
      <c r="GX837" s="27" t="s">
        <v>7</v>
      </c>
      <c r="GZ837" s="27" t="s">
        <v>7</v>
      </c>
      <c r="HS837" s="27" t="s">
        <v>8</v>
      </c>
      <c r="HT837" s="27" t="s">
        <v>7</v>
      </c>
      <c r="IC837" s="27" t="s">
        <v>8</v>
      </c>
      <c r="ID837" s="27" t="s">
        <v>7</v>
      </c>
      <c r="IE837" s="27" t="s">
        <v>8</v>
      </c>
      <c r="IF837" s="27" t="s">
        <v>7</v>
      </c>
      <c r="II837" s="27" t="s">
        <v>8</v>
      </c>
      <c r="IM837" s="27" t="s">
        <v>8</v>
      </c>
      <c r="IN837" s="27" t="s">
        <v>7</v>
      </c>
      <c r="IT837" s="27" t="s">
        <v>7</v>
      </c>
      <c r="IU837" s="27" t="s">
        <v>8</v>
      </c>
    </row>
    <row r="838" spans="1:261" x14ac:dyDescent="0.25">
      <c r="A838" s="7">
        <v>6.9399587287916013E-3</v>
      </c>
      <c r="B838"/>
      <c r="C838"/>
      <c r="D838"/>
      <c r="E838"/>
      <c r="CD838" s="27" t="s">
        <v>7</v>
      </c>
      <c r="CE838" s="27" t="s">
        <v>8</v>
      </c>
      <c r="CZ838" s="27" t="s">
        <v>7</v>
      </c>
      <c r="DM838" s="27" t="s">
        <v>8</v>
      </c>
      <c r="EC838" s="27" t="s">
        <v>8</v>
      </c>
      <c r="ED838" s="27" t="s">
        <v>7</v>
      </c>
      <c r="EE838" s="27" t="s">
        <v>8</v>
      </c>
      <c r="GD838" s="27" t="s">
        <v>7</v>
      </c>
      <c r="GE838" s="27" t="s">
        <v>8</v>
      </c>
      <c r="GF838" s="27" t="s">
        <v>7</v>
      </c>
      <c r="GG838" s="27" t="s">
        <v>8</v>
      </c>
      <c r="GL838" s="27" t="s">
        <v>7</v>
      </c>
      <c r="GM838" s="27" t="s">
        <v>8</v>
      </c>
      <c r="GN838" s="27" t="s">
        <v>7</v>
      </c>
      <c r="GO838" s="27" t="s">
        <v>8</v>
      </c>
      <c r="GV838" s="27" t="s">
        <v>7</v>
      </c>
      <c r="GW838" s="27" t="s">
        <v>8</v>
      </c>
      <c r="GZ838" s="27" t="s">
        <v>7</v>
      </c>
      <c r="HA838" s="27" t="s">
        <v>8</v>
      </c>
      <c r="HS838" s="27" t="s">
        <v>8</v>
      </c>
      <c r="HT838" s="27" t="s">
        <v>7</v>
      </c>
      <c r="HU838" s="27" t="s">
        <v>8</v>
      </c>
      <c r="IA838" s="27" t="s">
        <v>8</v>
      </c>
      <c r="IC838" s="27" t="s">
        <v>8</v>
      </c>
      <c r="ID838" s="27" t="s">
        <v>7</v>
      </c>
      <c r="IE838" s="27" t="s">
        <v>8</v>
      </c>
      <c r="IF838" s="27" t="s">
        <v>7</v>
      </c>
      <c r="IG838" s="27" t="s">
        <v>8</v>
      </c>
      <c r="II838" s="27" t="s">
        <v>8</v>
      </c>
      <c r="IJ838" s="27" t="s">
        <v>7</v>
      </c>
      <c r="IM838" s="27" t="s">
        <v>8</v>
      </c>
      <c r="IT838" s="27" t="s">
        <v>7</v>
      </c>
      <c r="IU838" s="27" t="s">
        <v>8</v>
      </c>
    </row>
    <row r="839" spans="1:261" x14ac:dyDescent="0.25">
      <c r="A839" s="7">
        <v>6.8038811066584333E-3</v>
      </c>
      <c r="B839"/>
      <c r="C839"/>
      <c r="D839"/>
      <c r="E839"/>
      <c r="CD839" s="27" t="s">
        <v>7</v>
      </c>
      <c r="CZ839" s="27" t="s">
        <v>7</v>
      </c>
      <c r="DM839" s="27" t="s">
        <v>8</v>
      </c>
      <c r="DN839" s="27" t="s">
        <v>7</v>
      </c>
      <c r="EC839" s="27" t="s">
        <v>8</v>
      </c>
      <c r="ED839" s="27" t="s">
        <v>7</v>
      </c>
      <c r="EE839" s="27" t="s">
        <v>8</v>
      </c>
      <c r="GD839" s="27" t="s">
        <v>7</v>
      </c>
      <c r="GE839" s="27" t="s">
        <v>8</v>
      </c>
      <c r="GF839" s="27" t="s">
        <v>7</v>
      </c>
      <c r="GL839" s="27" t="s">
        <v>7</v>
      </c>
      <c r="GN839" s="27" t="s">
        <v>7</v>
      </c>
      <c r="GV839" s="27" t="s">
        <v>7</v>
      </c>
      <c r="GW839" s="27" t="s">
        <v>8</v>
      </c>
      <c r="GZ839" s="27" t="s">
        <v>7</v>
      </c>
      <c r="HA839" s="27" t="s">
        <v>8</v>
      </c>
      <c r="HB839" s="27" t="s">
        <v>7</v>
      </c>
      <c r="HK839" s="27" t="s">
        <v>8</v>
      </c>
      <c r="HS839" s="27" t="s">
        <v>8</v>
      </c>
      <c r="HT839" s="27" t="s">
        <v>7</v>
      </c>
      <c r="HU839" s="27" t="s">
        <v>8</v>
      </c>
      <c r="HV839" s="27" t="s">
        <v>7</v>
      </c>
      <c r="IA839" s="27" t="s">
        <v>8</v>
      </c>
      <c r="IB839" s="27" t="s">
        <v>7</v>
      </c>
      <c r="IC839" s="27" t="s">
        <v>8</v>
      </c>
      <c r="ID839" s="27" t="s">
        <v>7</v>
      </c>
      <c r="IE839" s="27" t="s">
        <v>8</v>
      </c>
      <c r="IF839" s="27" t="s">
        <v>7</v>
      </c>
      <c r="IG839" s="27" t="s">
        <v>8</v>
      </c>
      <c r="IH839" s="27" t="s">
        <v>7</v>
      </c>
      <c r="II839" s="27" t="s">
        <v>8</v>
      </c>
      <c r="IJ839" s="27" t="s">
        <v>7</v>
      </c>
      <c r="IK839" s="27" t="s">
        <v>8</v>
      </c>
      <c r="IM839" s="27" t="s">
        <v>8</v>
      </c>
      <c r="IT839" s="27" t="s">
        <v>7</v>
      </c>
      <c r="IU839" s="27" t="s">
        <v>8</v>
      </c>
    </row>
    <row r="840" spans="1:261" x14ac:dyDescent="0.25">
      <c r="A840" s="7">
        <v>6.6704716731945425E-3</v>
      </c>
      <c r="B840"/>
      <c r="C840"/>
      <c r="D840"/>
      <c r="E840"/>
      <c r="CZ840" s="27" t="s">
        <v>7</v>
      </c>
      <c r="DM840" s="27" t="s">
        <v>8</v>
      </c>
      <c r="DN840" s="27" t="s">
        <v>7</v>
      </c>
      <c r="EC840" s="27" t="s">
        <v>8</v>
      </c>
      <c r="ED840" s="27" t="s">
        <v>7</v>
      </c>
      <c r="EE840" s="27" t="s">
        <v>8</v>
      </c>
      <c r="GD840" s="27" t="s">
        <v>7</v>
      </c>
      <c r="GE840" s="27" t="s">
        <v>8</v>
      </c>
      <c r="GV840" s="27" t="s">
        <v>7</v>
      </c>
      <c r="GZ840" s="27" t="s">
        <v>7</v>
      </c>
      <c r="HA840" s="27" t="s">
        <v>8</v>
      </c>
      <c r="HB840" s="27" t="s">
        <v>7</v>
      </c>
      <c r="HK840" s="27" t="s">
        <v>8</v>
      </c>
      <c r="HL840" s="27" t="s">
        <v>7</v>
      </c>
      <c r="HM840" s="27" t="s">
        <v>8</v>
      </c>
      <c r="HS840" s="27" t="s">
        <v>8</v>
      </c>
      <c r="HT840" s="27" t="s">
        <v>7</v>
      </c>
      <c r="HU840" s="27" t="s">
        <v>8</v>
      </c>
      <c r="HV840" s="27" t="s">
        <v>7</v>
      </c>
      <c r="HY840" s="27" t="s">
        <v>8</v>
      </c>
      <c r="IA840" s="27" t="s">
        <v>8</v>
      </c>
      <c r="IB840" s="27" t="s">
        <v>7</v>
      </c>
      <c r="IC840" s="27" t="s">
        <v>8</v>
      </c>
      <c r="ID840" s="27" t="s">
        <v>7</v>
      </c>
      <c r="IE840" s="27" t="s">
        <v>8</v>
      </c>
      <c r="IF840" s="27" t="s">
        <v>7</v>
      </c>
      <c r="IG840" s="27" t="s">
        <v>8</v>
      </c>
      <c r="IH840" s="27" t="s">
        <v>7</v>
      </c>
      <c r="II840" s="27" t="s">
        <v>8</v>
      </c>
      <c r="IJ840" s="27" t="s">
        <v>7</v>
      </c>
      <c r="IK840" s="27" t="s">
        <v>8</v>
      </c>
      <c r="IL840" s="27" t="s">
        <v>7</v>
      </c>
      <c r="IM840" s="27" t="s">
        <v>8</v>
      </c>
      <c r="IT840" s="27" t="s">
        <v>7</v>
      </c>
      <c r="IU840" s="27" t="s">
        <v>8</v>
      </c>
    </row>
    <row r="841" spans="1:261" x14ac:dyDescent="0.25">
      <c r="A841" s="7">
        <v>6.5396781109750427E-3</v>
      </c>
      <c r="B841"/>
      <c r="C841"/>
      <c r="D841"/>
      <c r="E841"/>
      <c r="CZ841" s="27" t="s">
        <v>7</v>
      </c>
      <c r="DM841" s="27" t="s">
        <v>8</v>
      </c>
      <c r="DN841" s="27" t="s">
        <v>7</v>
      </c>
      <c r="EC841" s="27" t="s">
        <v>8</v>
      </c>
      <c r="ED841" s="27" t="s">
        <v>7</v>
      </c>
      <c r="EE841" s="27" t="s">
        <v>8</v>
      </c>
      <c r="GD841" s="27" t="s">
        <v>7</v>
      </c>
      <c r="GE841" s="27" t="s">
        <v>8</v>
      </c>
      <c r="GZ841" s="27" t="s">
        <v>7</v>
      </c>
      <c r="HA841" s="27" t="s">
        <v>8</v>
      </c>
      <c r="HB841" s="27" t="s">
        <v>7</v>
      </c>
      <c r="HE841" s="27" t="s">
        <v>8</v>
      </c>
      <c r="HK841" s="27" t="s">
        <v>8</v>
      </c>
      <c r="HL841" s="27" t="s">
        <v>7</v>
      </c>
      <c r="HM841" s="27" t="s">
        <v>8</v>
      </c>
      <c r="HN841" s="27" t="s">
        <v>7</v>
      </c>
      <c r="HS841" s="27" t="s">
        <v>8</v>
      </c>
      <c r="HT841" s="27" t="s">
        <v>7</v>
      </c>
      <c r="HU841" s="27" t="s">
        <v>8</v>
      </c>
      <c r="HV841" s="27" t="s">
        <v>7</v>
      </c>
      <c r="HY841" s="27" t="s">
        <v>8</v>
      </c>
      <c r="HZ841" s="27" t="s">
        <v>7</v>
      </c>
      <c r="IA841" s="27" t="s">
        <v>8</v>
      </c>
      <c r="IB841" s="27" t="s">
        <v>7</v>
      </c>
      <c r="IC841" s="27" t="s">
        <v>8</v>
      </c>
      <c r="ID841" s="27" t="s">
        <v>7</v>
      </c>
      <c r="IE841" s="27" t="s">
        <v>8</v>
      </c>
      <c r="IF841" s="27" t="s">
        <v>7</v>
      </c>
      <c r="IG841" s="27" t="s">
        <v>8</v>
      </c>
      <c r="IH841" s="27" t="s">
        <v>7</v>
      </c>
      <c r="II841" s="27" t="s">
        <v>8</v>
      </c>
      <c r="IJ841" s="27" t="s">
        <v>7</v>
      </c>
      <c r="IK841" s="27" t="s">
        <v>8</v>
      </c>
      <c r="IL841" s="27" t="s">
        <v>7</v>
      </c>
      <c r="IM841" s="27" t="s">
        <v>8</v>
      </c>
      <c r="IT841" s="27" t="s">
        <v>7</v>
      </c>
      <c r="IU841" s="27" t="s">
        <v>8</v>
      </c>
    </row>
    <row r="842" spans="1:261" x14ac:dyDescent="0.25">
      <c r="A842" s="7">
        <v>6.4114491284069045E-3</v>
      </c>
      <c r="B842"/>
      <c r="C842"/>
      <c r="D842"/>
      <c r="E842"/>
      <c r="CZ842" s="27" t="s">
        <v>7</v>
      </c>
      <c r="DM842" s="27" t="s">
        <v>8</v>
      </c>
      <c r="DN842" s="27" t="s">
        <v>7</v>
      </c>
      <c r="EC842" s="27" t="s">
        <v>8</v>
      </c>
      <c r="ED842" s="27" t="s">
        <v>7</v>
      </c>
      <c r="EE842" s="27" t="s">
        <v>8</v>
      </c>
      <c r="GD842" s="27" t="s">
        <v>7</v>
      </c>
      <c r="GE842" s="27" t="s">
        <v>8</v>
      </c>
      <c r="GZ842" s="27" t="s">
        <v>7</v>
      </c>
      <c r="HB842" s="27" t="s">
        <v>7</v>
      </c>
      <c r="HE842" s="27" t="s">
        <v>8</v>
      </c>
      <c r="HF842" s="27" t="s">
        <v>7</v>
      </c>
      <c r="HI842" s="27" t="s">
        <v>8</v>
      </c>
      <c r="HK842" s="27" t="s">
        <v>8</v>
      </c>
      <c r="HL842" s="27" t="s">
        <v>7</v>
      </c>
      <c r="HM842" s="27" t="s">
        <v>8</v>
      </c>
      <c r="HN842" s="27" t="s">
        <v>7</v>
      </c>
      <c r="HQ842" s="27" t="s">
        <v>8</v>
      </c>
      <c r="HS842" s="27" t="s">
        <v>8</v>
      </c>
      <c r="HT842" s="27" t="s">
        <v>7</v>
      </c>
      <c r="HU842" s="27" t="s">
        <v>8</v>
      </c>
      <c r="HV842" s="27" t="s">
        <v>7</v>
      </c>
      <c r="HY842" s="27" t="s">
        <v>8</v>
      </c>
      <c r="HZ842" s="27" t="s">
        <v>7</v>
      </c>
      <c r="IA842" s="27" t="s">
        <v>8</v>
      </c>
      <c r="IB842" s="27" t="s">
        <v>7</v>
      </c>
      <c r="ID842" s="27" t="s">
        <v>7</v>
      </c>
      <c r="IE842" s="27" t="s">
        <v>8</v>
      </c>
      <c r="IF842" s="27" t="s">
        <v>7</v>
      </c>
      <c r="IG842" s="27" t="s">
        <v>8</v>
      </c>
      <c r="IH842" s="27" t="s">
        <v>7</v>
      </c>
      <c r="II842" s="27" t="s">
        <v>8</v>
      </c>
      <c r="IJ842" s="27" t="s">
        <v>7</v>
      </c>
      <c r="IK842" s="27" t="s">
        <v>8</v>
      </c>
      <c r="IL842" s="27" t="s">
        <v>7</v>
      </c>
      <c r="IM842" s="27" t="s">
        <v>8</v>
      </c>
      <c r="IT842" s="27" t="s">
        <v>7</v>
      </c>
      <c r="IU842" s="27" t="s">
        <v>8</v>
      </c>
    </row>
    <row r="843" spans="1:261" x14ac:dyDescent="0.25">
      <c r="A843" s="7">
        <v>6.2857344396146115E-3</v>
      </c>
      <c r="B843"/>
      <c r="C843"/>
      <c r="D843"/>
      <c r="E843"/>
      <c r="CZ843" s="27" t="s">
        <v>7</v>
      </c>
      <c r="DM843" s="27" t="s">
        <v>8</v>
      </c>
      <c r="DN843" s="27" t="s">
        <v>7</v>
      </c>
      <c r="EC843" s="27" t="s">
        <v>8</v>
      </c>
      <c r="ED843" s="27" t="s">
        <v>7</v>
      </c>
      <c r="EE843" s="27" t="s">
        <v>8</v>
      </c>
      <c r="GD843" s="27" t="s">
        <v>7</v>
      </c>
      <c r="HB843" s="27" t="s">
        <v>7</v>
      </c>
      <c r="HE843" s="27" t="s">
        <v>8</v>
      </c>
      <c r="HF843" s="27" t="s">
        <v>7</v>
      </c>
      <c r="HI843" s="27" t="s">
        <v>8</v>
      </c>
      <c r="HJ843" s="27" t="s">
        <v>7</v>
      </c>
      <c r="HK843" s="27" t="s">
        <v>8</v>
      </c>
      <c r="HL843" s="27" t="s">
        <v>7</v>
      </c>
      <c r="HM843" s="27" t="s">
        <v>8</v>
      </c>
      <c r="HN843" s="27" t="s">
        <v>7</v>
      </c>
      <c r="HQ843" s="27" t="s">
        <v>8</v>
      </c>
      <c r="HR843" s="27" t="s">
        <v>7</v>
      </c>
      <c r="HS843" s="27" t="s">
        <v>8</v>
      </c>
      <c r="HT843" s="27" t="s">
        <v>7</v>
      </c>
      <c r="HU843" s="27" t="s">
        <v>8</v>
      </c>
      <c r="HV843" s="27" t="s">
        <v>7</v>
      </c>
      <c r="HW843" s="27" t="s">
        <v>8</v>
      </c>
      <c r="HY843" s="27" t="s">
        <v>8</v>
      </c>
      <c r="HZ843" s="27" t="s">
        <v>7</v>
      </c>
      <c r="IA843" s="27" t="s">
        <v>8</v>
      </c>
      <c r="ID843" s="27" t="s">
        <v>7</v>
      </c>
      <c r="IE843" s="27" t="s">
        <v>8</v>
      </c>
      <c r="IF843" s="27" t="s">
        <v>7</v>
      </c>
      <c r="IG843" s="27" t="s">
        <v>8</v>
      </c>
      <c r="IH843" s="27" t="s">
        <v>7</v>
      </c>
      <c r="II843" s="27" t="s">
        <v>8</v>
      </c>
      <c r="IJ843" s="27" t="s">
        <v>7</v>
      </c>
      <c r="IK843" s="27" t="s">
        <v>8</v>
      </c>
      <c r="IL843" s="27" t="s">
        <v>7</v>
      </c>
      <c r="IM843" s="27" t="s">
        <v>8</v>
      </c>
      <c r="IT843" s="27" t="s">
        <v>7</v>
      </c>
      <c r="IU843" s="27" t="s">
        <v>8</v>
      </c>
    </row>
    <row r="844" spans="1:261" x14ac:dyDescent="0.25">
      <c r="A844" s="7">
        <v>6.1624847447202076E-3</v>
      </c>
      <c r="B844"/>
      <c r="C844"/>
      <c r="D844"/>
      <c r="E844"/>
      <c r="CZ844" s="27" t="s">
        <v>7</v>
      </c>
      <c r="DA844" s="27" t="s">
        <v>8</v>
      </c>
      <c r="DM844" s="27" t="s">
        <v>8</v>
      </c>
      <c r="DN844" s="27" t="s">
        <v>7</v>
      </c>
      <c r="EC844" s="27" t="s">
        <v>8</v>
      </c>
      <c r="ED844" s="27" t="s">
        <v>7</v>
      </c>
      <c r="EE844" s="27" t="s">
        <v>8</v>
      </c>
      <c r="HB844" s="27" t="s">
        <v>7</v>
      </c>
      <c r="HC844" s="27" t="s">
        <v>8</v>
      </c>
      <c r="HE844" s="27" t="s">
        <v>8</v>
      </c>
      <c r="HF844" s="27" t="s">
        <v>7</v>
      </c>
      <c r="HI844" s="27" t="s">
        <v>8</v>
      </c>
      <c r="HJ844" s="27" t="s">
        <v>7</v>
      </c>
      <c r="HK844" s="27" t="s">
        <v>8</v>
      </c>
      <c r="HL844" s="27" t="s">
        <v>7</v>
      </c>
      <c r="HN844" s="27" t="s">
        <v>7</v>
      </c>
      <c r="HO844" s="27" t="s">
        <v>8</v>
      </c>
      <c r="HQ844" s="27" t="s">
        <v>8</v>
      </c>
      <c r="HR844" s="27" t="s">
        <v>7</v>
      </c>
      <c r="HS844" s="27" t="s">
        <v>8</v>
      </c>
      <c r="HT844" s="27" t="s">
        <v>7</v>
      </c>
      <c r="HU844" s="27" t="s">
        <v>8</v>
      </c>
      <c r="HV844" s="27" t="s">
        <v>7</v>
      </c>
      <c r="HW844" s="27" t="s">
        <v>8</v>
      </c>
      <c r="HX844" s="27" t="s">
        <v>7</v>
      </c>
      <c r="HY844" s="27" t="s">
        <v>8</v>
      </c>
      <c r="HZ844" s="27" t="s">
        <v>7</v>
      </c>
      <c r="IA844" s="27" t="s">
        <v>8</v>
      </c>
      <c r="ID844" s="27" t="s">
        <v>7</v>
      </c>
      <c r="IE844" s="27" t="s">
        <v>8</v>
      </c>
      <c r="IF844" s="27" t="s">
        <v>7</v>
      </c>
      <c r="IH844" s="27" t="s">
        <v>7</v>
      </c>
      <c r="II844" s="27" t="s">
        <v>8</v>
      </c>
      <c r="IJ844" s="27" t="s">
        <v>7</v>
      </c>
      <c r="IL844" s="27" t="s">
        <v>7</v>
      </c>
      <c r="IM844" s="27" t="s">
        <v>8</v>
      </c>
      <c r="IT844" s="27" t="s">
        <v>7</v>
      </c>
    </row>
    <row r="845" spans="1:261" x14ac:dyDescent="0.25">
      <c r="A845" s="7">
        <v>6.0416517105100079E-3</v>
      </c>
      <c r="B845"/>
      <c r="C845"/>
      <c r="D845"/>
      <c r="E845"/>
      <c r="CZ845" s="27" t="s">
        <v>7</v>
      </c>
      <c r="DA845" s="27" t="s">
        <v>8</v>
      </c>
      <c r="DB845" s="27" t="s">
        <v>7</v>
      </c>
      <c r="DK845" s="27" t="s">
        <v>8</v>
      </c>
      <c r="DM845" s="27" t="s">
        <v>8</v>
      </c>
      <c r="DN845" s="27" t="s">
        <v>7</v>
      </c>
      <c r="DQ845" s="27" t="s">
        <v>8</v>
      </c>
      <c r="EC845" s="27" t="s">
        <v>8</v>
      </c>
      <c r="ED845" s="27" t="s">
        <v>7</v>
      </c>
      <c r="EE845" s="27" t="s">
        <v>8</v>
      </c>
      <c r="HB845" s="27" t="s">
        <v>7</v>
      </c>
      <c r="HC845" s="27" t="s">
        <v>8</v>
      </c>
      <c r="HD845" s="27" t="s">
        <v>7</v>
      </c>
      <c r="HE845" s="27" t="s">
        <v>8</v>
      </c>
      <c r="HF845" s="27" t="s">
        <v>7</v>
      </c>
      <c r="HI845" s="27" t="s">
        <v>8</v>
      </c>
      <c r="HJ845" s="27" t="s">
        <v>7</v>
      </c>
      <c r="HK845" s="27" t="s">
        <v>8</v>
      </c>
      <c r="HN845" s="27" t="s">
        <v>7</v>
      </c>
      <c r="HO845" s="27" t="s">
        <v>8</v>
      </c>
      <c r="HP845" s="27" t="s">
        <v>7</v>
      </c>
      <c r="HQ845" s="27" t="s">
        <v>8</v>
      </c>
      <c r="HR845" s="27" t="s">
        <v>7</v>
      </c>
      <c r="HS845" s="27" t="s">
        <v>8</v>
      </c>
      <c r="HT845" s="27" t="s">
        <v>7</v>
      </c>
      <c r="HU845" s="27" t="s">
        <v>8</v>
      </c>
      <c r="HV845" s="27" t="s">
        <v>7</v>
      </c>
      <c r="HW845" s="27" t="s">
        <v>8</v>
      </c>
      <c r="HX845" s="27" t="s">
        <v>7</v>
      </c>
      <c r="HY845" s="27" t="s">
        <v>8</v>
      </c>
      <c r="HZ845" s="27" t="s">
        <v>7</v>
      </c>
      <c r="IA845" s="27" t="s">
        <v>8</v>
      </c>
      <c r="ID845" s="27" t="s">
        <v>7</v>
      </c>
      <c r="IH845" s="27" t="s">
        <v>7</v>
      </c>
      <c r="II845" s="27" t="s">
        <v>8</v>
      </c>
      <c r="IL845" s="27" t="s">
        <v>7</v>
      </c>
    </row>
    <row r="846" spans="1:261" x14ac:dyDescent="0.25">
      <c r="A846" s="7">
        <v>5.9231879514803996E-3</v>
      </c>
      <c r="B846"/>
      <c r="C846"/>
      <c r="D846"/>
      <c r="E846"/>
      <c r="CZ846" s="27" t="s">
        <v>7</v>
      </c>
      <c r="DA846" s="27" t="s">
        <v>8</v>
      </c>
      <c r="DB846" s="27" t="s">
        <v>7</v>
      </c>
      <c r="DK846" s="27" t="s">
        <v>8</v>
      </c>
      <c r="DL846" s="27" t="s">
        <v>7</v>
      </c>
      <c r="DM846" s="27" t="s">
        <v>8</v>
      </c>
      <c r="DN846" s="27" t="s">
        <v>7</v>
      </c>
      <c r="DQ846" s="27" t="s">
        <v>8</v>
      </c>
      <c r="DR846" s="27" t="s">
        <v>7</v>
      </c>
      <c r="EC846" s="27" t="s">
        <v>8</v>
      </c>
      <c r="ED846" s="27" t="s">
        <v>7</v>
      </c>
      <c r="EE846" s="27" t="s">
        <v>8</v>
      </c>
      <c r="HB846" s="27" t="s">
        <v>7</v>
      </c>
      <c r="HC846" s="27" t="s">
        <v>8</v>
      </c>
      <c r="HD846" s="27" t="s">
        <v>7</v>
      </c>
      <c r="HE846" s="27" t="s">
        <v>8</v>
      </c>
      <c r="HF846" s="27" t="s">
        <v>7</v>
      </c>
      <c r="HG846" s="27" t="s">
        <v>8</v>
      </c>
      <c r="HI846" s="27" t="s">
        <v>8</v>
      </c>
      <c r="HJ846" s="27" t="s">
        <v>7</v>
      </c>
      <c r="HK846" s="27" t="s">
        <v>8</v>
      </c>
      <c r="HN846" s="27" t="s">
        <v>7</v>
      </c>
      <c r="HO846" s="27" t="s">
        <v>8</v>
      </c>
      <c r="HP846" s="27" t="s">
        <v>7</v>
      </c>
      <c r="HQ846" s="27" t="s">
        <v>8</v>
      </c>
      <c r="HR846" s="27" t="s">
        <v>7</v>
      </c>
      <c r="HT846" s="27" t="s">
        <v>7</v>
      </c>
      <c r="HU846" s="27" t="s">
        <v>8</v>
      </c>
      <c r="HV846" s="27" t="s">
        <v>7</v>
      </c>
      <c r="HW846" s="27" t="s">
        <v>8</v>
      </c>
      <c r="HX846" s="27" t="s">
        <v>7</v>
      </c>
      <c r="HZ846" s="27" t="s">
        <v>7</v>
      </c>
      <c r="IH846" s="27" t="s">
        <v>7</v>
      </c>
      <c r="II846" s="27" t="s">
        <v>8</v>
      </c>
    </row>
    <row r="847" spans="1:261" x14ac:dyDescent="0.25">
      <c r="A847" s="7">
        <v>5.8070470112552936E-3</v>
      </c>
      <c r="B847"/>
      <c r="C847"/>
      <c r="D847"/>
      <c r="E847"/>
      <c r="CZ847" s="27" t="s">
        <v>7</v>
      </c>
      <c r="DA847" s="27" t="s">
        <v>8</v>
      </c>
      <c r="DB847" s="27" t="s">
        <v>7</v>
      </c>
      <c r="DK847" s="27" t="s">
        <v>8</v>
      </c>
      <c r="DL847" s="27" t="s">
        <v>7</v>
      </c>
      <c r="DM847" s="27" t="s">
        <v>8</v>
      </c>
      <c r="DN847" s="27" t="s">
        <v>7</v>
      </c>
      <c r="DQ847" s="27" t="s">
        <v>8</v>
      </c>
      <c r="DR847" s="27" t="s">
        <v>7</v>
      </c>
      <c r="DS847" s="27" t="s">
        <v>8</v>
      </c>
      <c r="DW847" s="27" t="s">
        <v>8</v>
      </c>
      <c r="DY847" s="27" t="s">
        <v>8</v>
      </c>
      <c r="EC847" s="27" t="s">
        <v>8</v>
      </c>
      <c r="ED847" s="27" t="s">
        <v>7</v>
      </c>
      <c r="HB847" s="27" t="s">
        <v>7</v>
      </c>
      <c r="HC847" s="27" t="s">
        <v>8</v>
      </c>
      <c r="HD847" s="27" t="s">
        <v>7</v>
      </c>
      <c r="HE847" s="27" t="s">
        <v>8</v>
      </c>
      <c r="HF847" s="27" t="s">
        <v>7</v>
      </c>
      <c r="HG847" s="27" t="s">
        <v>8</v>
      </c>
      <c r="HH847" s="27" t="s">
        <v>7</v>
      </c>
      <c r="HI847" s="27" t="s">
        <v>8</v>
      </c>
      <c r="HJ847" s="27" t="s">
        <v>7</v>
      </c>
      <c r="HK847" s="27" t="s">
        <v>8</v>
      </c>
      <c r="HN847" s="27" t="s">
        <v>7</v>
      </c>
      <c r="HP847" s="27" t="s">
        <v>7</v>
      </c>
      <c r="HQ847" s="27" t="s">
        <v>8</v>
      </c>
      <c r="HT847" s="27" t="s">
        <v>7</v>
      </c>
      <c r="HV847" s="27" t="s">
        <v>7</v>
      </c>
      <c r="IH847" s="27" t="s">
        <v>7</v>
      </c>
    </row>
    <row r="848" spans="1:261" x14ac:dyDescent="0.25">
      <c r="A848" s="7">
        <v>5.6931833443679353E-3</v>
      </c>
      <c r="B848"/>
      <c r="C848"/>
      <c r="D848"/>
      <c r="E848"/>
      <c r="CZ848" s="27" t="s">
        <v>7</v>
      </c>
      <c r="DA848" s="27" t="s">
        <v>8</v>
      </c>
      <c r="DB848" s="27" t="s">
        <v>7</v>
      </c>
      <c r="DE848" s="27" t="s">
        <v>8</v>
      </c>
      <c r="DI848" s="27" t="s">
        <v>8</v>
      </c>
      <c r="DK848" s="27" t="s">
        <v>8</v>
      </c>
      <c r="DL848" s="27" t="s">
        <v>7</v>
      </c>
      <c r="DM848" s="27" t="s">
        <v>8</v>
      </c>
      <c r="DN848" s="27" t="s">
        <v>7</v>
      </c>
      <c r="DO848" s="27" t="s">
        <v>8</v>
      </c>
      <c r="DQ848" s="27" t="s">
        <v>8</v>
      </c>
      <c r="DR848" s="27" t="s">
        <v>7</v>
      </c>
      <c r="DS848" s="27" t="s">
        <v>8</v>
      </c>
      <c r="DT848" s="27" t="s">
        <v>7</v>
      </c>
      <c r="DU848" s="27" t="s">
        <v>8</v>
      </c>
      <c r="DW848" s="27" t="s">
        <v>8</v>
      </c>
      <c r="DX848" s="27" t="s">
        <v>7</v>
      </c>
      <c r="DY848" s="27" t="s">
        <v>8</v>
      </c>
      <c r="DZ848" s="27" t="s">
        <v>7</v>
      </c>
      <c r="EC848" s="27" t="s">
        <v>8</v>
      </c>
      <c r="HB848" s="27" t="s">
        <v>7</v>
      </c>
      <c r="HC848" s="27" t="s">
        <v>8</v>
      </c>
      <c r="HD848" s="27" t="s">
        <v>7</v>
      </c>
      <c r="HF848" s="27" t="s">
        <v>7</v>
      </c>
      <c r="HG848" s="27" t="s">
        <v>8</v>
      </c>
      <c r="HH848" s="27" t="s">
        <v>7</v>
      </c>
      <c r="HI848" s="27" t="s">
        <v>8</v>
      </c>
      <c r="HJ848" s="27" t="s">
        <v>7</v>
      </c>
      <c r="HP848" s="27" t="s">
        <v>7</v>
      </c>
      <c r="HQ848" s="27" t="s">
        <v>8</v>
      </c>
    </row>
    <row r="849" spans="1:225" x14ac:dyDescent="0.25">
      <c r="A849" s="7">
        <v>5.5815522983999367E-3</v>
      </c>
      <c r="B849"/>
      <c r="C849"/>
      <c r="D849"/>
      <c r="E849"/>
      <c r="CZ849" s="27" t="s">
        <v>7</v>
      </c>
      <c r="DA849" s="27" t="s">
        <v>8</v>
      </c>
      <c r="DB849" s="27" t="s">
        <v>7</v>
      </c>
      <c r="DE849" s="27" t="s">
        <v>8</v>
      </c>
      <c r="DF849" s="27" t="s">
        <v>7</v>
      </c>
      <c r="DI849" s="27" t="s">
        <v>8</v>
      </c>
      <c r="DJ849" s="27" t="s">
        <v>7</v>
      </c>
      <c r="DK849" s="27" t="s">
        <v>8</v>
      </c>
      <c r="DL849" s="27" t="s">
        <v>7</v>
      </c>
      <c r="DN849" s="27" t="s">
        <v>7</v>
      </c>
      <c r="DO849" s="27" t="s">
        <v>8</v>
      </c>
      <c r="DP849" s="27" t="s">
        <v>7</v>
      </c>
      <c r="DQ849" s="27" t="s">
        <v>8</v>
      </c>
      <c r="DR849" s="27" t="s">
        <v>7</v>
      </c>
      <c r="DS849" s="27" t="s">
        <v>8</v>
      </c>
      <c r="DT849" s="27" t="s">
        <v>7</v>
      </c>
      <c r="DU849" s="27" t="s">
        <v>8</v>
      </c>
      <c r="DV849" s="27" t="s">
        <v>7</v>
      </c>
      <c r="DW849" s="27" t="s">
        <v>8</v>
      </c>
      <c r="DX849" s="27" t="s">
        <v>7</v>
      </c>
      <c r="DY849" s="27" t="s">
        <v>8</v>
      </c>
      <c r="DZ849" s="27" t="s">
        <v>7</v>
      </c>
      <c r="EA849" s="27" t="s">
        <v>8</v>
      </c>
      <c r="EC849" s="27" t="s">
        <v>8</v>
      </c>
      <c r="HB849" s="27" t="s">
        <v>7</v>
      </c>
      <c r="HC849" s="27" t="s">
        <v>8</v>
      </c>
      <c r="HF849" s="27" t="s">
        <v>7</v>
      </c>
      <c r="HH849" s="27" t="s">
        <v>7</v>
      </c>
      <c r="HI849" s="27" t="s">
        <v>8</v>
      </c>
      <c r="HP849" s="27" t="s">
        <v>7</v>
      </c>
      <c r="HQ849" s="27" t="s">
        <v>8</v>
      </c>
    </row>
    <row r="850" spans="1:225" x14ac:dyDescent="0.25">
      <c r="A850" s="7">
        <v>5.4721100964705257E-3</v>
      </c>
      <c r="B850"/>
      <c r="C850"/>
      <c r="D850"/>
      <c r="E850"/>
      <c r="CZ850" s="27" t="s">
        <v>7</v>
      </c>
      <c r="DA850" s="27" t="s">
        <v>8</v>
      </c>
      <c r="DB850" s="27" t="s">
        <v>7</v>
      </c>
      <c r="DC850" s="27" t="s">
        <v>8</v>
      </c>
      <c r="DE850" s="27" t="s">
        <v>8</v>
      </c>
      <c r="DF850" s="27" t="s">
        <v>7</v>
      </c>
      <c r="DI850" s="27" t="s">
        <v>8</v>
      </c>
      <c r="DJ850" s="27" t="s">
        <v>7</v>
      </c>
      <c r="DK850" s="27" t="s">
        <v>8</v>
      </c>
      <c r="DN850" s="27" t="s">
        <v>7</v>
      </c>
      <c r="DO850" s="27" t="s">
        <v>8</v>
      </c>
      <c r="DP850" s="27" t="s">
        <v>7</v>
      </c>
      <c r="DQ850" s="27" t="s">
        <v>8</v>
      </c>
      <c r="DR850" s="27" t="s">
        <v>7</v>
      </c>
      <c r="DS850" s="27" t="s">
        <v>8</v>
      </c>
      <c r="DT850" s="27" t="s">
        <v>7</v>
      </c>
      <c r="DU850" s="27" t="s">
        <v>8</v>
      </c>
      <c r="DV850" s="27" t="s">
        <v>7</v>
      </c>
      <c r="DW850" s="27" t="s">
        <v>8</v>
      </c>
      <c r="DX850" s="27" t="s">
        <v>7</v>
      </c>
      <c r="DY850" s="27" t="s">
        <v>8</v>
      </c>
      <c r="DZ850" s="27" t="s">
        <v>7</v>
      </c>
      <c r="EA850" s="27" t="s">
        <v>8</v>
      </c>
      <c r="EB850" s="27" t="s">
        <v>7</v>
      </c>
      <c r="EC850" s="27" t="s">
        <v>8</v>
      </c>
      <c r="HB850" s="27" t="s">
        <v>7</v>
      </c>
      <c r="HC850" s="27" t="s">
        <v>8</v>
      </c>
      <c r="HH850" s="27" t="s">
        <v>7</v>
      </c>
      <c r="HI850" s="27" t="s">
        <v>8</v>
      </c>
      <c r="HP850" s="27" t="s">
        <v>7</v>
      </c>
      <c r="HQ850" s="27" t="s">
        <v>8</v>
      </c>
    </row>
    <row r="851" spans="1:225" x14ac:dyDescent="0.25">
      <c r="A851" s="7">
        <v>5.3648138200691423E-3</v>
      </c>
      <c r="B851"/>
      <c r="C851"/>
      <c r="D851"/>
      <c r="E851"/>
      <c r="CZ851" s="27" t="s">
        <v>7</v>
      </c>
      <c r="DA851" s="27" t="s">
        <v>8</v>
      </c>
      <c r="DB851" s="27" t="s">
        <v>7</v>
      </c>
      <c r="DC851" s="27" t="s">
        <v>8</v>
      </c>
      <c r="DD851" s="27" t="s">
        <v>7</v>
      </c>
      <c r="DE851" s="27" t="s">
        <v>8</v>
      </c>
      <c r="DF851" s="27" t="s">
        <v>7</v>
      </c>
      <c r="DI851" s="27" t="s">
        <v>8</v>
      </c>
      <c r="DJ851" s="27" t="s">
        <v>7</v>
      </c>
      <c r="DK851" s="27" t="s">
        <v>8</v>
      </c>
      <c r="DN851" s="27" t="s">
        <v>7</v>
      </c>
      <c r="DO851" s="27" t="s">
        <v>8</v>
      </c>
      <c r="DP851" s="27" t="s">
        <v>7</v>
      </c>
      <c r="DQ851" s="27" t="s">
        <v>8</v>
      </c>
      <c r="DR851" s="27" t="s">
        <v>7</v>
      </c>
      <c r="DS851" s="27" t="s">
        <v>8</v>
      </c>
      <c r="DT851" s="27" t="s">
        <v>7</v>
      </c>
      <c r="DV851" s="27" t="s">
        <v>7</v>
      </c>
      <c r="DX851" s="27" t="s">
        <v>7</v>
      </c>
      <c r="DZ851" s="27" t="s">
        <v>7</v>
      </c>
      <c r="EA851" s="27" t="s">
        <v>8</v>
      </c>
      <c r="EB851" s="27" t="s">
        <v>7</v>
      </c>
      <c r="EC851" s="27" t="s">
        <v>8</v>
      </c>
      <c r="HB851" s="27" t="s">
        <v>7</v>
      </c>
      <c r="HC851" s="27" t="s">
        <v>8</v>
      </c>
      <c r="HH851" s="27" t="s">
        <v>7</v>
      </c>
      <c r="HP851" s="27" t="s">
        <v>7</v>
      </c>
    </row>
    <row r="852" spans="1:225" x14ac:dyDescent="0.25">
      <c r="A852" s="7">
        <v>5.2596213922246494E-3</v>
      </c>
      <c r="B852"/>
      <c r="C852"/>
      <c r="D852"/>
      <c r="E852"/>
      <c r="CZ852" s="27" t="s">
        <v>7</v>
      </c>
      <c r="DA852" s="27" t="s">
        <v>8</v>
      </c>
      <c r="DB852" s="27" t="s">
        <v>7</v>
      </c>
      <c r="DC852" s="27" t="s">
        <v>8</v>
      </c>
      <c r="DD852" s="27" t="s">
        <v>7</v>
      </c>
      <c r="DE852" s="27" t="s">
        <v>8</v>
      </c>
      <c r="DF852" s="27" t="s">
        <v>7</v>
      </c>
      <c r="DG852" s="27" t="s">
        <v>8</v>
      </c>
      <c r="DI852" s="27" t="s">
        <v>8</v>
      </c>
      <c r="DJ852" s="27" t="s">
        <v>7</v>
      </c>
      <c r="DK852" s="27" t="s">
        <v>8</v>
      </c>
      <c r="DN852" s="27" t="s">
        <v>7</v>
      </c>
      <c r="DO852" s="27" t="s">
        <v>8</v>
      </c>
      <c r="DP852" s="27" t="s">
        <v>7</v>
      </c>
      <c r="DQ852" s="27" t="s">
        <v>8</v>
      </c>
      <c r="DR852" s="27" t="s">
        <v>7</v>
      </c>
      <c r="DS852" s="27" t="s">
        <v>8</v>
      </c>
      <c r="DZ852" s="27" t="s">
        <v>7</v>
      </c>
      <c r="EA852" s="27" t="s">
        <v>8</v>
      </c>
      <c r="EB852" s="27" t="s">
        <v>7</v>
      </c>
      <c r="EC852" s="27" t="s">
        <v>8</v>
      </c>
      <c r="HB852" s="27" t="s">
        <v>7</v>
      </c>
      <c r="HC852" s="27" t="s">
        <v>8</v>
      </c>
    </row>
    <row r="853" spans="1:225" x14ac:dyDescent="0.25">
      <c r="A853" s="7">
        <v>5.1564915610045588E-3</v>
      </c>
      <c r="B853"/>
      <c r="C853"/>
      <c r="D853"/>
      <c r="E853"/>
      <c r="CZ853" s="27" t="s">
        <v>7</v>
      </c>
      <c r="DA853" s="27" t="s">
        <v>8</v>
      </c>
      <c r="DB853" s="27" t="s">
        <v>7</v>
      </c>
      <c r="DC853" s="27" t="s">
        <v>8</v>
      </c>
      <c r="DD853" s="27" t="s">
        <v>7</v>
      </c>
      <c r="DE853" s="27" t="s">
        <v>8</v>
      </c>
      <c r="DF853" s="27" t="s">
        <v>7</v>
      </c>
      <c r="DG853" s="27" t="s">
        <v>8</v>
      </c>
      <c r="DH853" s="27" t="s">
        <v>7</v>
      </c>
      <c r="DI853" s="27" t="s">
        <v>8</v>
      </c>
      <c r="DJ853" s="27" t="s">
        <v>7</v>
      </c>
      <c r="DK853" s="27" t="s">
        <v>8</v>
      </c>
      <c r="DN853" s="27" t="s">
        <v>7</v>
      </c>
      <c r="DP853" s="27" t="s">
        <v>7</v>
      </c>
      <c r="DQ853" s="27" t="s">
        <v>8</v>
      </c>
      <c r="DR853" s="27" t="s">
        <v>7</v>
      </c>
      <c r="DS853" s="27" t="s">
        <v>8</v>
      </c>
      <c r="DZ853" s="27" t="s">
        <v>7</v>
      </c>
      <c r="EA853" s="27" t="s">
        <v>8</v>
      </c>
      <c r="EB853" s="27" t="s">
        <v>7</v>
      </c>
      <c r="HB853" s="27" t="s">
        <v>7</v>
      </c>
    </row>
    <row r="854" spans="1:225" x14ac:dyDescent="0.25">
      <c r="A854" s="7">
        <v>5.0553838833378023E-3</v>
      </c>
      <c r="B854"/>
      <c r="C854"/>
      <c r="D854"/>
      <c r="E854"/>
      <c r="CZ854" s="27" t="s">
        <v>7</v>
      </c>
      <c r="DA854" s="27" t="s">
        <v>8</v>
      </c>
      <c r="DB854" s="27" t="s">
        <v>7</v>
      </c>
      <c r="DC854" s="27" t="s">
        <v>8</v>
      </c>
      <c r="DD854" s="27" t="s">
        <v>7</v>
      </c>
      <c r="DE854" s="27" t="s">
        <v>8</v>
      </c>
      <c r="DF854" s="27" t="s">
        <v>7</v>
      </c>
      <c r="DG854" s="27" t="s">
        <v>8</v>
      </c>
      <c r="DH854" s="27" t="s">
        <v>7</v>
      </c>
      <c r="DI854" s="27" t="s">
        <v>8</v>
      </c>
      <c r="DJ854" s="27" t="s">
        <v>7</v>
      </c>
      <c r="DP854" s="27" t="s">
        <v>7</v>
      </c>
      <c r="DQ854" s="27" t="s">
        <v>8</v>
      </c>
      <c r="DR854" s="27" t="s">
        <v>7</v>
      </c>
      <c r="DS854" s="27" t="s">
        <v>8</v>
      </c>
      <c r="DZ854" s="27" t="s">
        <v>7</v>
      </c>
      <c r="EA854" s="27" t="s">
        <v>8</v>
      </c>
    </row>
    <row r="855" spans="1:225" x14ac:dyDescent="0.25">
      <c r="A855" s="7">
        <v>4.9562587091547079E-3</v>
      </c>
      <c r="B855"/>
      <c r="C855"/>
      <c r="D855"/>
      <c r="E855"/>
      <c r="CZ855" s="27" t="s">
        <v>7</v>
      </c>
      <c r="DA855" s="27" t="s">
        <v>8</v>
      </c>
      <c r="DB855" s="27" t="s">
        <v>7</v>
      </c>
      <c r="DC855" s="27" t="s">
        <v>8</v>
      </c>
      <c r="DD855" s="27" t="s">
        <v>7</v>
      </c>
      <c r="DE855" s="27" t="s">
        <v>8</v>
      </c>
      <c r="DF855" s="27" t="s">
        <v>7</v>
      </c>
      <c r="DG855" s="27" t="s">
        <v>8</v>
      </c>
      <c r="DH855" s="27" t="s">
        <v>7</v>
      </c>
      <c r="DI855" s="27" t="s">
        <v>8</v>
      </c>
      <c r="DP855" s="27" t="s">
        <v>7</v>
      </c>
      <c r="DR855" s="27" t="s">
        <v>7</v>
      </c>
      <c r="DZ855" s="27" t="s">
        <v>7</v>
      </c>
      <c r="EA855" s="27" t="s">
        <v>8</v>
      </c>
    </row>
    <row r="856" spans="1:225" x14ac:dyDescent="0.25">
      <c r="A856" s="7">
        <v>4.8590771658379491E-3</v>
      </c>
      <c r="B856"/>
      <c r="C856"/>
      <c r="D856"/>
      <c r="E856"/>
      <c r="CZ856" s="27" t="s">
        <v>7</v>
      </c>
      <c r="DA856" s="27" t="s">
        <v>8</v>
      </c>
      <c r="DB856" s="27" t="s">
        <v>7</v>
      </c>
      <c r="DC856" s="27" t="s">
        <v>8</v>
      </c>
      <c r="DD856" s="27" t="s">
        <v>7</v>
      </c>
      <c r="DE856" s="27" t="s">
        <v>8</v>
      </c>
      <c r="DF856" s="27" t="s">
        <v>7</v>
      </c>
      <c r="DG856" s="27" t="s">
        <v>8</v>
      </c>
      <c r="DH856" s="27" t="s">
        <v>7</v>
      </c>
      <c r="DI856" s="27" t="s">
        <v>8</v>
      </c>
      <c r="DZ856" s="27" t="s">
        <v>7</v>
      </c>
      <c r="EA856" s="27" t="s">
        <v>8</v>
      </c>
    </row>
    <row r="857" spans="1:225" x14ac:dyDescent="0.25">
      <c r="A857" s="7">
        <v>4.7638011429783815E-3</v>
      </c>
      <c r="B857"/>
      <c r="C857"/>
      <c r="D857"/>
      <c r="E857"/>
      <c r="CZ857" s="27" t="s">
        <v>7</v>
      </c>
      <c r="DA857" s="27" t="s">
        <v>8</v>
      </c>
      <c r="DB857" s="27" t="s">
        <v>7</v>
      </c>
      <c r="DC857" s="27" t="s">
        <v>8</v>
      </c>
      <c r="DD857" s="27" t="s">
        <v>7</v>
      </c>
      <c r="DE857" s="27" t="s">
        <v>8</v>
      </c>
      <c r="DF857" s="27" t="s">
        <v>7</v>
      </c>
      <c r="DG857" s="27" t="s">
        <v>8</v>
      </c>
      <c r="DH857" s="27" t="s">
        <v>7</v>
      </c>
      <c r="DI857" s="27" t="s">
        <v>8</v>
      </c>
      <c r="DZ857" s="27" t="s">
        <v>7</v>
      </c>
      <c r="EA857" s="27" t="s">
        <v>8</v>
      </c>
    </row>
    <row r="858" spans="1:225" x14ac:dyDescent="0.25">
      <c r="A858" s="7">
        <v>4.6703932774297859E-3</v>
      </c>
      <c r="B858"/>
      <c r="C858"/>
      <c r="D858"/>
      <c r="E858"/>
      <c r="CZ858" s="27" t="s">
        <v>7</v>
      </c>
      <c r="DA858" s="27" t="s">
        <v>8</v>
      </c>
      <c r="DB858" s="27" t="s">
        <v>7</v>
      </c>
      <c r="DC858" s="27" t="s">
        <v>8</v>
      </c>
      <c r="DD858" s="27" t="s">
        <v>7</v>
      </c>
      <c r="DE858" s="27" t="s">
        <v>8</v>
      </c>
      <c r="DF858" s="27" t="s">
        <v>7</v>
      </c>
      <c r="DG858" s="27" t="s">
        <v>8</v>
      </c>
      <c r="DH858" s="27" t="s">
        <v>7</v>
      </c>
      <c r="DI858" s="27" t="s">
        <v>8</v>
      </c>
      <c r="DZ858" s="27" t="s">
        <v>7</v>
      </c>
      <c r="EA858" s="27" t="s">
        <v>8</v>
      </c>
    </row>
    <row r="859" spans="1:225" x14ac:dyDescent="0.25">
      <c r="A859" s="7">
        <v>4.5788169386566527E-3</v>
      </c>
      <c r="B859"/>
      <c r="C859"/>
      <c r="D859"/>
      <c r="E859"/>
      <c r="CZ859" s="27" t="s">
        <v>7</v>
      </c>
      <c r="DA859" s="27" t="s">
        <v>8</v>
      </c>
      <c r="DB859" s="27" t="s">
        <v>7</v>
      </c>
      <c r="DC859" s="27" t="s">
        <v>8</v>
      </c>
      <c r="DD859" s="27" t="s">
        <v>7</v>
      </c>
      <c r="DE859" s="27" t="s">
        <v>8</v>
      </c>
      <c r="DF859" s="27" t="s">
        <v>7</v>
      </c>
      <c r="DG859" s="27" t="s">
        <v>8</v>
      </c>
      <c r="DH859" s="27" t="s">
        <v>7</v>
      </c>
      <c r="DI859" s="27" t="s">
        <v>8</v>
      </c>
      <c r="DZ859" s="27" t="s">
        <v>7</v>
      </c>
      <c r="EA859" s="27" t="s">
        <v>8</v>
      </c>
    </row>
    <row r="860" spans="1:225" x14ac:dyDescent="0.25">
      <c r="A860" s="7">
        <v>4.4890362143692672E-3</v>
      </c>
      <c r="B860"/>
      <c r="C860"/>
      <c r="D860"/>
      <c r="E860"/>
      <c r="CZ860" s="27" t="s">
        <v>7</v>
      </c>
      <c r="DA860" s="27" t="s">
        <v>8</v>
      </c>
      <c r="DB860" s="27" t="s">
        <v>7</v>
      </c>
      <c r="DC860" s="27" t="s">
        <v>8</v>
      </c>
      <c r="DD860" s="27" t="s">
        <v>7</v>
      </c>
      <c r="DE860" s="27" t="s">
        <v>8</v>
      </c>
      <c r="DF860" s="27" t="s">
        <v>7</v>
      </c>
      <c r="DH860" s="27" t="s">
        <v>7</v>
      </c>
      <c r="DI860" s="27" t="s">
        <v>8</v>
      </c>
      <c r="DZ860" s="27" t="s">
        <v>7</v>
      </c>
    </row>
    <row r="861" spans="1:225" x14ac:dyDescent="0.25">
      <c r="A861" s="7">
        <v>4.4010158964404578E-3</v>
      </c>
      <c r="B861"/>
      <c r="C861"/>
      <c r="D861"/>
      <c r="E861"/>
      <c r="CZ861" s="27" t="s">
        <v>7</v>
      </c>
      <c r="DA861" s="27" t="s">
        <v>8</v>
      </c>
      <c r="DB861" s="27" t="s">
        <v>7</v>
      </c>
      <c r="DC861" s="27" t="s">
        <v>8</v>
      </c>
      <c r="DD861" s="27" t="s">
        <v>7</v>
      </c>
      <c r="DE861" s="27" t="s">
        <v>8</v>
      </c>
      <c r="DH861" s="27" t="s">
        <v>7</v>
      </c>
      <c r="DI861" s="27" t="s">
        <v>8</v>
      </c>
    </row>
    <row r="862" spans="1:225" x14ac:dyDescent="0.25">
      <c r="A862" s="7">
        <v>4.314721467098488E-3</v>
      </c>
      <c r="B862"/>
      <c r="C862"/>
      <c r="D862"/>
      <c r="E862"/>
      <c r="CZ862" s="27" t="s">
        <v>7</v>
      </c>
      <c r="DA862" s="27" t="s">
        <v>8</v>
      </c>
      <c r="DB862" s="27" t="s">
        <v>7</v>
      </c>
      <c r="DC862" s="27" t="s">
        <v>8</v>
      </c>
      <c r="DD862" s="27" t="s">
        <v>7</v>
      </c>
      <c r="DH862" s="27" t="s">
        <v>7</v>
      </c>
    </row>
    <row r="863" spans="1:225" x14ac:dyDescent="0.25">
      <c r="A863" s="7">
        <v>4.2301190853906746E-3</v>
      </c>
      <c r="B863"/>
      <c r="C863"/>
      <c r="D863"/>
      <c r="E863"/>
      <c r="CZ863" s="27" t="s">
        <v>7</v>
      </c>
      <c r="DA863" s="27" t="s">
        <v>8</v>
      </c>
      <c r="DB863" s="27" t="s">
        <v>7</v>
      </c>
    </row>
    <row r="864" spans="1:225" x14ac:dyDescent="0.25">
      <c r="A864" s="7">
        <v>4.1471755739124266E-3</v>
      </c>
      <c r="B864"/>
      <c r="C864"/>
      <c r="D864"/>
      <c r="E864"/>
      <c r="CZ864" s="27" t="s">
        <v>7</v>
      </c>
      <c r="DA864" s="27" t="s">
        <v>8</v>
      </c>
    </row>
    <row r="865" spans="1:105" x14ac:dyDescent="0.25">
      <c r="A865" s="7">
        <v>4.0658584057964966E-3</v>
      </c>
      <c r="B865"/>
      <c r="C865"/>
      <c r="D865"/>
      <c r="E865"/>
      <c r="CZ865" s="27" t="s">
        <v>7</v>
      </c>
      <c r="DA865" s="27" t="s">
        <v>8</v>
      </c>
    </row>
    <row r="866" spans="1:105" x14ac:dyDescent="0.25">
      <c r="A866" s="7">
        <v>3.9861356919573491E-3</v>
      </c>
      <c r="B866"/>
      <c r="C866"/>
      <c r="D866"/>
      <c r="E866"/>
      <c r="CZ866" s="27" t="s">
        <v>7</v>
      </c>
      <c r="DA866" s="27" t="s">
        <v>8</v>
      </c>
    </row>
    <row r="867" spans="1:105" x14ac:dyDescent="0.25">
      <c r="A867" s="7">
        <v>3.9079761685856364E-3</v>
      </c>
      <c r="B867"/>
      <c r="C867"/>
      <c r="D867"/>
      <c r="E867"/>
      <c r="CZ867" s="27" t="s">
        <v>7</v>
      </c>
      <c r="DA867" s="27" t="s">
        <v>8</v>
      </c>
    </row>
    <row r="868" spans="1:105" x14ac:dyDescent="0.25">
      <c r="A868" s="7">
        <v>3.8313491848878793E-3</v>
      </c>
      <c r="B868"/>
      <c r="C868"/>
      <c r="D868"/>
      <c r="E868"/>
      <c r="CZ868" s="27" t="s">
        <v>7</v>
      </c>
      <c r="DA868" s="27" t="s">
        <v>8</v>
      </c>
    </row>
    <row r="869" spans="1:105" x14ac:dyDescent="0.25">
      <c r="A869" s="7">
        <v>3.7562246910665485E-3</v>
      </c>
      <c r="B869"/>
      <c r="C869"/>
      <c r="D869"/>
      <c r="E869"/>
      <c r="CZ869" s="27" t="s">
        <v>7</v>
      </c>
      <c r="DA869" s="27" t="s">
        <v>8</v>
      </c>
    </row>
    <row r="870" spans="1:105" x14ac:dyDescent="0.25">
      <c r="A870" s="7">
        <v>3.6825732265358315E-3</v>
      </c>
      <c r="B870"/>
      <c r="C870"/>
      <c r="D870"/>
      <c r="E870"/>
      <c r="CZ870" s="27" t="s">
        <v>7</v>
      </c>
      <c r="DA870" s="27" t="s">
        <v>8</v>
      </c>
    </row>
    <row r="871" spans="1:105" x14ac:dyDescent="0.25">
      <c r="A871" s="7">
        <v>3.6103659083684624E-3</v>
      </c>
      <c r="B871"/>
      <c r="C871"/>
      <c r="D871"/>
      <c r="E871"/>
      <c r="CZ871" s="27" t="s">
        <v>7</v>
      </c>
      <c r="DA871" s="27" t="s">
        <v>8</v>
      </c>
    </row>
    <row r="872" spans="1:105" x14ac:dyDescent="0.25">
      <c r="A872" s="7">
        <v>3.539574419969081E-3</v>
      </c>
      <c r="B872"/>
      <c r="C872"/>
      <c r="D872"/>
      <c r="E872"/>
      <c r="CZ872" s="27" t="s">
        <v>7</v>
      </c>
      <c r="DA872" s="27" t="s">
        <v>8</v>
      </c>
    </row>
    <row r="873" spans="1:105" x14ac:dyDescent="0.25">
      <c r="A873" s="7">
        <v>3.4701709999696872E-3</v>
      </c>
      <c r="B873"/>
      <c r="C873"/>
      <c r="D873"/>
      <c r="E873"/>
      <c r="CZ873" s="27" t="s">
        <v>7</v>
      </c>
    </row>
    <row r="874" spans="1:105" x14ac:dyDescent="0.25">
      <c r="A874" s="7">
        <v>3.4021284313428307E-3</v>
      </c>
      <c r="B874"/>
      <c r="C874"/>
      <c r="D874"/>
      <c r="E874"/>
    </row>
    <row r="875" spans="1:105" x14ac:dyDescent="0.25">
      <c r="A875" s="7">
        <v>3.3354200307282654E-3</v>
      </c>
      <c r="B875"/>
      <c r="C875"/>
      <c r="D875"/>
      <c r="E875"/>
    </row>
    <row r="876" spans="1:105" x14ac:dyDescent="0.25">
      <c r="A876" s="7">
        <v>3.2700196379688881E-3</v>
      </c>
      <c r="B876"/>
      <c r="C876"/>
      <c r="D876"/>
      <c r="E876"/>
    </row>
    <row r="877" spans="1:105" x14ac:dyDescent="0.25">
      <c r="A877" s="7">
        <v>3.205901605851851E-3</v>
      </c>
      <c r="B877"/>
      <c r="C877"/>
      <c r="D877"/>
      <c r="E877"/>
    </row>
    <row r="878" spans="1:105" x14ac:dyDescent="0.25">
      <c r="A878" s="7">
        <v>3.1430407900508344E-3</v>
      </c>
      <c r="B878"/>
      <c r="C878"/>
      <c r="D878"/>
      <c r="E878"/>
    </row>
    <row r="879" spans="1:105" x14ac:dyDescent="0.25">
      <c r="A879" s="7">
        <v>3.0814125392655241E-3</v>
      </c>
      <c r="B879"/>
      <c r="C879"/>
      <c r="D879"/>
      <c r="E879"/>
    </row>
    <row r="880" spans="1:10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1314" operator="equal">
      <formula>$U$1</formula>
    </cfRule>
    <cfRule type="cellIs" dxfId="89" priority="1315" operator="equal">
      <formula>$S$1</formula>
    </cfRule>
  </conditionalFormatting>
  <conditionalFormatting sqref="D27">
    <cfRule type="cellIs" dxfId="88" priority="1312" operator="equal">
      <formula>$S$1</formula>
    </cfRule>
    <cfRule type="cellIs" dxfId="87" priority="1313" operator="equal">
      <formula>$U$1</formula>
    </cfRule>
  </conditionalFormatting>
  <conditionalFormatting sqref="C164">
    <cfRule type="cellIs" dxfId="86" priority="1310" operator="equal">
      <formula>$U$1</formula>
    </cfRule>
    <cfRule type="cellIs" dxfId="85" priority="1311" operator="equal">
      <formula>$S$1</formula>
    </cfRule>
  </conditionalFormatting>
  <conditionalFormatting sqref="D164">
    <cfRule type="cellIs" dxfId="84" priority="1308" operator="equal">
      <formula>$S$1</formula>
    </cfRule>
    <cfRule type="cellIs" dxfId="83" priority="1309" operator="equal">
      <formula>$U$1</formula>
    </cfRule>
  </conditionalFormatting>
  <conditionalFormatting sqref="C55">
    <cfRule type="cellIs" dxfId="82" priority="1306" operator="equal">
      <formula>$U$1</formula>
    </cfRule>
    <cfRule type="cellIs" dxfId="81" priority="1307" operator="equal">
      <formula>$S$1</formula>
    </cfRule>
  </conditionalFormatting>
  <conditionalFormatting sqref="D55">
    <cfRule type="cellIs" dxfId="80" priority="1304" operator="equal">
      <formula>$S$1</formula>
    </cfRule>
    <cfRule type="cellIs" dxfId="79" priority="1305" operator="equal">
      <formula>$U$1</formula>
    </cfRule>
  </conditionalFormatting>
  <conditionalFormatting sqref="C89">
    <cfRule type="cellIs" dxfId="78" priority="1302" operator="equal">
      <formula>$U$1</formula>
    </cfRule>
    <cfRule type="cellIs" dxfId="77" priority="1303" operator="equal">
      <formula>$S$1</formula>
    </cfRule>
  </conditionalFormatting>
  <conditionalFormatting sqref="D89">
    <cfRule type="cellIs" dxfId="76" priority="1300" operator="equal">
      <formula>$S$1</formula>
    </cfRule>
    <cfRule type="cellIs" dxfId="75" priority="1301" operator="equal">
      <formula>$U$1</formula>
    </cfRule>
  </conditionalFormatting>
  <conditionalFormatting sqref="C136">
    <cfRule type="cellIs" dxfId="74" priority="1298" operator="equal">
      <formula>$U$1</formula>
    </cfRule>
    <cfRule type="cellIs" dxfId="73" priority="1299" operator="equal">
      <formula>$S$1</formula>
    </cfRule>
  </conditionalFormatting>
  <conditionalFormatting sqref="D136">
    <cfRule type="cellIs" dxfId="72" priority="1296" operator="equal">
      <formula>$S$1</formula>
    </cfRule>
    <cfRule type="cellIs" dxfId="71" priority="1297" operator="equal">
      <formula>$U$1</formula>
    </cfRule>
  </conditionalFormatting>
  <conditionalFormatting sqref="C1">
    <cfRule type="cellIs" dxfId="70" priority="1295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372" zoomScale="90" zoomScaleNormal="90" workbookViewId="0">
      <pane xSplit="4" topLeftCell="G1" activePane="topRight" state="frozen"/>
      <selection activeCell="A109" sqref="A109"/>
      <selection pane="topRight" activeCell="GO326" sqref="GO326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$A$325</v>
      </c>
      <c r="D111" s="1" t="str">
        <f>ADDRESS(C121-1,D121,1,1)</f>
        <v>$GO$325</v>
      </c>
      <c r="E111"/>
    </row>
    <row r="112" spans="1:5" x14ac:dyDescent="0.25">
      <c r="A112" s="30">
        <v>515.50191262726139</v>
      </c>
      <c r="C112" s="1" t="str">
        <f>ADDRESS(C121,1,1,1)</f>
        <v>$A$326</v>
      </c>
      <c r="D112" s="1" t="str">
        <f>ADDRESS(C121,D121-1,1,1)</f>
        <v>$GN$326</v>
      </c>
      <c r="E112"/>
    </row>
    <row r="113" spans="1:5" x14ac:dyDescent="0.25">
      <c r="A113" s="30">
        <v>490.95420250215363</v>
      </c>
      <c r="C113" s="1" t="str">
        <f>ADDRESS(C121+1,1,1,1)</f>
        <v>$A$327</v>
      </c>
      <c r="D113" s="1" t="str">
        <f>ADDRESS(C121-1,D121+1,1,1)</f>
        <v>$GP$325</v>
      </c>
    </row>
    <row r="114" spans="1:5" x14ac:dyDescent="0.25">
      <c r="A114" s="30">
        <v>467.57543095443202</v>
      </c>
      <c r="C114" s="1" t="str">
        <f>ADDRESS(C121,D121,1,1)</f>
        <v>$GO$326</v>
      </c>
      <c r="D114" s="1" t="str">
        <f>ADDRESS(C121+1,D121+1,1,1)</f>
        <v>$GP$327</v>
      </c>
    </row>
    <row r="115" spans="1:5" x14ac:dyDescent="0.25">
      <c r="A115" s="30">
        <v>445.30993424231622</v>
      </c>
      <c r="C115" s="1" t="str">
        <f>ADDRESS(C121+1,D121,1,1)</f>
        <v>$GO$327</v>
      </c>
    </row>
    <row r="116" spans="1:5" x14ac:dyDescent="0.25">
      <c r="A116" s="30">
        <v>424.10469927839637</v>
      </c>
      <c r="C116" s="1">
        <f>C117-1</f>
        <v>325</v>
      </c>
    </row>
    <row r="117" spans="1:5" x14ac:dyDescent="0.25">
      <c r="A117" s="30">
        <v>403.9092374079965</v>
      </c>
      <c r="C117" s="1">
        <f>C121</f>
        <v>326</v>
      </c>
      <c r="D117" s="1">
        <f>D121</f>
        <v>197</v>
      </c>
    </row>
    <row r="118" spans="1:5" x14ac:dyDescent="0.25">
      <c r="A118" s="30">
        <v>384.6754641980919</v>
      </c>
      <c r="C118" s="1">
        <f>C117+1</f>
        <v>327</v>
      </c>
      <c r="D118" s="1">
        <f>D117+1</f>
        <v>198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326</v>
      </c>
      <c r="D121" s="19">
        <v>197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R326</v>
      </c>
      <c r="D123" s="1" t="str">
        <f>"C"&amp;D121</f>
        <v>C197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1.5056370044410079E-2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5" x14ac:dyDescent="0.25">
      <c r="A209" s="30">
        <v>4.5380394939082018</v>
      </c>
      <c r="E209"/>
    </row>
    <row r="210" spans="1:5" x14ac:dyDescent="0.25">
      <c r="A210" s="30">
        <v>4.3219423751506678</v>
      </c>
      <c r="C210"/>
      <c r="E210"/>
    </row>
    <row r="211" spans="1:5" x14ac:dyDescent="0.25">
      <c r="A211" s="30">
        <v>4.1161355953815884</v>
      </c>
      <c r="E211"/>
    </row>
    <row r="212" spans="1:5" x14ac:dyDescent="0.25">
      <c r="A212" s="30">
        <v>3.9201291384586554</v>
      </c>
      <c r="E212"/>
    </row>
    <row r="213" spans="1:5" x14ac:dyDescent="0.25">
      <c r="A213" s="30">
        <v>3.7334563223415764</v>
      </c>
      <c r="E213"/>
    </row>
    <row r="214" spans="1:5" x14ac:dyDescent="0.25">
      <c r="A214" s="30">
        <v>3.5556726879443583</v>
      </c>
      <c r="E214"/>
    </row>
    <row r="215" spans="1:5" x14ac:dyDescent="0.25">
      <c r="A215" s="30">
        <v>3.3863549408993889</v>
      </c>
      <c r="E215"/>
    </row>
    <row r="216" spans="1:5" x14ac:dyDescent="0.25">
      <c r="A216" s="30">
        <v>3.2250999437137038</v>
      </c>
      <c r="E216"/>
    </row>
    <row r="217" spans="1:5" x14ac:dyDescent="0.25">
      <c r="A217" s="30">
        <v>3.0715237559178128</v>
      </c>
      <c r="E217"/>
    </row>
    <row r="218" spans="1:5" x14ac:dyDescent="0.25">
      <c r="A218" s="30">
        <v>2.9252607199217264</v>
      </c>
      <c r="E218"/>
    </row>
    <row r="219" spans="1:5" x14ac:dyDescent="0.25">
      <c r="A219" s="30">
        <v>2.7859625904016441</v>
      </c>
      <c r="E219"/>
    </row>
    <row r="220" spans="1:5" x14ac:dyDescent="0.25">
      <c r="A220" s="30">
        <v>2.6532977051444226</v>
      </c>
      <c r="E220"/>
    </row>
    <row r="221" spans="1:5" x14ac:dyDescent="0.25">
      <c r="A221" s="30">
        <v>2.5269501953756404</v>
      </c>
      <c r="E221"/>
    </row>
    <row r="222" spans="1:5" x14ac:dyDescent="0.25">
      <c r="A222" s="30">
        <v>2.4066192336910861</v>
      </c>
      <c r="E222"/>
    </row>
    <row r="223" spans="1:5" x14ac:dyDescent="0.25">
      <c r="A223" s="30">
        <v>2.2920183178010345</v>
      </c>
      <c r="E223"/>
    </row>
    <row r="224" spans="1:5" x14ac:dyDescent="0.25">
      <c r="A224" s="30">
        <v>2.1828745883819374</v>
      </c>
      <c r="E224"/>
    </row>
    <row r="225" spans="1:5" x14ac:dyDescent="0.25">
      <c r="A225" s="30">
        <v>2.0789281794113688</v>
      </c>
      <c r="E225"/>
    </row>
    <row r="226" spans="1:5" x14ac:dyDescent="0.25">
      <c r="A226" s="30">
        <v>1.9799315994393987</v>
      </c>
      <c r="E226"/>
    </row>
    <row r="227" spans="1:5" x14ac:dyDescent="0.25">
      <c r="A227" s="30">
        <v>1.8856491423232367</v>
      </c>
      <c r="E227"/>
    </row>
    <row r="228" spans="1:5" x14ac:dyDescent="0.25">
      <c r="A228" s="30">
        <v>1.7958563260221301</v>
      </c>
      <c r="C228" s="7"/>
      <c r="D228"/>
      <c r="E228"/>
    </row>
    <row r="229" spans="1:5" x14ac:dyDescent="0.25">
      <c r="A229" s="30">
        <v>1.7103393581163142</v>
      </c>
      <c r="E229"/>
    </row>
    <row r="230" spans="1:5" x14ac:dyDescent="0.25">
      <c r="A230" s="30">
        <v>1.628894626777442</v>
      </c>
      <c r="E230"/>
    </row>
    <row r="231" spans="1:5" x14ac:dyDescent="0.25">
      <c r="A231" s="30">
        <v>1.5513282159785162</v>
      </c>
      <c r="C231"/>
      <c r="D231"/>
      <c r="E231"/>
    </row>
    <row r="232" spans="1:5" x14ac:dyDescent="0.25">
      <c r="A232" s="30">
        <v>1.477455443789063</v>
      </c>
      <c r="E232"/>
    </row>
    <row r="233" spans="1:5" x14ac:dyDescent="0.25">
      <c r="A233" s="30">
        <v>1.4071004226562505</v>
      </c>
      <c r="E233"/>
    </row>
    <row r="234" spans="1:5" x14ac:dyDescent="0.25">
      <c r="A234" s="30">
        <v>1.3400956406250004</v>
      </c>
      <c r="E234"/>
    </row>
    <row r="235" spans="1:5" x14ac:dyDescent="0.25">
      <c r="A235" s="30">
        <v>1.2762815625000004</v>
      </c>
      <c r="C235"/>
      <c r="E235"/>
    </row>
    <row r="236" spans="1:5" x14ac:dyDescent="0.25">
      <c r="A236" s="30">
        <v>1.2155062500000002</v>
      </c>
      <c r="E236"/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</row>
    <row r="238" spans="1:5" x14ac:dyDescent="0.25">
      <c r="A238" s="30">
        <v>1.1025</v>
      </c>
      <c r="E238"/>
    </row>
    <row r="239" spans="1:5" x14ac:dyDescent="0.25">
      <c r="A239" s="30">
        <v>1.05</v>
      </c>
      <c r="E239"/>
    </row>
    <row r="240" spans="1:5" x14ac:dyDescent="0.25">
      <c r="A240" s="30">
        <v>1</v>
      </c>
      <c r="E240" s="29" t="s">
        <v>8</v>
      </c>
    </row>
    <row r="241" spans="1:6" x14ac:dyDescent="0.25">
      <c r="A241" s="30">
        <v>0.952380952380952</v>
      </c>
      <c r="B241"/>
      <c r="C241"/>
      <c r="D241"/>
      <c r="E241"/>
      <c r="F241" s="27" t="s">
        <v>7</v>
      </c>
    </row>
    <row r="242" spans="1:6" x14ac:dyDescent="0.25">
      <c r="A242" s="30">
        <v>0.90702947845804915</v>
      </c>
      <c r="B242"/>
      <c r="C242"/>
      <c r="D242"/>
      <c r="E242"/>
      <c r="F242" s="27" t="s">
        <v>7</v>
      </c>
    </row>
    <row r="243" spans="1:6" x14ac:dyDescent="0.25">
      <c r="A243" s="30">
        <v>0.86383759853147501</v>
      </c>
      <c r="B243"/>
      <c r="C243"/>
      <c r="D243"/>
      <c r="E243"/>
      <c r="F243" s="27" t="s">
        <v>7</v>
      </c>
    </row>
    <row r="244" spans="1:6" x14ac:dyDescent="0.25">
      <c r="A244" s="30">
        <v>0.82270247479188063</v>
      </c>
      <c r="B244"/>
      <c r="C244"/>
      <c r="D244"/>
      <c r="E244"/>
      <c r="F244" s="27" t="s">
        <v>7</v>
      </c>
    </row>
    <row r="245" spans="1:6" x14ac:dyDescent="0.25">
      <c r="A245" s="30">
        <v>0.78352616646845741</v>
      </c>
      <c r="B245"/>
      <c r="C245"/>
      <c r="D245"/>
      <c r="E245"/>
      <c r="F245" s="27" t="s">
        <v>7</v>
      </c>
    </row>
    <row r="246" spans="1:6" x14ac:dyDescent="0.25">
      <c r="A246" s="30">
        <v>0.74621539663662584</v>
      </c>
      <c r="B246"/>
      <c r="C246"/>
      <c r="D246"/>
      <c r="E246"/>
      <c r="F246" s="27" t="s">
        <v>7</v>
      </c>
    </row>
    <row r="247" spans="1:6" x14ac:dyDescent="0.25">
      <c r="A247" s="30">
        <v>0.71068133013011958</v>
      </c>
      <c r="B247"/>
      <c r="C247"/>
      <c r="D247"/>
      <c r="E247"/>
      <c r="F247" s="27" t="s">
        <v>7</v>
      </c>
    </row>
    <row r="248" spans="1:6" x14ac:dyDescent="0.25">
      <c r="A248" s="30">
        <v>0.676839362028685</v>
      </c>
      <c r="B248"/>
      <c r="C248"/>
      <c r="D248"/>
      <c r="E248"/>
      <c r="F248" s="27" t="s">
        <v>7</v>
      </c>
    </row>
    <row r="249" spans="1:6" x14ac:dyDescent="0.25">
      <c r="A249" s="30">
        <v>0.64460891621779492</v>
      </c>
      <c r="B249"/>
      <c r="C249"/>
      <c r="D249"/>
      <c r="E249"/>
      <c r="F249" s="27" t="s">
        <v>7</v>
      </c>
    </row>
    <row r="250" spans="1:6" x14ac:dyDescent="0.25">
      <c r="A250" s="30">
        <v>0.61391325354075688</v>
      </c>
      <c r="B250"/>
      <c r="C250"/>
      <c r="D250"/>
      <c r="E250"/>
      <c r="F250" s="27" t="s">
        <v>7</v>
      </c>
    </row>
    <row r="251" spans="1:6" x14ac:dyDescent="0.25">
      <c r="A251" s="30">
        <v>0.58467928908643485</v>
      </c>
      <c r="B251"/>
      <c r="C251"/>
      <c r="D251"/>
      <c r="E251"/>
      <c r="F251" s="27" t="s">
        <v>7</v>
      </c>
    </row>
    <row r="252" spans="1:6" x14ac:dyDescent="0.25">
      <c r="A252" s="30">
        <v>0.55683741817755672</v>
      </c>
      <c r="B252"/>
      <c r="C252"/>
      <c r="D252"/>
      <c r="E252"/>
      <c r="F252" s="27" t="s">
        <v>7</v>
      </c>
    </row>
    <row r="253" spans="1:6" x14ac:dyDescent="0.25">
      <c r="A253" s="30">
        <v>0.53032135064529184</v>
      </c>
      <c r="B253"/>
      <c r="C253"/>
      <c r="D253"/>
      <c r="E253"/>
      <c r="F253" s="27" t="s">
        <v>7</v>
      </c>
    </row>
    <row r="254" spans="1:6" x14ac:dyDescent="0.25">
      <c r="A254" s="30">
        <v>0.50506795299551588</v>
      </c>
      <c r="B254"/>
      <c r="C254"/>
      <c r="D254"/>
      <c r="E254"/>
      <c r="F254" s="27" t="s">
        <v>7</v>
      </c>
    </row>
    <row r="255" spans="1:6" x14ac:dyDescent="0.25">
      <c r="A255" s="30">
        <v>0.48101709809096732</v>
      </c>
      <c r="E255"/>
      <c r="F255" s="27" t="s">
        <v>7</v>
      </c>
    </row>
    <row r="256" spans="1:6" x14ac:dyDescent="0.25">
      <c r="A256" s="30">
        <v>0.45811152199139726</v>
      </c>
      <c r="E256"/>
      <c r="F256" s="27" t="s">
        <v>7</v>
      </c>
    </row>
    <row r="257" spans="1:6" x14ac:dyDescent="0.25">
      <c r="A257" s="30">
        <v>0.43629668761085438</v>
      </c>
      <c r="B257"/>
      <c r="C257"/>
      <c r="D257"/>
      <c r="E257"/>
      <c r="F257" s="27" t="s">
        <v>7</v>
      </c>
    </row>
    <row r="258" spans="1:6" x14ac:dyDescent="0.25">
      <c r="A258" s="30">
        <v>0.41552065486748019</v>
      </c>
      <c r="B258"/>
      <c r="C258"/>
      <c r="D258"/>
      <c r="E258"/>
      <c r="F258" s="27" t="s">
        <v>7</v>
      </c>
    </row>
    <row r="259" spans="1:6" x14ac:dyDescent="0.25">
      <c r="A259" s="30">
        <v>0.39573395701664765</v>
      </c>
      <c r="B259"/>
      <c r="C259"/>
      <c r="D259"/>
      <c r="E259"/>
      <c r="F259" s="27" t="s">
        <v>7</v>
      </c>
    </row>
    <row r="260" spans="1:6" x14ac:dyDescent="0.25">
      <c r="A260" s="30">
        <v>0.37688948287299762</v>
      </c>
      <c r="B260"/>
      <c r="C260"/>
      <c r="D260"/>
      <c r="E260"/>
      <c r="F260" s="27" t="s">
        <v>7</v>
      </c>
    </row>
    <row r="261" spans="1:6" x14ac:dyDescent="0.25">
      <c r="A261" s="30">
        <v>0.35894236464094997</v>
      </c>
      <c r="B261"/>
      <c r="C261"/>
      <c r="D261"/>
      <c r="E261"/>
      <c r="F261" s="27" t="s">
        <v>7</v>
      </c>
    </row>
    <row r="262" spans="1:6" x14ac:dyDescent="0.25">
      <c r="A262" s="30">
        <v>0.34184987108661891</v>
      </c>
      <c r="B262"/>
      <c r="C262"/>
      <c r="D262"/>
      <c r="E262"/>
      <c r="F262" s="27" t="s">
        <v>7</v>
      </c>
    </row>
    <row r="263" spans="1:6" x14ac:dyDescent="0.25">
      <c r="A263" s="30">
        <v>0.32557130579677979</v>
      </c>
      <c r="B263"/>
      <c r="C263"/>
      <c r="D263"/>
      <c r="E263"/>
      <c r="F263" s="27" t="s">
        <v>7</v>
      </c>
    </row>
    <row r="264" spans="1:6" x14ac:dyDescent="0.25">
      <c r="A264" s="30">
        <v>0.3100679102826473</v>
      </c>
      <c r="B264"/>
      <c r="C264"/>
      <c r="D264"/>
      <c r="E264"/>
      <c r="F264" s="27" t="s">
        <v>7</v>
      </c>
    </row>
    <row r="265" spans="1:6" x14ac:dyDescent="0.25">
      <c r="A265" s="30">
        <v>0.2953027716977592</v>
      </c>
      <c r="B265"/>
      <c r="C265"/>
      <c r="D265"/>
      <c r="E265"/>
      <c r="F265" s="27" t="s">
        <v>7</v>
      </c>
    </row>
    <row r="266" spans="1:6" x14ac:dyDescent="0.25">
      <c r="A266" s="30">
        <v>0.28124073495024676</v>
      </c>
      <c r="B266"/>
      <c r="C266"/>
      <c r="D266"/>
      <c r="E266"/>
      <c r="F266" s="27" t="s">
        <v>7</v>
      </c>
    </row>
    <row r="267" spans="1:6" x14ac:dyDescent="0.25">
      <c r="A267" s="30">
        <v>0.26784831900023492</v>
      </c>
      <c r="B267"/>
      <c r="C267"/>
      <c r="D267"/>
      <c r="E267"/>
      <c r="F267" s="27" t="s">
        <v>7</v>
      </c>
    </row>
    <row r="268" spans="1:6" x14ac:dyDescent="0.25">
      <c r="A268" s="30">
        <v>0.25509363714308075</v>
      </c>
      <c r="B268"/>
      <c r="C268"/>
      <c r="D268"/>
      <c r="E268"/>
      <c r="F268" s="27" t="s">
        <v>7</v>
      </c>
    </row>
    <row r="269" spans="1:6" x14ac:dyDescent="0.25">
      <c r="A269" s="30">
        <v>0.24294632108864825</v>
      </c>
      <c r="B269"/>
      <c r="C269"/>
      <c r="D269"/>
      <c r="E269"/>
      <c r="F269" s="27" t="s">
        <v>7</v>
      </c>
    </row>
    <row r="270" spans="1:6" x14ac:dyDescent="0.25">
      <c r="A270" s="30">
        <v>0.23137744865585538</v>
      </c>
      <c r="B270"/>
      <c r="C270"/>
      <c r="D270"/>
      <c r="E270"/>
      <c r="F270" s="27" t="s">
        <v>7</v>
      </c>
    </row>
    <row r="271" spans="1:6" x14ac:dyDescent="0.25">
      <c r="A271" s="30">
        <v>0.22035947491033836</v>
      </c>
      <c r="B271"/>
      <c r="C271"/>
      <c r="D271"/>
      <c r="E271"/>
      <c r="F271" s="27" t="s">
        <v>7</v>
      </c>
    </row>
    <row r="272" spans="1:6" x14ac:dyDescent="0.25">
      <c r="A272" s="30">
        <v>0.20986616658127455</v>
      </c>
      <c r="B272"/>
      <c r="C272"/>
      <c r="D272"/>
      <c r="E272"/>
      <c r="F272" s="27" t="s">
        <v>7</v>
      </c>
    </row>
    <row r="273" spans="1:6" x14ac:dyDescent="0.25">
      <c r="A273" s="30">
        <v>0.19987253960121379</v>
      </c>
      <c r="B273"/>
      <c r="C273"/>
      <c r="D273"/>
      <c r="E273"/>
      <c r="F273" s="27" t="s">
        <v>7</v>
      </c>
    </row>
    <row r="274" spans="1:6" x14ac:dyDescent="0.25">
      <c r="A274" s="30">
        <v>0.19035479962020352</v>
      </c>
      <c r="B274"/>
      <c r="C274"/>
      <c r="D274"/>
      <c r="E274"/>
      <c r="F274" s="27" t="s">
        <v>7</v>
      </c>
    </row>
    <row r="275" spans="1:6" x14ac:dyDescent="0.25">
      <c r="A275" s="30">
        <v>0.18129028535257471</v>
      </c>
      <c r="B275"/>
      <c r="C275"/>
      <c r="D275"/>
      <c r="E275"/>
      <c r="F275" s="27" t="s">
        <v>7</v>
      </c>
    </row>
    <row r="276" spans="1:6" x14ac:dyDescent="0.25">
      <c r="A276" s="30">
        <v>0.17265741462149967</v>
      </c>
      <c r="B276"/>
      <c r="C276"/>
      <c r="D276"/>
      <c r="E276"/>
      <c r="F276" s="27" t="s">
        <v>7</v>
      </c>
    </row>
    <row r="277" spans="1:6" x14ac:dyDescent="0.25">
      <c r="A277" s="30">
        <v>0.16443563297285677</v>
      </c>
      <c r="B277"/>
      <c r="C277"/>
      <c r="D277"/>
      <c r="E277"/>
      <c r="F277" s="27" t="s">
        <v>7</v>
      </c>
    </row>
    <row r="278" spans="1:6" x14ac:dyDescent="0.25">
      <c r="A278" s="30">
        <v>0.15660536473605399</v>
      </c>
      <c r="B278"/>
      <c r="C278"/>
      <c r="D278"/>
      <c r="E278"/>
      <c r="F278" s="27" t="s">
        <v>7</v>
      </c>
    </row>
    <row r="279" spans="1:6" x14ac:dyDescent="0.25">
      <c r="A279" s="30">
        <v>0.14914796641528946</v>
      </c>
      <c r="B279"/>
      <c r="C279"/>
      <c r="D279"/>
      <c r="E279"/>
      <c r="F279" s="27" t="s">
        <v>7</v>
      </c>
    </row>
    <row r="280" spans="1:6" x14ac:dyDescent="0.25">
      <c r="A280" s="30">
        <v>0.14204568230027562</v>
      </c>
      <c r="B280"/>
      <c r="C280"/>
      <c r="D280"/>
      <c r="E280"/>
      <c r="F280" s="27" t="s">
        <v>7</v>
      </c>
    </row>
    <row r="281" spans="1:6" x14ac:dyDescent="0.25">
      <c r="A281" s="30">
        <v>0.13528160219073862</v>
      </c>
      <c r="B281"/>
      <c r="C281"/>
      <c r="D281"/>
      <c r="E281"/>
      <c r="F281" s="27" t="s">
        <v>7</v>
      </c>
    </row>
    <row r="282" spans="1:6" x14ac:dyDescent="0.25">
      <c r="A282" s="30">
        <v>0.12883962113403674</v>
      </c>
      <c r="B282"/>
      <c r="C282"/>
      <c r="D282"/>
      <c r="E282"/>
      <c r="F282" s="27" t="s">
        <v>7</v>
      </c>
    </row>
    <row r="283" spans="1:6" x14ac:dyDescent="0.25">
      <c r="A283" s="30">
        <v>0.12270440108003494</v>
      </c>
      <c r="B283"/>
      <c r="C283"/>
      <c r="D283"/>
      <c r="E283"/>
      <c r="F283" s="27" t="s">
        <v>7</v>
      </c>
    </row>
    <row r="284" spans="1:6" x14ac:dyDescent="0.25">
      <c r="A284" s="30">
        <v>0.11686133436193799</v>
      </c>
      <c r="B284"/>
      <c r="C284"/>
      <c r="D284"/>
      <c r="E284"/>
      <c r="F284" s="27" t="s">
        <v>7</v>
      </c>
    </row>
    <row r="285" spans="1:6" x14ac:dyDescent="0.25">
      <c r="A285" s="30">
        <v>0.11129650891613138</v>
      </c>
      <c r="B285"/>
      <c r="C285"/>
      <c r="D285"/>
      <c r="E285"/>
      <c r="F285" s="27" t="s">
        <v>7</v>
      </c>
    </row>
    <row r="286" spans="1:6" x14ac:dyDescent="0.25">
      <c r="A286" s="30">
        <v>0.10599667515822032</v>
      </c>
      <c r="B286"/>
      <c r="C286"/>
      <c r="D286"/>
      <c r="E286"/>
      <c r="F286" s="27" t="s">
        <v>7</v>
      </c>
    </row>
    <row r="287" spans="1:6" x14ac:dyDescent="0.25">
      <c r="A287" s="30">
        <v>0.10094921443640027</v>
      </c>
      <c r="B287"/>
      <c r="C287"/>
      <c r="D287"/>
      <c r="E287"/>
      <c r="F287" s="27" t="s">
        <v>7</v>
      </c>
    </row>
    <row r="288" spans="1:6" x14ac:dyDescent="0.25">
      <c r="A288" s="30">
        <v>9.6142108987047836E-2</v>
      </c>
      <c r="B288"/>
      <c r="C288"/>
      <c r="D288"/>
      <c r="E288"/>
      <c r="F288" s="27" t="s">
        <v>7</v>
      </c>
    </row>
    <row r="289" spans="1:180" x14ac:dyDescent="0.25">
      <c r="A289" s="30">
        <v>9.1563913320997906E-2</v>
      </c>
      <c r="B289"/>
      <c r="C289"/>
      <c r="D289"/>
      <c r="E289"/>
      <c r="F289" s="27" t="s">
        <v>7</v>
      </c>
    </row>
    <row r="290" spans="1:180" x14ac:dyDescent="0.25">
      <c r="A290" s="30">
        <v>8.7203726972378923E-2</v>
      </c>
      <c r="B290"/>
      <c r="C290"/>
      <c r="D290"/>
      <c r="E290"/>
      <c r="F290" s="27" t="s">
        <v>7</v>
      </c>
    </row>
    <row r="291" spans="1:180" x14ac:dyDescent="0.25">
      <c r="A291" s="30">
        <v>8.3051168545122747E-2</v>
      </c>
      <c r="B291"/>
      <c r="C291"/>
      <c r="D291"/>
      <c r="E291"/>
      <c r="F291" s="27" t="s">
        <v>7</v>
      </c>
    </row>
    <row r="292" spans="1:180" x14ac:dyDescent="0.25">
      <c r="A292" s="30">
        <v>7.9096350995354961E-2</v>
      </c>
      <c r="B292"/>
      <c r="C292"/>
      <c r="D292"/>
      <c r="E292"/>
      <c r="F292" s="27" t="s">
        <v>7</v>
      </c>
    </row>
    <row r="293" spans="1:180" x14ac:dyDescent="0.25">
      <c r="A293" s="30">
        <v>7.5329858090814217E-2</v>
      </c>
      <c r="B293"/>
      <c r="C293"/>
      <c r="D293"/>
      <c r="E293"/>
      <c r="F293" s="27" t="s">
        <v>7</v>
      </c>
    </row>
    <row r="294" spans="1:180" x14ac:dyDescent="0.25">
      <c r="A294" s="30">
        <v>7.1742721991251604E-2</v>
      </c>
      <c r="B294"/>
      <c r="C294"/>
      <c r="D294"/>
      <c r="E294"/>
      <c r="F294" s="27" t="s">
        <v>7</v>
      </c>
    </row>
    <row r="295" spans="1:180" x14ac:dyDescent="0.25">
      <c r="A295" s="30">
        <v>6.8326401896430078E-2</v>
      </c>
      <c r="B295"/>
      <c r="C295"/>
      <c r="D295"/>
      <c r="E295"/>
      <c r="F295" s="27" t="s">
        <v>7</v>
      </c>
    </row>
    <row r="296" spans="1:180" x14ac:dyDescent="0.25">
      <c r="A296" s="30">
        <v>6.5072763710885759E-2</v>
      </c>
      <c r="B296"/>
      <c r="C296"/>
      <c r="D296"/>
      <c r="E296"/>
      <c r="F296" s="27" t="s">
        <v>7</v>
      </c>
    </row>
    <row r="297" spans="1:180" x14ac:dyDescent="0.25">
      <c r="A297" s="30">
        <v>6.197406067703403E-2</v>
      </c>
      <c r="B297"/>
      <c r="C297"/>
      <c r="D297"/>
      <c r="E297"/>
      <c r="F297" s="27" t="s">
        <v>7</v>
      </c>
      <c r="FW297" s="27" t="s">
        <v>8</v>
      </c>
    </row>
    <row r="298" spans="1:180" x14ac:dyDescent="0.25">
      <c r="A298" s="30">
        <v>5.9022914930508576E-2</v>
      </c>
      <c r="B298"/>
      <c r="C298"/>
      <c r="D298"/>
      <c r="E298"/>
      <c r="F298" s="27" t="s">
        <v>7</v>
      </c>
      <c r="FW298" s="27" t="s">
        <v>8</v>
      </c>
      <c r="FX298" s="27" t="s">
        <v>7</v>
      </c>
    </row>
    <row r="299" spans="1:180" x14ac:dyDescent="0.25">
      <c r="A299" s="30">
        <v>5.6212299933817669E-2</v>
      </c>
      <c r="B299"/>
      <c r="C299"/>
      <c r="D299"/>
      <c r="E299"/>
      <c r="F299" s="27" t="s">
        <v>7</v>
      </c>
      <c r="FW299" s="27" t="s">
        <v>8</v>
      </c>
      <c r="FX299" s="27" t="s">
        <v>7</v>
      </c>
    </row>
    <row r="300" spans="1:180" x14ac:dyDescent="0.25">
      <c r="A300" s="30">
        <v>5.3535523746492994E-2</v>
      </c>
      <c r="B300"/>
      <c r="C300"/>
      <c r="D300"/>
      <c r="E300"/>
      <c r="F300" s="27" t="s">
        <v>7</v>
      </c>
      <c r="G300" s="27" t="s">
        <v>8</v>
      </c>
      <c r="FW300" s="27" t="s">
        <v>8</v>
      </c>
      <c r="FX300" s="27" t="s">
        <v>7</v>
      </c>
    </row>
    <row r="301" spans="1:180" x14ac:dyDescent="0.25">
      <c r="A301" s="30">
        <v>5.0986213091898068E-2</v>
      </c>
      <c r="B301"/>
      <c r="C301"/>
      <c r="D301"/>
      <c r="E301"/>
      <c r="F301" s="27" t="s">
        <v>7</v>
      </c>
      <c r="G301" s="27" t="s">
        <v>8</v>
      </c>
      <c r="H301" s="27" t="s">
        <v>7</v>
      </c>
      <c r="FW301" s="27" t="s">
        <v>8</v>
      </c>
      <c r="FX301" s="27" t="s">
        <v>7</v>
      </c>
    </row>
    <row r="302" spans="1:180" x14ac:dyDescent="0.25">
      <c r="A302" s="30">
        <v>4.8558298182760043E-2</v>
      </c>
      <c r="B302"/>
      <c r="C302"/>
      <c r="D302"/>
      <c r="E302"/>
      <c r="F302" s="27" t="s">
        <v>7</v>
      </c>
      <c r="G302" s="27" t="s">
        <v>8</v>
      </c>
      <c r="H302" s="27" t="s">
        <v>7</v>
      </c>
      <c r="DQ302" s="27" t="s">
        <v>8</v>
      </c>
      <c r="FW302" s="27" t="s">
        <v>8</v>
      </c>
      <c r="FX302" s="27" t="s">
        <v>7</v>
      </c>
    </row>
    <row r="303" spans="1:180" x14ac:dyDescent="0.25">
      <c r="A303" s="30">
        <v>4.6245998269295263E-2</v>
      </c>
      <c r="B303"/>
      <c r="C303"/>
      <c r="D303"/>
      <c r="E303"/>
      <c r="F303" s="27" t="s">
        <v>7</v>
      </c>
      <c r="G303" s="27" t="s">
        <v>8</v>
      </c>
      <c r="H303" s="27" t="s">
        <v>7</v>
      </c>
      <c r="DQ303" s="27" t="s">
        <v>8</v>
      </c>
      <c r="DR303" s="27" t="s">
        <v>7</v>
      </c>
      <c r="DU303" s="27" t="s">
        <v>8</v>
      </c>
      <c r="DY303" s="27" t="s">
        <v>8</v>
      </c>
      <c r="FW303" s="27" t="s">
        <v>8</v>
      </c>
      <c r="FX303" s="27" t="s">
        <v>7</v>
      </c>
    </row>
    <row r="304" spans="1:180" x14ac:dyDescent="0.25">
      <c r="A304" s="30">
        <v>4.4043807875519279E-2</v>
      </c>
      <c r="B304"/>
      <c r="C304"/>
      <c r="D304"/>
      <c r="E304"/>
      <c r="F304" s="27" t="s">
        <v>7</v>
      </c>
      <c r="G304" s="27" t="s">
        <v>8</v>
      </c>
      <c r="H304" s="27" t="s">
        <v>7</v>
      </c>
      <c r="DQ304" s="27" t="s">
        <v>8</v>
      </c>
      <c r="DR304" s="27" t="s">
        <v>7</v>
      </c>
      <c r="DS304" s="27" t="s">
        <v>8</v>
      </c>
      <c r="DU304" s="27" t="s">
        <v>8</v>
      </c>
      <c r="DV304" s="27" t="s">
        <v>7</v>
      </c>
      <c r="DY304" s="27" t="s">
        <v>8</v>
      </c>
      <c r="DZ304" s="27" t="s">
        <v>7</v>
      </c>
      <c r="FW304" s="27" t="s">
        <v>8</v>
      </c>
      <c r="FX304" s="27" t="s">
        <v>7</v>
      </c>
    </row>
    <row r="305" spans="1:194" x14ac:dyDescent="0.25">
      <c r="A305" s="30">
        <v>4.1946483690970725E-2</v>
      </c>
      <c r="B305"/>
      <c r="C305"/>
      <c r="D305"/>
      <c r="E305"/>
      <c r="F305" s="27" t="s">
        <v>7</v>
      </c>
      <c r="G305" s="27" t="s">
        <v>8</v>
      </c>
      <c r="H305" s="27" t="s">
        <v>7</v>
      </c>
      <c r="DQ305" s="27" t="s">
        <v>8</v>
      </c>
      <c r="DR305" s="27" t="s">
        <v>7</v>
      </c>
      <c r="DS305" s="27" t="s">
        <v>8</v>
      </c>
      <c r="DT305" s="27" t="s">
        <v>7</v>
      </c>
      <c r="DU305" s="27" t="s">
        <v>8</v>
      </c>
      <c r="DV305" s="27" t="s">
        <v>7</v>
      </c>
      <c r="DW305" s="27" t="s">
        <v>8</v>
      </c>
      <c r="DY305" s="27" t="s">
        <v>8</v>
      </c>
      <c r="DZ305" s="27" t="s">
        <v>7</v>
      </c>
      <c r="EC305" s="27" t="s">
        <v>8</v>
      </c>
      <c r="FW305" s="27" t="s">
        <v>8</v>
      </c>
      <c r="FX305" s="27" t="s">
        <v>7</v>
      </c>
    </row>
    <row r="306" spans="1:194" x14ac:dyDescent="0.25">
      <c r="A306" s="30">
        <v>3.9949032086638768E-2</v>
      </c>
      <c r="B306"/>
      <c r="C306"/>
      <c r="D306"/>
      <c r="E306"/>
      <c r="F306" s="27" t="s">
        <v>7</v>
      </c>
      <c r="G306" s="27" t="s">
        <v>8</v>
      </c>
      <c r="H306" s="27" t="s">
        <v>7</v>
      </c>
      <c r="K306" s="27" t="s">
        <v>8</v>
      </c>
      <c r="DQ306" s="27" t="s">
        <v>8</v>
      </c>
      <c r="DR306" s="27" t="s">
        <v>7</v>
      </c>
      <c r="DS306" s="27" t="s">
        <v>8</v>
      </c>
      <c r="DT306" s="27" t="s">
        <v>7</v>
      </c>
      <c r="DU306" s="27" t="s">
        <v>8</v>
      </c>
      <c r="DV306" s="27" t="s">
        <v>7</v>
      </c>
      <c r="DW306" s="27" t="s">
        <v>8</v>
      </c>
      <c r="DX306" s="27" t="s">
        <v>7</v>
      </c>
      <c r="DY306" s="27" t="s">
        <v>8</v>
      </c>
      <c r="DZ306" s="27" t="s">
        <v>7</v>
      </c>
      <c r="EC306" s="27" t="s">
        <v>8</v>
      </c>
      <c r="ED306" s="27" t="s">
        <v>7</v>
      </c>
      <c r="FW306" s="27" t="s">
        <v>8</v>
      </c>
      <c r="FX306" s="27" t="s">
        <v>7</v>
      </c>
    </row>
    <row r="307" spans="1:194" x14ac:dyDescent="0.25">
      <c r="A307" s="30">
        <v>3.8046697225370241E-2</v>
      </c>
      <c r="B307"/>
      <c r="C307"/>
      <c r="D307"/>
      <c r="E307"/>
      <c r="F307" s="27" t="s">
        <v>7</v>
      </c>
      <c r="G307" s="27" t="s">
        <v>8</v>
      </c>
      <c r="H307" s="27" t="s">
        <v>7</v>
      </c>
      <c r="K307" s="27" t="s">
        <v>8</v>
      </c>
      <c r="L307" s="27" t="s">
        <v>7</v>
      </c>
      <c r="DO307" s="27" t="s">
        <v>8</v>
      </c>
      <c r="DQ307" s="27" t="s">
        <v>8</v>
      </c>
      <c r="DR307" s="27" t="s">
        <v>7</v>
      </c>
      <c r="DT307" s="27" t="s">
        <v>7</v>
      </c>
      <c r="DV307" s="27" t="s">
        <v>7</v>
      </c>
      <c r="DW307" s="27" t="s">
        <v>8</v>
      </c>
      <c r="DX307" s="27" t="s">
        <v>7</v>
      </c>
      <c r="DY307" s="27" t="s">
        <v>8</v>
      </c>
      <c r="DZ307" s="27" t="s">
        <v>7</v>
      </c>
      <c r="EC307" s="27" t="s">
        <v>8</v>
      </c>
      <c r="ED307" s="27" t="s">
        <v>7</v>
      </c>
      <c r="FW307" s="27" t="s">
        <v>8</v>
      </c>
      <c r="FX307" s="27" t="s">
        <v>7</v>
      </c>
      <c r="GE307" s="27" t="s">
        <v>8</v>
      </c>
    </row>
    <row r="308" spans="1:194" x14ac:dyDescent="0.25">
      <c r="A308" s="30">
        <v>3.6234949738447833E-2</v>
      </c>
      <c r="B308"/>
      <c r="C308"/>
      <c r="D308"/>
      <c r="E308"/>
      <c r="F308" s="27" t="s">
        <v>7</v>
      </c>
      <c r="G308" s="27" t="s">
        <v>8</v>
      </c>
      <c r="H308" s="27" t="s">
        <v>7</v>
      </c>
      <c r="K308" s="27" t="s">
        <v>8</v>
      </c>
      <c r="L308" s="27" t="s">
        <v>7</v>
      </c>
      <c r="M308" s="27" t="s">
        <v>8</v>
      </c>
      <c r="DO308" s="27" t="s">
        <v>8</v>
      </c>
      <c r="DP308" s="27" t="s">
        <v>7</v>
      </c>
      <c r="DQ308" s="27" t="s">
        <v>8</v>
      </c>
      <c r="DV308" s="27" t="s">
        <v>7</v>
      </c>
      <c r="DW308" s="27" t="s">
        <v>8</v>
      </c>
      <c r="DX308" s="27" t="s">
        <v>7</v>
      </c>
      <c r="DZ308" s="27" t="s">
        <v>7</v>
      </c>
      <c r="EA308" s="27" t="s">
        <v>8</v>
      </c>
      <c r="EC308" s="27" t="s">
        <v>8</v>
      </c>
      <c r="ED308" s="27" t="s">
        <v>7</v>
      </c>
      <c r="FW308" s="27" t="s">
        <v>8</v>
      </c>
      <c r="FX308" s="27" t="s">
        <v>7</v>
      </c>
      <c r="GE308" s="27" t="s">
        <v>8</v>
      </c>
      <c r="GF308" s="27" t="s">
        <v>7</v>
      </c>
    </row>
    <row r="309" spans="1:194" x14ac:dyDescent="0.25">
      <c r="A309" s="30">
        <v>3.4509475941378875E-2</v>
      </c>
      <c r="B309"/>
      <c r="C309"/>
      <c r="D309"/>
      <c r="E309"/>
      <c r="F309" s="27" t="s">
        <v>7</v>
      </c>
      <c r="G309" s="27" t="s">
        <v>8</v>
      </c>
      <c r="H309" s="27" t="s">
        <v>7</v>
      </c>
      <c r="K309" s="27" t="s">
        <v>8</v>
      </c>
      <c r="L309" s="27" t="s">
        <v>7</v>
      </c>
      <c r="M309" s="27" t="s">
        <v>8</v>
      </c>
      <c r="N309" s="27" t="s">
        <v>7</v>
      </c>
      <c r="DO309" s="27" t="s">
        <v>8</v>
      </c>
      <c r="DP309" s="27" t="s">
        <v>7</v>
      </c>
      <c r="DQ309" s="27" t="s">
        <v>8</v>
      </c>
      <c r="DV309" s="27" t="s">
        <v>7</v>
      </c>
      <c r="DZ309" s="27" t="s">
        <v>7</v>
      </c>
      <c r="EA309" s="27" t="s">
        <v>8</v>
      </c>
      <c r="EB309" s="27" t="s">
        <v>7</v>
      </c>
      <c r="EC309" s="27" t="s">
        <v>8</v>
      </c>
      <c r="ED309" s="27" t="s">
        <v>7</v>
      </c>
      <c r="FW309" s="27" t="s">
        <v>8</v>
      </c>
      <c r="FX309" s="27" t="s">
        <v>7</v>
      </c>
      <c r="GE309" s="27" t="s">
        <v>8</v>
      </c>
      <c r="GF309" s="27" t="s">
        <v>7</v>
      </c>
    </row>
    <row r="310" spans="1:194" x14ac:dyDescent="0.25">
      <c r="A310" s="30">
        <v>3.286616756321796E-2</v>
      </c>
      <c r="B310"/>
      <c r="C310"/>
      <c r="D310"/>
      <c r="E310"/>
      <c r="F310" s="27" t="s">
        <v>7</v>
      </c>
      <c r="G310" s="27" t="s">
        <v>8</v>
      </c>
      <c r="H310" s="27" t="s">
        <v>7</v>
      </c>
      <c r="I310" s="27" t="s">
        <v>8</v>
      </c>
      <c r="K310" s="27" t="s">
        <v>8</v>
      </c>
      <c r="L310" s="27" t="s">
        <v>7</v>
      </c>
      <c r="M310" s="27" t="s">
        <v>8</v>
      </c>
      <c r="N310" s="27" t="s">
        <v>7</v>
      </c>
      <c r="DM310" s="27" t="s">
        <v>8</v>
      </c>
      <c r="DO310" s="27" t="s">
        <v>8</v>
      </c>
      <c r="DP310" s="27" t="s">
        <v>7</v>
      </c>
      <c r="DZ310" s="27" t="s">
        <v>7</v>
      </c>
      <c r="EA310" s="27" t="s">
        <v>8</v>
      </c>
      <c r="EB310" s="27" t="s">
        <v>7</v>
      </c>
      <c r="EC310" s="27" t="s">
        <v>8</v>
      </c>
      <c r="ED310" s="27" t="s">
        <v>7</v>
      </c>
      <c r="FW310" s="27" t="s">
        <v>8</v>
      </c>
      <c r="FX310" s="27" t="s">
        <v>7</v>
      </c>
      <c r="FY310" s="27" t="s">
        <v>8</v>
      </c>
      <c r="GC310" s="27" t="s">
        <v>8</v>
      </c>
      <c r="GE310" s="27" t="s">
        <v>8</v>
      </c>
      <c r="GF310" s="27" t="s">
        <v>7</v>
      </c>
    </row>
    <row r="311" spans="1:194" x14ac:dyDescent="0.25">
      <c r="A311" s="30">
        <v>3.1301111964969472E-2</v>
      </c>
      <c r="B311"/>
      <c r="C311"/>
      <c r="D311"/>
      <c r="E311"/>
      <c r="F311" s="27" t="s">
        <v>7</v>
      </c>
      <c r="G311" s="27" t="s">
        <v>8</v>
      </c>
      <c r="H311" s="27" t="s">
        <v>7</v>
      </c>
      <c r="I311" s="27" t="s">
        <v>8</v>
      </c>
      <c r="J311" s="27" t="s">
        <v>7</v>
      </c>
      <c r="K311" s="27" t="s">
        <v>8</v>
      </c>
      <c r="L311" s="27" t="s">
        <v>7</v>
      </c>
      <c r="N311" s="27" t="s">
        <v>7</v>
      </c>
      <c r="DM311" s="27" t="s">
        <v>8</v>
      </c>
      <c r="DN311" s="27" t="s">
        <v>7</v>
      </c>
      <c r="DO311" s="27" t="s">
        <v>8</v>
      </c>
      <c r="DZ311" s="27" t="s">
        <v>7</v>
      </c>
      <c r="EA311" s="27" t="s">
        <v>8</v>
      </c>
      <c r="EB311" s="27" t="s">
        <v>7</v>
      </c>
      <c r="EC311" s="27" t="s">
        <v>8</v>
      </c>
      <c r="ED311" s="27" t="s">
        <v>7</v>
      </c>
      <c r="FI311" s="27" t="s">
        <v>8</v>
      </c>
      <c r="FW311" s="27" t="s">
        <v>8</v>
      </c>
      <c r="FX311" s="27" t="s">
        <v>7</v>
      </c>
      <c r="FY311" s="27" t="s">
        <v>8</v>
      </c>
      <c r="FZ311" s="27" t="s">
        <v>7</v>
      </c>
      <c r="GC311" s="27" t="s">
        <v>8</v>
      </c>
      <c r="GD311" s="27" t="s">
        <v>7</v>
      </c>
      <c r="GE311" s="27" t="s">
        <v>8</v>
      </c>
      <c r="GF311" s="27" t="s">
        <v>7</v>
      </c>
      <c r="GG311" s="27" t="s">
        <v>8</v>
      </c>
    </row>
    <row r="312" spans="1:194" x14ac:dyDescent="0.25">
      <c r="A312" s="30">
        <v>2.9810582823780438E-2</v>
      </c>
      <c r="B312"/>
      <c r="C312"/>
      <c r="D312"/>
      <c r="E312"/>
      <c r="F312" s="27" t="s">
        <v>7</v>
      </c>
      <c r="G312" s="27" t="s">
        <v>8</v>
      </c>
      <c r="H312" s="27" t="s">
        <v>7</v>
      </c>
      <c r="I312" s="27" t="s">
        <v>8</v>
      </c>
      <c r="J312" s="27" t="s">
        <v>7</v>
      </c>
      <c r="K312" s="27" t="s">
        <v>8</v>
      </c>
      <c r="N312" s="27" t="s">
        <v>7</v>
      </c>
      <c r="DM312" s="27" t="s">
        <v>8</v>
      </c>
      <c r="DN312" s="27" t="s">
        <v>7</v>
      </c>
      <c r="DO312" s="27" t="s">
        <v>8</v>
      </c>
      <c r="DZ312" s="27" t="s">
        <v>7</v>
      </c>
      <c r="EA312" s="27" t="s">
        <v>8</v>
      </c>
      <c r="EB312" s="27" t="s">
        <v>7</v>
      </c>
      <c r="EC312" s="27" t="s">
        <v>8</v>
      </c>
      <c r="ED312" s="27" t="s">
        <v>7</v>
      </c>
      <c r="FE312" s="27" t="s">
        <v>8</v>
      </c>
      <c r="FI312" s="27" t="s">
        <v>8</v>
      </c>
      <c r="FJ312" s="27" t="s">
        <v>7</v>
      </c>
      <c r="FS312" s="27" t="s">
        <v>8</v>
      </c>
      <c r="FW312" s="27" t="s">
        <v>8</v>
      </c>
      <c r="FX312" s="27" t="s">
        <v>7</v>
      </c>
      <c r="FY312" s="27" t="s">
        <v>8</v>
      </c>
      <c r="FZ312" s="27" t="s">
        <v>7</v>
      </c>
      <c r="GA312" s="27" t="s">
        <v>8</v>
      </c>
      <c r="GC312" s="27" t="s">
        <v>8</v>
      </c>
      <c r="GD312" s="27" t="s">
        <v>7</v>
      </c>
      <c r="GE312" s="27" t="s">
        <v>8</v>
      </c>
      <c r="GF312" s="27" t="s">
        <v>7</v>
      </c>
      <c r="GG312" s="27" t="s">
        <v>8</v>
      </c>
      <c r="GH312" s="27" t="s">
        <v>7</v>
      </c>
      <c r="GI312" s="27" t="s">
        <v>8</v>
      </c>
    </row>
    <row r="313" spans="1:194" x14ac:dyDescent="0.25">
      <c r="A313" s="30">
        <v>2.8391031260743264E-2</v>
      </c>
      <c r="B313"/>
      <c r="C313"/>
      <c r="D313"/>
      <c r="E313"/>
      <c r="F313" s="27" t="s">
        <v>7</v>
      </c>
      <c r="G313" s="27" t="s">
        <v>8</v>
      </c>
      <c r="H313" s="27" t="s">
        <v>7</v>
      </c>
      <c r="I313" s="27" t="s">
        <v>8</v>
      </c>
      <c r="J313" s="27" t="s">
        <v>7</v>
      </c>
      <c r="K313" s="27" t="s">
        <v>8</v>
      </c>
      <c r="N313" s="27" t="s">
        <v>7</v>
      </c>
      <c r="DK313" s="27" t="s">
        <v>8</v>
      </c>
      <c r="DM313" s="27" t="s">
        <v>8</v>
      </c>
      <c r="DN313" s="27" t="s">
        <v>7</v>
      </c>
      <c r="DO313" s="27" t="s">
        <v>8</v>
      </c>
      <c r="DZ313" s="27" t="s">
        <v>7</v>
      </c>
      <c r="EB313" s="27" t="s">
        <v>7</v>
      </c>
      <c r="EC313" s="27" t="s">
        <v>8</v>
      </c>
      <c r="ED313" s="27" t="s">
        <v>7</v>
      </c>
      <c r="FE313" s="27" t="s">
        <v>8</v>
      </c>
      <c r="FF313" s="27" t="s">
        <v>7</v>
      </c>
      <c r="FG313" s="27" t="s">
        <v>8</v>
      </c>
      <c r="FI313" s="27" t="s">
        <v>8</v>
      </c>
      <c r="FJ313" s="27" t="s">
        <v>7</v>
      </c>
      <c r="FS313" s="27" t="s">
        <v>8</v>
      </c>
      <c r="FT313" s="27" t="s">
        <v>7</v>
      </c>
      <c r="FW313" s="27" t="s">
        <v>8</v>
      </c>
      <c r="FX313" s="27" t="s">
        <v>7</v>
      </c>
      <c r="FY313" s="27" t="s">
        <v>8</v>
      </c>
      <c r="FZ313" s="27" t="s">
        <v>7</v>
      </c>
      <c r="GA313" s="27" t="s">
        <v>8</v>
      </c>
      <c r="GB313" s="27" t="s">
        <v>7</v>
      </c>
      <c r="GC313" s="27" t="s">
        <v>8</v>
      </c>
      <c r="GD313" s="27" t="s">
        <v>7</v>
      </c>
      <c r="GE313" s="27" t="s">
        <v>8</v>
      </c>
      <c r="GF313" s="27" t="s">
        <v>7</v>
      </c>
      <c r="GG313" s="27" t="s">
        <v>8</v>
      </c>
      <c r="GH313" s="27" t="s">
        <v>7</v>
      </c>
      <c r="GI313" s="27" t="s">
        <v>8</v>
      </c>
      <c r="GJ313" s="27" t="s">
        <v>7</v>
      </c>
    </row>
    <row r="314" spans="1:194" x14ac:dyDescent="0.25">
      <c r="A314" s="30">
        <v>2.7039077391184052E-2</v>
      </c>
      <c r="B314"/>
      <c r="C314"/>
      <c r="D314"/>
      <c r="E314"/>
      <c r="F314" s="27" t="s">
        <v>7</v>
      </c>
      <c r="G314" s="27" t="s">
        <v>8</v>
      </c>
      <c r="H314" s="27" t="s">
        <v>7</v>
      </c>
      <c r="I314" s="27" t="s">
        <v>8</v>
      </c>
      <c r="J314" s="27" t="s">
        <v>7</v>
      </c>
      <c r="K314" s="27" t="s">
        <v>8</v>
      </c>
      <c r="N314" s="27" t="s">
        <v>7</v>
      </c>
      <c r="O314" s="27" t="s">
        <v>8</v>
      </c>
      <c r="DK314" s="27" t="s">
        <v>8</v>
      </c>
      <c r="DL314" s="27" t="s">
        <v>7</v>
      </c>
      <c r="DM314" s="27" t="s">
        <v>8</v>
      </c>
      <c r="DN314" s="27" t="s">
        <v>7</v>
      </c>
      <c r="EB314" s="27" t="s">
        <v>7</v>
      </c>
      <c r="EC314" s="27" t="s">
        <v>8</v>
      </c>
      <c r="ED314" s="27" t="s">
        <v>7</v>
      </c>
      <c r="EE314" s="27" t="s">
        <v>8</v>
      </c>
      <c r="FE314" s="27" t="s">
        <v>8</v>
      </c>
      <c r="FF314" s="27" t="s">
        <v>7</v>
      </c>
      <c r="FG314" s="27" t="s">
        <v>8</v>
      </c>
      <c r="FH314" s="27" t="s">
        <v>7</v>
      </c>
      <c r="FI314" s="27" t="s">
        <v>8</v>
      </c>
      <c r="FJ314" s="27" t="s">
        <v>7</v>
      </c>
      <c r="FS314" s="27" t="s">
        <v>8</v>
      </c>
      <c r="FT314" s="27" t="s">
        <v>7</v>
      </c>
      <c r="FU314" s="27" t="s">
        <v>8</v>
      </c>
      <c r="FW314" s="27" t="s">
        <v>8</v>
      </c>
      <c r="FX314" s="27" t="s">
        <v>7</v>
      </c>
      <c r="FY314" s="27" t="s">
        <v>8</v>
      </c>
      <c r="FZ314" s="27" t="s">
        <v>7</v>
      </c>
      <c r="GA314" s="27" t="s">
        <v>8</v>
      </c>
      <c r="GB314" s="27" t="s">
        <v>7</v>
      </c>
      <c r="GC314" s="27" t="s">
        <v>8</v>
      </c>
      <c r="GD314" s="27" t="s">
        <v>7</v>
      </c>
      <c r="GE314" s="27" t="s">
        <v>8</v>
      </c>
      <c r="GF314" s="27" t="s">
        <v>7</v>
      </c>
      <c r="GG314" s="27" t="s">
        <v>8</v>
      </c>
      <c r="GH314" s="27" t="s">
        <v>7</v>
      </c>
      <c r="GI314" s="27" t="s">
        <v>8</v>
      </c>
      <c r="GJ314" s="27" t="s">
        <v>7</v>
      </c>
    </row>
    <row r="315" spans="1:194" x14ac:dyDescent="0.25">
      <c r="A315" s="30">
        <v>2.5751502277318133E-2</v>
      </c>
      <c r="B315"/>
      <c r="C315"/>
      <c r="D315"/>
      <c r="E315"/>
      <c r="F315" s="27" t="s">
        <v>7</v>
      </c>
      <c r="G315" s="27" t="s">
        <v>8</v>
      </c>
      <c r="H315" s="27" t="s">
        <v>7</v>
      </c>
      <c r="I315" s="27" t="s">
        <v>8</v>
      </c>
      <c r="J315" s="27" t="s">
        <v>7</v>
      </c>
      <c r="N315" s="27" t="s">
        <v>7</v>
      </c>
      <c r="O315" s="27" t="s">
        <v>8</v>
      </c>
      <c r="P315" s="27" t="s">
        <v>7</v>
      </c>
      <c r="Q315" s="27" t="s">
        <v>8</v>
      </c>
      <c r="DK315" s="27" t="s">
        <v>8</v>
      </c>
      <c r="DL315" s="27" t="s">
        <v>7</v>
      </c>
      <c r="DM315" s="27" t="s">
        <v>8</v>
      </c>
      <c r="EB315" s="27" t="s">
        <v>7</v>
      </c>
      <c r="EC315" s="27" t="s">
        <v>8</v>
      </c>
      <c r="ED315" s="27" t="s">
        <v>7</v>
      </c>
      <c r="EE315" s="27" t="s">
        <v>8</v>
      </c>
      <c r="EF315" s="27" t="s">
        <v>7</v>
      </c>
      <c r="FE315" s="27" t="s">
        <v>8</v>
      </c>
      <c r="FF315" s="27" t="s">
        <v>7</v>
      </c>
      <c r="FG315" s="27" t="s">
        <v>8</v>
      </c>
      <c r="FH315" s="27" t="s">
        <v>7</v>
      </c>
      <c r="FI315" s="27" t="s">
        <v>8</v>
      </c>
      <c r="FJ315" s="27" t="s">
        <v>7</v>
      </c>
      <c r="FM315" s="27" t="s">
        <v>8</v>
      </c>
      <c r="FO315" s="27" t="s">
        <v>8</v>
      </c>
      <c r="FS315" s="27" t="s">
        <v>8</v>
      </c>
      <c r="FT315" s="27" t="s">
        <v>7</v>
      </c>
      <c r="FU315" s="27" t="s">
        <v>8</v>
      </c>
      <c r="FV315" s="27" t="s">
        <v>7</v>
      </c>
      <c r="FW315" s="27" t="s">
        <v>8</v>
      </c>
      <c r="FX315" s="27" t="s">
        <v>7</v>
      </c>
      <c r="FY315" s="27" t="s">
        <v>8</v>
      </c>
      <c r="FZ315" s="27" t="s">
        <v>7</v>
      </c>
      <c r="GA315" s="27" t="s">
        <v>8</v>
      </c>
      <c r="GB315" s="27" t="s">
        <v>7</v>
      </c>
      <c r="GC315" s="27" t="s">
        <v>8</v>
      </c>
      <c r="GD315" s="27" t="s">
        <v>7</v>
      </c>
      <c r="GE315" s="27" t="s">
        <v>8</v>
      </c>
      <c r="GF315" s="27" t="s">
        <v>7</v>
      </c>
      <c r="GG315" s="27" t="s">
        <v>8</v>
      </c>
      <c r="GH315" s="27" t="s">
        <v>7</v>
      </c>
      <c r="GI315" s="27" t="s">
        <v>8</v>
      </c>
      <c r="GJ315" s="27" t="s">
        <v>7</v>
      </c>
    </row>
    <row r="316" spans="1:194" x14ac:dyDescent="0.25">
      <c r="A316" s="30">
        <v>2.4525240264112496E-2</v>
      </c>
      <c r="B316"/>
      <c r="C316"/>
      <c r="D316"/>
      <c r="E316"/>
      <c r="F316" s="27" t="s">
        <v>7</v>
      </c>
      <c r="G316" s="27" t="s">
        <v>8</v>
      </c>
      <c r="H316" s="27" t="s">
        <v>7</v>
      </c>
      <c r="I316" s="27" t="s">
        <v>8</v>
      </c>
      <c r="N316" s="27" t="s">
        <v>7</v>
      </c>
      <c r="O316" s="27" t="s">
        <v>8</v>
      </c>
      <c r="P316" s="27" t="s">
        <v>7</v>
      </c>
      <c r="Q316" s="27" t="s">
        <v>8</v>
      </c>
      <c r="R316" s="27" t="s">
        <v>7</v>
      </c>
      <c r="DK316" s="27" t="s">
        <v>8</v>
      </c>
      <c r="DL316" s="27" t="s">
        <v>7</v>
      </c>
      <c r="DM316" s="27" t="s">
        <v>8</v>
      </c>
      <c r="EB316" s="27" t="s">
        <v>7</v>
      </c>
      <c r="EC316" s="27" t="s">
        <v>8</v>
      </c>
      <c r="ED316" s="27" t="s">
        <v>7</v>
      </c>
      <c r="EE316" s="27" t="s">
        <v>8</v>
      </c>
      <c r="EF316" s="27" t="s">
        <v>7</v>
      </c>
      <c r="EG316" s="27" t="s">
        <v>8</v>
      </c>
      <c r="FE316" s="27" t="s">
        <v>8</v>
      </c>
      <c r="FF316" s="27" t="s">
        <v>7</v>
      </c>
      <c r="FG316" s="27" t="s">
        <v>8</v>
      </c>
      <c r="FH316" s="27" t="s">
        <v>7</v>
      </c>
      <c r="FJ316" s="27" t="s">
        <v>7</v>
      </c>
      <c r="FM316" s="27" t="s">
        <v>8</v>
      </c>
      <c r="FN316" s="27" t="s">
        <v>7</v>
      </c>
      <c r="FO316" s="27" t="s">
        <v>8</v>
      </c>
      <c r="FP316" s="27" t="s">
        <v>7</v>
      </c>
      <c r="FQ316" s="27" t="s">
        <v>8</v>
      </c>
      <c r="FS316" s="27" t="s">
        <v>8</v>
      </c>
      <c r="FT316" s="27" t="s">
        <v>7</v>
      </c>
      <c r="FU316" s="27" t="s">
        <v>8</v>
      </c>
      <c r="FV316" s="27" t="s">
        <v>7</v>
      </c>
      <c r="FW316" s="27" t="s">
        <v>8</v>
      </c>
      <c r="FX316" s="27" t="s">
        <v>7</v>
      </c>
      <c r="FZ316" s="27" t="s">
        <v>7</v>
      </c>
      <c r="GA316" s="27" t="s">
        <v>8</v>
      </c>
      <c r="GB316" s="27" t="s">
        <v>7</v>
      </c>
      <c r="GC316" s="27" t="s">
        <v>8</v>
      </c>
      <c r="GD316" s="27" t="s">
        <v>7</v>
      </c>
      <c r="GE316" s="27" t="s">
        <v>8</v>
      </c>
      <c r="GF316" s="27" t="s">
        <v>7</v>
      </c>
      <c r="GH316" s="27" t="s">
        <v>7</v>
      </c>
      <c r="GJ316" s="27" t="s">
        <v>7</v>
      </c>
    </row>
    <row r="317" spans="1:194" x14ac:dyDescent="0.25">
      <c r="A317" s="30">
        <v>2.3357371680107129E-2</v>
      </c>
      <c r="B317"/>
      <c r="C317"/>
      <c r="D317"/>
      <c r="E317"/>
      <c r="F317" s="27" t="s">
        <v>7</v>
      </c>
      <c r="G317" s="27" t="s">
        <v>8</v>
      </c>
      <c r="H317" s="27" t="s">
        <v>7</v>
      </c>
      <c r="I317" s="27" t="s">
        <v>8</v>
      </c>
      <c r="N317" s="27" t="s">
        <v>7</v>
      </c>
      <c r="P317" s="27" t="s">
        <v>7</v>
      </c>
      <c r="Q317" s="27" t="s">
        <v>8</v>
      </c>
      <c r="R317" s="27" t="s">
        <v>7</v>
      </c>
      <c r="S317" s="27" t="s">
        <v>8</v>
      </c>
      <c r="DK317" s="27" t="s">
        <v>8</v>
      </c>
      <c r="DL317" s="27" t="s">
        <v>7</v>
      </c>
      <c r="DM317" s="27" t="s">
        <v>8</v>
      </c>
      <c r="EB317" s="27" t="s">
        <v>7</v>
      </c>
      <c r="EC317" s="27" t="s">
        <v>8</v>
      </c>
      <c r="ED317" s="27" t="s">
        <v>7</v>
      </c>
      <c r="EF317" s="27" t="s">
        <v>7</v>
      </c>
      <c r="EG317" s="27" t="s">
        <v>8</v>
      </c>
      <c r="EH317" s="27" t="s">
        <v>7</v>
      </c>
      <c r="FE317" s="27" t="s">
        <v>8</v>
      </c>
      <c r="FF317" s="27" t="s">
        <v>7</v>
      </c>
      <c r="FG317" s="27" t="s">
        <v>8</v>
      </c>
      <c r="FJ317" s="27" t="s">
        <v>7</v>
      </c>
      <c r="FK317" s="27" t="s">
        <v>8</v>
      </c>
      <c r="FM317" s="27" t="s">
        <v>8</v>
      </c>
      <c r="FN317" s="27" t="s">
        <v>7</v>
      </c>
      <c r="FO317" s="27" t="s">
        <v>8</v>
      </c>
      <c r="FP317" s="27" t="s">
        <v>7</v>
      </c>
      <c r="FQ317" s="27" t="s">
        <v>8</v>
      </c>
      <c r="FR317" s="27" t="s">
        <v>7</v>
      </c>
      <c r="FS317" s="27" t="s">
        <v>8</v>
      </c>
      <c r="FT317" s="27" t="s">
        <v>7</v>
      </c>
      <c r="FU317" s="27" t="s">
        <v>8</v>
      </c>
      <c r="FV317" s="27" t="s">
        <v>7</v>
      </c>
      <c r="FW317" s="27" t="s">
        <v>8</v>
      </c>
      <c r="FZ317" s="27" t="s">
        <v>7</v>
      </c>
      <c r="GB317" s="27" t="s">
        <v>7</v>
      </c>
      <c r="GD317" s="27" t="s">
        <v>7</v>
      </c>
      <c r="GE317" s="27" t="s">
        <v>8</v>
      </c>
      <c r="GJ317" s="27" t="s">
        <v>7</v>
      </c>
    </row>
    <row r="318" spans="1:194" x14ac:dyDescent="0.25">
      <c r="A318" s="30">
        <v>2.2245115885816305E-2</v>
      </c>
      <c r="B318"/>
      <c r="C318"/>
      <c r="D318"/>
      <c r="E318"/>
      <c r="F318" s="27" t="s">
        <v>7</v>
      </c>
      <c r="G318" s="27" t="s">
        <v>8</v>
      </c>
      <c r="H318" s="27" t="s">
        <v>7</v>
      </c>
      <c r="P318" s="27" t="s">
        <v>7</v>
      </c>
      <c r="Q318" s="27" t="s">
        <v>8</v>
      </c>
      <c r="R318" s="27" t="s">
        <v>7</v>
      </c>
      <c r="S318" s="27" t="s">
        <v>8</v>
      </c>
      <c r="T318" s="27" t="s">
        <v>7</v>
      </c>
      <c r="DK318" s="27" t="s">
        <v>8</v>
      </c>
      <c r="DL318" s="27" t="s">
        <v>7</v>
      </c>
      <c r="EB318" s="27" t="s">
        <v>7</v>
      </c>
      <c r="EF318" s="27" t="s">
        <v>7</v>
      </c>
      <c r="EG318" s="27" t="s">
        <v>8</v>
      </c>
      <c r="EH318" s="27" t="s">
        <v>7</v>
      </c>
      <c r="ES318" s="27" t="s">
        <v>8</v>
      </c>
      <c r="FE318" s="27" t="s">
        <v>8</v>
      </c>
      <c r="FF318" s="27" t="s">
        <v>7</v>
      </c>
      <c r="FJ318" s="27" t="s">
        <v>7</v>
      </c>
      <c r="FK318" s="27" t="s">
        <v>8</v>
      </c>
      <c r="FL318" s="27" t="s">
        <v>7</v>
      </c>
      <c r="FM318" s="27" t="s">
        <v>8</v>
      </c>
      <c r="FN318" s="27" t="s">
        <v>7</v>
      </c>
      <c r="FO318" s="27" t="s">
        <v>8</v>
      </c>
      <c r="FP318" s="27" t="s">
        <v>7</v>
      </c>
      <c r="FQ318" s="27" t="s">
        <v>8</v>
      </c>
      <c r="FR318" s="27" t="s">
        <v>7</v>
      </c>
      <c r="FS318" s="27" t="s">
        <v>8</v>
      </c>
      <c r="FT318" s="27" t="s">
        <v>7</v>
      </c>
      <c r="FU318" s="27" t="s">
        <v>8</v>
      </c>
      <c r="FV318" s="27" t="s">
        <v>7</v>
      </c>
      <c r="FW318" s="27" t="s">
        <v>8</v>
      </c>
      <c r="GD318" s="27" t="s">
        <v>7</v>
      </c>
      <c r="GE318" s="27" t="s">
        <v>8</v>
      </c>
      <c r="GJ318" s="27" t="s">
        <v>7</v>
      </c>
      <c r="GK318" s="27" t="s">
        <v>8</v>
      </c>
    </row>
    <row r="319" spans="1:194" x14ac:dyDescent="0.25">
      <c r="A319" s="30">
        <v>2.1185824653158377E-2</v>
      </c>
      <c r="B319"/>
      <c r="C319"/>
      <c r="D319"/>
      <c r="E319"/>
      <c r="F319" s="27" t="s">
        <v>7</v>
      </c>
      <c r="G319" s="27" t="s">
        <v>8</v>
      </c>
      <c r="P319" s="27" t="s">
        <v>7</v>
      </c>
      <c r="Q319" s="27" t="s">
        <v>8</v>
      </c>
      <c r="R319" s="27" t="s">
        <v>7</v>
      </c>
      <c r="S319" s="27" t="s">
        <v>8</v>
      </c>
      <c r="T319" s="27" t="s">
        <v>7</v>
      </c>
      <c r="U319" s="27" t="s">
        <v>8</v>
      </c>
      <c r="DK319" s="27" t="s">
        <v>8</v>
      </c>
      <c r="EF319" s="27" t="s">
        <v>7</v>
      </c>
      <c r="EH319" s="27" t="s">
        <v>7</v>
      </c>
      <c r="ES319" s="27" t="s">
        <v>8</v>
      </c>
      <c r="ET319" s="27" t="s">
        <v>7</v>
      </c>
      <c r="FE319" s="27" t="s">
        <v>8</v>
      </c>
      <c r="FJ319" s="27" t="s">
        <v>7</v>
      </c>
      <c r="FK319" s="27" t="s">
        <v>8</v>
      </c>
      <c r="FL319" s="27" t="s">
        <v>7</v>
      </c>
      <c r="FM319" s="27" t="s">
        <v>8</v>
      </c>
      <c r="FN319" s="27" t="s">
        <v>7</v>
      </c>
      <c r="FO319" s="27" t="s">
        <v>8</v>
      </c>
      <c r="FP319" s="27" t="s">
        <v>7</v>
      </c>
      <c r="FR319" s="27" t="s">
        <v>7</v>
      </c>
      <c r="FS319" s="27" t="s">
        <v>8</v>
      </c>
      <c r="FT319" s="27" t="s">
        <v>7</v>
      </c>
      <c r="FU319" s="27" t="s">
        <v>8</v>
      </c>
      <c r="FV319" s="27" t="s">
        <v>7</v>
      </c>
      <c r="FW319" s="27" t="s">
        <v>8</v>
      </c>
      <c r="GD319" s="27" t="s">
        <v>7</v>
      </c>
      <c r="GJ319" s="27" t="s">
        <v>7</v>
      </c>
      <c r="GK319" s="27" t="s">
        <v>8</v>
      </c>
      <c r="GL319" s="27" t="s">
        <v>7</v>
      </c>
    </row>
    <row r="320" spans="1:194" x14ac:dyDescent="0.25">
      <c r="A320" s="30">
        <v>2.0176975860150829E-2</v>
      </c>
      <c r="B320"/>
      <c r="C320"/>
      <c r="D320"/>
      <c r="E320"/>
      <c r="F320" s="27" t="s">
        <v>7</v>
      </c>
      <c r="G320" s="27" t="s">
        <v>8</v>
      </c>
      <c r="P320" s="27" t="s">
        <v>7</v>
      </c>
      <c r="R320" s="27" t="s">
        <v>7</v>
      </c>
      <c r="S320" s="27" t="s">
        <v>8</v>
      </c>
      <c r="T320" s="27" t="s">
        <v>7</v>
      </c>
      <c r="U320" s="27" t="s">
        <v>8</v>
      </c>
      <c r="V320" s="27" t="s">
        <v>7</v>
      </c>
      <c r="DG320" s="27" t="s">
        <v>8</v>
      </c>
      <c r="DK320" s="27" t="s">
        <v>8</v>
      </c>
      <c r="EH320" s="27" t="s">
        <v>7</v>
      </c>
      <c r="ES320" s="27" t="s">
        <v>8</v>
      </c>
      <c r="ET320" s="27" t="s">
        <v>7</v>
      </c>
      <c r="FE320" s="27" t="s">
        <v>8</v>
      </c>
      <c r="FJ320" s="27" t="s">
        <v>7</v>
      </c>
      <c r="FL320" s="27" t="s">
        <v>7</v>
      </c>
      <c r="FN320" s="27" t="s">
        <v>7</v>
      </c>
      <c r="FO320" s="27" t="s">
        <v>8</v>
      </c>
      <c r="FR320" s="27" t="s">
        <v>7</v>
      </c>
      <c r="FS320" s="27" t="s">
        <v>8</v>
      </c>
      <c r="FT320" s="27" t="s">
        <v>7</v>
      </c>
      <c r="FU320" s="27" t="s">
        <v>8</v>
      </c>
      <c r="FV320" s="27" t="s">
        <v>7</v>
      </c>
      <c r="GJ320" s="27" t="s">
        <v>7</v>
      </c>
      <c r="GK320" s="27" t="s">
        <v>8</v>
      </c>
      <c r="GL320" s="27" t="s">
        <v>7</v>
      </c>
    </row>
    <row r="321" spans="1:197" x14ac:dyDescent="0.25">
      <c r="A321" s="30">
        <v>1.9216167485857926E-2</v>
      </c>
      <c r="B321"/>
      <c r="C321"/>
      <c r="D321"/>
      <c r="E321"/>
      <c r="F321" s="27" t="s">
        <v>7</v>
      </c>
      <c r="G321" s="27" t="s">
        <v>8</v>
      </c>
      <c r="R321" s="27" t="s">
        <v>7</v>
      </c>
      <c r="S321" s="27" t="s">
        <v>8</v>
      </c>
      <c r="T321" s="27" t="s">
        <v>7</v>
      </c>
      <c r="U321" s="27" t="s">
        <v>8</v>
      </c>
      <c r="V321" s="27" t="s">
        <v>7</v>
      </c>
      <c r="DE321" s="27" t="s">
        <v>8</v>
      </c>
      <c r="DG321" s="27" t="s">
        <v>8</v>
      </c>
      <c r="DH321" s="27" t="s">
        <v>7</v>
      </c>
      <c r="DK321" s="27" t="s">
        <v>8</v>
      </c>
      <c r="EH321" s="27" t="s">
        <v>7</v>
      </c>
      <c r="EQ321" s="27" t="s">
        <v>8</v>
      </c>
      <c r="ES321" s="27" t="s">
        <v>8</v>
      </c>
      <c r="ET321" s="27" t="s">
        <v>7</v>
      </c>
      <c r="FC321" s="27" t="s">
        <v>8</v>
      </c>
      <c r="FE321" s="27" t="s">
        <v>8</v>
      </c>
      <c r="FN321" s="27" t="s">
        <v>7</v>
      </c>
      <c r="FO321" s="27" t="s">
        <v>8</v>
      </c>
      <c r="FR321" s="27" t="s">
        <v>7</v>
      </c>
      <c r="FS321" s="27" t="s">
        <v>8</v>
      </c>
      <c r="FT321" s="27" t="s">
        <v>7</v>
      </c>
      <c r="GJ321" s="27" t="s">
        <v>7</v>
      </c>
      <c r="GL321" s="27" t="s">
        <v>7</v>
      </c>
    </row>
    <row r="322" spans="1:197" x14ac:dyDescent="0.25">
      <c r="A322" s="30">
        <v>1.8301111891293256E-2</v>
      </c>
      <c r="B322"/>
      <c r="C322"/>
      <c r="D322"/>
      <c r="E322"/>
      <c r="F322" s="27" t="s">
        <v>7</v>
      </c>
      <c r="G322" s="27" t="s">
        <v>8</v>
      </c>
      <c r="R322" s="27" t="s">
        <v>7</v>
      </c>
      <c r="T322" s="27" t="s">
        <v>7</v>
      </c>
      <c r="U322" s="27" t="s">
        <v>8</v>
      </c>
      <c r="V322" s="27" t="s">
        <v>7</v>
      </c>
      <c r="DE322" s="27" t="s">
        <v>8</v>
      </c>
      <c r="DF322" s="27" t="s">
        <v>7</v>
      </c>
      <c r="DG322" s="27" t="s">
        <v>8</v>
      </c>
      <c r="DH322" s="27" t="s">
        <v>7</v>
      </c>
      <c r="DK322" s="27" t="s">
        <v>8</v>
      </c>
      <c r="EH322" s="27" t="s">
        <v>7</v>
      </c>
      <c r="EQ322" s="27" t="s">
        <v>8</v>
      </c>
      <c r="ER322" s="27" t="s">
        <v>7</v>
      </c>
      <c r="ES322" s="27" t="s">
        <v>8</v>
      </c>
      <c r="ET322" s="27" t="s">
        <v>7</v>
      </c>
      <c r="EU322" s="27" t="s">
        <v>8</v>
      </c>
      <c r="FC322" s="27" t="s">
        <v>8</v>
      </c>
      <c r="FD322" s="27" t="s">
        <v>7</v>
      </c>
      <c r="FE322" s="27" t="s">
        <v>8</v>
      </c>
      <c r="FN322" s="27" t="s">
        <v>7</v>
      </c>
      <c r="FO322" s="27" t="s">
        <v>8</v>
      </c>
      <c r="FR322" s="27" t="s">
        <v>7</v>
      </c>
      <c r="GL322" s="27" t="s">
        <v>7</v>
      </c>
    </row>
    <row r="323" spans="1:197" x14ac:dyDescent="0.25">
      <c r="A323" s="30">
        <v>1.7429630372660238E-2</v>
      </c>
      <c r="B323"/>
      <c r="C323"/>
      <c r="D323"/>
      <c r="E323"/>
      <c r="F323" s="27" t="s">
        <v>7</v>
      </c>
      <c r="T323" s="27" t="s">
        <v>7</v>
      </c>
      <c r="U323" s="27" t="s">
        <v>8</v>
      </c>
      <c r="V323" s="27" t="s">
        <v>7</v>
      </c>
      <c r="Y323" s="27" t="s">
        <v>8</v>
      </c>
      <c r="DE323" s="27" t="s">
        <v>8</v>
      </c>
      <c r="DF323" s="27" t="s">
        <v>7</v>
      </c>
      <c r="DG323" s="27" t="s">
        <v>8</v>
      </c>
      <c r="DH323" s="27" t="s">
        <v>7</v>
      </c>
      <c r="DK323" s="27" t="s">
        <v>8</v>
      </c>
      <c r="EH323" s="27" t="s">
        <v>7</v>
      </c>
      <c r="EI323" s="27" t="s">
        <v>8</v>
      </c>
      <c r="EM323" s="27" t="s">
        <v>8</v>
      </c>
      <c r="EO323" s="27" t="s">
        <v>8</v>
      </c>
      <c r="EQ323" s="27" t="s">
        <v>8</v>
      </c>
      <c r="ER323" s="27" t="s">
        <v>7</v>
      </c>
      <c r="ES323" s="27" t="s">
        <v>8</v>
      </c>
      <c r="ET323" s="27" t="s">
        <v>7</v>
      </c>
      <c r="EU323" s="27" t="s">
        <v>8</v>
      </c>
      <c r="EV323" s="27" t="s">
        <v>7</v>
      </c>
      <c r="FC323" s="27" t="s">
        <v>8</v>
      </c>
      <c r="FD323" s="27" t="s">
        <v>7</v>
      </c>
      <c r="FE323" s="27" t="s">
        <v>8</v>
      </c>
      <c r="FN323" s="27" t="s">
        <v>7</v>
      </c>
      <c r="FO323" s="27" t="s">
        <v>8</v>
      </c>
      <c r="GL323" s="27" t="s">
        <v>7</v>
      </c>
    </row>
    <row r="324" spans="1:197" x14ac:dyDescent="0.25">
      <c r="A324" s="30">
        <v>1.6599647973962125E-2</v>
      </c>
      <c r="B324"/>
      <c r="C324"/>
      <c r="D324"/>
      <c r="E324"/>
      <c r="T324" s="27" t="s">
        <v>7</v>
      </c>
      <c r="U324" s="27" t="s">
        <v>8</v>
      </c>
      <c r="V324" s="27" t="s">
        <v>7</v>
      </c>
      <c r="W324" s="27" t="s">
        <v>8</v>
      </c>
      <c r="Y324" s="27" t="s">
        <v>8</v>
      </c>
      <c r="Z324" s="27" t="s">
        <v>7</v>
      </c>
      <c r="DE324" s="27" t="s">
        <v>8</v>
      </c>
      <c r="DF324" s="27" t="s">
        <v>7</v>
      </c>
      <c r="DG324" s="27" t="s">
        <v>8</v>
      </c>
      <c r="DH324" s="27" t="s">
        <v>7</v>
      </c>
      <c r="DI324" s="27" t="s">
        <v>8</v>
      </c>
      <c r="DK324" s="27" t="s">
        <v>8</v>
      </c>
      <c r="EH324" s="27" t="s">
        <v>7</v>
      </c>
      <c r="EI324" s="27" t="s">
        <v>8</v>
      </c>
      <c r="EJ324" s="27" t="s">
        <v>7</v>
      </c>
      <c r="EM324" s="27" t="s">
        <v>8</v>
      </c>
      <c r="EN324" s="27" t="s">
        <v>7</v>
      </c>
      <c r="EO324" s="27" t="s">
        <v>8</v>
      </c>
      <c r="EP324" s="27" t="s">
        <v>7</v>
      </c>
      <c r="EQ324" s="27" t="s">
        <v>8</v>
      </c>
      <c r="ER324" s="27" t="s">
        <v>7</v>
      </c>
      <c r="ES324" s="27" t="s">
        <v>8</v>
      </c>
      <c r="ET324" s="27" t="s">
        <v>7</v>
      </c>
      <c r="EU324" s="27" t="s">
        <v>8</v>
      </c>
      <c r="EV324" s="27" t="s">
        <v>7</v>
      </c>
      <c r="EY324" s="27" t="s">
        <v>8</v>
      </c>
      <c r="FC324" s="27" t="s">
        <v>8</v>
      </c>
      <c r="FD324" s="27" t="s">
        <v>7</v>
      </c>
      <c r="FN324" s="27" t="s">
        <v>7</v>
      </c>
      <c r="FO324" s="27" t="s">
        <v>8</v>
      </c>
      <c r="GL324" s="27" t="s">
        <v>7</v>
      </c>
    </row>
    <row r="325" spans="1:197" x14ac:dyDescent="0.25">
      <c r="A325" s="30">
        <v>1.580918854663059E-2</v>
      </c>
      <c r="B325"/>
      <c r="C325"/>
      <c r="D325"/>
      <c r="E325"/>
      <c r="T325" s="27" t="s">
        <v>7</v>
      </c>
      <c r="U325" s="27" t="s">
        <v>8</v>
      </c>
      <c r="V325" s="27" t="s">
        <v>7</v>
      </c>
      <c r="W325" s="27" t="s">
        <v>8</v>
      </c>
      <c r="X325" s="27" t="s">
        <v>7</v>
      </c>
      <c r="Y325" s="27" t="s">
        <v>8</v>
      </c>
      <c r="Z325" s="27" t="s">
        <v>7</v>
      </c>
      <c r="DE325" s="27" t="s">
        <v>8</v>
      </c>
      <c r="DF325" s="27" t="s">
        <v>7</v>
      </c>
      <c r="DG325" s="27" t="s">
        <v>8</v>
      </c>
      <c r="DH325" s="27" t="s">
        <v>7</v>
      </c>
      <c r="DI325" s="27" t="s">
        <v>8</v>
      </c>
      <c r="DJ325" s="27" t="s">
        <v>7</v>
      </c>
      <c r="DK325" s="27" t="s">
        <v>8</v>
      </c>
      <c r="EH325" s="27" t="s">
        <v>7</v>
      </c>
      <c r="EI325" s="27" t="s">
        <v>8</v>
      </c>
      <c r="EJ325" s="27" t="s">
        <v>7</v>
      </c>
      <c r="EM325" s="27" t="s">
        <v>8</v>
      </c>
      <c r="EN325" s="27" t="s">
        <v>7</v>
      </c>
      <c r="EO325" s="27" t="s">
        <v>8</v>
      </c>
      <c r="EP325" s="27" t="s">
        <v>7</v>
      </c>
      <c r="EQ325" s="27" t="s">
        <v>8</v>
      </c>
      <c r="ER325" s="27" t="s">
        <v>7</v>
      </c>
      <c r="ES325" s="27" t="s">
        <v>8</v>
      </c>
      <c r="ET325" s="27" t="s">
        <v>7</v>
      </c>
      <c r="EU325" s="27" t="s">
        <v>8</v>
      </c>
      <c r="EV325" s="27" t="s">
        <v>7</v>
      </c>
      <c r="EY325" s="27" t="s">
        <v>8</v>
      </c>
      <c r="EZ325" s="27" t="s">
        <v>7</v>
      </c>
      <c r="FC325" s="27" t="s">
        <v>8</v>
      </c>
      <c r="FN325" s="27" t="s">
        <v>7</v>
      </c>
      <c r="GL325" s="27" t="s">
        <v>7</v>
      </c>
    </row>
    <row r="326" spans="1:197" x14ac:dyDescent="0.25">
      <c r="A326" s="30">
        <v>1.5056370044410079E-2</v>
      </c>
      <c r="B326"/>
      <c r="C326"/>
      <c r="D326"/>
      <c r="E326"/>
      <c r="T326" s="27" t="s">
        <v>7</v>
      </c>
      <c r="V326" s="27" t="s">
        <v>7</v>
      </c>
      <c r="W326" s="27" t="s">
        <v>8</v>
      </c>
      <c r="X326" s="27" t="s">
        <v>7</v>
      </c>
      <c r="Y326" s="27" t="s">
        <v>8</v>
      </c>
      <c r="Z326" s="27" t="s">
        <v>7</v>
      </c>
      <c r="DE326" s="27" t="s">
        <v>8</v>
      </c>
      <c r="DF326" s="27" t="s">
        <v>7</v>
      </c>
      <c r="DG326" s="27" t="s">
        <v>8</v>
      </c>
      <c r="DH326" s="27" t="s">
        <v>7</v>
      </c>
      <c r="DI326" s="27" t="s">
        <v>8</v>
      </c>
      <c r="DJ326" s="27" t="s">
        <v>7</v>
      </c>
      <c r="DK326" s="27" t="s">
        <v>8</v>
      </c>
      <c r="EH326" s="27" t="s">
        <v>7</v>
      </c>
      <c r="EI326" s="27" t="s">
        <v>8</v>
      </c>
      <c r="EJ326" s="27" t="s">
        <v>7</v>
      </c>
      <c r="EK326" s="27" t="s">
        <v>8</v>
      </c>
      <c r="EM326" s="27" t="s">
        <v>8</v>
      </c>
      <c r="EN326" s="27" t="s">
        <v>7</v>
      </c>
      <c r="EO326" s="27" t="s">
        <v>8</v>
      </c>
      <c r="EP326" s="27" t="s">
        <v>7</v>
      </c>
      <c r="EQ326" s="27" t="s">
        <v>8</v>
      </c>
      <c r="ER326" s="27" t="s">
        <v>7</v>
      </c>
      <c r="ES326" s="27" t="s">
        <v>8</v>
      </c>
      <c r="ET326" s="27" t="s">
        <v>7</v>
      </c>
      <c r="EU326" s="27" t="s">
        <v>8</v>
      </c>
      <c r="EV326" s="27" t="s">
        <v>7</v>
      </c>
      <c r="EY326" s="27" t="s">
        <v>8</v>
      </c>
      <c r="EZ326" s="27" t="s">
        <v>7</v>
      </c>
      <c r="FC326" s="27" t="s">
        <v>8</v>
      </c>
      <c r="GL326" s="27" t="s">
        <v>7</v>
      </c>
      <c r="GM326" s="27" t="s">
        <v>8</v>
      </c>
      <c r="GO326" s="27" t="s">
        <v>8</v>
      </c>
    </row>
    <row r="327" spans="1:197" x14ac:dyDescent="0.25">
      <c r="A327" s="30">
        <v>1.4339400042295308E-2</v>
      </c>
      <c r="B327"/>
      <c r="C327"/>
      <c r="D327"/>
      <c r="E327"/>
      <c r="V327" s="27" t="s">
        <v>7</v>
      </c>
      <c r="W327" s="27" t="s">
        <v>8</v>
      </c>
      <c r="X327" s="27" t="s">
        <v>7</v>
      </c>
      <c r="Z327" s="27" t="s">
        <v>7</v>
      </c>
      <c r="DE327" s="27" t="s">
        <v>8</v>
      </c>
      <c r="DF327" s="27" t="s">
        <v>7</v>
      </c>
      <c r="DH327" s="27" t="s">
        <v>7</v>
      </c>
      <c r="DI327" s="27" t="s">
        <v>8</v>
      </c>
      <c r="DJ327" s="27" t="s">
        <v>7</v>
      </c>
      <c r="DK327" s="27" t="s">
        <v>8</v>
      </c>
      <c r="EH327" s="27" t="s">
        <v>7</v>
      </c>
      <c r="EI327" s="27" t="s">
        <v>8</v>
      </c>
      <c r="EJ327" s="27" t="s">
        <v>7</v>
      </c>
      <c r="EK327" s="27" t="s">
        <v>8</v>
      </c>
      <c r="EL327" s="27" t="s">
        <v>7</v>
      </c>
      <c r="EM327" s="27" t="s">
        <v>8</v>
      </c>
      <c r="EN327" s="27" t="s">
        <v>7</v>
      </c>
      <c r="EO327" s="27" t="s">
        <v>8</v>
      </c>
      <c r="EP327" s="27" t="s">
        <v>7</v>
      </c>
      <c r="ER327" s="27" t="s">
        <v>7</v>
      </c>
      <c r="ES327" s="27" t="s">
        <v>8</v>
      </c>
      <c r="ET327" s="27" t="s">
        <v>7</v>
      </c>
      <c r="EV327" s="27" t="s">
        <v>7</v>
      </c>
      <c r="EY327" s="27" t="s">
        <v>8</v>
      </c>
      <c r="EZ327" s="27" t="s">
        <v>7</v>
      </c>
      <c r="FA327" s="27" t="s">
        <v>8</v>
      </c>
      <c r="FC327" s="27" t="s">
        <v>8</v>
      </c>
      <c r="GL327" s="27" t="s">
        <v>7</v>
      </c>
      <c r="GM327" s="27" t="s">
        <v>8</v>
      </c>
      <c r="GN327" s="27" t="s">
        <v>7</v>
      </c>
      <c r="GO327" s="27" t="s">
        <v>8</v>
      </c>
    </row>
    <row r="328" spans="1:197" x14ac:dyDescent="0.25">
      <c r="A328" s="30">
        <v>1.365657146885267E-2</v>
      </c>
      <c r="B328"/>
      <c r="C328"/>
      <c r="D328"/>
      <c r="E328"/>
      <c r="V328" s="27" t="s">
        <v>7</v>
      </c>
      <c r="W328" s="27" t="s">
        <v>8</v>
      </c>
      <c r="Z328" s="27" t="s">
        <v>7</v>
      </c>
      <c r="DC328" s="27" t="s">
        <v>8</v>
      </c>
      <c r="DE328" s="27" t="s">
        <v>8</v>
      </c>
      <c r="DH328" s="27" t="s">
        <v>7</v>
      </c>
      <c r="DI328" s="27" t="s">
        <v>8</v>
      </c>
      <c r="DJ328" s="27" t="s">
        <v>7</v>
      </c>
      <c r="DK328" s="27" t="s">
        <v>8</v>
      </c>
      <c r="EH328" s="27" t="s">
        <v>7</v>
      </c>
      <c r="EJ328" s="27" t="s">
        <v>7</v>
      </c>
      <c r="EK328" s="27" t="s">
        <v>8</v>
      </c>
      <c r="EL328" s="27" t="s">
        <v>7</v>
      </c>
      <c r="EM328" s="27" t="s">
        <v>8</v>
      </c>
      <c r="EN328" s="27" t="s">
        <v>7</v>
      </c>
      <c r="EO328" s="27" t="s">
        <v>8</v>
      </c>
      <c r="ER328" s="27" t="s">
        <v>7</v>
      </c>
      <c r="EV328" s="27" t="s">
        <v>7</v>
      </c>
      <c r="EY328" s="27" t="s">
        <v>8</v>
      </c>
      <c r="EZ328" s="27" t="s">
        <v>7</v>
      </c>
      <c r="FA328" s="27" t="s">
        <v>8</v>
      </c>
      <c r="FB328" s="27" t="s">
        <v>7</v>
      </c>
      <c r="FC328" s="27" t="s">
        <v>8</v>
      </c>
      <c r="GL328" s="27" t="s">
        <v>7</v>
      </c>
      <c r="GM328" s="27" t="s">
        <v>8</v>
      </c>
      <c r="GN328" s="27" t="s">
        <v>7</v>
      </c>
      <c r="GO328" s="27" t="s">
        <v>8</v>
      </c>
    </row>
    <row r="329" spans="1:197" x14ac:dyDescent="0.25">
      <c r="A329" s="30">
        <v>1.3006258541764442E-2</v>
      </c>
      <c r="B329"/>
      <c r="C329"/>
      <c r="D329"/>
      <c r="E329"/>
      <c r="V329" s="27" t="s">
        <v>7</v>
      </c>
      <c r="Z329" s="27" t="s">
        <v>7</v>
      </c>
      <c r="AA329" s="27" t="s">
        <v>8</v>
      </c>
      <c r="DC329" s="27" t="s">
        <v>8</v>
      </c>
      <c r="DD329" s="27" t="s">
        <v>7</v>
      </c>
      <c r="DE329" s="27" t="s">
        <v>8</v>
      </c>
      <c r="DH329" s="27" t="s">
        <v>7</v>
      </c>
      <c r="DI329" s="27" t="s">
        <v>8</v>
      </c>
      <c r="DJ329" s="27" t="s">
        <v>7</v>
      </c>
      <c r="DK329" s="27" t="s">
        <v>8</v>
      </c>
      <c r="EJ329" s="27" t="s">
        <v>7</v>
      </c>
      <c r="EK329" s="27" t="s">
        <v>8</v>
      </c>
      <c r="EL329" s="27" t="s">
        <v>7</v>
      </c>
      <c r="EM329" s="27" t="s">
        <v>8</v>
      </c>
      <c r="EN329" s="27" t="s">
        <v>7</v>
      </c>
      <c r="EO329" s="27" t="s">
        <v>8</v>
      </c>
      <c r="EV329" s="27" t="s">
        <v>7</v>
      </c>
      <c r="EY329" s="27" t="s">
        <v>8</v>
      </c>
      <c r="EZ329" s="27" t="s">
        <v>7</v>
      </c>
      <c r="FA329" s="27" t="s">
        <v>8</v>
      </c>
      <c r="FB329" s="27" t="s">
        <v>7</v>
      </c>
      <c r="FC329" s="27" t="s">
        <v>8</v>
      </c>
      <c r="GL329" s="27" t="s">
        <v>7</v>
      </c>
      <c r="GN329" s="27" t="s">
        <v>7</v>
      </c>
    </row>
    <row r="330" spans="1:197" x14ac:dyDescent="0.25">
      <c r="A330" s="30">
        <v>1.2386912896918512E-2</v>
      </c>
      <c r="B330"/>
      <c r="C330"/>
      <c r="D330"/>
      <c r="E330"/>
      <c r="Z330" s="27" t="s">
        <v>7</v>
      </c>
      <c r="AA330" s="27" t="s">
        <v>8</v>
      </c>
      <c r="AB330" s="27" t="s">
        <v>7</v>
      </c>
      <c r="AC330" s="27" t="s">
        <v>8</v>
      </c>
      <c r="AK330" s="27" t="s">
        <v>8</v>
      </c>
      <c r="CY330" s="27" t="s">
        <v>8</v>
      </c>
      <c r="DA330" s="27" t="s">
        <v>8</v>
      </c>
      <c r="DC330" s="27" t="s">
        <v>8</v>
      </c>
      <c r="DD330" s="27" t="s">
        <v>7</v>
      </c>
      <c r="DE330" s="27" t="s">
        <v>8</v>
      </c>
      <c r="DH330" s="27" t="s">
        <v>7</v>
      </c>
      <c r="DJ330" s="27" t="s">
        <v>7</v>
      </c>
      <c r="DK330" s="27" t="s">
        <v>8</v>
      </c>
      <c r="EJ330" s="27" t="s">
        <v>7</v>
      </c>
      <c r="EL330" s="27" t="s">
        <v>7</v>
      </c>
      <c r="EM330" s="27" t="s">
        <v>8</v>
      </c>
      <c r="EN330" s="27" t="s">
        <v>7</v>
      </c>
      <c r="EV330" s="27" t="s">
        <v>7</v>
      </c>
      <c r="EY330" s="27" t="s">
        <v>8</v>
      </c>
      <c r="EZ330" s="27" t="s">
        <v>7</v>
      </c>
      <c r="FA330" s="27" t="s">
        <v>8</v>
      </c>
      <c r="FB330" s="27" t="s">
        <v>7</v>
      </c>
      <c r="FC330" s="27" t="s">
        <v>8</v>
      </c>
    </row>
    <row r="331" spans="1:197" x14ac:dyDescent="0.25">
      <c r="A331" s="30">
        <v>1.179705990182715E-2</v>
      </c>
      <c r="B331"/>
      <c r="C331"/>
      <c r="D331"/>
      <c r="E331"/>
      <c r="Z331" s="27" t="s">
        <v>7</v>
      </c>
      <c r="AA331" s="27" t="s">
        <v>8</v>
      </c>
      <c r="AB331" s="27" t="s">
        <v>7</v>
      </c>
      <c r="AC331" s="27" t="s">
        <v>8</v>
      </c>
      <c r="AD331" s="27" t="s">
        <v>7</v>
      </c>
      <c r="AK331" s="27" t="s">
        <v>8</v>
      </c>
      <c r="AL331" s="27" t="s">
        <v>7</v>
      </c>
      <c r="AM331" s="27" t="s">
        <v>8</v>
      </c>
      <c r="BI331" s="27" t="s">
        <v>8</v>
      </c>
      <c r="CY331" s="27" t="s">
        <v>8</v>
      </c>
      <c r="CZ331" s="27" t="s">
        <v>7</v>
      </c>
      <c r="DA331" s="27" t="s">
        <v>8</v>
      </c>
      <c r="DB331" s="27" t="s">
        <v>7</v>
      </c>
      <c r="DC331" s="27" t="s">
        <v>8</v>
      </c>
      <c r="DD331" s="27" t="s">
        <v>7</v>
      </c>
      <c r="DJ331" s="27" t="s">
        <v>7</v>
      </c>
      <c r="EL331" s="27" t="s">
        <v>7</v>
      </c>
      <c r="EM331" s="27" t="s">
        <v>8</v>
      </c>
      <c r="EV331" s="27" t="s">
        <v>7</v>
      </c>
      <c r="EW331" s="27" t="s">
        <v>8</v>
      </c>
      <c r="EY331" s="27" t="s">
        <v>8</v>
      </c>
      <c r="EZ331" s="27" t="s">
        <v>7</v>
      </c>
      <c r="FB331" s="27" t="s">
        <v>7</v>
      </c>
      <c r="FC331" s="27" t="s">
        <v>8</v>
      </c>
    </row>
    <row r="332" spans="1:197" x14ac:dyDescent="0.25">
      <c r="A332" s="30">
        <v>1.1235295144597281E-2</v>
      </c>
      <c r="B332"/>
      <c r="C332"/>
      <c r="D332"/>
      <c r="E332"/>
      <c r="Z332" s="27" t="s">
        <v>7</v>
      </c>
      <c r="AA332" s="27" t="s">
        <v>8</v>
      </c>
      <c r="AB332" s="27" t="s">
        <v>7</v>
      </c>
      <c r="AC332" s="27" t="s">
        <v>8</v>
      </c>
      <c r="AD332" s="27" t="s">
        <v>7</v>
      </c>
      <c r="AG332" s="27" t="s">
        <v>8</v>
      </c>
      <c r="AK332" s="27" t="s">
        <v>8</v>
      </c>
      <c r="AL332" s="27" t="s">
        <v>7</v>
      </c>
      <c r="AM332" s="27" t="s">
        <v>8</v>
      </c>
      <c r="AN332" s="27" t="s">
        <v>7</v>
      </c>
      <c r="AO332" s="27" t="s">
        <v>8</v>
      </c>
      <c r="BG332" s="27" t="s">
        <v>8</v>
      </c>
      <c r="BI332" s="27" t="s">
        <v>8</v>
      </c>
      <c r="BJ332" s="27" t="s">
        <v>7</v>
      </c>
      <c r="CS332" s="27" t="s">
        <v>8</v>
      </c>
      <c r="CY332" s="27" t="s">
        <v>8</v>
      </c>
      <c r="CZ332" s="27" t="s">
        <v>7</v>
      </c>
      <c r="DA332" s="27" t="s">
        <v>8</v>
      </c>
      <c r="DB332" s="27" t="s">
        <v>7</v>
      </c>
      <c r="DC332" s="27" t="s">
        <v>8</v>
      </c>
      <c r="EL332" s="27" t="s">
        <v>7</v>
      </c>
      <c r="EM332" s="27" t="s">
        <v>8</v>
      </c>
      <c r="EV332" s="27" t="s">
        <v>7</v>
      </c>
      <c r="EW332" s="27" t="s">
        <v>8</v>
      </c>
      <c r="EX332" s="27" t="s">
        <v>7</v>
      </c>
      <c r="EY332" s="27" t="s">
        <v>8</v>
      </c>
      <c r="FB332" s="18" t="s">
        <v>7</v>
      </c>
      <c r="FC332" s="27" t="s">
        <v>8</v>
      </c>
    </row>
    <row r="333" spans="1:197" x14ac:dyDescent="0.25">
      <c r="A333" s="30">
        <v>1.0700281090092644E-2</v>
      </c>
      <c r="B333"/>
      <c r="C333"/>
      <c r="D333"/>
      <c r="E333"/>
      <c r="Z333" s="27" t="s">
        <v>7</v>
      </c>
      <c r="AA333" s="27" t="s">
        <v>8</v>
      </c>
      <c r="AB333" s="27" t="s">
        <v>7</v>
      </c>
      <c r="AC333" s="27" t="s">
        <v>8</v>
      </c>
      <c r="AD333" s="27" t="s">
        <v>7</v>
      </c>
      <c r="AG333" s="27" t="s">
        <v>8</v>
      </c>
      <c r="AH333" s="27" t="s">
        <v>7</v>
      </c>
      <c r="AI333" s="27" t="s">
        <v>8</v>
      </c>
      <c r="AK333" s="27" t="s">
        <v>8</v>
      </c>
      <c r="AL333" s="27" t="s">
        <v>7</v>
      </c>
      <c r="AM333" s="27" t="s">
        <v>8</v>
      </c>
      <c r="AN333" s="27" t="s">
        <v>7</v>
      </c>
      <c r="AO333" s="27" t="s">
        <v>8</v>
      </c>
      <c r="AP333" s="27" t="s">
        <v>7</v>
      </c>
      <c r="BG333" s="27" t="s">
        <v>8</v>
      </c>
      <c r="BH333" s="27" t="s">
        <v>7</v>
      </c>
      <c r="BI333" s="27" t="s">
        <v>8</v>
      </c>
      <c r="BJ333" s="27" t="s">
        <v>7</v>
      </c>
      <c r="BO333" s="27" t="s">
        <v>8</v>
      </c>
      <c r="BS333" s="27" t="s">
        <v>8</v>
      </c>
      <c r="CS333" s="27" t="s">
        <v>8</v>
      </c>
      <c r="CT333" s="27" t="s">
        <v>7</v>
      </c>
      <c r="CY333" s="27" t="s">
        <v>8</v>
      </c>
      <c r="CZ333" s="27" t="s">
        <v>7</v>
      </c>
      <c r="DA333" s="27" t="s">
        <v>8</v>
      </c>
      <c r="DB333" s="27" t="s">
        <v>7</v>
      </c>
      <c r="DC333" s="27" t="s">
        <v>8</v>
      </c>
      <c r="EL333" s="27" t="s">
        <v>7</v>
      </c>
      <c r="EM333" s="27" t="s">
        <v>8</v>
      </c>
      <c r="EV333" s="27" t="s">
        <v>7</v>
      </c>
      <c r="EW333" s="27" t="s">
        <v>8</v>
      </c>
      <c r="EX333" s="27" t="s">
        <v>7</v>
      </c>
      <c r="EY333" s="27" t="s">
        <v>8</v>
      </c>
      <c r="FB333" s="27" t="s">
        <v>7</v>
      </c>
      <c r="FC333" s="27" t="s">
        <v>8</v>
      </c>
    </row>
    <row r="334" spans="1:197" x14ac:dyDescent="0.25">
      <c r="A334" s="30">
        <v>1.0190743895326324E-2</v>
      </c>
      <c r="B334"/>
      <c r="C334"/>
      <c r="D334"/>
      <c r="E334"/>
      <c r="Z334" s="27" t="s">
        <v>7</v>
      </c>
      <c r="AB334" s="27" t="s">
        <v>7</v>
      </c>
      <c r="AD334" s="27" t="s">
        <v>7</v>
      </c>
      <c r="AG334" s="27" t="s">
        <v>8</v>
      </c>
      <c r="AH334" s="27" t="s">
        <v>7</v>
      </c>
      <c r="AI334" s="27" t="s">
        <v>8</v>
      </c>
      <c r="AJ334" s="27" t="s">
        <v>7</v>
      </c>
      <c r="AK334" s="27" t="s">
        <v>8</v>
      </c>
      <c r="AL334" s="27" t="s">
        <v>7</v>
      </c>
      <c r="AM334" s="27" t="s">
        <v>8</v>
      </c>
      <c r="AN334" s="27" t="s">
        <v>7</v>
      </c>
      <c r="AO334" s="27" t="s">
        <v>8</v>
      </c>
      <c r="AP334" s="27" t="s">
        <v>7</v>
      </c>
      <c r="BG334" s="27" t="s">
        <v>8</v>
      </c>
      <c r="BH334" s="27" t="s">
        <v>7</v>
      </c>
      <c r="BI334" s="27" t="s">
        <v>8</v>
      </c>
      <c r="BJ334" s="27" t="s">
        <v>7</v>
      </c>
      <c r="BK334" s="27" t="s">
        <v>8</v>
      </c>
      <c r="BO334" s="27" t="s">
        <v>8</v>
      </c>
      <c r="BP334" s="27" t="s">
        <v>7</v>
      </c>
      <c r="BQ334" s="27" t="s">
        <v>8</v>
      </c>
      <c r="BS334" s="27" t="s">
        <v>8</v>
      </c>
      <c r="BT334" s="27" t="s">
        <v>7</v>
      </c>
      <c r="BU334" s="27" t="s">
        <v>8</v>
      </c>
      <c r="CS334" s="27" t="s">
        <v>8</v>
      </c>
      <c r="CT334" s="27" t="s">
        <v>7</v>
      </c>
      <c r="CW334" s="27" t="s">
        <v>8</v>
      </c>
      <c r="CY334" s="27" t="s">
        <v>8</v>
      </c>
      <c r="CZ334" s="27" t="s">
        <v>7</v>
      </c>
      <c r="DB334" s="27" t="s">
        <v>7</v>
      </c>
      <c r="EL334" s="27" t="s">
        <v>7</v>
      </c>
      <c r="EM334" s="27" t="s">
        <v>8</v>
      </c>
      <c r="EV334" s="27" t="s">
        <v>7</v>
      </c>
      <c r="EW334" s="27" t="s">
        <v>8</v>
      </c>
      <c r="EX334" s="27" t="s">
        <v>7</v>
      </c>
      <c r="FB334" s="27" t="s">
        <v>7</v>
      </c>
    </row>
    <row r="335" spans="1:197" x14ac:dyDescent="0.25">
      <c r="A335" s="30">
        <v>9.7054703765012563E-3</v>
      </c>
      <c r="B335"/>
      <c r="C335"/>
      <c r="D335"/>
      <c r="E335"/>
      <c r="AD335" s="27" t="s">
        <v>7</v>
      </c>
      <c r="AG335" s="27" t="s">
        <v>8</v>
      </c>
      <c r="AH335" s="27" t="s">
        <v>7</v>
      </c>
      <c r="AI335" s="27" t="s">
        <v>8</v>
      </c>
      <c r="AJ335" s="27" t="s">
        <v>7</v>
      </c>
      <c r="AK335" s="27" t="s">
        <v>8</v>
      </c>
      <c r="AL335" s="27" t="s">
        <v>7</v>
      </c>
      <c r="AM335" s="27" t="s">
        <v>8</v>
      </c>
      <c r="AN335" s="27" t="s">
        <v>7</v>
      </c>
      <c r="AO335" s="27" t="s">
        <v>8</v>
      </c>
      <c r="AP335" s="27" t="s">
        <v>7</v>
      </c>
      <c r="BG335" s="27" t="s">
        <v>8</v>
      </c>
      <c r="BH335" s="27" t="s">
        <v>7</v>
      </c>
      <c r="BI335" s="27" t="s">
        <v>8</v>
      </c>
      <c r="BJ335" s="27" t="s">
        <v>7</v>
      </c>
      <c r="BK335" s="27" t="s">
        <v>8</v>
      </c>
      <c r="BL335" s="27" t="s">
        <v>7</v>
      </c>
      <c r="BM335" s="27" t="s">
        <v>8</v>
      </c>
      <c r="BO335" s="27" t="s">
        <v>8</v>
      </c>
      <c r="BP335" s="27" t="s">
        <v>7</v>
      </c>
      <c r="BQ335" s="27" t="s">
        <v>8</v>
      </c>
      <c r="BR335" s="27" t="s">
        <v>7</v>
      </c>
      <c r="BS335" s="27" t="s">
        <v>8</v>
      </c>
      <c r="BT335" s="27" t="s">
        <v>7</v>
      </c>
      <c r="BU335" s="27" t="s">
        <v>8</v>
      </c>
      <c r="BV335" s="27" t="s">
        <v>7</v>
      </c>
      <c r="CS335" s="27" t="s">
        <v>8</v>
      </c>
      <c r="CT335" s="27" t="s">
        <v>7</v>
      </c>
      <c r="CW335" s="27" t="s">
        <v>8</v>
      </c>
      <c r="CX335" s="27" t="s">
        <v>7</v>
      </c>
      <c r="CY335" s="27" t="s">
        <v>8</v>
      </c>
      <c r="EL335" s="27" t="s">
        <v>7</v>
      </c>
      <c r="EV335" s="27" t="s">
        <v>7</v>
      </c>
      <c r="EW335" s="27" t="s">
        <v>8</v>
      </c>
    </row>
    <row r="336" spans="1:197" x14ac:dyDescent="0.25">
      <c r="A336" s="30">
        <v>9.2433051204773835E-3</v>
      </c>
      <c r="B336"/>
      <c r="C336"/>
      <c r="D336"/>
      <c r="E336"/>
      <c r="AD336" s="27" t="s">
        <v>7</v>
      </c>
      <c r="AE336" s="27" t="s">
        <v>8</v>
      </c>
      <c r="AG336" s="27" t="s">
        <v>8</v>
      </c>
      <c r="AH336" s="27" t="s">
        <v>7</v>
      </c>
      <c r="AI336" s="27" t="s">
        <v>8</v>
      </c>
      <c r="AJ336" s="27" t="s">
        <v>7</v>
      </c>
      <c r="AL336" s="27" t="s">
        <v>7</v>
      </c>
      <c r="AM336" s="27" t="s">
        <v>8</v>
      </c>
      <c r="AN336" s="27" t="s">
        <v>7</v>
      </c>
      <c r="AO336" s="27" t="s">
        <v>8</v>
      </c>
      <c r="AP336" s="27" t="s">
        <v>7</v>
      </c>
      <c r="BG336" s="27" t="s">
        <v>8</v>
      </c>
      <c r="BH336" s="27" t="s">
        <v>7</v>
      </c>
      <c r="BI336" s="27" t="s">
        <v>8</v>
      </c>
      <c r="BJ336" s="27" t="s">
        <v>7</v>
      </c>
      <c r="BK336" s="27" t="s">
        <v>8</v>
      </c>
      <c r="BL336" s="27" t="s">
        <v>7</v>
      </c>
      <c r="BM336" s="27" t="s">
        <v>8</v>
      </c>
      <c r="BN336" s="27" t="s">
        <v>7</v>
      </c>
      <c r="BO336" s="27" t="s">
        <v>8</v>
      </c>
      <c r="BP336" s="27" t="s">
        <v>7</v>
      </c>
      <c r="BQ336" s="27" t="s">
        <v>8</v>
      </c>
      <c r="BR336" s="27" t="s">
        <v>7</v>
      </c>
      <c r="BS336" s="27" t="s">
        <v>8</v>
      </c>
      <c r="BT336" s="27" t="s">
        <v>7</v>
      </c>
      <c r="BU336" s="27" t="s">
        <v>8</v>
      </c>
      <c r="BV336" s="27" t="s">
        <v>7</v>
      </c>
      <c r="CS336" s="27" t="s">
        <v>8</v>
      </c>
      <c r="CT336" s="27" t="s">
        <v>7</v>
      </c>
      <c r="CW336" s="27" t="s">
        <v>8</v>
      </c>
      <c r="CX336" s="27" t="s">
        <v>7</v>
      </c>
      <c r="CY336" s="27" t="s">
        <v>8</v>
      </c>
      <c r="EV336" s="27" t="s">
        <v>7</v>
      </c>
      <c r="EW336" s="27" t="s">
        <v>8</v>
      </c>
    </row>
    <row r="337" spans="1:152" x14ac:dyDescent="0.25">
      <c r="A337" s="30">
        <v>8.8031477337879808E-3</v>
      </c>
      <c r="B337"/>
      <c r="C337"/>
      <c r="D337"/>
      <c r="E337"/>
      <c r="AD337" s="27" t="s">
        <v>7</v>
      </c>
      <c r="AE337" s="27" t="s">
        <v>8</v>
      </c>
      <c r="AF337" s="27" t="s">
        <v>7</v>
      </c>
      <c r="AG337" s="27" t="s">
        <v>8</v>
      </c>
      <c r="AH337" s="27" t="s">
        <v>7</v>
      </c>
      <c r="AL337" s="27" t="s">
        <v>7</v>
      </c>
      <c r="AM337" s="27" t="s">
        <v>8</v>
      </c>
      <c r="AN337" s="27" t="s">
        <v>7</v>
      </c>
      <c r="AP337" s="27" t="s">
        <v>7</v>
      </c>
      <c r="BG337" s="27" t="s">
        <v>8</v>
      </c>
      <c r="BH337" s="27" t="s">
        <v>7</v>
      </c>
      <c r="BI337" s="27" t="s">
        <v>8</v>
      </c>
      <c r="BJ337" s="27" t="s">
        <v>7</v>
      </c>
      <c r="BK337" s="27" t="s">
        <v>8</v>
      </c>
      <c r="BL337" s="27" t="s">
        <v>7</v>
      </c>
      <c r="BM337" s="27" t="s">
        <v>8</v>
      </c>
      <c r="BN337" s="27" t="s">
        <v>7</v>
      </c>
      <c r="BO337" s="27" t="s">
        <v>8</v>
      </c>
      <c r="BP337" s="27" t="s">
        <v>7</v>
      </c>
      <c r="BQ337" s="27" t="s">
        <v>8</v>
      </c>
      <c r="BR337" s="27" t="s">
        <v>7</v>
      </c>
      <c r="BT337" s="27" t="s">
        <v>7</v>
      </c>
      <c r="BV337" s="27" t="s">
        <v>7</v>
      </c>
      <c r="BW337" s="27" t="s">
        <v>8</v>
      </c>
      <c r="BY337" s="27" t="s">
        <v>8</v>
      </c>
      <c r="CQ337" s="27" t="s">
        <v>8</v>
      </c>
      <c r="CS337" s="27" t="s">
        <v>8</v>
      </c>
      <c r="CT337" s="27" t="s">
        <v>7</v>
      </c>
      <c r="CU337" s="27" t="s">
        <v>8</v>
      </c>
      <c r="CW337" s="27" t="s">
        <v>8</v>
      </c>
      <c r="CX337" s="27" t="s">
        <v>7</v>
      </c>
      <c r="EV337" s="27" t="s">
        <v>7</v>
      </c>
    </row>
    <row r="338" spans="1:152" x14ac:dyDescent="0.25">
      <c r="A338" s="30">
        <v>8.3839502226552166E-3</v>
      </c>
      <c r="B338"/>
      <c r="C338"/>
      <c r="D338"/>
      <c r="E338"/>
      <c r="AD338" s="27" t="s">
        <v>7</v>
      </c>
      <c r="AE338" s="27" t="s">
        <v>8</v>
      </c>
      <c r="AF338" s="27" t="s">
        <v>7</v>
      </c>
      <c r="AG338" s="27" t="s">
        <v>8</v>
      </c>
      <c r="AL338" s="27" t="s">
        <v>7</v>
      </c>
      <c r="AM338" s="27" t="s">
        <v>8</v>
      </c>
      <c r="AP338" s="27" t="s">
        <v>7</v>
      </c>
      <c r="BG338" s="27" t="s">
        <v>8</v>
      </c>
      <c r="BH338" s="27" t="s">
        <v>7</v>
      </c>
      <c r="BJ338" s="27" t="s">
        <v>7</v>
      </c>
      <c r="BK338" s="27" t="s">
        <v>8</v>
      </c>
      <c r="BL338" s="27" t="s">
        <v>7</v>
      </c>
      <c r="BM338" s="27" t="s">
        <v>8</v>
      </c>
      <c r="BN338" s="27" t="s">
        <v>7</v>
      </c>
      <c r="BO338" s="27" t="s">
        <v>8</v>
      </c>
      <c r="BP338" s="27" t="s">
        <v>7</v>
      </c>
      <c r="BQ338" s="27" t="s">
        <v>8</v>
      </c>
      <c r="BV338" s="27" t="s">
        <v>7</v>
      </c>
      <c r="BW338" s="27" t="s">
        <v>8</v>
      </c>
      <c r="BX338" s="27" t="s">
        <v>7</v>
      </c>
      <c r="BY338" s="27" t="s">
        <v>8</v>
      </c>
      <c r="BZ338" s="27" t="s">
        <v>7</v>
      </c>
      <c r="CO338" s="27" t="s">
        <v>8</v>
      </c>
      <c r="CQ338" s="27" t="s">
        <v>8</v>
      </c>
      <c r="CR338" s="27" t="s">
        <v>7</v>
      </c>
      <c r="CS338" s="27" t="s">
        <v>8</v>
      </c>
      <c r="CT338" s="27" t="s">
        <v>7</v>
      </c>
      <c r="CU338" s="27" t="s">
        <v>8</v>
      </c>
      <c r="CV338" s="27" t="s">
        <v>7</v>
      </c>
      <c r="CW338" s="27" t="s">
        <v>8</v>
      </c>
    </row>
    <row r="339" spans="1:152" x14ac:dyDescent="0.25">
      <c r="A339" s="30">
        <v>7.9847144977668698E-3</v>
      </c>
      <c r="B339"/>
      <c r="C339"/>
      <c r="D339"/>
      <c r="E339"/>
      <c r="AD339" s="27" t="s">
        <v>7</v>
      </c>
      <c r="AF339" s="27" t="s">
        <v>7</v>
      </c>
      <c r="AG339" s="27" t="s">
        <v>8</v>
      </c>
      <c r="AL339" s="27" t="s">
        <v>7</v>
      </c>
      <c r="AP339" s="27" t="s">
        <v>7</v>
      </c>
      <c r="BG339" s="27" t="s">
        <v>8</v>
      </c>
      <c r="BJ339" s="27" t="s">
        <v>7</v>
      </c>
      <c r="BK339" s="27" t="s">
        <v>8</v>
      </c>
      <c r="BL339" s="27" t="s">
        <v>7</v>
      </c>
      <c r="BN339" s="27" t="s">
        <v>7</v>
      </c>
      <c r="BO339" s="27" t="s">
        <v>8</v>
      </c>
      <c r="BP339" s="27" t="s">
        <v>7</v>
      </c>
      <c r="BV339" s="27" t="s">
        <v>7</v>
      </c>
      <c r="BW339" s="27" t="s">
        <v>8</v>
      </c>
      <c r="BX339" s="27" t="s">
        <v>7</v>
      </c>
      <c r="BY339" s="27" t="s">
        <v>8</v>
      </c>
      <c r="BZ339" s="27" t="s">
        <v>7</v>
      </c>
      <c r="CA339" s="27" t="s">
        <v>8</v>
      </c>
      <c r="CG339" s="27" t="s">
        <v>8</v>
      </c>
      <c r="CM339" s="27" t="s">
        <v>8</v>
      </c>
      <c r="CO339" s="27" t="s">
        <v>8</v>
      </c>
      <c r="CP339" s="27" t="s">
        <v>7</v>
      </c>
      <c r="CQ339" s="27" t="s">
        <v>8</v>
      </c>
      <c r="CR339" s="27" t="s">
        <v>7</v>
      </c>
      <c r="CS339" s="27" t="s">
        <v>8</v>
      </c>
      <c r="CT339" s="27" t="s">
        <v>7</v>
      </c>
      <c r="CU339" s="27" t="s">
        <v>8</v>
      </c>
      <c r="CV339" s="27" t="s">
        <v>7</v>
      </c>
      <c r="CW339" s="27" t="s">
        <v>8</v>
      </c>
    </row>
    <row r="340" spans="1:152" x14ac:dyDescent="0.25">
      <c r="A340" s="30">
        <v>7.6044899978732058E-3</v>
      </c>
      <c r="B340"/>
      <c r="C340"/>
      <c r="D340"/>
      <c r="E340"/>
      <c r="AF340" s="27" t="s">
        <v>7</v>
      </c>
      <c r="AG340" s="27" t="s">
        <v>8</v>
      </c>
      <c r="AP340" s="27" t="s">
        <v>7</v>
      </c>
      <c r="BC340" s="27" t="s">
        <v>8</v>
      </c>
      <c r="BE340" s="27" t="s">
        <v>8</v>
      </c>
      <c r="BG340" s="27" t="s">
        <v>8</v>
      </c>
      <c r="BJ340" s="27" t="s">
        <v>7</v>
      </c>
      <c r="BN340" s="27" t="s">
        <v>7</v>
      </c>
      <c r="BO340" s="27" t="s">
        <v>8</v>
      </c>
      <c r="BV340" s="27" t="s">
        <v>7</v>
      </c>
      <c r="BW340" s="27" t="s">
        <v>8</v>
      </c>
      <c r="BX340" s="27" t="s">
        <v>7</v>
      </c>
      <c r="BY340" s="27" t="s">
        <v>8</v>
      </c>
      <c r="BZ340" s="27" t="s">
        <v>7</v>
      </c>
      <c r="CA340" s="27" t="s">
        <v>8</v>
      </c>
      <c r="CB340" s="27" t="s">
        <v>7</v>
      </c>
      <c r="CG340" s="27" t="s">
        <v>8</v>
      </c>
      <c r="CH340" s="27" t="s">
        <v>7</v>
      </c>
      <c r="CM340" s="27" t="s">
        <v>8</v>
      </c>
      <c r="CN340" s="27" t="s">
        <v>7</v>
      </c>
      <c r="CO340" s="27" t="s">
        <v>8</v>
      </c>
      <c r="CP340" s="27" t="s">
        <v>7</v>
      </c>
      <c r="CQ340" s="27" t="s">
        <v>8</v>
      </c>
      <c r="CR340" s="27" t="s">
        <v>7</v>
      </c>
      <c r="CT340" s="27" t="s">
        <v>7</v>
      </c>
      <c r="CV340" s="27" t="s">
        <v>7</v>
      </c>
      <c r="CW340" s="27" t="s">
        <v>8</v>
      </c>
    </row>
    <row r="341" spans="1:152" x14ac:dyDescent="0.25">
      <c r="A341" s="30">
        <v>7.2423714265459072E-3</v>
      </c>
      <c r="B341"/>
      <c r="C341"/>
      <c r="D341"/>
      <c r="E341"/>
      <c r="AF341" s="27" t="s">
        <v>7</v>
      </c>
      <c r="AG341" s="27" t="s">
        <v>8</v>
      </c>
      <c r="AP341" s="27" t="s">
        <v>7</v>
      </c>
      <c r="BC341" s="27" t="s">
        <v>8</v>
      </c>
      <c r="BD341" s="27" t="s">
        <v>7</v>
      </c>
      <c r="BE341" s="27" t="s">
        <v>8</v>
      </c>
      <c r="BF341" s="27" t="s">
        <v>7</v>
      </c>
      <c r="BG341" s="27" t="s">
        <v>8</v>
      </c>
      <c r="BN341" s="27" t="s">
        <v>7</v>
      </c>
      <c r="BV341" s="27" t="s">
        <v>7</v>
      </c>
      <c r="BW341" s="27" t="s">
        <v>8</v>
      </c>
      <c r="BX341" s="27" t="s">
        <v>7</v>
      </c>
      <c r="BY341" s="27" t="s">
        <v>8</v>
      </c>
      <c r="BZ341" s="27" t="s">
        <v>7</v>
      </c>
      <c r="CA341" s="27" t="s">
        <v>8</v>
      </c>
      <c r="CB341" s="27" t="s">
        <v>7</v>
      </c>
      <c r="CG341" s="27" t="s">
        <v>8</v>
      </c>
      <c r="CH341" s="27" t="s">
        <v>7</v>
      </c>
      <c r="CK341" s="27" t="s">
        <v>8</v>
      </c>
      <c r="CM341" s="27" t="s">
        <v>8</v>
      </c>
      <c r="CN341" s="27" t="s">
        <v>7</v>
      </c>
      <c r="CO341" s="27" t="s">
        <v>8</v>
      </c>
      <c r="CP341" s="27" t="s">
        <v>7</v>
      </c>
      <c r="CQ341" s="27" t="s">
        <v>8</v>
      </c>
      <c r="CV341" s="27" t="s">
        <v>7</v>
      </c>
    </row>
    <row r="342" spans="1:152" x14ac:dyDescent="0.25">
      <c r="A342" s="30">
        <v>6.8974965967103846E-3</v>
      </c>
      <c r="B342"/>
      <c r="C342"/>
      <c r="D342"/>
      <c r="E342"/>
      <c r="AF342" s="27" t="s">
        <v>7</v>
      </c>
      <c r="AP342" s="27" t="s">
        <v>7</v>
      </c>
      <c r="AW342" s="27" t="s">
        <v>8</v>
      </c>
      <c r="BC342" s="27" t="s">
        <v>8</v>
      </c>
      <c r="BD342" s="27" t="s">
        <v>7</v>
      </c>
      <c r="BE342" s="27" t="s">
        <v>8</v>
      </c>
      <c r="BF342" s="27" t="s">
        <v>7</v>
      </c>
      <c r="BG342" s="27" t="s">
        <v>8</v>
      </c>
      <c r="BV342" s="27" t="s">
        <v>7</v>
      </c>
      <c r="BW342" s="27" t="s">
        <v>8</v>
      </c>
      <c r="BX342" s="27" t="s">
        <v>7</v>
      </c>
      <c r="BZ342" s="27" t="s">
        <v>7</v>
      </c>
      <c r="CB342" s="27" t="s">
        <v>7</v>
      </c>
      <c r="CG342" s="27" t="s">
        <v>8</v>
      </c>
      <c r="CH342" s="27" t="s">
        <v>7</v>
      </c>
      <c r="CI342" s="27" t="s">
        <v>8</v>
      </c>
      <c r="CK342" s="27" t="s">
        <v>8</v>
      </c>
      <c r="CL342" s="27" t="s">
        <v>7</v>
      </c>
      <c r="CM342" s="27" t="s">
        <v>8</v>
      </c>
      <c r="CN342" s="27" t="s">
        <v>7</v>
      </c>
      <c r="CO342" s="27" t="s">
        <v>8</v>
      </c>
      <c r="CP342" s="27" t="s">
        <v>7</v>
      </c>
      <c r="CQ342" s="27" t="s">
        <v>8</v>
      </c>
    </row>
    <row r="343" spans="1:152" x14ac:dyDescent="0.25">
      <c r="A343" s="30">
        <v>6.5690443778194116E-3</v>
      </c>
      <c r="B343"/>
      <c r="C343"/>
      <c r="D343"/>
      <c r="E343"/>
      <c r="AP343" s="27" t="s">
        <v>7</v>
      </c>
      <c r="AW343" s="27" t="s">
        <v>8</v>
      </c>
      <c r="AX343" s="27" t="s">
        <v>7</v>
      </c>
      <c r="BC343" s="27" t="s">
        <v>8</v>
      </c>
      <c r="BD343" s="27" t="s">
        <v>7</v>
      </c>
      <c r="BE343" s="27" t="s">
        <v>8</v>
      </c>
      <c r="BF343" s="27" t="s">
        <v>7</v>
      </c>
      <c r="BG343" s="27" t="s">
        <v>8</v>
      </c>
      <c r="BV343" s="27" t="s">
        <v>7</v>
      </c>
      <c r="CB343" s="27" t="s">
        <v>7</v>
      </c>
      <c r="CC343" s="27" t="s">
        <v>8</v>
      </c>
      <c r="CE343" s="27" t="s">
        <v>8</v>
      </c>
      <c r="CG343" s="27" t="s">
        <v>8</v>
      </c>
      <c r="CH343" s="27" t="s">
        <v>7</v>
      </c>
      <c r="CI343" s="27" t="s">
        <v>8</v>
      </c>
      <c r="CJ343" s="27" t="s">
        <v>7</v>
      </c>
      <c r="CK343" s="27" t="s">
        <v>8</v>
      </c>
      <c r="CL343" s="27" t="s">
        <v>7</v>
      </c>
      <c r="CM343" s="27" t="s">
        <v>8</v>
      </c>
      <c r="CN343" s="27" t="s">
        <v>7</v>
      </c>
      <c r="CO343" s="27" t="s">
        <v>8</v>
      </c>
      <c r="CP343" s="27" t="s">
        <v>7</v>
      </c>
      <c r="CQ343" s="27" t="s">
        <v>8</v>
      </c>
    </row>
    <row r="344" spans="1:152" x14ac:dyDescent="0.25">
      <c r="A344" s="30">
        <v>6.2562327407803897E-3</v>
      </c>
      <c r="B344"/>
      <c r="C344"/>
      <c r="D344"/>
      <c r="E344"/>
      <c r="AP344" s="27" t="s">
        <v>7</v>
      </c>
      <c r="AW344" s="27" t="s">
        <v>8</v>
      </c>
      <c r="AX344" s="27" t="s">
        <v>7</v>
      </c>
      <c r="BC344" s="27" t="s">
        <v>8</v>
      </c>
      <c r="BD344" s="27" t="s">
        <v>7</v>
      </c>
      <c r="BE344" s="27" t="s">
        <v>8</v>
      </c>
      <c r="BF344" s="27" t="s">
        <v>7</v>
      </c>
      <c r="BG344" s="27" t="s">
        <v>8</v>
      </c>
      <c r="CB344" s="27" t="s">
        <v>7</v>
      </c>
      <c r="CC344" s="27" t="s">
        <v>8</v>
      </c>
      <c r="CD344" s="27" t="s">
        <v>7</v>
      </c>
      <c r="CE344" s="27" t="s">
        <v>8</v>
      </c>
      <c r="CF344" s="27" t="s">
        <v>7</v>
      </c>
      <c r="CG344" s="27" t="s">
        <v>8</v>
      </c>
      <c r="CH344" s="27" t="s">
        <v>7</v>
      </c>
      <c r="CI344" s="27" t="s">
        <v>8</v>
      </c>
      <c r="CJ344" s="27" t="s">
        <v>7</v>
      </c>
      <c r="CK344" s="27" t="s">
        <v>8</v>
      </c>
      <c r="CL344" s="27" t="s">
        <v>7</v>
      </c>
      <c r="CN344" s="27" t="s">
        <v>7</v>
      </c>
      <c r="CO344" s="27" t="s">
        <v>8</v>
      </c>
      <c r="CP344" s="27" t="s">
        <v>7</v>
      </c>
    </row>
    <row r="345" spans="1:152" x14ac:dyDescent="0.25">
      <c r="A345" s="30">
        <v>5.9583168959813212E-3</v>
      </c>
      <c r="B345"/>
      <c r="C345"/>
      <c r="D345"/>
      <c r="E345"/>
      <c r="AP345" s="27" t="s">
        <v>7</v>
      </c>
      <c r="AQ345" s="27" t="s">
        <v>8</v>
      </c>
      <c r="AW345" s="27" t="s">
        <v>8</v>
      </c>
      <c r="AX345" s="27" t="s">
        <v>7</v>
      </c>
      <c r="AY345" s="27" t="s">
        <v>8</v>
      </c>
      <c r="BC345" s="27" t="s">
        <v>8</v>
      </c>
      <c r="BD345" s="27" t="s">
        <v>7</v>
      </c>
      <c r="BF345" s="27" t="s">
        <v>7</v>
      </c>
      <c r="CB345" s="27" t="s">
        <v>7</v>
      </c>
      <c r="CC345" s="27" t="s">
        <v>8</v>
      </c>
      <c r="CD345" s="27" t="s">
        <v>7</v>
      </c>
      <c r="CE345" s="27" t="s">
        <v>8</v>
      </c>
      <c r="CF345" s="27" t="s">
        <v>7</v>
      </c>
      <c r="CG345" s="27" t="s">
        <v>8</v>
      </c>
      <c r="CH345" s="27" t="s">
        <v>7</v>
      </c>
      <c r="CJ345" s="27" t="s">
        <v>7</v>
      </c>
      <c r="CN345" s="27" t="s">
        <v>7</v>
      </c>
    </row>
    <row r="346" spans="1:152" x14ac:dyDescent="0.25">
      <c r="A346" s="30">
        <v>5.6745875199822084E-3</v>
      </c>
      <c r="B346"/>
      <c r="C346"/>
      <c r="D346"/>
      <c r="E346"/>
      <c r="AP346" s="27" t="s">
        <v>7</v>
      </c>
      <c r="AQ346" s="27" t="s">
        <v>8</v>
      </c>
      <c r="AR346" s="27" t="s">
        <v>7</v>
      </c>
      <c r="AU346" s="27" t="s">
        <v>8</v>
      </c>
      <c r="AW346" s="27" t="s">
        <v>8</v>
      </c>
      <c r="AX346" s="27" t="s">
        <v>7</v>
      </c>
      <c r="AY346" s="27" t="s">
        <v>8</v>
      </c>
      <c r="AZ346" s="27" t="s">
        <v>7</v>
      </c>
      <c r="BA346" s="27" t="s">
        <v>8</v>
      </c>
      <c r="BC346" s="27" t="s">
        <v>8</v>
      </c>
      <c r="CB346" s="27" t="s">
        <v>7</v>
      </c>
      <c r="CC346" s="27" t="s">
        <v>8</v>
      </c>
      <c r="CD346" s="27" t="s">
        <v>7</v>
      </c>
      <c r="CE346" s="27" t="s">
        <v>8</v>
      </c>
      <c r="CF346" s="27" t="s">
        <v>7</v>
      </c>
      <c r="CG346" s="27" t="s">
        <v>8</v>
      </c>
    </row>
    <row r="347" spans="1:152" x14ac:dyDescent="0.25">
      <c r="A347" s="30">
        <v>5.4043690666497205E-3</v>
      </c>
      <c r="B347"/>
      <c r="C347"/>
      <c r="D347"/>
      <c r="E347"/>
      <c r="AP347" s="27" t="s">
        <v>7</v>
      </c>
      <c r="AQ347" s="27" t="s">
        <v>8</v>
      </c>
      <c r="AR347" s="27" t="s">
        <v>7</v>
      </c>
      <c r="AS347" s="27" t="s">
        <v>8</v>
      </c>
      <c r="AU347" s="27" t="s">
        <v>8</v>
      </c>
      <c r="AV347" s="27" t="s">
        <v>7</v>
      </c>
      <c r="AW347" s="27" t="s">
        <v>8</v>
      </c>
      <c r="AX347" s="27" t="s">
        <v>7</v>
      </c>
      <c r="AY347" s="27" t="s">
        <v>8</v>
      </c>
      <c r="AZ347" s="27" t="s">
        <v>7</v>
      </c>
      <c r="BA347" s="27" t="s">
        <v>8</v>
      </c>
      <c r="BB347" s="27" t="s">
        <v>7</v>
      </c>
      <c r="BC347" s="27" t="s">
        <v>8</v>
      </c>
      <c r="CB347" s="27" t="s">
        <v>7</v>
      </c>
      <c r="CC347" s="27" t="s">
        <v>8</v>
      </c>
      <c r="CD347" s="27" t="s">
        <v>7</v>
      </c>
      <c r="CF347" s="27" t="s">
        <v>7</v>
      </c>
    </row>
    <row r="348" spans="1:152" x14ac:dyDescent="0.25">
      <c r="A348" s="30">
        <v>5.1470181587140174E-3</v>
      </c>
      <c r="B348"/>
      <c r="C348"/>
      <c r="D348"/>
      <c r="E348"/>
      <c r="AP348" s="27" t="s">
        <v>7</v>
      </c>
      <c r="AQ348" s="27" t="s">
        <v>8</v>
      </c>
      <c r="AR348" s="27" t="s">
        <v>7</v>
      </c>
      <c r="AS348" s="27" t="s">
        <v>8</v>
      </c>
      <c r="AT348" s="27" t="s">
        <v>7</v>
      </c>
      <c r="AU348" s="27" t="s">
        <v>8</v>
      </c>
      <c r="AV348" s="27" t="s">
        <v>7</v>
      </c>
      <c r="AW348" s="27" t="s">
        <v>8</v>
      </c>
      <c r="AX348" s="27" t="s">
        <v>7</v>
      </c>
      <c r="AY348" s="27" t="s">
        <v>8</v>
      </c>
      <c r="AZ348" s="27" t="s">
        <v>7</v>
      </c>
      <c r="BA348" s="27" t="s">
        <v>8</v>
      </c>
      <c r="BB348" s="27" t="s">
        <v>7</v>
      </c>
      <c r="BC348" s="27" t="s">
        <v>8</v>
      </c>
      <c r="CB348" s="27" t="s">
        <v>7</v>
      </c>
    </row>
    <row r="349" spans="1:152" x14ac:dyDescent="0.25">
      <c r="A349" s="30">
        <v>4.9019220559181099E-3</v>
      </c>
      <c r="B349"/>
      <c r="C349"/>
      <c r="D349"/>
      <c r="E349"/>
      <c r="AP349" s="27" t="s">
        <v>7</v>
      </c>
      <c r="AQ349" s="27" t="s">
        <v>8</v>
      </c>
      <c r="AR349" s="27" t="s">
        <v>7</v>
      </c>
      <c r="AS349" s="27" t="s">
        <v>8</v>
      </c>
      <c r="AT349" s="27" t="s">
        <v>7</v>
      </c>
      <c r="AU349" s="27" t="s">
        <v>8</v>
      </c>
      <c r="AV349" s="27" t="s">
        <v>7</v>
      </c>
      <c r="AW349" s="27" t="s">
        <v>8</v>
      </c>
      <c r="AX349" s="27" t="s">
        <v>7</v>
      </c>
      <c r="AZ349" s="27" t="s">
        <v>7</v>
      </c>
      <c r="BB349" s="27" t="s">
        <v>7</v>
      </c>
      <c r="BC349" s="27" t="s">
        <v>8</v>
      </c>
    </row>
    <row r="350" spans="1:152" x14ac:dyDescent="0.25">
      <c r="A350" s="30">
        <v>4.6684971961124836E-3</v>
      </c>
      <c r="B350"/>
      <c r="C350"/>
      <c r="D350"/>
      <c r="E350"/>
      <c r="AP350" s="27" t="s">
        <v>7</v>
      </c>
      <c r="AQ350" s="27" t="s">
        <v>8</v>
      </c>
      <c r="AR350" s="27" t="s">
        <v>7</v>
      </c>
      <c r="AS350" s="27" t="s">
        <v>8</v>
      </c>
      <c r="AT350" s="27" t="s">
        <v>7</v>
      </c>
      <c r="AU350" s="27" t="s">
        <v>8</v>
      </c>
      <c r="AV350" s="27" t="s">
        <v>7</v>
      </c>
      <c r="AW350" s="27" t="s">
        <v>8</v>
      </c>
      <c r="BB350" s="27" t="s">
        <v>7</v>
      </c>
    </row>
    <row r="351" spans="1:152" x14ac:dyDescent="0.25">
      <c r="A351" s="30">
        <v>4.4461878058214112E-3</v>
      </c>
      <c r="B351"/>
      <c r="C351"/>
      <c r="D351"/>
      <c r="E351"/>
      <c r="AP351" s="27" t="s">
        <v>7</v>
      </c>
      <c r="AQ351" s="27" t="s">
        <v>8</v>
      </c>
      <c r="AR351" s="27" t="s">
        <v>7</v>
      </c>
      <c r="AS351" s="27" t="s">
        <v>8</v>
      </c>
      <c r="AT351" s="27" t="s">
        <v>7</v>
      </c>
      <c r="AV351" s="27" t="s">
        <v>7</v>
      </c>
    </row>
    <row r="352" spans="1:152" x14ac:dyDescent="0.25">
      <c r="A352" s="30">
        <v>4.2344645769727711E-3</v>
      </c>
      <c r="B352"/>
      <c r="C352"/>
      <c r="D352"/>
      <c r="E352"/>
      <c r="AP352" s="27" t="s">
        <v>7</v>
      </c>
      <c r="AQ352" s="27" t="s">
        <v>8</v>
      </c>
      <c r="AR352" s="27" t="s">
        <v>7</v>
      </c>
    </row>
    <row r="353" spans="1:43" x14ac:dyDescent="0.25">
      <c r="A353" s="30">
        <v>4.0328234066407329E-3</v>
      </c>
      <c r="B353"/>
      <c r="C353"/>
      <c r="D353"/>
      <c r="E353"/>
      <c r="AP353" s="27" t="s">
        <v>7</v>
      </c>
      <c r="AQ353" s="27" t="s">
        <v>8</v>
      </c>
    </row>
    <row r="354" spans="1:43" x14ac:dyDescent="0.25">
      <c r="A354" s="30">
        <v>3.8407841968006963E-3</v>
      </c>
      <c r="B354"/>
      <c r="C354"/>
      <c r="D354"/>
      <c r="E354"/>
      <c r="AP354" s="27" t="s">
        <v>7</v>
      </c>
      <c r="AQ354" s="27" t="s">
        <v>8</v>
      </c>
    </row>
    <row r="355" spans="1:43" x14ac:dyDescent="0.25">
      <c r="A355" s="30">
        <v>3.6578897112387568E-3</v>
      </c>
      <c r="B355"/>
      <c r="C355"/>
      <c r="D355"/>
      <c r="E355"/>
      <c r="AP355" s="27" t="s">
        <v>7</v>
      </c>
      <c r="AQ355" s="27" t="s">
        <v>8</v>
      </c>
    </row>
    <row r="356" spans="1:43" x14ac:dyDescent="0.25">
      <c r="A356" s="30">
        <v>3.4837044868940526E-3</v>
      </c>
      <c r="B356"/>
      <c r="C356"/>
      <c r="D356"/>
      <c r="E356"/>
      <c r="AP356" s="27" t="s">
        <v>7</v>
      </c>
    </row>
    <row r="357" spans="1:43" x14ac:dyDescent="0.25">
      <c r="A357" s="30">
        <v>3.3178137970419535E-3</v>
      </c>
      <c r="B357"/>
      <c r="C357"/>
      <c r="D357"/>
      <c r="E357"/>
    </row>
    <row r="358" spans="1:43" x14ac:dyDescent="0.25">
      <c r="A358" s="30">
        <v>3.1598226638494781E-3</v>
      </c>
      <c r="B358"/>
      <c r="C358"/>
      <c r="D358"/>
      <c r="E358"/>
    </row>
    <row r="359" spans="1:43" x14ac:dyDescent="0.25">
      <c r="A359" s="30">
        <v>3.0093549179518826E-3</v>
      </c>
      <c r="B359"/>
      <c r="C359"/>
      <c r="D359"/>
      <c r="E359"/>
    </row>
    <row r="360" spans="1:43" x14ac:dyDescent="0.25">
      <c r="A360" s="30">
        <v>2.8660523028113155E-3</v>
      </c>
      <c r="B360"/>
      <c r="C360"/>
      <c r="D360"/>
      <c r="E360"/>
    </row>
    <row r="361" spans="1:43" x14ac:dyDescent="0.25">
      <c r="A361" s="30">
        <v>2.7295736217250611E-3</v>
      </c>
      <c r="B361"/>
      <c r="C361"/>
      <c r="D361"/>
      <c r="E361"/>
    </row>
    <row r="362" spans="1:43" x14ac:dyDescent="0.25">
      <c r="A362" s="30">
        <v>2.5995939254524381E-3</v>
      </c>
      <c r="B362"/>
      <c r="C362"/>
      <c r="D362"/>
      <c r="E362"/>
    </row>
    <row r="363" spans="1:43" x14ac:dyDescent="0.25">
      <c r="A363" s="30">
        <v>2.4758037385261304E-3</v>
      </c>
      <c r="B363"/>
      <c r="C363"/>
      <c r="D363"/>
      <c r="E363"/>
    </row>
    <row r="364" spans="1:43" x14ac:dyDescent="0.25">
      <c r="A364" s="30">
        <v>2.3579083224058374E-3</v>
      </c>
      <c r="B364"/>
      <c r="C364"/>
      <c r="D364"/>
      <c r="E364"/>
    </row>
    <row r="365" spans="1:43" x14ac:dyDescent="0.25">
      <c r="A365" s="30">
        <v>2.245626973719844E-3</v>
      </c>
      <c r="B365"/>
      <c r="C365"/>
      <c r="D365"/>
      <c r="E365"/>
    </row>
    <row r="366" spans="1:43" x14ac:dyDescent="0.25">
      <c r="A366" s="30">
        <v>2.1386923559236601E-3</v>
      </c>
      <c r="B366"/>
      <c r="C366"/>
      <c r="D366"/>
      <c r="E366"/>
    </row>
    <row r="367" spans="1:43" x14ac:dyDescent="0.25">
      <c r="A367" s="30">
        <v>2.0368498627844375E-3</v>
      </c>
      <c r="B367"/>
      <c r="C367"/>
      <c r="D367"/>
      <c r="E367"/>
    </row>
    <row r="368" spans="1:43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1329" operator="equal">
      <formula>$U$1</formula>
    </cfRule>
    <cfRule type="cellIs" dxfId="67" priority="1330" operator="equal">
      <formula>$S$1</formula>
    </cfRule>
  </conditionalFormatting>
  <conditionalFormatting sqref="D136">
    <cfRule type="cellIs" dxfId="66" priority="1327" operator="equal">
      <formula>$S$1</formula>
    </cfRule>
    <cfRule type="cellIs" dxfId="65" priority="1328" operator="equal">
      <formula>$U$1</formula>
    </cfRule>
  </conditionalFormatting>
  <conditionalFormatting sqref="C162">
    <cfRule type="cellIs" dxfId="64" priority="1325" operator="equal">
      <formula>$U$1</formula>
    </cfRule>
    <cfRule type="cellIs" dxfId="63" priority="1326" operator="equal">
      <formula>$S$1</formula>
    </cfRule>
  </conditionalFormatting>
  <conditionalFormatting sqref="D162">
    <cfRule type="cellIs" dxfId="62" priority="1323" operator="equal">
      <formula>$S$1</formula>
    </cfRule>
    <cfRule type="cellIs" dxfId="61" priority="1324" operator="equal">
      <formula>$U$1</formula>
    </cfRule>
  </conditionalFormatting>
  <conditionalFormatting sqref="C187">
    <cfRule type="cellIs" dxfId="60" priority="1321" operator="equal">
      <formula>$U$1</formula>
    </cfRule>
    <cfRule type="cellIs" dxfId="59" priority="1322" operator="equal">
      <formula>$S$1</formula>
    </cfRule>
  </conditionalFormatting>
  <conditionalFormatting sqref="D187">
    <cfRule type="cellIs" dxfId="58" priority="1319" operator="equal">
      <formula>$S$1</formula>
    </cfRule>
    <cfRule type="cellIs" dxfId="57" priority="1320" operator="equal">
      <formula>$U$1</formula>
    </cfRule>
  </conditionalFormatting>
  <conditionalFormatting sqref="C212">
    <cfRule type="cellIs" dxfId="56" priority="1317" operator="equal">
      <formula>$U$1</formula>
    </cfRule>
    <cfRule type="cellIs" dxfId="55" priority="1318" operator="equal">
      <formula>$S$1</formula>
    </cfRule>
  </conditionalFormatting>
  <conditionalFormatting sqref="D212">
    <cfRule type="cellIs" dxfId="54" priority="1315" operator="equal">
      <formula>$S$1</formula>
    </cfRule>
    <cfRule type="cellIs" dxfId="53" priority="1316" operator="equal">
      <formula>$U$1</formula>
    </cfRule>
  </conditionalFormatting>
  <conditionalFormatting sqref="C237">
    <cfRule type="cellIs" dxfId="52" priority="1313" operator="equal">
      <formula>$U$1</formula>
    </cfRule>
    <cfRule type="cellIs" dxfId="51" priority="1314" operator="equal">
      <formula>$S$1</formula>
    </cfRule>
  </conditionalFormatting>
  <conditionalFormatting sqref="D237">
    <cfRule type="cellIs" dxfId="50" priority="1311" operator="equal">
      <formula>$S$1</formula>
    </cfRule>
    <cfRule type="cellIs" dxfId="49" priority="1312" operator="equal">
      <formula>$U$1</formula>
    </cfRule>
  </conditionalFormatting>
  <conditionalFormatting sqref="C106">
    <cfRule type="cellIs" dxfId="48" priority="1309" operator="equal">
      <formula>$U$1</formula>
    </cfRule>
    <cfRule type="cellIs" dxfId="47" priority="1310" operator="equal">
      <formula>$S$1</formula>
    </cfRule>
  </conditionalFormatting>
  <conditionalFormatting sqref="D106">
    <cfRule type="cellIs" dxfId="46" priority="1307" operator="equal">
      <formula>$S$1</formula>
    </cfRule>
    <cfRule type="cellIs" dxfId="45" priority="1308" operator="equal">
      <formula>$U$1</formula>
    </cfRule>
  </conditionalFormatting>
  <conditionalFormatting sqref="C81">
    <cfRule type="cellIs" dxfId="44" priority="1305" operator="equal">
      <formula>$U$1</formula>
    </cfRule>
    <cfRule type="cellIs" dxfId="43" priority="1306" operator="equal">
      <formula>$S$1</formula>
    </cfRule>
  </conditionalFormatting>
  <conditionalFormatting sqref="D81">
    <cfRule type="cellIs" dxfId="42" priority="1303" operator="equal">
      <formula>$S$1</formula>
    </cfRule>
    <cfRule type="cellIs" dxfId="41" priority="1304" operator="equal">
      <formula>$U$1</formula>
    </cfRule>
  </conditionalFormatting>
  <conditionalFormatting sqref="C56">
    <cfRule type="cellIs" dxfId="40" priority="1301" operator="equal">
      <formula>$U$1</formula>
    </cfRule>
    <cfRule type="cellIs" dxfId="39" priority="1302" operator="equal">
      <formula>$S$1</formula>
    </cfRule>
  </conditionalFormatting>
  <conditionalFormatting sqref="D56">
    <cfRule type="cellIs" dxfId="38" priority="1299" operator="equal">
      <formula>$S$1</formula>
    </cfRule>
    <cfRule type="cellIs" dxfId="37" priority="1300" operator="equal">
      <formula>$U$1</formula>
    </cfRule>
  </conditionalFormatting>
  <conditionalFormatting sqref="C31">
    <cfRule type="cellIs" dxfId="36" priority="1297" operator="equal">
      <formula>$U$1</formula>
    </cfRule>
    <cfRule type="cellIs" dxfId="35" priority="1298" operator="equal">
      <formula>$S$1</formula>
    </cfRule>
  </conditionalFormatting>
  <conditionalFormatting sqref="D31">
    <cfRule type="cellIs" dxfId="34" priority="1295" operator="equal">
      <formula>$S$1</formula>
    </cfRule>
    <cfRule type="cellIs" dxfId="33" priority="1296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BZ166" sqref="BZ166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5" x14ac:dyDescent="0.25">
      <c r="A97" s="30">
        <v>9.849732675807628</v>
      </c>
      <c r="E97"/>
    </row>
    <row r="98" spans="1:5" x14ac:dyDescent="0.25">
      <c r="A98" s="30">
        <v>8.9543024325523888</v>
      </c>
      <c r="C98" s="1" t="s">
        <v>13</v>
      </c>
      <c r="E98"/>
    </row>
    <row r="99" spans="1:5" x14ac:dyDescent="0.25">
      <c r="A99" s="30">
        <v>8.140274938683989</v>
      </c>
      <c r="C99" s="1">
        <f>C88</f>
        <v>0</v>
      </c>
      <c r="E99"/>
    </row>
    <row r="100" spans="1:5" x14ac:dyDescent="0.25">
      <c r="A100" s="30">
        <v>7.4002499442581717</v>
      </c>
      <c r="C100"/>
      <c r="D100"/>
      <c r="E100"/>
    </row>
    <row r="101" spans="1:5" x14ac:dyDescent="0.25">
      <c r="A101" s="30">
        <v>6.72749994932561</v>
      </c>
      <c r="C101" s="1" t="s">
        <v>14</v>
      </c>
      <c r="E101"/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5.5599173134922388</v>
      </c>
      <c r="E103"/>
    </row>
    <row r="104" spans="1:5" x14ac:dyDescent="0.25">
      <c r="A104" s="30">
        <v>5.0544702849929442</v>
      </c>
      <c r="E104"/>
    </row>
    <row r="105" spans="1:5" x14ac:dyDescent="0.25">
      <c r="A105" s="30">
        <v>4.594972986357222</v>
      </c>
      <c r="E105"/>
    </row>
    <row r="106" spans="1:5" x14ac:dyDescent="0.25">
      <c r="A106" s="30">
        <v>4.1772481694156562</v>
      </c>
      <c r="E106"/>
    </row>
    <row r="107" spans="1:5" x14ac:dyDescent="0.25">
      <c r="A107" s="30">
        <v>3.7974983358324148</v>
      </c>
      <c r="E107"/>
    </row>
    <row r="108" spans="1:5" x14ac:dyDescent="0.25">
      <c r="A108" s="30">
        <v>3.4522712143931042</v>
      </c>
      <c r="E108"/>
    </row>
    <row r="109" spans="1:5" x14ac:dyDescent="0.25">
      <c r="A109" s="30">
        <v>3.1384283767210035</v>
      </c>
      <c r="E109"/>
    </row>
    <row r="110" spans="1:5" x14ac:dyDescent="0.25">
      <c r="A110" s="30">
        <v>2.8531167061100029</v>
      </c>
      <c r="E110"/>
    </row>
    <row r="111" spans="1:5" x14ac:dyDescent="0.25">
      <c r="A111" s="30">
        <v>2.5937424601000023</v>
      </c>
      <c r="C111" s="1" t="str">
        <f>ADDRESS(C121-1,1,1,1)</f>
        <v>$A$165</v>
      </c>
      <c r="D111" s="1" t="str">
        <f>ADDRESS(C121-1,D121,1,1)</f>
        <v>$BZ$165</v>
      </c>
      <c r="E111"/>
    </row>
    <row r="112" spans="1:5" x14ac:dyDescent="0.25">
      <c r="A112" s="30">
        <v>2.3579476910000019</v>
      </c>
      <c r="C112" s="1" t="str">
        <f>ADDRESS(C121,1,1,1)</f>
        <v>$A$166</v>
      </c>
      <c r="D112" s="1" t="str">
        <f>ADDRESS(C121,D121-1,1,1)</f>
        <v>$BY$166</v>
      </c>
      <c r="E112"/>
    </row>
    <row r="113" spans="1:6" x14ac:dyDescent="0.25">
      <c r="A113" s="30">
        <v>2.1435888100000016</v>
      </c>
      <c r="C113" s="1" t="str">
        <f>ADDRESS(C121+1,1,1,1)</f>
        <v>$A$167</v>
      </c>
      <c r="D113" s="1" t="str">
        <f>ADDRESS(C121-1,D121+1,1,1)</f>
        <v>$CA$165</v>
      </c>
    </row>
    <row r="114" spans="1:6" x14ac:dyDescent="0.25">
      <c r="A114" s="30">
        <v>1.9487171000000014</v>
      </c>
      <c r="C114" s="1" t="str">
        <f>ADDRESS(C121,D121,1,1)</f>
        <v>$BZ$166</v>
      </c>
      <c r="D114" s="1" t="str">
        <f>ADDRESS(C121+1,D121+1,1,1)</f>
        <v>$CA$167</v>
      </c>
    </row>
    <row r="115" spans="1:6" x14ac:dyDescent="0.25">
      <c r="A115" s="30">
        <v>1.7715610000000011</v>
      </c>
      <c r="C115" s="1" t="str">
        <f>ADDRESS(C121+1,D121,1,1)</f>
        <v>$BZ$167</v>
      </c>
    </row>
    <row r="116" spans="1:6" x14ac:dyDescent="0.25">
      <c r="A116" s="30">
        <v>1.6105100000000008</v>
      </c>
      <c r="C116" s="1">
        <f>C117-1</f>
        <v>165</v>
      </c>
    </row>
    <row r="117" spans="1:6" x14ac:dyDescent="0.25">
      <c r="A117" s="30">
        <v>1.4641000000000006</v>
      </c>
      <c r="C117" s="1">
        <f>C121</f>
        <v>166</v>
      </c>
      <c r="D117" s="1">
        <f>D121</f>
        <v>78</v>
      </c>
    </row>
    <row r="118" spans="1:6" x14ac:dyDescent="0.25">
      <c r="A118" s="30">
        <v>1.3310000000000004</v>
      </c>
      <c r="C118" s="1">
        <f>C117+1</f>
        <v>167</v>
      </c>
      <c r="D118" s="1">
        <f>D117+1</f>
        <v>79</v>
      </c>
    </row>
    <row r="119" spans="1:6" x14ac:dyDescent="0.25">
      <c r="A119" s="30">
        <v>1.2100000000000002</v>
      </c>
    </row>
    <row r="120" spans="1:6" x14ac:dyDescent="0.25">
      <c r="A120" s="30">
        <v>1.1000000000000001</v>
      </c>
      <c r="C120" s="1" t="s">
        <v>9</v>
      </c>
    </row>
    <row r="121" spans="1:6" x14ac:dyDescent="0.25">
      <c r="A121" s="30">
        <v>1</v>
      </c>
      <c r="C121" s="18">
        <v>166</v>
      </c>
      <c r="D121" s="19">
        <v>78</v>
      </c>
      <c r="E121" s="18" t="s">
        <v>8</v>
      </c>
    </row>
    <row r="122" spans="1:6" x14ac:dyDescent="0.25">
      <c r="A122" s="30">
        <v>0.90909090909090895</v>
      </c>
      <c r="C122" s="1" t="str">
        <f>INDEX(1:1048576,C117,D117)</f>
        <v>O</v>
      </c>
      <c r="F122" s="27" t="s">
        <v>7</v>
      </c>
    </row>
    <row r="123" spans="1:6" x14ac:dyDescent="0.25">
      <c r="A123" s="30">
        <v>0.82644628099173523</v>
      </c>
      <c r="C123" s="1" t="str">
        <f>"R"&amp;C121</f>
        <v>R166</v>
      </c>
      <c r="D123" s="1" t="str">
        <f>"C"&amp;D121</f>
        <v>C78</v>
      </c>
      <c r="F123" s="27" t="s">
        <v>7</v>
      </c>
    </row>
    <row r="124" spans="1:6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</row>
    <row r="125" spans="1:6" x14ac:dyDescent="0.25">
      <c r="A125" s="30">
        <v>0.68301345536507019</v>
      </c>
      <c r="F125" s="27" t="s">
        <v>7</v>
      </c>
    </row>
    <row r="126" spans="1:6" x14ac:dyDescent="0.25">
      <c r="A126" s="30">
        <v>0.6209213230591546</v>
      </c>
      <c r="C126" s="1" t="s">
        <v>10</v>
      </c>
      <c r="F126" s="27" t="s">
        <v>7</v>
      </c>
    </row>
    <row r="127" spans="1:6" x14ac:dyDescent="0.25">
      <c r="A127" s="30">
        <v>0.56447393005377677</v>
      </c>
      <c r="C127" s="30">
        <v>1.3719212021148477E-2</v>
      </c>
      <c r="D127"/>
      <c r="F127" s="27" t="s">
        <v>7</v>
      </c>
    </row>
    <row r="128" spans="1:6" x14ac:dyDescent="0.25">
      <c r="A128" s="30">
        <v>0.51315811823070612</v>
      </c>
      <c r="F128" s="27" t="s">
        <v>7</v>
      </c>
    </row>
    <row r="129" spans="1:6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</row>
    <row r="130" spans="1:6" x14ac:dyDescent="0.25">
      <c r="A130" s="30">
        <v>0.42409761837248428</v>
      </c>
      <c r="C130" s="6"/>
      <c r="D130" s="6"/>
      <c r="E130"/>
      <c r="F130" s="27" t="s">
        <v>7</v>
      </c>
    </row>
    <row r="131" spans="1:6" x14ac:dyDescent="0.25">
      <c r="A131" s="30">
        <v>0.38554328942953109</v>
      </c>
      <c r="E131"/>
      <c r="F131" s="27" t="s">
        <v>7</v>
      </c>
    </row>
    <row r="132" spans="1:6" x14ac:dyDescent="0.25">
      <c r="A132" s="30">
        <v>0.35049389948139187</v>
      </c>
      <c r="C132" s="1" t="s">
        <v>13</v>
      </c>
      <c r="E132"/>
      <c r="F132" s="27" t="s">
        <v>7</v>
      </c>
    </row>
    <row r="133" spans="1:6" x14ac:dyDescent="0.25">
      <c r="A133" s="30">
        <v>0.31863081771035617</v>
      </c>
      <c r="C133" s="1" t="str">
        <f>C122</f>
        <v>O</v>
      </c>
      <c r="E133"/>
      <c r="F133" s="27" t="s">
        <v>7</v>
      </c>
    </row>
    <row r="134" spans="1:6" x14ac:dyDescent="0.25">
      <c r="A134" s="30">
        <v>0.28966437973668741</v>
      </c>
      <c r="C134"/>
      <c r="D134"/>
      <c r="E134"/>
      <c r="F134" s="27" t="s">
        <v>7</v>
      </c>
    </row>
    <row r="135" spans="1:6" x14ac:dyDescent="0.25">
      <c r="A135" s="30">
        <v>0.2633312543060794</v>
      </c>
      <c r="C135" s="1" t="s">
        <v>14</v>
      </c>
      <c r="E135"/>
      <c r="F135" s="27" t="s">
        <v>7</v>
      </c>
    </row>
    <row r="136" spans="1:6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F136" s="27" t="s">
        <v>7</v>
      </c>
    </row>
    <row r="137" spans="1:6" x14ac:dyDescent="0.25">
      <c r="A137" s="30">
        <v>0.2176291357901482</v>
      </c>
      <c r="E137"/>
      <c r="F137" s="27" t="s">
        <v>7</v>
      </c>
    </row>
    <row r="138" spans="1:6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F138" s="27" t="s">
        <v>7</v>
      </c>
    </row>
    <row r="139" spans="1:6" x14ac:dyDescent="0.25">
      <c r="A139" s="30">
        <v>0.17985878990921333</v>
      </c>
      <c r="E139"/>
      <c r="F139" s="27" t="s">
        <v>7</v>
      </c>
    </row>
    <row r="140" spans="1:6" x14ac:dyDescent="0.25">
      <c r="A140" s="30">
        <v>0.16350799082655756</v>
      </c>
      <c r="C140" s="1">
        <v>0</v>
      </c>
      <c r="E140"/>
      <c r="F140" s="27" t="s">
        <v>7</v>
      </c>
    </row>
    <row r="141" spans="1:6" x14ac:dyDescent="0.25">
      <c r="A141" s="30">
        <v>0.14864362802414322</v>
      </c>
      <c r="C141" s="1">
        <v>1</v>
      </c>
      <c r="E141"/>
      <c r="F141" s="27" t="s">
        <v>7</v>
      </c>
    </row>
    <row r="142" spans="1:6" x14ac:dyDescent="0.25">
      <c r="A142" s="30">
        <v>0.13513057093103928</v>
      </c>
      <c r="C142" s="1">
        <v>2</v>
      </c>
      <c r="E142"/>
      <c r="F142" s="27" t="s">
        <v>7</v>
      </c>
    </row>
    <row r="143" spans="1:6" x14ac:dyDescent="0.25">
      <c r="A143" s="30">
        <v>0.12284597357367205</v>
      </c>
      <c r="C143" s="1">
        <v>3</v>
      </c>
      <c r="E143"/>
      <c r="F143" s="27" t="s">
        <v>7</v>
      </c>
    </row>
    <row r="144" spans="1:6" x14ac:dyDescent="0.25">
      <c r="A144" s="30">
        <v>0.11167815779424731</v>
      </c>
      <c r="C144" s="1">
        <v>4</v>
      </c>
      <c r="E144"/>
      <c r="F144" s="27" t="s">
        <v>7</v>
      </c>
    </row>
    <row r="145" spans="1:78" x14ac:dyDescent="0.25">
      <c r="A145" s="30">
        <v>0.10152559799477026</v>
      </c>
      <c r="B145"/>
      <c r="C145"/>
      <c r="D145"/>
      <c r="E145"/>
      <c r="F145" s="27" t="s">
        <v>7</v>
      </c>
    </row>
    <row r="146" spans="1:78" x14ac:dyDescent="0.25">
      <c r="A146" s="30">
        <v>9.2295998177063854E-2</v>
      </c>
      <c r="B146"/>
      <c r="C146"/>
      <c r="D146"/>
      <c r="E146"/>
      <c r="F146" s="27" t="s">
        <v>7</v>
      </c>
    </row>
    <row r="147" spans="1:78" x14ac:dyDescent="0.25">
      <c r="A147" s="30">
        <v>8.3905452888239848E-2</v>
      </c>
      <c r="B147"/>
      <c r="C147"/>
      <c r="D147"/>
      <c r="E147"/>
      <c r="F147" s="27" t="s">
        <v>7</v>
      </c>
    </row>
    <row r="148" spans="1:78" x14ac:dyDescent="0.25">
      <c r="A148" s="30">
        <v>7.6277684443854396E-2</v>
      </c>
      <c r="B148"/>
      <c r="C148"/>
      <c r="D148"/>
      <c r="E148"/>
      <c r="F148" s="27" t="s">
        <v>7</v>
      </c>
    </row>
    <row r="149" spans="1:78" x14ac:dyDescent="0.25">
      <c r="A149" s="30">
        <v>6.9343349494413078E-2</v>
      </c>
      <c r="B149"/>
      <c r="C149"/>
      <c r="D149"/>
      <c r="E149"/>
      <c r="F149" s="27" t="s">
        <v>7</v>
      </c>
    </row>
    <row r="150" spans="1:78" x14ac:dyDescent="0.25">
      <c r="A150" s="30">
        <v>6.3039408631284613E-2</v>
      </c>
      <c r="B150"/>
      <c r="C150"/>
      <c r="D150"/>
      <c r="E150"/>
      <c r="F150" s="27" t="s">
        <v>7</v>
      </c>
      <c r="BU150" s="27" t="s">
        <v>8</v>
      </c>
    </row>
    <row r="151" spans="1:78" x14ac:dyDescent="0.25">
      <c r="A151" s="30">
        <v>5.7308553301167818E-2</v>
      </c>
      <c r="B151"/>
      <c r="C151"/>
      <c r="D151"/>
      <c r="E151"/>
      <c r="F151" s="27" t="s">
        <v>7</v>
      </c>
      <c r="BU151" s="27" t="s">
        <v>8</v>
      </c>
      <c r="BV151" s="27" t="s">
        <v>7</v>
      </c>
    </row>
    <row r="152" spans="1:78" x14ac:dyDescent="0.25">
      <c r="A152" s="30">
        <v>5.2098684819243464E-2</v>
      </c>
      <c r="B152"/>
      <c r="C152"/>
      <c r="D152"/>
      <c r="E152"/>
      <c r="F152" s="27" t="s">
        <v>7</v>
      </c>
      <c r="G152" s="27" t="s">
        <v>8</v>
      </c>
      <c r="BU152" s="27" t="s">
        <v>8</v>
      </c>
      <c r="BV152" s="27" t="s">
        <v>7</v>
      </c>
    </row>
    <row r="153" spans="1:78" x14ac:dyDescent="0.25">
      <c r="A153" s="30">
        <v>4.7362440744766775E-2</v>
      </c>
      <c r="B153"/>
      <c r="C153"/>
      <c r="D153"/>
      <c r="E153"/>
      <c r="F153" s="27" t="s">
        <v>7</v>
      </c>
      <c r="G153" s="27" t="s">
        <v>8</v>
      </c>
      <c r="H153" s="27" t="s">
        <v>7</v>
      </c>
      <c r="AU153" s="27" t="s">
        <v>8</v>
      </c>
      <c r="AW153" s="27" t="s">
        <v>8</v>
      </c>
      <c r="BU153" s="27" t="s">
        <v>8</v>
      </c>
      <c r="BV153" s="27" t="s">
        <v>7</v>
      </c>
    </row>
    <row r="154" spans="1:78" x14ac:dyDescent="0.25">
      <c r="A154" s="30">
        <v>4.3056764313424332E-2</v>
      </c>
      <c r="B154"/>
      <c r="C154"/>
      <c r="D154"/>
      <c r="E154"/>
      <c r="F154" s="27" t="s">
        <v>7</v>
      </c>
      <c r="G154" s="27" t="s">
        <v>8</v>
      </c>
      <c r="H154" s="27" t="s">
        <v>7</v>
      </c>
      <c r="AU154" s="27" t="s">
        <v>8</v>
      </c>
      <c r="AV154" s="27" t="s">
        <v>7</v>
      </c>
      <c r="AW154" s="27" t="s">
        <v>8</v>
      </c>
      <c r="AX154" s="27" t="s">
        <v>7</v>
      </c>
      <c r="BU154" s="27" t="s">
        <v>8</v>
      </c>
      <c r="BV154" s="27" t="s">
        <v>7</v>
      </c>
    </row>
    <row r="155" spans="1:78" x14ac:dyDescent="0.25">
      <c r="A155" s="30">
        <v>3.9142513012203929E-2</v>
      </c>
      <c r="B155"/>
      <c r="C155"/>
      <c r="D155"/>
      <c r="E155"/>
      <c r="F155" s="27" t="s">
        <v>7</v>
      </c>
      <c r="G155" s="27" t="s">
        <v>8</v>
      </c>
      <c r="H155" s="27" t="s">
        <v>7</v>
      </c>
      <c r="I155" s="27" t="s">
        <v>8</v>
      </c>
      <c r="AU155" s="27" t="s">
        <v>8</v>
      </c>
      <c r="AV155" s="27" t="s">
        <v>7</v>
      </c>
      <c r="AW155" s="27" t="s">
        <v>8</v>
      </c>
      <c r="AX155" s="27" t="s">
        <v>7</v>
      </c>
      <c r="AY155" s="27" t="s">
        <v>8</v>
      </c>
      <c r="BU155" s="27" t="s">
        <v>8</v>
      </c>
      <c r="BV155" s="27" t="s">
        <v>7</v>
      </c>
      <c r="BY155" s="27" t="s">
        <v>8</v>
      </c>
    </row>
    <row r="156" spans="1:78" x14ac:dyDescent="0.25">
      <c r="A156" s="30">
        <v>3.55841027383672E-2</v>
      </c>
      <c r="B156"/>
      <c r="C156"/>
      <c r="D156"/>
      <c r="E156"/>
      <c r="F156" s="27" t="s">
        <v>7</v>
      </c>
      <c r="G156" s="27" t="s">
        <v>8</v>
      </c>
      <c r="H156" s="27" t="s">
        <v>7</v>
      </c>
      <c r="I156" s="27" t="s">
        <v>8</v>
      </c>
      <c r="J156" s="27" t="s">
        <v>7</v>
      </c>
      <c r="AU156" s="27" t="s">
        <v>8</v>
      </c>
      <c r="AV156" s="27" t="s">
        <v>7</v>
      </c>
      <c r="AX156" s="27" t="s">
        <v>7</v>
      </c>
      <c r="AY156" s="27" t="s">
        <v>8</v>
      </c>
      <c r="AZ156" s="27" t="s">
        <v>7</v>
      </c>
      <c r="BU156" s="27" t="s">
        <v>8</v>
      </c>
      <c r="BV156" s="27" t="s">
        <v>7</v>
      </c>
      <c r="BY156" s="27" t="s">
        <v>8</v>
      </c>
      <c r="BZ156" s="27" t="s">
        <v>7</v>
      </c>
    </row>
    <row r="157" spans="1:78" x14ac:dyDescent="0.25">
      <c r="A157" s="30">
        <v>3.2349184307606541E-2</v>
      </c>
      <c r="B157"/>
      <c r="C157"/>
      <c r="D157"/>
      <c r="E157"/>
      <c r="F157" s="27" t="s">
        <v>7</v>
      </c>
      <c r="G157" s="27" t="s">
        <v>8</v>
      </c>
      <c r="H157" s="27" t="s">
        <v>7</v>
      </c>
      <c r="I157" s="27" t="s">
        <v>8</v>
      </c>
      <c r="J157" s="27" t="s">
        <v>7</v>
      </c>
      <c r="AU157" s="27" t="s">
        <v>8</v>
      </c>
      <c r="AX157" s="27" t="s">
        <v>7</v>
      </c>
      <c r="AY157" s="27" t="s">
        <v>8</v>
      </c>
      <c r="AZ157" s="27" t="s">
        <v>7</v>
      </c>
      <c r="BU157" s="27" t="s">
        <v>8</v>
      </c>
      <c r="BV157" s="27" t="s">
        <v>7</v>
      </c>
      <c r="BW157" s="27" t="s">
        <v>8</v>
      </c>
      <c r="BY157" s="27" t="s">
        <v>8</v>
      </c>
      <c r="BZ157" s="27" t="s">
        <v>7</v>
      </c>
    </row>
    <row r="158" spans="1:78" x14ac:dyDescent="0.25">
      <c r="A158" s="30">
        <v>2.9408349370551395E-2</v>
      </c>
      <c r="B158"/>
      <c r="C158"/>
      <c r="D158"/>
      <c r="E158"/>
      <c r="F158" s="27" t="s">
        <v>7</v>
      </c>
      <c r="G158" s="27" t="s">
        <v>8</v>
      </c>
      <c r="H158" s="27" t="s">
        <v>7</v>
      </c>
      <c r="I158" s="27" t="s">
        <v>8</v>
      </c>
      <c r="J158" s="27" t="s">
        <v>7</v>
      </c>
      <c r="AU158" s="27" t="s">
        <v>8</v>
      </c>
      <c r="AX158" s="27" t="s">
        <v>7</v>
      </c>
      <c r="AY158" s="27" t="s">
        <v>8</v>
      </c>
      <c r="AZ158" s="27" t="s">
        <v>7</v>
      </c>
      <c r="BK158" s="27" t="s">
        <v>8</v>
      </c>
      <c r="BM158" s="27" t="s">
        <v>8</v>
      </c>
      <c r="BQ158" s="27" t="s">
        <v>8</v>
      </c>
      <c r="BU158" s="27" t="s">
        <v>8</v>
      </c>
      <c r="BV158" s="27" t="s">
        <v>7</v>
      </c>
      <c r="BW158" s="27" t="s">
        <v>8</v>
      </c>
      <c r="BX158" s="27" t="s">
        <v>7</v>
      </c>
      <c r="BY158" s="27" t="s">
        <v>8</v>
      </c>
      <c r="BZ158" s="27" t="s">
        <v>7</v>
      </c>
    </row>
    <row r="159" spans="1:78" x14ac:dyDescent="0.25">
      <c r="A159" s="30">
        <v>2.6734863064137627E-2</v>
      </c>
      <c r="B159"/>
      <c r="C159"/>
      <c r="D159"/>
      <c r="E159"/>
      <c r="F159" s="27" t="s">
        <v>7</v>
      </c>
      <c r="G159" s="27" t="s">
        <v>8</v>
      </c>
      <c r="H159" s="27" t="s">
        <v>7</v>
      </c>
      <c r="I159" s="27" t="s">
        <v>8</v>
      </c>
      <c r="J159" s="27" t="s">
        <v>7</v>
      </c>
      <c r="AU159" s="27" t="s">
        <v>8</v>
      </c>
      <c r="AX159" s="27" t="s">
        <v>7</v>
      </c>
      <c r="AY159" s="27" t="s">
        <v>8</v>
      </c>
      <c r="AZ159" s="27" t="s">
        <v>7</v>
      </c>
      <c r="BK159" s="27" t="s">
        <v>8</v>
      </c>
      <c r="BL159" s="27" t="s">
        <v>7</v>
      </c>
      <c r="BM159" s="27" t="s">
        <v>8</v>
      </c>
      <c r="BN159" s="27" t="s">
        <v>7</v>
      </c>
      <c r="BQ159" s="27" t="s">
        <v>8</v>
      </c>
      <c r="BR159" s="27" t="s">
        <v>7</v>
      </c>
      <c r="BS159" s="27" t="s">
        <v>8</v>
      </c>
      <c r="BU159" s="27" t="s">
        <v>8</v>
      </c>
      <c r="BV159" s="27" t="s">
        <v>7</v>
      </c>
      <c r="BW159" s="27" t="s">
        <v>8</v>
      </c>
      <c r="BX159" s="27" t="s">
        <v>7</v>
      </c>
      <c r="BY159" s="27" t="s">
        <v>8</v>
      </c>
      <c r="BZ159" s="27" t="s">
        <v>7</v>
      </c>
    </row>
    <row r="160" spans="1:78" x14ac:dyDescent="0.25">
      <c r="A160" s="30">
        <v>2.4304420967397839E-2</v>
      </c>
      <c r="B160"/>
      <c r="C160"/>
      <c r="D160"/>
      <c r="E160"/>
      <c r="F160" s="27" t="s">
        <v>7</v>
      </c>
      <c r="G160" s="27" t="s">
        <v>8</v>
      </c>
      <c r="H160" s="27" t="s">
        <v>7</v>
      </c>
      <c r="J160" s="27" t="s">
        <v>7</v>
      </c>
      <c r="AU160" s="27" t="s">
        <v>8</v>
      </c>
      <c r="AX160" s="27" t="s">
        <v>7</v>
      </c>
      <c r="AY160" s="27" t="s">
        <v>8</v>
      </c>
      <c r="AZ160" s="27" t="s">
        <v>7</v>
      </c>
      <c r="BK160" s="27" t="s">
        <v>8</v>
      </c>
      <c r="BL160" s="27" t="s">
        <v>7</v>
      </c>
      <c r="BM160" s="27" t="s">
        <v>8</v>
      </c>
      <c r="BN160" s="27" t="s">
        <v>7</v>
      </c>
      <c r="BO160" s="27" t="s">
        <v>8</v>
      </c>
      <c r="BQ160" s="27" t="s">
        <v>8</v>
      </c>
      <c r="BR160" s="27" t="s">
        <v>7</v>
      </c>
      <c r="BS160" s="27" t="s">
        <v>8</v>
      </c>
      <c r="BT160" s="27" t="s">
        <v>7</v>
      </c>
      <c r="BU160" s="27" t="s">
        <v>8</v>
      </c>
      <c r="BV160" s="27" t="s">
        <v>7</v>
      </c>
      <c r="BX160" s="27" t="s">
        <v>7</v>
      </c>
      <c r="BY160" s="27" t="s">
        <v>8</v>
      </c>
      <c r="BZ160" s="27" t="s">
        <v>7</v>
      </c>
    </row>
    <row r="161" spans="1:78" x14ac:dyDescent="0.25">
      <c r="A161" s="30">
        <v>2.2094928152179852E-2</v>
      </c>
      <c r="B161"/>
      <c r="C161"/>
      <c r="D161"/>
      <c r="E161"/>
      <c r="F161" s="27" t="s">
        <v>7</v>
      </c>
      <c r="G161" s="27" t="s">
        <v>8</v>
      </c>
      <c r="J161" s="27" t="s">
        <v>7</v>
      </c>
      <c r="AU161" s="27" t="s">
        <v>8</v>
      </c>
      <c r="AX161" s="27" t="s">
        <v>7</v>
      </c>
      <c r="AZ161" s="27" t="s">
        <v>7</v>
      </c>
      <c r="BG161" s="27" t="s">
        <v>8</v>
      </c>
      <c r="BK161" s="27" t="s">
        <v>8</v>
      </c>
      <c r="BL161" s="27" t="s">
        <v>7</v>
      </c>
      <c r="BN161" s="27" t="s">
        <v>7</v>
      </c>
      <c r="BO161" s="27" t="s">
        <v>8</v>
      </c>
      <c r="BP161" s="27" t="s">
        <v>7</v>
      </c>
      <c r="BQ161" s="27" t="s">
        <v>8</v>
      </c>
      <c r="BR161" s="27" t="s">
        <v>7</v>
      </c>
      <c r="BS161" s="27" t="s">
        <v>8</v>
      </c>
      <c r="BT161" s="27" t="s">
        <v>7</v>
      </c>
      <c r="BU161" s="27" t="s">
        <v>8</v>
      </c>
      <c r="BX161" s="27" t="s">
        <v>7</v>
      </c>
      <c r="BZ161" s="27" t="s">
        <v>7</v>
      </c>
    </row>
    <row r="162" spans="1:78" x14ac:dyDescent="0.25">
      <c r="A162" s="30">
        <v>2.0086298320163499E-2</v>
      </c>
      <c r="B162"/>
      <c r="C162"/>
      <c r="D162"/>
      <c r="E162"/>
      <c r="F162" s="27" t="s">
        <v>7</v>
      </c>
      <c r="G162" s="27" t="s">
        <v>8</v>
      </c>
      <c r="J162" s="27" t="s">
        <v>7</v>
      </c>
      <c r="K162" s="27" t="s">
        <v>8</v>
      </c>
      <c r="AQ162" s="27" t="s">
        <v>8</v>
      </c>
      <c r="AU162" s="27" t="s">
        <v>8</v>
      </c>
      <c r="AZ162" s="27" t="s">
        <v>7</v>
      </c>
      <c r="BG162" s="27" t="s">
        <v>8</v>
      </c>
      <c r="BH162" s="27" t="s">
        <v>7</v>
      </c>
      <c r="BK162" s="27" t="s">
        <v>8</v>
      </c>
      <c r="BN162" s="27" t="s">
        <v>7</v>
      </c>
      <c r="BO162" s="27" t="s">
        <v>8</v>
      </c>
      <c r="BP162" s="27" t="s">
        <v>7</v>
      </c>
      <c r="BQ162" s="27" t="s">
        <v>8</v>
      </c>
      <c r="BR162" s="27" t="s">
        <v>7</v>
      </c>
      <c r="BT162" s="27" t="s">
        <v>7</v>
      </c>
      <c r="BZ162" s="27" t="s">
        <v>7</v>
      </c>
    </row>
    <row r="163" spans="1:78" x14ac:dyDescent="0.25">
      <c r="A163" s="30">
        <v>1.8260271200148632E-2</v>
      </c>
      <c r="B163"/>
      <c r="C163"/>
      <c r="D163"/>
      <c r="E163"/>
      <c r="F163" s="27" t="s">
        <v>7</v>
      </c>
      <c r="J163" s="27" t="s">
        <v>7</v>
      </c>
      <c r="K163" s="27" t="s">
        <v>8</v>
      </c>
      <c r="L163" s="27" t="s">
        <v>7</v>
      </c>
      <c r="AQ163" s="27" t="s">
        <v>8</v>
      </c>
      <c r="AR163" s="27" t="s">
        <v>7</v>
      </c>
      <c r="AU163" s="27" t="s">
        <v>8</v>
      </c>
      <c r="AZ163" s="27" t="s">
        <v>7</v>
      </c>
      <c r="BA163" s="27" t="s">
        <v>8</v>
      </c>
      <c r="BE163" s="27" t="s">
        <v>8</v>
      </c>
      <c r="BG163" s="27" t="s">
        <v>8</v>
      </c>
      <c r="BH163" s="27" t="s">
        <v>7</v>
      </c>
      <c r="BK163" s="27" t="s">
        <v>8</v>
      </c>
      <c r="BN163" s="27" t="s">
        <v>7</v>
      </c>
      <c r="BO163" s="27" t="s">
        <v>8</v>
      </c>
      <c r="BP163" s="27" t="s">
        <v>7</v>
      </c>
      <c r="BZ163" s="27" t="s">
        <v>7</v>
      </c>
    </row>
    <row r="164" spans="1:78" x14ac:dyDescent="0.25">
      <c r="A164" s="30">
        <v>1.6600246545589663E-2</v>
      </c>
      <c r="B164"/>
      <c r="C164"/>
      <c r="D164"/>
      <c r="E164"/>
      <c r="J164" s="27" t="s">
        <v>7</v>
      </c>
      <c r="K164" s="27" t="s">
        <v>8</v>
      </c>
      <c r="L164" s="27" t="s">
        <v>7</v>
      </c>
      <c r="AQ164" s="27" t="s">
        <v>8</v>
      </c>
      <c r="AR164" s="27" t="s">
        <v>7</v>
      </c>
      <c r="AS164" s="27" t="s">
        <v>8</v>
      </c>
      <c r="AU164" s="27" t="s">
        <v>8</v>
      </c>
      <c r="AZ164" s="27" t="s">
        <v>7</v>
      </c>
      <c r="BA164" s="27" t="s">
        <v>8</v>
      </c>
      <c r="BB164" s="27" t="s">
        <v>7</v>
      </c>
      <c r="BC164" s="27" t="s">
        <v>8</v>
      </c>
      <c r="BE164" s="27" t="s">
        <v>8</v>
      </c>
      <c r="BF164" s="27" t="s">
        <v>7</v>
      </c>
      <c r="BG164" s="27" t="s">
        <v>8</v>
      </c>
      <c r="BH164" s="27" t="s">
        <v>7</v>
      </c>
      <c r="BI164" s="27" t="s">
        <v>8</v>
      </c>
      <c r="BK164" s="27" t="s">
        <v>8</v>
      </c>
      <c r="BN164" s="27" t="s">
        <v>7</v>
      </c>
      <c r="BZ164" s="27" t="s">
        <v>7</v>
      </c>
    </row>
    <row r="165" spans="1:78" x14ac:dyDescent="0.25">
      <c r="A165" s="30">
        <v>1.5091133223263328E-2</v>
      </c>
      <c r="B165"/>
      <c r="C165"/>
      <c r="D165"/>
      <c r="E165"/>
      <c r="J165" s="27" t="s">
        <v>7</v>
      </c>
      <c r="L165" s="27" t="s">
        <v>7</v>
      </c>
      <c r="AQ165" s="27" t="s">
        <v>8</v>
      </c>
      <c r="AR165" s="27" t="s">
        <v>7</v>
      </c>
      <c r="AS165" s="27" t="s">
        <v>8</v>
      </c>
      <c r="AT165" s="27" t="s">
        <v>7</v>
      </c>
      <c r="AU165" s="27" t="s">
        <v>8</v>
      </c>
      <c r="AZ165" s="27" t="s">
        <v>7</v>
      </c>
      <c r="BA165" s="27" t="s">
        <v>8</v>
      </c>
      <c r="BB165" s="27" t="s">
        <v>7</v>
      </c>
      <c r="BC165" s="27" t="s">
        <v>8</v>
      </c>
      <c r="BD165" s="27" t="s">
        <v>7</v>
      </c>
      <c r="BE165" s="27" t="s">
        <v>8</v>
      </c>
      <c r="BF165" s="27" t="s">
        <v>7</v>
      </c>
      <c r="BG165" s="27" t="s">
        <v>8</v>
      </c>
      <c r="BH165" s="27" t="s">
        <v>7</v>
      </c>
      <c r="BI165" s="27" t="s">
        <v>8</v>
      </c>
      <c r="BJ165" s="27" t="s">
        <v>7</v>
      </c>
      <c r="BK165" s="27" t="s">
        <v>8</v>
      </c>
      <c r="BZ165" s="27" t="s">
        <v>7</v>
      </c>
    </row>
    <row r="166" spans="1:78" x14ac:dyDescent="0.25">
      <c r="A166" s="30">
        <v>1.3719212021148477E-2</v>
      </c>
      <c r="B166"/>
      <c r="C166"/>
      <c r="D166"/>
      <c r="E166"/>
      <c r="L166" s="27" t="s">
        <v>7</v>
      </c>
      <c r="AQ166" s="27" t="s">
        <v>8</v>
      </c>
      <c r="AR166" s="27" t="s">
        <v>7</v>
      </c>
      <c r="AS166" s="27" t="s">
        <v>8</v>
      </c>
      <c r="AT166" s="27" t="s">
        <v>7</v>
      </c>
      <c r="AU166" s="27" t="s">
        <v>8</v>
      </c>
      <c r="AZ166" s="27" t="s">
        <v>7</v>
      </c>
      <c r="BB166" s="27" t="s">
        <v>7</v>
      </c>
      <c r="BC166" s="27" t="s">
        <v>8</v>
      </c>
      <c r="BD166" s="27" t="s">
        <v>7</v>
      </c>
      <c r="BE166" s="27" t="s">
        <v>8</v>
      </c>
      <c r="BF166" s="27" t="s">
        <v>7</v>
      </c>
      <c r="BH166" s="27" t="s">
        <v>7</v>
      </c>
      <c r="BI166" s="27" t="s">
        <v>8</v>
      </c>
      <c r="BJ166" s="27" t="s">
        <v>7</v>
      </c>
      <c r="BK166" s="27" t="s">
        <v>8</v>
      </c>
      <c r="BZ166" s="27" t="s">
        <v>7</v>
      </c>
    </row>
    <row r="167" spans="1:78" x14ac:dyDescent="0.25">
      <c r="A167" s="30">
        <v>1.2472010928316795E-2</v>
      </c>
      <c r="B167"/>
      <c r="C167"/>
      <c r="D167"/>
      <c r="E167"/>
      <c r="L167" s="27" t="s">
        <v>7</v>
      </c>
      <c r="O167" s="27" t="s">
        <v>8</v>
      </c>
      <c r="AQ167" s="27" t="s">
        <v>8</v>
      </c>
      <c r="AR167" s="27" t="s">
        <v>7</v>
      </c>
      <c r="AT167" s="27" t="s">
        <v>7</v>
      </c>
      <c r="BB167" s="27" t="s">
        <v>7</v>
      </c>
      <c r="BC167" s="27" t="s">
        <v>8</v>
      </c>
      <c r="BD167" s="27" t="s">
        <v>7</v>
      </c>
      <c r="BH167" s="27" t="s">
        <v>7</v>
      </c>
      <c r="BI167" s="27" t="s">
        <v>8</v>
      </c>
      <c r="BJ167" s="27" t="s">
        <v>7</v>
      </c>
      <c r="BK167" s="27" t="s">
        <v>8</v>
      </c>
    </row>
    <row r="168" spans="1:78" x14ac:dyDescent="0.25">
      <c r="A168" s="30">
        <v>1.1338191753015267E-2</v>
      </c>
      <c r="B168"/>
      <c r="C168"/>
      <c r="D168"/>
      <c r="E168"/>
      <c r="L168" s="27" t="s">
        <v>7</v>
      </c>
      <c r="M168" s="27" t="s">
        <v>8</v>
      </c>
      <c r="O168" s="27" t="s">
        <v>8</v>
      </c>
      <c r="P168" s="27" t="s">
        <v>7</v>
      </c>
      <c r="Q168" s="27" t="s">
        <v>8</v>
      </c>
      <c r="Y168" s="27" t="s">
        <v>8</v>
      </c>
      <c r="AA168" s="27" t="s">
        <v>8</v>
      </c>
      <c r="AO168" s="27" t="s">
        <v>8</v>
      </c>
      <c r="AQ168" s="27" t="s">
        <v>8</v>
      </c>
      <c r="BB168" s="27" t="s">
        <v>7</v>
      </c>
      <c r="BC168" s="27" t="s">
        <v>8</v>
      </c>
      <c r="BH168" s="27" t="s">
        <v>7</v>
      </c>
      <c r="BI168" s="27" t="s">
        <v>8</v>
      </c>
      <c r="BJ168" s="18" t="s">
        <v>7</v>
      </c>
      <c r="BK168" s="27" t="s">
        <v>8</v>
      </c>
    </row>
    <row r="169" spans="1:78" x14ac:dyDescent="0.25">
      <c r="A169" s="30">
        <v>1.0307447048195697E-2</v>
      </c>
      <c r="B169"/>
      <c r="C169"/>
      <c r="D169"/>
      <c r="E169"/>
      <c r="L169" s="27" t="s">
        <v>7</v>
      </c>
      <c r="M169" s="27" t="s">
        <v>8</v>
      </c>
      <c r="N169" s="27" t="s">
        <v>7</v>
      </c>
      <c r="O169" s="27" t="s">
        <v>8</v>
      </c>
      <c r="P169" s="27" t="s">
        <v>7</v>
      </c>
      <c r="Q169" s="27" t="s">
        <v>8</v>
      </c>
      <c r="R169" s="27" t="s">
        <v>7</v>
      </c>
      <c r="Y169" s="27" t="s">
        <v>8</v>
      </c>
      <c r="Z169" s="27" t="s">
        <v>7</v>
      </c>
      <c r="AA169" s="27" t="s">
        <v>8</v>
      </c>
      <c r="AB169" s="27" t="s">
        <v>7</v>
      </c>
      <c r="AC169" s="27" t="s">
        <v>8</v>
      </c>
      <c r="AE169" s="27" t="s">
        <v>8</v>
      </c>
      <c r="AO169" s="27" t="s">
        <v>8</v>
      </c>
      <c r="AP169" s="27" t="s">
        <v>7</v>
      </c>
      <c r="AQ169" s="27" t="s">
        <v>8</v>
      </c>
      <c r="BB169" s="27" t="s">
        <v>7</v>
      </c>
      <c r="BH169" s="27" t="s">
        <v>7</v>
      </c>
      <c r="BI169" s="27" t="s">
        <v>8</v>
      </c>
      <c r="BJ169" s="27" t="s">
        <v>7</v>
      </c>
    </row>
    <row r="170" spans="1:78" x14ac:dyDescent="0.25">
      <c r="A170" s="30">
        <v>9.3704064074506318E-3</v>
      </c>
      <c r="B170"/>
      <c r="C170"/>
      <c r="D170"/>
      <c r="E170"/>
      <c r="L170" s="27" t="s">
        <v>7</v>
      </c>
      <c r="M170" s="27" t="s">
        <v>8</v>
      </c>
      <c r="N170" s="27" t="s">
        <v>7</v>
      </c>
      <c r="O170" s="27" t="s">
        <v>8</v>
      </c>
      <c r="P170" s="27" t="s">
        <v>7</v>
      </c>
      <c r="Q170" s="27" t="s">
        <v>8</v>
      </c>
      <c r="R170" s="27" t="s">
        <v>7</v>
      </c>
      <c r="Y170" s="27" t="s">
        <v>8</v>
      </c>
      <c r="Z170" s="27" t="s">
        <v>7</v>
      </c>
      <c r="AA170" s="27" t="s">
        <v>8</v>
      </c>
      <c r="AB170" s="27" t="s">
        <v>7</v>
      </c>
      <c r="AC170" s="27" t="s">
        <v>8</v>
      </c>
      <c r="AD170" s="27" t="s">
        <v>7</v>
      </c>
      <c r="AE170" s="27" t="s">
        <v>8</v>
      </c>
      <c r="AF170" s="27" t="s">
        <v>7</v>
      </c>
      <c r="AO170" s="27" t="s">
        <v>8</v>
      </c>
      <c r="AP170" s="27" t="s">
        <v>7</v>
      </c>
      <c r="AQ170" s="27" t="s">
        <v>8</v>
      </c>
      <c r="BH170" s="27" t="s">
        <v>7</v>
      </c>
    </row>
    <row r="171" spans="1:78" x14ac:dyDescent="0.25">
      <c r="A171" s="30">
        <v>8.5185512795005747E-3</v>
      </c>
      <c r="L171" s="27" t="s">
        <v>7</v>
      </c>
      <c r="M171" s="27" t="s">
        <v>8</v>
      </c>
      <c r="N171" s="27" t="s">
        <v>7</v>
      </c>
      <c r="P171" s="27" t="s">
        <v>7</v>
      </c>
      <c r="Q171" s="27" t="s">
        <v>8</v>
      </c>
      <c r="R171" s="27" t="s">
        <v>7</v>
      </c>
      <c r="Y171" s="27" t="s">
        <v>8</v>
      </c>
      <c r="Z171" s="27" t="s">
        <v>7</v>
      </c>
      <c r="AB171" s="27" t="s">
        <v>7</v>
      </c>
      <c r="AC171" s="27" t="s">
        <v>8</v>
      </c>
      <c r="AD171" s="27" t="s">
        <v>7</v>
      </c>
      <c r="AE171" s="27" t="s">
        <v>8</v>
      </c>
      <c r="AF171" s="27" t="s">
        <v>7</v>
      </c>
      <c r="AG171" s="27" t="s">
        <v>8</v>
      </c>
      <c r="AM171" s="27" t="s">
        <v>8</v>
      </c>
      <c r="AO171" s="27" t="s">
        <v>8</v>
      </c>
      <c r="AP171" s="27" t="s">
        <v>7</v>
      </c>
      <c r="AQ171" s="27" t="s">
        <v>8</v>
      </c>
    </row>
    <row r="172" spans="1:78" x14ac:dyDescent="0.25">
      <c r="A172" s="30">
        <v>7.744137526818704E-3</v>
      </c>
      <c r="L172" s="27" t="s">
        <v>7</v>
      </c>
      <c r="M172" s="27" t="s">
        <v>8</v>
      </c>
      <c r="P172" s="27" t="s">
        <v>7</v>
      </c>
      <c r="R172" s="27" t="s">
        <v>7</v>
      </c>
      <c r="W172" s="27" t="s">
        <v>8</v>
      </c>
      <c r="Y172" s="27" t="s">
        <v>8</v>
      </c>
      <c r="AB172" s="27" t="s">
        <v>7</v>
      </c>
      <c r="AD172" s="27" t="s">
        <v>7</v>
      </c>
      <c r="AF172" s="27" t="s">
        <v>7</v>
      </c>
      <c r="AG172" s="27" t="s">
        <v>8</v>
      </c>
      <c r="AH172" s="27" t="s">
        <v>7</v>
      </c>
      <c r="AI172" s="27" t="s">
        <v>8</v>
      </c>
      <c r="AK172" s="27" t="s">
        <v>8</v>
      </c>
      <c r="AM172" s="27" t="s">
        <v>8</v>
      </c>
      <c r="AN172" s="27" t="s">
        <v>7</v>
      </c>
      <c r="AO172" s="27" t="s">
        <v>8</v>
      </c>
      <c r="AP172" s="27" t="s">
        <v>7</v>
      </c>
    </row>
    <row r="173" spans="1:78" x14ac:dyDescent="0.25">
      <c r="A173" s="30">
        <v>7.0401250243806394E-3</v>
      </c>
      <c r="L173" s="27" t="s">
        <v>7</v>
      </c>
      <c r="R173" s="27" t="s">
        <v>7</v>
      </c>
      <c r="W173" s="27" t="s">
        <v>8</v>
      </c>
      <c r="X173" s="27" t="s">
        <v>7</v>
      </c>
      <c r="Y173" s="27" t="s">
        <v>8</v>
      </c>
      <c r="AF173" s="27" t="s">
        <v>7</v>
      </c>
      <c r="AG173" s="27" t="s">
        <v>8</v>
      </c>
      <c r="AH173" s="27" t="s">
        <v>7</v>
      </c>
      <c r="AI173" s="27" t="s">
        <v>8</v>
      </c>
      <c r="AJ173" s="27" t="s">
        <v>7</v>
      </c>
      <c r="AK173" s="27" t="s">
        <v>8</v>
      </c>
      <c r="AL173" s="27" t="s">
        <v>7</v>
      </c>
      <c r="AM173" s="27" t="s">
        <v>8</v>
      </c>
      <c r="AN173" s="27" t="s">
        <v>7</v>
      </c>
      <c r="AO173" s="27" t="s">
        <v>8</v>
      </c>
    </row>
    <row r="174" spans="1:78" x14ac:dyDescent="0.25">
      <c r="A174" s="30">
        <v>6.4001136585278536E-3</v>
      </c>
      <c r="R174" s="27" t="s">
        <v>7</v>
      </c>
      <c r="U174" s="27" t="s">
        <v>8</v>
      </c>
      <c r="W174" s="27" t="s">
        <v>8</v>
      </c>
      <c r="X174" s="27" t="s">
        <v>7</v>
      </c>
      <c r="Y174" s="27" t="s">
        <v>8</v>
      </c>
      <c r="AF174" s="27" t="s">
        <v>7</v>
      </c>
      <c r="AH174" s="27" t="s">
        <v>7</v>
      </c>
      <c r="AI174" s="27" t="s">
        <v>8</v>
      </c>
      <c r="AJ174" s="27" t="s">
        <v>7</v>
      </c>
      <c r="AK174" s="27" t="s">
        <v>8</v>
      </c>
      <c r="AL174" s="27" t="s">
        <v>7</v>
      </c>
      <c r="AM174" s="27" t="s">
        <v>8</v>
      </c>
      <c r="AN174" s="27" t="s">
        <v>7</v>
      </c>
    </row>
    <row r="175" spans="1:78" x14ac:dyDescent="0.25">
      <c r="A175" s="30">
        <v>5.8182851441162305E-3</v>
      </c>
      <c r="R175" s="27" t="s">
        <v>7</v>
      </c>
      <c r="S175" s="27" t="s">
        <v>8</v>
      </c>
      <c r="U175" s="27" t="s">
        <v>8</v>
      </c>
      <c r="V175" s="27" t="s">
        <v>7</v>
      </c>
      <c r="W175" s="27" t="s">
        <v>8</v>
      </c>
      <c r="X175" s="27" t="s">
        <v>7</v>
      </c>
      <c r="AH175" s="27" t="s">
        <v>7</v>
      </c>
      <c r="AI175" s="27" t="s">
        <v>8</v>
      </c>
      <c r="AJ175" s="27" t="s">
        <v>7</v>
      </c>
      <c r="AL175" s="27" t="s">
        <v>7</v>
      </c>
    </row>
    <row r="176" spans="1:78" x14ac:dyDescent="0.25">
      <c r="A176" s="30">
        <v>5.2893501310147546E-3</v>
      </c>
      <c r="R176" s="27" t="s">
        <v>7</v>
      </c>
      <c r="S176" s="27" t="s">
        <v>8</v>
      </c>
      <c r="T176" s="27" t="s">
        <v>7</v>
      </c>
      <c r="U176" s="27" t="s">
        <v>8</v>
      </c>
      <c r="V176" s="27" t="s">
        <v>7</v>
      </c>
      <c r="W176" s="27" t="s">
        <v>8</v>
      </c>
      <c r="AH176" s="27" t="s">
        <v>7</v>
      </c>
    </row>
    <row r="177" spans="1:22" x14ac:dyDescent="0.25">
      <c r="A177" s="30">
        <v>4.8085001191043222E-3</v>
      </c>
      <c r="R177" s="27" t="s">
        <v>7</v>
      </c>
      <c r="S177" s="27" t="s">
        <v>8</v>
      </c>
      <c r="T177" s="27" t="s">
        <v>7</v>
      </c>
      <c r="U177" s="27" t="s">
        <v>8</v>
      </c>
      <c r="V177" s="27" t="s">
        <v>7</v>
      </c>
    </row>
    <row r="178" spans="1:22" x14ac:dyDescent="0.25">
      <c r="A178" s="30">
        <v>4.3713637446402926E-3</v>
      </c>
      <c r="R178" s="27" t="s">
        <v>7</v>
      </c>
      <c r="S178" s="27" t="s">
        <v>8</v>
      </c>
      <c r="T178" s="27" t="s">
        <v>7</v>
      </c>
    </row>
    <row r="179" spans="1:22" x14ac:dyDescent="0.25">
      <c r="A179" s="30">
        <v>3.9739670405820838E-3</v>
      </c>
      <c r="R179" s="27" t="s">
        <v>7</v>
      </c>
      <c r="S179" s="27" t="s">
        <v>8</v>
      </c>
    </row>
    <row r="180" spans="1:22" x14ac:dyDescent="0.25">
      <c r="A180" s="30">
        <v>3.6126973096200759E-3</v>
      </c>
      <c r="R180" s="27" t="s">
        <v>7</v>
      </c>
    </row>
    <row r="181" spans="1:22" x14ac:dyDescent="0.25">
      <c r="A181" s="30">
        <v>3.2842702814727962E-3</v>
      </c>
    </row>
    <row r="182" spans="1:22" x14ac:dyDescent="0.25">
      <c r="A182" s="30">
        <v>2.9857002558843601E-3</v>
      </c>
    </row>
    <row r="183" spans="1:22" x14ac:dyDescent="0.25">
      <c r="A183" s="30">
        <v>2.7142729598948726E-3</v>
      </c>
    </row>
    <row r="184" spans="1:22" x14ac:dyDescent="0.25">
      <c r="A184" s="30">
        <v>2.4675208726317021E-3</v>
      </c>
    </row>
    <row r="185" spans="1:22" x14ac:dyDescent="0.25">
      <c r="A185" s="30">
        <v>2.2432007933015472E-3</v>
      </c>
    </row>
    <row r="186" spans="1:22" x14ac:dyDescent="0.25">
      <c r="A186" s="30">
        <v>2.0392734484559519E-3</v>
      </c>
    </row>
    <row r="187" spans="1:22" x14ac:dyDescent="0.25">
      <c r="A187" s="30">
        <v>1.8538849531417744E-3</v>
      </c>
    </row>
    <row r="188" spans="1:22" x14ac:dyDescent="0.25">
      <c r="A188" s="30">
        <v>1.6853499574016129E-3</v>
      </c>
    </row>
    <row r="189" spans="1:22" x14ac:dyDescent="0.25">
      <c r="A189" s="30">
        <v>1.5321363249105571E-3</v>
      </c>
    </row>
    <row r="190" spans="1:22" x14ac:dyDescent="0.25">
      <c r="A190" s="30">
        <v>1.3928512044641427E-3</v>
      </c>
    </row>
    <row r="191" spans="1:22" x14ac:dyDescent="0.25">
      <c r="A191" s="30">
        <v>1.2662283676946752E-3</v>
      </c>
    </row>
    <row r="192" spans="1:22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1313" operator="equal">
      <formula>$U$1</formula>
    </cfRule>
    <cfRule type="cellIs" dxfId="30" priority="1314" operator="equal">
      <formula>$S$1</formula>
    </cfRule>
  </conditionalFormatting>
  <conditionalFormatting sqref="D136">
    <cfRule type="cellIs" dxfId="29" priority="1311" operator="equal">
      <formula>$S$1</formula>
    </cfRule>
    <cfRule type="cellIs" dxfId="28" priority="1312" operator="equal">
      <formula>$U$1</formula>
    </cfRule>
  </conditionalFormatting>
  <conditionalFormatting sqref="C102">
    <cfRule type="cellIs" dxfId="27" priority="1309" operator="equal">
      <formula>$U$1</formula>
    </cfRule>
    <cfRule type="cellIs" dxfId="26" priority="1310" operator="equal">
      <formula>$S$1</formula>
    </cfRule>
  </conditionalFormatting>
  <conditionalFormatting sqref="D102">
    <cfRule type="cellIs" dxfId="25" priority="1307" operator="equal">
      <formula>$S$1</formula>
    </cfRule>
    <cfRule type="cellIs" dxfId="24" priority="1308" operator="equal">
      <formula>$U$1</formula>
    </cfRule>
  </conditionalFormatting>
  <conditionalFormatting sqref="C77">
    <cfRule type="cellIs" dxfId="23" priority="1305" operator="equal">
      <formula>$U$1</formula>
    </cfRule>
    <cfRule type="cellIs" dxfId="22" priority="1306" operator="equal">
      <formula>$S$1</formula>
    </cfRule>
  </conditionalFormatting>
  <conditionalFormatting sqref="D77">
    <cfRule type="cellIs" dxfId="21" priority="1303" operator="equal">
      <formula>$S$1</formula>
    </cfRule>
    <cfRule type="cellIs" dxfId="20" priority="1304" operator="equal">
      <formula>$U$1</formula>
    </cfRule>
  </conditionalFormatting>
  <conditionalFormatting sqref="C52">
    <cfRule type="cellIs" dxfId="19" priority="1301" operator="equal">
      <formula>$U$1</formula>
    </cfRule>
    <cfRule type="cellIs" dxfId="18" priority="1302" operator="equal">
      <formula>$S$1</formula>
    </cfRule>
  </conditionalFormatting>
  <conditionalFormatting sqref="D52">
    <cfRule type="cellIs" dxfId="17" priority="1299" operator="equal">
      <formula>$S$1</formula>
    </cfRule>
    <cfRule type="cellIs" dxfId="16" priority="1300" operator="equal">
      <formula>$U$1</formula>
    </cfRule>
  </conditionalFormatting>
  <conditionalFormatting sqref="C26">
    <cfRule type="cellIs" dxfId="15" priority="1297" operator="equal">
      <formula>$U$1</formula>
    </cfRule>
    <cfRule type="cellIs" dxfId="14" priority="1298" operator="equal">
      <formula>$S$1</formula>
    </cfRule>
  </conditionalFormatting>
  <conditionalFormatting sqref="D26">
    <cfRule type="cellIs" dxfId="13" priority="1295" operator="equal">
      <formula>$S$1</formula>
    </cfRule>
    <cfRule type="cellIs" dxfId="12" priority="1296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1" t="s">
        <v>17</v>
      </c>
      <c r="C1" s="31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2022-01-28T01:15:09Z</dcterms:modified>
</cp:coreProperties>
</file>