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9D895EA-C79F-49A1-81E9-47EA489CCEA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C136" i="4" s="1"/>
  <c r="C116" i="4"/>
  <c r="R765" i="1"/>
  <c r="S765" i="1" s="1"/>
  <c r="T765" i="1" s="1"/>
  <c r="C116" i="3"/>
  <c r="C122" i="3"/>
  <c r="C133" i="3" s="1"/>
  <c r="C136" i="3" s="1"/>
  <c r="C136" i="5" l="1"/>
  <c r="C138" i="5" s="1"/>
  <c r="D136" i="4"/>
  <c r="C138" i="4" s="1"/>
  <c r="R764" i="1"/>
  <c r="R763" i="1" s="1"/>
  <c r="D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<sst xmlns="http://schemas.openxmlformats.org/spreadsheetml/2006/main" count="3115" uniqueCount="34">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</sst>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23.62</c:v>
                </c:pt>
                <c:pt idx="1">
                  <c:v>24.01</c:v>
                </c:pt>
                <c:pt idx="2">
                  <c:v>23.72</c:v>
                </c:pt>
                <c:pt idx="3">
                  <c:v>23.44</c:v>
                </c:pt>
                <c:pt idx="4">
                  <c:v>24.42</c:v>
                </c:pt>
                <c:pt idx="5">
                  <c:v>23.81</c:v>
                </c:pt>
                <c:pt idx="6">
                  <c:v>24.84</c:v>
                </c:pt>
                <c:pt idx="7">
                  <c:v>30.2</c:v>
                </c:pt>
                <c:pt idx="8">
                  <c:v>32.47</c:v>
                </c:pt>
                <c:pt idx="9">
                  <c:v>34.08</c:v>
                </c:pt>
                <c:pt idx="10">
                  <c:v>34.450000000000003</c:v>
                </c:pt>
                <c:pt idx="11">
                  <c:v>36.32</c:v>
                </c:pt>
                <c:pt idx="12">
                  <c:v>36.159999999999997</c:v>
                </c:pt>
                <c:pt idx="13">
                  <c:v>36.25</c:v>
                </c:pt>
                <c:pt idx="14">
                  <c:v>35.729999999999997</c:v>
                </c:pt>
                <c:pt idx="15">
                  <c:v>39.15</c:v>
                </c:pt>
                <c:pt idx="16">
                  <c:v>36.85</c:v>
                </c:pt>
                <c:pt idx="17">
                  <c:v>33.36</c:v>
                </c:pt>
                <c:pt idx="18">
                  <c:v>37.06</c:v>
                </c:pt>
                <c:pt idx="19">
                  <c:v>35</c:v>
                </c:pt>
                <c:pt idx="20">
                  <c:v>37.11</c:v>
                </c:pt>
                <c:pt idx="21">
                  <c:v>41.85</c:v>
                </c:pt>
                <c:pt idx="22">
                  <c:v>42.41</c:v>
                </c:pt>
                <c:pt idx="23">
                  <c:v>42.8</c:v>
                </c:pt>
                <c:pt idx="24">
                  <c:v>41.84</c:v>
                </c:pt>
                <c:pt idx="25">
                  <c:v>40.700000000000003</c:v>
                </c:pt>
                <c:pt idx="26">
                  <c:v>41.05</c:v>
                </c:pt>
                <c:pt idx="27">
                  <c:v>39.659999999999997</c:v>
                </c:pt>
                <c:pt idx="28">
                  <c:v>40.31</c:v>
                </c:pt>
                <c:pt idx="29">
                  <c:v>42.54</c:v>
                </c:pt>
                <c:pt idx="30">
                  <c:v>38.5</c:v>
                </c:pt>
                <c:pt idx="31">
                  <c:v>43.59</c:v>
                </c:pt>
                <c:pt idx="32">
                  <c:v>43.51</c:v>
                </c:pt>
                <c:pt idx="33">
                  <c:v>44.57</c:v>
                </c:pt>
                <c:pt idx="34">
                  <c:v>44.12</c:v>
                </c:pt>
                <c:pt idx="35">
                  <c:v>44.44</c:v>
                </c:pt>
                <c:pt idx="36">
                  <c:v>41.43</c:v>
                </c:pt>
                <c:pt idx="37">
                  <c:v>36.56</c:v>
                </c:pt>
                <c:pt idx="38">
                  <c:v>34.090000000000003</c:v>
                </c:pt>
                <c:pt idx="39">
                  <c:v>35.119999999999997</c:v>
                </c:pt>
                <c:pt idx="40">
                  <c:v>36.4</c:v>
                </c:pt>
                <c:pt idx="41">
                  <c:v>36.130000000000003</c:v>
                </c:pt>
                <c:pt idx="42">
                  <c:v>36.770000000000003</c:v>
                </c:pt>
                <c:pt idx="43">
                  <c:v>35.28</c:v>
                </c:pt>
                <c:pt idx="44">
                  <c:v>33.28</c:v>
                </c:pt>
                <c:pt idx="45">
                  <c:v>32.6</c:v>
                </c:pt>
                <c:pt idx="46">
                  <c:v>38.72</c:v>
                </c:pt>
                <c:pt idx="47">
                  <c:v>35.92</c:v>
                </c:pt>
                <c:pt idx="48">
                  <c:v>35.619999999999997</c:v>
                </c:pt>
                <c:pt idx="49">
                  <c:v>37.799999999999997</c:v>
                </c:pt>
                <c:pt idx="50">
                  <c:v>41.51</c:v>
                </c:pt>
                <c:pt idx="51">
                  <c:v>41.29</c:v>
                </c:pt>
                <c:pt idx="52">
                  <c:v>43.33</c:v>
                </c:pt>
                <c:pt idx="53">
                  <c:v>41.49</c:v>
                </c:pt>
                <c:pt idx="54">
                  <c:v>42.45</c:v>
                </c:pt>
                <c:pt idx="55">
                  <c:v>47.21</c:v>
                </c:pt>
                <c:pt idx="56">
                  <c:v>53.26</c:v>
                </c:pt>
                <c:pt idx="57">
                  <c:v>55.8</c:v>
                </c:pt>
                <c:pt idx="58">
                  <c:v>52.04</c:v>
                </c:pt>
                <c:pt idx="59">
                  <c:v>54.94</c:v>
                </c:pt>
                <c:pt idx="60">
                  <c:v>58.03</c:v>
                </c:pt>
                <c:pt idx="61">
                  <c:v>59.12</c:v>
                </c:pt>
                <c:pt idx="62">
                  <c:v>54.74</c:v>
                </c:pt>
                <c:pt idx="63">
                  <c:v>60.47</c:v>
                </c:pt>
                <c:pt idx="64">
                  <c:v>47.98</c:v>
                </c:pt>
                <c:pt idx="65">
                  <c:v>50.34</c:v>
                </c:pt>
                <c:pt idx="66">
                  <c:v>47.5</c:v>
                </c:pt>
                <c:pt idx="67">
                  <c:v>50</c:v>
                </c:pt>
                <c:pt idx="68">
                  <c:v>52.29</c:v>
                </c:pt>
                <c:pt idx="69">
                  <c:v>53.71</c:v>
                </c:pt>
                <c:pt idx="70">
                  <c:v>47.07</c:v>
                </c:pt>
                <c:pt idx="71">
                  <c:v>55.82</c:v>
                </c:pt>
                <c:pt idx="72">
                  <c:v>61.15</c:v>
                </c:pt>
                <c:pt idx="73">
                  <c:v>65.5</c:v>
                </c:pt>
                <c:pt idx="74">
                  <c:v>64.709999999999994</c:v>
                </c:pt>
                <c:pt idx="75">
                  <c:v>68.08</c:v>
                </c:pt>
                <c:pt idx="76">
                  <c:v>58.83</c:v>
                </c:pt>
                <c:pt idx="77">
                  <c:v>63.45</c:v>
                </c:pt>
                <c:pt idx="78">
                  <c:v>74.62</c:v>
                </c:pt>
                <c:pt idx="79">
                  <c:v>71.63</c:v>
                </c:pt>
                <c:pt idx="80">
                  <c:v>49.32</c:v>
                </c:pt>
                <c:pt idx="81">
                  <c:v>36.130000000000003</c:v>
                </c:pt>
                <c:pt idx="82">
                  <c:v>33.26</c:v>
                </c:pt>
                <c:pt idx="83">
                  <c:v>32.450000000000003</c:v>
                </c:pt>
                <c:pt idx="84">
                  <c:v>34.119999999999997</c:v>
                </c:pt>
                <c:pt idx="85">
                  <c:v>29.5</c:v>
                </c:pt>
                <c:pt idx="86">
                  <c:v>29.75</c:v>
                </c:pt>
                <c:pt idx="87">
                  <c:v>26.65</c:v>
                </c:pt>
                <c:pt idx="88">
                  <c:v>28.29</c:v>
                </c:pt>
                <c:pt idx="89">
                  <c:v>27.95</c:v>
                </c:pt>
                <c:pt idx="90">
                  <c:v>23.97</c:v>
                </c:pt>
                <c:pt idx="91">
                  <c:v>23.64</c:v>
                </c:pt>
                <c:pt idx="92">
                  <c:v>22.46</c:v>
                </c:pt>
                <c:pt idx="93">
                  <c:v>24.48</c:v>
                </c:pt>
                <c:pt idx="94">
                  <c:v>25.98</c:v>
                </c:pt>
                <c:pt idx="95">
                  <c:v>23.3</c:v>
                </c:pt>
                <c:pt idx="96">
                  <c:v>24.59</c:v>
                </c:pt>
                <c:pt idx="97">
                  <c:v>25.14</c:v>
                </c:pt>
                <c:pt idx="98">
                  <c:v>25.53</c:v>
                </c:pt>
                <c:pt idx="99">
                  <c:v>27.58</c:v>
                </c:pt>
                <c:pt idx="100">
                  <c:v>31.2</c:v>
                </c:pt>
                <c:pt idx="101">
                  <c:v>28.21</c:v>
                </c:pt>
                <c:pt idx="102">
                  <c:v>20.25</c:v>
                </c:pt>
                <c:pt idx="103">
                  <c:v>21.63</c:v>
                </c:pt>
                <c:pt idx="104">
                  <c:v>21.78</c:v>
                </c:pt>
                <c:pt idx="105">
                  <c:v>25.16</c:v>
                </c:pt>
                <c:pt idx="106">
                  <c:v>18.3</c:v>
                </c:pt>
                <c:pt idx="107">
                  <c:v>17.78</c:v>
                </c:pt>
                <c:pt idx="108">
                  <c:v>17.89</c:v>
                </c:pt>
                <c:pt idx="109">
                  <c:v>17.79</c:v>
                </c:pt>
                <c:pt idx="110">
                  <c:v>18.309999999999999</c:v>
                </c:pt>
                <c:pt idx="111">
                  <c:v>18.22</c:v>
                </c:pt>
                <c:pt idx="112">
                  <c:v>17.829999999999998</c:v>
                </c:pt>
                <c:pt idx="113">
                  <c:v>17.88</c:v>
                </c:pt>
                <c:pt idx="114">
                  <c:v>17.98</c:v>
                </c:pt>
                <c:pt idx="115">
                  <c:v>17.46</c:v>
                </c:pt>
                <c:pt idx="116">
                  <c:v>17.57</c:v>
                </c:pt>
                <c:pt idx="117">
                  <c:v>17.809999999999999</c:v>
                </c:pt>
                <c:pt idx="118">
                  <c:v>17.760000000000002</c:v>
                </c:pt>
                <c:pt idx="119">
                  <c:v>16.920000000000002</c:v>
                </c:pt>
                <c:pt idx="120">
                  <c:v>16.739999999999998</c:v>
                </c:pt>
                <c:pt idx="121">
                  <c:v>15.91</c:v>
                </c:pt>
                <c:pt idx="122">
                  <c:v>16.350000000000001</c:v>
                </c:pt>
                <c:pt idx="123">
                  <c:v>16.97</c:v>
                </c:pt>
                <c:pt idx="124">
                  <c:v>17.18</c:v>
                </c:pt>
                <c:pt idx="125">
                  <c:v>17.28</c:v>
                </c:pt>
                <c:pt idx="126">
                  <c:v>18</c:v>
                </c:pt>
                <c:pt idx="127">
                  <c:v>18.02</c:v>
                </c:pt>
                <c:pt idx="128">
                  <c:v>15.75</c:v>
                </c:pt>
                <c:pt idx="129">
                  <c:v>16.940000000000001</c:v>
                </c:pt>
                <c:pt idx="130">
                  <c:v>18.13</c:v>
                </c:pt>
                <c:pt idx="131">
                  <c:v>18.96</c:v>
                </c:pt>
                <c:pt idx="132">
                  <c:v>18.93</c:v>
                </c:pt>
                <c:pt idx="133">
                  <c:v>18.64</c:v>
                </c:pt>
                <c:pt idx="134">
                  <c:v>18.97</c:v>
                </c:pt>
                <c:pt idx="135">
                  <c:v>18.329999999999998</c:v>
                </c:pt>
                <c:pt idx="136">
                  <c:v>17.28</c:v>
                </c:pt>
                <c:pt idx="137">
                  <c:v>18.63</c:v>
                </c:pt>
                <c:pt idx="138">
                  <c:v>17.48</c:v>
                </c:pt>
                <c:pt idx="139">
                  <c:v>17.23</c:v>
                </c:pt>
                <c:pt idx="140">
                  <c:v>18.77</c:v>
                </c:pt>
                <c:pt idx="141">
                  <c:v>18.760000000000002</c:v>
                </c:pt>
                <c:pt idx="142">
                  <c:v>19.41</c:v>
                </c:pt>
                <c:pt idx="143">
                  <c:v>22.53</c:v>
                </c:pt>
                <c:pt idx="144">
                  <c:v>21.95</c:v>
                </c:pt>
                <c:pt idx="145">
                  <c:v>20.56</c:v>
                </c:pt>
                <c:pt idx="146">
                  <c:v>20.82</c:v>
                </c:pt>
                <c:pt idx="147">
                  <c:v>20.43</c:v>
                </c:pt>
                <c:pt idx="148">
                  <c:v>20.98</c:v>
                </c:pt>
                <c:pt idx="149">
                  <c:v>20.329999999999998</c:v>
                </c:pt>
                <c:pt idx="150">
                  <c:v>19.39</c:v>
                </c:pt>
                <c:pt idx="151">
                  <c:v>20.65</c:v>
                </c:pt>
                <c:pt idx="152">
                  <c:v>19.690000000000001</c:v>
                </c:pt>
                <c:pt idx="153">
                  <c:v>20.38</c:v>
                </c:pt>
                <c:pt idx="154">
                  <c:v>18.61</c:v>
                </c:pt>
                <c:pt idx="155">
                  <c:v>20.89</c:v>
                </c:pt>
                <c:pt idx="156">
                  <c:v>19.89</c:v>
                </c:pt>
                <c:pt idx="157">
                  <c:v>21.96</c:v>
                </c:pt>
                <c:pt idx="158">
                  <c:v>22.16</c:v>
                </c:pt>
                <c:pt idx="159">
                  <c:v>22.19</c:v>
                </c:pt>
                <c:pt idx="160">
                  <c:v>21.82</c:v>
                </c:pt>
                <c:pt idx="161">
                  <c:v>21.05</c:v>
                </c:pt>
                <c:pt idx="162">
                  <c:v>18.399999999999999</c:v>
                </c:pt>
                <c:pt idx="163">
                  <c:v>18.36</c:v>
                </c:pt>
                <c:pt idx="164">
                  <c:v>19.34</c:v>
                </c:pt>
                <c:pt idx="165">
                  <c:v>20.02</c:v>
                </c:pt>
                <c:pt idx="166">
                  <c:v>19.88</c:v>
                </c:pt>
                <c:pt idx="167">
                  <c:v>19.12</c:v>
                </c:pt>
                <c:pt idx="168">
                  <c:v>18.3</c:v>
                </c:pt>
                <c:pt idx="169">
                  <c:v>18.350000000000001</c:v>
                </c:pt>
                <c:pt idx="170">
                  <c:v>19.149999999999999</c:v>
                </c:pt>
                <c:pt idx="171">
                  <c:v>18.78</c:v>
                </c:pt>
                <c:pt idx="172">
                  <c:v>18.23</c:v>
                </c:pt>
                <c:pt idx="173">
                  <c:v>16.989999999999998</c:v>
                </c:pt>
                <c:pt idx="174">
                  <c:v>17.16</c:v>
                </c:pt>
                <c:pt idx="175">
                  <c:v>16.5</c:v>
                </c:pt>
                <c:pt idx="176">
                  <c:v>17.149999999999999</c:v>
                </c:pt>
                <c:pt idx="177">
                  <c:v>15.89</c:v>
                </c:pt>
                <c:pt idx="178">
                  <c:v>17.059999999999999</c:v>
                </c:pt>
                <c:pt idx="179">
                  <c:v>16.86</c:v>
                </c:pt>
                <c:pt idx="180">
                  <c:v>18.809999999999999</c:v>
                </c:pt>
                <c:pt idx="181">
                  <c:v>19.07</c:v>
                </c:pt>
                <c:pt idx="182">
                  <c:v>16.079999999999998</c:v>
                </c:pt>
                <c:pt idx="183">
                  <c:v>14.14</c:v>
                </c:pt>
                <c:pt idx="184">
                  <c:v>14.46</c:v>
                </c:pt>
                <c:pt idx="185">
                  <c:v>12.38</c:v>
                </c:pt>
                <c:pt idx="186">
                  <c:v>12.29</c:v>
                </c:pt>
                <c:pt idx="187">
                  <c:v>12.05</c:v>
                </c:pt>
                <c:pt idx="188">
                  <c:v>12.13</c:v>
                </c:pt>
                <c:pt idx="189">
                  <c:v>11.36</c:v>
                </c:pt>
                <c:pt idx="190">
                  <c:v>11.46</c:v>
                </c:pt>
                <c:pt idx="191">
                  <c:v>11.11</c:v>
                </c:pt>
                <c:pt idx="192">
                  <c:v>11.61</c:v>
                </c:pt>
                <c:pt idx="193">
                  <c:v>12.91</c:v>
                </c:pt>
                <c:pt idx="194">
                  <c:v>14.15</c:v>
                </c:pt>
                <c:pt idx="195">
                  <c:v>12.28</c:v>
                </c:pt>
                <c:pt idx="196">
                  <c:v>13.37</c:v>
                </c:pt>
                <c:pt idx="197">
                  <c:v>14.2</c:v>
                </c:pt>
                <c:pt idx="198">
                  <c:v>14.56</c:v>
                </c:pt>
                <c:pt idx="199">
                  <c:v>14.7</c:v>
                </c:pt>
                <c:pt idx="200">
                  <c:v>15.61</c:v>
                </c:pt>
                <c:pt idx="201">
                  <c:v>15.62</c:v>
                </c:pt>
                <c:pt idx="202">
                  <c:v>16.07</c:v>
                </c:pt>
                <c:pt idx="203">
                  <c:v>16.239999999999998</c:v>
                </c:pt>
                <c:pt idx="204">
                  <c:v>17.22</c:v>
                </c:pt>
                <c:pt idx="205">
                  <c:v>17.170000000000002</c:v>
                </c:pt>
                <c:pt idx="206">
                  <c:v>17.21</c:v>
                </c:pt>
                <c:pt idx="207">
                  <c:v>18.149999999999999</c:v>
                </c:pt>
                <c:pt idx="208">
                  <c:v>17.97</c:v>
                </c:pt>
                <c:pt idx="209">
                  <c:v>17.36</c:v>
                </c:pt>
                <c:pt idx="210">
                  <c:v>18.34</c:v>
                </c:pt>
                <c:pt idx="211">
                  <c:v>19.62</c:v>
                </c:pt>
                <c:pt idx="212">
                  <c:v>20.16</c:v>
                </c:pt>
                <c:pt idx="213">
                  <c:v>19.46</c:v>
                </c:pt>
                <c:pt idx="214">
                  <c:v>20.149999999999999</c:v>
                </c:pt>
                <c:pt idx="215">
                  <c:v>18.57</c:v>
                </c:pt>
                <c:pt idx="216">
                  <c:v>19.89</c:v>
                </c:pt>
                <c:pt idx="217">
                  <c:v>23.25</c:v>
                </c:pt>
                <c:pt idx="218">
                  <c:v>24.4</c:v>
                </c:pt>
                <c:pt idx="219">
                  <c:v>25.3</c:v>
                </c:pt>
                <c:pt idx="220">
                  <c:v>20.03</c:v>
                </c:pt>
                <c:pt idx="221">
                  <c:v>25.22</c:v>
                </c:pt>
                <c:pt idx="222">
                  <c:v>24.38</c:v>
                </c:pt>
                <c:pt idx="223">
                  <c:v>24.27</c:v>
                </c:pt>
                <c:pt idx="224">
                  <c:v>24.71</c:v>
                </c:pt>
                <c:pt idx="225">
                  <c:v>25.36</c:v>
                </c:pt>
                <c:pt idx="226">
                  <c:v>26.43</c:v>
                </c:pt>
                <c:pt idx="227">
                  <c:v>27.25</c:v>
                </c:pt>
                <c:pt idx="228">
                  <c:v>27.19</c:v>
                </c:pt>
                <c:pt idx="229">
                  <c:v>25.77</c:v>
                </c:pt>
                <c:pt idx="230">
                  <c:v>26.11</c:v>
                </c:pt>
                <c:pt idx="231">
                  <c:v>27.34</c:v>
                </c:pt>
                <c:pt idx="232">
                  <c:v>28.02</c:v>
                </c:pt>
                <c:pt idx="233">
                  <c:v>25.81</c:v>
                </c:pt>
                <c:pt idx="234">
                  <c:v>24.73</c:v>
                </c:pt>
                <c:pt idx="235">
                  <c:v>25.58</c:v>
                </c:pt>
                <c:pt idx="236">
                  <c:v>27.33</c:v>
                </c:pt>
                <c:pt idx="237">
                  <c:v>28.05</c:v>
                </c:pt>
                <c:pt idx="238">
                  <c:v>30.9</c:v>
                </c:pt>
                <c:pt idx="239">
                  <c:v>27.69</c:v>
                </c:pt>
                <c:pt idx="240">
                  <c:v>25.29</c:v>
                </c:pt>
                <c:pt idx="241">
                  <c:v>24.04</c:v>
                </c:pt>
                <c:pt idx="242">
                  <c:v>23.41</c:v>
                </c:pt>
                <c:pt idx="243">
                  <c:v>23.19</c:v>
                </c:pt>
                <c:pt idx="244">
                  <c:v>27.13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38-437C-8D49-C7BDE812DFB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-0.1683768486783366</c:v>
                </c:pt>
                <c:pt idx="1">
                  <c:v>-0.16831745018742755</c:v>
                </c:pt>
                <c:pt idx="2">
                  <c:v>-0.16753641290692442</c:v>
                </c:pt>
                <c:pt idx="3">
                  <c:v>-0.16797463493637227</c:v>
                </c:pt>
                <c:pt idx="4">
                  <c:v>-0.1690649626134296</c:v>
                </c:pt>
                <c:pt idx="5">
                  <c:v>-0.16843655787065676</c:v>
                </c:pt>
                <c:pt idx="6">
                  <c:v>-0.16910147360924593</c:v>
                </c:pt>
                <c:pt idx="7">
                  <c:v>-0.16670894777029521</c:v>
                </c:pt>
                <c:pt idx="8">
                  <c:v>-0.16592438892098016</c:v>
                </c:pt>
                <c:pt idx="9">
                  <c:v>-0.16547365029649036</c:v>
                </c:pt>
                <c:pt idx="10">
                  <c:v>-0.16545170646376309</c:v>
                </c:pt>
                <c:pt idx="11">
                  <c:v>-0.16508187235596167</c:v>
                </c:pt>
                <c:pt idx="12">
                  <c:v>-0.1652860332350036</c:v>
                </c:pt>
                <c:pt idx="13">
                  <c:v>-0.16525501758315173</c:v>
                </c:pt>
                <c:pt idx="14">
                  <c:v>-0.16549228039204064</c:v>
                </c:pt>
                <c:pt idx="15">
                  <c:v>-0.16465495139716191</c:v>
                </c:pt>
                <c:pt idx="16">
                  <c:v>-0.1654137182874845</c:v>
                </c:pt>
                <c:pt idx="17">
                  <c:v>-0.16645386432000281</c:v>
                </c:pt>
                <c:pt idx="18">
                  <c:v>-0.16553119294966062</c:v>
                </c:pt>
                <c:pt idx="19">
                  <c:v>-0.16586246024386353</c:v>
                </c:pt>
                <c:pt idx="20">
                  <c:v>-0.16519949867361558</c:v>
                </c:pt>
                <c:pt idx="21">
                  <c:v>-0.16371573738779741</c:v>
                </c:pt>
                <c:pt idx="22">
                  <c:v>-0.1605629921290474</c:v>
                </c:pt>
                <c:pt idx="23">
                  <c:v>-0.15545157017704742</c:v>
                </c:pt>
                <c:pt idx="24">
                  <c:v>-0.15494554786689702</c:v>
                </c:pt>
                <c:pt idx="25">
                  <c:v>-0.15548037441021834</c:v>
                </c:pt>
                <c:pt idx="26">
                  <c:v>-0.15569007831498025</c:v>
                </c:pt>
                <c:pt idx="27">
                  <c:v>-0.15594379778373024</c:v>
                </c:pt>
                <c:pt idx="28">
                  <c:v>-0.15506775105738754</c:v>
                </c:pt>
                <c:pt idx="29">
                  <c:v>-0.15416795928511337</c:v>
                </c:pt>
                <c:pt idx="30">
                  <c:v>-0.14872848288835289</c:v>
                </c:pt>
                <c:pt idx="31">
                  <c:v>-0.14779343661077279</c:v>
                </c:pt>
                <c:pt idx="32">
                  <c:v>-0.14696394538126462</c:v>
                </c:pt>
                <c:pt idx="33">
                  <c:v>-0.14669811363169938</c:v>
                </c:pt>
                <c:pt idx="34">
                  <c:v>-0.14583434136519938</c:v>
                </c:pt>
                <c:pt idx="35">
                  <c:v>-0.14444776010950316</c:v>
                </c:pt>
                <c:pt idx="36">
                  <c:v>-0.14610294603993795</c:v>
                </c:pt>
                <c:pt idx="37">
                  <c:v>-0.14752331468909999</c:v>
                </c:pt>
                <c:pt idx="38">
                  <c:v>-0.14803926592888492</c:v>
                </c:pt>
                <c:pt idx="39">
                  <c:v>-0.14826073199383338</c:v>
                </c:pt>
                <c:pt idx="40">
                  <c:v>-0.14762841187053591</c:v>
                </c:pt>
                <c:pt idx="41">
                  <c:v>-0.14768486117891286</c:v>
                </c:pt>
                <c:pt idx="42">
                  <c:v>-0.14751854460695257</c:v>
                </c:pt>
                <c:pt idx="43">
                  <c:v>-0.14636698307087009</c:v>
                </c:pt>
                <c:pt idx="44">
                  <c:v>-0.14751934729931454</c:v>
                </c:pt>
                <c:pt idx="45">
                  <c:v>-0.14808396213948191</c:v>
                </c:pt>
                <c:pt idx="46">
                  <c:v>-0.14673583637907062</c:v>
                </c:pt>
                <c:pt idx="47">
                  <c:v>-0.14707811901150306</c:v>
                </c:pt>
                <c:pt idx="48">
                  <c:v>-0.14711015820460652</c:v>
                </c:pt>
                <c:pt idx="49">
                  <c:v>-0.14628783909787793</c:v>
                </c:pt>
                <c:pt idx="50">
                  <c:v>-0.14513248253585775</c:v>
                </c:pt>
                <c:pt idx="51">
                  <c:v>-0.14620320210174922</c:v>
                </c:pt>
                <c:pt idx="52">
                  <c:v>-0.14513703202922798</c:v>
                </c:pt>
                <c:pt idx="53">
                  <c:v>-0.14688460980395152</c:v>
                </c:pt>
                <c:pt idx="54">
                  <c:v>-0.14364390863164056</c:v>
                </c:pt>
                <c:pt idx="55">
                  <c:v>-0.14529826646495261</c:v>
                </c:pt>
                <c:pt idx="56">
                  <c:v>-0.14442392588761616</c:v>
                </c:pt>
                <c:pt idx="57">
                  <c:v>-0.14132192231304211</c:v>
                </c:pt>
                <c:pt idx="58">
                  <c:v>-0.14253760135017443</c:v>
                </c:pt>
                <c:pt idx="59">
                  <c:v>-0.14141739109017445</c:v>
                </c:pt>
                <c:pt idx="60">
                  <c:v>-0.14038088900341322</c:v>
                </c:pt>
                <c:pt idx="61">
                  <c:v>-0.14289237952274497</c:v>
                </c:pt>
                <c:pt idx="62">
                  <c:v>-0.14010005144865562</c:v>
                </c:pt>
                <c:pt idx="63">
                  <c:v>-0.1346415521615269</c:v>
                </c:pt>
                <c:pt idx="64">
                  <c:v>-0.14012267618078733</c:v>
                </c:pt>
                <c:pt idx="65">
                  <c:v>-0.1396818246571031</c:v>
                </c:pt>
                <c:pt idx="66">
                  <c:v>-0.13953001367238696</c:v>
                </c:pt>
                <c:pt idx="67">
                  <c:v>-0.13745536797082139</c:v>
                </c:pt>
                <c:pt idx="68">
                  <c:v>-0.13530766446212572</c:v>
                </c:pt>
                <c:pt idx="69">
                  <c:v>-0.13491582571434019</c:v>
                </c:pt>
                <c:pt idx="70">
                  <c:v>-0.13667113328557701</c:v>
                </c:pt>
                <c:pt idx="71">
                  <c:v>-0.13380042008306919</c:v>
                </c:pt>
                <c:pt idx="72">
                  <c:v>-0.12971540254507991</c:v>
                </c:pt>
                <c:pt idx="73">
                  <c:v>-0.12537476631862077</c:v>
                </c:pt>
                <c:pt idx="74">
                  <c:v>-0.12162714416082261</c:v>
                </c:pt>
                <c:pt idx="75">
                  <c:v>-0.1195455194822838</c:v>
                </c:pt>
                <c:pt idx="76">
                  <c:v>-0.12072797176102579</c:v>
                </c:pt>
                <c:pt idx="77">
                  <c:v>-0.11889159564512833</c:v>
                </c:pt>
                <c:pt idx="78">
                  <c:v>-0.11288842627344159</c:v>
                </c:pt>
                <c:pt idx="79">
                  <c:v>-0.12010539093347986</c:v>
                </c:pt>
                <c:pt idx="80">
                  <c:v>-0.11416676700820196</c:v>
                </c:pt>
                <c:pt idx="81">
                  <c:v>-0.11879574810815383</c:v>
                </c:pt>
                <c:pt idx="82">
                  <c:v>-0.11882669952330534</c:v>
                </c:pt>
                <c:pt idx="83">
                  <c:v>-0.1194248517551894</c:v>
                </c:pt>
                <c:pt idx="84">
                  <c:v>-0.11719946093458637</c:v>
                </c:pt>
                <c:pt idx="85">
                  <c:v>-0.11733949284868329</c:v>
                </c:pt>
                <c:pt idx="86">
                  <c:v>-0.1163859131800086</c:v>
                </c:pt>
                <c:pt idx="87">
                  <c:v>-0.11467846980372857</c:v>
                </c:pt>
                <c:pt idx="88">
                  <c:v>-0.11422869349784623</c:v>
                </c:pt>
                <c:pt idx="89">
                  <c:v>-0.10855935978810144</c:v>
                </c:pt>
                <c:pt idx="90">
                  <c:v>-0.11058279347541709</c:v>
                </c:pt>
                <c:pt idx="91">
                  <c:v>-0.11074819427178072</c:v>
                </c:pt>
                <c:pt idx="92">
                  <c:v>-0.11112599251511406</c:v>
                </c:pt>
                <c:pt idx="93">
                  <c:v>-0.10902355143172053</c:v>
                </c:pt>
                <c:pt idx="94">
                  <c:v>-0.10821614776135016</c:v>
                </c:pt>
                <c:pt idx="95">
                  <c:v>-0.10990351424626636</c:v>
                </c:pt>
                <c:pt idx="96">
                  <c:v>-0.10937437989071083</c:v>
                </c:pt>
                <c:pt idx="97">
                  <c:v>-0.10849533476343808</c:v>
                </c:pt>
                <c:pt idx="98">
                  <c:v>-0.10682303355010475</c:v>
                </c:pt>
                <c:pt idx="99">
                  <c:v>-0.10487431654325545</c:v>
                </c:pt>
                <c:pt idx="100">
                  <c:v>-0.10115827296344547</c:v>
                </c:pt>
                <c:pt idx="101">
                  <c:v>-9.8122205041790728E-2</c:v>
                </c:pt>
                <c:pt idx="102">
                  <c:v>-0.10024559965836215</c:v>
                </c:pt>
                <c:pt idx="103">
                  <c:v>-9.8640805077856747E-2</c:v>
                </c:pt>
                <c:pt idx="104">
                  <c:v>-9.5789915854094354E-2</c:v>
                </c:pt>
                <c:pt idx="105">
                  <c:v>-8.5543543705675892E-2</c:v>
                </c:pt>
                <c:pt idx="106">
                  <c:v>-8.322120999007955E-2</c:v>
                </c:pt>
                <c:pt idx="107">
                  <c:v>-8.3624481272130818E-2</c:v>
                </c:pt>
                <c:pt idx="108">
                  <c:v>-8.506919633879749E-2</c:v>
                </c:pt>
                <c:pt idx="109">
                  <c:v>-8.5045667266508349E-2</c:v>
                </c:pt>
                <c:pt idx="110">
                  <c:v>-8.4060610303205593E-2</c:v>
                </c:pt>
                <c:pt idx="111">
                  <c:v>-8.3322213061599759E-2</c:v>
                </c:pt>
                <c:pt idx="112">
                  <c:v>-8.3290314548755698E-2</c:v>
                </c:pt>
                <c:pt idx="113">
                  <c:v>-8.2765258887217238E-2</c:v>
                </c:pt>
                <c:pt idx="114">
                  <c:v>-8.3029816113171437E-2</c:v>
                </c:pt>
                <c:pt idx="115">
                  <c:v>-8.3195046763171437E-2</c:v>
                </c:pt>
                <c:pt idx="116">
                  <c:v>-8.3251988636504765E-2</c:v>
                </c:pt>
                <c:pt idx="117">
                  <c:v>-8.3060368633056478E-2</c:v>
                </c:pt>
                <c:pt idx="118">
                  <c:v>-8.2339631271214381E-2</c:v>
                </c:pt>
                <c:pt idx="119">
                  <c:v>-8.3380660113823085E-2</c:v>
                </c:pt>
                <c:pt idx="120">
                  <c:v>-8.3663953469755303E-2</c:v>
                </c:pt>
                <c:pt idx="121">
                  <c:v>-8.3184133945483435E-2</c:v>
                </c:pt>
                <c:pt idx="122">
                  <c:v>-7.9303285400285708E-2</c:v>
                </c:pt>
                <c:pt idx="123">
                  <c:v>-7.5983099927312739E-2</c:v>
                </c:pt>
                <c:pt idx="124">
                  <c:v>-7.6028169281858182E-2</c:v>
                </c:pt>
                <c:pt idx="125">
                  <c:v>-7.5756582144699727E-2</c:v>
                </c:pt>
                <c:pt idx="126">
                  <c:v>-7.6398605575070097E-2</c:v>
                </c:pt>
                <c:pt idx="127">
                  <c:v>-7.5490707858186984E-2</c:v>
                </c:pt>
                <c:pt idx="128">
                  <c:v>-6.8328946236037136E-2</c:v>
                </c:pt>
                <c:pt idx="129">
                  <c:v>-6.7505266783405557E-2</c:v>
                </c:pt>
                <c:pt idx="130">
                  <c:v>-6.7051409601316003E-2</c:v>
                </c:pt>
                <c:pt idx="131">
                  <c:v>-6.651097225007635E-2</c:v>
                </c:pt>
                <c:pt idx="132">
                  <c:v>-6.6122139260985438E-2</c:v>
                </c:pt>
                <c:pt idx="133">
                  <c:v>-6.6599696215271148E-2</c:v>
                </c:pt>
                <c:pt idx="134">
                  <c:v>-6.6235962988955371E-2</c:v>
                </c:pt>
                <c:pt idx="135">
                  <c:v>-6.6304653216293488E-2</c:v>
                </c:pt>
                <c:pt idx="136">
                  <c:v>-6.7015103580472579E-2</c:v>
                </c:pt>
                <c:pt idx="137">
                  <c:v>-6.6380662610593083E-2</c:v>
                </c:pt>
                <c:pt idx="138">
                  <c:v>-6.6748809716362309E-2</c:v>
                </c:pt>
                <c:pt idx="139">
                  <c:v>-6.6635706031315564E-2</c:v>
                </c:pt>
                <c:pt idx="140">
                  <c:v>-5.8948610804809558E-2</c:v>
                </c:pt>
                <c:pt idx="141">
                  <c:v>-5.9412866373900454E-2</c:v>
                </c:pt>
                <c:pt idx="142">
                  <c:v>-5.9951037494467833E-2</c:v>
                </c:pt>
                <c:pt idx="143">
                  <c:v>-5.8371000468477742E-2</c:v>
                </c:pt>
                <c:pt idx="144">
                  <c:v>-5.9577044819992889E-2</c:v>
                </c:pt>
                <c:pt idx="145">
                  <c:v>-6.0408230213582631E-2</c:v>
                </c:pt>
                <c:pt idx="146">
                  <c:v>-5.9647768039296924E-2</c:v>
                </c:pt>
                <c:pt idx="147">
                  <c:v>-5.9830600780382194E-2</c:v>
                </c:pt>
                <c:pt idx="148">
                  <c:v>-5.9360859990727016E-2</c:v>
                </c:pt>
                <c:pt idx="149">
                  <c:v>-5.9758261214536541E-2</c:v>
                </c:pt>
                <c:pt idx="150">
                  <c:v>-5.9365574915223818E-2</c:v>
                </c:pt>
                <c:pt idx="151">
                  <c:v>-5.7589917648919471E-2</c:v>
                </c:pt>
                <c:pt idx="152">
                  <c:v>-5.8480896928919474E-2</c:v>
                </c:pt>
                <c:pt idx="153">
                  <c:v>-5.8334768086814211E-2</c:v>
                </c:pt>
                <c:pt idx="154">
                  <c:v>-5.906101597774905E-2</c:v>
                </c:pt>
                <c:pt idx="155">
                  <c:v>-5.7810281320660933E-2</c:v>
                </c:pt>
                <c:pt idx="156">
                  <c:v>-5.8537758838693728E-2</c:v>
                </c:pt>
                <c:pt idx="157">
                  <c:v>-5.7301345497768462E-2</c:v>
                </c:pt>
                <c:pt idx="158">
                  <c:v>-5.7583063787054162E-2</c:v>
                </c:pt>
                <c:pt idx="159">
                  <c:v>-5.7795067472936522E-2</c:v>
                </c:pt>
                <c:pt idx="160">
                  <c:v>-5.7771315313287393E-2</c:v>
                </c:pt>
                <c:pt idx="161">
                  <c:v>-5.5341438159441238E-2</c:v>
                </c:pt>
                <c:pt idx="162">
                  <c:v>-5.5473118113428969E-2</c:v>
                </c:pt>
                <c:pt idx="163">
                  <c:v>-5.5574260424017197E-2</c:v>
                </c:pt>
                <c:pt idx="164">
                  <c:v>-5.4334172436588633E-2</c:v>
                </c:pt>
                <c:pt idx="165">
                  <c:v>-5.2866986919822161E-2</c:v>
                </c:pt>
                <c:pt idx="166">
                  <c:v>-5.3356310336803291E-2</c:v>
                </c:pt>
                <c:pt idx="167">
                  <c:v>-5.3623927138690082E-2</c:v>
                </c:pt>
                <c:pt idx="168">
                  <c:v>-5.4136648200594849E-2</c:v>
                </c:pt>
                <c:pt idx="169">
                  <c:v>-5.4113300239400815E-2</c:v>
                </c:pt>
                <c:pt idx="170">
                  <c:v>-5.2328371872629661E-2</c:v>
                </c:pt>
                <c:pt idx="171">
                  <c:v>-5.2519997589296326E-2</c:v>
                </c:pt>
                <c:pt idx="172">
                  <c:v>-5.1512727937348284E-2</c:v>
                </c:pt>
                <c:pt idx="173">
                  <c:v>-4.8010966535450748E-2</c:v>
                </c:pt>
                <c:pt idx="174">
                  <c:v>-4.7447951793412525E-2</c:v>
                </c:pt>
                <c:pt idx="175">
                  <c:v>-4.8103671391156885E-2</c:v>
                </c:pt>
                <c:pt idx="176">
                  <c:v>-4.7388145224490211E-2</c:v>
                </c:pt>
                <c:pt idx="177">
                  <c:v>-4.8482317792404653E-2</c:v>
                </c:pt>
                <c:pt idx="178">
                  <c:v>-4.736052147594895E-2</c:v>
                </c:pt>
                <c:pt idx="179">
                  <c:v>-4.6922054370179718E-2</c:v>
                </c:pt>
                <c:pt idx="180">
                  <c:v>-4.5266379032248678E-2</c:v>
                </c:pt>
                <c:pt idx="181">
                  <c:v>-3.9983745014167488E-2</c:v>
                </c:pt>
                <c:pt idx="182">
                  <c:v>-3.8873939872013645E-2</c:v>
                </c:pt>
                <c:pt idx="183">
                  <c:v>-4.0868010835746975E-2</c:v>
                </c:pt>
                <c:pt idx="184">
                  <c:v>-3.9517747315421771E-2</c:v>
                </c:pt>
                <c:pt idx="185">
                  <c:v>-4.2433666274438175E-2</c:v>
                </c:pt>
                <c:pt idx="186">
                  <c:v>-4.0777188169610595E-2</c:v>
                </c:pt>
                <c:pt idx="187">
                  <c:v>-4.1141870902943925E-2</c:v>
                </c:pt>
                <c:pt idx="188">
                  <c:v>-4.0239227794879415E-2</c:v>
                </c:pt>
                <c:pt idx="189">
                  <c:v>-4.1310520788212748E-2</c:v>
                </c:pt>
                <c:pt idx="190">
                  <c:v>-3.9667103620645176E-2</c:v>
                </c:pt>
                <c:pt idx="191">
                  <c:v>-3.9384911814193575E-2</c:v>
                </c:pt>
                <c:pt idx="192">
                  <c:v>-3.9180006909845744E-2</c:v>
                </c:pt>
                <c:pt idx="193">
                  <c:v>-3.820176640714304E-2</c:v>
                </c:pt>
                <c:pt idx="194">
                  <c:v>-3.6730149558950265E-2</c:v>
                </c:pt>
                <c:pt idx="195">
                  <c:v>-3.5102751503394709E-2</c:v>
                </c:pt>
                <c:pt idx="196">
                  <c:v>-3.3792686213607474E-2</c:v>
                </c:pt>
                <c:pt idx="197">
                  <c:v>-3.3051533168631395E-2</c:v>
                </c:pt>
                <c:pt idx="198">
                  <c:v>-3.3362184655973161E-2</c:v>
                </c:pt>
                <c:pt idx="199">
                  <c:v>-3.3159698709306497E-2</c:v>
                </c:pt>
                <c:pt idx="200">
                  <c:v>-3.2635162518517023E-2</c:v>
                </c:pt>
                <c:pt idx="201">
                  <c:v>-3.2478800658517021E-2</c:v>
                </c:pt>
                <c:pt idx="202">
                  <c:v>-3.2028637710600355E-2</c:v>
                </c:pt>
                <c:pt idx="203">
                  <c:v>-3.2005429112698262E-2</c:v>
                </c:pt>
                <c:pt idx="204">
                  <c:v>-3.1890276018948255E-2</c:v>
                </c:pt>
                <c:pt idx="205">
                  <c:v>-3.127009289263246E-2</c:v>
                </c:pt>
                <c:pt idx="206">
                  <c:v>-3.0813725891642368E-2</c:v>
                </c:pt>
                <c:pt idx="207">
                  <c:v>-3.0356277125540676E-2</c:v>
                </c:pt>
                <c:pt idx="208">
                  <c:v>-3.0164328539333776E-2</c:v>
                </c:pt>
                <c:pt idx="209">
                  <c:v>-3.0088414835516983E-2</c:v>
                </c:pt>
                <c:pt idx="210">
                  <c:v>-2.9704091460045285E-2</c:v>
                </c:pt>
                <c:pt idx="211">
                  <c:v>-2.8947661050367862E-2</c:v>
                </c:pt>
                <c:pt idx="212">
                  <c:v>-2.7772328869699606E-2</c:v>
                </c:pt>
                <c:pt idx="213">
                  <c:v>-2.7613061581787519E-2</c:v>
                </c:pt>
                <c:pt idx="214">
                  <c:v>-2.7142221564766242E-2</c:v>
                </c:pt>
                <c:pt idx="215">
                  <c:v>-2.9069427855640761E-2</c:v>
                </c:pt>
                <c:pt idx="216">
                  <c:v>-2.3356011680505624E-2</c:v>
                </c:pt>
                <c:pt idx="217">
                  <c:v>-1.9436703815320443E-2</c:v>
                </c:pt>
                <c:pt idx="218">
                  <c:v>-1.4211632144840733E-2</c:v>
                </c:pt>
                <c:pt idx="219">
                  <c:v>-5.5604522249086798E-3</c:v>
                </c:pt>
                <c:pt idx="220">
                  <c:v>-5.7488696016350233E-3</c:v>
                </c:pt>
                <c:pt idx="221">
                  <c:v>-2.8977422290751725E-3</c:v>
                </c:pt>
                <c:pt idx="222">
                  <c:v>-3.5211799552290137E-3</c:v>
                </c:pt>
                <c:pt idx="223">
                  <c:v>-3.8655617552290134E-3</c:v>
                </c:pt>
                <c:pt idx="224">
                  <c:v>-3.5729446857374878E-3</c:v>
                </c:pt>
                <c:pt idx="225">
                  <c:v>-2.8212411487809671E-3</c:v>
                </c:pt>
                <c:pt idx="226">
                  <c:v>-2.0486438487809671E-3</c:v>
                </c:pt>
                <c:pt idx="227">
                  <c:v>-1.388613080153515E-3</c:v>
                </c:pt>
                <c:pt idx="228">
                  <c:v>-1.1287627163604117E-3</c:v>
                </c:pt>
                <c:pt idx="229">
                  <c:v>-1.7329136163604117E-3</c:v>
                </c:pt>
                <c:pt idx="230">
                  <c:v>-1.8702519145422291E-3</c:v>
                </c:pt>
                <c:pt idx="231">
                  <c:v>-5.6991974604406149E-4</c:v>
                </c:pt>
                <c:pt idx="232">
                  <c:v>1.3162881917332795E-4</c:v>
                </c:pt>
                <c:pt idx="233">
                  <c:v>-1.5542730618235566E-3</c:v>
                </c:pt>
                <c:pt idx="234">
                  <c:v>-3.3613945920674582E-3</c:v>
                </c:pt>
                <c:pt idx="235">
                  <c:v>-2.0512936121631527E-3</c:v>
                </c:pt>
                <c:pt idx="236">
                  <c:v>-7.6992581955231335E-4</c:v>
                </c:pt>
                <c:pt idx="237">
                  <c:v>6.2427275620102307E-5</c:v>
                </c:pt>
                <c:pt idx="238">
                  <c:v>1.6977486878503182E-3</c:v>
                </c:pt>
                <c:pt idx="239">
                  <c:v>-5.2487535338084857E-5</c:v>
                </c:pt>
                <c:pt idx="240">
                  <c:v>-1.3781842918598264E-3</c:v>
                </c:pt>
                <c:pt idx="241">
                  <c:v>-2.7341790079888594E-3</c:v>
                </c:pt>
                <c:pt idx="242">
                  <c:v>-3.549124071095654E-3</c:v>
                </c:pt>
                <c:pt idx="243">
                  <c:v>-3.9247558044289872E-3</c:v>
                </c:pt>
                <c:pt idx="244">
                  <c:v>-2.1973914259723979E-3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38-437C-8D49-C7BDE812D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144176"/>
        <c:axId val="618979104"/>
      </c:lineChart>
      <c:dateAx>
        <c:axId val="528144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979104"/>
        <c:crosses val="autoZero"/>
        <c:auto val="1"/>
        <c:lblOffset val="100"/>
        <c:baseTimeUnit val="days"/>
      </c:dateAx>
      <c:valAx>
        <c:axId val="6189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4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8E39F78-0EE8-4C62-9EB6-7CCF0C564DDA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B668C2-C3E2-444B-A0A5-98176E71AB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101.8</v>
      </c>
      <c r="D2" s="4">
        <f>MIN(D3:D1912)</f>
        <v>10.68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24.09</v>
      </c>
      <c r="C5">
        <v>24.44</v>
      </c>
      <c r="D5">
        <v>23.56</v>
      </c>
      <c r="E5">
        <v>23.62</v>
      </c>
      <c r="F5">
        <v>6877.72</v>
      </c>
      <c r="G5">
        <v>23.62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-0.86363636363635887</v>
      </c>
      <c r="Q5">
        <f t="shared" ref="Q5" si="1">F5*P5</f>
        <v>-5939.8490909090588</v>
      </c>
      <c r="R5">
        <f t="shared" ref="R5" si="2">R6+Q5</f>
        <v>-16837684.867833663</v>
      </c>
      <c r="S5">
        <f t="shared" ref="S5" si="3">R5/100000</f>
        <v>-168.37684867833661</v>
      </c>
      <c r="T5">
        <f t="shared" ref="T5" si="4">S5/1000</f>
        <v>-0.1683768486783366</v>
      </c>
    </row>
    <row r="6" spans="1:20" x14ac:dyDescent="0.25">
      <c r="A6" s="5">
        <v>44587</v>
      </c>
      <c r="B6">
        <v>23.73</v>
      </c>
      <c r="C6">
        <v>26.67</v>
      </c>
      <c r="D6">
        <v>23.49</v>
      </c>
      <c r="E6">
        <v>24.01</v>
      </c>
      <c r="F6">
        <v>116060.68</v>
      </c>
      <c r="G6">
        <v>24.01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-0.6729559748427657</v>
      </c>
      <c r="Q6">
        <f t="shared" ref="Q6" si="6">F6*P6</f>
        <v>-78103.728050314283</v>
      </c>
      <c r="R6">
        <f t="shared" ref="R6" si="7">R7+Q6</f>
        <v>-16831745.018742755</v>
      </c>
      <c r="S6">
        <f t="shared" ref="S6" si="8">R6/100000</f>
        <v>-168.31745018742754</v>
      </c>
      <c r="T6">
        <f t="shared" ref="T6" si="9">S6/1000</f>
        <v>-0.16831745018742755</v>
      </c>
    </row>
    <row r="7" spans="1:20" x14ac:dyDescent="0.25">
      <c r="A7" s="5">
        <v>44586</v>
      </c>
      <c r="B7">
        <v>23.41</v>
      </c>
      <c r="C7">
        <v>24.24</v>
      </c>
      <c r="D7">
        <v>22.61</v>
      </c>
      <c r="E7">
        <v>23.72</v>
      </c>
      <c r="F7">
        <v>121068.12</v>
      </c>
      <c r="G7">
        <v>23.72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0.36196319018404921</v>
      </c>
      <c r="Q7">
        <f t="shared" ref="Q7" si="11">F7*P7</f>
        <v>43822.202944785291</v>
      </c>
      <c r="R7">
        <f t="shared" ref="R7" si="12">R8+Q7</f>
        <v>-16753641.290692441</v>
      </c>
      <c r="S7">
        <f t="shared" ref="S7" si="13">R7/100000</f>
        <v>-167.53641290692443</v>
      </c>
      <c r="T7">
        <f t="shared" ref="T7" si="14">S7/1000</f>
        <v>-0.16753641290692442</v>
      </c>
    </row>
    <row r="8" spans="1:20" x14ac:dyDescent="0.25">
      <c r="A8" s="5">
        <v>44585</v>
      </c>
      <c r="B8">
        <v>24.37</v>
      </c>
      <c r="C8">
        <v>24.37</v>
      </c>
      <c r="D8">
        <v>20.36</v>
      </c>
      <c r="E8">
        <v>23.44</v>
      </c>
      <c r="F8">
        <v>203358.79</v>
      </c>
      <c r="G8">
        <v>23.44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0.53615960099750659</v>
      </c>
      <c r="Q8">
        <f t="shared" ref="Q8" si="16">F8*P8</f>
        <v>109032.76770573574</v>
      </c>
      <c r="R8">
        <f t="shared" ref="R8" si="17">R9+Q8</f>
        <v>-16797463.493637227</v>
      </c>
      <c r="S8">
        <f t="shared" ref="S8" si="18">R8/100000</f>
        <v>-167.97463493637227</v>
      </c>
      <c r="T8">
        <f t="shared" ref="T8" si="19">S8/1000</f>
        <v>-0.16797463493637227</v>
      </c>
    </row>
    <row r="9" spans="1:20" x14ac:dyDescent="0.25">
      <c r="A9" s="5">
        <v>44584</v>
      </c>
      <c r="B9">
        <v>23.82</v>
      </c>
      <c r="C9">
        <v>26.6</v>
      </c>
      <c r="D9">
        <v>23.21</v>
      </c>
      <c r="E9">
        <v>24.42</v>
      </c>
      <c r="F9">
        <v>219617.74</v>
      </c>
      <c r="G9">
        <v>24.42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-0.28613569321533883</v>
      </c>
      <c r="Q9">
        <f t="shared" ref="Q9" si="21">F9*P9</f>
        <v>-62840.474277286041</v>
      </c>
      <c r="R9">
        <f t="shared" ref="R9" si="22">R10+Q9</f>
        <v>-16906496.261342961</v>
      </c>
      <c r="S9">
        <f t="shared" ref="S9" si="23">R9/100000</f>
        <v>-169.0649626134296</v>
      </c>
      <c r="T9">
        <f t="shared" ref="T9" si="24">S9/1000</f>
        <v>-0.1690649626134296</v>
      </c>
    </row>
    <row r="10" spans="1:20" x14ac:dyDescent="0.25">
      <c r="A10" s="5">
        <v>44583</v>
      </c>
      <c r="B10">
        <v>24.79</v>
      </c>
      <c r="C10">
        <v>25.52</v>
      </c>
      <c r="D10">
        <v>20.7</v>
      </c>
      <c r="E10">
        <v>23.81</v>
      </c>
      <c r="F10">
        <v>228920.99</v>
      </c>
      <c r="G10">
        <v>23.81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0.2904564315352694</v>
      </c>
      <c r="Q10">
        <f t="shared" ref="Q10" si="26">F10*P10</f>
        <v>66491.573858921081</v>
      </c>
      <c r="R10">
        <f t="shared" ref="R10" si="27">R11+Q10</f>
        <v>-16843655.787065674</v>
      </c>
      <c r="S10">
        <f t="shared" ref="S10" si="28">R10/100000</f>
        <v>-168.43655787065674</v>
      </c>
      <c r="T10">
        <f t="shared" ref="T10" si="29">S10/1000</f>
        <v>-0.16843655787065676</v>
      </c>
    </row>
    <row r="11" spans="1:20" x14ac:dyDescent="0.25">
      <c r="A11" s="5">
        <v>44582</v>
      </c>
      <c r="B11">
        <v>30.18</v>
      </c>
      <c r="C11">
        <v>30.75</v>
      </c>
      <c r="D11">
        <v>24.46</v>
      </c>
      <c r="E11">
        <v>24.84</v>
      </c>
      <c r="F11">
        <v>272133.59000000003</v>
      </c>
      <c r="G11">
        <v>24.84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-0.87917329093799712</v>
      </c>
      <c r="Q11">
        <f t="shared" ref="Q11" si="31">F11*P11</f>
        <v>-239252.58389507164</v>
      </c>
      <c r="R11">
        <f t="shared" ref="R11" si="32">R12+Q11</f>
        <v>-16910147.360924594</v>
      </c>
      <c r="S11">
        <f t="shared" ref="S11" si="33">R11/100000</f>
        <v>-169.10147360924594</v>
      </c>
      <c r="T11">
        <f t="shared" ref="T11" si="34">S11/1000</f>
        <v>-0.16910147360924593</v>
      </c>
    </row>
    <row r="12" spans="1:20" x14ac:dyDescent="0.25">
      <c r="A12" s="5">
        <v>44581</v>
      </c>
      <c r="B12">
        <v>32.520000000000003</v>
      </c>
      <c r="C12">
        <v>34.42</v>
      </c>
      <c r="D12">
        <v>30.04</v>
      </c>
      <c r="E12">
        <v>30.2</v>
      </c>
      <c r="F12">
        <v>84639.6</v>
      </c>
      <c r="G12">
        <v>30.2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-0.9269406392694064</v>
      </c>
      <c r="Q12">
        <f t="shared" ref="Q12" si="36">F12*P12</f>
        <v>-78455.884931506851</v>
      </c>
      <c r="R12">
        <f t="shared" ref="R12" si="37">R13+Q12</f>
        <v>-16670894.777029522</v>
      </c>
      <c r="S12">
        <f t="shared" ref="S12" si="38">R12/100000</f>
        <v>-166.70894777029523</v>
      </c>
      <c r="T12">
        <f t="shared" ref="T12" si="39">S12/1000</f>
        <v>-0.16670894777029521</v>
      </c>
    </row>
    <row r="13" spans="1:20" x14ac:dyDescent="0.25">
      <c r="A13" s="5">
        <v>44580</v>
      </c>
      <c r="B13">
        <v>34.1</v>
      </c>
      <c r="C13">
        <v>34.46</v>
      </c>
      <c r="D13">
        <v>32.01</v>
      </c>
      <c r="E13">
        <v>32.47</v>
      </c>
      <c r="F13">
        <v>72177.100000000006</v>
      </c>
      <c r="G13">
        <v>32.47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-0.62448979591836706</v>
      </c>
      <c r="Q13">
        <f t="shared" ref="Q13" si="41">F13*P13</f>
        <v>-45073.862448979577</v>
      </c>
      <c r="R13">
        <f t="shared" ref="R13" si="42">R14+Q13</f>
        <v>-16592438.892098015</v>
      </c>
      <c r="S13">
        <f t="shared" ref="S13" si="43">R13/100000</f>
        <v>-165.92438892098016</v>
      </c>
      <c r="T13">
        <f t="shared" ref="T13" si="44">S13/1000</f>
        <v>-0.16592438892098016</v>
      </c>
    </row>
    <row r="14" spans="1:20" x14ac:dyDescent="0.25">
      <c r="A14" s="5">
        <v>44579</v>
      </c>
      <c r="B14">
        <v>34.4</v>
      </c>
      <c r="C14">
        <v>35.22</v>
      </c>
      <c r="D14">
        <v>33.020000000000003</v>
      </c>
      <c r="E14">
        <v>34.08</v>
      </c>
      <c r="F14">
        <v>60345.54</v>
      </c>
      <c r="G14">
        <v>34.08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-3.6363636363638888E-2</v>
      </c>
      <c r="Q14">
        <f t="shared" ref="Q14" si="46">F14*P14</f>
        <v>-2194.3832727274253</v>
      </c>
      <c r="R14">
        <f t="shared" ref="R14" si="47">R15+Q14</f>
        <v>-16547365.029649036</v>
      </c>
      <c r="S14">
        <f t="shared" ref="S14" si="48">R14/100000</f>
        <v>-165.47365029649035</v>
      </c>
      <c r="T14">
        <f t="shared" ref="T14" si="49">S14/1000</f>
        <v>-0.16547365029649036</v>
      </c>
    </row>
    <row r="15" spans="1:20" x14ac:dyDescent="0.25">
      <c r="A15" s="5">
        <v>44578</v>
      </c>
      <c r="B15">
        <v>36.32</v>
      </c>
      <c r="C15">
        <v>36.53</v>
      </c>
      <c r="D15">
        <v>33.71</v>
      </c>
      <c r="E15">
        <v>34.450000000000003</v>
      </c>
      <c r="F15">
        <v>77830.759999999995</v>
      </c>
      <c r="G15">
        <v>34.450000000000003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-0.47517730496453764</v>
      </c>
      <c r="Q15">
        <f t="shared" ref="Q15" si="51">F15*P15</f>
        <v>-36983.410780141734</v>
      </c>
      <c r="R15">
        <f t="shared" ref="R15" si="52">R16+Q15</f>
        <v>-16545170.646376308</v>
      </c>
      <c r="S15">
        <f t="shared" ref="S15" si="53">R15/100000</f>
        <v>-165.45170646376309</v>
      </c>
      <c r="T15">
        <f t="shared" ref="T15" si="54">S15/1000</f>
        <v>-0.16545170646376309</v>
      </c>
    </row>
    <row r="16" spans="1:20" x14ac:dyDescent="0.25">
      <c r="A16" s="5">
        <v>44577</v>
      </c>
      <c r="B16">
        <v>36.200000000000003</v>
      </c>
      <c r="C16">
        <v>36.9</v>
      </c>
      <c r="D16">
        <v>35.229999999999997</v>
      </c>
      <c r="E16">
        <v>36.32</v>
      </c>
      <c r="F16">
        <v>66852.679999999993</v>
      </c>
      <c r="G16">
        <v>36.32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0.30538922155688897</v>
      </c>
      <c r="Q16">
        <f t="shared" ref="Q16" si="56">F16*P16</f>
        <v>20416.087904191798</v>
      </c>
      <c r="R16">
        <f t="shared" ref="R16" si="57">R17+Q16</f>
        <v>-16508187.235596167</v>
      </c>
      <c r="S16">
        <f t="shared" ref="S16" si="58">R16/100000</f>
        <v>-165.08187235596168</v>
      </c>
      <c r="T16">
        <f t="shared" ref="T16" si="59">S16/1000</f>
        <v>-0.16508187235596167</v>
      </c>
    </row>
    <row r="17" spans="1:20" x14ac:dyDescent="0.25">
      <c r="A17" s="5">
        <v>44576</v>
      </c>
      <c r="B17">
        <v>36.21</v>
      </c>
      <c r="C17">
        <v>37</v>
      </c>
      <c r="D17">
        <v>35.380000000000003</v>
      </c>
      <c r="E17">
        <v>36.159999999999997</v>
      </c>
      <c r="F17">
        <v>83742.259999999995</v>
      </c>
      <c r="G17">
        <v>36.159999999999997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-3.7037037037042884E-2</v>
      </c>
      <c r="Q17">
        <f t="shared" ref="Q17" si="61">F17*P17</f>
        <v>-3101.5651851856746</v>
      </c>
      <c r="R17">
        <f t="shared" ref="R17" si="62">R18+Q17</f>
        <v>-16528603.323500359</v>
      </c>
      <c r="S17">
        <f t="shared" ref="S17" si="63">R17/100000</f>
        <v>-165.2860332350036</v>
      </c>
      <c r="T17">
        <f t="shared" ref="T17" si="64">S17/1000</f>
        <v>-0.1652860332350036</v>
      </c>
    </row>
    <row r="18" spans="1:20" x14ac:dyDescent="0.25">
      <c r="A18" s="5">
        <v>44575</v>
      </c>
      <c r="B18">
        <v>35.68</v>
      </c>
      <c r="C18">
        <v>37.36</v>
      </c>
      <c r="D18">
        <v>34.659999999999997</v>
      </c>
      <c r="E18">
        <v>36.25</v>
      </c>
      <c r="F18">
        <v>133460.32999999999</v>
      </c>
      <c r="G18">
        <v>36.25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0.17777777777777906</v>
      </c>
      <c r="Q18">
        <f t="shared" ref="Q18" si="66">F18*P18</f>
        <v>23726.280888889058</v>
      </c>
      <c r="R18">
        <f t="shared" ref="R18" si="67">R19+Q18</f>
        <v>-16525501.758315174</v>
      </c>
      <c r="S18">
        <f t="shared" ref="S18" si="68">R18/100000</f>
        <v>-165.25501758315173</v>
      </c>
      <c r="T18">
        <f t="shared" ref="T18" si="69">S18/1000</f>
        <v>-0.16525501758315173</v>
      </c>
    </row>
    <row r="19" spans="1:20" x14ac:dyDescent="0.25">
      <c r="A19" s="5">
        <v>44574</v>
      </c>
      <c r="B19">
        <v>39.19</v>
      </c>
      <c r="C19">
        <v>39.28</v>
      </c>
      <c r="D19">
        <v>35.57</v>
      </c>
      <c r="E19">
        <v>35.729999999999997</v>
      </c>
      <c r="F19">
        <v>91636.89</v>
      </c>
      <c r="G19">
        <v>35.729999999999997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-0.91374663072776463</v>
      </c>
      <c r="Q19">
        <f t="shared" ref="Q19" si="71">F19*P19</f>
        <v>-83732.899487870789</v>
      </c>
      <c r="R19">
        <f t="shared" ref="R19" si="72">R20+Q19</f>
        <v>-16549228.039204063</v>
      </c>
      <c r="S19">
        <f t="shared" ref="S19" si="73">R19/100000</f>
        <v>-165.49228039204064</v>
      </c>
      <c r="T19">
        <f t="shared" ref="T19" si="74">S19/1000</f>
        <v>-0.16549228039204064</v>
      </c>
    </row>
    <row r="20" spans="1:20" x14ac:dyDescent="0.25">
      <c r="A20" s="5">
        <v>44573</v>
      </c>
      <c r="B20">
        <v>36.86</v>
      </c>
      <c r="C20">
        <v>39.4</v>
      </c>
      <c r="D20">
        <v>36.299999999999997</v>
      </c>
      <c r="E20">
        <v>39.15</v>
      </c>
      <c r="F20">
        <v>90468.36</v>
      </c>
      <c r="G20">
        <v>39.15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0.83870967741935487</v>
      </c>
      <c r="Q20">
        <f t="shared" ref="Q20" si="76">F20*P20</f>
        <v>75876.689032258073</v>
      </c>
      <c r="R20">
        <f t="shared" ref="R20" si="77">R21+Q20</f>
        <v>-16465495.139716191</v>
      </c>
      <c r="S20">
        <f t="shared" ref="S20" si="78">R20/100000</f>
        <v>-164.65495139716191</v>
      </c>
      <c r="T20">
        <f t="shared" ref="T20" si="79">S20/1000</f>
        <v>-0.16465495139716191</v>
      </c>
    </row>
    <row r="21" spans="1:20" x14ac:dyDescent="0.25">
      <c r="A21" s="5">
        <v>44572</v>
      </c>
      <c r="B21">
        <v>33.340000000000003</v>
      </c>
      <c r="C21">
        <v>37.15</v>
      </c>
      <c r="D21">
        <v>33.06</v>
      </c>
      <c r="E21">
        <v>36.85</v>
      </c>
      <c r="F21">
        <v>121896.77</v>
      </c>
      <c r="G21">
        <v>36.85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0.85330073349633373</v>
      </c>
      <c r="Q21">
        <f t="shared" ref="Q21" si="81">F21*P21</f>
        <v>104014.60325183389</v>
      </c>
      <c r="R21">
        <f t="shared" ref="R21" si="82">R22+Q21</f>
        <v>-16541371.82874845</v>
      </c>
      <c r="S21">
        <f t="shared" ref="S21" si="83">R21/100000</f>
        <v>-165.4137182874845</v>
      </c>
      <c r="T21">
        <f t="shared" ref="T21" si="84">S21/1000</f>
        <v>-0.1654137182874845</v>
      </c>
    </row>
    <row r="22" spans="1:20" x14ac:dyDescent="0.25">
      <c r="A22" s="5">
        <v>44571</v>
      </c>
      <c r="B22">
        <v>37.1</v>
      </c>
      <c r="C22">
        <v>37.450000000000003</v>
      </c>
      <c r="D22">
        <v>32.19</v>
      </c>
      <c r="E22">
        <v>33.36</v>
      </c>
      <c r="F22">
        <v>166207.24</v>
      </c>
      <c r="G22">
        <v>33.36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-0.55513307984790849</v>
      </c>
      <c r="Q22">
        <f t="shared" ref="Q22" si="86">F22*P22</f>
        <v>-92267.13703422049</v>
      </c>
      <c r="R22">
        <f t="shared" ref="R22" si="87">R23+Q22</f>
        <v>-16645386.432000283</v>
      </c>
      <c r="S22">
        <f t="shared" ref="S22" si="88">R22/100000</f>
        <v>-166.45386432000282</v>
      </c>
      <c r="T22">
        <f t="shared" ref="T22" si="89">S22/1000</f>
        <v>-0.16645386432000281</v>
      </c>
    </row>
    <row r="23" spans="1:20" x14ac:dyDescent="0.25">
      <c r="A23" s="5">
        <v>44570</v>
      </c>
      <c r="B23">
        <v>35.01</v>
      </c>
      <c r="C23">
        <v>38.130000000000003</v>
      </c>
      <c r="D23">
        <v>34.68</v>
      </c>
      <c r="E23">
        <v>37.06</v>
      </c>
      <c r="F23">
        <v>87242.15</v>
      </c>
      <c r="G23">
        <v>37.06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0.37971014492753657</v>
      </c>
      <c r="Q23">
        <f t="shared" ref="Q23" si="91">F23*P23</f>
        <v>33126.729420289885</v>
      </c>
      <c r="R23">
        <f t="shared" ref="R23" si="92">R24+Q23</f>
        <v>-16553119.294966063</v>
      </c>
      <c r="S23">
        <f t="shared" ref="S23" si="93">R23/100000</f>
        <v>-165.53119294966064</v>
      </c>
      <c r="T23">
        <f t="shared" ref="T23" si="94">S23/1000</f>
        <v>-0.16553119294966062</v>
      </c>
    </row>
    <row r="24" spans="1:20" x14ac:dyDescent="0.25">
      <c r="A24" s="5">
        <v>44569</v>
      </c>
      <c r="B24">
        <v>37.14</v>
      </c>
      <c r="C24">
        <v>38.619999999999997</v>
      </c>
      <c r="D24">
        <v>33.78</v>
      </c>
      <c r="E24">
        <v>35</v>
      </c>
      <c r="F24">
        <v>133697.25</v>
      </c>
      <c r="G24">
        <v>35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-0.49586776859504139</v>
      </c>
      <c r="Q24">
        <f t="shared" ref="Q24" si="96">F24*P24</f>
        <v>-66296.1570247934</v>
      </c>
      <c r="R24">
        <f t="shared" ref="R24" si="97">R25+Q24</f>
        <v>-16586246.024386352</v>
      </c>
      <c r="S24">
        <f t="shared" ref="S24" si="98">R24/100000</f>
        <v>-165.86246024386352</v>
      </c>
      <c r="T24">
        <f t="shared" ref="T24" si="99">S24/1000</f>
        <v>-0.16586246024386353</v>
      </c>
    </row>
    <row r="25" spans="1:20" x14ac:dyDescent="0.25">
      <c r="A25" s="5">
        <v>44568</v>
      </c>
      <c r="B25">
        <v>41.83</v>
      </c>
      <c r="C25">
        <v>41.9</v>
      </c>
      <c r="D25">
        <v>36.4</v>
      </c>
      <c r="E25">
        <v>37.11</v>
      </c>
      <c r="F25">
        <v>200016.84</v>
      </c>
      <c r="G25">
        <v>37.11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-0.74181818181818149</v>
      </c>
      <c r="Q25">
        <f t="shared" ref="Q25" si="101">F25*P25</f>
        <v>-148376.12858181811</v>
      </c>
      <c r="R25">
        <f t="shared" ref="R25" si="102">R26+Q25</f>
        <v>-16519949.867361559</v>
      </c>
      <c r="S25">
        <f t="shared" ref="S25" si="103">R25/100000</f>
        <v>-165.19949867361558</v>
      </c>
      <c r="T25">
        <f t="shared" ref="T25" si="104">S25/1000</f>
        <v>-0.16519949867361558</v>
      </c>
    </row>
    <row r="26" spans="1:20" x14ac:dyDescent="0.25">
      <c r="A26" s="5">
        <v>44567</v>
      </c>
      <c r="B26">
        <v>42.44</v>
      </c>
      <c r="C26">
        <v>46.79</v>
      </c>
      <c r="D26">
        <v>40.39</v>
      </c>
      <c r="E26">
        <v>41.85</v>
      </c>
      <c r="F26">
        <v>579815.22</v>
      </c>
      <c r="G26">
        <v>41.85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-0.54374999999999962</v>
      </c>
      <c r="Q26">
        <f t="shared" ref="Q26" si="106">F26*P26</f>
        <v>-315274.52587499976</v>
      </c>
      <c r="R26">
        <f t="shared" ref="R26" si="107">R27+Q26</f>
        <v>-16371573.73877974</v>
      </c>
      <c r="S26">
        <f t="shared" ref="S26" si="108">R26/100000</f>
        <v>-163.71573738779742</v>
      </c>
      <c r="T26">
        <f t="shared" ref="T26" si="109">S26/1000</f>
        <v>-0.16371573738779741</v>
      </c>
    </row>
    <row r="27" spans="1:20" x14ac:dyDescent="0.25">
      <c r="A27" s="5">
        <v>44566</v>
      </c>
      <c r="B27">
        <v>42.85</v>
      </c>
      <c r="C27">
        <v>52.16</v>
      </c>
      <c r="D27">
        <v>39.659999999999997</v>
      </c>
      <c r="E27">
        <v>42.41</v>
      </c>
      <c r="F27">
        <v>912753.92</v>
      </c>
      <c r="G27">
        <v>42.41</v>
      </c>
      <c r="L27" t="s">
        <v>8</v>
      </c>
      <c r="M27" t="s">
        <v>8</v>
      </c>
      <c r="N27" t="s">
        <v>7</v>
      </c>
      <c r="P27">
        <f t="shared" ref="P27" si="110">IF(C27=D27,0,((E27-D27)-(C27-E27))/(C27-D27))</f>
        <v>-0.56000000000000005</v>
      </c>
      <c r="Q27">
        <f t="shared" ref="Q27" si="111">F27*P27</f>
        <v>-511142.19520000007</v>
      </c>
      <c r="R27">
        <f t="shared" ref="R27" si="112">R28+Q27</f>
        <v>-16056299.21290474</v>
      </c>
      <c r="S27">
        <f t="shared" ref="S27" si="113">R27/100000</f>
        <v>-160.56299212904739</v>
      </c>
      <c r="T27">
        <f t="shared" ref="T27" si="114">S27/1000</f>
        <v>-0.1605629921290474</v>
      </c>
    </row>
    <row r="28" spans="1:20" x14ac:dyDescent="0.25">
      <c r="A28" s="5">
        <v>44565</v>
      </c>
      <c r="B28">
        <v>41.84</v>
      </c>
      <c r="C28">
        <v>46.01</v>
      </c>
      <c r="D28">
        <v>40.69</v>
      </c>
      <c r="E28">
        <v>42.8</v>
      </c>
      <c r="F28">
        <v>244730.79</v>
      </c>
      <c r="G28">
        <v>42.8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-0.20676691729323335</v>
      </c>
      <c r="Q28">
        <f t="shared" ref="Q28" si="116">F28*P28</f>
        <v>-50602.231015037658</v>
      </c>
      <c r="R28">
        <f t="shared" ref="R28" si="117">R29+Q28</f>
        <v>-15545157.01770474</v>
      </c>
      <c r="S28">
        <f t="shared" ref="S28" si="118">R28/100000</f>
        <v>-155.45157017704742</v>
      </c>
      <c r="T28">
        <f t="shared" ref="T28" si="119">S28/1000</f>
        <v>-0.15545157017704742</v>
      </c>
    </row>
    <row r="29" spans="1:20" x14ac:dyDescent="0.25">
      <c r="A29" s="5">
        <v>44564</v>
      </c>
      <c r="B29">
        <v>40.68</v>
      </c>
      <c r="C29">
        <v>42.78</v>
      </c>
      <c r="D29">
        <v>40.01</v>
      </c>
      <c r="E29">
        <v>41.84</v>
      </c>
      <c r="F29">
        <v>166457.25</v>
      </c>
      <c r="G29">
        <v>41.84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0.32129963898917208</v>
      </c>
      <c r="Q29">
        <f t="shared" ref="Q29" si="121">F29*P29</f>
        <v>53482.654332130362</v>
      </c>
      <c r="R29">
        <f t="shared" ref="R29" si="122">R30+Q29</f>
        <v>-15494554.786689702</v>
      </c>
      <c r="S29">
        <f t="shared" ref="S29" si="123">R29/100000</f>
        <v>-154.94554786689702</v>
      </c>
      <c r="T29">
        <f t="shared" ref="T29" si="124">S29/1000</f>
        <v>-0.15494554786689702</v>
      </c>
    </row>
    <row r="30" spans="1:20" x14ac:dyDescent="0.25">
      <c r="A30" s="5">
        <v>44563</v>
      </c>
      <c r="B30">
        <v>41.05</v>
      </c>
      <c r="C30">
        <v>41.26</v>
      </c>
      <c r="D30">
        <v>39.79</v>
      </c>
      <c r="E30">
        <v>40.700000000000003</v>
      </c>
      <c r="F30">
        <v>88075.64</v>
      </c>
      <c r="G30">
        <v>40.700000000000003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0.23809523809524408</v>
      </c>
      <c r="Q30">
        <f t="shared" ref="Q30" si="126">F30*P30</f>
        <v>20970.390476191002</v>
      </c>
      <c r="R30">
        <f t="shared" ref="R30" si="127">R31+Q30</f>
        <v>-15548037.441021834</v>
      </c>
      <c r="S30">
        <f t="shared" ref="S30" si="128">R30/100000</f>
        <v>-155.48037441021833</v>
      </c>
      <c r="T30">
        <f t="shared" ref="T30" si="129">S30/1000</f>
        <v>-0.15548037441021834</v>
      </c>
    </row>
    <row r="31" spans="1:20" x14ac:dyDescent="0.25">
      <c r="A31" s="5">
        <v>44562</v>
      </c>
      <c r="B31">
        <v>39.700000000000003</v>
      </c>
      <c r="C31">
        <v>41.84</v>
      </c>
      <c r="D31">
        <v>39.6</v>
      </c>
      <c r="E31">
        <v>41.05</v>
      </c>
      <c r="F31">
        <v>86110.85</v>
      </c>
      <c r="G31">
        <v>41.05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0.29464285714285221</v>
      </c>
      <c r="Q31">
        <f t="shared" ref="Q31" si="131">F31*P31</f>
        <v>25371.946874999576</v>
      </c>
      <c r="R31">
        <f t="shared" ref="R31" si="132">R32+Q31</f>
        <v>-15569007.831498025</v>
      </c>
      <c r="S31">
        <f t="shared" ref="S31" si="133">R31/100000</f>
        <v>-155.69007831498024</v>
      </c>
      <c r="T31">
        <f t="shared" ref="T31" si="134">S31/1000</f>
        <v>-0.15569007831498025</v>
      </c>
    </row>
    <row r="32" spans="1:20" x14ac:dyDescent="0.25">
      <c r="A32" s="5">
        <v>44561</v>
      </c>
      <c r="B32">
        <v>40.29</v>
      </c>
      <c r="C32">
        <v>42.59</v>
      </c>
      <c r="D32">
        <v>38.68</v>
      </c>
      <c r="E32">
        <v>39.659999999999997</v>
      </c>
      <c r="F32">
        <v>175658.6</v>
      </c>
      <c r="G32">
        <v>39.659999999999997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-0.49872122762148546</v>
      </c>
      <c r="Q32">
        <f t="shared" ref="Q32" si="136">F32*P32</f>
        <v>-87604.672634271468</v>
      </c>
      <c r="R32">
        <f t="shared" ref="R32" si="137">R33+Q32</f>
        <v>-15594379.778373025</v>
      </c>
      <c r="S32">
        <f t="shared" ref="S32" si="138">R32/100000</f>
        <v>-155.94379778373025</v>
      </c>
      <c r="T32">
        <f t="shared" ref="T32" si="139">S32/1000</f>
        <v>-0.15594379778373024</v>
      </c>
    </row>
    <row r="33" spans="1:20" x14ac:dyDescent="0.25">
      <c r="A33" s="5">
        <v>44560</v>
      </c>
      <c r="B33">
        <v>42.54</v>
      </c>
      <c r="C33">
        <v>42.63</v>
      </c>
      <c r="D33">
        <v>39.42</v>
      </c>
      <c r="E33">
        <v>40.31</v>
      </c>
      <c r="F33">
        <v>201981.23</v>
      </c>
      <c r="G33">
        <v>40.31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-0.44548286604361348</v>
      </c>
      <c r="Q33">
        <f t="shared" ref="Q33" si="141">F33*P33</f>
        <v>-89979.177227414286</v>
      </c>
      <c r="R33">
        <f t="shared" ref="R33" si="142">R34+Q33</f>
        <v>-15506775.105738753</v>
      </c>
      <c r="S33">
        <f t="shared" ref="S33" si="143">R33/100000</f>
        <v>-155.06775105738754</v>
      </c>
      <c r="T33">
        <f t="shared" ref="T33" si="144">S33/1000</f>
        <v>-0.15506775105738754</v>
      </c>
    </row>
    <row r="34" spans="1:20" x14ac:dyDescent="0.25">
      <c r="A34" s="5">
        <v>44559</v>
      </c>
      <c r="B34">
        <v>38.450000000000003</v>
      </c>
      <c r="C34">
        <v>57.27</v>
      </c>
      <c r="D34">
        <v>38.44</v>
      </c>
      <c r="E34">
        <v>42.54</v>
      </c>
      <c r="F34">
        <v>963549.77</v>
      </c>
      <c r="G34">
        <v>42.54</v>
      </c>
      <c r="L34" t="s">
        <v>8</v>
      </c>
      <c r="M34" t="s">
        <v>8</v>
      </c>
      <c r="N34" t="s">
        <v>8</v>
      </c>
      <c r="P34">
        <f t="shared" ref="P34" si="145">IF(C34=D34,0,((E34-D34)-(C34-E34))/(C34-D34))</f>
        <v>-0.56452469463621879</v>
      </c>
      <c r="Q34">
        <f t="shared" ref="Q34" si="146">F34*P34</f>
        <v>-543947.63967604889</v>
      </c>
      <c r="R34">
        <f t="shared" ref="R34" si="147">R35+Q34</f>
        <v>-15416795.928511338</v>
      </c>
      <c r="S34">
        <f t="shared" ref="S34" si="148">R34/100000</f>
        <v>-154.16795928511337</v>
      </c>
      <c r="T34">
        <f t="shared" ref="T34" si="149">S34/1000</f>
        <v>-0.15416795928511337</v>
      </c>
    </row>
    <row r="35" spans="1:20" x14ac:dyDescent="0.25">
      <c r="A35" s="5">
        <v>44558</v>
      </c>
      <c r="B35">
        <v>43.63</v>
      </c>
      <c r="C35">
        <v>43.63</v>
      </c>
      <c r="D35">
        <v>38.01</v>
      </c>
      <c r="E35">
        <v>38.5</v>
      </c>
      <c r="F35">
        <v>113253.45</v>
      </c>
      <c r="G35">
        <v>38.5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-0.82562277580071119</v>
      </c>
      <c r="Q35">
        <f t="shared" ref="Q35" si="151">F35*P35</f>
        <v>-93504.62775800706</v>
      </c>
      <c r="R35">
        <f t="shared" ref="R35" si="152">R36+Q35</f>
        <v>-14872848.288835289</v>
      </c>
      <c r="S35">
        <f t="shared" ref="S35" si="153">R35/100000</f>
        <v>-148.72848288835289</v>
      </c>
      <c r="T35">
        <f t="shared" ref="T35" si="154">S35/1000</f>
        <v>-0.14872848288835289</v>
      </c>
    </row>
    <row r="36" spans="1:20" x14ac:dyDescent="0.25">
      <c r="A36" s="5">
        <v>44557</v>
      </c>
      <c r="B36">
        <v>43.5</v>
      </c>
      <c r="C36">
        <v>46.8</v>
      </c>
      <c r="D36">
        <v>43.14</v>
      </c>
      <c r="E36">
        <v>43.59</v>
      </c>
      <c r="F36">
        <v>109997.75</v>
      </c>
      <c r="G36">
        <v>43.59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-0.75409836065573588</v>
      </c>
      <c r="Q36">
        <f t="shared" ref="Q36" si="156">F36*P36</f>
        <v>-82949.122950819466</v>
      </c>
      <c r="R36">
        <f t="shared" ref="R36" si="157">R37+Q36</f>
        <v>-14779343.661077281</v>
      </c>
      <c r="S36">
        <f t="shared" ref="S36" si="158">R36/100000</f>
        <v>-147.7934366107728</v>
      </c>
      <c r="T36">
        <f t="shared" ref="T36" si="159">S36/1000</f>
        <v>-0.14779343661077279</v>
      </c>
    </row>
    <row r="37" spans="1:20" x14ac:dyDescent="0.25">
      <c r="A37" s="5">
        <v>44556</v>
      </c>
      <c r="B37">
        <v>44.52</v>
      </c>
      <c r="C37">
        <v>45</v>
      </c>
      <c r="D37">
        <v>42.7</v>
      </c>
      <c r="E37">
        <v>43.51</v>
      </c>
      <c r="F37">
        <v>89913.68</v>
      </c>
      <c r="G37">
        <v>43.51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-0.29565217391304682</v>
      </c>
      <c r="Q37">
        <f t="shared" ref="Q37" si="161">F37*P37</f>
        <v>-26583.174956522038</v>
      </c>
      <c r="R37">
        <f t="shared" ref="R37" si="162">R38+Q37</f>
        <v>-14696394.538126461</v>
      </c>
      <c r="S37">
        <f t="shared" ref="S37" si="163">R37/100000</f>
        <v>-146.96394538126461</v>
      </c>
      <c r="T37">
        <f t="shared" ref="T37" si="164">S37/1000</f>
        <v>-0.14696394538126462</v>
      </c>
    </row>
    <row r="38" spans="1:20" x14ac:dyDescent="0.25">
      <c r="A38" s="5">
        <v>44555</v>
      </c>
      <c r="B38">
        <v>44.18</v>
      </c>
      <c r="C38">
        <v>48</v>
      </c>
      <c r="D38">
        <v>44</v>
      </c>
      <c r="E38">
        <v>44.57</v>
      </c>
      <c r="F38">
        <v>120807.31</v>
      </c>
      <c r="G38">
        <v>44.57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-0.71499999999999986</v>
      </c>
      <c r="Q38">
        <f t="shared" ref="Q38" si="166">F38*P38</f>
        <v>-86377.226649999982</v>
      </c>
      <c r="R38">
        <f t="shared" ref="R38" si="167">R39+Q38</f>
        <v>-14669811.363169938</v>
      </c>
      <c r="S38">
        <f t="shared" ref="S38" si="168">R38/100000</f>
        <v>-146.69811363169939</v>
      </c>
      <c r="T38">
        <f t="shared" ref="T38" si="169">S38/1000</f>
        <v>-0.14669811363169938</v>
      </c>
    </row>
    <row r="39" spans="1:20" x14ac:dyDescent="0.25">
      <c r="A39" s="5">
        <v>44554</v>
      </c>
      <c r="B39">
        <v>44.47</v>
      </c>
      <c r="C39">
        <v>46.88</v>
      </c>
      <c r="D39">
        <v>43.72</v>
      </c>
      <c r="E39">
        <v>44.12</v>
      </c>
      <c r="F39">
        <v>185660.88</v>
      </c>
      <c r="G39">
        <v>44.12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-0.74683544303797589</v>
      </c>
      <c r="Q39">
        <f t="shared" ref="Q39" si="171">F39*P39</f>
        <v>-138658.12556962049</v>
      </c>
      <c r="R39">
        <f t="shared" ref="R39" si="172">R40+Q39</f>
        <v>-14583434.136519939</v>
      </c>
      <c r="S39">
        <f t="shared" ref="S39" si="173">R39/100000</f>
        <v>-145.83434136519938</v>
      </c>
      <c r="T39">
        <f t="shared" ref="T39" si="174">S39/1000</f>
        <v>-0.14583434136519938</v>
      </c>
    </row>
    <row r="40" spans="1:20" x14ac:dyDescent="0.25">
      <c r="A40" s="5">
        <v>44553</v>
      </c>
      <c r="B40">
        <v>41.41</v>
      </c>
      <c r="C40">
        <v>46.33</v>
      </c>
      <c r="D40">
        <v>40.119999999999997</v>
      </c>
      <c r="E40">
        <v>44.44</v>
      </c>
      <c r="F40">
        <v>422991.96</v>
      </c>
      <c r="G40">
        <v>44.44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0.39130434782608686</v>
      </c>
      <c r="Q40">
        <f t="shared" ref="Q40" si="176">F40*P40</f>
        <v>165518.59304347823</v>
      </c>
      <c r="R40">
        <f t="shared" ref="R40" si="177">R41+Q40</f>
        <v>-14444776.010950318</v>
      </c>
      <c r="S40">
        <f t="shared" ref="S40" si="178">R40/100000</f>
        <v>-144.44776010950318</v>
      </c>
      <c r="T40">
        <f t="shared" ref="T40" si="179">S40/1000</f>
        <v>-0.14444776010950316</v>
      </c>
    </row>
    <row r="41" spans="1:20" x14ac:dyDescent="0.25">
      <c r="A41" s="5">
        <v>44552</v>
      </c>
      <c r="B41">
        <v>36.56</v>
      </c>
      <c r="C41">
        <v>41.93</v>
      </c>
      <c r="D41">
        <v>36.56</v>
      </c>
      <c r="E41">
        <v>41.43</v>
      </c>
      <c r="F41">
        <v>174539.58</v>
      </c>
      <c r="G41">
        <v>41.43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0.81378026070763487</v>
      </c>
      <c r="Q41">
        <f t="shared" ref="Q41" si="181">F41*P41</f>
        <v>142036.86491620107</v>
      </c>
      <c r="R41">
        <f t="shared" ref="R41" si="182">R42+Q41</f>
        <v>-14610294.603993796</v>
      </c>
      <c r="S41">
        <f t="shared" ref="S41" si="183">R41/100000</f>
        <v>-146.10294603993796</v>
      </c>
      <c r="T41">
        <f t="shared" ref="T41" si="184">S41/1000</f>
        <v>-0.14610294603993795</v>
      </c>
    </row>
    <row r="42" spans="1:20" x14ac:dyDescent="0.25">
      <c r="A42" s="5">
        <v>44551</v>
      </c>
      <c r="B42">
        <v>34.119999999999997</v>
      </c>
      <c r="C42">
        <v>37.450000000000003</v>
      </c>
      <c r="D42">
        <v>33.729999999999997</v>
      </c>
      <c r="E42">
        <v>36.56</v>
      </c>
      <c r="F42">
        <v>98934.98</v>
      </c>
      <c r="G42">
        <v>36.56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0.52150537634408645</v>
      </c>
      <c r="Q42">
        <f t="shared" ref="Q42" si="186">F42*P42</f>
        <v>51595.123978494667</v>
      </c>
      <c r="R42">
        <f t="shared" ref="R42" si="187">R43+Q42</f>
        <v>-14752331.468909997</v>
      </c>
      <c r="S42">
        <f t="shared" ref="S42" si="188">R42/100000</f>
        <v>-147.52331468909998</v>
      </c>
      <c r="T42">
        <f t="shared" ref="T42" si="189">S42/1000</f>
        <v>-0.14752331468909999</v>
      </c>
    </row>
    <row r="43" spans="1:20" x14ac:dyDescent="0.25">
      <c r="A43" s="5">
        <v>44550</v>
      </c>
      <c r="B43">
        <v>35.119999999999997</v>
      </c>
      <c r="C43">
        <v>35.229999999999997</v>
      </c>
      <c r="D43">
        <v>32.32</v>
      </c>
      <c r="E43">
        <v>34.090000000000003</v>
      </c>
      <c r="F43">
        <v>102296.23</v>
      </c>
      <c r="G43">
        <v>34.090000000000003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0.2164948453608283</v>
      </c>
      <c r="Q43">
        <f t="shared" ref="Q43" si="191">F43*P43</f>
        <v>22146.606494845724</v>
      </c>
      <c r="R43">
        <f t="shared" ref="R43" si="192">R44+Q43</f>
        <v>-14803926.592888493</v>
      </c>
      <c r="S43">
        <f t="shared" ref="S43" si="193">R43/100000</f>
        <v>-148.03926592888493</v>
      </c>
      <c r="T43">
        <f t="shared" ref="T43" si="194">S43/1000</f>
        <v>-0.14803926592888492</v>
      </c>
    </row>
    <row r="44" spans="1:20" x14ac:dyDescent="0.25">
      <c r="A44" s="5">
        <v>44549</v>
      </c>
      <c r="B44">
        <v>36.33</v>
      </c>
      <c r="C44">
        <v>37.869999999999997</v>
      </c>
      <c r="D44">
        <v>35.08</v>
      </c>
      <c r="E44">
        <v>35.119999999999997</v>
      </c>
      <c r="F44">
        <v>65098.64</v>
      </c>
      <c r="G44">
        <v>35.119999999999997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-0.97132616487455259</v>
      </c>
      <c r="Q44">
        <f t="shared" ref="Q44" si="196">F44*P44</f>
        <v>-63232.012329749145</v>
      </c>
      <c r="R44">
        <f t="shared" ref="R44" si="197">R45+Q44</f>
        <v>-14826073.199383339</v>
      </c>
      <c r="S44">
        <f t="shared" ref="S44" si="198">R44/100000</f>
        <v>-148.26073199383339</v>
      </c>
      <c r="T44">
        <f t="shared" ref="T44" si="199">S44/1000</f>
        <v>-0.14826073199383338</v>
      </c>
    </row>
    <row r="45" spans="1:20" x14ac:dyDescent="0.25">
      <c r="A45" s="5">
        <v>44548</v>
      </c>
      <c r="B45">
        <v>36.130000000000003</v>
      </c>
      <c r="C45">
        <v>37.25</v>
      </c>
      <c r="D45">
        <v>35.340000000000003</v>
      </c>
      <c r="E45">
        <v>36.4</v>
      </c>
      <c r="F45">
        <v>51341.99</v>
      </c>
      <c r="G45">
        <v>36.4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0.10994764397905452</v>
      </c>
      <c r="Q45">
        <f t="shared" ref="Q45" si="201">F45*P45</f>
        <v>5644.9308376961772</v>
      </c>
      <c r="R45">
        <f t="shared" ref="R45" si="202">R46+Q45</f>
        <v>-14762841.187053589</v>
      </c>
      <c r="S45">
        <f t="shared" ref="S45" si="203">R45/100000</f>
        <v>-147.6284118705359</v>
      </c>
      <c r="T45">
        <f t="shared" ref="T45" si="204">S45/1000</f>
        <v>-0.14762841187053591</v>
      </c>
    </row>
    <row r="46" spans="1:20" x14ac:dyDescent="0.25">
      <c r="A46" s="5">
        <v>44547</v>
      </c>
      <c r="B46">
        <v>36.770000000000003</v>
      </c>
      <c r="C46">
        <v>38.369999999999997</v>
      </c>
      <c r="D46">
        <v>34.340000000000003</v>
      </c>
      <c r="E46">
        <v>36.130000000000003</v>
      </c>
      <c r="F46">
        <v>148945.73000000001</v>
      </c>
      <c r="G46">
        <v>36.130000000000003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-0.11166253101736884</v>
      </c>
      <c r="Q46">
        <f t="shared" ref="Q46" si="206">F46*P46</f>
        <v>-16631.657196029646</v>
      </c>
      <c r="R46">
        <f t="shared" ref="R46" si="207">R47+Q46</f>
        <v>-14768486.117891286</v>
      </c>
      <c r="S46">
        <f t="shared" ref="S46" si="208">R46/100000</f>
        <v>-147.68486117891285</v>
      </c>
      <c r="T46">
        <f t="shared" ref="T46" si="209">S46/1000</f>
        <v>-0.14768486117891286</v>
      </c>
    </row>
    <row r="47" spans="1:20" x14ac:dyDescent="0.25">
      <c r="A47" s="5">
        <v>44546</v>
      </c>
      <c r="B47">
        <v>35.31</v>
      </c>
      <c r="C47">
        <v>39.9</v>
      </c>
      <c r="D47">
        <v>35.049999999999997</v>
      </c>
      <c r="E47">
        <v>36.770000000000003</v>
      </c>
      <c r="F47">
        <v>396104.5</v>
      </c>
      <c r="G47">
        <v>36.770000000000003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-0.29072164948453383</v>
      </c>
      <c r="Q47">
        <f t="shared" ref="Q47" si="211">F47*P47</f>
        <v>-115156.15360824653</v>
      </c>
      <c r="R47">
        <f t="shared" ref="R47" si="212">R48+Q47</f>
        <v>-14751854.460695256</v>
      </c>
      <c r="S47">
        <f t="shared" ref="S47" si="213">R47/100000</f>
        <v>-147.51854460695256</v>
      </c>
      <c r="T47">
        <f t="shared" ref="T47" si="214">S47/1000</f>
        <v>-0.14751854460695257</v>
      </c>
    </row>
    <row r="48" spans="1:20" x14ac:dyDescent="0.25">
      <c r="A48" s="5">
        <v>44545</v>
      </c>
      <c r="B48">
        <v>33.26</v>
      </c>
      <c r="C48">
        <v>35.6</v>
      </c>
      <c r="D48">
        <v>31.1</v>
      </c>
      <c r="E48">
        <v>35.28</v>
      </c>
      <c r="F48">
        <v>134342.98000000001</v>
      </c>
      <c r="G48">
        <v>35.28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0.85777777777777764</v>
      </c>
      <c r="Q48">
        <f t="shared" ref="Q48" si="216">F48*P48</f>
        <v>115236.42284444443</v>
      </c>
      <c r="R48">
        <f t="shared" ref="R48" si="217">R49+Q48</f>
        <v>-14636698.30708701</v>
      </c>
      <c r="S48">
        <f t="shared" ref="S48" si="218">R48/100000</f>
        <v>-146.36698307087011</v>
      </c>
      <c r="T48">
        <f t="shared" ref="T48" si="219">S48/1000</f>
        <v>-0.14636698307087009</v>
      </c>
    </row>
    <row r="49" spans="1:20" x14ac:dyDescent="0.25">
      <c r="A49" s="5">
        <v>44544</v>
      </c>
      <c r="B49">
        <v>32.6</v>
      </c>
      <c r="C49">
        <v>33.99</v>
      </c>
      <c r="D49">
        <v>31.6</v>
      </c>
      <c r="E49">
        <v>33.28</v>
      </c>
      <c r="F49">
        <v>139116.44</v>
      </c>
      <c r="G49">
        <v>33.28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0.40585774058577351</v>
      </c>
      <c r="Q49">
        <f t="shared" ref="Q49" si="221">F49*P49</f>
        <v>56461.484016736329</v>
      </c>
      <c r="R49">
        <f t="shared" ref="R49" si="222">R50+Q49</f>
        <v>-14751934.729931455</v>
      </c>
      <c r="S49">
        <f t="shared" ref="S49" si="223">R49/100000</f>
        <v>-147.51934729931455</v>
      </c>
      <c r="T49">
        <f t="shared" ref="T49" si="224">S49/1000</f>
        <v>-0.14751934729931454</v>
      </c>
    </row>
    <row r="50" spans="1:20" x14ac:dyDescent="0.25">
      <c r="A50" s="5">
        <v>44543</v>
      </c>
      <c r="B50">
        <v>38.67</v>
      </c>
      <c r="C50">
        <v>39.71</v>
      </c>
      <c r="D50">
        <v>31.93</v>
      </c>
      <c r="E50">
        <v>32.6</v>
      </c>
      <c r="F50">
        <v>162863.64000000001</v>
      </c>
      <c r="G50">
        <v>32.6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-0.8277634961439585</v>
      </c>
      <c r="Q50">
        <f t="shared" ref="Q50" si="226">F50*P50</f>
        <v>-134812.57604113105</v>
      </c>
      <c r="R50">
        <f t="shared" ref="R50" si="227">R51+Q50</f>
        <v>-14808396.213948192</v>
      </c>
      <c r="S50">
        <f t="shared" ref="S50" si="228">R50/100000</f>
        <v>-148.08396213948191</v>
      </c>
      <c r="T50">
        <f t="shared" ref="T50" si="229">S50/1000</f>
        <v>-0.14808396213948191</v>
      </c>
    </row>
    <row r="51" spans="1:20" x14ac:dyDescent="0.25">
      <c r="A51" s="5">
        <v>44542</v>
      </c>
      <c r="B51">
        <v>38.32</v>
      </c>
      <c r="C51">
        <v>39.409999999999997</v>
      </c>
      <c r="D51">
        <v>37.19</v>
      </c>
      <c r="E51">
        <v>38.72</v>
      </c>
      <c r="F51">
        <v>90460.41</v>
      </c>
      <c r="G51">
        <v>38.72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0.37837837837838012</v>
      </c>
      <c r="Q51">
        <f t="shared" ref="Q51" si="231">F51*P51</f>
        <v>34228.263243243404</v>
      </c>
      <c r="R51">
        <f t="shared" ref="R51" si="232">R52+Q51</f>
        <v>-14673583.637907062</v>
      </c>
      <c r="S51">
        <f t="shared" ref="S51" si="233">R51/100000</f>
        <v>-146.73583637907061</v>
      </c>
      <c r="T51">
        <f t="shared" ref="T51" si="234">S51/1000</f>
        <v>-0.14673583637907062</v>
      </c>
    </row>
    <row r="52" spans="1:20" x14ac:dyDescent="0.25">
      <c r="A52" s="5">
        <v>44541</v>
      </c>
      <c r="B52">
        <v>35.590000000000003</v>
      </c>
      <c r="C52">
        <v>36.14</v>
      </c>
      <c r="D52">
        <v>34.979999999999997</v>
      </c>
      <c r="E52">
        <v>35.92</v>
      </c>
      <c r="F52">
        <v>5161.87</v>
      </c>
      <c r="G52">
        <v>35.92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0.62068965517241692</v>
      </c>
      <c r="Q52">
        <f t="shared" ref="Q52" si="236">F52*P52</f>
        <v>3203.9193103448438</v>
      </c>
      <c r="R52">
        <f t="shared" ref="R52" si="237">R53+Q52</f>
        <v>-14707811.901150305</v>
      </c>
      <c r="S52">
        <f t="shared" ref="S52" si="238">R52/100000</f>
        <v>-147.07811901150305</v>
      </c>
      <c r="T52">
        <f t="shared" ref="T52" si="239">S52/1000</f>
        <v>-0.14707811901150306</v>
      </c>
    </row>
    <row r="53" spans="1:20" x14ac:dyDescent="0.25">
      <c r="A53" s="5">
        <v>44540</v>
      </c>
      <c r="B53">
        <v>37.74</v>
      </c>
      <c r="C53">
        <v>39.68</v>
      </c>
      <c r="D53">
        <v>35.369999999999997</v>
      </c>
      <c r="E53">
        <v>35.619999999999997</v>
      </c>
      <c r="F53">
        <v>93023.5</v>
      </c>
      <c r="G53">
        <v>35.619999999999997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-0.88399071925754069</v>
      </c>
      <c r="Q53">
        <f t="shared" ref="Q53" si="241">F53*P53</f>
        <v>-82231.910672853832</v>
      </c>
      <c r="R53">
        <f t="shared" ref="R53" si="242">R54+Q53</f>
        <v>-14711015.820460649</v>
      </c>
      <c r="S53">
        <f t="shared" ref="S53" si="243">R53/100000</f>
        <v>-147.11015820460651</v>
      </c>
      <c r="T53">
        <f t="shared" ref="T53" si="244">S53/1000</f>
        <v>-0.14711015820460652</v>
      </c>
    </row>
    <row r="54" spans="1:20" x14ac:dyDescent="0.25">
      <c r="A54" s="5">
        <v>44539</v>
      </c>
      <c r="B54">
        <v>41.5</v>
      </c>
      <c r="C54">
        <v>42.19</v>
      </c>
      <c r="D54">
        <v>37.24</v>
      </c>
      <c r="E54">
        <v>37.799999999999997</v>
      </c>
      <c r="F54">
        <v>149321.54</v>
      </c>
      <c r="G54">
        <v>37.799999999999997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-0.7737373737373755</v>
      </c>
      <c r="Q54">
        <f t="shared" ref="Q54" si="246">F54*P54</f>
        <v>-115535.65620202047</v>
      </c>
      <c r="R54">
        <f t="shared" ref="R54" si="247">R55+Q54</f>
        <v>-14628783.909787795</v>
      </c>
      <c r="S54">
        <f t="shared" ref="S54" si="248">R54/100000</f>
        <v>-146.28783909787794</v>
      </c>
      <c r="T54">
        <f t="shared" ref="T54" si="249">S54/1000</f>
        <v>-0.14628783909787793</v>
      </c>
    </row>
    <row r="55" spans="1:20" x14ac:dyDescent="0.25">
      <c r="A55" s="5">
        <v>44538</v>
      </c>
      <c r="B55">
        <v>41.25</v>
      </c>
      <c r="C55">
        <v>41.64</v>
      </c>
      <c r="D55">
        <v>39.06</v>
      </c>
      <c r="E55">
        <v>41.51</v>
      </c>
      <c r="F55">
        <v>119071.4</v>
      </c>
      <c r="G55">
        <v>41.51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0.89922480620154832</v>
      </c>
      <c r="Q55">
        <f t="shared" ref="Q55" si="251">F55*P55</f>
        <v>107071.95658914704</v>
      </c>
      <c r="R55">
        <f t="shared" ref="R55" si="252">R56+Q55</f>
        <v>-14513248.253585774</v>
      </c>
      <c r="S55">
        <f t="shared" ref="S55" si="253">R55/100000</f>
        <v>-145.13248253585775</v>
      </c>
      <c r="T55">
        <f t="shared" ref="T55" si="254">S55/1000</f>
        <v>-0.14513248253585775</v>
      </c>
    </row>
    <row r="56" spans="1:20" x14ac:dyDescent="0.25">
      <c r="A56" s="5">
        <v>44537</v>
      </c>
      <c r="B56">
        <v>43.31</v>
      </c>
      <c r="C56">
        <v>44.26</v>
      </c>
      <c r="D56">
        <v>40.729999999999997</v>
      </c>
      <c r="E56">
        <v>41.29</v>
      </c>
      <c r="F56">
        <v>156165.16</v>
      </c>
      <c r="G56">
        <v>41.29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-0.68271954674220847</v>
      </c>
      <c r="Q56">
        <f t="shared" ref="Q56" si="256">F56*P56</f>
        <v>-106617.00725212447</v>
      </c>
      <c r="R56">
        <f t="shared" ref="R56" si="257">R57+Q56</f>
        <v>-14620320.210174922</v>
      </c>
      <c r="S56">
        <f t="shared" ref="S56" si="258">R56/100000</f>
        <v>-146.20320210174921</v>
      </c>
      <c r="T56">
        <f t="shared" ref="T56" si="259">S56/1000</f>
        <v>-0.14620320210174922</v>
      </c>
    </row>
    <row r="57" spans="1:20" x14ac:dyDescent="0.25">
      <c r="A57" s="5">
        <v>44536</v>
      </c>
      <c r="B57">
        <v>41.51</v>
      </c>
      <c r="C57">
        <v>43.91</v>
      </c>
      <c r="D57">
        <v>37.58</v>
      </c>
      <c r="E57">
        <v>43.33</v>
      </c>
      <c r="F57">
        <v>213968.42</v>
      </c>
      <c r="G57">
        <v>43.33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0.81674565560821533</v>
      </c>
      <c r="Q57">
        <f t="shared" ref="Q57" si="261">F57*P57</f>
        <v>174757.77747235398</v>
      </c>
      <c r="R57">
        <f t="shared" ref="R57" si="262">R58+Q57</f>
        <v>-14513703.202922797</v>
      </c>
      <c r="S57">
        <f t="shared" ref="S57" si="263">R57/100000</f>
        <v>-145.13703202922798</v>
      </c>
      <c r="T57">
        <f t="shared" ref="T57" si="264">S57/1000</f>
        <v>-0.14513703202922798</v>
      </c>
    </row>
    <row r="58" spans="1:20" x14ac:dyDescent="0.25">
      <c r="A58" s="5">
        <v>44535</v>
      </c>
      <c r="B58">
        <v>42.38</v>
      </c>
      <c r="C58">
        <v>49.15</v>
      </c>
      <c r="D58">
        <v>39.76</v>
      </c>
      <c r="E58">
        <v>41.49</v>
      </c>
      <c r="F58">
        <v>513156.56</v>
      </c>
      <c r="G58">
        <v>41.49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-0.63152289669861472</v>
      </c>
      <c r="Q58">
        <f t="shared" ref="Q58" si="266">F58*P58</f>
        <v>-324070.11723109649</v>
      </c>
      <c r="R58">
        <f t="shared" ref="R58" si="267">R59+Q58</f>
        <v>-14688460.980395151</v>
      </c>
      <c r="S58">
        <f t="shared" ref="S58" si="268">R58/100000</f>
        <v>-146.88460980395152</v>
      </c>
      <c r="T58">
        <f t="shared" ref="T58" si="269">S58/1000</f>
        <v>-0.14688460980395152</v>
      </c>
    </row>
    <row r="59" spans="1:20" x14ac:dyDescent="0.25">
      <c r="A59" s="5">
        <v>44534</v>
      </c>
      <c r="B59">
        <v>47.26</v>
      </c>
      <c r="C59">
        <v>47.32</v>
      </c>
      <c r="D59">
        <v>31.65</v>
      </c>
      <c r="E59">
        <v>42.45</v>
      </c>
      <c r="F59">
        <v>437163.36</v>
      </c>
      <c r="G59">
        <v>42.45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0.37843012125079811</v>
      </c>
      <c r="Q59">
        <f t="shared" ref="Q59" si="271">F59*P59</f>
        <v>165435.7833312063</v>
      </c>
      <c r="R59">
        <f t="shared" ref="R59" si="272">R60+Q59</f>
        <v>-14364390.863164054</v>
      </c>
      <c r="S59">
        <f t="shared" ref="S59" si="273">R59/100000</f>
        <v>-143.64390863164056</v>
      </c>
      <c r="T59">
        <f t="shared" ref="T59" si="274">S59/1000</f>
        <v>-0.14364390863164056</v>
      </c>
    </row>
    <row r="60" spans="1:20" x14ac:dyDescent="0.25">
      <c r="A60" s="5">
        <v>44533</v>
      </c>
      <c r="B60">
        <v>53.23</v>
      </c>
      <c r="C60">
        <v>53.56</v>
      </c>
      <c r="D60">
        <v>45</v>
      </c>
      <c r="E60">
        <v>47.21</v>
      </c>
      <c r="F60">
        <v>180781.53</v>
      </c>
      <c r="G60">
        <v>47.21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-0.48364485981308403</v>
      </c>
      <c r="Q60">
        <f t="shared" ref="Q60" si="276">F60*P60</f>
        <v>-87434.057733644848</v>
      </c>
      <c r="R60">
        <f t="shared" ref="R60" si="277">R61+Q60</f>
        <v>-14529826.64649526</v>
      </c>
      <c r="S60">
        <f t="shared" ref="S60" si="278">R60/100000</f>
        <v>-145.2982664649526</v>
      </c>
      <c r="T60">
        <f t="shared" ref="T60" si="279">S60/1000</f>
        <v>-0.14529826646495261</v>
      </c>
    </row>
    <row r="61" spans="1:20" x14ac:dyDescent="0.25">
      <c r="A61" s="5">
        <v>44532</v>
      </c>
      <c r="B61">
        <v>55.91</v>
      </c>
      <c r="C61">
        <v>59.96</v>
      </c>
      <c r="D61">
        <v>52.33</v>
      </c>
      <c r="E61">
        <v>53.26</v>
      </c>
      <c r="F61">
        <v>410195.62</v>
      </c>
      <c r="G61">
        <v>53.26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-0.75622542595019671</v>
      </c>
      <c r="Q61">
        <f t="shared" ref="Q61" si="281">F61*P61</f>
        <v>-310200.35745740501</v>
      </c>
      <c r="R61">
        <f t="shared" ref="R61" si="282">R62+Q61</f>
        <v>-14442392.588761615</v>
      </c>
      <c r="S61">
        <f t="shared" ref="S61" si="283">R61/100000</f>
        <v>-144.42392588761615</v>
      </c>
      <c r="T61">
        <f t="shared" ref="T61" si="284">S61/1000</f>
        <v>-0.14442392588761616</v>
      </c>
    </row>
    <row r="62" spans="1:20" x14ac:dyDescent="0.25">
      <c r="A62" s="5">
        <v>44531</v>
      </c>
      <c r="B62">
        <v>52.15</v>
      </c>
      <c r="C62">
        <v>57.31</v>
      </c>
      <c r="D62">
        <v>51.87</v>
      </c>
      <c r="E62">
        <v>55.8</v>
      </c>
      <c r="F62">
        <v>273276.61</v>
      </c>
      <c r="G62">
        <v>55.8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0.44485294117646917</v>
      </c>
      <c r="Q62">
        <f t="shared" ref="Q62" si="286">F62*P62</f>
        <v>121567.9037132349</v>
      </c>
      <c r="R62">
        <f t="shared" ref="R62" si="287">R63+Q62</f>
        <v>-14132192.23130421</v>
      </c>
      <c r="S62">
        <f t="shared" ref="S62" si="288">R62/100000</f>
        <v>-141.32192231304211</v>
      </c>
      <c r="T62">
        <f t="shared" ref="T62" si="289">S62/1000</f>
        <v>-0.14132192231304211</v>
      </c>
    </row>
    <row r="63" spans="1:20" x14ac:dyDescent="0.25">
      <c r="A63" s="5">
        <v>44530</v>
      </c>
      <c r="B63">
        <v>54.94</v>
      </c>
      <c r="C63">
        <v>56.12</v>
      </c>
      <c r="D63">
        <v>51.02</v>
      </c>
      <c r="E63">
        <v>52.04</v>
      </c>
      <c r="F63">
        <v>186701.71</v>
      </c>
      <c r="G63">
        <v>52.04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-0.60000000000000109</v>
      </c>
      <c r="Q63">
        <f t="shared" ref="Q63" si="291">F63*P63</f>
        <v>-112021.0260000002</v>
      </c>
      <c r="R63">
        <f t="shared" ref="R63" si="292">R64+Q63</f>
        <v>-14253760.135017445</v>
      </c>
      <c r="S63">
        <f t="shared" ref="S63" si="293">R63/100000</f>
        <v>-142.53760135017444</v>
      </c>
      <c r="T63">
        <f t="shared" ref="T63" si="294">S63/1000</f>
        <v>-0.14253760135017443</v>
      </c>
    </row>
    <row r="64" spans="1:20" x14ac:dyDescent="0.25">
      <c r="A64" s="5">
        <v>44529</v>
      </c>
      <c r="B64">
        <v>58.06</v>
      </c>
      <c r="C64">
        <v>58.26</v>
      </c>
      <c r="D64">
        <v>54.03</v>
      </c>
      <c r="E64">
        <v>54.94</v>
      </c>
      <c r="F64">
        <v>181925.47</v>
      </c>
      <c r="G64">
        <v>54.94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-0.56973995271867739</v>
      </c>
      <c r="Q64">
        <f t="shared" ref="Q64" si="296">F64*P64</f>
        <v>-103650.20867612316</v>
      </c>
      <c r="R64">
        <f t="shared" ref="R64" si="297">R65+Q64</f>
        <v>-14141739.109017445</v>
      </c>
      <c r="S64">
        <f t="shared" ref="S64" si="298">R64/100000</f>
        <v>-141.41739109017445</v>
      </c>
      <c r="T64">
        <f t="shared" ref="T64" si="299">S64/1000</f>
        <v>-0.14141739109017445</v>
      </c>
    </row>
    <row r="65" spans="1:20" x14ac:dyDescent="0.25">
      <c r="A65" s="5">
        <v>44528</v>
      </c>
      <c r="B65">
        <v>59.19</v>
      </c>
      <c r="C65">
        <v>59.4</v>
      </c>
      <c r="D65">
        <v>51.02</v>
      </c>
      <c r="E65">
        <v>58.03</v>
      </c>
      <c r="F65">
        <v>373161.18</v>
      </c>
      <c r="G65">
        <v>58.03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0.67303102625298372</v>
      </c>
      <c r="Q65">
        <f t="shared" ref="Q65" si="301">F65*P65</f>
        <v>251149.05193317437</v>
      </c>
      <c r="R65">
        <f t="shared" ref="R65" si="302">R66+Q65</f>
        <v>-14038088.900341321</v>
      </c>
      <c r="S65">
        <f t="shared" ref="S65" si="303">R65/100000</f>
        <v>-140.38088900341322</v>
      </c>
      <c r="T65">
        <f t="shared" ref="T65" si="304">S65/1000</f>
        <v>-0.14038088900341322</v>
      </c>
    </row>
    <row r="66" spans="1:20" x14ac:dyDescent="0.25">
      <c r="A66" s="5">
        <v>44527</v>
      </c>
      <c r="B66">
        <v>54.78</v>
      </c>
      <c r="C66">
        <v>68.739999999999995</v>
      </c>
      <c r="D66">
        <v>54.19</v>
      </c>
      <c r="E66">
        <v>59.12</v>
      </c>
      <c r="F66">
        <v>866276.62</v>
      </c>
      <c r="G66">
        <v>59.12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-0.32233676975945008</v>
      </c>
      <c r="Q66">
        <f t="shared" ref="Q66" si="306">F66*P66</f>
        <v>-279232.80740893463</v>
      </c>
      <c r="R66">
        <f t="shared" ref="R66" si="307">R67+Q66</f>
        <v>-14289237.952274496</v>
      </c>
      <c r="S66">
        <f t="shared" ref="S66" si="308">R66/100000</f>
        <v>-142.89237952274496</v>
      </c>
      <c r="T66">
        <f t="shared" ref="T66" si="309">S66/1000</f>
        <v>-0.14289237952274497</v>
      </c>
    </row>
    <row r="67" spans="1:20" x14ac:dyDescent="0.25">
      <c r="A67" s="5">
        <v>44526</v>
      </c>
      <c r="B67">
        <v>60.46</v>
      </c>
      <c r="C67">
        <v>70.2</v>
      </c>
      <c r="D67">
        <v>50</v>
      </c>
      <c r="E67">
        <v>54.74</v>
      </c>
      <c r="F67">
        <v>1028560.5</v>
      </c>
      <c r="G67">
        <v>54.74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-0.53069306930693061</v>
      </c>
      <c r="Q67">
        <f t="shared" ref="Q67" si="311">F67*P67</f>
        <v>-545849.92871287116</v>
      </c>
      <c r="R67">
        <f t="shared" ref="R67" si="312">R68+Q67</f>
        <v>-14010005.144865561</v>
      </c>
      <c r="S67">
        <f t="shared" ref="S67" si="313">R67/100000</f>
        <v>-140.10005144865562</v>
      </c>
      <c r="T67">
        <f t="shared" ref="T67" si="314">S67/1000</f>
        <v>-0.14010005144865562</v>
      </c>
    </row>
    <row r="68" spans="1:20" x14ac:dyDescent="0.25">
      <c r="A68" s="5">
        <v>44525</v>
      </c>
      <c r="B68">
        <v>46.01</v>
      </c>
      <c r="C68">
        <v>65.38</v>
      </c>
      <c r="D68">
        <v>45.91</v>
      </c>
      <c r="E68">
        <v>60.47</v>
      </c>
      <c r="F68">
        <v>1105880.67</v>
      </c>
      <c r="G68">
        <v>60.47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0.49563430919363155</v>
      </c>
      <c r="Q68">
        <f t="shared" ref="Q68" si="316">F68*P68</f>
        <v>548112.40192604042</v>
      </c>
      <c r="R68">
        <f t="shared" ref="R68" si="317">R69+Q68</f>
        <v>-13464155.21615269</v>
      </c>
      <c r="S68">
        <f t="shared" ref="S68" si="318">R68/100000</f>
        <v>-134.6415521615269</v>
      </c>
      <c r="T68">
        <f t="shared" ref="T68" si="319">S68/1000</f>
        <v>-0.1346415521615269</v>
      </c>
    </row>
    <row r="69" spans="1:20" x14ac:dyDescent="0.25">
      <c r="A69" s="5">
        <v>44524</v>
      </c>
      <c r="B69">
        <v>50.27</v>
      </c>
      <c r="C69">
        <v>50.58</v>
      </c>
      <c r="D69">
        <v>47.54</v>
      </c>
      <c r="E69">
        <v>47.98</v>
      </c>
      <c r="F69">
        <v>62045.77</v>
      </c>
      <c r="G69">
        <v>47.98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-0.71052631578947512</v>
      </c>
      <c r="Q69">
        <f t="shared" ref="Q69" si="321">F69*P69</f>
        <v>-44085.152368421142</v>
      </c>
      <c r="R69">
        <f t="shared" ref="R69" si="322">R70+Q69</f>
        <v>-14012267.618078731</v>
      </c>
      <c r="S69">
        <f t="shared" ref="S69" si="323">R69/100000</f>
        <v>-140.12267618078732</v>
      </c>
      <c r="T69">
        <f t="shared" ref="T69" si="324">S69/1000</f>
        <v>-0.14012267618078733</v>
      </c>
    </row>
    <row r="70" spans="1:20" x14ac:dyDescent="0.25">
      <c r="A70" s="5">
        <v>44523</v>
      </c>
      <c r="B70">
        <v>47.42</v>
      </c>
      <c r="C70">
        <v>54</v>
      </c>
      <c r="D70">
        <v>47.13</v>
      </c>
      <c r="E70">
        <v>50.34</v>
      </c>
      <c r="F70">
        <v>231764.77</v>
      </c>
      <c r="G70">
        <v>50.34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-6.550218340611294E-2</v>
      </c>
      <c r="Q70">
        <f t="shared" ref="Q70" si="326">F70*P70</f>
        <v>-15181.098471615582</v>
      </c>
      <c r="R70">
        <f t="shared" ref="R70" si="327">R71+Q70</f>
        <v>-13968182.46571031</v>
      </c>
      <c r="S70">
        <f t="shared" ref="S70" si="328">R70/100000</f>
        <v>-139.68182465710311</v>
      </c>
      <c r="T70">
        <f t="shared" ref="T70" si="329">S70/1000</f>
        <v>-0.1396818246571031</v>
      </c>
    </row>
    <row r="71" spans="1:20" x14ac:dyDescent="0.25">
      <c r="A71" s="5">
        <v>44522</v>
      </c>
      <c r="B71">
        <v>50.07</v>
      </c>
      <c r="C71">
        <v>52.25</v>
      </c>
      <c r="D71">
        <v>47.14</v>
      </c>
      <c r="E71">
        <v>47.5</v>
      </c>
      <c r="F71">
        <v>241490.65</v>
      </c>
      <c r="G71">
        <v>47.5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-0.85909980430528399</v>
      </c>
      <c r="Q71">
        <f t="shared" ref="Q71" si="331">F71*P71</f>
        <v>-207464.57015655583</v>
      </c>
      <c r="R71">
        <f t="shared" ref="R71" si="332">R72+Q71</f>
        <v>-13953001.367238695</v>
      </c>
      <c r="S71">
        <f t="shared" ref="S71" si="333">R71/100000</f>
        <v>-139.53001367238696</v>
      </c>
      <c r="T71">
        <f t="shared" ref="T71" si="334">S71/1000</f>
        <v>-0.13953001367238696</v>
      </c>
    </row>
    <row r="72" spans="1:20" x14ac:dyDescent="0.25">
      <c r="A72" s="5">
        <v>44521</v>
      </c>
      <c r="B72">
        <v>52.3</v>
      </c>
      <c r="C72">
        <v>56.38</v>
      </c>
      <c r="D72">
        <v>49.71</v>
      </c>
      <c r="E72">
        <v>50</v>
      </c>
      <c r="F72">
        <v>235224.67</v>
      </c>
      <c r="G72">
        <v>50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-0.91304347826086985</v>
      </c>
      <c r="Q72">
        <f t="shared" ref="Q72" si="336">F72*P72</f>
        <v>-214770.3508695653</v>
      </c>
      <c r="R72">
        <f t="shared" ref="R72" si="337">R73+Q72</f>
        <v>-13745536.797082139</v>
      </c>
      <c r="S72">
        <f t="shared" ref="S72" si="338">R72/100000</f>
        <v>-137.45536797082138</v>
      </c>
      <c r="T72">
        <f t="shared" ref="T72" si="339">S72/1000</f>
        <v>-0.13745536797082139</v>
      </c>
    </row>
    <row r="73" spans="1:20" x14ac:dyDescent="0.25">
      <c r="A73" s="5">
        <v>44520</v>
      </c>
      <c r="B73">
        <v>53.69</v>
      </c>
      <c r="C73">
        <v>54.8</v>
      </c>
      <c r="D73">
        <v>50.51</v>
      </c>
      <c r="E73">
        <v>52.29</v>
      </c>
      <c r="F73">
        <v>230272.36</v>
      </c>
      <c r="G73">
        <v>52.29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-0.17016317016316948</v>
      </c>
      <c r="Q73">
        <f t="shared" ref="Q73" si="341">F73*P73</f>
        <v>-39183.874778554622</v>
      </c>
      <c r="R73">
        <f t="shared" ref="R73" si="342">R74+Q73</f>
        <v>-13530766.446212573</v>
      </c>
      <c r="S73">
        <f t="shared" ref="S73" si="343">R73/100000</f>
        <v>-135.30766446212573</v>
      </c>
      <c r="T73">
        <f t="shared" ref="T73" si="344">S73/1000</f>
        <v>-0.13530766446212572</v>
      </c>
    </row>
    <row r="74" spans="1:20" x14ac:dyDescent="0.25">
      <c r="A74" s="5">
        <v>44519</v>
      </c>
      <c r="B74">
        <v>47.09</v>
      </c>
      <c r="C74">
        <v>57.12</v>
      </c>
      <c r="D74">
        <v>46.69</v>
      </c>
      <c r="E74">
        <v>53.71</v>
      </c>
      <c r="F74">
        <v>507142.88</v>
      </c>
      <c r="G74">
        <v>53.71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0.34611697027804472</v>
      </c>
      <c r="Q74">
        <f t="shared" ref="Q74" si="346">F74*P74</f>
        <v>175530.75712368201</v>
      </c>
      <c r="R74">
        <f t="shared" ref="R74" si="347">R75+Q74</f>
        <v>-13491582.571434019</v>
      </c>
      <c r="S74">
        <f t="shared" ref="S74" si="348">R74/100000</f>
        <v>-134.9158257143402</v>
      </c>
      <c r="T74">
        <f t="shared" ref="T74" si="349">S74/1000</f>
        <v>-0.13491582571434019</v>
      </c>
    </row>
    <row r="75" spans="1:20" x14ac:dyDescent="0.25">
      <c r="A75" s="5">
        <v>44518</v>
      </c>
      <c r="B75">
        <v>55.82</v>
      </c>
      <c r="C75">
        <v>58.59</v>
      </c>
      <c r="D75">
        <v>45.83</v>
      </c>
      <c r="E75">
        <v>47.07</v>
      </c>
      <c r="F75">
        <v>356325.88</v>
      </c>
      <c r="G75">
        <v>47.07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-0.80564263322883989</v>
      </c>
      <c r="Q75">
        <f t="shared" ref="Q75" si="351">F75*P75</f>
        <v>-287071.32025078364</v>
      </c>
      <c r="R75">
        <f t="shared" ref="R75" si="352">R76+Q75</f>
        <v>-13667113.328557702</v>
      </c>
      <c r="S75">
        <f t="shared" ref="S75" si="353">R75/100000</f>
        <v>-136.67113328557701</v>
      </c>
      <c r="T75">
        <f t="shared" ref="T75" si="354">S75/1000</f>
        <v>-0.13667113328557701</v>
      </c>
    </row>
    <row r="76" spans="1:20" x14ac:dyDescent="0.25">
      <c r="A76" s="5">
        <v>44517</v>
      </c>
      <c r="B76">
        <v>61.07</v>
      </c>
      <c r="C76">
        <v>66.92</v>
      </c>
      <c r="D76">
        <v>53.89</v>
      </c>
      <c r="E76">
        <v>55.82</v>
      </c>
      <c r="F76">
        <v>580455.6</v>
      </c>
      <c r="G76">
        <v>55.82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-0.70376055257099013</v>
      </c>
      <c r="Q76">
        <f t="shared" ref="Q76" si="356">F76*P76</f>
        <v>-408501.75379892561</v>
      </c>
      <c r="R76">
        <f t="shared" ref="R76" si="357">R77+Q76</f>
        <v>-13380042.008306919</v>
      </c>
      <c r="S76">
        <f t="shared" ref="S76" si="358">R76/100000</f>
        <v>-133.80042008306918</v>
      </c>
      <c r="T76">
        <f t="shared" ref="T76" si="359">S76/1000</f>
        <v>-0.13380042008306919</v>
      </c>
    </row>
    <row r="77" spans="1:20" x14ac:dyDescent="0.25">
      <c r="A77" s="5">
        <v>44516</v>
      </c>
      <c r="B77">
        <v>65.5</v>
      </c>
      <c r="C77">
        <v>68.88</v>
      </c>
      <c r="D77">
        <v>58.6</v>
      </c>
      <c r="E77">
        <v>61.15</v>
      </c>
      <c r="F77">
        <v>861423.56</v>
      </c>
      <c r="G77">
        <v>61.15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-0.50389105058365791</v>
      </c>
      <c r="Q77">
        <f t="shared" ref="Q77" si="361">F77*P77</f>
        <v>-434063.62264591467</v>
      </c>
      <c r="R77">
        <f t="shared" ref="R77" si="362">R78+Q77</f>
        <v>-12971540.254507992</v>
      </c>
      <c r="S77">
        <f t="shared" ref="S77" si="363">R77/100000</f>
        <v>-129.71540254507991</v>
      </c>
      <c r="T77">
        <f t="shared" ref="T77" si="364">S77/1000</f>
        <v>-0.12971540254507991</v>
      </c>
    </row>
    <row r="78" spans="1:20" x14ac:dyDescent="0.25">
      <c r="A78" s="5">
        <v>44515</v>
      </c>
      <c r="B78">
        <v>64.63</v>
      </c>
      <c r="C78">
        <v>73.2</v>
      </c>
      <c r="D78">
        <v>63.39</v>
      </c>
      <c r="E78">
        <v>65.5</v>
      </c>
      <c r="F78">
        <v>657677.52</v>
      </c>
      <c r="G78">
        <v>65.5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-0.56982670744138653</v>
      </c>
      <c r="Q78">
        <f t="shared" ref="Q78" si="366">F78*P78</f>
        <v>-374762.21577981667</v>
      </c>
      <c r="R78">
        <f t="shared" ref="R78" si="367">R79+Q78</f>
        <v>-12537476.631862078</v>
      </c>
      <c r="S78">
        <f t="shared" ref="S78" si="368">R78/100000</f>
        <v>-125.37476631862077</v>
      </c>
      <c r="T78">
        <f t="shared" ref="T78" si="369">S78/1000</f>
        <v>-0.12537476631862077</v>
      </c>
    </row>
    <row r="79" spans="1:20" x14ac:dyDescent="0.25">
      <c r="A79" s="5">
        <v>44514</v>
      </c>
      <c r="B79">
        <v>68.06</v>
      </c>
      <c r="C79">
        <v>69.61</v>
      </c>
      <c r="D79">
        <v>63.04</v>
      </c>
      <c r="E79">
        <v>64.709999999999994</v>
      </c>
      <c r="F79">
        <v>423414.06</v>
      </c>
      <c r="G79">
        <v>64.709999999999994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-0.49162861491628784</v>
      </c>
      <c r="Q79">
        <f t="shared" ref="Q79" si="371">F79*P79</f>
        <v>-208162.467853882</v>
      </c>
      <c r="R79">
        <f t="shared" ref="R79" si="372">R80+Q79</f>
        <v>-12162714.416082261</v>
      </c>
      <c r="S79">
        <f t="shared" ref="S79" si="373">R79/100000</f>
        <v>-121.62714416082261</v>
      </c>
      <c r="T79">
        <f t="shared" ref="T79" si="374">S79/1000</f>
        <v>-0.12162714416082261</v>
      </c>
    </row>
    <row r="80" spans="1:20" x14ac:dyDescent="0.25">
      <c r="A80" s="5">
        <v>44513</v>
      </c>
      <c r="B80">
        <v>58.83</v>
      </c>
      <c r="C80">
        <v>76</v>
      </c>
      <c r="D80">
        <v>58.83</v>
      </c>
      <c r="E80">
        <v>68.08</v>
      </c>
      <c r="F80">
        <v>1526519.22</v>
      </c>
      <c r="G80">
        <v>68.08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7.7460687245195003E-2</v>
      </c>
      <c r="Q80">
        <f t="shared" ref="Q80" si="376">F80*P80</f>
        <v>118245.22787419903</v>
      </c>
      <c r="R80">
        <f t="shared" ref="R80" si="377">R81+Q80</f>
        <v>-11954551.94822838</v>
      </c>
      <c r="S80">
        <f t="shared" ref="S80" si="378">R80/100000</f>
        <v>-119.54551948228379</v>
      </c>
      <c r="T80">
        <f t="shared" ref="T80" si="379">S80/1000</f>
        <v>-0.1195455194822838</v>
      </c>
    </row>
    <row r="81" spans="1:20" x14ac:dyDescent="0.25">
      <c r="A81" s="5">
        <v>44512</v>
      </c>
      <c r="B81">
        <v>63.38</v>
      </c>
      <c r="C81">
        <v>64.69</v>
      </c>
      <c r="D81">
        <v>56.89</v>
      </c>
      <c r="E81">
        <v>58.83</v>
      </c>
      <c r="F81">
        <v>365401.37</v>
      </c>
      <c r="G81">
        <v>58.83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-0.502564102564103</v>
      </c>
      <c r="Q81">
        <f t="shared" ref="Q81" si="381">F81*P81</f>
        <v>-183637.61158974376</v>
      </c>
      <c r="R81">
        <f t="shared" ref="R81" si="382">R82+Q81</f>
        <v>-12072797.176102579</v>
      </c>
      <c r="S81">
        <f t="shared" ref="S81" si="383">R81/100000</f>
        <v>-120.72797176102578</v>
      </c>
      <c r="T81">
        <f t="shared" ref="T81" si="384">S81/1000</f>
        <v>-0.12072797176102579</v>
      </c>
    </row>
    <row r="82" spans="1:20" x14ac:dyDescent="0.25">
      <c r="A82" s="5">
        <v>44511</v>
      </c>
      <c r="B82">
        <v>74.62</v>
      </c>
      <c r="C82">
        <v>74.62</v>
      </c>
      <c r="D82">
        <v>61.34</v>
      </c>
      <c r="E82">
        <v>63.45</v>
      </c>
      <c r="F82">
        <v>879934.76</v>
      </c>
      <c r="G82">
        <v>63.45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-0.68222891566265076</v>
      </c>
      <c r="Q82">
        <f t="shared" ref="Q82" si="386">F82*P82</f>
        <v>-600316.93716867489</v>
      </c>
      <c r="R82">
        <f t="shared" ref="R82" si="387">R83+Q82</f>
        <v>-11889159.564512834</v>
      </c>
      <c r="S82">
        <f t="shared" ref="S82" si="388">R82/100000</f>
        <v>-118.89159564512833</v>
      </c>
      <c r="T82">
        <f t="shared" ref="T82" si="389">S82/1000</f>
        <v>-0.11889159564512833</v>
      </c>
    </row>
    <row r="83" spans="1:20" x14ac:dyDescent="0.25">
      <c r="A83" s="5">
        <v>44510</v>
      </c>
      <c r="B83">
        <v>71.59</v>
      </c>
      <c r="C83">
        <v>82</v>
      </c>
      <c r="D83">
        <v>61.08</v>
      </c>
      <c r="E83">
        <v>74.62</v>
      </c>
      <c r="F83">
        <v>2450956.1800000002</v>
      </c>
      <c r="G83">
        <v>74.62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0.29445506692160661</v>
      </c>
      <c r="Q83">
        <f t="shared" ref="Q83" si="391">F83*P83</f>
        <v>721696.46600382531</v>
      </c>
      <c r="R83">
        <f t="shared" ref="R83" si="392">R84+Q83</f>
        <v>-11288842.627344159</v>
      </c>
      <c r="S83">
        <f t="shared" ref="S83" si="393">R83/100000</f>
        <v>-112.8884262734416</v>
      </c>
      <c r="T83">
        <f t="shared" ref="T83" si="394">S83/1000</f>
        <v>-0.11288842627344159</v>
      </c>
    </row>
    <row r="84" spans="1:20" x14ac:dyDescent="0.25">
      <c r="A84" s="5">
        <v>44509</v>
      </c>
      <c r="B84">
        <v>49.37</v>
      </c>
      <c r="C84">
        <v>101.8</v>
      </c>
      <c r="D84">
        <v>46.02</v>
      </c>
      <c r="E84">
        <v>71.63</v>
      </c>
      <c r="F84">
        <v>7264395.6699999999</v>
      </c>
      <c r="G84">
        <v>71.63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-8.1749731086411079E-2</v>
      </c>
      <c r="Q84">
        <f t="shared" ref="Q84" si="396">F84*P84</f>
        <v>-593862.39252778899</v>
      </c>
      <c r="R84">
        <f t="shared" ref="R84" si="397">R85+Q84</f>
        <v>-12010539.093347985</v>
      </c>
      <c r="S84">
        <f t="shared" ref="S84" si="398">R84/100000</f>
        <v>-120.10539093347985</v>
      </c>
      <c r="T84">
        <f t="shared" ref="T84" si="399">S84/1000</f>
        <v>-0.12010539093347986</v>
      </c>
    </row>
    <row r="85" spans="1:20" x14ac:dyDescent="0.25">
      <c r="A85" s="5">
        <v>44508</v>
      </c>
      <c r="B85">
        <v>36.119999999999997</v>
      </c>
      <c r="C85">
        <v>55.62</v>
      </c>
      <c r="D85">
        <v>34.85</v>
      </c>
      <c r="E85">
        <v>49.32</v>
      </c>
      <c r="F85">
        <v>1176792.3799999999</v>
      </c>
      <c r="G85">
        <v>49.32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0.39335580163697659</v>
      </c>
      <c r="Q85">
        <f t="shared" ref="Q85" si="401">F85*P85</f>
        <v>462898.10999518551</v>
      </c>
      <c r="R85">
        <f t="shared" ref="R85" si="402">R86+Q85</f>
        <v>-11416676.700820196</v>
      </c>
      <c r="S85">
        <f t="shared" ref="S85" si="403">R85/100000</f>
        <v>-114.16676700820196</v>
      </c>
      <c r="T85">
        <f t="shared" ref="T85" si="404">S85/1000</f>
        <v>-0.11416676700820196</v>
      </c>
    </row>
    <row r="86" spans="1:20" x14ac:dyDescent="0.25">
      <c r="A86" s="5">
        <v>44507</v>
      </c>
      <c r="B86">
        <v>33.26</v>
      </c>
      <c r="C86">
        <v>39.56</v>
      </c>
      <c r="D86">
        <v>32.630000000000003</v>
      </c>
      <c r="E86">
        <v>36.130000000000003</v>
      </c>
      <c r="F86">
        <v>306419.01</v>
      </c>
      <c r="G86">
        <v>36.130000000000003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1.0101010101010142E-2</v>
      </c>
      <c r="Q86">
        <f t="shared" ref="Q86" si="406">F86*P86</f>
        <v>3095.1415151515275</v>
      </c>
      <c r="R86">
        <f t="shared" ref="R86" si="407">R87+Q86</f>
        <v>-11879574.810815383</v>
      </c>
      <c r="S86">
        <f t="shared" ref="S86" si="408">R86/100000</f>
        <v>-118.79574810815383</v>
      </c>
      <c r="T86">
        <f t="shared" ref="T86" si="409">S86/1000</f>
        <v>-0.11879574810815383</v>
      </c>
    </row>
    <row r="87" spans="1:20" x14ac:dyDescent="0.25">
      <c r="A87" s="5">
        <v>44506</v>
      </c>
      <c r="B87">
        <v>32.44</v>
      </c>
      <c r="C87">
        <v>33.6</v>
      </c>
      <c r="D87">
        <v>30.84</v>
      </c>
      <c r="E87">
        <v>33.26</v>
      </c>
      <c r="F87">
        <v>79370.2</v>
      </c>
      <c r="G87">
        <v>33.26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0.75362318840579479</v>
      </c>
      <c r="Q87">
        <f t="shared" ref="Q87" si="411">F87*P87</f>
        <v>59815.223188405609</v>
      </c>
      <c r="R87">
        <f t="shared" ref="R87" si="412">R88+Q87</f>
        <v>-11882669.952330533</v>
      </c>
      <c r="S87">
        <f t="shared" ref="S87" si="413">R87/100000</f>
        <v>-118.82669952330534</v>
      </c>
      <c r="T87">
        <f t="shared" ref="T87" si="414">S87/1000</f>
        <v>-0.11882669952330534</v>
      </c>
    </row>
    <row r="88" spans="1:20" x14ac:dyDescent="0.25">
      <c r="A88" s="5">
        <v>44505</v>
      </c>
      <c r="B88">
        <v>34.15</v>
      </c>
      <c r="C88">
        <v>38</v>
      </c>
      <c r="D88">
        <v>32.03</v>
      </c>
      <c r="E88">
        <v>32.450000000000003</v>
      </c>
      <c r="F88">
        <v>258978.23</v>
      </c>
      <c r="G88">
        <v>32.450000000000003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-0.85929648241205969</v>
      </c>
      <c r="Q88">
        <f t="shared" ref="Q88" si="416">F88*P88</f>
        <v>-222539.08206030136</v>
      </c>
      <c r="R88">
        <f t="shared" ref="R88" si="417">R89+Q88</f>
        <v>-11942485.175518939</v>
      </c>
      <c r="S88">
        <f t="shared" ref="S88" si="418">R88/100000</f>
        <v>-119.42485175518939</v>
      </c>
      <c r="T88">
        <f t="shared" ref="T88" si="419">S88/1000</f>
        <v>-0.1194248517551894</v>
      </c>
    </row>
    <row r="89" spans="1:20" x14ac:dyDescent="0.25">
      <c r="A89" s="5">
        <v>44504</v>
      </c>
      <c r="B89">
        <v>29.5</v>
      </c>
      <c r="C89">
        <v>38.549999999999997</v>
      </c>
      <c r="D89">
        <v>29.47</v>
      </c>
      <c r="E89">
        <v>34.119999999999997</v>
      </c>
      <c r="F89">
        <v>577949.9</v>
      </c>
      <c r="G89">
        <v>34.119999999999997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2.4229074889867721E-2</v>
      </c>
      <c r="Q89">
        <f t="shared" ref="Q89" si="421">F89*P89</f>
        <v>14003.191409691561</v>
      </c>
      <c r="R89">
        <f t="shared" ref="R89" si="422">R90+Q89</f>
        <v>-11719946.093458638</v>
      </c>
      <c r="S89">
        <f t="shared" ref="S89" si="423">R89/100000</f>
        <v>-117.19946093458637</v>
      </c>
      <c r="T89">
        <f t="shared" ref="T89" si="424">S89/1000</f>
        <v>-0.11719946093458637</v>
      </c>
    </row>
    <row r="90" spans="1:20" x14ac:dyDescent="0.25">
      <c r="A90" s="5">
        <v>44503</v>
      </c>
      <c r="B90">
        <v>29.76</v>
      </c>
      <c r="C90">
        <v>33.24</v>
      </c>
      <c r="D90">
        <v>28.26</v>
      </c>
      <c r="E90">
        <v>29.5</v>
      </c>
      <c r="F90">
        <v>189953.07</v>
      </c>
      <c r="G90">
        <v>29.5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-0.50200803212851475</v>
      </c>
      <c r="Q90">
        <f t="shared" ref="Q90" si="426">F90*P90</f>
        <v>-95357.966867470008</v>
      </c>
      <c r="R90">
        <f t="shared" ref="R90" si="427">R91+Q90</f>
        <v>-11733949.28486833</v>
      </c>
      <c r="S90">
        <f t="shared" ref="S90" si="428">R90/100000</f>
        <v>-117.33949284868329</v>
      </c>
      <c r="T90">
        <f t="shared" ref="T90" si="429">S90/1000</f>
        <v>-0.11733949284868329</v>
      </c>
    </row>
    <row r="91" spans="1:20" x14ac:dyDescent="0.25">
      <c r="A91" s="5">
        <v>44502</v>
      </c>
      <c r="B91">
        <v>26.62</v>
      </c>
      <c r="C91">
        <v>35.979999999999997</v>
      </c>
      <c r="D91">
        <v>26.41</v>
      </c>
      <c r="E91">
        <v>29.75</v>
      </c>
      <c r="F91">
        <v>565405.99</v>
      </c>
      <c r="G91">
        <v>29.75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-0.30198537095088801</v>
      </c>
      <c r="Q91">
        <f t="shared" ref="Q91" si="431">F91*P91</f>
        <v>-170744.33762800408</v>
      </c>
      <c r="R91">
        <f t="shared" ref="R91" si="432">R92+Q91</f>
        <v>-11638591.318000861</v>
      </c>
      <c r="S91">
        <f t="shared" ref="S91" si="433">R91/100000</f>
        <v>-116.3859131800086</v>
      </c>
      <c r="T91">
        <f t="shared" ref="T91" si="434">S91/1000</f>
        <v>-0.1163859131800086</v>
      </c>
    </row>
    <row r="92" spans="1:20" x14ac:dyDescent="0.25">
      <c r="A92" s="5">
        <v>44501</v>
      </c>
      <c r="B92">
        <v>28.26</v>
      </c>
      <c r="C92">
        <v>28.26</v>
      </c>
      <c r="D92">
        <v>25.88</v>
      </c>
      <c r="E92">
        <v>26.65</v>
      </c>
      <c r="F92">
        <v>127436.62</v>
      </c>
      <c r="G92">
        <v>26.65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-0.35294117647058931</v>
      </c>
      <c r="Q92">
        <f t="shared" ref="Q92" si="436">F92*P92</f>
        <v>-44977.630588235428</v>
      </c>
      <c r="R92">
        <f t="shared" ref="R92" si="437">R93+Q92</f>
        <v>-11467846.980372857</v>
      </c>
      <c r="S92">
        <f t="shared" ref="S92" si="438">R92/100000</f>
        <v>-114.67846980372858</v>
      </c>
      <c r="T92">
        <f t="shared" ref="T92" si="439">S92/1000</f>
        <v>-0.11467846980372857</v>
      </c>
    </row>
    <row r="93" spans="1:20" x14ac:dyDescent="0.25">
      <c r="A93" s="5">
        <v>44500</v>
      </c>
      <c r="B93">
        <v>27.95</v>
      </c>
      <c r="C93">
        <v>35.01</v>
      </c>
      <c r="D93">
        <v>26.39</v>
      </c>
      <c r="E93">
        <v>28.29</v>
      </c>
      <c r="F93">
        <v>1013893.29</v>
      </c>
      <c r="G93">
        <v>28.29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-0.55916473317865445</v>
      </c>
      <c r="Q93">
        <f t="shared" ref="Q93" si="441">F93*P93</f>
        <v>-566933.3709744782</v>
      </c>
      <c r="R93">
        <f t="shared" ref="R93" si="442">R94+Q93</f>
        <v>-11422869.349784622</v>
      </c>
      <c r="S93">
        <f t="shared" ref="S93" si="443">R93/100000</f>
        <v>-114.22869349784622</v>
      </c>
      <c r="T93">
        <f t="shared" ref="T93" si="444">S93/1000</f>
        <v>-0.11422869349784623</v>
      </c>
    </row>
    <row r="94" spans="1:20" x14ac:dyDescent="0.25">
      <c r="A94" s="5">
        <v>44499</v>
      </c>
      <c r="B94">
        <v>23.97</v>
      </c>
      <c r="C94">
        <v>30.28</v>
      </c>
      <c r="D94">
        <v>23.5</v>
      </c>
      <c r="E94">
        <v>27.95</v>
      </c>
      <c r="F94">
        <v>647117</v>
      </c>
      <c r="G94">
        <v>27.95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0.31268436578171049</v>
      </c>
      <c r="Q94">
        <f t="shared" ref="Q94" si="446">F94*P94</f>
        <v>202343.36873156315</v>
      </c>
      <c r="R94">
        <f t="shared" ref="R94" si="447">R95+Q94</f>
        <v>-10855935.978810145</v>
      </c>
      <c r="S94">
        <f t="shared" ref="S94" si="448">R94/100000</f>
        <v>-108.55935978810145</v>
      </c>
      <c r="T94">
        <f t="shared" ref="T94" si="449">S94/1000</f>
        <v>-0.10855935978810144</v>
      </c>
    </row>
    <row r="95" spans="1:20" x14ac:dyDescent="0.25">
      <c r="A95" s="5">
        <v>44498</v>
      </c>
      <c r="B95">
        <v>23.67</v>
      </c>
      <c r="C95">
        <v>24.39</v>
      </c>
      <c r="D95">
        <v>23.29</v>
      </c>
      <c r="E95">
        <v>23.97</v>
      </c>
      <c r="F95">
        <v>69977.259999999995</v>
      </c>
      <c r="G95">
        <v>23.97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0.23636363636363425</v>
      </c>
      <c r="Q95">
        <f t="shared" ref="Q95" si="451">F95*P95</f>
        <v>16540.079636363487</v>
      </c>
      <c r="R95">
        <f t="shared" ref="R95" si="452">R96+Q95</f>
        <v>-11058279.347541708</v>
      </c>
      <c r="S95">
        <f t="shared" ref="S95" si="453">R95/100000</f>
        <v>-110.58279347541709</v>
      </c>
      <c r="T95">
        <f t="shared" ref="T95" si="454">S95/1000</f>
        <v>-0.11058279347541709</v>
      </c>
    </row>
    <row r="96" spans="1:20" x14ac:dyDescent="0.25">
      <c r="A96" s="5">
        <v>44497</v>
      </c>
      <c r="B96">
        <v>22.5</v>
      </c>
      <c r="C96">
        <v>24.17</v>
      </c>
      <c r="D96">
        <v>22.37</v>
      </c>
      <c r="E96">
        <v>23.64</v>
      </c>
      <c r="F96">
        <v>91896.87</v>
      </c>
      <c r="G96">
        <v>23.64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0.41111111111111009</v>
      </c>
      <c r="Q96">
        <f t="shared" ref="Q96" si="456">F96*P96</f>
        <v>37779.824333333236</v>
      </c>
      <c r="R96">
        <f t="shared" ref="R96" si="457">R97+Q96</f>
        <v>-11074819.427178072</v>
      </c>
      <c r="S96">
        <f t="shared" ref="S96" si="458">R96/100000</f>
        <v>-110.74819427178072</v>
      </c>
      <c r="T96">
        <f t="shared" ref="T96" si="459">S96/1000</f>
        <v>-0.11074819427178072</v>
      </c>
    </row>
    <row r="97" spans="1:20" x14ac:dyDescent="0.25">
      <c r="A97" s="5">
        <v>44496</v>
      </c>
      <c r="B97">
        <v>24.52</v>
      </c>
      <c r="C97">
        <v>25.08</v>
      </c>
      <c r="D97">
        <v>22.31</v>
      </c>
      <c r="E97">
        <v>22.46</v>
      </c>
      <c r="F97">
        <v>235779.83</v>
      </c>
      <c r="G97">
        <v>22.46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-0.89169675090252554</v>
      </c>
      <c r="Q97">
        <f t="shared" ref="Q97" si="461">F97*P97</f>
        <v>-210244.1083393498</v>
      </c>
      <c r="R97">
        <f t="shared" ref="R97" si="462">R98+Q97</f>
        <v>-11112599.251511404</v>
      </c>
      <c r="S97">
        <f t="shared" ref="S97" si="463">R97/100000</f>
        <v>-111.12599251511405</v>
      </c>
      <c r="T97">
        <f t="shared" ref="T97" si="464">S97/1000</f>
        <v>-0.11112599251511406</v>
      </c>
    </row>
    <row r="98" spans="1:20" x14ac:dyDescent="0.25">
      <c r="A98" s="5">
        <v>44495</v>
      </c>
      <c r="B98">
        <v>25.95</v>
      </c>
      <c r="C98">
        <v>25.98</v>
      </c>
      <c r="D98">
        <v>24.36</v>
      </c>
      <c r="E98">
        <v>24.48</v>
      </c>
      <c r="F98">
        <v>94782.17</v>
      </c>
      <c r="G98">
        <v>24.48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-0.85185185185185075</v>
      </c>
      <c r="Q98">
        <f t="shared" ref="Q98" si="466">F98*P98</f>
        <v>-80740.367037036936</v>
      </c>
      <c r="R98">
        <f t="shared" ref="R98" si="467">R99+Q98</f>
        <v>-10902355.143172054</v>
      </c>
      <c r="S98">
        <f t="shared" ref="S98" si="468">R98/100000</f>
        <v>-109.02355143172053</v>
      </c>
      <c r="T98">
        <f t="shared" ref="T98" si="469">S98/1000</f>
        <v>-0.10902355143172053</v>
      </c>
    </row>
    <row r="99" spans="1:20" x14ac:dyDescent="0.25">
      <c r="A99" s="5">
        <v>44494</v>
      </c>
      <c r="B99">
        <v>23.29</v>
      </c>
      <c r="C99">
        <v>26.74</v>
      </c>
      <c r="D99">
        <v>23.16</v>
      </c>
      <c r="E99">
        <v>25.98</v>
      </c>
      <c r="F99">
        <v>293241.36</v>
      </c>
      <c r="G99">
        <v>25.98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0.57541899441340871</v>
      </c>
      <c r="Q99">
        <f t="shared" ref="Q99" si="471">F99*P99</f>
        <v>168736.64849162038</v>
      </c>
      <c r="R99">
        <f t="shared" ref="R99" si="472">R100+Q99</f>
        <v>-10821614.776135016</v>
      </c>
      <c r="S99">
        <f t="shared" ref="S99" si="473">R99/100000</f>
        <v>-108.21614776135016</v>
      </c>
      <c r="T99">
        <f t="shared" ref="T99" si="474">S99/1000</f>
        <v>-0.10821614776135016</v>
      </c>
    </row>
    <row r="100" spans="1:20" x14ac:dyDescent="0.25">
      <c r="A100" s="5">
        <v>44493</v>
      </c>
      <c r="B100">
        <v>24.61</v>
      </c>
      <c r="C100">
        <v>24.76</v>
      </c>
      <c r="D100">
        <v>22.78</v>
      </c>
      <c r="E100">
        <v>23.3</v>
      </c>
      <c r="F100">
        <v>111455.96</v>
      </c>
      <c r="G100">
        <v>23.3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-0.47474747474747531</v>
      </c>
      <c r="Q100">
        <f t="shared" ref="Q100" si="476">F100*P100</f>
        <v>-52913.435555555618</v>
      </c>
      <c r="R100">
        <f t="shared" ref="R100" si="477">R101+Q100</f>
        <v>-10990351.424626637</v>
      </c>
      <c r="S100">
        <f t="shared" ref="S100" si="478">R100/100000</f>
        <v>-109.90351424626637</v>
      </c>
      <c r="T100">
        <f t="shared" ref="T100" si="479">S100/1000</f>
        <v>-0.10990351424626636</v>
      </c>
    </row>
    <row r="101" spans="1:20" x14ac:dyDescent="0.25">
      <c r="A101" s="5">
        <v>44492</v>
      </c>
      <c r="B101">
        <v>25.15</v>
      </c>
      <c r="C101">
        <v>26.5</v>
      </c>
      <c r="D101">
        <v>24.19</v>
      </c>
      <c r="E101">
        <v>24.59</v>
      </c>
      <c r="F101">
        <v>134476.44</v>
      </c>
      <c r="G101">
        <v>24.59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-0.65367965367965475</v>
      </c>
      <c r="Q101">
        <f t="shared" ref="Q101" si="481">F101*P101</f>
        <v>-87904.512727272871</v>
      </c>
      <c r="R101">
        <f t="shared" ref="R101" si="482">R102+Q101</f>
        <v>-10937437.989071082</v>
      </c>
      <c r="S101">
        <f t="shared" ref="S101" si="483">R101/100000</f>
        <v>-109.37437989071083</v>
      </c>
      <c r="T101">
        <f t="shared" ref="T101" si="484">S101/1000</f>
        <v>-0.10937437989071083</v>
      </c>
    </row>
    <row r="102" spans="1:20" x14ac:dyDescent="0.25">
      <c r="A102" s="5">
        <v>44491</v>
      </c>
      <c r="B102">
        <v>25.57</v>
      </c>
      <c r="C102">
        <v>26.8</v>
      </c>
      <c r="D102">
        <v>25</v>
      </c>
      <c r="E102">
        <v>25.14</v>
      </c>
      <c r="F102">
        <v>198035.67</v>
      </c>
      <c r="G102">
        <v>25.14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-0.84444444444444389</v>
      </c>
      <c r="Q102">
        <f t="shared" ref="Q102" si="486">F102*P102</f>
        <v>-167230.12133333323</v>
      </c>
      <c r="R102">
        <f t="shared" ref="R102" si="487">R103+Q102</f>
        <v>-10849533.476343809</v>
      </c>
      <c r="S102">
        <f t="shared" ref="S102" si="488">R102/100000</f>
        <v>-108.49533476343808</v>
      </c>
      <c r="T102">
        <f t="shared" ref="T102" si="489">S102/1000</f>
        <v>-0.10849533476343808</v>
      </c>
    </row>
    <row r="103" spans="1:20" x14ac:dyDescent="0.25">
      <c r="A103" s="5">
        <v>44490</v>
      </c>
      <c r="B103">
        <v>27.57</v>
      </c>
      <c r="C103">
        <v>27.6</v>
      </c>
      <c r="D103">
        <v>25.41</v>
      </c>
      <c r="E103">
        <v>25.53</v>
      </c>
      <c r="F103">
        <v>218855.91</v>
      </c>
      <c r="G103">
        <v>25.53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-0.89041095890410871</v>
      </c>
      <c r="Q103">
        <f t="shared" ref="Q103" si="491">F103*P103</f>
        <v>-194871.7006849313</v>
      </c>
      <c r="R103">
        <f t="shared" ref="R103" si="492">R104+Q103</f>
        <v>-10682303.355010476</v>
      </c>
      <c r="S103">
        <f t="shared" ref="S103" si="493">R103/100000</f>
        <v>-106.82303355010475</v>
      </c>
      <c r="T103">
        <f t="shared" ref="T103" si="494">S103/1000</f>
        <v>-0.10682303355010475</v>
      </c>
    </row>
    <row r="104" spans="1:20" x14ac:dyDescent="0.25">
      <c r="A104" s="5">
        <v>44489</v>
      </c>
      <c r="B104">
        <v>31.22</v>
      </c>
      <c r="C104">
        <v>31.25</v>
      </c>
      <c r="D104">
        <v>27.04</v>
      </c>
      <c r="E104">
        <v>27.58</v>
      </c>
      <c r="F104">
        <v>499825.67</v>
      </c>
      <c r="G104">
        <v>27.58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-0.74346793349168694</v>
      </c>
      <c r="Q104">
        <f t="shared" ref="Q104" si="496">F104*P104</f>
        <v>-371604.35798099783</v>
      </c>
      <c r="R104">
        <f t="shared" ref="R104" si="497">R105+Q104</f>
        <v>-10487431.654325545</v>
      </c>
      <c r="S104">
        <f t="shared" ref="S104" si="498">R104/100000</f>
        <v>-104.87431654325545</v>
      </c>
      <c r="T104">
        <f t="shared" ref="T104" si="499">S104/1000</f>
        <v>-0.10487431654325545</v>
      </c>
    </row>
    <row r="105" spans="1:20" x14ac:dyDescent="0.25">
      <c r="A105" s="5">
        <v>44488</v>
      </c>
      <c r="B105">
        <v>28.21</v>
      </c>
      <c r="C105">
        <v>36.5</v>
      </c>
      <c r="D105">
        <v>26.71</v>
      </c>
      <c r="E105">
        <v>31.2</v>
      </c>
      <c r="F105">
        <v>3669519.13</v>
      </c>
      <c r="G105">
        <v>31.2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-8.2737487231869494E-2</v>
      </c>
      <c r="Q105">
        <f t="shared" ref="Q105" si="501">F105*P105</f>
        <v>-303606.79216547584</v>
      </c>
      <c r="R105">
        <f t="shared" ref="R105" si="502">R106+Q105</f>
        <v>-10115827.296344547</v>
      </c>
      <c r="S105">
        <f t="shared" ref="S105" si="503">R105/100000</f>
        <v>-101.15827296344547</v>
      </c>
      <c r="T105">
        <f t="shared" ref="T105" si="504">S105/1000</f>
        <v>-0.10115827296344547</v>
      </c>
    </row>
    <row r="106" spans="1:20" x14ac:dyDescent="0.25">
      <c r="A106" s="5">
        <v>44487</v>
      </c>
      <c r="B106">
        <v>20.25</v>
      </c>
      <c r="C106">
        <v>35.5</v>
      </c>
      <c r="D106">
        <v>19.75</v>
      </c>
      <c r="E106">
        <v>28.21</v>
      </c>
      <c r="F106">
        <v>2858415.83</v>
      </c>
      <c r="G106">
        <v>28.21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7.4285714285714399E-2</v>
      </c>
      <c r="Q106">
        <f t="shared" ref="Q106" si="506">F106*P106</f>
        <v>212339.4616571432</v>
      </c>
      <c r="R106">
        <f t="shared" ref="R106" si="507">R107+Q106</f>
        <v>-9812220.5041790716</v>
      </c>
      <c r="S106">
        <f t="shared" ref="S106" si="508">R106/100000</f>
        <v>-98.122205041790721</v>
      </c>
      <c r="T106">
        <f t="shared" ref="T106" si="509">S106/1000</f>
        <v>-9.8122205041790728E-2</v>
      </c>
    </row>
    <row r="107" spans="1:20" x14ac:dyDescent="0.25">
      <c r="A107" s="5">
        <v>44486</v>
      </c>
      <c r="B107">
        <v>21.66</v>
      </c>
      <c r="C107">
        <v>22.53</v>
      </c>
      <c r="D107">
        <v>19.760000000000002</v>
      </c>
      <c r="E107">
        <v>20.25</v>
      </c>
      <c r="F107">
        <v>248339.72</v>
      </c>
      <c r="G107">
        <v>20.25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-0.64620938628158953</v>
      </c>
      <c r="Q107">
        <f t="shared" ref="Q107" si="511">F107*P107</f>
        <v>-160479.45805054178</v>
      </c>
      <c r="R107">
        <f t="shared" ref="R107" si="512">R108+Q107</f>
        <v>-10024559.965836216</v>
      </c>
      <c r="S107">
        <f t="shared" ref="S107" si="513">R107/100000</f>
        <v>-100.24559965836215</v>
      </c>
      <c r="T107">
        <f t="shared" ref="T107" si="514">S107/1000</f>
        <v>-0.10024559965836215</v>
      </c>
    </row>
    <row r="108" spans="1:20" x14ac:dyDescent="0.25">
      <c r="A108" s="5">
        <v>44485</v>
      </c>
      <c r="B108">
        <v>21.79</v>
      </c>
      <c r="C108">
        <v>23.48</v>
      </c>
      <c r="D108">
        <v>21.46</v>
      </c>
      <c r="E108">
        <v>21.63</v>
      </c>
      <c r="F108">
        <v>342785.49</v>
      </c>
      <c r="G108">
        <v>21.63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-0.83168316831683353</v>
      </c>
      <c r="Q108">
        <f t="shared" ref="Q108" si="516">F108*P108</f>
        <v>-285088.92237623828</v>
      </c>
      <c r="R108">
        <f t="shared" ref="R108" si="517">R109+Q108</f>
        <v>-9864080.5077856742</v>
      </c>
      <c r="S108">
        <f t="shared" ref="S108" si="518">R108/100000</f>
        <v>-98.64080507785674</v>
      </c>
      <c r="T108">
        <f t="shared" ref="T108" si="519">S108/1000</f>
        <v>-9.8640805077856747E-2</v>
      </c>
    </row>
    <row r="109" spans="1:20" x14ac:dyDescent="0.25">
      <c r="A109" s="5">
        <v>44484</v>
      </c>
      <c r="B109">
        <v>25.16</v>
      </c>
      <c r="C109">
        <v>29.3</v>
      </c>
      <c r="D109">
        <v>21.08</v>
      </c>
      <c r="E109">
        <v>21.78</v>
      </c>
      <c r="F109">
        <v>1234973.3</v>
      </c>
      <c r="G109">
        <v>21.78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-0.8296836982968363</v>
      </c>
      <c r="Q109">
        <f t="shared" ref="Q109" si="521">F109*P109</f>
        <v>-1024637.2148418484</v>
      </c>
      <c r="R109">
        <f t="shared" ref="R109" si="522">R110+Q109</f>
        <v>-9578991.5854094364</v>
      </c>
      <c r="S109">
        <f t="shared" ref="S109" si="523">R109/100000</f>
        <v>-95.78991585409436</v>
      </c>
      <c r="T109">
        <f t="shared" ref="T109" si="524">S109/1000</f>
        <v>-9.5789915854094354E-2</v>
      </c>
    </row>
    <row r="110" spans="1:20" x14ac:dyDescent="0.25">
      <c r="A110" s="5">
        <v>44483</v>
      </c>
      <c r="B110">
        <v>18.3</v>
      </c>
      <c r="C110">
        <v>33.54</v>
      </c>
      <c r="D110">
        <v>18.28</v>
      </c>
      <c r="E110">
        <v>25.16</v>
      </c>
      <c r="F110">
        <v>2362587.5</v>
      </c>
      <c r="G110">
        <v>25.16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-9.829619921363042E-2</v>
      </c>
      <c r="Q110">
        <f t="shared" ref="Q110" si="526">F110*P110</f>
        <v>-232233.37155963306</v>
      </c>
      <c r="R110">
        <f t="shared" ref="R110" si="527">R111+Q110</f>
        <v>-8554354.3705675881</v>
      </c>
      <c r="S110">
        <f t="shared" ref="S110" si="528">R110/100000</f>
        <v>-85.543543705675887</v>
      </c>
      <c r="T110">
        <f t="shared" ref="T110" si="529">S110/1000</f>
        <v>-8.5543543705675892E-2</v>
      </c>
    </row>
    <row r="111" spans="1:20" x14ac:dyDescent="0.25">
      <c r="A111" s="5">
        <v>44482</v>
      </c>
      <c r="B111">
        <v>17.77</v>
      </c>
      <c r="C111">
        <v>18.440000000000001</v>
      </c>
      <c r="D111">
        <v>17.66</v>
      </c>
      <c r="E111">
        <v>18.3</v>
      </c>
      <c r="F111">
        <v>62910.32</v>
      </c>
      <c r="G111">
        <v>18.3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0.64102564102564008</v>
      </c>
      <c r="Q111">
        <f t="shared" ref="Q111" si="531">F111*P111</f>
        <v>40327.128205128145</v>
      </c>
      <c r="R111">
        <f t="shared" ref="R111" si="532">R112+Q111</f>
        <v>-8322120.9990079543</v>
      </c>
      <c r="S111">
        <f t="shared" ref="S111" si="533">R111/100000</f>
        <v>-83.221209990079544</v>
      </c>
      <c r="T111">
        <f t="shared" ref="T111" si="534">S111/1000</f>
        <v>-8.322120999007955E-2</v>
      </c>
    </row>
    <row r="112" spans="1:20" x14ac:dyDescent="0.25">
      <c r="A112" s="5">
        <v>44481</v>
      </c>
      <c r="B112">
        <v>17.86</v>
      </c>
      <c r="C112">
        <v>18.079999999999998</v>
      </c>
      <c r="D112">
        <v>16.28</v>
      </c>
      <c r="E112">
        <v>17.78</v>
      </c>
      <c r="F112">
        <v>216707.26</v>
      </c>
      <c r="G112">
        <v>17.78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0.66666666666666929</v>
      </c>
      <c r="Q112">
        <f t="shared" ref="Q112" si="536">F112*P112</f>
        <v>144471.50666666724</v>
      </c>
      <c r="R112">
        <f t="shared" ref="R112" si="537">R113+Q112</f>
        <v>-8362448.1272130823</v>
      </c>
      <c r="S112">
        <f t="shared" ref="S112" si="538">R112/100000</f>
        <v>-83.624481272130822</v>
      </c>
      <c r="T112">
        <f t="shared" ref="T112" si="539">S112/1000</f>
        <v>-8.3624481272130818E-2</v>
      </c>
    </row>
    <row r="113" spans="1:20" x14ac:dyDescent="0.25">
      <c r="A113" s="5">
        <v>44480</v>
      </c>
      <c r="B113">
        <v>17.78</v>
      </c>
      <c r="C113">
        <v>18.32</v>
      </c>
      <c r="D113">
        <v>17.489999999999998</v>
      </c>
      <c r="E113">
        <v>17.89</v>
      </c>
      <c r="F113">
        <v>65097.1</v>
      </c>
      <c r="G113">
        <v>17.89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-3.614457831325002E-2</v>
      </c>
      <c r="Q113">
        <f t="shared" ref="Q113" si="541">F113*P113</f>
        <v>-2352.9072289154678</v>
      </c>
      <c r="R113">
        <f t="shared" ref="R113" si="542">R114+Q113</f>
        <v>-8506919.6338797491</v>
      </c>
      <c r="S113">
        <f t="shared" ref="S113" si="543">R113/100000</f>
        <v>-85.069196338797497</v>
      </c>
      <c r="T113">
        <f t="shared" ref="T113" si="544">S113/1000</f>
        <v>-8.506919633879749E-2</v>
      </c>
    </row>
    <row r="114" spans="1:20" x14ac:dyDescent="0.25">
      <c r="A114" s="5">
        <v>44479</v>
      </c>
      <c r="B114">
        <v>18.309999999999999</v>
      </c>
      <c r="C114">
        <v>18.63</v>
      </c>
      <c r="D114">
        <v>17.54</v>
      </c>
      <c r="E114">
        <v>17.79</v>
      </c>
      <c r="F114">
        <v>181985.1</v>
      </c>
      <c r="G114">
        <v>17.79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-0.54128440366972475</v>
      </c>
      <c r="Q114">
        <f t="shared" ref="Q114" si="546">F114*P114</f>
        <v>-98505.696330275227</v>
      </c>
      <c r="R114">
        <f t="shared" ref="R114" si="547">R115+Q114</f>
        <v>-8504566.7266508341</v>
      </c>
      <c r="S114">
        <f t="shared" ref="S114" si="548">R114/100000</f>
        <v>-85.045667266508346</v>
      </c>
      <c r="T114">
        <f t="shared" ref="T114" si="549">S114/1000</f>
        <v>-8.5045667266508349E-2</v>
      </c>
    </row>
    <row r="115" spans="1:20" x14ac:dyDescent="0.25">
      <c r="A115" s="5">
        <v>44478</v>
      </c>
      <c r="B115">
        <v>18.22</v>
      </c>
      <c r="C115">
        <v>19.399999999999999</v>
      </c>
      <c r="D115">
        <v>18.03</v>
      </c>
      <c r="E115">
        <v>18.309999999999999</v>
      </c>
      <c r="F115">
        <v>124889.41</v>
      </c>
      <c r="G115">
        <v>18.309999999999999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-0.59124087591241148</v>
      </c>
      <c r="Q115">
        <f t="shared" ref="Q115" si="551">F115*P115</f>
        <v>-73839.724160584286</v>
      </c>
      <c r="R115">
        <f t="shared" ref="R115" si="552">R116+Q115</f>
        <v>-8406061.0303205587</v>
      </c>
      <c r="S115">
        <f t="shared" ref="S115" si="553">R115/100000</f>
        <v>-84.060610303205593</v>
      </c>
      <c r="T115">
        <f t="shared" ref="T115" si="554">S115/1000</f>
        <v>-8.4060610303205593E-2</v>
      </c>
    </row>
    <row r="116" spans="1:20" x14ac:dyDescent="0.25">
      <c r="A116" s="5">
        <v>44477</v>
      </c>
      <c r="B116">
        <v>17.86</v>
      </c>
      <c r="C116">
        <v>18.78</v>
      </c>
      <c r="D116">
        <v>17.690000000000001</v>
      </c>
      <c r="E116">
        <v>18.22</v>
      </c>
      <c r="F116">
        <v>115897.93</v>
      </c>
      <c r="G116">
        <v>18.22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-2.7522935779820821E-2</v>
      </c>
      <c r="Q116">
        <f t="shared" ref="Q116" si="556">F116*P116</f>
        <v>-3189.8512844041688</v>
      </c>
      <c r="R116">
        <f t="shared" ref="R116" si="557">R117+Q116</f>
        <v>-8332221.306159975</v>
      </c>
      <c r="S116">
        <f t="shared" ref="S116" si="558">R116/100000</f>
        <v>-83.322213061599754</v>
      </c>
      <c r="T116">
        <f t="shared" ref="T116" si="559">S116/1000</f>
        <v>-8.3322213061599759E-2</v>
      </c>
    </row>
    <row r="117" spans="1:20" x14ac:dyDescent="0.25">
      <c r="A117" s="5">
        <v>44476</v>
      </c>
      <c r="B117">
        <v>17.86</v>
      </c>
      <c r="C117">
        <v>18.850000000000001</v>
      </c>
      <c r="D117">
        <v>17.29</v>
      </c>
      <c r="E117">
        <v>17.829999999999998</v>
      </c>
      <c r="F117">
        <v>170643.09</v>
      </c>
      <c r="G117">
        <v>17.829999999999998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-0.30769230769230982</v>
      </c>
      <c r="Q117">
        <f t="shared" ref="Q117" si="561">F117*P117</f>
        <v>-52505.566153846514</v>
      </c>
      <c r="R117">
        <f t="shared" ref="R117" si="562">R118+Q117</f>
        <v>-8329031.4548755707</v>
      </c>
      <c r="S117">
        <f t="shared" ref="S117" si="563">R117/100000</f>
        <v>-83.290314548755703</v>
      </c>
      <c r="T117">
        <f t="shared" ref="T117" si="564">S117/1000</f>
        <v>-8.3290314548755698E-2</v>
      </c>
    </row>
    <row r="118" spans="1:20" x14ac:dyDescent="0.25">
      <c r="A118" s="5">
        <v>44475</v>
      </c>
      <c r="B118">
        <v>18.02</v>
      </c>
      <c r="C118">
        <v>18.329999999999998</v>
      </c>
      <c r="D118">
        <v>17.02</v>
      </c>
      <c r="E118">
        <v>17.88</v>
      </c>
      <c r="F118">
        <v>84529.26</v>
      </c>
      <c r="G118">
        <v>17.88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0.31297709923664163</v>
      </c>
      <c r="Q118">
        <f t="shared" ref="Q118" si="566">F118*P118</f>
        <v>26455.72259541988</v>
      </c>
      <c r="R118">
        <f t="shared" ref="R118" si="567">R119+Q118</f>
        <v>-8276525.888721724</v>
      </c>
      <c r="S118">
        <f t="shared" ref="S118" si="568">R118/100000</f>
        <v>-82.765258887217243</v>
      </c>
      <c r="T118">
        <f t="shared" ref="T118" si="569">S118/1000</f>
        <v>-8.2765258887217238E-2</v>
      </c>
    </row>
    <row r="119" spans="1:20" x14ac:dyDescent="0.25">
      <c r="A119" s="5">
        <v>44474</v>
      </c>
      <c r="B119">
        <v>17.43</v>
      </c>
      <c r="C119">
        <v>18.350000000000001</v>
      </c>
      <c r="D119">
        <v>17.350000000000001</v>
      </c>
      <c r="E119">
        <v>17.98</v>
      </c>
      <c r="F119">
        <v>63550.25</v>
      </c>
      <c r="G119">
        <v>17.98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0.25999999999999801</v>
      </c>
      <c r="Q119">
        <f t="shared" ref="Q119" si="571">F119*P119</f>
        <v>16523.064999999875</v>
      </c>
      <c r="R119">
        <f t="shared" ref="R119" si="572">R120+Q119</f>
        <v>-8302981.6113171438</v>
      </c>
      <c r="S119">
        <f t="shared" ref="S119" si="573">R119/100000</f>
        <v>-83.029816113171435</v>
      </c>
      <c r="T119">
        <f t="shared" ref="T119" si="574">S119/1000</f>
        <v>-8.3029816113171437E-2</v>
      </c>
    </row>
    <row r="120" spans="1:20" x14ac:dyDescent="0.25">
      <c r="A120" s="5">
        <v>44473</v>
      </c>
      <c r="B120">
        <v>17.53</v>
      </c>
      <c r="C120">
        <v>17.88</v>
      </c>
      <c r="D120">
        <v>16.98</v>
      </c>
      <c r="E120">
        <v>17.46</v>
      </c>
      <c r="F120">
        <v>85412.81</v>
      </c>
      <c r="G120">
        <v>17.46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6.6666666666669303E-2</v>
      </c>
      <c r="Q120">
        <f t="shared" ref="Q120" si="576">F120*P120</f>
        <v>5694.1873333335579</v>
      </c>
      <c r="R120">
        <f t="shared" ref="R120" si="577">R121+Q120</f>
        <v>-8319504.6763171433</v>
      </c>
      <c r="S120">
        <f t="shared" ref="S120" si="578">R120/100000</f>
        <v>-83.195046763171433</v>
      </c>
      <c r="T120">
        <f t="shared" ref="T120" si="579">S120/1000</f>
        <v>-8.3195046763171437E-2</v>
      </c>
    </row>
    <row r="121" spans="1:20" x14ac:dyDescent="0.25">
      <c r="A121" s="5">
        <v>44472</v>
      </c>
      <c r="B121">
        <v>17.829999999999998</v>
      </c>
      <c r="C121">
        <v>18.11</v>
      </c>
      <c r="D121">
        <v>17.239999999999998</v>
      </c>
      <c r="E121">
        <v>17.57</v>
      </c>
      <c r="F121">
        <v>79385.429999999993</v>
      </c>
      <c r="G121">
        <v>17.57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-0.24137931034482421</v>
      </c>
      <c r="Q121">
        <f t="shared" ref="Q121" si="581">F121*P121</f>
        <v>-19162.000344827316</v>
      </c>
      <c r="R121">
        <f t="shared" ref="R121" si="582">R122+Q121</f>
        <v>-8325198.8636504766</v>
      </c>
      <c r="S121">
        <f t="shared" ref="S121" si="583">R121/100000</f>
        <v>-83.251988636504763</v>
      </c>
      <c r="T121">
        <f t="shared" ref="T121" si="584">S121/1000</f>
        <v>-8.3251988636504765E-2</v>
      </c>
    </row>
    <row r="122" spans="1:20" x14ac:dyDescent="0.25">
      <c r="A122" s="5">
        <v>44471</v>
      </c>
      <c r="B122">
        <v>17.739999999999998</v>
      </c>
      <c r="C122">
        <v>18.920000000000002</v>
      </c>
      <c r="D122">
        <v>17.399999999999999</v>
      </c>
      <c r="E122">
        <v>17.809999999999999</v>
      </c>
      <c r="F122">
        <v>156502.97</v>
      </c>
      <c r="G122">
        <v>17.809999999999999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-0.46052631578947462</v>
      </c>
      <c r="Q122">
        <f t="shared" ref="Q122" si="586">F122*P122</f>
        <v>-72073.736184210677</v>
      </c>
      <c r="R122">
        <f t="shared" ref="R122" si="587">R123+Q122</f>
        <v>-8306036.8633056488</v>
      </c>
      <c r="S122">
        <f t="shared" ref="S122" si="588">R122/100000</f>
        <v>-83.060368633056484</v>
      </c>
      <c r="T122">
        <f t="shared" ref="T122" si="589">S122/1000</f>
        <v>-8.3060368633056478E-2</v>
      </c>
    </row>
    <row r="123" spans="1:20" x14ac:dyDescent="0.25">
      <c r="A123" s="5">
        <v>44470</v>
      </c>
      <c r="B123">
        <v>16.920000000000002</v>
      </c>
      <c r="C123">
        <v>17.88</v>
      </c>
      <c r="D123">
        <v>16.73</v>
      </c>
      <c r="E123">
        <v>17.760000000000002</v>
      </c>
      <c r="F123">
        <v>131558.59</v>
      </c>
      <c r="G123">
        <v>17.760000000000002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0.79130434782609116</v>
      </c>
      <c r="Q123">
        <f t="shared" ref="Q123" si="591">F123*P123</f>
        <v>104102.88426087011</v>
      </c>
      <c r="R123">
        <f t="shared" ref="R123" si="592">R124+Q123</f>
        <v>-8233963.1271214383</v>
      </c>
      <c r="S123">
        <f t="shared" ref="S123" si="593">R123/100000</f>
        <v>-82.339631271214387</v>
      </c>
      <c r="T123">
        <f t="shared" ref="T123" si="594">S123/1000</f>
        <v>-8.2339631271214381E-2</v>
      </c>
    </row>
    <row r="124" spans="1:20" x14ac:dyDescent="0.25">
      <c r="A124" s="5">
        <v>44469</v>
      </c>
      <c r="B124">
        <v>16.760000000000002</v>
      </c>
      <c r="C124">
        <v>17.43</v>
      </c>
      <c r="D124">
        <v>16.25</v>
      </c>
      <c r="E124">
        <v>16.920000000000002</v>
      </c>
      <c r="F124">
        <v>208928.85</v>
      </c>
      <c r="G124">
        <v>16.920000000000002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0.13559322033898621</v>
      </c>
      <c r="Q124">
        <f t="shared" ref="Q124" si="596">F124*P124</f>
        <v>28329.335593221</v>
      </c>
      <c r="R124">
        <f t="shared" ref="R124" si="597">R125+Q124</f>
        <v>-8338066.0113823088</v>
      </c>
      <c r="S124">
        <f t="shared" ref="S124" si="598">R124/100000</f>
        <v>-83.380660113823083</v>
      </c>
      <c r="T124">
        <f t="shared" ref="T124" si="599">S124/1000</f>
        <v>-8.3380660113823085E-2</v>
      </c>
    </row>
    <row r="125" spans="1:20" x14ac:dyDescent="0.25">
      <c r="A125" s="5">
        <v>44468</v>
      </c>
      <c r="B125">
        <v>15.94</v>
      </c>
      <c r="C125">
        <v>18</v>
      </c>
      <c r="D125">
        <v>15.94</v>
      </c>
      <c r="E125">
        <v>16.739999999999998</v>
      </c>
      <c r="F125">
        <v>214875.7</v>
      </c>
      <c r="G125">
        <v>16.739999999999998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-0.22330097087378764</v>
      </c>
      <c r="Q125">
        <f t="shared" ref="Q125" si="601">F125*P125</f>
        <v>-47981.952427184733</v>
      </c>
      <c r="R125">
        <f t="shared" ref="R125" si="602">R126+Q125</f>
        <v>-8366395.3469755296</v>
      </c>
      <c r="S125">
        <f t="shared" ref="S125" si="603">R125/100000</f>
        <v>-83.663953469755299</v>
      </c>
      <c r="T125">
        <f t="shared" ref="T125" si="604">S125/1000</f>
        <v>-8.3663953469755303E-2</v>
      </c>
    </row>
    <row r="126" spans="1:20" x14ac:dyDescent="0.25">
      <c r="A126" s="5">
        <v>44467</v>
      </c>
      <c r="B126">
        <v>16.309999999999999</v>
      </c>
      <c r="C126">
        <v>17.670000000000002</v>
      </c>
      <c r="D126">
        <v>15.9</v>
      </c>
      <c r="E126">
        <v>15.91</v>
      </c>
      <c r="F126">
        <v>392520.11</v>
      </c>
      <c r="G126">
        <v>15.91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-0.98870056497175163</v>
      </c>
      <c r="Q126">
        <f t="shared" ref="Q126" si="606">F126*P126</f>
        <v>-388084.85451977409</v>
      </c>
      <c r="R126">
        <f t="shared" ref="R126" si="607">R127+Q126</f>
        <v>-8318413.3945483444</v>
      </c>
      <c r="S126">
        <f t="shared" ref="S126" si="608">R126/100000</f>
        <v>-83.184133945483438</v>
      </c>
      <c r="T126">
        <f t="shared" ref="T126" si="609">S126/1000</f>
        <v>-8.3184133945483435E-2</v>
      </c>
    </row>
    <row r="127" spans="1:20" x14ac:dyDescent="0.25">
      <c r="A127" s="5">
        <v>44466</v>
      </c>
      <c r="B127">
        <v>16.97</v>
      </c>
      <c r="C127">
        <v>17.8</v>
      </c>
      <c r="D127">
        <v>16.32</v>
      </c>
      <c r="E127">
        <v>16.350000000000001</v>
      </c>
      <c r="F127">
        <v>346047.5</v>
      </c>
      <c r="G127">
        <v>16.350000000000001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-0.95945945945945799</v>
      </c>
      <c r="Q127">
        <f t="shared" ref="Q127" si="611">F127*P127</f>
        <v>-332018.54729729681</v>
      </c>
      <c r="R127">
        <f t="shared" ref="R127" si="612">R128+Q127</f>
        <v>-7930328.5400285702</v>
      </c>
      <c r="S127">
        <f t="shared" ref="S127" si="613">R127/100000</f>
        <v>-79.303285400285702</v>
      </c>
      <c r="T127">
        <f t="shared" ref="T127" si="614">S127/1000</f>
        <v>-7.9303285400285708E-2</v>
      </c>
    </row>
    <row r="128" spans="1:20" x14ac:dyDescent="0.25">
      <c r="A128" s="5">
        <v>44465</v>
      </c>
      <c r="B128">
        <v>17.18</v>
      </c>
      <c r="C128">
        <v>18.09</v>
      </c>
      <c r="D128">
        <v>15.78</v>
      </c>
      <c r="E128">
        <v>16.97</v>
      </c>
      <c r="F128">
        <v>148728.87</v>
      </c>
      <c r="G128">
        <v>16.97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3.0303030303029652E-2</v>
      </c>
      <c r="Q128">
        <f t="shared" ref="Q128" si="616">F128*P128</f>
        <v>4506.935454545358</v>
      </c>
      <c r="R128">
        <f t="shared" ref="R128" si="617">R129+Q128</f>
        <v>-7598309.9927312732</v>
      </c>
      <c r="S128">
        <f t="shared" ref="S128" si="618">R128/100000</f>
        <v>-75.983099927312736</v>
      </c>
      <c r="T128">
        <f t="shared" ref="T128" si="619">S128/1000</f>
        <v>-7.5983099927312739E-2</v>
      </c>
    </row>
    <row r="129" spans="1:20" x14ac:dyDescent="0.25">
      <c r="A129" s="5">
        <v>44464</v>
      </c>
      <c r="B129">
        <v>17.25</v>
      </c>
      <c r="C129">
        <v>18.28</v>
      </c>
      <c r="D129">
        <v>16.45</v>
      </c>
      <c r="E129">
        <v>17.18</v>
      </c>
      <c r="F129">
        <v>134325.53</v>
      </c>
      <c r="G129">
        <v>17.18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-0.20218579234972711</v>
      </c>
      <c r="Q129">
        <f t="shared" ref="Q129" si="621">F129*P129</f>
        <v>-27158.71371584704</v>
      </c>
      <c r="R129">
        <f t="shared" ref="R129" si="622">R130+Q129</f>
        <v>-7602816.9281858187</v>
      </c>
      <c r="S129">
        <f t="shared" ref="S129" si="623">R129/100000</f>
        <v>-76.028169281858183</v>
      </c>
      <c r="T129">
        <f t="shared" ref="T129" si="624">S129/1000</f>
        <v>-7.6028169281858182E-2</v>
      </c>
    </row>
    <row r="130" spans="1:20" x14ac:dyDescent="0.25">
      <c r="A130" s="5">
        <v>44463</v>
      </c>
      <c r="B130">
        <v>17.97</v>
      </c>
      <c r="C130">
        <v>18.100000000000001</v>
      </c>
      <c r="D130">
        <v>15.4</v>
      </c>
      <c r="E130">
        <v>17.28</v>
      </c>
      <c r="F130">
        <v>163534.26999999999</v>
      </c>
      <c r="G130">
        <v>17.28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0.3925925925925926</v>
      </c>
      <c r="Q130">
        <f t="shared" ref="Q130" si="626">F130*P130</f>
        <v>64202.343037037033</v>
      </c>
      <c r="R130">
        <f t="shared" ref="R130" si="627">R131+Q130</f>
        <v>-7575658.2144699721</v>
      </c>
      <c r="S130">
        <f t="shared" ref="S130" si="628">R130/100000</f>
        <v>-75.756582144699721</v>
      </c>
      <c r="T130">
        <f t="shared" ref="T130" si="629">S130/1000</f>
        <v>-7.5756582144699727E-2</v>
      </c>
    </row>
    <row r="131" spans="1:20" x14ac:dyDescent="0.25">
      <c r="A131" s="5">
        <v>44462</v>
      </c>
      <c r="B131">
        <v>17.989999999999998</v>
      </c>
      <c r="C131">
        <v>19.11</v>
      </c>
      <c r="D131">
        <v>17.57</v>
      </c>
      <c r="E131">
        <v>18</v>
      </c>
      <c r="F131">
        <v>205612.13</v>
      </c>
      <c r="G131">
        <v>18</v>
      </c>
      <c r="L131" t="s">
        <v>7</v>
      </c>
      <c r="M131" t="s">
        <v>7</v>
      </c>
      <c r="N131" t="s">
        <v>8</v>
      </c>
      <c r="P131">
        <f t="shared" ref="P131" si="630">IF(C131=D131,0,((E131-D131)-(C131-E131))/(C131-D131))</f>
        <v>-0.44155844155844159</v>
      </c>
      <c r="Q131">
        <f t="shared" ref="Q131" si="631">F131*P131</f>
        <v>-90789.771688311695</v>
      </c>
      <c r="R131">
        <f t="shared" ref="R131" si="632">R132+Q131</f>
        <v>-7639860.5575070092</v>
      </c>
      <c r="S131">
        <f t="shared" ref="S131" si="633">R131/100000</f>
        <v>-76.398605575070093</v>
      </c>
      <c r="T131">
        <f t="shared" ref="T131" si="634">S131/1000</f>
        <v>-7.6398605575070097E-2</v>
      </c>
    </row>
    <row r="132" spans="1:20" x14ac:dyDescent="0.25">
      <c r="A132" s="5">
        <v>44461</v>
      </c>
      <c r="B132">
        <v>15.75</v>
      </c>
      <c r="C132">
        <v>24.91</v>
      </c>
      <c r="D132">
        <v>15.7</v>
      </c>
      <c r="E132">
        <v>18.02</v>
      </c>
      <c r="F132">
        <v>1443322.2</v>
      </c>
      <c r="G132">
        <v>18.02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-0.49619978284473398</v>
      </c>
      <c r="Q132">
        <f t="shared" ref="Q132" si="636">F132*P132</f>
        <v>-716176.16221498372</v>
      </c>
      <c r="R132">
        <f t="shared" ref="R132" si="637">R133+Q132</f>
        <v>-7549070.7858186979</v>
      </c>
      <c r="S132">
        <f t="shared" ref="S132" si="638">R132/100000</f>
        <v>-75.49070785818698</v>
      </c>
      <c r="T132">
        <f t="shared" ref="T132" si="639">S132/1000</f>
        <v>-7.5490707858186984E-2</v>
      </c>
    </row>
    <row r="133" spans="1:20" x14ac:dyDescent="0.25">
      <c r="A133" s="5">
        <v>44460</v>
      </c>
      <c r="B133">
        <v>16.79</v>
      </c>
      <c r="C133">
        <v>17.350000000000001</v>
      </c>
      <c r="D133">
        <v>15.45</v>
      </c>
      <c r="E133">
        <v>15.75</v>
      </c>
      <c r="F133">
        <v>120383.92</v>
      </c>
      <c r="G133">
        <v>15.75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-0.68421052631578905</v>
      </c>
      <c r="Q133">
        <f t="shared" ref="Q133" si="641">F133*P133</f>
        <v>-82367.945263157846</v>
      </c>
      <c r="R133">
        <f t="shared" ref="R133" si="642">R134+Q133</f>
        <v>-6832894.6236037137</v>
      </c>
      <c r="S133">
        <f t="shared" ref="S133" si="643">R133/100000</f>
        <v>-68.32894623603714</v>
      </c>
      <c r="T133">
        <f t="shared" ref="T133" si="644">S133/1000</f>
        <v>-6.8328946236037136E-2</v>
      </c>
    </row>
    <row r="134" spans="1:20" x14ac:dyDescent="0.25">
      <c r="A134" s="5">
        <v>44459</v>
      </c>
      <c r="B134">
        <v>18.14</v>
      </c>
      <c r="C134">
        <v>18.170000000000002</v>
      </c>
      <c r="D134">
        <v>16.829999999999998</v>
      </c>
      <c r="E134">
        <v>16.940000000000001</v>
      </c>
      <c r="F134">
        <v>54300.77</v>
      </c>
      <c r="G134">
        <v>16.940000000000001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-0.83582089552238403</v>
      </c>
      <c r="Q134">
        <f t="shared" ref="Q134" si="646">F134*P134</f>
        <v>-45385.718208955004</v>
      </c>
      <c r="R134">
        <f t="shared" ref="R134" si="647">R135+Q134</f>
        <v>-6750526.6783405561</v>
      </c>
      <c r="S134">
        <f t="shared" ref="S134" si="648">R134/100000</f>
        <v>-67.50526678340556</v>
      </c>
      <c r="T134">
        <f t="shared" ref="T134" si="649">S134/1000</f>
        <v>-6.7505266783405557E-2</v>
      </c>
    </row>
    <row r="135" spans="1:20" x14ac:dyDescent="0.25">
      <c r="A135" s="5">
        <v>44458</v>
      </c>
      <c r="B135">
        <v>18.98</v>
      </c>
      <c r="C135">
        <v>19.149999999999999</v>
      </c>
      <c r="D135">
        <v>17.940000000000001</v>
      </c>
      <c r="E135">
        <v>18.13</v>
      </c>
      <c r="F135">
        <v>78786.649999999994</v>
      </c>
      <c r="G135">
        <v>18.13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-0.68595041322314354</v>
      </c>
      <c r="Q135">
        <f t="shared" ref="Q135" si="651">F135*P135</f>
        <v>-54043.735123967177</v>
      </c>
      <c r="R135">
        <f t="shared" ref="R135" si="652">R136+Q135</f>
        <v>-6705140.9601316014</v>
      </c>
      <c r="S135">
        <f t="shared" ref="S135" si="653">R135/100000</f>
        <v>-67.05140960131601</v>
      </c>
      <c r="T135">
        <f t="shared" ref="T135" si="654">S135/1000</f>
        <v>-6.7051409601316003E-2</v>
      </c>
    </row>
    <row r="136" spans="1:20" x14ac:dyDescent="0.25">
      <c r="A136" s="5">
        <v>44457</v>
      </c>
      <c r="B136">
        <v>18.96</v>
      </c>
      <c r="C136">
        <v>19.78</v>
      </c>
      <c r="D136">
        <v>18.68</v>
      </c>
      <c r="E136">
        <v>18.96</v>
      </c>
      <c r="F136">
        <v>79206.720000000001</v>
      </c>
      <c r="G136">
        <v>18.96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-0.49090909090908952</v>
      </c>
      <c r="Q136">
        <f t="shared" ref="Q136" si="656">F136*P136</f>
        <v>-38883.298909090801</v>
      </c>
      <c r="R136">
        <f t="shared" ref="R136" si="657">R137+Q136</f>
        <v>-6651097.2250076346</v>
      </c>
      <c r="S136">
        <f t="shared" ref="S136" si="658">R136/100000</f>
        <v>-66.51097225007635</v>
      </c>
      <c r="T136">
        <f t="shared" ref="T136" si="659">S136/1000</f>
        <v>-6.651097225007635E-2</v>
      </c>
    </row>
    <row r="137" spans="1:20" x14ac:dyDescent="0.25">
      <c r="A137" s="5">
        <v>44456</v>
      </c>
      <c r="B137">
        <v>18.690000000000001</v>
      </c>
      <c r="C137">
        <v>19.100000000000001</v>
      </c>
      <c r="D137">
        <v>18.05</v>
      </c>
      <c r="E137">
        <v>18.93</v>
      </c>
      <c r="F137">
        <v>70624.62</v>
      </c>
      <c r="G137">
        <v>18.93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0.67619047619047312</v>
      </c>
      <c r="Q137">
        <f t="shared" ref="Q137" si="661">F137*P137</f>
        <v>47755.695428571205</v>
      </c>
      <c r="R137">
        <f t="shared" ref="R137" si="662">R138+Q137</f>
        <v>-6612213.9260985442</v>
      </c>
      <c r="S137">
        <f t="shared" ref="S137" si="663">R137/100000</f>
        <v>-66.122139260985435</v>
      </c>
      <c r="T137">
        <f t="shared" ref="T137" si="664">S137/1000</f>
        <v>-6.6122139260985438E-2</v>
      </c>
    </row>
    <row r="138" spans="1:20" x14ac:dyDescent="0.25">
      <c r="A138" s="5">
        <v>44455</v>
      </c>
      <c r="B138">
        <v>18.97</v>
      </c>
      <c r="C138">
        <v>19.32</v>
      </c>
      <c r="D138">
        <v>18.37</v>
      </c>
      <c r="E138">
        <v>18.64</v>
      </c>
      <c r="F138">
        <v>84279.65</v>
      </c>
      <c r="G138">
        <v>18.64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-0.43157894736842151</v>
      </c>
      <c r="Q138">
        <f t="shared" ref="Q138" si="666">F138*P138</f>
        <v>-36373.32263157898</v>
      </c>
      <c r="R138">
        <f t="shared" ref="R138" si="667">R139+Q138</f>
        <v>-6659969.6215271158</v>
      </c>
      <c r="S138">
        <f t="shared" ref="S138" si="668">R138/100000</f>
        <v>-66.599696215271152</v>
      </c>
      <c r="T138">
        <f t="shared" ref="T138" si="669">S138/1000</f>
        <v>-6.6599696215271148E-2</v>
      </c>
    </row>
    <row r="139" spans="1:20" x14ac:dyDescent="0.25">
      <c r="A139" s="5">
        <v>44454</v>
      </c>
      <c r="B139">
        <v>18.36</v>
      </c>
      <c r="C139">
        <v>19.62</v>
      </c>
      <c r="D139">
        <v>18.23</v>
      </c>
      <c r="E139">
        <v>18.97</v>
      </c>
      <c r="F139">
        <v>106088.24</v>
      </c>
      <c r="G139">
        <v>18.97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6.4748201438846242E-2</v>
      </c>
      <c r="Q139">
        <f t="shared" ref="Q139" si="671">F139*P139</f>
        <v>6869.022733812666</v>
      </c>
      <c r="R139">
        <f t="shared" ref="R139" si="672">R140+Q139</f>
        <v>-6623596.2988955369</v>
      </c>
      <c r="S139">
        <f t="shared" ref="S139" si="673">R139/100000</f>
        <v>-66.235962988955364</v>
      </c>
      <c r="T139">
        <f t="shared" ref="T139" si="674">S139/1000</f>
        <v>-6.6235962988955371E-2</v>
      </c>
    </row>
    <row r="140" spans="1:20" x14ac:dyDescent="0.25">
      <c r="A140" s="5">
        <v>44453</v>
      </c>
      <c r="B140">
        <v>17.260000000000002</v>
      </c>
      <c r="C140">
        <v>18.52</v>
      </c>
      <c r="D140">
        <v>17.18</v>
      </c>
      <c r="E140">
        <v>18.329999999999998</v>
      </c>
      <c r="F140">
        <v>99167.03</v>
      </c>
      <c r="G140">
        <v>18.329999999999998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0.71641791044775927</v>
      </c>
      <c r="Q140">
        <f t="shared" ref="Q140" si="676">F140*P140</f>
        <v>71045.036417910262</v>
      </c>
      <c r="R140">
        <f t="shared" ref="R140" si="677">R141+Q140</f>
        <v>-6630465.3216293491</v>
      </c>
      <c r="S140">
        <f t="shared" ref="S140" si="678">R140/100000</f>
        <v>-66.304653216293488</v>
      </c>
      <c r="T140">
        <f t="shared" ref="T140" si="679">S140/1000</f>
        <v>-6.6304653216293488E-2</v>
      </c>
    </row>
    <row r="141" spans="1:20" x14ac:dyDescent="0.25">
      <c r="A141" s="5">
        <v>44452</v>
      </c>
      <c r="B141">
        <v>18.649999999999999</v>
      </c>
      <c r="C141">
        <v>18.66</v>
      </c>
      <c r="D141">
        <v>17</v>
      </c>
      <c r="E141">
        <v>17.28</v>
      </c>
      <c r="F141">
        <v>95742.91</v>
      </c>
      <c r="G141">
        <v>17.28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-0.66265060240963725</v>
      </c>
      <c r="Q141">
        <f t="shared" ref="Q141" si="681">F141*P141</f>
        <v>-63444.096987951685</v>
      </c>
      <c r="R141">
        <f t="shared" ref="R141" si="682">R142+Q141</f>
        <v>-6701510.358047259</v>
      </c>
      <c r="S141">
        <f t="shared" ref="S141" si="683">R141/100000</f>
        <v>-67.015103580472584</v>
      </c>
      <c r="T141">
        <f t="shared" ref="T141" si="684">S141/1000</f>
        <v>-6.7015103580472579E-2</v>
      </c>
    </row>
    <row r="142" spans="1:20" x14ac:dyDescent="0.25">
      <c r="A142" s="5">
        <v>44451</v>
      </c>
      <c r="B142">
        <v>17.489999999999998</v>
      </c>
      <c r="C142">
        <v>19.37</v>
      </c>
      <c r="D142">
        <v>17.29</v>
      </c>
      <c r="E142">
        <v>18.63</v>
      </c>
      <c r="F142">
        <v>127624.33</v>
      </c>
      <c r="G142">
        <v>18.63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0.28846153846153716</v>
      </c>
      <c r="Q142">
        <f t="shared" ref="Q142" si="686">F142*P142</f>
        <v>36814.710576922909</v>
      </c>
      <c r="R142">
        <f t="shared" ref="R142" si="687">R143+Q142</f>
        <v>-6638066.2610593075</v>
      </c>
      <c r="S142">
        <f t="shared" ref="S142" si="688">R142/100000</f>
        <v>-66.380662610593077</v>
      </c>
      <c r="T142">
        <f t="shared" ref="T142" si="689">S142/1000</f>
        <v>-6.6380662610593083E-2</v>
      </c>
    </row>
    <row r="143" spans="1:20" x14ac:dyDescent="0.25">
      <c r="A143" s="5">
        <v>44450</v>
      </c>
      <c r="B143">
        <v>17.27</v>
      </c>
      <c r="C143">
        <v>18.100000000000001</v>
      </c>
      <c r="D143">
        <v>17.03</v>
      </c>
      <c r="E143">
        <v>17.48</v>
      </c>
      <c r="F143">
        <v>71188.789999999994</v>
      </c>
      <c r="G143">
        <v>17.48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-0.15887850467289874</v>
      </c>
      <c r="Q143">
        <f t="shared" ref="Q143" si="691">F143*P143</f>
        <v>-11310.368504673006</v>
      </c>
      <c r="R143">
        <f t="shared" ref="R143" si="692">R144+Q143</f>
        <v>-6674880.9716362301</v>
      </c>
      <c r="S143">
        <f t="shared" ref="S143" si="693">R143/100000</f>
        <v>-66.748809716362302</v>
      </c>
      <c r="T143">
        <f t="shared" ref="T143" si="694">S143/1000</f>
        <v>-6.6748809716362309E-2</v>
      </c>
    </row>
    <row r="144" spans="1:20" x14ac:dyDescent="0.25">
      <c r="A144" s="5">
        <v>44449</v>
      </c>
      <c r="B144">
        <v>18.760000000000002</v>
      </c>
      <c r="C144">
        <v>19.46</v>
      </c>
      <c r="D144">
        <v>16.97</v>
      </c>
      <c r="E144">
        <v>17.23</v>
      </c>
      <c r="F144">
        <v>971617.62</v>
      </c>
      <c r="G144">
        <v>17.23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-0.79116465863453711</v>
      </c>
      <c r="Q144">
        <f t="shared" ref="Q144" si="696">F144*P144</f>
        <v>-768709.52265060134</v>
      </c>
      <c r="R144">
        <f t="shared" ref="R144" si="697">R145+Q144</f>
        <v>-6663570.6031315569</v>
      </c>
      <c r="S144">
        <f t="shared" ref="S144" si="698">R144/100000</f>
        <v>-66.635706031315564</v>
      </c>
      <c r="T144">
        <f t="shared" ref="T144" si="699">S144/1000</f>
        <v>-6.6635706031315564E-2</v>
      </c>
    </row>
    <row r="145" spans="1:20" x14ac:dyDescent="0.25">
      <c r="A145" s="5">
        <v>44448</v>
      </c>
      <c r="B145">
        <v>18.8</v>
      </c>
      <c r="C145">
        <v>19.84</v>
      </c>
      <c r="D145">
        <v>17.64</v>
      </c>
      <c r="E145">
        <v>18.77</v>
      </c>
      <c r="F145">
        <v>1702270.42</v>
      </c>
      <c r="G145">
        <v>18.77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2.7272727272726699E-2</v>
      </c>
      <c r="Q145">
        <f t="shared" ref="Q145" si="701">F145*P145</f>
        <v>46425.55690908993</v>
      </c>
      <c r="R145">
        <f t="shared" ref="R145" si="702">R146+Q145</f>
        <v>-5894861.0804809555</v>
      </c>
      <c r="S145">
        <f t="shared" ref="S145" si="703">R145/100000</f>
        <v>-58.948610804809555</v>
      </c>
      <c r="T145">
        <f t="shared" ref="T145" si="704">S145/1000</f>
        <v>-5.8948610804809558E-2</v>
      </c>
    </row>
    <row r="146" spans="1:20" x14ac:dyDescent="0.25">
      <c r="A146" s="5">
        <v>44447</v>
      </c>
      <c r="B146">
        <v>19.41</v>
      </c>
      <c r="C146">
        <v>19.89</v>
      </c>
      <c r="D146">
        <v>17.07</v>
      </c>
      <c r="E146">
        <v>18.760000000000002</v>
      </c>
      <c r="F146">
        <v>271007.59999999998</v>
      </c>
      <c r="G146">
        <v>18.760000000000002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0.19858156028368873</v>
      </c>
      <c r="Q146">
        <f t="shared" ref="Q146" si="706">F146*P146</f>
        <v>53817.112056737795</v>
      </c>
      <c r="R146">
        <f t="shared" ref="R146" si="707">R147+Q146</f>
        <v>-5941286.6373900454</v>
      </c>
      <c r="S146">
        <f t="shared" ref="S146" si="708">R146/100000</f>
        <v>-59.412866373900457</v>
      </c>
      <c r="T146">
        <f t="shared" ref="T146" si="709">S146/1000</f>
        <v>-5.9412866373900454E-2</v>
      </c>
    </row>
    <row r="147" spans="1:20" x14ac:dyDescent="0.25">
      <c r="A147" s="5">
        <v>44446</v>
      </c>
      <c r="B147">
        <v>22.52</v>
      </c>
      <c r="C147">
        <v>24.8</v>
      </c>
      <c r="D147">
        <v>16.72</v>
      </c>
      <c r="E147">
        <v>19.41</v>
      </c>
      <c r="F147">
        <v>472840.71</v>
      </c>
      <c r="G147">
        <v>19.41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-0.33415841584158401</v>
      </c>
      <c r="Q147">
        <f t="shared" ref="Q147" si="711">F147*P147</f>
        <v>-158003.70259900985</v>
      </c>
      <c r="R147">
        <f t="shared" ref="R147" si="712">R148+Q147</f>
        <v>-5995103.7494467832</v>
      </c>
      <c r="S147">
        <f t="shared" ref="S147" si="713">R147/100000</f>
        <v>-59.951037494467833</v>
      </c>
      <c r="T147">
        <f t="shared" ref="T147" si="714">S147/1000</f>
        <v>-5.9951037494467833E-2</v>
      </c>
    </row>
    <row r="148" spans="1:20" x14ac:dyDescent="0.25">
      <c r="A148" s="5">
        <v>44445</v>
      </c>
      <c r="B148">
        <v>21.94</v>
      </c>
      <c r="C148">
        <v>23</v>
      </c>
      <c r="D148">
        <v>21.02</v>
      </c>
      <c r="E148">
        <v>22.53</v>
      </c>
      <c r="F148">
        <v>229612.29</v>
      </c>
      <c r="G148">
        <v>22.53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0.52525252525252653</v>
      </c>
      <c r="Q148">
        <f t="shared" ref="Q148" si="716">F148*P148</f>
        <v>120604.43515151544</v>
      </c>
      <c r="R148">
        <f t="shared" ref="R148" si="717">R149+Q148</f>
        <v>-5837100.0468477737</v>
      </c>
      <c r="S148">
        <f t="shared" ref="S148" si="718">R148/100000</f>
        <v>-58.371000468477739</v>
      </c>
      <c r="T148">
        <f t="shared" ref="T148" si="719">S148/1000</f>
        <v>-5.8371000468477742E-2</v>
      </c>
    </row>
    <row r="149" spans="1:20" x14ac:dyDescent="0.25">
      <c r="A149" s="5">
        <v>44444</v>
      </c>
      <c r="B149">
        <v>20.55</v>
      </c>
      <c r="C149">
        <v>22</v>
      </c>
      <c r="D149">
        <v>20.440000000000001</v>
      </c>
      <c r="E149">
        <v>21.95</v>
      </c>
      <c r="F149">
        <v>88811.59</v>
      </c>
      <c r="G149">
        <v>21.95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0.9358974358974349</v>
      </c>
      <c r="Q149">
        <f t="shared" ref="Q149" si="721">F149*P149</f>
        <v>83118.539358974274</v>
      </c>
      <c r="R149">
        <f t="shared" ref="R149" si="722">R150+Q149</f>
        <v>-5957704.4819992892</v>
      </c>
      <c r="S149">
        <f t="shared" ref="S149" si="723">R149/100000</f>
        <v>-59.577044819992892</v>
      </c>
      <c r="T149">
        <f t="shared" ref="T149" si="724">S149/1000</f>
        <v>-5.9577044819992889E-2</v>
      </c>
    </row>
    <row r="150" spans="1:20" x14ac:dyDescent="0.25">
      <c r="A150" s="5">
        <v>44443</v>
      </c>
      <c r="B150">
        <v>20.82</v>
      </c>
      <c r="C150">
        <v>21.8</v>
      </c>
      <c r="D150">
        <v>20.399999999999999</v>
      </c>
      <c r="E150">
        <v>20.56</v>
      </c>
      <c r="F150">
        <v>98578.43</v>
      </c>
      <c r="G150">
        <v>20.56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-0.77142857142857157</v>
      </c>
      <c r="Q150">
        <f t="shared" ref="Q150" si="726">F150*P150</f>
        <v>-76046.217428571443</v>
      </c>
      <c r="R150">
        <f t="shared" ref="R150" si="727">R151+Q150</f>
        <v>-6040823.0213582637</v>
      </c>
      <c r="S150">
        <f t="shared" ref="S150" si="728">R150/100000</f>
        <v>-60.408230213582634</v>
      </c>
      <c r="T150">
        <f t="shared" ref="T150" si="729">S150/1000</f>
        <v>-6.0408230213582631E-2</v>
      </c>
    </row>
    <row r="151" spans="1:20" x14ac:dyDescent="0.25">
      <c r="A151" s="5">
        <v>44442</v>
      </c>
      <c r="B151">
        <v>20.43</v>
      </c>
      <c r="C151">
        <v>21.35</v>
      </c>
      <c r="D151">
        <v>20.059999999999999</v>
      </c>
      <c r="E151">
        <v>20.82</v>
      </c>
      <c r="F151">
        <v>102545.32</v>
      </c>
      <c r="G151">
        <v>20.82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0.17829457364341081</v>
      </c>
      <c r="Q151">
        <f t="shared" ref="Q151" si="731">F151*P151</f>
        <v>18283.27410852713</v>
      </c>
      <c r="R151">
        <f t="shared" ref="R151" si="732">R152+Q151</f>
        <v>-5964776.8039296921</v>
      </c>
      <c r="S151">
        <f t="shared" ref="S151" si="733">R151/100000</f>
        <v>-59.647768039296921</v>
      </c>
      <c r="T151">
        <f t="shared" ref="T151" si="734">S151/1000</f>
        <v>-5.9647768039296924E-2</v>
      </c>
    </row>
    <row r="152" spans="1:20" x14ac:dyDescent="0.25">
      <c r="A152" s="5">
        <v>44441</v>
      </c>
      <c r="B152">
        <v>20.98</v>
      </c>
      <c r="C152">
        <v>21.9</v>
      </c>
      <c r="D152">
        <v>19.87</v>
      </c>
      <c r="E152">
        <v>20.43</v>
      </c>
      <c r="F152">
        <v>104788.33</v>
      </c>
      <c r="G152">
        <v>20.43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-0.44827586206896614</v>
      </c>
      <c r="Q152">
        <f t="shared" ref="Q152" si="736">F152*P152</f>
        <v>-46974.078965517307</v>
      </c>
      <c r="R152">
        <f t="shared" ref="R152" si="737">R153+Q152</f>
        <v>-5983060.0780382194</v>
      </c>
      <c r="S152">
        <f t="shared" ref="S152" si="738">R152/100000</f>
        <v>-59.830600780382191</v>
      </c>
      <c r="T152">
        <f t="shared" ref="T152" si="739">S152/1000</f>
        <v>-5.9830600780382194E-2</v>
      </c>
    </row>
    <row r="153" spans="1:20" x14ac:dyDescent="0.25">
      <c r="A153" s="5">
        <v>44440</v>
      </c>
      <c r="B153">
        <v>20.3</v>
      </c>
      <c r="C153">
        <v>21.32</v>
      </c>
      <c r="D153">
        <v>20.059999999999999</v>
      </c>
      <c r="E153">
        <v>20.98</v>
      </c>
      <c r="F153">
        <v>86331.99</v>
      </c>
      <c r="G153">
        <v>20.98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0.46031746031746124</v>
      </c>
      <c r="Q153">
        <f t="shared" ref="Q153" si="741">F153*P153</f>
        <v>39740.12238095246</v>
      </c>
      <c r="R153">
        <f t="shared" ref="R153" si="742">R154+Q153</f>
        <v>-5936085.9990727017</v>
      </c>
      <c r="S153">
        <f t="shared" ref="S153" si="743">R153/100000</f>
        <v>-59.360859990727015</v>
      </c>
      <c r="T153">
        <f t="shared" ref="T153" si="744">S153/1000</f>
        <v>-5.9360859990727016E-2</v>
      </c>
    </row>
    <row r="154" spans="1:20" x14ac:dyDescent="0.25">
      <c r="A154" s="5">
        <v>44439</v>
      </c>
      <c r="B154">
        <v>19.399999999999999</v>
      </c>
      <c r="C154">
        <v>22</v>
      </c>
      <c r="D154">
        <v>19.09</v>
      </c>
      <c r="E154">
        <v>20.329999999999998</v>
      </c>
      <c r="F154">
        <v>265748.17</v>
      </c>
      <c r="G154">
        <v>20.329999999999998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-0.1477663230240561</v>
      </c>
      <c r="Q154">
        <f t="shared" ref="Q154" si="746">F154*P154</f>
        <v>-39268.629931271767</v>
      </c>
      <c r="R154">
        <f t="shared" ref="R154" si="747">R155+Q154</f>
        <v>-5975826.121453654</v>
      </c>
      <c r="S154">
        <f t="shared" ref="S154" si="748">R154/100000</f>
        <v>-59.758261214536539</v>
      </c>
      <c r="T154">
        <f t="shared" ref="T154" si="749">S154/1000</f>
        <v>-5.9758261214536541E-2</v>
      </c>
    </row>
    <row r="155" spans="1:20" x14ac:dyDescent="0.25">
      <c r="A155" s="5">
        <v>44438</v>
      </c>
      <c r="B155">
        <v>20.65</v>
      </c>
      <c r="C155">
        <v>20.9</v>
      </c>
      <c r="D155">
        <v>19.059999999999999</v>
      </c>
      <c r="E155">
        <v>19.39</v>
      </c>
      <c r="F155">
        <v>276882.15000000002</v>
      </c>
      <c r="G155">
        <v>19.39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-0.64130434782608492</v>
      </c>
      <c r="Q155">
        <f t="shared" ref="Q155" si="751">F155*P155</f>
        <v>-177565.72663043422</v>
      </c>
      <c r="R155">
        <f t="shared" ref="R155" si="752">R156+Q155</f>
        <v>-5936557.491522382</v>
      </c>
      <c r="S155">
        <f t="shared" ref="S155" si="753">R155/100000</f>
        <v>-59.365574915223817</v>
      </c>
      <c r="T155">
        <f t="shared" ref="T155" si="754">S155/1000</f>
        <v>-5.9365574915223818E-2</v>
      </c>
    </row>
    <row r="156" spans="1:20" x14ac:dyDescent="0.25">
      <c r="A156" s="5">
        <v>44437</v>
      </c>
      <c r="B156">
        <v>19.690000000000001</v>
      </c>
      <c r="C156">
        <v>20.85</v>
      </c>
      <c r="D156">
        <v>18.850000000000001</v>
      </c>
      <c r="E156">
        <v>20.65</v>
      </c>
      <c r="F156">
        <v>111372.41</v>
      </c>
      <c r="G156">
        <v>20.65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0.79999999999999716</v>
      </c>
      <c r="Q156">
        <f t="shared" ref="Q156" si="756">F156*P156</f>
        <v>89097.92799999968</v>
      </c>
      <c r="R156">
        <f t="shared" ref="R156" si="757">R157+Q156</f>
        <v>-5758991.7648919476</v>
      </c>
      <c r="S156">
        <f t="shared" ref="S156" si="758">R156/100000</f>
        <v>-57.589917648919474</v>
      </c>
      <c r="T156">
        <f t="shared" ref="T156" si="759">S156/1000</f>
        <v>-5.7589917648919471E-2</v>
      </c>
    </row>
    <row r="157" spans="1:20" x14ac:dyDescent="0.25">
      <c r="A157" s="5">
        <v>44436</v>
      </c>
      <c r="B157">
        <v>20.39</v>
      </c>
      <c r="C157">
        <v>20.41</v>
      </c>
      <c r="D157">
        <v>19.27</v>
      </c>
      <c r="E157">
        <v>19.690000000000001</v>
      </c>
      <c r="F157">
        <v>55528.959999999999</v>
      </c>
      <c r="G157">
        <v>19.690000000000001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-0.26315789473683948</v>
      </c>
      <c r="Q157">
        <f t="shared" ref="Q157" si="761">F157*P157</f>
        <v>-14612.88421052617</v>
      </c>
      <c r="R157">
        <f t="shared" ref="R157" si="762">R158+Q157</f>
        <v>-5848089.692891947</v>
      </c>
      <c r="S157">
        <f t="shared" ref="S157" si="763">R157/100000</f>
        <v>-58.480896928919471</v>
      </c>
      <c r="T157">
        <f t="shared" ref="T157" si="764">S157/1000</f>
        <v>-5.8480896928919474E-2</v>
      </c>
    </row>
    <row r="158" spans="1:20" x14ac:dyDescent="0.25">
      <c r="A158" s="5">
        <v>44435</v>
      </c>
      <c r="B158">
        <v>18.61</v>
      </c>
      <c r="C158">
        <v>21.5</v>
      </c>
      <c r="D158">
        <v>17.97</v>
      </c>
      <c r="E158">
        <v>20.38</v>
      </c>
      <c r="F158">
        <v>198732.95</v>
      </c>
      <c r="G158">
        <v>20.38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0.36543909348441889</v>
      </c>
      <c r="Q158">
        <f t="shared" ref="Q158" si="766">F158*P158</f>
        <v>72624.789093484345</v>
      </c>
      <c r="R158">
        <f t="shared" ref="R158" si="767">R159+Q158</f>
        <v>-5833476.808681421</v>
      </c>
      <c r="S158">
        <f t="shared" ref="S158" si="768">R158/100000</f>
        <v>-58.334768086814208</v>
      </c>
      <c r="T158">
        <f t="shared" ref="T158" si="769">S158/1000</f>
        <v>-5.8334768086814211E-2</v>
      </c>
    </row>
    <row r="159" spans="1:20" x14ac:dyDescent="0.25">
      <c r="A159" s="5">
        <v>44434</v>
      </c>
      <c r="B159">
        <v>20.9</v>
      </c>
      <c r="C159">
        <v>20.99</v>
      </c>
      <c r="D159">
        <v>18.38</v>
      </c>
      <c r="E159">
        <v>18.61</v>
      </c>
      <c r="F159">
        <v>151833.37</v>
      </c>
      <c r="G159">
        <v>18.61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-0.82375478927203027</v>
      </c>
      <c r="Q159">
        <f t="shared" ref="Q159" si="771">F159*P159</f>
        <v>-125073.4657088122</v>
      </c>
      <c r="R159">
        <f t="shared" ref="R159" si="772">R160+Q159</f>
        <v>-5906101.5977749052</v>
      </c>
      <c r="S159">
        <f t="shared" ref="S159" si="773">R159/100000</f>
        <v>-59.061015977749051</v>
      </c>
      <c r="T159">
        <f t="shared" ref="T159" si="774">S159/1000</f>
        <v>-5.906101597774905E-2</v>
      </c>
    </row>
    <row r="160" spans="1:20" x14ac:dyDescent="0.25">
      <c r="A160" s="5">
        <v>44433</v>
      </c>
      <c r="B160">
        <v>19.91</v>
      </c>
      <c r="C160">
        <v>21.19</v>
      </c>
      <c r="D160">
        <v>19.36</v>
      </c>
      <c r="E160">
        <v>20.89</v>
      </c>
      <c r="F160">
        <v>108234.46</v>
      </c>
      <c r="G160">
        <v>20.89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0.67213114754098313</v>
      </c>
      <c r="Q160">
        <f t="shared" ref="Q160" si="776">F160*P160</f>
        <v>72747.751803278647</v>
      </c>
      <c r="R160">
        <f t="shared" ref="R160" si="777">R161+Q160</f>
        <v>-5781028.1320660934</v>
      </c>
      <c r="S160">
        <f t="shared" ref="S160" si="778">R160/100000</f>
        <v>-57.810281320660934</v>
      </c>
      <c r="T160">
        <f t="shared" ref="T160" si="779">S160/1000</f>
        <v>-5.7810281320660933E-2</v>
      </c>
    </row>
    <row r="161" spans="1:20" x14ac:dyDescent="0.25">
      <c r="A161" s="5">
        <v>44432</v>
      </c>
      <c r="B161">
        <v>21.96</v>
      </c>
      <c r="C161">
        <v>22.56</v>
      </c>
      <c r="D161">
        <v>19.75</v>
      </c>
      <c r="E161">
        <v>19.89</v>
      </c>
      <c r="F161">
        <v>137324.96</v>
      </c>
      <c r="G161">
        <v>19.89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-0.90035587188612054</v>
      </c>
      <c r="Q161">
        <f t="shared" ref="Q161" si="781">F161*P161</f>
        <v>-123641.33409252662</v>
      </c>
      <c r="R161">
        <f t="shared" ref="R161" si="782">R162+Q161</f>
        <v>-5853775.8838693723</v>
      </c>
      <c r="S161">
        <f t="shared" ref="S161" si="783">R161/100000</f>
        <v>-58.537758838693726</v>
      </c>
      <c r="T161">
        <f t="shared" ref="T161" si="784">S161/1000</f>
        <v>-5.8537758838693728E-2</v>
      </c>
    </row>
    <row r="162" spans="1:20" x14ac:dyDescent="0.25">
      <c r="A162" s="5">
        <v>44431</v>
      </c>
      <c r="B162">
        <v>21.78</v>
      </c>
      <c r="C162">
        <v>22.34</v>
      </c>
      <c r="D162">
        <v>21.22</v>
      </c>
      <c r="E162">
        <v>21.96</v>
      </c>
      <c r="F162">
        <v>87645.69</v>
      </c>
      <c r="G162">
        <v>21.96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0.32142857142857378</v>
      </c>
      <c r="Q162">
        <f t="shared" ref="Q162" si="786">F162*P162</f>
        <v>28171.828928571635</v>
      </c>
      <c r="R162">
        <f t="shared" ref="R162" si="787">R163+Q162</f>
        <v>-5730134.5497768456</v>
      </c>
      <c r="S162">
        <f t="shared" ref="S162" si="788">R162/100000</f>
        <v>-57.301345497768459</v>
      </c>
      <c r="T162">
        <f t="shared" ref="T162" si="789">S162/1000</f>
        <v>-5.7301345497768462E-2</v>
      </c>
    </row>
    <row r="163" spans="1:20" x14ac:dyDescent="0.25">
      <c r="A163" s="5">
        <v>44430</v>
      </c>
      <c r="B163">
        <v>22.19</v>
      </c>
      <c r="C163">
        <v>22.25</v>
      </c>
      <c r="D163">
        <v>21.4</v>
      </c>
      <c r="E163">
        <v>22.16</v>
      </c>
      <c r="F163">
        <v>26895.99</v>
      </c>
      <c r="G163">
        <v>22.16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0.7882352941176477</v>
      </c>
      <c r="Q163">
        <f t="shared" ref="Q163" si="791">F163*P163</f>
        <v>21200.368588235313</v>
      </c>
      <c r="R163">
        <f t="shared" ref="R163" si="792">R164+Q163</f>
        <v>-5758306.3787054168</v>
      </c>
      <c r="S163">
        <f t="shared" ref="S163" si="793">R163/100000</f>
        <v>-57.583063787054165</v>
      </c>
      <c r="T163">
        <f t="shared" ref="T163" si="794">S163/1000</f>
        <v>-5.7583063787054162E-2</v>
      </c>
    </row>
    <row r="164" spans="1:20" x14ac:dyDescent="0.25">
      <c r="A164" s="5">
        <v>44429</v>
      </c>
      <c r="B164">
        <v>21.82</v>
      </c>
      <c r="C164">
        <v>23.06</v>
      </c>
      <c r="D164">
        <v>21.35</v>
      </c>
      <c r="E164">
        <v>22.19</v>
      </c>
      <c r="F164">
        <v>135387.31</v>
      </c>
      <c r="G164">
        <v>22.19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-1.7543859649121422E-2</v>
      </c>
      <c r="Q164">
        <f t="shared" ref="Q164" si="796">F164*P164</f>
        <v>-2375.2159649120931</v>
      </c>
      <c r="R164">
        <f t="shared" ref="R164" si="797">R165+Q164</f>
        <v>-5779506.747293652</v>
      </c>
      <c r="S164">
        <f t="shared" ref="S164" si="798">R164/100000</f>
        <v>-57.795067472936523</v>
      </c>
      <c r="T164">
        <f t="shared" ref="T164" si="799">S164/1000</f>
        <v>-5.7795067472936522E-2</v>
      </c>
    </row>
    <row r="165" spans="1:20" x14ac:dyDescent="0.25">
      <c r="A165" s="5">
        <v>44428</v>
      </c>
      <c r="B165">
        <v>21.07</v>
      </c>
      <c r="C165">
        <v>24.43</v>
      </c>
      <c r="D165">
        <v>20.66</v>
      </c>
      <c r="E165">
        <v>21.82</v>
      </c>
      <c r="F165">
        <v>631768.06000000006</v>
      </c>
      <c r="G165">
        <v>21.82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-0.38461538461538447</v>
      </c>
      <c r="Q165">
        <f t="shared" ref="Q165" si="801">F165*P165</f>
        <v>-242987.71538461532</v>
      </c>
      <c r="R165">
        <f t="shared" ref="R165" si="802">R166+Q165</f>
        <v>-5777131.5313287396</v>
      </c>
      <c r="S165">
        <f t="shared" ref="S165" si="803">R165/100000</f>
        <v>-57.771315313287396</v>
      </c>
      <c r="T165">
        <f t="shared" ref="T165" si="804">S165/1000</f>
        <v>-5.7771315313287393E-2</v>
      </c>
    </row>
    <row r="166" spans="1:20" x14ac:dyDescent="0.25">
      <c r="A166" s="5">
        <v>44427</v>
      </c>
      <c r="B166">
        <v>18.420000000000002</v>
      </c>
      <c r="C166">
        <v>24.2</v>
      </c>
      <c r="D166">
        <v>17.68</v>
      </c>
      <c r="E166">
        <v>21.05</v>
      </c>
      <c r="F166">
        <v>390251.5</v>
      </c>
      <c r="G166">
        <v>21.05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3.3742331288343932E-2</v>
      </c>
      <c r="Q166">
        <f t="shared" ref="Q166" si="806">F166*P166</f>
        <v>13167.995398773151</v>
      </c>
      <c r="R166">
        <f t="shared" ref="R166" si="807">R167+Q166</f>
        <v>-5534143.815944124</v>
      </c>
      <c r="S166">
        <f t="shared" ref="S166" si="808">R166/100000</f>
        <v>-55.341438159441239</v>
      </c>
      <c r="T166">
        <f t="shared" ref="T166" si="809">S166/1000</f>
        <v>-5.5341438159441238E-2</v>
      </c>
    </row>
    <row r="167" spans="1:20" x14ac:dyDescent="0.25">
      <c r="A167" s="5">
        <v>44426</v>
      </c>
      <c r="B167">
        <v>18.350000000000001</v>
      </c>
      <c r="C167">
        <v>19.190000000000001</v>
      </c>
      <c r="D167">
        <v>17.489999999999998</v>
      </c>
      <c r="E167">
        <v>18.399999999999999</v>
      </c>
      <c r="F167">
        <v>143284.94</v>
      </c>
      <c r="G167">
        <v>18.399999999999999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7.0588235294116022E-2</v>
      </c>
      <c r="Q167">
        <f t="shared" ref="Q167" si="811">F167*P167</f>
        <v>10114.231058823298</v>
      </c>
      <c r="R167">
        <f t="shared" ref="R167" si="812">R168+Q167</f>
        <v>-5547311.8113428969</v>
      </c>
      <c r="S167">
        <f t="shared" ref="S167" si="813">R167/100000</f>
        <v>-55.473118113428967</v>
      </c>
      <c r="T167">
        <f t="shared" ref="T167" si="814">S167/1000</f>
        <v>-5.5473118113428969E-2</v>
      </c>
    </row>
    <row r="168" spans="1:20" x14ac:dyDescent="0.25">
      <c r="A168" s="5">
        <v>44425</v>
      </c>
      <c r="B168">
        <v>19.34</v>
      </c>
      <c r="C168">
        <v>20.07</v>
      </c>
      <c r="D168">
        <v>18.32</v>
      </c>
      <c r="E168">
        <v>18.36</v>
      </c>
      <c r="F168">
        <v>129949.34</v>
      </c>
      <c r="G168">
        <v>18.36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-0.95428571428571529</v>
      </c>
      <c r="Q168">
        <f t="shared" ref="Q168" si="816">F168*P168</f>
        <v>-124008.79874285727</v>
      </c>
      <c r="R168">
        <f t="shared" ref="R168" si="817">R169+Q168</f>
        <v>-5557426.0424017198</v>
      </c>
      <c r="S168">
        <f t="shared" ref="S168" si="818">R168/100000</f>
        <v>-55.574260424017197</v>
      </c>
      <c r="T168">
        <f t="shared" ref="T168" si="819">S168/1000</f>
        <v>-5.5574260424017197E-2</v>
      </c>
    </row>
    <row r="169" spans="1:20" x14ac:dyDescent="0.25">
      <c r="A169" s="5">
        <v>44424</v>
      </c>
      <c r="B169">
        <v>20.02</v>
      </c>
      <c r="C169">
        <v>20.82</v>
      </c>
      <c r="D169">
        <v>19.149999999999999</v>
      </c>
      <c r="E169">
        <v>19.34</v>
      </c>
      <c r="F169">
        <v>189937.97</v>
      </c>
      <c r="G169">
        <v>19.34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-0.77245508982035793</v>
      </c>
      <c r="Q169">
        <f t="shared" ref="Q169" si="821">F169*P169</f>
        <v>-146718.55167664646</v>
      </c>
      <c r="R169">
        <f t="shared" ref="R169" si="822">R170+Q169</f>
        <v>-5433417.243658863</v>
      </c>
      <c r="S169">
        <f t="shared" ref="S169" si="823">R169/100000</f>
        <v>-54.334172436588631</v>
      </c>
      <c r="T169">
        <f t="shared" ref="T169" si="824">S169/1000</f>
        <v>-5.4334172436588633E-2</v>
      </c>
    </row>
    <row r="170" spans="1:20" x14ac:dyDescent="0.25">
      <c r="A170" s="5">
        <v>44423</v>
      </c>
      <c r="B170">
        <v>19.89</v>
      </c>
      <c r="C170">
        <v>20.34</v>
      </c>
      <c r="D170">
        <v>19.28</v>
      </c>
      <c r="E170">
        <v>20.02</v>
      </c>
      <c r="F170">
        <v>123495.91</v>
      </c>
      <c r="G170">
        <v>20.02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0.39622641509433837</v>
      </c>
      <c r="Q170">
        <f t="shared" ref="Q170" si="826">F170*P170</f>
        <v>48932.341698113058</v>
      </c>
      <c r="R170">
        <f t="shared" ref="R170" si="827">R171+Q170</f>
        <v>-5286698.6919822162</v>
      </c>
      <c r="S170">
        <f t="shared" ref="S170" si="828">R170/100000</f>
        <v>-52.86698691982216</v>
      </c>
      <c r="T170">
        <f t="shared" ref="T170" si="829">S170/1000</f>
        <v>-5.2866986919822161E-2</v>
      </c>
    </row>
    <row r="171" spans="1:20" x14ac:dyDescent="0.25">
      <c r="A171" s="5">
        <v>44422</v>
      </c>
      <c r="B171">
        <v>19.11</v>
      </c>
      <c r="C171">
        <v>20.84</v>
      </c>
      <c r="D171">
        <v>18.72</v>
      </c>
      <c r="E171">
        <v>19.88</v>
      </c>
      <c r="F171">
        <v>283673.81</v>
      </c>
      <c r="G171">
        <v>19.88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9.4339622641509052E-2</v>
      </c>
      <c r="Q171">
        <f t="shared" ref="Q171" si="831">F171*P171</f>
        <v>26761.680188679136</v>
      </c>
      <c r="R171">
        <f t="shared" ref="R171" si="832">R172+Q171</f>
        <v>-5335631.0336803291</v>
      </c>
      <c r="S171">
        <f t="shared" ref="S171" si="833">R171/100000</f>
        <v>-53.35631033680329</v>
      </c>
      <c r="T171">
        <f t="shared" ref="T171" si="834">S171/1000</f>
        <v>-5.3356310336803291E-2</v>
      </c>
    </row>
    <row r="172" spans="1:20" x14ac:dyDescent="0.25">
      <c r="A172" s="5">
        <v>44421</v>
      </c>
      <c r="B172">
        <v>18.3</v>
      </c>
      <c r="C172">
        <v>19.489999999999998</v>
      </c>
      <c r="D172">
        <v>18.02</v>
      </c>
      <c r="E172">
        <v>19.12</v>
      </c>
      <c r="F172">
        <v>103246.57</v>
      </c>
      <c r="G172">
        <v>19.12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0.49659863945578542</v>
      </c>
      <c r="Q172">
        <f t="shared" ref="Q172" si="836">F172*P172</f>
        <v>51272.106190476516</v>
      </c>
      <c r="R172">
        <f t="shared" ref="R172" si="837">R173+Q172</f>
        <v>-5362392.7138690082</v>
      </c>
      <c r="S172">
        <f t="shared" ref="S172" si="838">R172/100000</f>
        <v>-53.623927138690085</v>
      </c>
      <c r="T172">
        <f t="shared" ref="T172" si="839">S172/1000</f>
        <v>-5.3623927138690082E-2</v>
      </c>
    </row>
    <row r="173" spans="1:20" x14ac:dyDescent="0.25">
      <c r="A173" s="5">
        <v>44420</v>
      </c>
      <c r="B173">
        <v>18.34</v>
      </c>
      <c r="C173">
        <v>18.98</v>
      </c>
      <c r="D173">
        <v>17.64</v>
      </c>
      <c r="E173">
        <v>18.3</v>
      </c>
      <c r="F173">
        <v>156431.34</v>
      </c>
      <c r="G173">
        <v>18.3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-1.4925373134328042E-2</v>
      </c>
      <c r="Q173">
        <f t="shared" ref="Q173" si="841">F173*P173</f>
        <v>-2334.7961194029358</v>
      </c>
      <c r="R173">
        <f t="shared" ref="R173" si="842">R174+Q173</f>
        <v>-5413664.8200594848</v>
      </c>
      <c r="S173">
        <f t="shared" ref="S173" si="843">R173/100000</f>
        <v>-54.136648200594848</v>
      </c>
      <c r="T173">
        <f t="shared" ref="T173" si="844">S173/1000</f>
        <v>-5.4136648200594849E-2</v>
      </c>
    </row>
    <row r="174" spans="1:20" x14ac:dyDescent="0.25">
      <c r="A174" s="5">
        <v>44419</v>
      </c>
      <c r="B174">
        <v>19.149999999999999</v>
      </c>
      <c r="C174">
        <v>20.87</v>
      </c>
      <c r="D174">
        <v>17.68</v>
      </c>
      <c r="E174">
        <v>18.350000000000001</v>
      </c>
      <c r="F174">
        <v>307779.53999999998</v>
      </c>
      <c r="G174">
        <v>18.350000000000001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-0.57993730407523425</v>
      </c>
      <c r="Q174">
        <f t="shared" ref="Q174" si="846">F174*P174</f>
        <v>-178492.8366771157</v>
      </c>
      <c r="R174">
        <f t="shared" ref="R174" si="847">R175+Q174</f>
        <v>-5411330.0239400817</v>
      </c>
      <c r="S174">
        <f t="shared" ref="S174" si="848">R174/100000</f>
        <v>-54.113300239400814</v>
      </c>
      <c r="T174">
        <f t="shared" ref="T174" si="849">S174/1000</f>
        <v>-5.4113300239400815E-2</v>
      </c>
    </row>
    <row r="175" spans="1:20" x14ac:dyDescent="0.25">
      <c r="A175" s="5">
        <v>44418</v>
      </c>
      <c r="B175">
        <v>18.78</v>
      </c>
      <c r="C175">
        <v>19.59</v>
      </c>
      <c r="D175">
        <v>18.63</v>
      </c>
      <c r="E175">
        <v>19.149999999999999</v>
      </c>
      <c r="F175">
        <v>229950.86</v>
      </c>
      <c r="G175">
        <v>19.149999999999999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8.3333333333331483E-2</v>
      </c>
      <c r="Q175">
        <f t="shared" ref="Q175" si="851">F175*P175</f>
        <v>19162.571666666241</v>
      </c>
      <c r="R175">
        <f t="shared" ref="R175" si="852">R176+Q175</f>
        <v>-5232837.1872629663</v>
      </c>
      <c r="S175">
        <f t="shared" ref="S175" si="853">R175/100000</f>
        <v>-52.32837187262966</v>
      </c>
      <c r="T175">
        <f t="shared" ref="T175" si="854">S175/1000</f>
        <v>-5.2328371872629661E-2</v>
      </c>
    </row>
    <row r="176" spans="1:20" x14ac:dyDescent="0.25">
      <c r="A176" s="5">
        <v>44417</v>
      </c>
      <c r="B176">
        <v>18.239999999999998</v>
      </c>
      <c r="C176">
        <v>20.64</v>
      </c>
      <c r="D176">
        <v>17.559999999999999</v>
      </c>
      <c r="E176">
        <v>18.78</v>
      </c>
      <c r="F176">
        <v>484748.52</v>
      </c>
      <c r="G176">
        <v>18.78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-0.2077922077922067</v>
      </c>
      <c r="Q176">
        <f t="shared" ref="Q176" si="856">F176*P176</f>
        <v>-100726.96519480467</v>
      </c>
      <c r="R176">
        <f t="shared" ref="R176" si="857">R177+Q176</f>
        <v>-5251999.7589296326</v>
      </c>
      <c r="S176">
        <f t="shared" ref="S176" si="858">R176/100000</f>
        <v>-52.519997589296324</v>
      </c>
      <c r="T176">
        <f t="shared" ref="T176" si="859">S176/1000</f>
        <v>-5.2519997589296326E-2</v>
      </c>
    </row>
    <row r="177" spans="1:20" x14ac:dyDescent="0.25">
      <c r="A177" s="5">
        <v>44416</v>
      </c>
      <c r="B177">
        <v>16.97</v>
      </c>
      <c r="C177">
        <v>21.88</v>
      </c>
      <c r="D177">
        <v>16.61</v>
      </c>
      <c r="E177">
        <v>18.23</v>
      </c>
      <c r="F177">
        <v>909077.96</v>
      </c>
      <c r="G177">
        <v>18.23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-0.38519924098671682</v>
      </c>
      <c r="Q177">
        <f t="shared" ref="Q177" si="861">F177*P177</f>
        <v>-350176.14018975291</v>
      </c>
      <c r="R177">
        <f t="shared" ref="R177" si="862">R178+Q177</f>
        <v>-5151272.793734828</v>
      </c>
      <c r="S177">
        <f t="shared" ref="S177" si="863">R177/100000</f>
        <v>-51.512727937348281</v>
      </c>
      <c r="T177">
        <f t="shared" ref="T177" si="864">S177/1000</f>
        <v>-5.1512727937348284E-2</v>
      </c>
    </row>
    <row r="178" spans="1:20" x14ac:dyDescent="0.25">
      <c r="A178" s="5">
        <v>44415</v>
      </c>
      <c r="B178">
        <v>17.170000000000002</v>
      </c>
      <c r="C178">
        <v>17.96</v>
      </c>
      <c r="D178">
        <v>16.39</v>
      </c>
      <c r="E178">
        <v>16.989999999999998</v>
      </c>
      <c r="F178">
        <v>238900.85</v>
      </c>
      <c r="G178">
        <v>16.989999999999998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-0.23566878980892006</v>
      </c>
      <c r="Q178">
        <f t="shared" ref="Q178" si="866">F178*P178</f>
        <v>-56301.474203822341</v>
      </c>
      <c r="R178">
        <f t="shared" ref="R178" si="867">R179+Q178</f>
        <v>-4801096.6535450751</v>
      </c>
      <c r="S178">
        <f t="shared" ref="S178" si="868">R178/100000</f>
        <v>-48.010966535450748</v>
      </c>
      <c r="T178">
        <f t="shared" ref="T178" si="869">S178/1000</f>
        <v>-4.8010966535450748E-2</v>
      </c>
    </row>
    <row r="179" spans="1:20" x14ac:dyDescent="0.25">
      <c r="A179" s="5">
        <v>44414</v>
      </c>
      <c r="B179">
        <v>16.510000000000002</v>
      </c>
      <c r="C179">
        <v>17.600000000000001</v>
      </c>
      <c r="D179">
        <v>16.27</v>
      </c>
      <c r="E179">
        <v>17.16</v>
      </c>
      <c r="F179">
        <v>193801.57</v>
      </c>
      <c r="G179">
        <v>17.16</v>
      </c>
      <c r="L179" t="s">
        <v>8</v>
      </c>
      <c r="M179" t="s">
        <v>7</v>
      </c>
      <c r="N179" t="s">
        <v>7</v>
      </c>
      <c r="P179">
        <f t="shared" ref="P179" si="870">IF(C179=D179,0,((E179-D179)-(C179-E179))/(C179-D179))</f>
        <v>0.33834586466165312</v>
      </c>
      <c r="Q179">
        <f t="shared" ref="Q179" si="871">F179*P179</f>
        <v>65571.959774435891</v>
      </c>
      <c r="R179">
        <f t="shared" ref="R179" si="872">R180+Q179</f>
        <v>-4744795.1793412529</v>
      </c>
      <c r="S179">
        <f t="shared" ref="S179" si="873">R179/100000</f>
        <v>-47.447951793412528</v>
      </c>
      <c r="T179">
        <f t="shared" ref="T179" si="874">S179/1000</f>
        <v>-4.7447951793412525E-2</v>
      </c>
    </row>
    <row r="180" spans="1:20" x14ac:dyDescent="0.25">
      <c r="A180" s="5">
        <v>44413</v>
      </c>
      <c r="B180">
        <v>17.21</v>
      </c>
      <c r="C180">
        <v>17.45</v>
      </c>
      <c r="D180">
        <v>16.010000000000002</v>
      </c>
      <c r="E180">
        <v>16.5</v>
      </c>
      <c r="F180">
        <v>223990.8</v>
      </c>
      <c r="G180">
        <v>16.5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-0.31944444444444553</v>
      </c>
      <c r="Q180">
        <f t="shared" ref="Q180" si="876">F180*P180</f>
        <v>-71552.616666666901</v>
      </c>
      <c r="R180">
        <f t="shared" ref="R180" si="877">R181+Q180</f>
        <v>-4810367.1391156884</v>
      </c>
      <c r="S180">
        <f t="shared" ref="S180" si="878">R180/100000</f>
        <v>-48.103671391156887</v>
      </c>
      <c r="T180">
        <f t="shared" ref="T180" si="879">S180/1000</f>
        <v>-4.8103671391156885E-2</v>
      </c>
    </row>
    <row r="181" spans="1:20" x14ac:dyDescent="0.25">
      <c r="A181" s="5">
        <v>44412</v>
      </c>
      <c r="B181">
        <v>15.89</v>
      </c>
      <c r="C181">
        <v>17.64</v>
      </c>
      <c r="D181">
        <v>15.77</v>
      </c>
      <c r="E181">
        <v>17.149999999999999</v>
      </c>
      <c r="F181">
        <v>229899.18</v>
      </c>
      <c r="G181">
        <v>17.149999999999999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0.47593582887700348</v>
      </c>
      <c r="Q181">
        <f t="shared" ref="Q181" si="881">F181*P181</f>
        <v>109417.25679144342</v>
      </c>
      <c r="R181">
        <f t="shared" ref="R181" si="882">R182+Q181</f>
        <v>-4738814.5224490212</v>
      </c>
      <c r="S181">
        <f t="shared" ref="S181" si="883">R181/100000</f>
        <v>-47.388145224490209</v>
      </c>
      <c r="T181">
        <f t="shared" ref="T181" si="884">S181/1000</f>
        <v>-4.7388145224490211E-2</v>
      </c>
    </row>
    <row r="182" spans="1:20" x14ac:dyDescent="0.25">
      <c r="A182" s="5">
        <v>44411</v>
      </c>
      <c r="B182">
        <v>17.059999999999999</v>
      </c>
      <c r="C182">
        <v>17.059999999999999</v>
      </c>
      <c r="D182">
        <v>15.48</v>
      </c>
      <c r="E182">
        <v>15.89</v>
      </c>
      <c r="F182">
        <v>233215.55</v>
      </c>
      <c r="G182">
        <v>15.89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-0.48101265822784733</v>
      </c>
      <c r="Q182">
        <f t="shared" ref="Q182" si="886">F182*P182</f>
        <v>-112179.63164556943</v>
      </c>
      <c r="R182">
        <f t="shared" ref="R182" si="887">R183+Q182</f>
        <v>-4848231.7792404648</v>
      </c>
      <c r="S182">
        <f t="shared" ref="S182" si="888">R182/100000</f>
        <v>-48.48231779240465</v>
      </c>
      <c r="T182">
        <f t="shared" ref="T182" si="889">S182/1000</f>
        <v>-4.8482317792404653E-2</v>
      </c>
    </row>
    <row r="183" spans="1:20" x14ac:dyDescent="0.25">
      <c r="A183" s="5">
        <v>44410</v>
      </c>
      <c r="B183">
        <v>16.84</v>
      </c>
      <c r="C183">
        <v>17.75</v>
      </c>
      <c r="D183">
        <v>16.71</v>
      </c>
      <c r="E183">
        <v>17.059999999999999</v>
      </c>
      <c r="F183">
        <v>134119.35</v>
      </c>
      <c r="G183">
        <v>17.059999999999999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-0.32692307692308048</v>
      </c>
      <c r="Q183">
        <f t="shared" ref="Q183" si="891">F183*P183</f>
        <v>-43846.710576923557</v>
      </c>
      <c r="R183">
        <f t="shared" ref="R183" si="892">R184+Q183</f>
        <v>-4736052.1475948952</v>
      </c>
      <c r="S183">
        <f t="shared" ref="S183" si="893">R183/100000</f>
        <v>-47.36052147594895</v>
      </c>
      <c r="T183">
        <f t="shared" ref="T183" si="894">S183/1000</f>
        <v>-4.736052147594895E-2</v>
      </c>
    </row>
    <row r="184" spans="1:20" x14ac:dyDescent="0.25">
      <c r="A184" s="5">
        <v>44409</v>
      </c>
      <c r="B184">
        <v>18.809999999999999</v>
      </c>
      <c r="C184">
        <v>19.22</v>
      </c>
      <c r="D184">
        <v>16.32</v>
      </c>
      <c r="E184">
        <v>16.86</v>
      </c>
      <c r="F184">
        <v>263816.40000000002</v>
      </c>
      <c r="G184">
        <v>16.86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-0.62758620689655209</v>
      </c>
      <c r="Q184">
        <f t="shared" ref="Q184" si="896">F184*P184</f>
        <v>-165567.53379310356</v>
      </c>
      <c r="R184">
        <f t="shared" ref="R184" si="897">R185+Q184</f>
        <v>-4692205.4370179716</v>
      </c>
      <c r="S184">
        <f t="shared" ref="S184" si="898">R184/100000</f>
        <v>-46.922054370179715</v>
      </c>
      <c r="T184">
        <f t="shared" ref="T184" si="899">S184/1000</f>
        <v>-4.6922054370179718E-2</v>
      </c>
    </row>
    <row r="185" spans="1:20" x14ac:dyDescent="0.25">
      <c r="A185" s="5">
        <v>44408</v>
      </c>
      <c r="B185">
        <v>19.059999999999999</v>
      </c>
      <c r="C185">
        <v>21.3</v>
      </c>
      <c r="D185">
        <v>18.59</v>
      </c>
      <c r="E185">
        <v>18.809999999999999</v>
      </c>
      <c r="F185">
        <v>630658.06999999995</v>
      </c>
      <c r="G185">
        <v>18.809999999999999</v>
      </c>
      <c r="L185" t="s">
        <v>7</v>
      </c>
      <c r="M185" t="s">
        <v>7</v>
      </c>
      <c r="N185" t="s">
        <v>8</v>
      </c>
      <c r="P185">
        <f t="shared" ref="P185" si="900">IF(C185=D185,0,((E185-D185)-(C185-E185))/(C185-D185))</f>
        <v>-0.8376383763837647</v>
      </c>
      <c r="Q185">
        <f t="shared" ref="Q185" si="901">F185*P185</f>
        <v>-528263.40180811856</v>
      </c>
      <c r="R185">
        <f t="shared" ref="R185" si="902">R186+Q185</f>
        <v>-4526637.9032248678</v>
      </c>
      <c r="S185">
        <f t="shared" ref="S185" si="903">R185/100000</f>
        <v>-45.266379032248679</v>
      </c>
      <c r="T185">
        <f t="shared" ref="T185" si="904">S185/1000</f>
        <v>-4.5266379032248678E-2</v>
      </c>
    </row>
    <row r="186" spans="1:20" x14ac:dyDescent="0.25">
      <c r="A186" s="5">
        <v>44407</v>
      </c>
      <c r="B186">
        <v>16.09</v>
      </c>
      <c r="C186">
        <v>22.5</v>
      </c>
      <c r="D186">
        <v>16</v>
      </c>
      <c r="E186">
        <v>19.07</v>
      </c>
      <c r="F186">
        <v>2003814.84</v>
      </c>
      <c r="G186">
        <v>19.07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-5.5384615384615296E-2</v>
      </c>
      <c r="Q186">
        <f t="shared" ref="Q186" si="906">F186*P186</f>
        <v>-110980.51421538444</v>
      </c>
      <c r="R186">
        <f t="shared" ref="R186" si="907">R187+Q186</f>
        <v>-3998374.5014167489</v>
      </c>
      <c r="S186">
        <f t="shared" ref="S186" si="908">R186/100000</f>
        <v>-39.983745014167489</v>
      </c>
      <c r="T186">
        <f t="shared" ref="T186" si="909">S186/1000</f>
        <v>-3.9983745014167488E-2</v>
      </c>
    </row>
    <row r="187" spans="1:20" x14ac:dyDescent="0.25">
      <c r="A187" s="5">
        <v>44406</v>
      </c>
      <c r="B187">
        <v>14.12</v>
      </c>
      <c r="C187">
        <v>17.5</v>
      </c>
      <c r="D187">
        <v>13.75</v>
      </c>
      <c r="E187">
        <v>16.079999999999998</v>
      </c>
      <c r="F187">
        <v>821732.54</v>
      </c>
      <c r="G187">
        <v>16.079999999999998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0.24266666666666575</v>
      </c>
      <c r="Q187">
        <f t="shared" ref="Q187" si="911">F187*P187</f>
        <v>199407.09637333261</v>
      </c>
      <c r="R187">
        <f t="shared" ref="R187" si="912">R188+Q187</f>
        <v>-3887393.9872013642</v>
      </c>
      <c r="S187">
        <f t="shared" ref="S187" si="913">R187/100000</f>
        <v>-38.873939872013644</v>
      </c>
      <c r="T187">
        <f t="shared" ref="T187" si="914">S187/1000</f>
        <v>-3.8873939872013645E-2</v>
      </c>
    </row>
    <row r="188" spans="1:20" x14ac:dyDescent="0.25">
      <c r="A188" s="5">
        <v>44405</v>
      </c>
      <c r="B188">
        <v>14.45</v>
      </c>
      <c r="C188">
        <v>14.93</v>
      </c>
      <c r="D188">
        <v>13.7</v>
      </c>
      <c r="E188">
        <v>14.14</v>
      </c>
      <c r="F188">
        <v>474521.18</v>
      </c>
      <c r="G188">
        <v>14.14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-0.28455284552845345</v>
      </c>
      <c r="Q188">
        <f t="shared" ref="Q188" si="916">F188*P188</f>
        <v>-135026.35203251944</v>
      </c>
      <c r="R188">
        <f t="shared" ref="R188" si="917">R189+Q188</f>
        <v>-4086801.0835746969</v>
      </c>
      <c r="S188">
        <f t="shared" ref="S188" si="918">R188/100000</f>
        <v>-40.868010835746972</v>
      </c>
      <c r="T188">
        <f t="shared" ref="T188" si="919">S188/1000</f>
        <v>-4.0868010835746975E-2</v>
      </c>
    </row>
    <row r="189" spans="1:20" x14ac:dyDescent="0.25">
      <c r="A189" s="5">
        <v>44404</v>
      </c>
      <c r="B189">
        <v>12.38</v>
      </c>
      <c r="C189">
        <v>15.35</v>
      </c>
      <c r="D189">
        <v>12.3</v>
      </c>
      <c r="E189">
        <v>14.46</v>
      </c>
      <c r="F189">
        <v>700279.75</v>
      </c>
      <c r="G189">
        <v>14.46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0.41639344262295142</v>
      </c>
      <c r="Q189">
        <f t="shared" ref="Q189" si="921">F189*P189</f>
        <v>291591.89590163977</v>
      </c>
      <c r="R189">
        <f t="shared" ref="R189" si="922">R190+Q189</f>
        <v>-3951774.7315421775</v>
      </c>
      <c r="S189">
        <f t="shared" ref="S189" si="923">R189/100000</f>
        <v>-39.517747315421772</v>
      </c>
      <c r="T189">
        <f t="shared" ref="T189" si="924">S189/1000</f>
        <v>-3.9517747315421771E-2</v>
      </c>
    </row>
    <row r="190" spans="1:20" x14ac:dyDescent="0.25">
      <c r="A190" s="5">
        <v>44403</v>
      </c>
      <c r="B190">
        <v>12.3</v>
      </c>
      <c r="C190">
        <v>13.6</v>
      </c>
      <c r="D190">
        <v>12.15</v>
      </c>
      <c r="E190">
        <v>12.38</v>
      </c>
      <c r="F190">
        <v>242615.48</v>
      </c>
      <c r="G190">
        <v>12.38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-0.68275862068965443</v>
      </c>
      <c r="Q190">
        <f t="shared" ref="Q190" si="926">F190*P190</f>
        <v>-165647.81048275845</v>
      </c>
      <c r="R190">
        <f t="shared" ref="R190" si="927">R191+Q190</f>
        <v>-4243366.6274438174</v>
      </c>
      <c r="S190">
        <f t="shared" ref="S190" si="928">R190/100000</f>
        <v>-42.433666274438174</v>
      </c>
      <c r="T190">
        <f t="shared" ref="T190" si="929">S190/1000</f>
        <v>-4.2433666274438175E-2</v>
      </c>
    </row>
    <row r="191" spans="1:20" x14ac:dyDescent="0.25">
      <c r="A191" s="5">
        <v>44402</v>
      </c>
      <c r="B191">
        <v>12.08</v>
      </c>
      <c r="C191">
        <v>12.45</v>
      </c>
      <c r="D191">
        <v>11.85</v>
      </c>
      <c r="E191">
        <v>12.29</v>
      </c>
      <c r="F191">
        <v>78146.3</v>
      </c>
      <c r="G191">
        <v>12.29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0.4666666666666659</v>
      </c>
      <c r="Q191">
        <f t="shared" ref="Q191" si="931">F191*P191</f>
        <v>36468.273333333273</v>
      </c>
      <c r="R191">
        <f t="shared" ref="R191" si="932">R192+Q191</f>
        <v>-4077718.8169610593</v>
      </c>
      <c r="S191">
        <f t="shared" ref="S191" si="933">R191/100000</f>
        <v>-40.777188169610596</v>
      </c>
      <c r="T191">
        <f t="shared" ref="T191:T197" si="934">S191/1000</f>
        <v>-4.0777188169610595E-2</v>
      </c>
    </row>
    <row r="192" spans="1:20" x14ac:dyDescent="0.25">
      <c r="A192" s="5">
        <v>44401</v>
      </c>
      <c r="B192">
        <v>12.13</v>
      </c>
      <c r="C192">
        <v>13.04</v>
      </c>
      <c r="D192">
        <v>11.8</v>
      </c>
      <c r="E192">
        <v>12.05</v>
      </c>
      <c r="F192">
        <v>151253.71</v>
      </c>
      <c r="G192">
        <v>12.05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-0.59677419354838657</v>
      </c>
      <c r="Q192">
        <f t="shared" ref="Q192" si="936">F192*P192</f>
        <v>-90264.310806451525</v>
      </c>
      <c r="R192">
        <f t="shared" ref="R192" si="937">R193+Q192</f>
        <v>-4114187.0902943928</v>
      </c>
      <c r="S192">
        <f t="shared" ref="S192" si="938">R192/100000</f>
        <v>-41.141870902943928</v>
      </c>
      <c r="T192">
        <f t="shared" si="934"/>
        <v>-4.1141870902943925E-2</v>
      </c>
    </row>
    <row r="193" spans="1:20" x14ac:dyDescent="0.25">
      <c r="A193" s="5">
        <v>44400</v>
      </c>
      <c r="B193">
        <v>11.38</v>
      </c>
      <c r="C193">
        <v>12.2</v>
      </c>
      <c r="D193">
        <v>11.15</v>
      </c>
      <c r="E193">
        <v>12.13</v>
      </c>
      <c r="F193">
        <v>123610.73</v>
      </c>
      <c r="G193">
        <v>12.13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0.86666666666666936</v>
      </c>
      <c r="Q193">
        <f t="shared" ref="Q193" si="940">F193*P193</f>
        <v>107129.29933333366</v>
      </c>
      <c r="R193">
        <f t="shared" ref="R193" si="941">R194+Q193</f>
        <v>-4023922.7794879414</v>
      </c>
      <c r="S193">
        <f t="shared" ref="S193" si="942">R193/100000</f>
        <v>-40.239227794879412</v>
      </c>
      <c r="T193">
        <f t="shared" si="934"/>
        <v>-4.0239227794879415E-2</v>
      </c>
    </row>
    <row r="194" spans="1:20" x14ac:dyDescent="0.25">
      <c r="A194" s="5">
        <v>44399</v>
      </c>
      <c r="B194">
        <v>11.47</v>
      </c>
      <c r="C194">
        <v>12.74</v>
      </c>
      <c r="D194">
        <v>11.26</v>
      </c>
      <c r="E194">
        <v>11.36</v>
      </c>
      <c r="F194">
        <v>190020.11</v>
      </c>
      <c r="G194">
        <v>11.36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-0.86486486486486536</v>
      </c>
      <c r="Q194">
        <f t="shared" ref="Q194" si="944">F194*P194</f>
        <v>-164341.71675675682</v>
      </c>
      <c r="R194">
        <f t="shared" ref="R194" si="945">R195+Q194</f>
        <v>-4131052.0788212749</v>
      </c>
      <c r="S194">
        <f t="shared" ref="S194" si="946">R194/100000</f>
        <v>-41.310520788212749</v>
      </c>
      <c r="T194">
        <f t="shared" si="934"/>
        <v>-4.1310520788212748E-2</v>
      </c>
    </row>
    <row r="195" spans="1:20" x14ac:dyDescent="0.25">
      <c r="A195" s="5">
        <v>44398</v>
      </c>
      <c r="B195">
        <v>11.14</v>
      </c>
      <c r="C195">
        <v>12.54</v>
      </c>
      <c r="D195">
        <v>10.68</v>
      </c>
      <c r="E195">
        <v>11.46</v>
      </c>
      <c r="F195">
        <v>174958.92</v>
      </c>
      <c r="G195">
        <v>11.46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-0.16129032258064369</v>
      </c>
      <c r="Q195">
        <f t="shared" ref="Q195" si="948">F195*P195</f>
        <v>-28219.180645161035</v>
      </c>
      <c r="R195">
        <f t="shared" ref="R195" si="949">R196+Q195</f>
        <v>-3966710.362064518</v>
      </c>
      <c r="S195">
        <f t="shared" ref="S195" si="950">R195/100000</f>
        <v>-39.667103620645179</v>
      </c>
      <c r="T195">
        <f t="shared" si="934"/>
        <v>-3.9667103620645176E-2</v>
      </c>
    </row>
    <row r="196" spans="1:20" x14ac:dyDescent="0.25">
      <c r="A196" s="5">
        <v>44397</v>
      </c>
      <c r="B196">
        <v>11.62</v>
      </c>
      <c r="C196">
        <v>11.73</v>
      </c>
      <c r="D196">
        <v>10.81</v>
      </c>
      <c r="E196">
        <v>11.11</v>
      </c>
      <c r="F196">
        <v>58910.16</v>
      </c>
      <c r="G196">
        <v>11.11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-0.34782608695652401</v>
      </c>
      <c r="Q196">
        <f t="shared" ref="Q196" si="952">F196*P196</f>
        <v>-20490.490434782743</v>
      </c>
      <c r="R196">
        <f t="shared" ref="R196" si="953">R197+Q196</f>
        <v>-3938491.1814193572</v>
      </c>
      <c r="S196">
        <f t="shared" ref="S196" si="954">R196/100000</f>
        <v>-39.384911814193572</v>
      </c>
      <c r="T196">
        <f t="shared" si="934"/>
        <v>-3.9384911814193575E-2</v>
      </c>
    </row>
    <row r="197" spans="1:20" x14ac:dyDescent="0.25">
      <c r="A197" s="5">
        <v>44396</v>
      </c>
      <c r="B197">
        <v>12.92</v>
      </c>
      <c r="C197">
        <v>12.98</v>
      </c>
      <c r="D197">
        <v>11.5</v>
      </c>
      <c r="E197">
        <v>11.61</v>
      </c>
      <c r="F197">
        <v>114904.44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-0.8513513513513522</v>
      </c>
      <c r="Q197">
        <f t="shared" ref="Q197" si="956">F197*P197</f>
        <v>-97824.050270270367</v>
      </c>
      <c r="R197">
        <f t="shared" ref="R197" si="957">R198+Q197</f>
        <v>-3918000.6909845746</v>
      </c>
      <c r="S197">
        <f t="shared" ref="S197" si="958">R197/100000</f>
        <v>-39.180006909845744</v>
      </c>
      <c r="T197">
        <f t="shared" si="934"/>
        <v>-3.9180006909845744E-2</v>
      </c>
    </row>
    <row r="198" spans="1:20" x14ac:dyDescent="0.25">
      <c r="A198" s="5">
        <v>44395</v>
      </c>
      <c r="B198">
        <v>14.15</v>
      </c>
      <c r="C198">
        <v>14.46</v>
      </c>
      <c r="D198">
        <v>12.8</v>
      </c>
      <c r="E198">
        <v>12.91</v>
      </c>
      <c r="F198">
        <v>169644.72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-0.86746987951807297</v>
      </c>
      <c r="Q198">
        <f t="shared" ref="Q198:Q261" si="960">F198*P198</f>
        <v>-147161.68481927723</v>
      </c>
      <c r="R198">
        <f t="shared" ref="R198:R261" si="961">R199+Q198</f>
        <v>-3820176.6407143041</v>
      </c>
      <c r="S198">
        <f t="shared" ref="S198:S261" si="962">R198/100000</f>
        <v>-38.20176640714304</v>
      </c>
      <c r="T198">
        <f t="shared" ref="T198:T261" si="963">S198/1000</f>
        <v>-3.820176640714304E-2</v>
      </c>
    </row>
    <row r="199" spans="1:20" x14ac:dyDescent="0.25">
      <c r="A199" s="5">
        <v>44394</v>
      </c>
      <c r="B199">
        <v>12.27</v>
      </c>
      <c r="C199">
        <v>17.170000000000002</v>
      </c>
      <c r="D199">
        <v>12.13</v>
      </c>
      <c r="E199">
        <v>14.15</v>
      </c>
      <c r="F199">
        <v>820208.62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-0.19841269841269873</v>
      </c>
      <c r="Q199">
        <f t="shared" si="960"/>
        <v>-162739.80555555582</v>
      </c>
      <c r="R199">
        <f t="shared" si="961"/>
        <v>-3673014.9558950267</v>
      </c>
      <c r="S199">
        <f t="shared" si="962"/>
        <v>-36.730149558950266</v>
      </c>
      <c r="T199">
        <f t="shared" si="963"/>
        <v>-3.6730149558950265E-2</v>
      </c>
    </row>
    <row r="200" spans="1:20" x14ac:dyDescent="0.25">
      <c r="A200" s="5">
        <v>44393</v>
      </c>
      <c r="B200">
        <v>13.39</v>
      </c>
      <c r="C200">
        <v>14.54</v>
      </c>
      <c r="D200">
        <v>12.19</v>
      </c>
      <c r="E200">
        <v>12.28</v>
      </c>
      <c r="F200">
        <v>141873.43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-0.92340425531914905</v>
      </c>
      <c r="Q200">
        <f t="shared" si="960"/>
        <v>-131006.52897872341</v>
      </c>
      <c r="R200">
        <f t="shared" si="961"/>
        <v>-3510275.1503394707</v>
      </c>
      <c r="S200">
        <f t="shared" si="962"/>
        <v>-35.102751503394707</v>
      </c>
      <c r="T200">
        <f t="shared" si="963"/>
        <v>-3.5102751503394709E-2</v>
      </c>
    </row>
    <row r="201" spans="1:20" x14ac:dyDescent="0.25">
      <c r="A201" s="5">
        <v>44392</v>
      </c>
      <c r="B201">
        <v>14.2</v>
      </c>
      <c r="C201">
        <v>15.23</v>
      </c>
      <c r="D201">
        <v>13.14</v>
      </c>
      <c r="E201">
        <v>13.37</v>
      </c>
      <c r="F201">
        <v>95031.28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-0.77990430622009699</v>
      </c>
      <c r="Q201">
        <f t="shared" si="960"/>
        <v>-74115.30449760778</v>
      </c>
      <c r="R201">
        <f t="shared" si="961"/>
        <v>-3379268.6213607471</v>
      </c>
      <c r="S201">
        <f t="shared" si="962"/>
        <v>-33.792686213607475</v>
      </c>
      <c r="T201">
        <f t="shared" si="963"/>
        <v>-3.3792686213607474E-2</v>
      </c>
    </row>
    <row r="202" spans="1:20" x14ac:dyDescent="0.25">
      <c r="A202" s="5">
        <v>44391</v>
      </c>
      <c r="B202">
        <v>14.55</v>
      </c>
      <c r="C202">
        <v>14.7</v>
      </c>
      <c r="D202">
        <v>13.12</v>
      </c>
      <c r="E202">
        <v>14.2</v>
      </c>
      <c r="F202">
        <v>84625.75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0.36708860759493672</v>
      </c>
      <c r="Q202">
        <f t="shared" si="960"/>
        <v>31065.148734177215</v>
      </c>
      <c r="R202">
        <f t="shared" si="961"/>
        <v>-3305153.3168631392</v>
      </c>
      <c r="S202">
        <f t="shared" si="962"/>
        <v>-33.051533168631394</v>
      </c>
      <c r="T202">
        <f t="shared" si="963"/>
        <v>-3.3051533168631395E-2</v>
      </c>
    </row>
    <row r="203" spans="1:20" x14ac:dyDescent="0.25">
      <c r="A203" s="5">
        <v>44390</v>
      </c>
      <c r="B203">
        <v>14.67</v>
      </c>
      <c r="C203">
        <v>15.32</v>
      </c>
      <c r="D203">
        <v>14.12</v>
      </c>
      <c r="E203">
        <v>14.56</v>
      </c>
      <c r="F203">
        <v>75932.23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-0.26666666666666516</v>
      </c>
      <c r="Q203">
        <f t="shared" si="960"/>
        <v>-20248.594666666551</v>
      </c>
      <c r="R203">
        <f t="shared" si="961"/>
        <v>-3336218.4655973162</v>
      </c>
      <c r="S203">
        <f t="shared" si="962"/>
        <v>-33.362184655973159</v>
      </c>
      <c r="T203">
        <f t="shared" si="963"/>
        <v>-3.3362184655973161E-2</v>
      </c>
    </row>
    <row r="204" spans="1:20" x14ac:dyDescent="0.25">
      <c r="A204" s="5">
        <v>44389</v>
      </c>
      <c r="B204">
        <v>15.61</v>
      </c>
      <c r="C204">
        <v>16.07</v>
      </c>
      <c r="D204">
        <v>14.55</v>
      </c>
      <c r="E204">
        <v>14.7</v>
      </c>
      <c r="F204">
        <v>65352.05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-0.80263157894737025</v>
      </c>
      <c r="Q204">
        <f t="shared" si="960"/>
        <v>-52453.619078947493</v>
      </c>
      <c r="R204">
        <f t="shared" si="961"/>
        <v>-3315969.8709306498</v>
      </c>
      <c r="S204">
        <f t="shared" si="962"/>
        <v>-33.159698709306497</v>
      </c>
      <c r="T204">
        <f t="shared" si="963"/>
        <v>-3.3159698709306497E-2</v>
      </c>
    </row>
    <row r="205" spans="1:20" x14ac:dyDescent="0.25">
      <c r="A205" s="5">
        <v>44388</v>
      </c>
      <c r="B205">
        <v>15.57</v>
      </c>
      <c r="C205">
        <v>15.95</v>
      </c>
      <c r="D205">
        <v>15.45</v>
      </c>
      <c r="E205">
        <v>15.61</v>
      </c>
      <c r="F205">
        <v>43433.85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-0.35999999999999943</v>
      </c>
      <c r="Q205">
        <f t="shared" si="960"/>
        <v>-15636.185999999974</v>
      </c>
      <c r="R205">
        <f t="shared" si="961"/>
        <v>-3263516.2518517021</v>
      </c>
      <c r="S205">
        <f t="shared" si="962"/>
        <v>-32.635162518517021</v>
      </c>
      <c r="T205">
        <f t="shared" si="963"/>
        <v>-3.2635162518517023E-2</v>
      </c>
    </row>
    <row r="206" spans="1:20" x14ac:dyDescent="0.25">
      <c r="A206" s="5">
        <v>44387</v>
      </c>
      <c r="B206">
        <v>16.07</v>
      </c>
      <c r="C206">
        <v>16.41</v>
      </c>
      <c r="D206">
        <v>15.45</v>
      </c>
      <c r="E206">
        <v>15.62</v>
      </c>
      <c r="F206">
        <v>69702.649999999994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-0.64583333333333381</v>
      </c>
      <c r="Q206">
        <f t="shared" si="960"/>
        <v>-45016.294791666696</v>
      </c>
      <c r="R206">
        <f t="shared" si="961"/>
        <v>-3247880.0658517024</v>
      </c>
      <c r="S206">
        <f t="shared" si="962"/>
        <v>-32.478800658517024</v>
      </c>
      <c r="T206">
        <f t="shared" si="963"/>
        <v>-3.2478800658517021E-2</v>
      </c>
    </row>
    <row r="207" spans="1:20" x14ac:dyDescent="0.25">
      <c r="A207" s="5">
        <v>44386</v>
      </c>
      <c r="B207">
        <v>16.21</v>
      </c>
      <c r="C207">
        <v>16.809999999999999</v>
      </c>
      <c r="D207">
        <v>15.38</v>
      </c>
      <c r="E207">
        <v>16.07</v>
      </c>
      <c r="F207">
        <v>66376.59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-3.4965034965034267E-2</v>
      </c>
      <c r="Q207">
        <f t="shared" si="960"/>
        <v>-2320.8597902097436</v>
      </c>
      <c r="R207">
        <f t="shared" si="961"/>
        <v>-3202863.7710600356</v>
      </c>
      <c r="S207">
        <f t="shared" si="962"/>
        <v>-32.028637710600357</v>
      </c>
      <c r="T207">
        <f t="shared" si="963"/>
        <v>-3.2028637710600355E-2</v>
      </c>
    </row>
    <row r="208" spans="1:20" x14ac:dyDescent="0.25">
      <c r="A208" s="5">
        <v>44385</v>
      </c>
      <c r="B208">
        <v>17.3</v>
      </c>
      <c r="C208">
        <v>17.3</v>
      </c>
      <c r="D208">
        <v>15.38</v>
      </c>
      <c r="E208">
        <v>16.239999999999998</v>
      </c>
      <c r="F208">
        <v>110546.97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-0.10416666666666907</v>
      </c>
      <c r="Q208">
        <f t="shared" si="960"/>
        <v>-11515.309375000266</v>
      </c>
      <c r="R208">
        <f t="shared" si="961"/>
        <v>-3200542.9112698259</v>
      </c>
      <c r="S208">
        <f t="shared" si="962"/>
        <v>-32.005429112698259</v>
      </c>
      <c r="T208">
        <f t="shared" si="963"/>
        <v>-3.2005429112698262E-2</v>
      </c>
    </row>
    <row r="209" spans="1:20" x14ac:dyDescent="0.25">
      <c r="A209" s="5">
        <v>44384</v>
      </c>
      <c r="B209">
        <v>17.18</v>
      </c>
      <c r="C209">
        <v>17.88</v>
      </c>
      <c r="D209">
        <v>17.12</v>
      </c>
      <c r="E209">
        <v>17.22</v>
      </c>
      <c r="F209">
        <v>84167.71</v>
      </c>
      <c r="G209">
        <v>0</v>
      </c>
      <c r="L209" t="s">
        <v>7</v>
      </c>
      <c r="M209" t="s">
        <v>7</v>
      </c>
      <c r="N209" t="s">
        <v>7</v>
      </c>
      <c r="P209">
        <f t="shared" si="959"/>
        <v>-0.73684210526316285</v>
      </c>
      <c r="Q209">
        <f t="shared" si="960"/>
        <v>-62018.312631579371</v>
      </c>
      <c r="R209">
        <f t="shared" si="961"/>
        <v>-3189027.6018948257</v>
      </c>
      <c r="S209">
        <f t="shared" si="962"/>
        <v>-31.890276018948256</v>
      </c>
      <c r="T209">
        <f t="shared" si="963"/>
        <v>-3.1890276018948255E-2</v>
      </c>
    </row>
    <row r="210" spans="1:20" x14ac:dyDescent="0.25">
      <c r="A210" s="5">
        <v>44383</v>
      </c>
      <c r="B210">
        <v>17.239999999999998</v>
      </c>
      <c r="C210">
        <v>17.96</v>
      </c>
      <c r="D210">
        <v>16.95</v>
      </c>
      <c r="E210">
        <v>17.170000000000002</v>
      </c>
      <c r="F210">
        <v>80865.03</v>
      </c>
      <c r="G210">
        <v>0</v>
      </c>
      <c r="L210" t="s">
        <v>7</v>
      </c>
      <c r="M210" t="s">
        <v>7</v>
      </c>
      <c r="N210" t="s">
        <v>7</v>
      </c>
      <c r="P210">
        <f t="shared" si="959"/>
        <v>-0.56435643564356019</v>
      </c>
      <c r="Q210">
        <f t="shared" si="960"/>
        <v>-45636.700099009562</v>
      </c>
      <c r="R210">
        <f t="shared" si="961"/>
        <v>-3127009.2892632461</v>
      </c>
      <c r="S210">
        <f t="shared" si="962"/>
        <v>-31.270092892632462</v>
      </c>
      <c r="T210">
        <f t="shared" si="963"/>
        <v>-3.127009289263246E-2</v>
      </c>
    </row>
    <row r="211" spans="1:20" x14ac:dyDescent="0.25">
      <c r="A211" s="5">
        <v>44382</v>
      </c>
      <c r="B211">
        <v>18.16</v>
      </c>
      <c r="C211">
        <v>18.22</v>
      </c>
      <c r="D211">
        <v>17.04</v>
      </c>
      <c r="E211">
        <v>17.21</v>
      </c>
      <c r="F211">
        <v>64260.66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-0.71186440677965801</v>
      </c>
      <c r="Q211">
        <f t="shared" si="960"/>
        <v>-45744.876610169304</v>
      </c>
      <c r="R211">
        <f t="shared" si="961"/>
        <v>-3081372.5891642366</v>
      </c>
      <c r="S211">
        <f t="shared" si="962"/>
        <v>-30.813725891642367</v>
      </c>
      <c r="T211">
        <f t="shared" si="963"/>
        <v>-3.0813725891642368E-2</v>
      </c>
    </row>
    <row r="212" spans="1:20" x14ac:dyDescent="0.25">
      <c r="A212" s="5">
        <v>44381</v>
      </c>
      <c r="B212">
        <v>17.93</v>
      </c>
      <c r="C212">
        <v>18.72</v>
      </c>
      <c r="D212">
        <v>17.850000000000001</v>
      </c>
      <c r="E212">
        <v>18.149999999999999</v>
      </c>
      <c r="F212">
        <v>61850.1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-0.3103448275862114</v>
      </c>
      <c r="Q212">
        <f t="shared" si="960"/>
        <v>-19194.858620689934</v>
      </c>
      <c r="R212">
        <f t="shared" si="961"/>
        <v>-3035627.7125540674</v>
      </c>
      <c r="S212">
        <f t="shared" si="962"/>
        <v>-30.356277125540675</v>
      </c>
      <c r="T212">
        <f t="shared" si="963"/>
        <v>-3.0356277125540676E-2</v>
      </c>
    </row>
    <row r="213" spans="1:20" x14ac:dyDescent="0.25">
      <c r="A213" s="5">
        <v>44380</v>
      </c>
      <c r="B213">
        <v>17.38</v>
      </c>
      <c r="C213">
        <v>18.68</v>
      </c>
      <c r="D213">
        <v>17.37</v>
      </c>
      <c r="E213">
        <v>17.97</v>
      </c>
      <c r="F213">
        <v>90406.32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-8.3969465648857322E-2</v>
      </c>
      <c r="Q213">
        <f t="shared" si="960"/>
        <v>-7591.3703816796033</v>
      </c>
      <c r="R213">
        <f t="shared" si="961"/>
        <v>-3016432.8539333777</v>
      </c>
      <c r="S213">
        <f t="shared" si="962"/>
        <v>-30.164328539333777</v>
      </c>
      <c r="T213">
        <f t="shared" si="963"/>
        <v>-3.0164328539333776E-2</v>
      </c>
    </row>
    <row r="214" spans="1:20" x14ac:dyDescent="0.25">
      <c r="A214" s="5">
        <v>44379</v>
      </c>
      <c r="B214">
        <v>18.37</v>
      </c>
      <c r="C214">
        <v>18.52</v>
      </c>
      <c r="D214">
        <v>16.93</v>
      </c>
      <c r="E214">
        <v>17.36</v>
      </c>
      <c r="F214">
        <v>83708.789999999994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-0.4591194968553462</v>
      </c>
      <c r="Q214">
        <f t="shared" si="960"/>
        <v>-38432.337547169831</v>
      </c>
      <c r="R214">
        <f t="shared" si="961"/>
        <v>-3008841.4835516983</v>
      </c>
      <c r="S214">
        <f t="shared" si="962"/>
        <v>-30.088414835516982</v>
      </c>
      <c r="T214">
        <f t="shared" si="963"/>
        <v>-3.0088414835516983E-2</v>
      </c>
    </row>
    <row r="215" spans="1:20" x14ac:dyDescent="0.25">
      <c r="A215" s="5">
        <v>44378</v>
      </c>
      <c r="B215">
        <v>19.68</v>
      </c>
      <c r="C215">
        <v>19.71</v>
      </c>
      <c r="D215">
        <v>18.16</v>
      </c>
      <c r="E215">
        <v>18.34</v>
      </c>
      <c r="F215">
        <v>98526.65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-0.76774193548387148</v>
      </c>
      <c r="Q215">
        <f t="shared" si="960"/>
        <v>-75643.040967741981</v>
      </c>
      <c r="R215">
        <f t="shared" si="961"/>
        <v>-2970409.1460045283</v>
      </c>
      <c r="S215">
        <f t="shared" si="962"/>
        <v>-29.704091460045284</v>
      </c>
      <c r="T215">
        <f t="shared" si="963"/>
        <v>-2.9704091460045285E-2</v>
      </c>
    </row>
    <row r="216" spans="1:20" x14ac:dyDescent="0.25">
      <c r="A216" s="5">
        <v>44377</v>
      </c>
      <c r="B216">
        <v>20.2</v>
      </c>
      <c r="C216">
        <v>22.97</v>
      </c>
      <c r="D216">
        <v>18.78</v>
      </c>
      <c r="E216">
        <v>19.62</v>
      </c>
      <c r="F216">
        <v>196200.87</v>
      </c>
      <c r="G216">
        <v>0</v>
      </c>
      <c r="L216" t="s">
        <v>8</v>
      </c>
      <c r="M216" t="s">
        <v>8</v>
      </c>
      <c r="N216" t="s">
        <v>7</v>
      </c>
      <c r="P216">
        <f t="shared" si="959"/>
        <v>-0.5990453460620524</v>
      </c>
      <c r="Q216">
        <f t="shared" si="960"/>
        <v>-117533.21806682575</v>
      </c>
      <c r="R216">
        <f t="shared" si="961"/>
        <v>-2894766.1050367863</v>
      </c>
      <c r="S216">
        <f t="shared" si="962"/>
        <v>-28.947661050367863</v>
      </c>
      <c r="T216">
        <f t="shared" si="963"/>
        <v>-2.8947661050367862E-2</v>
      </c>
    </row>
    <row r="217" spans="1:20" x14ac:dyDescent="0.25">
      <c r="A217" s="5">
        <v>44376</v>
      </c>
      <c r="B217">
        <v>19.46</v>
      </c>
      <c r="C217">
        <v>21.23</v>
      </c>
      <c r="D217">
        <v>19.41</v>
      </c>
      <c r="E217">
        <v>20.16</v>
      </c>
      <c r="F217">
        <v>90583.27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-0.17582417582417595</v>
      </c>
      <c r="Q217">
        <f t="shared" si="960"/>
        <v>-15926.728791208803</v>
      </c>
      <c r="R217">
        <f t="shared" si="961"/>
        <v>-2777232.8869699608</v>
      </c>
      <c r="S217">
        <f t="shared" si="962"/>
        <v>-27.772328869699606</v>
      </c>
      <c r="T217">
        <f t="shared" si="963"/>
        <v>-2.7772328869699606E-2</v>
      </c>
    </row>
    <row r="218" spans="1:20" x14ac:dyDescent="0.25">
      <c r="A218" s="5">
        <v>44375</v>
      </c>
      <c r="B218">
        <v>20.21</v>
      </c>
      <c r="C218">
        <v>20.48</v>
      </c>
      <c r="D218">
        <v>19.07</v>
      </c>
      <c r="E218">
        <v>19.46</v>
      </c>
      <c r="F218">
        <v>105378.48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-0.44680851063829713</v>
      </c>
      <c r="Q218">
        <f t="shared" si="960"/>
        <v>-47084.001702127578</v>
      </c>
      <c r="R218">
        <f t="shared" si="961"/>
        <v>-2761306.1581787518</v>
      </c>
      <c r="S218">
        <f t="shared" si="962"/>
        <v>-27.61306158178752</v>
      </c>
      <c r="T218">
        <f t="shared" si="963"/>
        <v>-2.7613061581787519E-2</v>
      </c>
    </row>
    <row r="219" spans="1:20" x14ac:dyDescent="0.25">
      <c r="A219" s="5">
        <v>44374</v>
      </c>
      <c r="B219">
        <v>18.54</v>
      </c>
      <c r="C219">
        <v>21</v>
      </c>
      <c r="D219">
        <v>18.37</v>
      </c>
      <c r="E219">
        <v>20.149999999999999</v>
      </c>
      <c r="F219">
        <v>545005.65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0.35361216730037892</v>
      </c>
      <c r="Q219">
        <f t="shared" si="960"/>
        <v>192720.62908745176</v>
      </c>
      <c r="R219">
        <f t="shared" si="961"/>
        <v>-2714222.1564766243</v>
      </c>
      <c r="S219">
        <f t="shared" si="962"/>
        <v>-27.142221564766242</v>
      </c>
      <c r="T219">
        <f t="shared" si="963"/>
        <v>-2.7142221564766242E-2</v>
      </c>
    </row>
    <row r="220" spans="1:20" x14ac:dyDescent="0.25">
      <c r="A220" s="5">
        <v>44373</v>
      </c>
      <c r="B220">
        <v>19.899999999999999</v>
      </c>
      <c r="C220">
        <v>21.5</v>
      </c>
      <c r="D220">
        <v>17.8</v>
      </c>
      <c r="E220">
        <v>18.57</v>
      </c>
      <c r="F220">
        <v>978687.03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-0.58378378378378393</v>
      </c>
      <c r="Q220">
        <f t="shared" si="960"/>
        <v>-571341.61751351366</v>
      </c>
      <c r="R220">
        <f t="shared" si="961"/>
        <v>-2906942.7855640762</v>
      </c>
      <c r="S220">
        <f t="shared" si="962"/>
        <v>-29.069427855640761</v>
      </c>
      <c r="T220">
        <f t="shared" si="963"/>
        <v>-2.9069427855640761E-2</v>
      </c>
    </row>
    <row r="221" spans="1:20" x14ac:dyDescent="0.25">
      <c r="A221" s="5">
        <v>44372</v>
      </c>
      <c r="B221">
        <v>23.2</v>
      </c>
      <c r="C221">
        <v>23.82</v>
      </c>
      <c r="D221">
        <v>19.77</v>
      </c>
      <c r="E221">
        <v>19.89</v>
      </c>
      <c r="F221">
        <v>416619.34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-0.94074074074074021</v>
      </c>
      <c r="Q221">
        <f t="shared" si="960"/>
        <v>-391930.78651851835</v>
      </c>
      <c r="R221">
        <f t="shared" si="961"/>
        <v>-2335601.1680505625</v>
      </c>
      <c r="S221">
        <f t="shared" si="962"/>
        <v>-23.356011680505624</v>
      </c>
      <c r="T221">
        <f t="shared" si="963"/>
        <v>-2.3356011680505624E-2</v>
      </c>
    </row>
    <row r="222" spans="1:20" x14ac:dyDescent="0.25">
      <c r="A222" s="5">
        <v>44371</v>
      </c>
      <c r="B222">
        <v>24.44</v>
      </c>
      <c r="C222">
        <v>25.4</v>
      </c>
      <c r="D222">
        <v>22.69</v>
      </c>
      <c r="E222">
        <v>23.25</v>
      </c>
      <c r="F222">
        <v>890562.53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-0.58671586715867208</v>
      </c>
      <c r="Q222">
        <f t="shared" si="960"/>
        <v>-522507.16704797093</v>
      </c>
      <c r="R222">
        <f t="shared" si="961"/>
        <v>-1943670.3815320441</v>
      </c>
      <c r="S222">
        <f t="shared" si="962"/>
        <v>-19.436703815320442</v>
      </c>
      <c r="T222">
        <f t="shared" si="963"/>
        <v>-1.9436703815320443E-2</v>
      </c>
    </row>
    <row r="223" spans="1:20" x14ac:dyDescent="0.25">
      <c r="A223" s="5">
        <v>44370</v>
      </c>
      <c r="B223">
        <v>25.3</v>
      </c>
      <c r="C223">
        <v>31.62</v>
      </c>
      <c r="D223">
        <v>22.79</v>
      </c>
      <c r="E223">
        <v>24.4</v>
      </c>
      <c r="F223">
        <v>1361674.13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-0.63533408833522109</v>
      </c>
      <c r="Q223">
        <f t="shared" si="960"/>
        <v>-865117.99199320527</v>
      </c>
      <c r="R223">
        <f t="shared" si="961"/>
        <v>-1421163.2144840732</v>
      </c>
      <c r="S223">
        <f t="shared" si="962"/>
        <v>-14.211632144840733</v>
      </c>
      <c r="T223">
        <f t="shared" si="963"/>
        <v>-1.4211632144840733E-2</v>
      </c>
    </row>
    <row r="224" spans="1:20" x14ac:dyDescent="0.25">
      <c r="A224" s="5">
        <v>44369</v>
      </c>
      <c r="B224">
        <v>20.02</v>
      </c>
      <c r="C224">
        <v>31</v>
      </c>
      <c r="D224">
        <v>19.27</v>
      </c>
      <c r="E224">
        <v>25.3</v>
      </c>
      <c r="F224">
        <v>669738.13</v>
      </c>
      <c r="G224">
        <v>0</v>
      </c>
      <c r="L224" t="s">
        <v>7</v>
      </c>
      <c r="M224" t="s">
        <v>7</v>
      </c>
      <c r="N224" t="s">
        <v>8</v>
      </c>
      <c r="P224">
        <f t="shared" si="959"/>
        <v>2.8132992327365887E-2</v>
      </c>
      <c r="Q224">
        <f t="shared" si="960"/>
        <v>18841.737672634375</v>
      </c>
      <c r="R224">
        <f t="shared" si="961"/>
        <v>-556045.22249086795</v>
      </c>
      <c r="S224">
        <f t="shared" si="962"/>
        <v>-5.5604522249086799</v>
      </c>
      <c r="T224">
        <f t="shared" si="963"/>
        <v>-5.5604522249086798E-3</v>
      </c>
    </row>
    <row r="225" spans="1:20" x14ac:dyDescent="0.25">
      <c r="A225" s="5">
        <v>44368</v>
      </c>
      <c r="B225">
        <v>25.21</v>
      </c>
      <c r="C225">
        <v>25.36</v>
      </c>
      <c r="D225">
        <v>19.93</v>
      </c>
      <c r="E225">
        <v>20.03</v>
      </c>
      <c r="F225">
        <v>296015.71000000002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-0.96316758747697917</v>
      </c>
      <c r="Q225">
        <f t="shared" si="960"/>
        <v>-285112.73725598509</v>
      </c>
      <c r="R225">
        <f t="shared" si="961"/>
        <v>-574886.96016350237</v>
      </c>
      <c r="S225">
        <f t="shared" si="962"/>
        <v>-5.7488696016350236</v>
      </c>
      <c r="T225">
        <f t="shared" si="963"/>
        <v>-5.7488696016350233E-3</v>
      </c>
    </row>
    <row r="226" spans="1:20" x14ac:dyDescent="0.25">
      <c r="A226" s="5">
        <v>44367</v>
      </c>
      <c r="B226">
        <v>24.38</v>
      </c>
      <c r="C226">
        <v>25.6</v>
      </c>
      <c r="D226">
        <v>24.3</v>
      </c>
      <c r="E226">
        <v>25.22</v>
      </c>
      <c r="F226">
        <v>150086.85999999999</v>
      </c>
      <c r="G226">
        <v>0</v>
      </c>
      <c r="L226" t="s">
        <v>7</v>
      </c>
      <c r="M226" t="s">
        <v>8</v>
      </c>
      <c r="N226" t="s">
        <v>8</v>
      </c>
      <c r="P226">
        <f t="shared" si="959"/>
        <v>0.41538461538461174</v>
      </c>
      <c r="Q226">
        <f t="shared" si="960"/>
        <v>62343.772615384063</v>
      </c>
      <c r="R226">
        <f t="shared" si="961"/>
        <v>-289774.22290751728</v>
      </c>
      <c r="S226">
        <f t="shared" si="962"/>
        <v>-2.8977422290751726</v>
      </c>
      <c r="T226">
        <f t="shared" si="963"/>
        <v>-2.8977422290751725E-3</v>
      </c>
    </row>
    <row r="227" spans="1:20" x14ac:dyDescent="0.25">
      <c r="A227" s="5">
        <v>44366</v>
      </c>
      <c r="B227">
        <v>24.27</v>
      </c>
      <c r="C227">
        <v>24.38</v>
      </c>
      <c r="D227">
        <v>24.06</v>
      </c>
      <c r="E227">
        <v>24.38</v>
      </c>
      <c r="F227">
        <v>34438.18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1</v>
      </c>
      <c r="Q227">
        <f t="shared" si="960"/>
        <v>34438.18</v>
      </c>
      <c r="R227">
        <f t="shared" si="961"/>
        <v>-352117.99552290136</v>
      </c>
      <c r="S227">
        <f t="shared" si="962"/>
        <v>-3.5211799552290137</v>
      </c>
      <c r="T227">
        <f t="shared" si="963"/>
        <v>-3.5211799552290137E-3</v>
      </c>
    </row>
    <row r="228" spans="1:20" x14ac:dyDescent="0.25">
      <c r="A228" s="5">
        <v>44365</v>
      </c>
      <c r="B228">
        <v>24.75</v>
      </c>
      <c r="C228">
        <v>24.77</v>
      </c>
      <c r="D228">
        <v>24.18</v>
      </c>
      <c r="E228">
        <v>24.27</v>
      </c>
      <c r="F228">
        <v>42108.31</v>
      </c>
      <c r="G228">
        <v>0</v>
      </c>
      <c r="L228" t="s">
        <v>7</v>
      </c>
      <c r="M228" t="s">
        <v>8</v>
      </c>
      <c r="N228" t="s">
        <v>8</v>
      </c>
      <c r="P228">
        <f t="shared" si="959"/>
        <v>-0.6949152542372885</v>
      </c>
      <c r="Q228">
        <f t="shared" si="960"/>
        <v>-29261.706949152558</v>
      </c>
      <c r="R228">
        <f t="shared" si="961"/>
        <v>-386556.17552290135</v>
      </c>
      <c r="S228">
        <f t="shared" si="962"/>
        <v>-3.8655617552290136</v>
      </c>
      <c r="T228">
        <f t="shared" si="963"/>
        <v>-3.8655617552290134E-3</v>
      </c>
    </row>
    <row r="229" spans="1:20" x14ac:dyDescent="0.25">
      <c r="A229" s="5">
        <v>44364</v>
      </c>
      <c r="B229">
        <v>25.35</v>
      </c>
      <c r="C229">
        <v>25.58</v>
      </c>
      <c r="D229">
        <v>24.66</v>
      </c>
      <c r="E229">
        <v>24.71</v>
      </c>
      <c r="F229">
        <v>84337.47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-0.89130434782608514</v>
      </c>
      <c r="Q229">
        <f t="shared" si="960"/>
        <v>-75170.353695652026</v>
      </c>
      <c r="R229">
        <f t="shared" si="961"/>
        <v>-357294.46857374877</v>
      </c>
      <c r="S229">
        <f t="shared" si="962"/>
        <v>-3.5729446857374878</v>
      </c>
      <c r="T229">
        <f t="shared" si="963"/>
        <v>-3.5729446857374878E-3</v>
      </c>
    </row>
    <row r="230" spans="1:20" x14ac:dyDescent="0.25">
      <c r="A230" s="5">
        <v>44363</v>
      </c>
      <c r="B230">
        <v>26.4</v>
      </c>
      <c r="C230">
        <v>26.72</v>
      </c>
      <c r="D230">
        <v>25.36</v>
      </c>
      <c r="E230">
        <v>25.36</v>
      </c>
      <c r="F230">
        <v>77259.73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-1</v>
      </c>
      <c r="Q230">
        <f t="shared" si="960"/>
        <v>-77259.73</v>
      </c>
      <c r="R230">
        <f t="shared" si="961"/>
        <v>-282124.11487809673</v>
      </c>
      <c r="S230">
        <f t="shared" si="962"/>
        <v>-2.8212411487809672</v>
      </c>
      <c r="T230">
        <f t="shared" si="963"/>
        <v>-2.8212411487809671E-3</v>
      </c>
    </row>
    <row r="231" spans="1:20" x14ac:dyDescent="0.25">
      <c r="A231" s="5">
        <v>44362</v>
      </c>
      <c r="B231">
        <v>27.25</v>
      </c>
      <c r="C231">
        <v>27.41</v>
      </c>
      <c r="D231">
        <v>26.39</v>
      </c>
      <c r="E231">
        <v>26.43</v>
      </c>
      <c r="F231">
        <v>71620.36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-0.921568627450982</v>
      </c>
      <c r="Q231">
        <f t="shared" si="960"/>
        <v>-66003.07686274522</v>
      </c>
      <c r="R231">
        <f t="shared" si="961"/>
        <v>-204864.38487809672</v>
      </c>
      <c r="S231">
        <f t="shared" si="962"/>
        <v>-2.0486438487809671</v>
      </c>
      <c r="T231">
        <f t="shared" si="963"/>
        <v>-2.0486438487809671E-3</v>
      </c>
    </row>
    <row r="232" spans="1:20" x14ac:dyDescent="0.25">
      <c r="A232" s="5">
        <v>44361</v>
      </c>
      <c r="B232">
        <v>27.2</v>
      </c>
      <c r="C232">
        <v>28</v>
      </c>
      <c r="D232">
        <v>26.84</v>
      </c>
      <c r="E232">
        <v>27.25</v>
      </c>
      <c r="F232">
        <v>88654.83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-0.29310344827586193</v>
      </c>
      <c r="Q232">
        <f t="shared" si="960"/>
        <v>-25985.036379310332</v>
      </c>
      <c r="R232">
        <f t="shared" si="961"/>
        <v>-138861.3080153515</v>
      </c>
      <c r="S232">
        <f t="shared" si="962"/>
        <v>-1.388613080153515</v>
      </c>
      <c r="T232">
        <f t="shared" si="963"/>
        <v>-1.388613080153515E-3</v>
      </c>
    </row>
    <row r="233" spans="1:20" x14ac:dyDescent="0.25">
      <c r="A233" s="5">
        <v>44360</v>
      </c>
      <c r="B233">
        <v>25.8</v>
      </c>
      <c r="C233">
        <v>27.19</v>
      </c>
      <c r="D233">
        <v>25.64</v>
      </c>
      <c r="E233">
        <v>27.19</v>
      </c>
      <c r="F233">
        <v>60415.09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1</v>
      </c>
      <c r="Q233">
        <f t="shared" si="960"/>
        <v>60415.09</v>
      </c>
      <c r="R233">
        <f t="shared" si="961"/>
        <v>-112876.27163604117</v>
      </c>
      <c r="S233">
        <f t="shared" si="962"/>
        <v>-1.1287627163604117</v>
      </c>
      <c r="T233">
        <f t="shared" si="963"/>
        <v>-1.1287627163604117E-3</v>
      </c>
    </row>
    <row r="234" spans="1:20" x14ac:dyDescent="0.25">
      <c r="A234" s="5">
        <v>44359</v>
      </c>
      <c r="B234">
        <v>26.12</v>
      </c>
      <c r="C234">
        <v>26.2</v>
      </c>
      <c r="D234">
        <v>25.1</v>
      </c>
      <c r="E234">
        <v>25.77</v>
      </c>
      <c r="F234">
        <v>62946.720000000001</v>
      </c>
      <c r="G234">
        <v>0</v>
      </c>
      <c r="L234" t="s">
        <v>7</v>
      </c>
      <c r="M234" t="s">
        <v>8</v>
      </c>
      <c r="N234" t="s">
        <v>8</v>
      </c>
      <c r="P234">
        <f t="shared" si="959"/>
        <v>0.21818181818181717</v>
      </c>
      <c r="Q234">
        <f t="shared" si="960"/>
        <v>13733.829818181755</v>
      </c>
      <c r="R234">
        <f t="shared" si="961"/>
        <v>-173291.36163604117</v>
      </c>
      <c r="S234">
        <f t="shared" si="962"/>
        <v>-1.7329136163604117</v>
      </c>
      <c r="T234">
        <f t="shared" si="963"/>
        <v>-1.7329136163604117E-3</v>
      </c>
    </row>
    <row r="235" spans="1:20" x14ac:dyDescent="0.25">
      <c r="A235" s="5">
        <v>44358</v>
      </c>
      <c r="B235">
        <v>27.31</v>
      </c>
      <c r="C235">
        <v>28.2</v>
      </c>
      <c r="D235">
        <v>25.47</v>
      </c>
      <c r="E235">
        <v>26.11</v>
      </c>
      <c r="F235">
        <v>244821.16</v>
      </c>
      <c r="G235">
        <v>0</v>
      </c>
      <c r="L235" t="s">
        <v>7</v>
      </c>
      <c r="M235" t="s">
        <v>8</v>
      </c>
      <c r="N235" t="s">
        <v>8</v>
      </c>
      <c r="P235">
        <f t="shared" si="959"/>
        <v>-0.5311355311355308</v>
      </c>
      <c r="Q235">
        <f t="shared" si="960"/>
        <v>-130033.21684981677</v>
      </c>
      <c r="R235">
        <f t="shared" si="961"/>
        <v>-187025.19145422292</v>
      </c>
      <c r="S235">
        <f t="shared" si="962"/>
        <v>-1.8702519145422292</v>
      </c>
      <c r="T235">
        <f t="shared" si="963"/>
        <v>-1.8702519145422291E-3</v>
      </c>
    </row>
    <row r="236" spans="1:20" x14ac:dyDescent="0.25">
      <c r="A236" s="5">
        <v>44357</v>
      </c>
      <c r="B236">
        <v>28.03</v>
      </c>
      <c r="C236">
        <v>28.33</v>
      </c>
      <c r="D236">
        <v>26.95</v>
      </c>
      <c r="E236">
        <v>27.34</v>
      </c>
      <c r="F236">
        <v>161356.17000000001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-0.43478260869565094</v>
      </c>
      <c r="Q236">
        <f t="shared" si="960"/>
        <v>-70154.856521738941</v>
      </c>
      <c r="R236">
        <f t="shared" si="961"/>
        <v>-56991.974604406147</v>
      </c>
      <c r="S236">
        <f t="shared" si="962"/>
        <v>-0.56991974604406148</v>
      </c>
      <c r="T236">
        <f t="shared" si="963"/>
        <v>-5.6991974604406149E-4</v>
      </c>
    </row>
    <row r="237" spans="1:20" x14ac:dyDescent="0.25">
      <c r="A237" s="5">
        <v>44356</v>
      </c>
      <c r="B237">
        <v>25.85</v>
      </c>
      <c r="C237">
        <v>28.09</v>
      </c>
      <c r="D237">
        <v>24.88</v>
      </c>
      <c r="E237">
        <v>28.02</v>
      </c>
      <c r="F237">
        <v>176278.34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0.95638629283489085</v>
      </c>
      <c r="Q237">
        <f t="shared" si="960"/>
        <v>168590.18809968844</v>
      </c>
      <c r="R237">
        <f t="shared" si="961"/>
        <v>13162.881917332794</v>
      </c>
      <c r="S237">
        <f t="shared" si="962"/>
        <v>0.13162881917332794</v>
      </c>
      <c r="T237">
        <f t="shared" si="963"/>
        <v>1.3162881917332795E-4</v>
      </c>
    </row>
    <row r="238" spans="1:20" x14ac:dyDescent="0.25">
      <c r="A238" s="5">
        <v>44355</v>
      </c>
      <c r="B238">
        <v>24.75</v>
      </c>
      <c r="C238">
        <v>25.88</v>
      </c>
      <c r="D238">
        <v>23.83</v>
      </c>
      <c r="E238">
        <v>25.81</v>
      </c>
      <c r="F238">
        <v>193958.07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0.93170731707317045</v>
      </c>
      <c r="Q238">
        <f t="shared" si="960"/>
        <v>180712.15302439019</v>
      </c>
      <c r="R238">
        <f t="shared" si="961"/>
        <v>-155427.30618235565</v>
      </c>
      <c r="S238">
        <f t="shared" si="962"/>
        <v>-1.5542730618235565</v>
      </c>
      <c r="T238">
        <f t="shared" si="963"/>
        <v>-1.5542730618235566E-3</v>
      </c>
    </row>
    <row r="239" spans="1:20" x14ac:dyDescent="0.25">
      <c r="A239" s="5">
        <v>44354</v>
      </c>
      <c r="B239">
        <v>25.59</v>
      </c>
      <c r="C239">
        <v>26.77</v>
      </c>
      <c r="D239">
        <v>24.68</v>
      </c>
      <c r="E239">
        <v>24.73</v>
      </c>
      <c r="F239">
        <v>137593.51999999999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-0.9521531100478462</v>
      </c>
      <c r="Q239">
        <f t="shared" si="960"/>
        <v>-131010.09799043051</v>
      </c>
      <c r="R239">
        <f t="shared" si="961"/>
        <v>-336139.45920674584</v>
      </c>
      <c r="S239">
        <f t="shared" si="962"/>
        <v>-3.3613945920674584</v>
      </c>
      <c r="T239">
        <f t="shared" si="963"/>
        <v>-3.3613945920674582E-3</v>
      </c>
    </row>
    <row r="240" spans="1:20" x14ac:dyDescent="0.25">
      <c r="A240" s="5">
        <v>44353</v>
      </c>
      <c r="B240">
        <v>27.33</v>
      </c>
      <c r="C240">
        <v>27.46</v>
      </c>
      <c r="D240">
        <v>25.43</v>
      </c>
      <c r="E240">
        <v>25.58</v>
      </c>
      <c r="F240">
        <v>150357.03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-0.85221674876847442</v>
      </c>
      <c r="Q240">
        <f t="shared" si="960"/>
        <v>-128136.77926108397</v>
      </c>
      <c r="R240">
        <f t="shared" si="961"/>
        <v>-205129.3612163153</v>
      </c>
      <c r="S240">
        <f t="shared" si="962"/>
        <v>-2.0512936121631529</v>
      </c>
      <c r="T240">
        <f t="shared" si="963"/>
        <v>-2.0512936121631527E-3</v>
      </c>
    </row>
    <row r="241" spans="1:20" x14ac:dyDescent="0.25">
      <c r="A241" s="5">
        <v>44352</v>
      </c>
      <c r="B241">
        <v>28.08</v>
      </c>
      <c r="C241">
        <v>29.86</v>
      </c>
      <c r="D241">
        <v>26.96</v>
      </c>
      <c r="E241">
        <v>27.33</v>
      </c>
      <c r="F241">
        <v>111751.11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-0.74482758620689815</v>
      </c>
      <c r="Q241">
        <f t="shared" si="960"/>
        <v>-83235.309517241563</v>
      </c>
      <c r="R241">
        <f t="shared" si="961"/>
        <v>-76992.581955231333</v>
      </c>
      <c r="S241">
        <f t="shared" si="962"/>
        <v>-0.76992581955231332</v>
      </c>
      <c r="T241">
        <f t="shared" si="963"/>
        <v>-7.6992581955231335E-4</v>
      </c>
    </row>
    <row r="242" spans="1:20" x14ac:dyDescent="0.25">
      <c r="A242" s="5">
        <v>44351</v>
      </c>
      <c r="B242">
        <v>30.92</v>
      </c>
      <c r="C242">
        <v>32.86</v>
      </c>
      <c r="D242">
        <v>27.3</v>
      </c>
      <c r="E242">
        <v>28.05</v>
      </c>
      <c r="F242">
        <v>223950.42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-0.7302158273381294</v>
      </c>
      <c r="Q242">
        <f t="shared" si="960"/>
        <v>-163532.14122302158</v>
      </c>
      <c r="R242">
        <f t="shared" si="961"/>
        <v>6242.72756201023</v>
      </c>
      <c r="S242">
        <f t="shared" si="962"/>
        <v>6.24272756201023E-2</v>
      </c>
      <c r="T242">
        <f t="shared" si="963"/>
        <v>6.2427275620102307E-5</v>
      </c>
    </row>
    <row r="243" spans="1:20" x14ac:dyDescent="0.25">
      <c r="A243" s="5">
        <v>44350</v>
      </c>
      <c r="B243">
        <v>27.66</v>
      </c>
      <c r="C243">
        <v>31.1</v>
      </c>
      <c r="D243">
        <v>27.65</v>
      </c>
      <c r="E243">
        <v>30.9</v>
      </c>
      <c r="F243">
        <v>197977.54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0.88405797101449124</v>
      </c>
      <c r="Q243">
        <f t="shared" si="960"/>
        <v>175023.62231884029</v>
      </c>
      <c r="R243">
        <f t="shared" si="961"/>
        <v>169774.86878503181</v>
      </c>
      <c r="S243">
        <f t="shared" si="962"/>
        <v>1.6977486878503181</v>
      </c>
      <c r="T243">
        <f t="shared" si="963"/>
        <v>1.6977486878503182E-3</v>
      </c>
    </row>
    <row r="244" spans="1:20" x14ac:dyDescent="0.25">
      <c r="A244" s="5">
        <v>44349</v>
      </c>
      <c r="B244">
        <v>25.32</v>
      </c>
      <c r="C244">
        <v>27.83</v>
      </c>
      <c r="D244">
        <v>24.38</v>
      </c>
      <c r="E244">
        <v>27.69</v>
      </c>
      <c r="F244">
        <v>144279.29999999999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0.91884057971014665</v>
      </c>
      <c r="Q244">
        <f t="shared" si="960"/>
        <v>132569.67565217416</v>
      </c>
      <c r="R244">
        <f t="shared" si="961"/>
        <v>-5248.7535338084854</v>
      </c>
      <c r="S244">
        <f t="shared" si="962"/>
        <v>-5.2487535338084854E-2</v>
      </c>
      <c r="T244">
        <f t="shared" si="963"/>
        <v>-5.2487535338084857E-5</v>
      </c>
    </row>
    <row r="245" spans="1:20" x14ac:dyDescent="0.25">
      <c r="A245" s="5">
        <v>44348</v>
      </c>
      <c r="B245">
        <v>24.07</v>
      </c>
      <c r="C245">
        <v>25.49</v>
      </c>
      <c r="D245">
        <v>23.32</v>
      </c>
      <c r="E245">
        <v>25.29</v>
      </c>
      <c r="F245">
        <v>166243.42000000001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0.81566820276497742</v>
      </c>
      <c r="Q245">
        <f t="shared" si="960"/>
        <v>135599.47161290332</v>
      </c>
      <c r="R245">
        <f t="shared" si="961"/>
        <v>-137818.42918598265</v>
      </c>
      <c r="S245">
        <f t="shared" si="962"/>
        <v>-1.3781842918598264</v>
      </c>
      <c r="T245">
        <f t="shared" si="963"/>
        <v>-1.3781842918598264E-3</v>
      </c>
    </row>
    <row r="246" spans="1:20" x14ac:dyDescent="0.25">
      <c r="A246" s="5">
        <v>44347</v>
      </c>
      <c r="B246">
        <v>23.4</v>
      </c>
      <c r="C246">
        <v>24.44</v>
      </c>
      <c r="D246">
        <v>22.38</v>
      </c>
      <c r="E246">
        <v>24.04</v>
      </c>
      <c r="F246">
        <v>133237.04999999999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0.6116504854368916</v>
      </c>
      <c r="Q246">
        <f t="shared" si="960"/>
        <v>81494.506310679397</v>
      </c>
      <c r="R246">
        <f t="shared" si="961"/>
        <v>-273417.90079888597</v>
      </c>
      <c r="S246">
        <f t="shared" si="962"/>
        <v>-2.7341790079888595</v>
      </c>
      <c r="T246">
        <f t="shared" si="963"/>
        <v>-2.7341790079888594E-3</v>
      </c>
    </row>
    <row r="247" spans="1:20" x14ac:dyDescent="0.25">
      <c r="A247" s="5">
        <v>44346</v>
      </c>
      <c r="B247">
        <v>23.21</v>
      </c>
      <c r="C247">
        <v>24.16</v>
      </c>
      <c r="D247">
        <v>22.18</v>
      </c>
      <c r="E247">
        <v>23.41</v>
      </c>
      <c r="F247">
        <v>154948.09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0.2424242424242426</v>
      </c>
      <c r="Q247">
        <f t="shared" si="960"/>
        <v>37563.173333333361</v>
      </c>
      <c r="R247">
        <f t="shared" si="961"/>
        <v>-354912.40710956539</v>
      </c>
      <c r="S247">
        <f t="shared" si="962"/>
        <v>-3.5491240710956538</v>
      </c>
      <c r="T247">
        <f t="shared" si="963"/>
        <v>-3.549124071095654E-3</v>
      </c>
    </row>
    <row r="248" spans="1:20" x14ac:dyDescent="0.25">
      <c r="A248" s="5">
        <v>44345</v>
      </c>
      <c r="B248">
        <v>27.13</v>
      </c>
      <c r="C248">
        <v>27.99</v>
      </c>
      <c r="D248">
        <v>21.77</v>
      </c>
      <c r="E248">
        <v>23.19</v>
      </c>
      <c r="F248">
        <v>317875.93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-0.54340836012861671</v>
      </c>
      <c r="Q248">
        <f t="shared" si="960"/>
        <v>-172736.43784565895</v>
      </c>
      <c r="R248">
        <f t="shared" si="961"/>
        <v>-392475.58044289873</v>
      </c>
      <c r="S248">
        <f t="shared" si="962"/>
        <v>-3.9247558044289872</v>
      </c>
      <c r="T248">
        <f t="shared" si="963"/>
        <v>-3.9247558044289872E-3</v>
      </c>
    </row>
    <row r="249" spans="1:20" x14ac:dyDescent="0.25">
      <c r="A249" s="5">
        <v>44344</v>
      </c>
      <c r="B249">
        <v>31.14</v>
      </c>
      <c r="C249">
        <v>33.950000000000003</v>
      </c>
      <c r="D249">
        <v>25.98</v>
      </c>
      <c r="E249">
        <v>27.13</v>
      </c>
      <c r="F249">
        <v>308874.95</v>
      </c>
      <c r="G249">
        <v>0</v>
      </c>
      <c r="P249">
        <f t="shared" si="959"/>
        <v>-0.71141781681304939</v>
      </c>
      <c r="Q249">
        <f t="shared" si="960"/>
        <v>-219739.14259723978</v>
      </c>
      <c r="R249">
        <f t="shared" si="961"/>
        <v>-219739.14259723978</v>
      </c>
      <c r="S249">
        <f t="shared" si="962"/>
        <v>-2.1973914259723979</v>
      </c>
      <c r="T249">
        <f t="shared" si="963"/>
        <v>-2.1973914259723979E-3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B427" sqref="EB42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$A$426</v>
      </c>
      <c r="D111" s="1" t="str">
        <f>ADDRESS(C121-1,D121,1,1)</f>
        <v>$EB$426</v>
      </c>
      <c r="E111"/>
    </row>
    <row r="112" spans="1:5" x14ac:dyDescent="0.25">
      <c r="A112" s="7">
        <v>12164.144957890772</v>
      </c>
      <c r="C112" s="1" t="str">
        <f>ADDRESS(C121,1,1,1)</f>
        <v>$A$427</v>
      </c>
      <c r="D112" s="1" t="str">
        <f>ADDRESS(C121,D121-1,1,1)</f>
        <v>$EA$427</v>
      </c>
      <c r="E112"/>
    </row>
    <row r="113" spans="1:5" x14ac:dyDescent="0.25">
      <c r="A113" s="7">
        <v>11925.63231165762</v>
      </c>
      <c r="C113" s="1" t="str">
        <f>ADDRESS(C121+1,1,1,1)</f>
        <v>$A$428</v>
      </c>
      <c r="D113" s="1" t="str">
        <f>ADDRESS(C121-1,D121+1,1,1)</f>
        <v>$EC$426</v>
      </c>
    </row>
    <row r="114" spans="1:5" x14ac:dyDescent="0.25">
      <c r="A114" s="7">
        <v>11691.796383978059</v>
      </c>
      <c r="C114" s="1" t="str">
        <f>ADDRESS(C121,D121,1,1)</f>
        <v>$EB$427</v>
      </c>
      <c r="D114" s="1" t="str">
        <f>ADDRESS(C121+1,D121+1,1,1)</f>
        <v>$EC$428</v>
      </c>
    </row>
    <row r="115" spans="1:5" x14ac:dyDescent="0.25">
      <c r="A115" s="7">
        <v>11462.545474488292</v>
      </c>
      <c r="C115" s="1" t="str">
        <f>ADDRESS(C121+1,D121,1,1)</f>
        <v>$EB$428</v>
      </c>
    </row>
    <row r="116" spans="1:5" x14ac:dyDescent="0.25">
      <c r="A116" s="7">
        <v>11237.789680870874</v>
      </c>
      <c r="C116" s="1">
        <f>C117-1</f>
        <v>426</v>
      </c>
    </row>
    <row r="117" spans="1:5" x14ac:dyDescent="0.25">
      <c r="A117" s="7">
        <v>11017.440863598895</v>
      </c>
      <c r="C117" s="1">
        <f>C121</f>
        <v>427</v>
      </c>
      <c r="D117" s="1">
        <f>D121</f>
        <v>132</v>
      </c>
    </row>
    <row r="118" spans="1:5" x14ac:dyDescent="0.25">
      <c r="A118" s="7">
        <v>10801.412611371465</v>
      </c>
      <c r="C118" s="1">
        <f>C117+1</f>
        <v>428</v>
      </c>
      <c r="D118" s="1">
        <f>D117+1</f>
        <v>133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427</v>
      </c>
      <c r="D121" s="19">
        <v>132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R427</v>
      </c>
      <c r="D123" s="1" t="str">
        <f>"C"&amp;D121</f>
        <v>C132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23.769906964797922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90" x14ac:dyDescent="0.25">
      <c r="A353" s="7">
        <v>102.90588033356946</v>
      </c>
      <c r="B353"/>
      <c r="C353"/>
      <c r="D353"/>
      <c r="E353"/>
    </row>
    <row r="354" spans="1:90" x14ac:dyDescent="0.25">
      <c r="A354" s="7">
        <v>100.88811797408771</v>
      </c>
      <c r="B354"/>
      <c r="C354"/>
      <c r="D354"/>
      <c r="E354"/>
      <c r="CK354" s="27" t="s">
        <v>8</v>
      </c>
    </row>
    <row r="355" spans="1:90" x14ac:dyDescent="0.25">
      <c r="A355" s="7">
        <v>98.909919582438931</v>
      </c>
      <c r="B355"/>
      <c r="C355"/>
      <c r="D355"/>
      <c r="E355"/>
      <c r="CK355" s="27" t="s">
        <v>8</v>
      </c>
      <c r="CL355" s="27" t="s">
        <v>7</v>
      </c>
    </row>
    <row r="356" spans="1:90" x14ac:dyDescent="0.25">
      <c r="A356" s="7">
        <v>96.970509394547975</v>
      </c>
      <c r="B356"/>
      <c r="C356"/>
      <c r="D356"/>
      <c r="E356"/>
      <c r="CK356" s="27" t="s">
        <v>8</v>
      </c>
      <c r="CL356" s="27" t="s">
        <v>7</v>
      </c>
    </row>
    <row r="357" spans="1:90" x14ac:dyDescent="0.25">
      <c r="A357" s="7">
        <v>95.069126857399979</v>
      </c>
      <c r="B357"/>
      <c r="C357"/>
      <c r="D357"/>
      <c r="E357"/>
      <c r="CK357" s="27" t="s">
        <v>8</v>
      </c>
      <c r="CL357" s="27" t="s">
        <v>7</v>
      </c>
    </row>
    <row r="358" spans="1:90" x14ac:dyDescent="0.25">
      <c r="A358" s="7">
        <v>93.205026330784293</v>
      </c>
      <c r="B358"/>
      <c r="C358"/>
      <c r="D358"/>
      <c r="E358"/>
      <c r="CK358" s="27" t="s">
        <v>8</v>
      </c>
      <c r="CL358" s="27" t="s">
        <v>7</v>
      </c>
    </row>
    <row r="359" spans="1:90" x14ac:dyDescent="0.25">
      <c r="A359" s="7">
        <v>91.377476794886562</v>
      </c>
      <c r="B359"/>
      <c r="C359"/>
      <c r="D359"/>
      <c r="E359"/>
      <c r="CK359" s="27" t="s">
        <v>8</v>
      </c>
      <c r="CL359" s="27" t="s">
        <v>7</v>
      </c>
    </row>
    <row r="360" spans="1:90" x14ac:dyDescent="0.25">
      <c r="A360" s="7">
        <v>89.58576156361427</v>
      </c>
      <c r="B360"/>
      <c r="C360"/>
      <c r="D360"/>
      <c r="E360"/>
      <c r="CK360" s="27" t="s">
        <v>8</v>
      </c>
      <c r="CL360" s="27" t="s">
        <v>7</v>
      </c>
    </row>
    <row r="361" spans="1:90" x14ac:dyDescent="0.25">
      <c r="A361" s="7">
        <v>87.829178003543404</v>
      </c>
      <c r="B361"/>
      <c r="C361"/>
      <c r="D361"/>
      <c r="E361"/>
      <c r="CK361" s="27" t="s">
        <v>8</v>
      </c>
      <c r="CL361" s="27" t="s">
        <v>7</v>
      </c>
    </row>
    <row r="362" spans="1:90" x14ac:dyDescent="0.25">
      <c r="A362" s="7">
        <v>86.107037258375883</v>
      </c>
      <c r="B362"/>
      <c r="C362"/>
      <c r="D362"/>
      <c r="E362"/>
      <c r="CK362" s="27" t="s">
        <v>8</v>
      </c>
      <c r="CL362" s="27" t="s">
        <v>7</v>
      </c>
    </row>
    <row r="363" spans="1:90" x14ac:dyDescent="0.25">
      <c r="A363" s="7">
        <v>84.418663978799884</v>
      </c>
      <c r="B363"/>
      <c r="C363"/>
      <c r="D363"/>
      <c r="E363"/>
      <c r="CK363" s="27" t="s">
        <v>8</v>
      </c>
      <c r="CL363" s="27" t="s">
        <v>7</v>
      </c>
    </row>
    <row r="364" spans="1:90" x14ac:dyDescent="0.25">
      <c r="A364" s="7">
        <v>82.763396057646943</v>
      </c>
      <c r="B364"/>
      <c r="C364"/>
      <c r="D364"/>
      <c r="E364"/>
      <c r="CK364" s="27" t="s">
        <v>8</v>
      </c>
      <c r="CL364" s="27" t="s">
        <v>7</v>
      </c>
    </row>
    <row r="365" spans="1:90" x14ac:dyDescent="0.25">
      <c r="A365" s="7">
        <v>81.140584370242095</v>
      </c>
      <c r="B365"/>
      <c r="C365"/>
      <c r="D365"/>
      <c r="E365"/>
      <c r="CK365" s="27" t="s">
        <v>8</v>
      </c>
      <c r="CL365" s="27" t="s">
        <v>7</v>
      </c>
    </row>
    <row r="366" spans="1:90" x14ac:dyDescent="0.25">
      <c r="A366" s="7">
        <v>79.549592519845191</v>
      </c>
      <c r="B366"/>
      <c r="C366"/>
      <c r="D366"/>
      <c r="E366"/>
      <c r="CK366" s="27" t="s">
        <v>8</v>
      </c>
      <c r="CL366" s="27" t="s">
        <v>7</v>
      </c>
    </row>
    <row r="367" spans="1:90" x14ac:dyDescent="0.25">
      <c r="A367" s="7">
        <v>77.989796588083522</v>
      </c>
      <c r="B367"/>
      <c r="C367"/>
      <c r="D367"/>
      <c r="E367"/>
      <c r="CK367" s="27" t="s">
        <v>8</v>
      </c>
      <c r="CL367" s="27" t="s">
        <v>7</v>
      </c>
    </row>
    <row r="368" spans="1:90" x14ac:dyDescent="0.25">
      <c r="A368" s="7">
        <v>76.460584890277957</v>
      </c>
      <c r="B368"/>
      <c r="C368"/>
      <c r="D368"/>
      <c r="E368"/>
      <c r="CK368" s="27" t="s">
        <v>8</v>
      </c>
      <c r="CL368" s="27" t="s">
        <v>7</v>
      </c>
    </row>
    <row r="369" spans="1:122" x14ac:dyDescent="0.25">
      <c r="A369" s="7">
        <v>74.961357735566622</v>
      </c>
      <c r="B369"/>
      <c r="C369"/>
      <c r="D369"/>
      <c r="E369"/>
      <c r="CK369" s="27" t="s">
        <v>8</v>
      </c>
      <c r="CL369" s="27" t="s">
        <v>7</v>
      </c>
      <c r="CO369" s="27" t="s">
        <v>8</v>
      </c>
    </row>
    <row r="370" spans="1:122" x14ac:dyDescent="0.25">
      <c r="A370" s="7">
        <v>73.491527191731976</v>
      </c>
      <c r="B370"/>
      <c r="C370"/>
      <c r="D370"/>
      <c r="E370"/>
      <c r="CK370" s="27" t="s">
        <v>8</v>
      </c>
      <c r="CL370" s="27" t="s">
        <v>7</v>
      </c>
      <c r="CM370" s="27" t="s">
        <v>8</v>
      </c>
      <c r="CO370" s="27" t="s">
        <v>8</v>
      </c>
      <c r="CP370" s="27" t="s">
        <v>7</v>
      </c>
    </row>
    <row r="371" spans="1:122" x14ac:dyDescent="0.25">
      <c r="A371" s="7">
        <v>72.050516854639184</v>
      </c>
      <c r="B371"/>
      <c r="C371"/>
      <c r="D371"/>
      <c r="E371"/>
      <c r="CK371" s="27" t="s">
        <v>8</v>
      </c>
      <c r="CL371" s="27" t="s">
        <v>7</v>
      </c>
      <c r="CM371" s="27" t="s">
        <v>8</v>
      </c>
      <c r="CN371" s="27" t="s">
        <v>7</v>
      </c>
      <c r="CO371" s="27" t="s">
        <v>8</v>
      </c>
      <c r="CP371" s="27" t="s">
        <v>7</v>
      </c>
      <c r="CQ371" s="27" t="s">
        <v>8</v>
      </c>
    </row>
    <row r="372" spans="1:122" x14ac:dyDescent="0.25">
      <c r="A372" s="7">
        <v>70.637761622195271</v>
      </c>
      <c r="B372"/>
      <c r="C372"/>
      <c r="D372"/>
      <c r="E372"/>
      <c r="CK372" s="27" t="s">
        <v>8</v>
      </c>
      <c r="CL372" s="27" t="s">
        <v>7</v>
      </c>
      <c r="CM372" s="27" t="s">
        <v>8</v>
      </c>
      <c r="CN372" s="27" t="s">
        <v>7</v>
      </c>
      <c r="CO372" s="27" t="s">
        <v>8</v>
      </c>
      <c r="CP372" s="27" t="s">
        <v>7</v>
      </c>
      <c r="CQ372" s="27" t="s">
        <v>8</v>
      </c>
      <c r="CR372" s="27" t="s">
        <v>7</v>
      </c>
    </row>
    <row r="373" spans="1:122" x14ac:dyDescent="0.25">
      <c r="A373" s="7">
        <v>69.252707472740454</v>
      </c>
      <c r="B373"/>
      <c r="C373"/>
      <c r="D373"/>
      <c r="E373"/>
      <c r="CK373" s="27" t="s">
        <v>8</v>
      </c>
      <c r="CL373" s="27" t="s">
        <v>7</v>
      </c>
      <c r="CM373" s="27" t="s">
        <v>8</v>
      </c>
      <c r="CN373" s="27" t="s">
        <v>7</v>
      </c>
      <c r="CO373" s="27" t="s">
        <v>8</v>
      </c>
      <c r="CP373" s="27" t="s">
        <v>7</v>
      </c>
      <c r="CQ373" s="27" t="s">
        <v>8</v>
      </c>
      <c r="CR373" s="27" t="s">
        <v>7</v>
      </c>
      <c r="CW373" s="27" t="s">
        <v>8</v>
      </c>
    </row>
    <row r="374" spans="1:122" x14ac:dyDescent="0.25">
      <c r="A374" s="7">
        <v>67.894811247784759</v>
      </c>
      <c r="B374"/>
      <c r="C374"/>
      <c r="D374"/>
      <c r="E374"/>
      <c r="CK374" s="27" t="s">
        <v>8</v>
      </c>
      <c r="CL374" s="27" t="s">
        <v>7</v>
      </c>
      <c r="CM374" s="27" t="s">
        <v>8</v>
      </c>
      <c r="CN374" s="27" t="s">
        <v>7</v>
      </c>
      <c r="CO374" s="27" t="s">
        <v>8</v>
      </c>
      <c r="CP374" s="27" t="s">
        <v>7</v>
      </c>
      <c r="CQ374" s="27" t="s">
        <v>8</v>
      </c>
      <c r="CR374" s="27" t="s">
        <v>7</v>
      </c>
      <c r="CW374" s="27" t="s">
        <v>8</v>
      </c>
      <c r="CX374" s="27" t="s">
        <v>7</v>
      </c>
    </row>
    <row r="375" spans="1:122" x14ac:dyDescent="0.25">
      <c r="A375" s="7">
        <v>66.563540439004669</v>
      </c>
      <c r="B375"/>
      <c r="C375"/>
      <c r="D375"/>
      <c r="E375"/>
      <c r="CK375" s="27" t="s">
        <v>8</v>
      </c>
      <c r="CL375" s="27" t="s">
        <v>7</v>
      </c>
      <c r="CM375" s="27" t="s">
        <v>8</v>
      </c>
      <c r="CN375" s="27" t="s">
        <v>7</v>
      </c>
      <c r="CO375" s="27" t="s">
        <v>8</v>
      </c>
      <c r="CP375" s="27" t="s">
        <v>7</v>
      </c>
      <c r="CQ375" s="27" t="s">
        <v>8</v>
      </c>
      <c r="CR375" s="27" t="s">
        <v>7</v>
      </c>
      <c r="CW375" s="27" t="s">
        <v>8</v>
      </c>
      <c r="CX375" s="27" t="s">
        <v>7</v>
      </c>
    </row>
    <row r="376" spans="1:122" x14ac:dyDescent="0.25">
      <c r="A376" s="7">
        <v>65.258372979416336</v>
      </c>
      <c r="B376"/>
      <c r="C376"/>
      <c r="D376"/>
      <c r="E376"/>
      <c r="CK376" s="27" t="s">
        <v>8</v>
      </c>
      <c r="CL376" s="27" t="s">
        <v>7</v>
      </c>
      <c r="CM376" s="27" t="s">
        <v>8</v>
      </c>
      <c r="CN376" s="27" t="s">
        <v>7</v>
      </c>
      <c r="CO376" s="27" t="s">
        <v>8</v>
      </c>
      <c r="CP376" s="27" t="s">
        <v>7</v>
      </c>
      <c r="CQ376" s="27" t="s">
        <v>8</v>
      </c>
      <c r="CR376" s="27" t="s">
        <v>7</v>
      </c>
      <c r="CW376" s="27" t="s">
        <v>8</v>
      </c>
      <c r="CX376" s="27" t="s">
        <v>7</v>
      </c>
    </row>
    <row r="377" spans="1:122" x14ac:dyDescent="0.25">
      <c r="A377" s="7">
        <v>63.978797038643471</v>
      </c>
      <c r="B377"/>
      <c r="C377"/>
      <c r="D377"/>
      <c r="E377"/>
      <c r="CK377" s="27" t="s">
        <v>8</v>
      </c>
      <c r="CL377" s="27" t="s">
        <v>7</v>
      </c>
      <c r="CM377" s="27" t="s">
        <v>8</v>
      </c>
      <c r="CN377" s="27" t="s">
        <v>7</v>
      </c>
      <c r="CO377" s="27" t="s">
        <v>8</v>
      </c>
      <c r="CP377" s="27" t="s">
        <v>7</v>
      </c>
      <c r="CR377" s="27" t="s">
        <v>7</v>
      </c>
      <c r="CW377" s="27" t="s">
        <v>8</v>
      </c>
      <c r="CX377" s="27" t="s">
        <v>7</v>
      </c>
    </row>
    <row r="378" spans="1:122" x14ac:dyDescent="0.25">
      <c r="A378" s="7">
        <v>62.724310822199477</v>
      </c>
      <c r="B378"/>
      <c r="C378"/>
      <c r="D378"/>
      <c r="E378"/>
      <c r="CK378" s="27" t="s">
        <v>8</v>
      </c>
      <c r="CL378" s="27" t="s">
        <v>7</v>
      </c>
      <c r="CM378" s="27" t="s">
        <v>8</v>
      </c>
      <c r="CN378" s="27" t="s">
        <v>7</v>
      </c>
      <c r="CO378" s="27" t="s">
        <v>8</v>
      </c>
      <c r="CR378" s="27" t="s">
        <v>7</v>
      </c>
      <c r="CW378" s="27" t="s">
        <v>8</v>
      </c>
      <c r="CX378" s="27" t="s">
        <v>7</v>
      </c>
    </row>
    <row r="379" spans="1:122" x14ac:dyDescent="0.25">
      <c r="A379" s="7">
        <v>61.494422374705366</v>
      </c>
      <c r="B379"/>
      <c r="C379"/>
      <c r="D379"/>
      <c r="E379"/>
      <c r="CK379" s="27" t="s">
        <v>8</v>
      </c>
      <c r="CL379" s="27" t="s">
        <v>7</v>
      </c>
      <c r="CN379" s="27" t="s">
        <v>7</v>
      </c>
      <c r="CO379" s="27" t="s">
        <v>8</v>
      </c>
      <c r="CR379" s="27" t="s">
        <v>7</v>
      </c>
      <c r="CW379" s="27" t="s">
        <v>8</v>
      </c>
      <c r="CX379" s="27" t="s">
        <v>7</v>
      </c>
    </row>
    <row r="380" spans="1:122" x14ac:dyDescent="0.25">
      <c r="A380" s="7">
        <v>60.288649386966043</v>
      </c>
      <c r="B380"/>
      <c r="C380"/>
      <c r="D380"/>
      <c r="E380"/>
      <c r="CK380" s="27" t="s">
        <v>8</v>
      </c>
      <c r="CN380" s="27" t="s">
        <v>7</v>
      </c>
      <c r="CO380" s="27" t="s">
        <v>8</v>
      </c>
      <c r="CR380" s="27" t="s">
        <v>7</v>
      </c>
      <c r="CW380" s="27" t="s">
        <v>8</v>
      </c>
      <c r="CX380" s="27" t="s">
        <v>7</v>
      </c>
    </row>
    <row r="381" spans="1:122" x14ac:dyDescent="0.25">
      <c r="A381" s="7">
        <v>59.106519006829451</v>
      </c>
      <c r="B381"/>
      <c r="C381"/>
      <c r="D381"/>
      <c r="E381"/>
      <c r="CK381" s="27" t="s">
        <v>8</v>
      </c>
      <c r="CN381" s="27" t="s">
        <v>7</v>
      </c>
      <c r="CO381" s="27" t="s">
        <v>8</v>
      </c>
      <c r="CR381" s="27" t="s">
        <v>7</v>
      </c>
      <c r="CW381" s="27" t="s">
        <v>8</v>
      </c>
      <c r="CX381" s="27" t="s">
        <v>7</v>
      </c>
      <c r="DA381" s="27" t="s">
        <v>8</v>
      </c>
    </row>
    <row r="382" spans="1:122" x14ac:dyDescent="0.25">
      <c r="A382" s="7">
        <v>57.947567653754362</v>
      </c>
      <c r="B382"/>
      <c r="C382"/>
      <c r="D382"/>
      <c r="E382"/>
      <c r="CK382" s="27" t="s">
        <v>8</v>
      </c>
      <c r="CN382" s="27" t="s">
        <v>7</v>
      </c>
      <c r="CR382" s="27" t="s">
        <v>7</v>
      </c>
      <c r="CW382" s="27" t="s">
        <v>8</v>
      </c>
      <c r="CX382" s="27" t="s">
        <v>7</v>
      </c>
      <c r="CY382" s="27" t="s">
        <v>8</v>
      </c>
      <c r="DA382" s="27" t="s">
        <v>8</v>
      </c>
      <c r="DB382" s="27" t="s">
        <v>7</v>
      </c>
    </row>
    <row r="383" spans="1:122" x14ac:dyDescent="0.25">
      <c r="A383" s="7">
        <v>56.811340837014079</v>
      </c>
      <c r="B383"/>
      <c r="C383"/>
      <c r="D383"/>
      <c r="E383"/>
      <c r="CK383" s="27" t="s">
        <v>8</v>
      </c>
      <c r="CR383" s="27" t="s">
        <v>7</v>
      </c>
      <c r="CS383" s="27" t="s">
        <v>8</v>
      </c>
      <c r="CW383" s="27" t="s">
        <v>8</v>
      </c>
      <c r="CX383" s="27" t="s">
        <v>7</v>
      </c>
      <c r="CY383" s="27" t="s">
        <v>8</v>
      </c>
      <c r="CZ383" s="27" t="s">
        <v>7</v>
      </c>
      <c r="DA383" s="27" t="s">
        <v>8</v>
      </c>
      <c r="DB383" s="27" t="s">
        <v>7</v>
      </c>
      <c r="DQ383" s="27" t="s">
        <v>8</v>
      </c>
    </row>
    <row r="384" spans="1:122" x14ac:dyDescent="0.25">
      <c r="A384" s="7">
        <v>55.69739297746478</v>
      </c>
      <c r="B384"/>
      <c r="C384"/>
      <c r="D384"/>
      <c r="E384"/>
      <c r="CK384" s="27" t="s">
        <v>8</v>
      </c>
      <c r="CR384" s="27" t="s">
        <v>7</v>
      </c>
      <c r="CS384" s="27" t="s">
        <v>8</v>
      </c>
      <c r="CT384" s="27" t="s">
        <v>7</v>
      </c>
      <c r="CW384" s="27" t="s">
        <v>8</v>
      </c>
      <c r="CX384" s="27" t="s">
        <v>7</v>
      </c>
      <c r="CY384" s="27" t="s">
        <v>8</v>
      </c>
      <c r="CZ384" s="27" t="s">
        <v>7</v>
      </c>
      <c r="DA384" s="27" t="s">
        <v>8</v>
      </c>
      <c r="DB384" s="27" t="s">
        <v>7</v>
      </c>
      <c r="DQ384" s="27" t="s">
        <v>8</v>
      </c>
      <c r="DR384" s="27" t="s">
        <v>7</v>
      </c>
    </row>
    <row r="385" spans="1:124" x14ac:dyDescent="0.25">
      <c r="A385" s="7">
        <v>54.605287232808607</v>
      </c>
      <c r="B385"/>
      <c r="C385"/>
      <c r="D385"/>
      <c r="E385"/>
      <c r="CK385" s="27" t="s">
        <v>8</v>
      </c>
      <c r="CR385" s="27" t="s">
        <v>7</v>
      </c>
      <c r="CS385" s="27" t="s">
        <v>8</v>
      </c>
      <c r="CT385" s="27" t="s">
        <v>7</v>
      </c>
      <c r="CW385" s="27" t="s">
        <v>8</v>
      </c>
      <c r="CX385" s="27" t="s">
        <v>7</v>
      </c>
      <c r="CY385" s="27" t="s">
        <v>8</v>
      </c>
      <c r="CZ385" s="27" t="s">
        <v>7</v>
      </c>
      <c r="DA385" s="27" t="s">
        <v>8</v>
      </c>
      <c r="DB385" s="27" t="s">
        <v>7</v>
      </c>
      <c r="DQ385" s="27" t="s">
        <v>8</v>
      </c>
      <c r="DR385" s="27" t="s">
        <v>7</v>
      </c>
    </row>
    <row r="386" spans="1:124" x14ac:dyDescent="0.25">
      <c r="A386" s="7">
        <v>53.534595326282947</v>
      </c>
      <c r="B386"/>
      <c r="C386"/>
      <c r="D386"/>
      <c r="E386"/>
      <c r="CK386" s="27" t="s">
        <v>8</v>
      </c>
      <c r="CR386" s="27" t="s">
        <v>7</v>
      </c>
      <c r="CS386" s="27" t="s">
        <v>8</v>
      </c>
      <c r="CT386" s="27" t="s">
        <v>7</v>
      </c>
      <c r="CU386" s="27" t="s">
        <v>8</v>
      </c>
      <c r="CW386" s="27" t="s">
        <v>8</v>
      </c>
      <c r="CX386" s="27" t="s">
        <v>7</v>
      </c>
      <c r="CY386" s="27" t="s">
        <v>8</v>
      </c>
      <c r="CZ386" s="27" t="s">
        <v>7</v>
      </c>
      <c r="DA386" s="27" t="s">
        <v>8</v>
      </c>
      <c r="DB386" s="27" t="s">
        <v>7</v>
      </c>
      <c r="DQ386" s="27" t="s">
        <v>8</v>
      </c>
      <c r="DR386" s="27" t="s">
        <v>7</v>
      </c>
    </row>
    <row r="387" spans="1:124" x14ac:dyDescent="0.25">
      <c r="A387" s="7">
        <v>52.484897378708773</v>
      </c>
      <c r="B387"/>
      <c r="C387"/>
      <c r="D387"/>
      <c r="E387"/>
      <c r="CK387" s="27" t="s">
        <v>8</v>
      </c>
      <c r="CR387" s="27" t="s">
        <v>7</v>
      </c>
      <c r="CS387" s="27" t="s">
        <v>8</v>
      </c>
      <c r="CT387" s="27" t="s">
        <v>7</v>
      </c>
      <c r="CU387" s="27" t="s">
        <v>8</v>
      </c>
      <c r="CV387" s="27" t="s">
        <v>7</v>
      </c>
      <c r="CW387" s="27" t="s">
        <v>8</v>
      </c>
      <c r="CX387" s="27" t="s">
        <v>7</v>
      </c>
      <c r="CY387" s="27" t="s">
        <v>8</v>
      </c>
      <c r="CZ387" s="27" t="s">
        <v>7</v>
      </c>
      <c r="DA387" s="27" t="s">
        <v>8</v>
      </c>
      <c r="DB387" s="27" t="s">
        <v>7</v>
      </c>
      <c r="DQ387" s="27" t="s">
        <v>8</v>
      </c>
      <c r="DR387" s="27" t="s">
        <v>7</v>
      </c>
    </row>
    <row r="388" spans="1:124" x14ac:dyDescent="0.25">
      <c r="A388" s="7">
        <v>51.455781743832127</v>
      </c>
      <c r="B388"/>
      <c r="C388"/>
      <c r="D388"/>
      <c r="E388"/>
      <c r="CK388" s="27" t="s">
        <v>8</v>
      </c>
      <c r="CR388" s="27" t="s">
        <v>7</v>
      </c>
      <c r="CS388" s="27" t="s">
        <v>8</v>
      </c>
      <c r="CT388" s="27" t="s">
        <v>7</v>
      </c>
      <c r="CU388" s="27" t="s">
        <v>8</v>
      </c>
      <c r="CV388" s="27" t="s">
        <v>7</v>
      </c>
      <c r="CW388" s="27" t="s">
        <v>8</v>
      </c>
      <c r="CX388" s="27" t="s">
        <v>7</v>
      </c>
      <c r="CZ388" s="27" t="s">
        <v>7</v>
      </c>
      <c r="DB388" s="27" t="s">
        <v>7</v>
      </c>
      <c r="DQ388" s="27" t="s">
        <v>8</v>
      </c>
      <c r="DR388" s="27" t="s">
        <v>7</v>
      </c>
      <c r="DS388" s="27" t="s">
        <v>8</v>
      </c>
    </row>
    <row r="389" spans="1:124" x14ac:dyDescent="0.25">
      <c r="A389" s="7">
        <v>50.446844846894244</v>
      </c>
      <c r="B389"/>
      <c r="C389"/>
      <c r="D389"/>
      <c r="E389"/>
      <c r="CK389" s="27" t="s">
        <v>8</v>
      </c>
      <c r="CR389" s="27" t="s">
        <v>7</v>
      </c>
      <c r="CS389" s="27" t="s">
        <v>8</v>
      </c>
      <c r="CT389" s="27" t="s">
        <v>7</v>
      </c>
      <c r="CU389" s="27" t="s">
        <v>8</v>
      </c>
      <c r="CV389" s="27" t="s">
        <v>7</v>
      </c>
      <c r="CW389" s="27" t="s">
        <v>8</v>
      </c>
      <c r="DB389" s="27" t="s">
        <v>7</v>
      </c>
      <c r="DQ389" s="27" t="s">
        <v>8</v>
      </c>
      <c r="DR389" s="27" t="s">
        <v>7</v>
      </c>
      <c r="DS389" s="27" t="s">
        <v>8</v>
      </c>
      <c r="DT389" s="27" t="s">
        <v>7</v>
      </c>
    </row>
    <row r="390" spans="1:124" x14ac:dyDescent="0.25">
      <c r="A390" s="7">
        <v>49.457691026366902</v>
      </c>
      <c r="B390"/>
      <c r="C390"/>
      <c r="D390"/>
      <c r="E390"/>
      <c r="CK390" s="27" t="s">
        <v>8</v>
      </c>
      <c r="CR390" s="27" t="s">
        <v>7</v>
      </c>
      <c r="CS390" s="27" t="s">
        <v>8</v>
      </c>
      <c r="CT390" s="27" t="s">
        <v>7</v>
      </c>
      <c r="CU390" s="27" t="s">
        <v>8</v>
      </c>
      <c r="CV390" s="27" t="s">
        <v>7</v>
      </c>
      <c r="CW390" s="27" t="s">
        <v>8</v>
      </c>
      <c r="DB390" s="27" t="s">
        <v>7</v>
      </c>
      <c r="DQ390" s="27" t="s">
        <v>8</v>
      </c>
      <c r="DR390" s="27" t="s">
        <v>7</v>
      </c>
      <c r="DS390" s="27" t="s">
        <v>8</v>
      </c>
      <c r="DT390" s="27" t="s">
        <v>7</v>
      </c>
    </row>
    <row r="391" spans="1:124" x14ac:dyDescent="0.25">
      <c r="A391" s="7">
        <v>48.487932378791079</v>
      </c>
      <c r="B391"/>
      <c r="C391"/>
      <c r="D391"/>
      <c r="E391"/>
      <c r="CK391" s="27" t="s">
        <v>8</v>
      </c>
      <c r="CR391" s="27" t="s">
        <v>7</v>
      </c>
      <c r="CS391" s="27" t="s">
        <v>8</v>
      </c>
      <c r="CT391" s="27" t="s">
        <v>7</v>
      </c>
      <c r="CU391" s="27" t="s">
        <v>8</v>
      </c>
      <c r="CV391" s="27" t="s">
        <v>7</v>
      </c>
      <c r="CW391" s="27" t="s">
        <v>8</v>
      </c>
      <c r="DB391" s="27" t="s">
        <v>7</v>
      </c>
      <c r="DC391" s="27" t="s">
        <v>8</v>
      </c>
      <c r="DQ391" s="27" t="s">
        <v>8</v>
      </c>
      <c r="DR391" s="27" t="s">
        <v>7</v>
      </c>
      <c r="DS391" s="27" t="s">
        <v>8</v>
      </c>
      <c r="DT391" s="27" t="s">
        <v>7</v>
      </c>
    </row>
    <row r="392" spans="1:124" x14ac:dyDescent="0.25">
      <c r="A392" s="7">
        <v>47.537188606657921</v>
      </c>
      <c r="B392"/>
      <c r="C392"/>
      <c r="D392"/>
      <c r="E392"/>
      <c r="CK392" s="27" t="s">
        <v>8</v>
      </c>
      <c r="CR392" s="27" t="s">
        <v>7</v>
      </c>
      <c r="CS392" s="27" t="s">
        <v>8</v>
      </c>
      <c r="CT392" s="27" t="s">
        <v>7</v>
      </c>
      <c r="CV392" s="27" t="s">
        <v>7</v>
      </c>
      <c r="CW392" s="27" t="s">
        <v>8</v>
      </c>
      <c r="DB392" s="27" t="s">
        <v>7</v>
      </c>
      <c r="DC392" s="27" t="s">
        <v>8</v>
      </c>
      <c r="DD392" s="27" t="s">
        <v>7</v>
      </c>
      <c r="DM392" s="27" t="s">
        <v>8</v>
      </c>
      <c r="DQ392" s="27" t="s">
        <v>8</v>
      </c>
      <c r="DR392" s="27" t="s">
        <v>7</v>
      </c>
      <c r="DS392" s="27" t="s">
        <v>8</v>
      </c>
      <c r="DT392" s="27" t="s">
        <v>7</v>
      </c>
    </row>
    <row r="393" spans="1:124" x14ac:dyDescent="0.25">
      <c r="A393" s="7">
        <v>46.605086869272469</v>
      </c>
      <c r="B393"/>
      <c r="C393"/>
      <c r="D393"/>
      <c r="E393"/>
      <c r="CK393" s="27" t="s">
        <v>8</v>
      </c>
      <c r="CR393" s="27" t="s">
        <v>7</v>
      </c>
      <c r="CV393" s="27" t="s">
        <v>7</v>
      </c>
      <c r="DB393" s="27" t="s">
        <v>7</v>
      </c>
      <c r="DC393" s="27" t="s">
        <v>8</v>
      </c>
      <c r="DD393" s="27" t="s">
        <v>7</v>
      </c>
      <c r="DM393" s="27" t="s">
        <v>8</v>
      </c>
      <c r="DN393" s="27" t="s">
        <v>7</v>
      </c>
      <c r="DO393" s="27" t="s">
        <v>8</v>
      </c>
      <c r="DQ393" s="27" t="s">
        <v>8</v>
      </c>
      <c r="DR393" s="27" t="s">
        <v>7</v>
      </c>
      <c r="DS393" s="27" t="s">
        <v>8</v>
      </c>
      <c r="DT393" s="27" t="s">
        <v>7</v>
      </c>
    </row>
    <row r="394" spans="1:124" x14ac:dyDescent="0.25">
      <c r="A394" s="7">
        <v>45.691261636541633</v>
      </c>
      <c r="B394"/>
      <c r="C394"/>
      <c r="D394"/>
      <c r="E394"/>
      <c r="CK394" s="27" t="s">
        <v>8</v>
      </c>
      <c r="DB394" s="27" t="s">
        <v>7</v>
      </c>
      <c r="DC394" s="27" t="s">
        <v>8</v>
      </c>
      <c r="DD394" s="27" t="s">
        <v>7</v>
      </c>
      <c r="DM394" s="27" t="s">
        <v>8</v>
      </c>
      <c r="DN394" s="27" t="s">
        <v>7</v>
      </c>
      <c r="DO394" s="27" t="s">
        <v>8</v>
      </c>
      <c r="DP394" s="27" t="s">
        <v>7</v>
      </c>
      <c r="DQ394" s="27" t="s">
        <v>8</v>
      </c>
      <c r="DR394" s="27" t="s">
        <v>7</v>
      </c>
      <c r="DS394" s="27" t="s">
        <v>8</v>
      </c>
      <c r="DT394" s="27" t="s">
        <v>7</v>
      </c>
    </row>
    <row r="395" spans="1:124" x14ac:dyDescent="0.25">
      <c r="A395" s="7">
        <v>44.795354545629053</v>
      </c>
      <c r="B395"/>
      <c r="C395"/>
      <c r="D395"/>
      <c r="E395"/>
      <c r="CK395" s="27" t="s">
        <v>8</v>
      </c>
      <c r="DB395" s="27" t="s">
        <v>7</v>
      </c>
      <c r="DC395" s="27" t="s">
        <v>8</v>
      </c>
      <c r="DD395" s="27" t="s">
        <v>7</v>
      </c>
      <c r="DM395" s="27" t="s">
        <v>8</v>
      </c>
      <c r="DN395" s="27" t="s">
        <v>7</v>
      </c>
      <c r="DO395" s="27" t="s">
        <v>8</v>
      </c>
      <c r="DP395" s="27" t="s">
        <v>7</v>
      </c>
      <c r="DQ395" s="27" t="s">
        <v>8</v>
      </c>
      <c r="DR395" s="27" t="s">
        <v>7</v>
      </c>
      <c r="DS395" s="27" t="s">
        <v>8</v>
      </c>
      <c r="DT395" s="27" t="s">
        <v>7</v>
      </c>
    </row>
    <row r="396" spans="1:124" x14ac:dyDescent="0.25">
      <c r="A396" s="7">
        <v>43.917014260420636</v>
      </c>
      <c r="B396"/>
      <c r="C396"/>
      <c r="D396"/>
      <c r="E396"/>
      <c r="CK396" s="27" t="s">
        <v>8</v>
      </c>
      <c r="DB396" s="27" t="s">
        <v>7</v>
      </c>
      <c r="DC396" s="27" t="s">
        <v>8</v>
      </c>
      <c r="DD396" s="27" t="s">
        <v>7</v>
      </c>
      <c r="DE396" s="27" t="s">
        <v>8</v>
      </c>
      <c r="DM396" s="27" t="s">
        <v>8</v>
      </c>
      <c r="DN396" s="27" t="s">
        <v>7</v>
      </c>
      <c r="DO396" s="27" t="s">
        <v>8</v>
      </c>
      <c r="DP396" s="27" t="s">
        <v>7</v>
      </c>
      <c r="DQ396" s="27" t="s">
        <v>8</v>
      </c>
      <c r="DR396" s="27" t="s">
        <v>7</v>
      </c>
      <c r="DS396" s="27" t="s">
        <v>8</v>
      </c>
      <c r="DT396" s="27" t="s">
        <v>7</v>
      </c>
    </row>
    <row r="397" spans="1:124" x14ac:dyDescent="0.25">
      <c r="A397" s="7">
        <v>43.055896333745721</v>
      </c>
      <c r="B397"/>
      <c r="C397"/>
      <c r="D397"/>
      <c r="E397"/>
      <c r="CK397" s="27" t="s">
        <v>8</v>
      </c>
      <c r="DB397" s="27" t="s">
        <v>7</v>
      </c>
      <c r="DC397" s="27" t="s">
        <v>8</v>
      </c>
      <c r="DD397" s="27" t="s">
        <v>7</v>
      </c>
      <c r="DE397" s="27" t="s">
        <v>8</v>
      </c>
      <c r="DF397" s="27" t="s">
        <v>7</v>
      </c>
      <c r="DM397" s="27" t="s">
        <v>8</v>
      </c>
      <c r="DN397" s="27" t="s">
        <v>7</v>
      </c>
      <c r="DP397" s="27" t="s">
        <v>7</v>
      </c>
      <c r="DQ397" s="27" t="s">
        <v>8</v>
      </c>
      <c r="DR397" s="27" t="s">
        <v>7</v>
      </c>
      <c r="DS397" s="27" t="s">
        <v>8</v>
      </c>
      <c r="DT397" s="27" t="s">
        <v>7</v>
      </c>
    </row>
    <row r="398" spans="1:124" x14ac:dyDescent="0.25">
      <c r="A398" s="7">
        <v>42.211663072299729</v>
      </c>
      <c r="B398"/>
      <c r="C398"/>
      <c r="D398"/>
      <c r="E398"/>
      <c r="CK398" s="27" t="s">
        <v>8</v>
      </c>
      <c r="DB398" s="27" t="s">
        <v>7</v>
      </c>
      <c r="DC398" s="27" t="s">
        <v>8</v>
      </c>
      <c r="DD398" s="27" t="s">
        <v>7</v>
      </c>
      <c r="DE398" s="27" t="s">
        <v>8</v>
      </c>
      <c r="DF398" s="27" t="s">
        <v>7</v>
      </c>
      <c r="DM398" s="27" t="s">
        <v>8</v>
      </c>
      <c r="DP398" s="27" t="s">
        <v>7</v>
      </c>
      <c r="DQ398" s="27" t="s">
        <v>8</v>
      </c>
      <c r="DR398" s="27" t="s">
        <v>7</v>
      </c>
      <c r="DS398" s="27" t="s">
        <v>8</v>
      </c>
      <c r="DT398" s="27" t="s">
        <v>7</v>
      </c>
    </row>
    <row r="399" spans="1:124" x14ac:dyDescent="0.25">
      <c r="A399" s="7">
        <v>41.383983404215421</v>
      </c>
      <c r="B399"/>
      <c r="C399"/>
      <c r="D399"/>
      <c r="E399"/>
      <c r="CK399" s="27" t="s">
        <v>8</v>
      </c>
      <c r="DB399" s="27" t="s">
        <v>7</v>
      </c>
      <c r="DC399" s="27" t="s">
        <v>8</v>
      </c>
      <c r="DD399" s="27" t="s">
        <v>7</v>
      </c>
      <c r="DE399" s="27" t="s">
        <v>8</v>
      </c>
      <c r="DF399" s="27" t="s">
        <v>7</v>
      </c>
      <c r="DM399" s="27" t="s">
        <v>8</v>
      </c>
      <c r="DP399" s="27" t="s">
        <v>7</v>
      </c>
      <c r="DQ399" s="27" t="s">
        <v>8</v>
      </c>
      <c r="DR399" s="27" t="s">
        <v>7</v>
      </c>
      <c r="DS399" s="27" t="s">
        <v>8</v>
      </c>
      <c r="DT399" s="27" t="s">
        <v>7</v>
      </c>
    </row>
    <row r="400" spans="1:124" x14ac:dyDescent="0.25">
      <c r="A400" s="7">
        <v>40.572532749230803</v>
      </c>
      <c r="B400"/>
      <c r="C400"/>
      <c r="D400"/>
      <c r="E400"/>
      <c r="CK400" s="27" t="s">
        <v>8</v>
      </c>
      <c r="DB400" s="27" t="s">
        <v>7</v>
      </c>
      <c r="DC400" s="27" t="s">
        <v>8</v>
      </c>
      <c r="DD400" s="27" t="s">
        <v>7</v>
      </c>
      <c r="DE400" s="27" t="s">
        <v>8</v>
      </c>
      <c r="DF400" s="27" t="s">
        <v>7</v>
      </c>
      <c r="DM400" s="27" t="s">
        <v>8</v>
      </c>
      <c r="DP400" s="27" t="s">
        <v>7</v>
      </c>
      <c r="DQ400" s="27" t="s">
        <v>8</v>
      </c>
      <c r="DR400" s="27" t="s">
        <v>7</v>
      </c>
      <c r="DS400" s="27" t="s">
        <v>8</v>
      </c>
      <c r="DT400" s="27" t="s">
        <v>7</v>
      </c>
    </row>
    <row r="401" spans="1:128" x14ac:dyDescent="0.25">
      <c r="A401" s="7">
        <v>39.776992891402749</v>
      </c>
      <c r="B401"/>
      <c r="C401"/>
      <c r="D401"/>
      <c r="E401"/>
      <c r="CK401" s="27" t="s">
        <v>8</v>
      </c>
      <c r="DB401" s="27" t="s">
        <v>7</v>
      </c>
      <c r="DC401" s="27" t="s">
        <v>8</v>
      </c>
      <c r="DD401" s="27" t="s">
        <v>7</v>
      </c>
      <c r="DE401" s="27" t="s">
        <v>8</v>
      </c>
      <c r="DF401" s="27" t="s">
        <v>7</v>
      </c>
      <c r="DI401" s="27" t="s">
        <v>8</v>
      </c>
      <c r="DM401" s="27" t="s">
        <v>8</v>
      </c>
      <c r="DP401" s="27" t="s">
        <v>7</v>
      </c>
      <c r="DQ401" s="27" t="s">
        <v>8</v>
      </c>
      <c r="DR401" s="27" t="s">
        <v>7</v>
      </c>
      <c r="DS401" s="27" t="s">
        <v>8</v>
      </c>
      <c r="DT401" s="27" t="s">
        <v>7</v>
      </c>
    </row>
    <row r="402" spans="1:128" x14ac:dyDescent="0.25">
      <c r="A402" s="7">
        <v>38.997051854316418</v>
      </c>
      <c r="B402"/>
      <c r="C402"/>
      <c r="D402"/>
      <c r="E402"/>
      <c r="CK402" s="27" t="s">
        <v>8</v>
      </c>
      <c r="DB402" s="27" t="s">
        <v>7</v>
      </c>
      <c r="DC402" s="27" t="s">
        <v>8</v>
      </c>
      <c r="DD402" s="27" t="s">
        <v>7</v>
      </c>
      <c r="DE402" s="27" t="s">
        <v>8</v>
      </c>
      <c r="DF402" s="27" t="s">
        <v>7</v>
      </c>
      <c r="DG402" s="27" t="s">
        <v>8</v>
      </c>
      <c r="DI402" s="27" t="s">
        <v>8</v>
      </c>
      <c r="DJ402" s="27" t="s">
        <v>7</v>
      </c>
      <c r="DM402" s="27" t="s">
        <v>8</v>
      </c>
      <c r="DP402" s="27" t="s">
        <v>7</v>
      </c>
      <c r="DQ402" s="27" t="s">
        <v>8</v>
      </c>
      <c r="DR402" s="27" t="s">
        <v>7</v>
      </c>
      <c r="DT402" s="27" t="s">
        <v>7</v>
      </c>
      <c r="DW402" s="27" t="s">
        <v>8</v>
      </c>
    </row>
    <row r="403" spans="1:128" x14ac:dyDescent="0.25">
      <c r="A403" s="7">
        <v>38.232403778741585</v>
      </c>
      <c r="B403"/>
      <c r="C403"/>
      <c r="D403"/>
      <c r="E403"/>
      <c r="CI403" s="27" t="s">
        <v>8</v>
      </c>
      <c r="CK403" s="27" t="s">
        <v>8</v>
      </c>
      <c r="DB403" s="27" t="s">
        <v>7</v>
      </c>
      <c r="DC403" s="27" t="s">
        <v>8</v>
      </c>
      <c r="DD403" s="27" t="s">
        <v>7</v>
      </c>
      <c r="DF403" s="27" t="s">
        <v>7</v>
      </c>
      <c r="DG403" s="27" t="s">
        <v>8</v>
      </c>
      <c r="DH403" s="27" t="s">
        <v>7</v>
      </c>
      <c r="DI403" s="27" t="s">
        <v>8</v>
      </c>
      <c r="DJ403" s="27" t="s">
        <v>7</v>
      </c>
      <c r="DM403" s="27" t="s">
        <v>8</v>
      </c>
      <c r="DP403" s="27" t="s">
        <v>7</v>
      </c>
      <c r="DT403" s="27" t="s">
        <v>7</v>
      </c>
      <c r="DW403" s="27" t="s">
        <v>8</v>
      </c>
      <c r="DX403" s="27" t="s">
        <v>7</v>
      </c>
    </row>
    <row r="404" spans="1:128" x14ac:dyDescent="0.25">
      <c r="A404" s="7">
        <v>37.48274880268783</v>
      </c>
      <c r="B404"/>
      <c r="C404"/>
      <c r="D404"/>
      <c r="E404"/>
      <c r="CI404" s="27" t="s">
        <v>8</v>
      </c>
      <c r="CJ404" s="27" t="s">
        <v>7</v>
      </c>
      <c r="CK404" s="27" t="s">
        <v>8</v>
      </c>
      <c r="DB404" s="27" t="s">
        <v>7</v>
      </c>
      <c r="DC404" s="27" t="s">
        <v>8</v>
      </c>
      <c r="DF404" s="27" t="s">
        <v>7</v>
      </c>
      <c r="DG404" s="27" t="s">
        <v>8</v>
      </c>
      <c r="DH404" s="27" t="s">
        <v>7</v>
      </c>
      <c r="DI404" s="27" t="s">
        <v>8</v>
      </c>
      <c r="DJ404" s="27" t="s">
        <v>7</v>
      </c>
      <c r="DK404" s="27" t="s">
        <v>8</v>
      </c>
      <c r="DM404" s="27" t="s">
        <v>8</v>
      </c>
      <c r="DT404" s="27" t="s">
        <v>7</v>
      </c>
      <c r="DU404" s="27" t="s">
        <v>8</v>
      </c>
      <c r="DW404" s="27" t="s">
        <v>8</v>
      </c>
      <c r="DX404" s="27" t="s">
        <v>7</v>
      </c>
    </row>
    <row r="405" spans="1:128" x14ac:dyDescent="0.25">
      <c r="A405" s="7">
        <v>36.747792943811596</v>
      </c>
      <c r="B405"/>
      <c r="C405"/>
      <c r="D405"/>
      <c r="E405"/>
      <c r="CI405" s="27" t="s">
        <v>8</v>
      </c>
      <c r="CJ405" s="27" t="s">
        <v>7</v>
      </c>
      <c r="CK405" s="27" t="s">
        <v>8</v>
      </c>
      <c r="DB405" s="27" t="s">
        <v>7</v>
      </c>
      <c r="DC405" s="27" t="s">
        <v>8</v>
      </c>
      <c r="DF405" s="27" t="s">
        <v>7</v>
      </c>
      <c r="DG405" s="27" t="s">
        <v>8</v>
      </c>
      <c r="DH405" s="27" t="s">
        <v>7</v>
      </c>
      <c r="DI405" s="27" t="s">
        <v>8</v>
      </c>
      <c r="DJ405" s="27" t="s">
        <v>7</v>
      </c>
      <c r="DK405" s="27" t="s">
        <v>8</v>
      </c>
      <c r="DL405" s="27" t="s">
        <v>7</v>
      </c>
      <c r="DM405" s="27" t="s">
        <v>8</v>
      </c>
      <c r="DT405" s="27" t="s">
        <v>7</v>
      </c>
      <c r="DU405" s="27" t="s">
        <v>8</v>
      </c>
      <c r="DV405" s="27" t="s">
        <v>7</v>
      </c>
      <c r="DW405" s="27" t="s">
        <v>8</v>
      </c>
      <c r="DX405" s="27" t="s">
        <v>7</v>
      </c>
    </row>
    <row r="406" spans="1:128" x14ac:dyDescent="0.25">
      <c r="A406" s="7">
        <v>36.027247984129012</v>
      </c>
      <c r="B406"/>
      <c r="C406"/>
      <c r="D406"/>
      <c r="E406"/>
      <c r="CA406" s="27" t="s">
        <v>8</v>
      </c>
      <c r="CI406" s="27" t="s">
        <v>8</v>
      </c>
      <c r="CJ406" s="27" t="s">
        <v>7</v>
      </c>
      <c r="CK406" s="27" t="s">
        <v>8</v>
      </c>
      <c r="DB406" s="27" t="s">
        <v>7</v>
      </c>
      <c r="DC406" s="27" t="s">
        <v>8</v>
      </c>
      <c r="DF406" s="27" t="s">
        <v>7</v>
      </c>
      <c r="DG406" s="27" t="s">
        <v>8</v>
      </c>
      <c r="DH406" s="27" t="s">
        <v>7</v>
      </c>
      <c r="DI406" s="27" t="s">
        <v>8</v>
      </c>
      <c r="DJ406" s="27" t="s">
        <v>7</v>
      </c>
      <c r="DK406" s="27" t="s">
        <v>8</v>
      </c>
      <c r="DL406" s="27" t="s">
        <v>7</v>
      </c>
      <c r="DM406" s="27" t="s">
        <v>8</v>
      </c>
      <c r="DT406" s="27" t="s">
        <v>7</v>
      </c>
      <c r="DU406" s="27" t="s">
        <v>8</v>
      </c>
      <c r="DV406" s="27" t="s">
        <v>7</v>
      </c>
      <c r="DW406" s="27" t="s">
        <v>8</v>
      </c>
      <c r="DX406" s="27" t="s">
        <v>7</v>
      </c>
    </row>
    <row r="407" spans="1:128" x14ac:dyDescent="0.25">
      <c r="A407" s="7">
        <v>35.320831356989224</v>
      </c>
      <c r="B407"/>
      <c r="C407"/>
      <c r="D407"/>
      <c r="E407"/>
      <c r="CA407" s="27" t="s">
        <v>8</v>
      </c>
      <c r="CB407" s="27" t="s">
        <v>7</v>
      </c>
      <c r="CG407" s="27" t="s">
        <v>8</v>
      </c>
      <c r="CI407" s="27" t="s">
        <v>8</v>
      </c>
      <c r="CJ407" s="27" t="s">
        <v>7</v>
      </c>
      <c r="CK407" s="27" t="s">
        <v>8</v>
      </c>
      <c r="DB407" s="27" t="s">
        <v>7</v>
      </c>
      <c r="DC407" s="27" t="s">
        <v>8</v>
      </c>
      <c r="DF407" s="27" t="s">
        <v>7</v>
      </c>
      <c r="DH407" s="27" t="s">
        <v>7</v>
      </c>
      <c r="DI407" s="27" t="s">
        <v>8</v>
      </c>
      <c r="DJ407" s="27" t="s">
        <v>7</v>
      </c>
      <c r="DK407" s="27" t="s">
        <v>8</v>
      </c>
      <c r="DL407" s="27" t="s">
        <v>7</v>
      </c>
      <c r="DM407" s="27" t="s">
        <v>8</v>
      </c>
      <c r="DT407" s="27" t="s">
        <v>7</v>
      </c>
      <c r="DU407" s="27" t="s">
        <v>8</v>
      </c>
      <c r="DV407" s="27" t="s">
        <v>7</v>
      </c>
      <c r="DW407" s="27" t="s">
        <v>8</v>
      </c>
      <c r="DX407" s="27" t="s">
        <v>7</v>
      </c>
    </row>
    <row r="408" spans="1:128" x14ac:dyDescent="0.25">
      <c r="A408" s="7">
        <v>34.628266036263945</v>
      </c>
      <c r="B408"/>
      <c r="C408"/>
      <c r="D408"/>
      <c r="E408"/>
      <c r="CA408" s="27" t="s">
        <v>8</v>
      </c>
      <c r="CB408" s="27" t="s">
        <v>7</v>
      </c>
      <c r="CE408" s="27" t="s">
        <v>8</v>
      </c>
      <c r="CG408" s="27" t="s">
        <v>8</v>
      </c>
      <c r="CH408" s="27" t="s">
        <v>7</v>
      </c>
      <c r="CI408" s="27" t="s">
        <v>8</v>
      </c>
      <c r="CJ408" s="27" t="s">
        <v>7</v>
      </c>
      <c r="CK408" s="27" t="s">
        <v>8</v>
      </c>
      <c r="DB408" s="27" t="s">
        <v>7</v>
      </c>
      <c r="DC408" s="27" t="s">
        <v>8</v>
      </c>
      <c r="DH408" s="27" t="s">
        <v>7</v>
      </c>
      <c r="DI408" s="27" t="s">
        <v>8</v>
      </c>
      <c r="DJ408" s="27" t="s">
        <v>7</v>
      </c>
      <c r="DL408" s="27" t="s">
        <v>7</v>
      </c>
      <c r="DM408" s="27" t="s">
        <v>8</v>
      </c>
      <c r="DT408" s="27" t="s">
        <v>7</v>
      </c>
      <c r="DU408" s="27" t="s">
        <v>8</v>
      </c>
      <c r="DV408" s="27" t="s">
        <v>7</v>
      </c>
      <c r="DW408" s="27" t="s">
        <v>8</v>
      </c>
      <c r="DX408" s="27" t="s">
        <v>7</v>
      </c>
    </row>
    <row r="409" spans="1:128" x14ac:dyDescent="0.25">
      <c r="A409" s="7">
        <v>33.949280427709752</v>
      </c>
      <c r="B409"/>
      <c r="C409"/>
      <c r="D409"/>
      <c r="E409"/>
      <c r="CA409" s="27" t="s">
        <v>8</v>
      </c>
      <c r="CB409" s="27" t="s">
        <v>7</v>
      </c>
      <c r="CE409" s="27" t="s">
        <v>8</v>
      </c>
      <c r="CF409" s="27" t="s">
        <v>7</v>
      </c>
      <c r="CG409" s="27" t="s">
        <v>8</v>
      </c>
      <c r="CH409" s="27" t="s">
        <v>7</v>
      </c>
      <c r="CI409" s="27" t="s">
        <v>8</v>
      </c>
      <c r="CJ409" s="27" t="s">
        <v>7</v>
      </c>
      <c r="CK409" s="27" t="s">
        <v>8</v>
      </c>
      <c r="DB409" s="27" t="s">
        <v>7</v>
      </c>
      <c r="DC409" s="27" t="s">
        <v>8</v>
      </c>
      <c r="DH409" s="27" t="s">
        <v>7</v>
      </c>
      <c r="DI409" s="27" t="s">
        <v>8</v>
      </c>
      <c r="DL409" s="27" t="s">
        <v>7</v>
      </c>
      <c r="DM409" s="27" t="s">
        <v>8</v>
      </c>
      <c r="DT409" s="27" t="s">
        <v>7</v>
      </c>
      <c r="DV409" s="27" t="s">
        <v>7</v>
      </c>
      <c r="DW409" s="27" t="s">
        <v>8</v>
      </c>
      <c r="DX409" s="27" t="s">
        <v>7</v>
      </c>
    </row>
    <row r="410" spans="1:128" x14ac:dyDescent="0.25">
      <c r="A410" s="7">
        <v>33.28360826246054</v>
      </c>
      <c r="B410"/>
      <c r="C410"/>
      <c r="D410"/>
      <c r="E410"/>
      <c r="BW410" s="27" t="s">
        <v>8</v>
      </c>
      <c r="CA410" s="27" t="s">
        <v>8</v>
      </c>
      <c r="CB410" s="27" t="s">
        <v>7</v>
      </c>
      <c r="CE410" s="27" t="s">
        <v>8</v>
      </c>
      <c r="CF410" s="27" t="s">
        <v>7</v>
      </c>
      <c r="CG410" s="27" t="s">
        <v>8</v>
      </c>
      <c r="CH410" s="27" t="s">
        <v>7</v>
      </c>
      <c r="CI410" s="27" t="s">
        <v>8</v>
      </c>
      <c r="CJ410" s="27" t="s">
        <v>7</v>
      </c>
      <c r="CK410" s="27" t="s">
        <v>8</v>
      </c>
      <c r="DB410" s="27" t="s">
        <v>7</v>
      </c>
      <c r="DC410" s="27" t="s">
        <v>8</v>
      </c>
      <c r="DH410" s="27" t="s">
        <v>7</v>
      </c>
      <c r="DI410" s="27" t="s">
        <v>8</v>
      </c>
      <c r="DL410" s="27" t="s">
        <v>7</v>
      </c>
      <c r="DM410" s="27" t="s">
        <v>8</v>
      </c>
      <c r="DV410" s="27" t="s">
        <v>7</v>
      </c>
      <c r="DW410" s="27" t="s">
        <v>8</v>
      </c>
      <c r="DX410" s="27" t="s">
        <v>7</v>
      </c>
    </row>
    <row r="411" spans="1:128" x14ac:dyDescent="0.25">
      <c r="A411" s="7">
        <v>32.630988492608374</v>
      </c>
      <c r="B411"/>
      <c r="C411"/>
      <c r="D411"/>
      <c r="E411"/>
      <c r="G411" s="27" t="s">
        <v>8</v>
      </c>
      <c r="BW411" s="27" t="s">
        <v>8</v>
      </c>
      <c r="BX411" s="27" t="s">
        <v>7</v>
      </c>
      <c r="CA411" s="27" t="s">
        <v>8</v>
      </c>
      <c r="CB411" s="27" t="s">
        <v>7</v>
      </c>
      <c r="CE411" s="27" t="s">
        <v>8</v>
      </c>
      <c r="CF411" s="27" t="s">
        <v>7</v>
      </c>
      <c r="CG411" s="27" t="s">
        <v>8</v>
      </c>
      <c r="CH411" s="27" t="s">
        <v>7</v>
      </c>
      <c r="CI411" s="27" t="s">
        <v>8</v>
      </c>
      <c r="CJ411" s="27" t="s">
        <v>7</v>
      </c>
      <c r="CK411" s="27" t="s">
        <v>8</v>
      </c>
      <c r="DB411" s="27" t="s">
        <v>7</v>
      </c>
      <c r="DC411" s="27" t="s">
        <v>8</v>
      </c>
      <c r="DH411" s="27" t="s">
        <v>7</v>
      </c>
      <c r="DI411" s="27" t="s">
        <v>8</v>
      </c>
      <c r="DL411" s="27" t="s">
        <v>7</v>
      </c>
      <c r="DV411" s="27" t="s">
        <v>7</v>
      </c>
      <c r="DX411" s="27" t="s">
        <v>7</v>
      </c>
    </row>
    <row r="412" spans="1:128" x14ac:dyDescent="0.25">
      <c r="A412" s="7">
        <v>31.99116518883174</v>
      </c>
      <c r="B412"/>
      <c r="C412"/>
      <c r="D412"/>
      <c r="E412"/>
      <c r="G412" s="27" t="s">
        <v>8</v>
      </c>
      <c r="H412" s="27" t="s">
        <v>7</v>
      </c>
      <c r="BW412" s="27" t="s">
        <v>8</v>
      </c>
      <c r="BX412" s="27" t="s">
        <v>7</v>
      </c>
      <c r="CA412" s="27" t="s">
        <v>8</v>
      </c>
      <c r="CB412" s="27" t="s">
        <v>7</v>
      </c>
      <c r="CE412" s="27" t="s">
        <v>8</v>
      </c>
      <c r="CF412" s="27" t="s">
        <v>7</v>
      </c>
      <c r="CG412" s="27" t="s">
        <v>8</v>
      </c>
      <c r="CH412" s="27" t="s">
        <v>7</v>
      </c>
      <c r="CI412" s="27" t="s">
        <v>8</v>
      </c>
      <c r="CJ412" s="27" t="s">
        <v>7</v>
      </c>
      <c r="CK412" s="27" t="s">
        <v>8</v>
      </c>
      <c r="DB412" s="27" t="s">
        <v>7</v>
      </c>
      <c r="DH412" s="27" t="s">
        <v>7</v>
      </c>
      <c r="DX412" s="27" t="s">
        <v>7</v>
      </c>
    </row>
    <row r="413" spans="1:128" x14ac:dyDescent="0.25">
      <c r="A413" s="7">
        <v>31.363887440031117</v>
      </c>
      <c r="B413"/>
      <c r="C413"/>
      <c r="D413"/>
      <c r="E413"/>
      <c r="G413" s="27" t="s">
        <v>8</v>
      </c>
      <c r="H413" s="27" t="s">
        <v>7</v>
      </c>
      <c r="M413" s="27" t="s">
        <v>8</v>
      </c>
      <c r="BW413" s="27" t="s">
        <v>8</v>
      </c>
      <c r="BX413" s="27" t="s">
        <v>7</v>
      </c>
      <c r="CA413" s="27" t="s">
        <v>8</v>
      </c>
      <c r="CB413" s="27" t="s">
        <v>7</v>
      </c>
      <c r="CE413" s="27" t="s">
        <v>8</v>
      </c>
      <c r="CF413" s="27" t="s">
        <v>7</v>
      </c>
      <c r="CG413" s="27" t="s">
        <v>8</v>
      </c>
      <c r="CH413" s="27" t="s">
        <v>7</v>
      </c>
      <c r="CI413" s="27" t="s">
        <v>8</v>
      </c>
      <c r="CJ413" s="27" t="s">
        <v>7</v>
      </c>
      <c r="DX413" s="27" t="s">
        <v>7</v>
      </c>
    </row>
    <row r="414" spans="1:128" x14ac:dyDescent="0.25">
      <c r="A414" s="7">
        <v>30.748909254932467</v>
      </c>
      <c r="B414"/>
      <c r="C414"/>
      <c r="D414"/>
      <c r="E414"/>
      <c r="G414" s="27" t="s">
        <v>8</v>
      </c>
      <c r="H414" s="27" t="s">
        <v>7</v>
      </c>
      <c r="M414" s="27" t="s">
        <v>8</v>
      </c>
      <c r="N414" s="27" t="s">
        <v>7</v>
      </c>
      <c r="BW414" s="27" t="s">
        <v>8</v>
      </c>
      <c r="BX414" s="27" t="s">
        <v>7</v>
      </c>
      <c r="CA414" s="27" t="s">
        <v>8</v>
      </c>
      <c r="CB414" s="27" t="s">
        <v>7</v>
      </c>
      <c r="CE414" s="27" t="s">
        <v>8</v>
      </c>
      <c r="CF414" s="27" t="s">
        <v>7</v>
      </c>
      <c r="CG414" s="27" t="s">
        <v>8</v>
      </c>
      <c r="CH414" s="27" t="s">
        <v>7</v>
      </c>
      <c r="CI414" s="27" t="s">
        <v>8</v>
      </c>
      <c r="DX414" s="27" t="s">
        <v>7</v>
      </c>
    </row>
    <row r="415" spans="1:128" x14ac:dyDescent="0.25">
      <c r="A415" s="7">
        <v>30.145989465620065</v>
      </c>
      <c r="B415"/>
      <c r="C415"/>
      <c r="D415"/>
      <c r="E415"/>
      <c r="G415" s="27" t="s">
        <v>8</v>
      </c>
      <c r="H415" s="27" t="s">
        <v>7</v>
      </c>
      <c r="M415" s="27" t="s">
        <v>8</v>
      </c>
      <c r="N415" s="27" t="s">
        <v>7</v>
      </c>
      <c r="BW415" s="27" t="s">
        <v>8</v>
      </c>
      <c r="BX415" s="27" t="s">
        <v>7</v>
      </c>
      <c r="CA415" s="27" t="s">
        <v>8</v>
      </c>
      <c r="CB415" s="27" t="s">
        <v>7</v>
      </c>
      <c r="CE415" s="27" t="s">
        <v>8</v>
      </c>
      <c r="CF415" s="27" t="s">
        <v>7</v>
      </c>
      <c r="CG415" s="27" t="s">
        <v>8</v>
      </c>
      <c r="CH415" s="27" t="s">
        <v>7</v>
      </c>
      <c r="CI415" s="27" t="s">
        <v>8</v>
      </c>
      <c r="DX415" s="27" t="s">
        <v>7</v>
      </c>
    </row>
    <row r="416" spans="1:128" x14ac:dyDescent="0.25">
      <c r="A416" s="7">
        <v>29.55489163296085</v>
      </c>
      <c r="B416"/>
      <c r="C416"/>
      <c r="D416"/>
      <c r="E416"/>
      <c r="G416" s="27" t="s">
        <v>8</v>
      </c>
      <c r="H416" s="27" t="s">
        <v>7</v>
      </c>
      <c r="M416" s="27" t="s">
        <v>8</v>
      </c>
      <c r="N416" s="27" t="s">
        <v>7</v>
      </c>
      <c r="BW416" s="27" t="s">
        <v>8</v>
      </c>
      <c r="BX416" s="27" t="s">
        <v>7</v>
      </c>
      <c r="CA416" s="27" t="s">
        <v>8</v>
      </c>
      <c r="CB416" s="27" t="s">
        <v>7</v>
      </c>
      <c r="CE416" s="27" t="s">
        <v>8</v>
      </c>
      <c r="CF416" s="27" t="s">
        <v>7</v>
      </c>
      <c r="CG416" s="27" t="s">
        <v>8</v>
      </c>
      <c r="CH416" s="27" t="s">
        <v>7</v>
      </c>
      <c r="CI416" s="27" t="s">
        <v>8</v>
      </c>
      <c r="DX416" s="27" t="s">
        <v>7</v>
      </c>
    </row>
    <row r="417" spans="1:132" x14ac:dyDescent="0.25">
      <c r="A417" s="7">
        <v>28.975383953883185</v>
      </c>
      <c r="B417"/>
      <c r="C417"/>
      <c r="D417"/>
      <c r="E417"/>
      <c r="G417" s="27" t="s">
        <v>8</v>
      </c>
      <c r="H417" s="27" t="s">
        <v>7</v>
      </c>
      <c r="M417" s="27" t="s">
        <v>8</v>
      </c>
      <c r="N417" s="27" t="s">
        <v>7</v>
      </c>
      <c r="BW417" s="27" t="s">
        <v>8</v>
      </c>
      <c r="BX417" s="27" t="s">
        <v>7</v>
      </c>
      <c r="CA417" s="27" t="s">
        <v>8</v>
      </c>
      <c r="CB417" s="27" t="s">
        <v>7</v>
      </c>
      <c r="CE417" s="27" t="s">
        <v>8</v>
      </c>
      <c r="CF417" s="27" t="s">
        <v>7</v>
      </c>
      <c r="CG417" s="27" t="s">
        <v>8</v>
      </c>
      <c r="CH417" s="27" t="s">
        <v>7</v>
      </c>
      <c r="CI417" s="27" t="s">
        <v>8</v>
      </c>
      <c r="DX417" s="27" t="s">
        <v>7</v>
      </c>
    </row>
    <row r="418" spans="1:132" x14ac:dyDescent="0.25">
      <c r="A418" s="7">
        <v>28.407239170473709</v>
      </c>
      <c r="B418"/>
      <c r="C418"/>
      <c r="D418"/>
      <c r="E418"/>
      <c r="G418" s="27" t="s">
        <v>8</v>
      </c>
      <c r="H418" s="27" t="s">
        <v>7</v>
      </c>
      <c r="M418" s="27" t="s">
        <v>8</v>
      </c>
      <c r="N418" s="27" t="s">
        <v>7</v>
      </c>
      <c r="BW418" s="27" t="s">
        <v>8</v>
      </c>
      <c r="BX418" s="27" t="s">
        <v>7</v>
      </c>
      <c r="CA418" s="27" t="s">
        <v>8</v>
      </c>
      <c r="CB418" s="27" t="s">
        <v>7</v>
      </c>
      <c r="CE418" s="27" t="s">
        <v>8</v>
      </c>
      <c r="CF418" s="27" t="s">
        <v>7</v>
      </c>
      <c r="CG418" s="27" t="s">
        <v>8</v>
      </c>
      <c r="CH418" s="27" t="s">
        <v>7</v>
      </c>
      <c r="DX418" s="27" t="s">
        <v>7</v>
      </c>
    </row>
    <row r="419" spans="1:132" x14ac:dyDescent="0.25">
      <c r="A419" s="7">
        <v>27.850234480856578</v>
      </c>
      <c r="B419"/>
      <c r="C419"/>
      <c r="D419"/>
      <c r="E419" t="s">
        <v>8</v>
      </c>
      <c r="G419" s="27" t="s">
        <v>8</v>
      </c>
      <c r="H419" s="27" t="s">
        <v>7</v>
      </c>
      <c r="I419" s="27" t="s">
        <v>8</v>
      </c>
      <c r="K419" s="27" t="s">
        <v>8</v>
      </c>
      <c r="M419" s="27" t="s">
        <v>8</v>
      </c>
      <c r="N419" s="27" t="s">
        <v>7</v>
      </c>
      <c r="BW419" s="27" t="s">
        <v>8</v>
      </c>
      <c r="BX419" s="27" t="s">
        <v>7</v>
      </c>
      <c r="CA419" s="27" t="s">
        <v>8</v>
      </c>
      <c r="CB419" s="27" t="s">
        <v>7</v>
      </c>
      <c r="CE419" s="27" t="s">
        <v>8</v>
      </c>
      <c r="CF419" s="27" t="s">
        <v>7</v>
      </c>
      <c r="CG419" s="27" t="s">
        <v>8</v>
      </c>
      <c r="DX419" s="27" t="s">
        <v>7</v>
      </c>
    </row>
    <row r="420" spans="1:132" x14ac:dyDescent="0.25">
      <c r="A420" s="7">
        <v>27.304151451820175</v>
      </c>
      <c r="B420"/>
      <c r="C420"/>
      <c r="D420"/>
      <c r="E420" t="s">
        <v>8</v>
      </c>
      <c r="F420" s="27" t="s">
        <v>7</v>
      </c>
      <c r="G420" s="27" t="s">
        <v>8</v>
      </c>
      <c r="H420" s="27" t="s">
        <v>7</v>
      </c>
      <c r="I420" s="27" t="s">
        <v>8</v>
      </c>
      <c r="J420" s="27" t="s">
        <v>7</v>
      </c>
      <c r="K420" s="27" t="s">
        <v>8</v>
      </c>
      <c r="L420" s="27" t="s">
        <v>7</v>
      </c>
      <c r="M420" s="27" t="s">
        <v>8</v>
      </c>
      <c r="N420" s="27" t="s">
        <v>7</v>
      </c>
      <c r="BW420" s="27" t="s">
        <v>8</v>
      </c>
      <c r="BX420" s="27" t="s">
        <v>7</v>
      </c>
      <c r="CA420" s="27" t="s">
        <v>8</v>
      </c>
      <c r="CB420" s="27" t="s">
        <v>7</v>
      </c>
      <c r="CE420" s="27" t="s">
        <v>8</v>
      </c>
      <c r="CF420" s="27" t="s">
        <v>7</v>
      </c>
      <c r="CG420" s="27" t="s">
        <v>8</v>
      </c>
      <c r="DX420" s="27" t="s">
        <v>7</v>
      </c>
    </row>
    <row r="421" spans="1:132" x14ac:dyDescent="0.25">
      <c r="A421" s="7">
        <v>26.768775933157034</v>
      </c>
      <c r="B421"/>
      <c r="C421"/>
      <c r="D421"/>
      <c r="E421" t="s">
        <v>8</v>
      </c>
      <c r="F421" s="27" t="s">
        <v>7</v>
      </c>
      <c r="G421" s="27" t="s">
        <v>8</v>
      </c>
      <c r="H421" s="27" t="s">
        <v>7</v>
      </c>
      <c r="I421" s="27" t="s">
        <v>8</v>
      </c>
      <c r="J421" s="27" t="s">
        <v>7</v>
      </c>
      <c r="K421" s="27" t="s">
        <v>8</v>
      </c>
      <c r="L421" s="27" t="s">
        <v>7</v>
      </c>
      <c r="M421" s="27" t="s">
        <v>8</v>
      </c>
      <c r="N421" s="27" t="s">
        <v>7</v>
      </c>
      <c r="BW421" s="27" t="s">
        <v>8</v>
      </c>
      <c r="BX421" s="27" t="s">
        <v>7</v>
      </c>
      <c r="CA421" s="27" t="s">
        <v>8</v>
      </c>
      <c r="CB421" s="27" t="s">
        <v>7</v>
      </c>
      <c r="CE421" s="27" t="s">
        <v>8</v>
      </c>
      <c r="CF421" s="27" t="s">
        <v>7</v>
      </c>
      <c r="CG421" s="27" t="s">
        <v>8</v>
      </c>
      <c r="DX421" s="27" t="s">
        <v>7</v>
      </c>
    </row>
    <row r="422" spans="1:132" x14ac:dyDescent="0.25">
      <c r="A422" s="7">
        <v>26.243897973683367</v>
      </c>
      <c r="B422"/>
      <c r="C422"/>
      <c r="D422"/>
      <c r="E422" t="s">
        <v>8</v>
      </c>
      <c r="F422" s="27" t="s">
        <v>7</v>
      </c>
      <c r="G422" s="27" t="s">
        <v>8</v>
      </c>
      <c r="H422" s="27" t="s">
        <v>7</v>
      </c>
      <c r="I422" s="27" t="s">
        <v>8</v>
      </c>
      <c r="J422" s="27" t="s">
        <v>7</v>
      </c>
      <c r="K422" s="27" t="s">
        <v>8</v>
      </c>
      <c r="L422" s="27" t="s">
        <v>7</v>
      </c>
      <c r="M422" s="27" t="s">
        <v>8</v>
      </c>
      <c r="N422" s="27" t="s">
        <v>7</v>
      </c>
      <c r="BW422" s="27" t="s">
        <v>8</v>
      </c>
      <c r="BX422" s="27" t="s">
        <v>7</v>
      </c>
      <c r="CA422" s="27" t="s">
        <v>8</v>
      </c>
      <c r="CB422" s="27" t="s">
        <v>7</v>
      </c>
      <c r="CC422" s="27" t="s">
        <v>8</v>
      </c>
      <c r="CE422" s="27" t="s">
        <v>8</v>
      </c>
      <c r="CF422" s="27" t="s">
        <v>7</v>
      </c>
      <c r="DX422" s="27" t="s">
        <v>7</v>
      </c>
      <c r="DY422" s="27" t="s">
        <v>8</v>
      </c>
      <c r="EA422" s="27" t="s">
        <v>8</v>
      </c>
    </row>
    <row r="423" spans="1:132" x14ac:dyDescent="0.25">
      <c r="A423" s="7">
        <v>25.729311738905263</v>
      </c>
      <c r="B423"/>
      <c r="C423"/>
      <c r="D423"/>
      <c r="E423" t="s">
        <v>8</v>
      </c>
      <c r="F423" s="27" t="s">
        <v>7</v>
      </c>
      <c r="G423" s="27" t="s">
        <v>8</v>
      </c>
      <c r="H423" s="27" t="s">
        <v>7</v>
      </c>
      <c r="I423" s="27" t="s">
        <v>8</v>
      </c>
      <c r="J423" s="27" t="s">
        <v>7</v>
      </c>
      <c r="K423" s="27" t="s">
        <v>8</v>
      </c>
      <c r="L423" s="27" t="s">
        <v>7</v>
      </c>
      <c r="M423" s="27" t="s">
        <v>8</v>
      </c>
      <c r="N423" s="27" t="s">
        <v>7</v>
      </c>
      <c r="BW423" s="27" t="s">
        <v>8</v>
      </c>
      <c r="BX423" s="27" t="s">
        <v>7</v>
      </c>
      <c r="CA423" s="27" t="s">
        <v>8</v>
      </c>
      <c r="CB423" s="27" t="s">
        <v>7</v>
      </c>
      <c r="CC423" s="27" t="s">
        <v>8</v>
      </c>
      <c r="CD423" s="27" t="s">
        <v>7</v>
      </c>
      <c r="CE423" s="27" t="s">
        <v>8</v>
      </c>
      <c r="DX423" s="27" t="s">
        <v>7</v>
      </c>
      <c r="DY423" s="27" t="s">
        <v>8</v>
      </c>
      <c r="DZ423" s="27" t="s">
        <v>7</v>
      </c>
      <c r="EA423" s="27" t="s">
        <v>8</v>
      </c>
      <c r="EB423" s="27" t="s">
        <v>7</v>
      </c>
    </row>
    <row r="424" spans="1:132" x14ac:dyDescent="0.25">
      <c r="A424" s="7">
        <v>25.224815430299277</v>
      </c>
      <c r="B424"/>
      <c r="C424"/>
      <c r="D424"/>
      <c r="E424" t="s">
        <v>8</v>
      </c>
      <c r="F424" s="27" t="s">
        <v>7</v>
      </c>
      <c r="G424" s="27" t="s">
        <v>8</v>
      </c>
      <c r="H424" s="27" t="s">
        <v>7</v>
      </c>
      <c r="I424" s="27" t="s">
        <v>8</v>
      </c>
      <c r="J424" s="27" t="s">
        <v>7</v>
      </c>
      <c r="L424" s="27" t="s">
        <v>7</v>
      </c>
      <c r="M424" s="27" t="s">
        <v>8</v>
      </c>
      <c r="N424" s="27" t="s">
        <v>7</v>
      </c>
      <c r="BW424" s="27" t="s">
        <v>8</v>
      </c>
      <c r="BX424" s="27" t="s">
        <v>7</v>
      </c>
      <c r="CA424" s="27" t="s">
        <v>8</v>
      </c>
      <c r="CB424" s="27" t="s">
        <v>7</v>
      </c>
      <c r="CC424" s="27" t="s">
        <v>8</v>
      </c>
      <c r="CD424" s="27" t="s">
        <v>7</v>
      </c>
      <c r="CE424" s="27" t="s">
        <v>8</v>
      </c>
      <c r="DX424" s="27" t="s">
        <v>7</v>
      </c>
      <c r="DY424" s="27" t="s">
        <v>8</v>
      </c>
      <c r="DZ424" s="27" t="s">
        <v>7</v>
      </c>
      <c r="EA424" s="27" t="s">
        <v>8</v>
      </c>
      <c r="EB424" s="27" t="s">
        <v>7</v>
      </c>
    </row>
    <row r="425" spans="1:132" x14ac:dyDescent="0.25">
      <c r="A425" s="7">
        <v>24.73021120617576</v>
      </c>
      <c r="B425"/>
      <c r="C425"/>
      <c r="D425"/>
      <c r="E425" t="s">
        <v>8</v>
      </c>
      <c r="F425" s="27" t="s">
        <v>7</v>
      </c>
      <c r="G425" s="27" t="s">
        <v>8</v>
      </c>
      <c r="H425" s="27" t="s">
        <v>7</v>
      </c>
      <c r="I425" s="27" t="s">
        <v>8</v>
      </c>
      <c r="L425" s="27" t="s">
        <v>7</v>
      </c>
      <c r="M425" s="27" t="s">
        <v>8</v>
      </c>
      <c r="N425" s="27" t="s">
        <v>7</v>
      </c>
      <c r="BA425" s="27" t="s">
        <v>8</v>
      </c>
      <c r="BK425" s="27" t="s">
        <v>8</v>
      </c>
      <c r="BW425" s="27" t="s">
        <v>8</v>
      </c>
      <c r="BX425" s="27" t="s">
        <v>7</v>
      </c>
      <c r="CA425" s="27" t="s">
        <v>8</v>
      </c>
      <c r="CB425" s="27" t="s">
        <v>7</v>
      </c>
      <c r="CC425" s="27" t="s">
        <v>8</v>
      </c>
      <c r="CD425" s="27" t="s">
        <v>7</v>
      </c>
      <c r="CE425" s="27" t="s">
        <v>8</v>
      </c>
      <c r="DX425" s="27" t="s">
        <v>7</v>
      </c>
      <c r="DY425" s="27" t="s">
        <v>8</v>
      </c>
      <c r="DZ425" s="27" t="s">
        <v>7</v>
      </c>
      <c r="EA425" s="27" t="s">
        <v>8</v>
      </c>
      <c r="EB425" s="27" t="s">
        <v>7</v>
      </c>
    </row>
    <row r="426" spans="1:132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G426" s="27" t="s">
        <v>8</v>
      </c>
      <c r="H426" s="27" t="s">
        <v>7</v>
      </c>
      <c r="L426" s="27" t="s">
        <v>7</v>
      </c>
      <c r="M426" s="27" t="s">
        <v>8</v>
      </c>
      <c r="N426" s="27" t="s">
        <v>7</v>
      </c>
      <c r="AU426" s="27" t="s">
        <v>8</v>
      </c>
      <c r="BA426" s="27" t="s">
        <v>8</v>
      </c>
      <c r="BB426" s="27" t="s">
        <v>7</v>
      </c>
      <c r="BK426" s="27" t="s">
        <v>8</v>
      </c>
      <c r="BL426" s="27" t="s">
        <v>7</v>
      </c>
      <c r="BW426" s="27" t="s">
        <v>8</v>
      </c>
      <c r="BX426" s="27" t="s">
        <v>7</v>
      </c>
      <c r="CA426" s="27" t="s">
        <v>8</v>
      </c>
      <c r="CB426" s="27" t="s">
        <v>7</v>
      </c>
      <c r="CC426" s="27" t="s">
        <v>8</v>
      </c>
      <c r="CD426" s="27" t="s">
        <v>7</v>
      </c>
      <c r="CE426" s="27" t="s">
        <v>8</v>
      </c>
      <c r="DX426" s="27" t="s">
        <v>7</v>
      </c>
      <c r="DY426" s="27" t="s">
        <v>8</v>
      </c>
      <c r="DZ426" s="27" t="s">
        <v>7</v>
      </c>
      <c r="EA426" s="27" t="s">
        <v>8</v>
      </c>
      <c r="EB426" s="27" t="s">
        <v>7</v>
      </c>
    </row>
    <row r="427" spans="1:132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G427" s="27" t="s">
        <v>8</v>
      </c>
      <c r="L427" s="27" t="s">
        <v>7</v>
      </c>
      <c r="M427" s="27" t="s">
        <v>8</v>
      </c>
      <c r="N427" s="27" t="s">
        <v>7</v>
      </c>
      <c r="AU427" s="27" t="s">
        <v>8</v>
      </c>
      <c r="AV427" s="27" t="s">
        <v>7</v>
      </c>
      <c r="BA427" s="27" t="s">
        <v>8</v>
      </c>
      <c r="BB427" s="27" t="s">
        <v>7</v>
      </c>
      <c r="BK427" s="27" t="s">
        <v>8</v>
      </c>
      <c r="BL427" s="27" t="s">
        <v>7</v>
      </c>
      <c r="BW427" s="27" t="s">
        <v>8</v>
      </c>
      <c r="BX427" s="27" t="s">
        <v>7</v>
      </c>
      <c r="CA427" s="27" t="s">
        <v>8</v>
      </c>
      <c r="CB427" s="27" t="s">
        <v>7</v>
      </c>
      <c r="CC427" s="27" t="s">
        <v>8</v>
      </c>
      <c r="CD427" s="27" t="s">
        <v>7</v>
      </c>
      <c r="CE427" s="27" t="s">
        <v>8</v>
      </c>
      <c r="DX427" s="27" t="s">
        <v>7</v>
      </c>
      <c r="DY427" s="27" t="s">
        <v>8</v>
      </c>
      <c r="DZ427" s="27" t="s">
        <v>7</v>
      </c>
      <c r="EA427" s="27" t="s">
        <v>8</v>
      </c>
      <c r="EB427" s="27" t="s">
        <v>7</v>
      </c>
    </row>
    <row r="428" spans="1:132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G428" s="27" t="s">
        <v>8</v>
      </c>
      <c r="L428" s="27" t="s">
        <v>7</v>
      </c>
      <c r="M428" s="27" t="s">
        <v>8</v>
      </c>
      <c r="N428" s="27" t="s">
        <v>7</v>
      </c>
      <c r="AU428" s="27" t="s">
        <v>8</v>
      </c>
      <c r="AV428" s="27" t="s">
        <v>7</v>
      </c>
      <c r="BA428" s="27" t="s">
        <v>8</v>
      </c>
      <c r="BB428" s="27" t="s">
        <v>7</v>
      </c>
      <c r="BK428" s="27" t="s">
        <v>8</v>
      </c>
      <c r="BL428" s="27" t="s">
        <v>7</v>
      </c>
      <c r="BW428" s="27" t="s">
        <v>8</v>
      </c>
      <c r="BX428" s="27" t="s">
        <v>7</v>
      </c>
      <c r="BY428" s="27" t="s">
        <v>8</v>
      </c>
      <c r="CA428" s="27" t="s">
        <v>8</v>
      </c>
      <c r="CB428" s="27" t="s">
        <v>7</v>
      </c>
      <c r="CC428" s="27" t="s">
        <v>8</v>
      </c>
      <c r="CD428" s="27" t="s">
        <v>7</v>
      </c>
      <c r="CE428" s="27" t="s">
        <v>8</v>
      </c>
      <c r="DX428" s="27" t="s">
        <v>7</v>
      </c>
      <c r="DY428" s="27" t="s">
        <v>8</v>
      </c>
      <c r="DZ428" s="27" t="s">
        <v>7</v>
      </c>
      <c r="EA428" s="27" t="s">
        <v>8</v>
      </c>
    </row>
    <row r="429" spans="1:132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G429" s="27" t="s">
        <v>8</v>
      </c>
      <c r="L429" s="27" t="s">
        <v>7</v>
      </c>
      <c r="M429" s="27" t="s">
        <v>8</v>
      </c>
      <c r="N429" s="27" t="s">
        <v>7</v>
      </c>
      <c r="Q429" s="27" t="s">
        <v>8</v>
      </c>
      <c r="AU429" s="27" t="s">
        <v>8</v>
      </c>
      <c r="AV429" s="27" t="s">
        <v>7</v>
      </c>
      <c r="BA429" s="27" t="s">
        <v>8</v>
      </c>
      <c r="BB429" s="27" t="s">
        <v>7</v>
      </c>
      <c r="BK429" s="27" t="s">
        <v>8</v>
      </c>
      <c r="BL429" s="27" t="s">
        <v>7</v>
      </c>
      <c r="BW429" s="27" t="s">
        <v>8</v>
      </c>
      <c r="BX429" s="27" t="s">
        <v>7</v>
      </c>
      <c r="BY429" s="27" t="s">
        <v>8</v>
      </c>
      <c r="BZ429" s="27" t="s">
        <v>7</v>
      </c>
      <c r="CA429" s="27" t="s">
        <v>8</v>
      </c>
      <c r="CB429" s="27" t="s">
        <v>7</v>
      </c>
      <c r="CD429" s="27" t="s">
        <v>7</v>
      </c>
      <c r="CE429" s="27" t="s">
        <v>8</v>
      </c>
      <c r="DX429" s="27" t="s">
        <v>7</v>
      </c>
      <c r="DY429" s="27" t="s">
        <v>8</v>
      </c>
      <c r="DZ429" s="27" t="s">
        <v>7</v>
      </c>
      <c r="EA429" s="27" t="s">
        <v>8</v>
      </c>
    </row>
    <row r="430" spans="1:132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L430" s="27" t="s">
        <v>7</v>
      </c>
      <c r="M430" s="27" t="s">
        <v>8</v>
      </c>
      <c r="N430" s="27" t="s">
        <v>7</v>
      </c>
      <c r="Q430" s="27" t="s">
        <v>8</v>
      </c>
      <c r="R430" s="27" t="s">
        <v>7</v>
      </c>
      <c r="AG430" s="27" t="s">
        <v>8</v>
      </c>
      <c r="AU430" s="27" t="s">
        <v>8</v>
      </c>
      <c r="AV430" s="27" t="s">
        <v>7</v>
      </c>
      <c r="BA430" s="27" t="s">
        <v>8</v>
      </c>
      <c r="BB430" s="27" t="s">
        <v>7</v>
      </c>
      <c r="BK430" s="27" t="s">
        <v>8</v>
      </c>
      <c r="BL430" s="27" t="s">
        <v>7</v>
      </c>
      <c r="BW430" s="27" t="s">
        <v>8</v>
      </c>
      <c r="BX430" s="27" t="s">
        <v>7</v>
      </c>
      <c r="BY430" s="27" t="s">
        <v>8</v>
      </c>
      <c r="BZ430" s="27" t="s">
        <v>7</v>
      </c>
      <c r="CA430" s="27" t="s">
        <v>8</v>
      </c>
      <c r="CD430" s="27" t="s">
        <v>7</v>
      </c>
      <c r="DX430" s="27" t="s">
        <v>7</v>
      </c>
      <c r="DY430" s="27" t="s">
        <v>8</v>
      </c>
      <c r="DZ430" s="27" t="s">
        <v>7</v>
      </c>
      <c r="EA430" s="27" t="s">
        <v>8</v>
      </c>
    </row>
    <row r="431" spans="1:132" x14ac:dyDescent="0.25">
      <c r="A431" s="7">
        <v>21.959719826504344</v>
      </c>
      <c r="B431"/>
      <c r="C431"/>
      <c r="D431"/>
      <c r="E431" t="s">
        <v>8</v>
      </c>
      <c r="L431" s="27" t="s">
        <v>7</v>
      </c>
      <c r="M431" s="27" t="s">
        <v>8</v>
      </c>
      <c r="N431" s="27" t="s">
        <v>7</v>
      </c>
      <c r="Q431" s="27" t="s">
        <v>8</v>
      </c>
      <c r="R431" s="27" t="s">
        <v>7</v>
      </c>
      <c r="AG431" s="27" t="s">
        <v>8</v>
      </c>
      <c r="AH431" s="27" t="s">
        <v>7</v>
      </c>
      <c r="AU431" s="27" t="s">
        <v>8</v>
      </c>
      <c r="AV431" s="27" t="s">
        <v>7</v>
      </c>
      <c r="AY431" s="27" t="s">
        <v>8</v>
      </c>
      <c r="BA431" s="27" t="s">
        <v>8</v>
      </c>
      <c r="BB431" s="27" t="s">
        <v>7</v>
      </c>
      <c r="BK431" s="27" t="s">
        <v>8</v>
      </c>
      <c r="BL431" s="27" t="s">
        <v>7</v>
      </c>
      <c r="BW431" s="27" t="s">
        <v>8</v>
      </c>
      <c r="BX431" s="27" t="s">
        <v>7</v>
      </c>
      <c r="BY431" s="27" t="s">
        <v>8</v>
      </c>
      <c r="BZ431" s="27" t="s">
        <v>7</v>
      </c>
      <c r="CA431" s="27" t="s">
        <v>8</v>
      </c>
      <c r="DX431" s="27" t="s">
        <v>7</v>
      </c>
      <c r="DY431" s="27" t="s">
        <v>8</v>
      </c>
      <c r="DZ431" s="27" t="s">
        <v>7</v>
      </c>
      <c r="EA431" s="27" t="s">
        <v>8</v>
      </c>
    </row>
    <row r="432" spans="1:132" x14ac:dyDescent="0.25">
      <c r="A432" s="7">
        <v>21.52913708480818</v>
      </c>
      <c r="B432"/>
      <c r="C432"/>
      <c r="D432"/>
      <c r="E432" t="s">
        <v>8</v>
      </c>
      <c r="L432" s="27" t="s">
        <v>7</v>
      </c>
      <c r="M432" s="27" t="s">
        <v>8</v>
      </c>
      <c r="N432" s="27" t="s">
        <v>7</v>
      </c>
      <c r="Q432" s="27" t="s">
        <v>8</v>
      </c>
      <c r="R432" s="27" t="s">
        <v>7</v>
      </c>
      <c r="AG432" s="27" t="s">
        <v>8</v>
      </c>
      <c r="AH432" s="27" t="s">
        <v>7</v>
      </c>
      <c r="AM432" s="27" t="s">
        <v>8</v>
      </c>
      <c r="AU432" s="27" t="s">
        <v>8</v>
      </c>
      <c r="AV432" s="27" t="s">
        <v>7</v>
      </c>
      <c r="AY432" s="27" t="s">
        <v>8</v>
      </c>
      <c r="AZ432" s="27" t="s">
        <v>7</v>
      </c>
      <c r="BA432" s="27" t="s">
        <v>8</v>
      </c>
      <c r="BB432" s="27" t="s">
        <v>7</v>
      </c>
      <c r="BK432" s="27" t="s">
        <v>8</v>
      </c>
      <c r="BL432" s="27" t="s">
        <v>7</v>
      </c>
      <c r="BW432" s="27" t="s">
        <v>8</v>
      </c>
      <c r="BX432" s="27" t="s">
        <v>7</v>
      </c>
      <c r="BY432" s="27" t="s">
        <v>8</v>
      </c>
      <c r="BZ432" s="27" t="s">
        <v>7</v>
      </c>
      <c r="CA432" s="27" t="s">
        <v>8</v>
      </c>
      <c r="DX432" s="27" t="s">
        <v>7</v>
      </c>
      <c r="DY432" s="27" t="s">
        <v>8</v>
      </c>
      <c r="DZ432" s="27" t="s">
        <v>7</v>
      </c>
      <c r="EA432" s="27" t="s">
        <v>8</v>
      </c>
    </row>
    <row r="433" spans="1:131" x14ac:dyDescent="0.25">
      <c r="A433" s="7">
        <v>21.106997141968804</v>
      </c>
      <c r="B433"/>
      <c r="C433"/>
      <c r="D433"/>
      <c r="E433" t="s">
        <v>8</v>
      </c>
      <c r="L433" s="27" t="s">
        <v>7</v>
      </c>
      <c r="M433" s="27" t="s">
        <v>8</v>
      </c>
      <c r="N433" s="27" t="s">
        <v>7</v>
      </c>
      <c r="Q433" s="27" t="s">
        <v>8</v>
      </c>
      <c r="R433" s="27" t="s">
        <v>7</v>
      </c>
      <c r="AG433" s="27" t="s">
        <v>8</v>
      </c>
      <c r="AH433" s="27" t="s">
        <v>7</v>
      </c>
      <c r="AM433" s="27" t="s">
        <v>8</v>
      </c>
      <c r="AN433" s="27" t="s">
        <v>7</v>
      </c>
      <c r="AU433" s="27" t="s">
        <v>8</v>
      </c>
      <c r="AV433" s="27" t="s">
        <v>7</v>
      </c>
      <c r="AY433" s="27" t="s">
        <v>8</v>
      </c>
      <c r="AZ433" s="27" t="s">
        <v>7</v>
      </c>
      <c r="BA433" s="27" t="s">
        <v>8</v>
      </c>
      <c r="BB433" s="27" t="s">
        <v>7</v>
      </c>
      <c r="BK433" s="27" t="s">
        <v>8</v>
      </c>
      <c r="BL433" s="27" t="s">
        <v>7</v>
      </c>
      <c r="BW433" s="27" t="s">
        <v>8</v>
      </c>
      <c r="BX433" s="27" t="s">
        <v>7</v>
      </c>
      <c r="BZ433" s="27" t="s">
        <v>7</v>
      </c>
      <c r="CA433" s="27" t="s">
        <v>8</v>
      </c>
      <c r="DX433" s="27" t="s">
        <v>7</v>
      </c>
      <c r="DZ433" s="27" t="s">
        <v>7</v>
      </c>
      <c r="EA433" s="27" t="s">
        <v>8</v>
      </c>
    </row>
    <row r="434" spans="1:131" x14ac:dyDescent="0.25">
      <c r="A434" s="7">
        <v>20.693134452910591</v>
      </c>
      <c r="B434"/>
      <c r="C434"/>
      <c r="D434"/>
      <c r="E434" t="s">
        <v>8</v>
      </c>
      <c r="L434" s="27" t="s">
        <v>7</v>
      </c>
      <c r="M434" s="27" t="s">
        <v>8</v>
      </c>
      <c r="N434" s="27" t="s">
        <v>7</v>
      </c>
      <c r="O434" s="27" t="s">
        <v>8</v>
      </c>
      <c r="Q434" s="27" t="s">
        <v>8</v>
      </c>
      <c r="R434" s="27" t="s">
        <v>7</v>
      </c>
      <c r="AG434" s="27" t="s">
        <v>8</v>
      </c>
      <c r="AH434" s="27" t="s">
        <v>7</v>
      </c>
      <c r="AM434" s="27" t="s">
        <v>8</v>
      </c>
      <c r="AN434" s="27" t="s">
        <v>7</v>
      </c>
      <c r="AO434" s="27" t="s">
        <v>8</v>
      </c>
      <c r="AQ434" s="27" t="s">
        <v>8</v>
      </c>
      <c r="AS434" s="27" t="s">
        <v>8</v>
      </c>
      <c r="AU434" s="27" t="s">
        <v>8</v>
      </c>
      <c r="AV434" s="27" t="s">
        <v>7</v>
      </c>
      <c r="AW434" s="27" t="s">
        <v>8</v>
      </c>
      <c r="AY434" s="27" t="s">
        <v>8</v>
      </c>
      <c r="AZ434" s="27" t="s">
        <v>7</v>
      </c>
      <c r="BA434" s="27" t="s">
        <v>8</v>
      </c>
      <c r="BB434" s="27" t="s">
        <v>7</v>
      </c>
      <c r="BK434" s="27" t="s">
        <v>8</v>
      </c>
      <c r="BL434" s="27" t="s">
        <v>7</v>
      </c>
      <c r="BW434" s="27" t="s">
        <v>8</v>
      </c>
      <c r="BZ434" s="27" t="s">
        <v>7</v>
      </c>
      <c r="CA434" s="27" t="s">
        <v>8</v>
      </c>
      <c r="DZ434" s="27" t="s">
        <v>7</v>
      </c>
    </row>
    <row r="435" spans="1:131" x14ac:dyDescent="0.25">
      <c r="A435" s="7">
        <v>20.287386718539796</v>
      </c>
      <c r="B435"/>
      <c r="C435"/>
      <c r="D435"/>
      <c r="E435" t="s">
        <v>8</v>
      </c>
      <c r="L435" s="27" t="s">
        <v>7</v>
      </c>
      <c r="M435" s="27" t="s">
        <v>8</v>
      </c>
      <c r="N435" s="27" t="s">
        <v>7</v>
      </c>
      <c r="O435" s="27" t="s">
        <v>8</v>
      </c>
      <c r="P435" s="27" t="s">
        <v>7</v>
      </c>
      <c r="Q435" s="27" t="s">
        <v>8</v>
      </c>
      <c r="R435" s="27" t="s">
        <v>7</v>
      </c>
      <c r="AG435" s="27" t="s">
        <v>8</v>
      </c>
      <c r="AH435" s="27" t="s">
        <v>7</v>
      </c>
      <c r="AM435" s="27" t="s">
        <v>8</v>
      </c>
      <c r="AN435" s="27" t="s">
        <v>7</v>
      </c>
      <c r="AO435" s="27" t="s">
        <v>8</v>
      </c>
      <c r="AP435" s="27" t="s">
        <v>7</v>
      </c>
      <c r="AQ435" s="27" t="s">
        <v>8</v>
      </c>
      <c r="AR435" s="27" t="s">
        <v>7</v>
      </c>
      <c r="AS435" s="27" t="s">
        <v>8</v>
      </c>
      <c r="AT435" s="27" t="s">
        <v>7</v>
      </c>
      <c r="AU435" s="27" t="s">
        <v>8</v>
      </c>
      <c r="AV435" s="27" t="s">
        <v>7</v>
      </c>
      <c r="AW435" s="27" t="s">
        <v>8</v>
      </c>
      <c r="AX435" s="27" t="s">
        <v>7</v>
      </c>
      <c r="AY435" s="27" t="s">
        <v>8</v>
      </c>
      <c r="AZ435" s="27" t="s">
        <v>7</v>
      </c>
      <c r="BA435" s="27" t="s">
        <v>8</v>
      </c>
      <c r="BB435" s="27" t="s">
        <v>7</v>
      </c>
      <c r="BK435" s="27" t="s">
        <v>8</v>
      </c>
      <c r="BL435" s="27" t="s">
        <v>7</v>
      </c>
      <c r="BW435" s="27" t="s">
        <v>8</v>
      </c>
      <c r="BZ435" s="27" t="s">
        <v>7</v>
      </c>
      <c r="CA435" s="27" t="s">
        <v>8</v>
      </c>
    </row>
    <row r="436" spans="1:131" x14ac:dyDescent="0.25">
      <c r="A436" s="7">
        <v>19.889594822097838</v>
      </c>
      <c r="B436"/>
      <c r="C436"/>
      <c r="D436"/>
      <c r="E436" t="s">
        <v>8</v>
      </c>
      <c r="L436" s="27" t="s">
        <v>7</v>
      </c>
      <c r="M436" s="27" t="s">
        <v>8</v>
      </c>
      <c r="N436" s="27" t="s">
        <v>7</v>
      </c>
      <c r="O436" s="27" t="s">
        <v>8</v>
      </c>
      <c r="P436" s="27" t="s">
        <v>7</v>
      </c>
      <c r="Q436" s="27" t="s">
        <v>8</v>
      </c>
      <c r="R436" s="27" t="s">
        <v>7</v>
      </c>
      <c r="AG436" s="27" t="s">
        <v>8</v>
      </c>
      <c r="AH436" s="27" t="s">
        <v>7</v>
      </c>
      <c r="AM436" s="27" t="s">
        <v>8</v>
      </c>
      <c r="AN436" s="27" t="s">
        <v>7</v>
      </c>
      <c r="AO436" s="27" t="s">
        <v>8</v>
      </c>
      <c r="AP436" s="27" t="s">
        <v>7</v>
      </c>
      <c r="AQ436" s="27" t="s">
        <v>8</v>
      </c>
      <c r="AR436" s="27" t="s">
        <v>7</v>
      </c>
      <c r="AS436" s="27" t="s">
        <v>8</v>
      </c>
      <c r="AT436" s="27" t="s">
        <v>7</v>
      </c>
      <c r="AU436" s="27" t="s">
        <v>8</v>
      </c>
      <c r="AV436" s="27" t="s">
        <v>7</v>
      </c>
      <c r="AW436" s="27" t="s">
        <v>8</v>
      </c>
      <c r="AX436" s="27" t="s">
        <v>7</v>
      </c>
      <c r="AY436" s="27" t="s">
        <v>8</v>
      </c>
      <c r="AZ436" s="27" t="s">
        <v>7</v>
      </c>
      <c r="BB436" s="27" t="s">
        <v>7</v>
      </c>
      <c r="BK436" s="27" t="s">
        <v>8</v>
      </c>
      <c r="BL436" s="27" t="s">
        <v>7</v>
      </c>
      <c r="BW436" s="27" t="s">
        <v>8</v>
      </c>
      <c r="BZ436" s="27" t="s">
        <v>7</v>
      </c>
    </row>
    <row r="437" spans="1:131" x14ac:dyDescent="0.25">
      <c r="A437" s="7">
        <v>19.499602766762585</v>
      </c>
      <c r="B437"/>
      <c r="C437"/>
      <c r="D437"/>
      <c r="E437" t="s">
        <v>8</v>
      </c>
      <c r="L437" s="27" t="s">
        <v>7</v>
      </c>
      <c r="N437" s="27" t="s">
        <v>7</v>
      </c>
      <c r="O437" s="27" t="s">
        <v>8</v>
      </c>
      <c r="P437" s="27" t="s">
        <v>7</v>
      </c>
      <c r="Q437" s="27" t="s">
        <v>8</v>
      </c>
      <c r="R437" s="27" t="s">
        <v>7</v>
      </c>
      <c r="AG437" s="27" t="s">
        <v>8</v>
      </c>
      <c r="AH437" s="27" t="s">
        <v>7</v>
      </c>
      <c r="AM437" s="27" t="s">
        <v>8</v>
      </c>
      <c r="AN437" s="27" t="s">
        <v>7</v>
      </c>
      <c r="AO437" s="27" t="s">
        <v>8</v>
      </c>
      <c r="AP437" s="27" t="s">
        <v>7</v>
      </c>
      <c r="AQ437" s="27" t="s">
        <v>8</v>
      </c>
      <c r="AR437" s="27" t="s">
        <v>7</v>
      </c>
      <c r="AT437" s="27" t="s">
        <v>7</v>
      </c>
      <c r="AU437" s="27" t="s">
        <v>8</v>
      </c>
      <c r="AV437" s="27" t="s">
        <v>7</v>
      </c>
      <c r="AW437" s="27" t="s">
        <v>8</v>
      </c>
      <c r="AX437" s="27" t="s">
        <v>7</v>
      </c>
      <c r="AY437" s="27" t="s">
        <v>8</v>
      </c>
      <c r="BB437" s="27" t="s">
        <v>7</v>
      </c>
      <c r="BC437" s="27" t="s">
        <v>8</v>
      </c>
      <c r="BG437" s="27" t="s">
        <v>8</v>
      </c>
      <c r="BI437" s="27" t="s">
        <v>8</v>
      </c>
      <c r="BK437" s="27" t="s">
        <v>8</v>
      </c>
      <c r="BL437" s="27" t="s">
        <v>7</v>
      </c>
      <c r="BW437" s="27" t="s">
        <v>8</v>
      </c>
    </row>
    <row r="438" spans="1:131" x14ac:dyDescent="0.25">
      <c r="A438" s="7">
        <v>19.117257614473122</v>
      </c>
      <c r="B438"/>
      <c r="C438"/>
      <c r="D438"/>
      <c r="E438" t="s">
        <v>8</v>
      </c>
      <c r="N438" s="27" t="s">
        <v>7</v>
      </c>
      <c r="O438" s="27" t="s">
        <v>8</v>
      </c>
      <c r="P438" s="27" t="s">
        <v>7</v>
      </c>
      <c r="R438" s="27" t="s">
        <v>7</v>
      </c>
      <c r="AG438" s="27" t="s">
        <v>8</v>
      </c>
      <c r="AH438" s="27" t="s">
        <v>7</v>
      </c>
      <c r="AM438" s="27" t="s">
        <v>8</v>
      </c>
      <c r="AN438" s="27" t="s">
        <v>7</v>
      </c>
      <c r="AO438" s="27" t="s">
        <v>8</v>
      </c>
      <c r="AP438" s="27" t="s">
        <v>7</v>
      </c>
      <c r="AQ438" s="27" t="s">
        <v>8</v>
      </c>
      <c r="AT438" s="27" t="s">
        <v>7</v>
      </c>
      <c r="AU438" s="27" t="s">
        <v>8</v>
      </c>
      <c r="AV438" s="27" t="s">
        <v>7</v>
      </c>
      <c r="AW438" s="27" t="s">
        <v>8</v>
      </c>
      <c r="AX438" s="27" t="s">
        <v>7</v>
      </c>
      <c r="BB438" s="27" t="s">
        <v>7</v>
      </c>
      <c r="BC438" s="27" t="s">
        <v>8</v>
      </c>
      <c r="BD438" s="27" t="s">
        <v>7</v>
      </c>
      <c r="BE438" s="27" t="s">
        <v>8</v>
      </c>
      <c r="BG438" s="27" t="s">
        <v>8</v>
      </c>
      <c r="BH438" s="27" t="s">
        <v>7</v>
      </c>
      <c r="BI438" s="27" t="s">
        <v>8</v>
      </c>
      <c r="BJ438" s="27" t="s">
        <v>7</v>
      </c>
      <c r="BK438" s="27" t="s">
        <v>8</v>
      </c>
      <c r="BL438" s="27" t="s">
        <v>7</v>
      </c>
      <c r="BU438" s="27" t="s">
        <v>8</v>
      </c>
      <c r="BW438" s="27" t="s">
        <v>8</v>
      </c>
    </row>
    <row r="439" spans="1:131" x14ac:dyDescent="0.25">
      <c r="A439" s="7">
        <v>18.74240942595404</v>
      </c>
      <c r="B439"/>
      <c r="C439"/>
      <c r="D439"/>
      <c r="E439" t="s">
        <v>8</v>
      </c>
      <c r="N439" s="27" t="s">
        <v>7</v>
      </c>
      <c r="O439" s="27" t="s">
        <v>8</v>
      </c>
      <c r="R439" s="27" t="s">
        <v>7</v>
      </c>
      <c r="AG439" s="27" t="s">
        <v>8</v>
      </c>
      <c r="AH439" s="27" t="s">
        <v>7</v>
      </c>
      <c r="AM439" s="27" t="s">
        <v>8</v>
      </c>
      <c r="AN439" s="27" t="s">
        <v>7</v>
      </c>
      <c r="AO439" s="27" t="s">
        <v>8</v>
      </c>
      <c r="AP439" s="27" t="s">
        <v>7</v>
      </c>
      <c r="AQ439" s="27" t="s">
        <v>8</v>
      </c>
      <c r="AT439" s="27" t="s">
        <v>7</v>
      </c>
      <c r="AU439" s="27" t="s">
        <v>8</v>
      </c>
      <c r="AV439" s="27" t="s">
        <v>7</v>
      </c>
      <c r="AW439" s="27" t="s">
        <v>8</v>
      </c>
      <c r="BB439" s="27" t="s">
        <v>7</v>
      </c>
      <c r="BC439" s="27" t="s">
        <v>8</v>
      </c>
      <c r="BD439" s="27" t="s">
        <v>7</v>
      </c>
      <c r="BE439" s="27" t="s">
        <v>8</v>
      </c>
      <c r="BF439" s="27" t="s">
        <v>7</v>
      </c>
      <c r="BG439" s="27" t="s">
        <v>8</v>
      </c>
      <c r="BH439" s="27" t="s">
        <v>7</v>
      </c>
      <c r="BI439" s="27" t="s">
        <v>8</v>
      </c>
      <c r="BJ439" s="27" t="s">
        <v>7</v>
      </c>
      <c r="BK439" s="27" t="s">
        <v>8</v>
      </c>
      <c r="BL439" s="27" t="s">
        <v>7</v>
      </c>
      <c r="BS439" s="27" t="s">
        <v>8</v>
      </c>
      <c r="BU439" s="27" t="s">
        <v>8</v>
      </c>
      <c r="BV439" s="27" t="s">
        <v>7</v>
      </c>
      <c r="BW439" s="27" t="s">
        <v>8</v>
      </c>
    </row>
    <row r="440" spans="1:131" x14ac:dyDescent="0.25">
      <c r="A440" s="7">
        <v>18.374911201915726</v>
      </c>
      <c r="B440"/>
      <c r="C440"/>
      <c r="D440"/>
      <c r="E440" t="s">
        <v>8</v>
      </c>
      <c r="N440" s="27" t="s">
        <v>7</v>
      </c>
      <c r="O440" s="27" t="s">
        <v>8</v>
      </c>
      <c r="R440" s="27" t="s">
        <v>7</v>
      </c>
      <c r="S440" s="27" t="s">
        <v>8</v>
      </c>
      <c r="AG440" s="27" t="s">
        <v>8</v>
      </c>
      <c r="AH440" s="27" t="s">
        <v>7</v>
      </c>
      <c r="AM440" s="27" t="s">
        <v>8</v>
      </c>
      <c r="AN440" s="27" t="s">
        <v>7</v>
      </c>
      <c r="AO440" s="27" t="s">
        <v>8</v>
      </c>
      <c r="AP440" s="27" t="s">
        <v>7</v>
      </c>
      <c r="AQ440" s="27" t="s">
        <v>8</v>
      </c>
      <c r="AT440" s="27" t="s">
        <v>7</v>
      </c>
      <c r="AU440" s="27" t="s">
        <v>8</v>
      </c>
      <c r="AV440" s="27" t="s">
        <v>7</v>
      </c>
      <c r="AW440" s="27" t="s">
        <v>8</v>
      </c>
      <c r="BB440" s="27" t="s">
        <v>7</v>
      </c>
      <c r="BC440" s="27" t="s">
        <v>8</v>
      </c>
      <c r="BD440" s="27" t="s">
        <v>7</v>
      </c>
      <c r="BE440" s="27" t="s">
        <v>8</v>
      </c>
      <c r="BF440" s="27" t="s">
        <v>7</v>
      </c>
      <c r="BG440" s="27" t="s">
        <v>8</v>
      </c>
      <c r="BH440" s="27" t="s">
        <v>7</v>
      </c>
      <c r="BJ440" s="27" t="s">
        <v>7</v>
      </c>
      <c r="BK440" s="27" t="s">
        <v>8</v>
      </c>
      <c r="BL440" s="27" t="s">
        <v>7</v>
      </c>
      <c r="BS440" s="27" t="s">
        <v>8</v>
      </c>
      <c r="BT440" s="27" t="s">
        <v>7</v>
      </c>
      <c r="BU440" s="27" t="s">
        <v>8</v>
      </c>
      <c r="BV440" s="27" t="s">
        <v>7</v>
      </c>
      <c r="BW440" s="27" t="s">
        <v>8</v>
      </c>
    </row>
    <row r="441" spans="1:131" x14ac:dyDescent="0.25">
      <c r="A441" s="7">
        <v>18.014618825407574</v>
      </c>
      <c r="B441"/>
      <c r="C441"/>
      <c r="D441"/>
      <c r="E441" t="s">
        <v>8</v>
      </c>
      <c r="N441" s="27" t="s">
        <v>7</v>
      </c>
      <c r="R441" s="27" t="s">
        <v>7</v>
      </c>
      <c r="S441" s="27" t="s">
        <v>8</v>
      </c>
      <c r="T441" s="27" t="s">
        <v>7</v>
      </c>
      <c r="AG441" s="27" t="s">
        <v>8</v>
      </c>
      <c r="AH441" s="27" t="s">
        <v>7</v>
      </c>
      <c r="AM441" s="27" t="s">
        <v>8</v>
      </c>
      <c r="AN441" s="27" t="s">
        <v>7</v>
      </c>
      <c r="AO441" s="27" t="s">
        <v>8</v>
      </c>
      <c r="AP441" s="27" t="s">
        <v>7</v>
      </c>
      <c r="AQ441" s="27" t="s">
        <v>8</v>
      </c>
      <c r="AT441" s="27" t="s">
        <v>7</v>
      </c>
      <c r="AU441" s="27" t="s">
        <v>8</v>
      </c>
      <c r="AV441" s="27" t="s">
        <v>7</v>
      </c>
      <c r="BB441" s="27" t="s">
        <v>7</v>
      </c>
      <c r="BC441" s="27" t="s">
        <v>8</v>
      </c>
      <c r="BD441" s="27" t="s">
        <v>7</v>
      </c>
      <c r="BE441" s="27" t="s">
        <v>8</v>
      </c>
      <c r="BF441" s="27" t="s">
        <v>7</v>
      </c>
      <c r="BG441" s="27" t="s">
        <v>8</v>
      </c>
      <c r="BJ441" s="27" t="s">
        <v>7</v>
      </c>
      <c r="BK441" s="27" t="s">
        <v>8</v>
      </c>
      <c r="BL441" s="27" t="s">
        <v>7</v>
      </c>
      <c r="BM441" s="27" t="s">
        <v>8</v>
      </c>
      <c r="BS441" s="27" t="s">
        <v>8</v>
      </c>
      <c r="BT441" s="27" t="s">
        <v>7</v>
      </c>
      <c r="BU441" s="27" t="s">
        <v>8</v>
      </c>
      <c r="BV441" s="27" t="s">
        <v>7</v>
      </c>
      <c r="BW441" s="27" t="s">
        <v>8</v>
      </c>
    </row>
    <row r="442" spans="1:131" x14ac:dyDescent="0.25">
      <c r="A442" s="7">
        <v>17.661391005301542</v>
      </c>
      <c r="B442"/>
      <c r="C442"/>
      <c r="D442"/>
      <c r="E442" t="s">
        <v>8</v>
      </c>
      <c r="R442" s="27" t="s">
        <v>7</v>
      </c>
      <c r="S442" s="27" t="s">
        <v>8</v>
      </c>
      <c r="T442" s="27" t="s">
        <v>7</v>
      </c>
      <c r="AG442" s="27" t="s">
        <v>8</v>
      </c>
      <c r="AH442" s="27" t="s">
        <v>7</v>
      </c>
      <c r="AI442" s="27" t="s">
        <v>8</v>
      </c>
      <c r="AM442" s="27" t="s">
        <v>8</v>
      </c>
      <c r="AN442" s="27" t="s">
        <v>7</v>
      </c>
      <c r="AP442" s="27" t="s">
        <v>7</v>
      </c>
      <c r="AT442" s="27" t="s">
        <v>7</v>
      </c>
      <c r="BB442" s="27" t="s">
        <v>7</v>
      </c>
      <c r="BC442" s="27" t="s">
        <v>8</v>
      </c>
      <c r="BD442" s="27" t="s">
        <v>7</v>
      </c>
      <c r="BE442" s="27" t="s">
        <v>8</v>
      </c>
      <c r="BF442" s="27" t="s">
        <v>7</v>
      </c>
      <c r="BG442" s="27" t="s">
        <v>8</v>
      </c>
      <c r="BJ442" s="27" t="s">
        <v>7</v>
      </c>
      <c r="BK442" s="27" t="s">
        <v>8</v>
      </c>
      <c r="BL442" s="27" t="s">
        <v>7</v>
      </c>
      <c r="BM442" s="27" t="s">
        <v>8</v>
      </c>
      <c r="BN442" s="27" t="s">
        <v>7</v>
      </c>
      <c r="BO442" s="27" t="s">
        <v>8</v>
      </c>
      <c r="BQ442" s="27" t="s">
        <v>8</v>
      </c>
      <c r="BS442" s="27" t="s">
        <v>8</v>
      </c>
      <c r="BT442" s="27" t="s">
        <v>7</v>
      </c>
      <c r="BU442" s="27" t="s">
        <v>8</v>
      </c>
      <c r="BV442" s="27" t="s">
        <v>7</v>
      </c>
      <c r="BW442" s="27" t="s">
        <v>8</v>
      </c>
    </row>
    <row r="443" spans="1:131" x14ac:dyDescent="0.25">
      <c r="A443" s="7">
        <v>17.315089220883866</v>
      </c>
      <c r="B443"/>
      <c r="C443"/>
      <c r="D443"/>
      <c r="E443" t="s">
        <v>8</v>
      </c>
      <c r="R443" s="27" t="s">
        <v>7</v>
      </c>
      <c r="S443" s="27" t="s">
        <v>8</v>
      </c>
      <c r="T443" s="27" t="s">
        <v>7</v>
      </c>
      <c r="AG443" s="27" t="s">
        <v>8</v>
      </c>
      <c r="AH443" s="27" t="s">
        <v>7</v>
      </c>
      <c r="AI443" s="27" t="s">
        <v>8</v>
      </c>
      <c r="AJ443" s="27" t="s">
        <v>7</v>
      </c>
      <c r="AK443" s="27" t="s">
        <v>8</v>
      </c>
      <c r="AM443" s="27" t="s">
        <v>8</v>
      </c>
      <c r="BB443" s="27" t="s">
        <v>7</v>
      </c>
      <c r="BD443" s="27" t="s">
        <v>7</v>
      </c>
      <c r="BE443" s="27" t="s">
        <v>8</v>
      </c>
      <c r="BF443" s="27" t="s">
        <v>7</v>
      </c>
      <c r="BJ443" s="27" t="s">
        <v>7</v>
      </c>
      <c r="BK443" s="27" t="s">
        <v>8</v>
      </c>
      <c r="BL443" s="27" t="s">
        <v>7</v>
      </c>
      <c r="BM443" s="27" t="s">
        <v>8</v>
      </c>
      <c r="BN443" s="27" t="s">
        <v>7</v>
      </c>
      <c r="BO443" s="27" t="s">
        <v>8</v>
      </c>
      <c r="BP443" s="27" t="s">
        <v>7</v>
      </c>
      <c r="BQ443" s="27" t="s">
        <v>8</v>
      </c>
      <c r="BR443" s="27" t="s">
        <v>7</v>
      </c>
      <c r="BS443" s="27" t="s">
        <v>8</v>
      </c>
      <c r="BT443" s="27" t="s">
        <v>7</v>
      </c>
      <c r="BV443" s="27" t="s">
        <v>7</v>
      </c>
      <c r="BW443" s="27" t="s">
        <v>8</v>
      </c>
    </row>
    <row r="444" spans="1:131" x14ac:dyDescent="0.25">
      <c r="A444" s="7">
        <v>16.975577667533202</v>
      </c>
      <c r="B444"/>
      <c r="C444"/>
      <c r="D444"/>
      <c r="E444" t="s">
        <v>8</v>
      </c>
      <c r="R444" s="27" t="s">
        <v>7</v>
      </c>
      <c r="T444" s="27" t="s">
        <v>7</v>
      </c>
      <c r="Y444" s="27" t="s">
        <v>8</v>
      </c>
      <c r="AG444" s="27" t="s">
        <v>8</v>
      </c>
      <c r="AH444" s="27" t="s">
        <v>7</v>
      </c>
      <c r="AI444" s="27" t="s">
        <v>8</v>
      </c>
      <c r="AJ444" s="27" t="s">
        <v>7</v>
      </c>
      <c r="AK444" s="27" t="s">
        <v>8</v>
      </c>
      <c r="AL444" s="27" t="s">
        <v>7</v>
      </c>
      <c r="AM444" s="27" t="s">
        <v>8</v>
      </c>
      <c r="BD444" s="27" t="s">
        <v>7</v>
      </c>
      <c r="BJ444" s="27" t="s">
        <v>7</v>
      </c>
      <c r="BK444" s="27" t="s">
        <v>8</v>
      </c>
      <c r="BL444" s="27" t="s">
        <v>7</v>
      </c>
      <c r="BM444" s="27" t="s">
        <v>8</v>
      </c>
      <c r="BN444" s="27" t="s">
        <v>7</v>
      </c>
      <c r="BO444" s="27" t="s">
        <v>8</v>
      </c>
      <c r="BP444" s="27" t="s">
        <v>7</v>
      </c>
      <c r="BQ444" s="27" t="s">
        <v>8</v>
      </c>
      <c r="BR444" s="27" t="s">
        <v>7</v>
      </c>
      <c r="BS444" s="27" t="s">
        <v>8</v>
      </c>
      <c r="BV444" s="27" t="s">
        <v>7</v>
      </c>
      <c r="BW444" s="27" t="s">
        <v>8</v>
      </c>
    </row>
    <row r="445" spans="1:131" x14ac:dyDescent="0.25">
      <c r="A445" s="7">
        <v>16.642723203463923</v>
      </c>
      <c r="B445"/>
      <c r="C445"/>
      <c r="D445"/>
      <c r="E445" t="s">
        <v>8</v>
      </c>
      <c r="T445" s="27" t="s">
        <v>7</v>
      </c>
      <c r="U445" s="27" t="s">
        <v>8</v>
      </c>
      <c r="Y445" s="27" t="s">
        <v>8</v>
      </c>
      <c r="Z445" s="27" t="s">
        <v>7</v>
      </c>
      <c r="AG445" s="27" t="s">
        <v>8</v>
      </c>
      <c r="AH445" s="27" t="s">
        <v>7</v>
      </c>
      <c r="AJ445" s="27" t="s">
        <v>7</v>
      </c>
      <c r="AK445" s="27" t="s">
        <v>8</v>
      </c>
      <c r="AL445" s="27" t="s">
        <v>7</v>
      </c>
      <c r="AM445" s="27" t="s">
        <v>8</v>
      </c>
      <c r="BJ445" s="27" t="s">
        <v>7</v>
      </c>
      <c r="BK445" s="27" t="s">
        <v>8</v>
      </c>
      <c r="BL445" s="27" t="s">
        <v>7</v>
      </c>
      <c r="BM445" s="27" t="s">
        <v>8</v>
      </c>
      <c r="BN445" s="27" t="s">
        <v>7</v>
      </c>
      <c r="BO445" s="27" t="s">
        <v>8</v>
      </c>
      <c r="BP445" s="27" t="s">
        <v>7</v>
      </c>
      <c r="BQ445" s="27" t="s">
        <v>8</v>
      </c>
      <c r="BR445" s="27" t="s">
        <v>7</v>
      </c>
      <c r="BS445" s="27" t="s">
        <v>8</v>
      </c>
      <c r="BV445" s="27" t="s">
        <v>7</v>
      </c>
      <c r="BW445" s="27" t="s">
        <v>8</v>
      </c>
    </row>
    <row r="446" spans="1:131" x14ac:dyDescent="0.25">
      <c r="A446" s="7">
        <v>16.316395297513651</v>
      </c>
      <c r="B446"/>
      <c r="C446"/>
      <c r="D446"/>
      <c r="E446" t="s">
        <v>8</v>
      </c>
      <c r="T446" s="27" t="s">
        <v>7</v>
      </c>
      <c r="U446" s="27" t="s">
        <v>8</v>
      </c>
      <c r="V446" s="27" t="s">
        <v>7</v>
      </c>
      <c r="Y446" s="27" t="s">
        <v>8</v>
      </c>
      <c r="Z446" s="27" t="s">
        <v>7</v>
      </c>
      <c r="AG446" s="27" t="s">
        <v>8</v>
      </c>
      <c r="AJ446" s="27" t="s">
        <v>7</v>
      </c>
      <c r="AK446" s="27" t="s">
        <v>8</v>
      </c>
      <c r="AL446" s="27" t="s">
        <v>7</v>
      </c>
      <c r="BJ446" s="27" t="s">
        <v>7</v>
      </c>
      <c r="BK446" s="27" t="s">
        <v>8</v>
      </c>
      <c r="BL446" s="27" t="s">
        <v>7</v>
      </c>
      <c r="BM446" s="27" t="s">
        <v>8</v>
      </c>
      <c r="BN446" s="27" t="s">
        <v>7</v>
      </c>
      <c r="BO446" s="27" t="s">
        <v>8</v>
      </c>
      <c r="BP446" s="27" t="s">
        <v>7</v>
      </c>
      <c r="BQ446" s="27" t="s">
        <v>8</v>
      </c>
      <c r="BR446" s="27" t="s">
        <v>7</v>
      </c>
      <c r="BV446" s="27" t="s">
        <v>7</v>
      </c>
    </row>
    <row r="447" spans="1:131" x14ac:dyDescent="0.25">
      <c r="A447" s="7">
        <v>15.996465977954561</v>
      </c>
      <c r="B447"/>
      <c r="C447"/>
      <c r="D447"/>
      <c r="E447" t="s">
        <v>8</v>
      </c>
      <c r="T447" s="27" t="s">
        <v>7</v>
      </c>
      <c r="U447" s="27" t="s">
        <v>8</v>
      </c>
      <c r="V447" s="27" t="s">
        <v>7</v>
      </c>
      <c r="Y447" s="27" t="s">
        <v>8</v>
      </c>
      <c r="Z447" s="27" t="s">
        <v>7</v>
      </c>
      <c r="AG447" s="27" t="s">
        <v>8</v>
      </c>
      <c r="AJ447" s="27" t="s">
        <v>7</v>
      </c>
      <c r="AK447" s="27" t="s">
        <v>8</v>
      </c>
      <c r="BJ447" s="27" t="s">
        <v>7</v>
      </c>
      <c r="BK447" s="27" t="s">
        <v>8</v>
      </c>
      <c r="BL447" s="27" t="s">
        <v>7</v>
      </c>
      <c r="BM447" s="27" t="s">
        <v>8</v>
      </c>
      <c r="BN447" s="27" t="s">
        <v>7</v>
      </c>
      <c r="BP447" s="27" t="s">
        <v>7</v>
      </c>
    </row>
    <row r="448" spans="1:131" x14ac:dyDescent="0.25">
      <c r="A448" s="7">
        <v>15.682809782308393</v>
      </c>
      <c r="B448"/>
      <c r="C448"/>
      <c r="D448"/>
      <c r="E448" t="s">
        <v>8</v>
      </c>
      <c r="T448" s="27" t="s">
        <v>7</v>
      </c>
      <c r="V448" s="27" t="s">
        <v>7</v>
      </c>
      <c r="Y448" s="27" t="s">
        <v>8</v>
      </c>
      <c r="Z448" s="27" t="s">
        <v>7</v>
      </c>
      <c r="AG448" s="27" t="s">
        <v>8</v>
      </c>
      <c r="AJ448" s="27" t="s">
        <v>7</v>
      </c>
      <c r="BJ448" s="27" t="s">
        <v>7</v>
      </c>
      <c r="BL448" s="27" t="s">
        <v>7</v>
      </c>
    </row>
    <row r="449" spans="1:33" x14ac:dyDescent="0.25">
      <c r="A449" s="7">
        <v>15.375303708145482</v>
      </c>
      <c r="B449"/>
      <c r="C449"/>
      <c r="D449"/>
      <c r="E449" t="s">
        <v>8</v>
      </c>
      <c r="V449" s="27" t="s">
        <v>7</v>
      </c>
      <c r="Y449" s="27" t="s">
        <v>8</v>
      </c>
      <c r="Z449" s="27" t="s">
        <v>7</v>
      </c>
      <c r="AG449" s="27" t="s">
        <v>8</v>
      </c>
    </row>
    <row r="450" spans="1:33" x14ac:dyDescent="0.25">
      <c r="A450" s="7">
        <v>15.073827164848511</v>
      </c>
      <c r="B450"/>
      <c r="C450"/>
      <c r="D450"/>
      <c r="E450" t="s">
        <v>8</v>
      </c>
      <c r="V450" s="27" t="s">
        <v>7</v>
      </c>
      <c r="W450" s="27" t="s">
        <v>8</v>
      </c>
      <c r="Y450" s="27" t="s">
        <v>8</v>
      </c>
      <c r="Z450" s="27" t="s">
        <v>7</v>
      </c>
      <c r="AE450" s="27" t="s">
        <v>8</v>
      </c>
      <c r="AG450" s="27" t="s">
        <v>8</v>
      </c>
    </row>
    <row r="451" spans="1:33" x14ac:dyDescent="0.25">
      <c r="A451" s="7">
        <v>14.77826192632207</v>
      </c>
      <c r="B451"/>
      <c r="C451"/>
      <c r="D451"/>
      <c r="E451" t="s">
        <v>8</v>
      </c>
      <c r="V451" s="27" t="s">
        <v>7</v>
      </c>
      <c r="W451" s="27" t="s">
        <v>8</v>
      </c>
      <c r="X451" s="27" t="s">
        <v>7</v>
      </c>
      <c r="Y451" s="27" t="s">
        <v>8</v>
      </c>
      <c r="Z451" s="27" t="s">
        <v>7</v>
      </c>
      <c r="AE451" s="27" t="s">
        <v>8</v>
      </c>
      <c r="AF451" s="27" t="s">
        <v>7</v>
      </c>
      <c r="AG451" s="27" t="s">
        <v>8</v>
      </c>
    </row>
    <row r="452" spans="1:33" x14ac:dyDescent="0.25">
      <c r="A452" s="7">
        <v>14.488492084629481</v>
      </c>
      <c r="B452"/>
      <c r="C452"/>
      <c r="D452"/>
      <c r="E452" t="s">
        <v>8</v>
      </c>
      <c r="V452" s="27" t="s">
        <v>7</v>
      </c>
      <c r="W452" s="27" t="s">
        <v>8</v>
      </c>
      <c r="X452" s="27" t="s">
        <v>7</v>
      </c>
      <c r="Y452" s="27" t="s">
        <v>8</v>
      </c>
      <c r="Z452" s="27" t="s">
        <v>7</v>
      </c>
      <c r="AE452" s="27" t="s">
        <v>8</v>
      </c>
      <c r="AF452" s="27" t="s">
        <v>7</v>
      </c>
      <c r="AG452" s="27" t="s">
        <v>8</v>
      </c>
    </row>
    <row r="453" spans="1:33" x14ac:dyDescent="0.25">
      <c r="A453" s="7">
        <v>14.204404004538707</v>
      </c>
      <c r="B453"/>
      <c r="C453"/>
      <c r="D453"/>
      <c r="E453" t="s">
        <v>8</v>
      </c>
      <c r="V453" s="27" t="s">
        <v>7</v>
      </c>
      <c r="W453" s="27" t="s">
        <v>8</v>
      </c>
      <c r="X453" s="27" t="s">
        <v>7</v>
      </c>
      <c r="Y453" s="27" t="s">
        <v>8</v>
      </c>
      <c r="Z453" s="27" t="s">
        <v>7</v>
      </c>
      <c r="AE453" s="27" t="s">
        <v>8</v>
      </c>
      <c r="AF453" s="27" t="s">
        <v>7</v>
      </c>
      <c r="AG453" s="27" t="s">
        <v>8</v>
      </c>
    </row>
    <row r="454" spans="1:33" x14ac:dyDescent="0.25">
      <c r="A454" s="7">
        <v>13.925886278959517</v>
      </c>
      <c r="B454"/>
      <c r="C454"/>
      <c r="D454"/>
      <c r="E454" t="s">
        <v>8</v>
      </c>
      <c r="V454" s="27" t="s">
        <v>7</v>
      </c>
      <c r="W454" s="27" t="s">
        <v>8</v>
      </c>
      <c r="X454" s="27" t="s">
        <v>7</v>
      </c>
      <c r="Y454" s="27" t="s">
        <v>8</v>
      </c>
      <c r="Z454" s="27" t="s">
        <v>7</v>
      </c>
      <c r="AE454" s="27" t="s">
        <v>8</v>
      </c>
      <c r="AF454" s="27" t="s">
        <v>7</v>
      </c>
    </row>
    <row r="455" spans="1:33" x14ac:dyDescent="0.25">
      <c r="A455" s="7">
        <v>13.652829685254428</v>
      </c>
      <c r="B455"/>
      <c r="C455"/>
      <c r="D455"/>
      <c r="E455" t="s">
        <v>8</v>
      </c>
      <c r="V455" s="27" t="s">
        <v>7</v>
      </c>
      <c r="W455" s="27" t="s">
        <v>8</v>
      </c>
      <c r="X455" s="27" t="s">
        <v>7</v>
      </c>
      <c r="Y455" s="27" t="s">
        <v>8</v>
      </c>
      <c r="Z455" s="27" t="s">
        <v>7</v>
      </c>
      <c r="AE455" s="27" t="s">
        <v>8</v>
      </c>
    </row>
    <row r="456" spans="1:33" x14ac:dyDescent="0.25">
      <c r="A456" s="7">
        <v>13.385127142406303</v>
      </c>
      <c r="B456"/>
      <c r="C456"/>
      <c r="D456"/>
      <c r="E456" t="s">
        <v>8</v>
      </c>
      <c r="V456" s="27" t="s">
        <v>7</v>
      </c>
      <c r="W456" s="27" t="s">
        <v>8</v>
      </c>
      <c r="X456" s="27" t="s">
        <v>7</v>
      </c>
      <c r="Y456" s="27" t="s">
        <v>8</v>
      </c>
      <c r="Z456" s="27" t="s">
        <v>7</v>
      </c>
      <c r="AE456" s="27" t="s">
        <v>8</v>
      </c>
    </row>
    <row r="457" spans="1:33" x14ac:dyDescent="0.25">
      <c r="A457" s="7">
        <v>13.122673669025787</v>
      </c>
      <c r="B457"/>
      <c r="C457"/>
      <c r="D457"/>
      <c r="E457" t="s">
        <v>8</v>
      </c>
      <c r="V457" s="27" t="s">
        <v>7</v>
      </c>
      <c r="X457" s="27" t="s">
        <v>7</v>
      </c>
      <c r="Y457" s="27" t="s">
        <v>8</v>
      </c>
      <c r="Z457" s="27" t="s">
        <v>7</v>
      </c>
      <c r="AE457" s="27" t="s">
        <v>8</v>
      </c>
    </row>
    <row r="458" spans="1:33" x14ac:dyDescent="0.25">
      <c r="A458" s="7">
        <v>12.865366342182144</v>
      </c>
      <c r="B458"/>
      <c r="C458"/>
      <c r="D458"/>
      <c r="E458" t="s">
        <v>8</v>
      </c>
      <c r="X458" s="27" t="s">
        <v>7</v>
      </c>
      <c r="Y458" s="27" t="s">
        <v>8</v>
      </c>
      <c r="Z458" s="27" t="s">
        <v>7</v>
      </c>
      <c r="AC458" s="27" t="s">
        <v>8</v>
      </c>
      <c r="AE458" s="27" t="s">
        <v>8</v>
      </c>
    </row>
    <row r="459" spans="1:33" x14ac:dyDescent="0.25">
      <c r="A459" s="7">
        <v>12.613104257041318</v>
      </c>
      <c r="B459"/>
      <c r="C459"/>
      <c r="D459"/>
      <c r="E459" t="s">
        <v>8</v>
      </c>
      <c r="X459" s="27" t="s">
        <v>7</v>
      </c>
      <c r="Y459" s="27" t="s">
        <v>8</v>
      </c>
      <c r="Z459" s="27" t="s">
        <v>7</v>
      </c>
      <c r="AA459" s="27" t="s">
        <v>8</v>
      </c>
      <c r="AC459" s="27" t="s">
        <v>8</v>
      </c>
      <c r="AD459" s="27" t="s">
        <v>7</v>
      </c>
      <c r="AE459" s="27" t="s">
        <v>8</v>
      </c>
    </row>
    <row r="460" spans="1:33" x14ac:dyDescent="0.25">
      <c r="A460" s="7">
        <v>12.36578848729541</v>
      </c>
      <c r="B460"/>
      <c r="C460"/>
      <c r="D460"/>
      <c r="E460" t="s">
        <v>8</v>
      </c>
      <c r="X460" s="27" t="s">
        <v>7</v>
      </c>
      <c r="Z460" s="27" t="s">
        <v>7</v>
      </c>
      <c r="AA460" s="27" t="s">
        <v>8</v>
      </c>
      <c r="AB460" s="27" t="s">
        <v>7</v>
      </c>
      <c r="AC460" s="27" t="s">
        <v>8</v>
      </c>
      <c r="AD460" s="27" t="s">
        <v>7</v>
      </c>
      <c r="AE460" s="27" t="s">
        <v>8</v>
      </c>
    </row>
    <row r="461" spans="1:33" x14ac:dyDescent="0.25">
      <c r="A461" s="7">
        <v>12.123322046368049</v>
      </c>
      <c r="B461"/>
      <c r="C461"/>
      <c r="D461"/>
      <c r="E461" t="s">
        <v>8</v>
      </c>
      <c r="Z461" s="27" t="s">
        <v>7</v>
      </c>
      <c r="AA461" s="27" t="s">
        <v>8</v>
      </c>
      <c r="AB461" s="27" t="s">
        <v>7</v>
      </c>
      <c r="AC461" s="27" t="s">
        <v>8</v>
      </c>
      <c r="AD461" s="27" t="s">
        <v>7</v>
      </c>
      <c r="AE461" s="27" t="s">
        <v>8</v>
      </c>
    </row>
    <row r="462" spans="1:33" x14ac:dyDescent="0.25">
      <c r="A462" s="7">
        <v>11.88560984938044</v>
      </c>
      <c r="B462"/>
      <c r="C462"/>
      <c r="D462"/>
      <c r="E462" t="s">
        <v>8</v>
      </c>
      <c r="Z462" s="27" t="s">
        <v>7</v>
      </c>
      <c r="AA462" s="27" t="s">
        <v>8</v>
      </c>
      <c r="AB462" s="27" t="s">
        <v>7</v>
      </c>
      <c r="AC462" s="27" t="s">
        <v>8</v>
      </c>
      <c r="AD462" s="27" t="s">
        <v>7</v>
      </c>
    </row>
    <row r="463" spans="1:33" x14ac:dyDescent="0.25">
      <c r="A463" s="7">
        <v>11.652558675863176</v>
      </c>
      <c r="B463"/>
      <c r="C463"/>
      <c r="D463"/>
      <c r="E463" t="s">
        <v>8</v>
      </c>
      <c r="Z463" s="18" t="s">
        <v>7</v>
      </c>
      <c r="AA463" s="27" t="s">
        <v>8</v>
      </c>
      <c r="AB463" s="27" t="s">
        <v>7</v>
      </c>
      <c r="AC463" s="27" t="s">
        <v>8</v>
      </c>
    </row>
    <row r="464" spans="1:33" x14ac:dyDescent="0.25">
      <c r="A464" s="7">
        <v>11.424077133199193</v>
      </c>
      <c r="B464"/>
      <c r="C464"/>
      <c r="D464"/>
      <c r="E464" t="s">
        <v>8</v>
      </c>
      <c r="Z464" s="27" t="s">
        <v>7</v>
      </c>
      <c r="AA464" s="27" t="s">
        <v>8</v>
      </c>
      <c r="AB464" s="27" t="s">
        <v>7</v>
      </c>
      <c r="AC464" s="27" t="s">
        <v>8</v>
      </c>
    </row>
    <row r="465" spans="1:28" x14ac:dyDescent="0.25">
      <c r="A465" s="7">
        <v>11.200075620783522</v>
      </c>
      <c r="B465"/>
      <c r="C465"/>
      <c r="D465"/>
      <c r="E465" t="s">
        <v>8</v>
      </c>
      <c r="Z465" s="27" t="s">
        <v>7</v>
      </c>
      <c r="AA465" s="27" t="s">
        <v>8</v>
      </c>
      <c r="AB465" s="27" t="s">
        <v>7</v>
      </c>
    </row>
    <row r="466" spans="1:28" x14ac:dyDescent="0.25">
      <c r="A466" s="7">
        <v>10.980466294885806</v>
      </c>
      <c r="B466"/>
      <c r="C466"/>
      <c r="D466"/>
      <c r="E466" t="s">
        <v>8</v>
      </c>
      <c r="Z466" s="27" t="s">
        <v>7</v>
      </c>
      <c r="AA466" s="27" t="s">
        <v>8</v>
      </c>
    </row>
    <row r="467" spans="1:28" x14ac:dyDescent="0.25">
      <c r="A467" s="7">
        <v>10.765163034201771</v>
      </c>
      <c r="B467"/>
      <c r="C467"/>
      <c r="D467"/>
      <c r="E467" t="s">
        <v>8</v>
      </c>
      <c r="Z467" s="27" t="s">
        <v>7</v>
      </c>
    </row>
    <row r="468" spans="1:28" x14ac:dyDescent="0.25">
      <c r="A468" s="7">
        <v>10.554081406080169</v>
      </c>
      <c r="B468"/>
      <c r="C468"/>
      <c r="D468"/>
      <c r="E468" t="s">
        <v>8</v>
      </c>
    </row>
    <row r="469" spans="1:28" x14ac:dyDescent="0.25">
      <c r="A469" s="7">
        <v>10.34713863341193</v>
      </c>
      <c r="B469"/>
      <c r="C469"/>
      <c r="D469"/>
      <c r="E469" t="s">
        <v>8</v>
      </c>
    </row>
    <row r="470" spans="1:28" x14ac:dyDescent="0.25">
      <c r="A470" s="7">
        <v>10.14425356216856</v>
      </c>
      <c r="B470"/>
      <c r="C470"/>
      <c r="D470"/>
      <c r="E470" t="s">
        <v>8</v>
      </c>
    </row>
    <row r="471" spans="1:28" x14ac:dyDescent="0.25">
      <c r="A471" s="7">
        <v>9.9453466295770188</v>
      </c>
      <c r="B471"/>
      <c r="C471"/>
      <c r="D471"/>
      <c r="E471" t="s">
        <v>8</v>
      </c>
    </row>
    <row r="472" spans="1:28" x14ac:dyDescent="0.25">
      <c r="A472" s="7">
        <v>9.7503398329186464</v>
      </c>
      <c r="B472"/>
      <c r="C472"/>
      <c r="D472"/>
      <c r="E472" t="s">
        <v>8</v>
      </c>
    </row>
    <row r="473" spans="1:28" x14ac:dyDescent="0.25">
      <c r="A473" s="7">
        <v>9.5591566989398498</v>
      </c>
      <c r="B473"/>
      <c r="C473"/>
      <c r="D473"/>
      <c r="E473" t="s">
        <v>8</v>
      </c>
    </row>
    <row r="474" spans="1:28" x14ac:dyDescent="0.25">
      <c r="A474" s="7">
        <v>9.3717222538625968</v>
      </c>
      <c r="B474"/>
      <c r="C474"/>
      <c r="D474"/>
      <c r="E474" t="s">
        <v>8</v>
      </c>
    </row>
    <row r="475" spans="1:28" x14ac:dyDescent="0.25">
      <c r="A475" s="7">
        <v>9.1879629939829375</v>
      </c>
      <c r="B475"/>
      <c r="C475"/>
      <c r="D475"/>
      <c r="E475" t="s">
        <v>8</v>
      </c>
    </row>
    <row r="476" spans="1:28" x14ac:dyDescent="0.25">
      <c r="A476" s="7">
        <v>9.0078068568460168</v>
      </c>
      <c r="B476"/>
      <c r="C476"/>
      <c r="D476"/>
      <c r="E476" t="s">
        <v>8</v>
      </c>
    </row>
    <row r="477" spans="1:28" x14ac:dyDescent="0.25">
      <c r="A477" s="7">
        <v>8.8311831929862912</v>
      </c>
      <c r="B477"/>
      <c r="C477"/>
      <c r="D477"/>
      <c r="E477" t="s">
        <v>8</v>
      </c>
    </row>
    <row r="478" spans="1:28" x14ac:dyDescent="0.25">
      <c r="A478" s="7">
        <v>8.6580227382218542</v>
      </c>
      <c r="B478"/>
      <c r="C478"/>
      <c r="D478"/>
      <c r="E478" t="s">
        <v>8</v>
      </c>
    </row>
    <row r="479" spans="1:28" x14ac:dyDescent="0.25">
      <c r="A479" s="7">
        <v>8.4882575864920131</v>
      </c>
      <c r="B479"/>
      <c r="C479"/>
      <c r="D479"/>
      <c r="E479" t="s">
        <v>8</v>
      </c>
    </row>
    <row r="480" spans="1:28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50" operator="equal">
      <formula>$U$1</formula>
    </cfRule>
    <cfRule type="cellIs" dxfId="89" priority="651" operator="equal">
      <formula>$S$1</formula>
    </cfRule>
  </conditionalFormatting>
  <conditionalFormatting sqref="D27">
    <cfRule type="cellIs" dxfId="88" priority="648" operator="equal">
      <formula>$S$1</formula>
    </cfRule>
    <cfRule type="cellIs" dxfId="87" priority="649" operator="equal">
      <formula>$U$1</formula>
    </cfRule>
  </conditionalFormatting>
  <conditionalFormatting sqref="C164">
    <cfRule type="cellIs" dxfId="86" priority="646" operator="equal">
      <formula>$U$1</formula>
    </cfRule>
    <cfRule type="cellIs" dxfId="85" priority="647" operator="equal">
      <formula>$S$1</formula>
    </cfRule>
  </conditionalFormatting>
  <conditionalFormatting sqref="D164">
    <cfRule type="cellIs" dxfId="84" priority="644" operator="equal">
      <formula>$S$1</formula>
    </cfRule>
    <cfRule type="cellIs" dxfId="83" priority="645" operator="equal">
      <formula>$U$1</formula>
    </cfRule>
  </conditionalFormatting>
  <conditionalFormatting sqref="C55">
    <cfRule type="cellIs" dxfId="82" priority="642" operator="equal">
      <formula>$U$1</formula>
    </cfRule>
    <cfRule type="cellIs" dxfId="81" priority="643" operator="equal">
      <formula>$S$1</formula>
    </cfRule>
  </conditionalFormatting>
  <conditionalFormatting sqref="D55">
    <cfRule type="cellIs" dxfId="80" priority="640" operator="equal">
      <formula>$S$1</formula>
    </cfRule>
    <cfRule type="cellIs" dxfId="79" priority="641" operator="equal">
      <formula>$U$1</formula>
    </cfRule>
  </conditionalFormatting>
  <conditionalFormatting sqref="C89">
    <cfRule type="cellIs" dxfId="78" priority="638" operator="equal">
      <formula>$U$1</formula>
    </cfRule>
    <cfRule type="cellIs" dxfId="77" priority="639" operator="equal">
      <formula>$S$1</formula>
    </cfRule>
  </conditionalFormatting>
  <conditionalFormatting sqref="D89">
    <cfRule type="cellIs" dxfId="76" priority="636" operator="equal">
      <formula>$S$1</formula>
    </cfRule>
    <cfRule type="cellIs" dxfId="75" priority="637" operator="equal">
      <formula>$U$1</formula>
    </cfRule>
  </conditionalFormatting>
  <conditionalFormatting sqref="C136">
    <cfRule type="cellIs" dxfId="74" priority="634" operator="equal">
      <formula>$U$1</formula>
    </cfRule>
    <cfRule type="cellIs" dxfId="73" priority="635" operator="equal">
      <formula>$S$1</formula>
    </cfRule>
  </conditionalFormatting>
  <conditionalFormatting sqref="D136">
    <cfRule type="cellIs" dxfId="72" priority="632" operator="equal">
      <formula>$S$1</formula>
    </cfRule>
    <cfRule type="cellIs" dxfId="71" priority="633" operator="equal">
      <formula>$U$1</formula>
    </cfRule>
  </conditionalFormatting>
  <conditionalFormatting sqref="C1">
    <cfRule type="cellIs" dxfId="70" priority="63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M173" sqref="BM17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$A$172</v>
      </c>
      <c r="D111" s="1" t="str">
        <f>ADDRESS(C121-1,D121,1,1)</f>
        <v>$BM$172</v>
      </c>
      <c r="E111"/>
    </row>
    <row r="112" spans="1:5" x14ac:dyDescent="0.25">
      <c r="A112" s="30">
        <v>515.50191262726139</v>
      </c>
      <c r="C112" s="1" t="str">
        <f>ADDRESS(C121,1,1,1)</f>
        <v>$A$173</v>
      </c>
      <c r="D112" s="1" t="str">
        <f>ADDRESS(C121,D121-1,1,1)</f>
        <v>$BL$173</v>
      </c>
      <c r="E112"/>
    </row>
    <row r="113" spans="1:5" x14ac:dyDescent="0.25">
      <c r="A113" s="30">
        <v>490.95420250215363</v>
      </c>
      <c r="C113" s="1" t="str">
        <f>ADDRESS(C121+1,1,1,1)</f>
        <v>$A$174</v>
      </c>
      <c r="D113" s="1" t="str">
        <f>ADDRESS(C121-1,D121+1,1,1)</f>
        <v>$BN$172</v>
      </c>
    </row>
    <row r="114" spans="1:5" x14ac:dyDescent="0.25">
      <c r="A114" s="30">
        <v>467.57543095443202</v>
      </c>
      <c r="C114" s="1" t="str">
        <f>ADDRESS(C121,D121,1,1)</f>
        <v>$BM$173</v>
      </c>
      <c r="D114" s="1" t="str">
        <f>ADDRESS(C121+1,D121+1,1,1)</f>
        <v>$BN$174</v>
      </c>
    </row>
    <row r="115" spans="1:5" x14ac:dyDescent="0.25">
      <c r="A115" s="30">
        <v>445.30993424231622</v>
      </c>
      <c r="C115" s="1" t="str">
        <f>ADDRESS(C121+1,D121,1,1)</f>
        <v>$BM$174</v>
      </c>
    </row>
    <row r="116" spans="1:5" x14ac:dyDescent="0.25">
      <c r="A116" s="30">
        <v>424.10469927839637</v>
      </c>
      <c r="C116" s="1">
        <f>C117-1</f>
        <v>172</v>
      </c>
    </row>
    <row r="117" spans="1:5" x14ac:dyDescent="0.25">
      <c r="A117" s="30">
        <v>403.9092374079965</v>
      </c>
      <c r="C117" s="1">
        <f>C121</f>
        <v>173</v>
      </c>
      <c r="D117" s="1">
        <f>D121</f>
        <v>65</v>
      </c>
    </row>
    <row r="118" spans="1:5" x14ac:dyDescent="0.25">
      <c r="A118" s="30">
        <v>384.6754641980919</v>
      </c>
      <c r="C118" s="1">
        <f>C117+1</f>
        <v>174</v>
      </c>
      <c r="D118" s="1">
        <f>D117+1</f>
        <v>66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173</v>
      </c>
      <c r="D121" s="19">
        <v>65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R173</v>
      </c>
      <c r="D123" s="1" t="str">
        <f>"C"&amp;D121</f>
        <v>C65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26.283490366495137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60" x14ac:dyDescent="0.25">
      <c r="A145" s="30">
        <v>103.03467644609493</v>
      </c>
      <c r="E145"/>
    </row>
    <row r="146" spans="1:60" x14ac:dyDescent="0.25">
      <c r="A146" s="30">
        <v>98.128263281995174</v>
      </c>
      <c r="E146"/>
      <c r="AO146" s="27" t="s">
        <v>8</v>
      </c>
    </row>
    <row r="147" spans="1:60" x14ac:dyDescent="0.25">
      <c r="A147" s="30">
        <v>93.455488839995397</v>
      </c>
      <c r="E147"/>
      <c r="AO147" s="27" t="s">
        <v>8</v>
      </c>
      <c r="AP147" s="27" t="s">
        <v>7</v>
      </c>
    </row>
    <row r="148" spans="1:60" x14ac:dyDescent="0.25">
      <c r="A148" s="30">
        <v>89.005227466662276</v>
      </c>
      <c r="E148"/>
      <c r="AO148" s="27" t="s">
        <v>8</v>
      </c>
      <c r="AP148" s="27" t="s">
        <v>7</v>
      </c>
    </row>
    <row r="149" spans="1:60" x14ac:dyDescent="0.25">
      <c r="A149" s="30">
        <v>84.766883301583121</v>
      </c>
      <c r="E149"/>
      <c r="AO149" s="27" t="s">
        <v>8</v>
      </c>
      <c r="AP149" s="27" t="s">
        <v>7</v>
      </c>
    </row>
    <row r="150" spans="1:60" x14ac:dyDescent="0.25">
      <c r="A150" s="30">
        <v>80.730365049126775</v>
      </c>
      <c r="E150"/>
      <c r="AO150" s="27" t="s">
        <v>8</v>
      </c>
      <c r="AP150" s="27" t="s">
        <v>7</v>
      </c>
    </row>
    <row r="151" spans="1:60" x14ac:dyDescent="0.25">
      <c r="A151" s="30">
        <v>76.886061951549308</v>
      </c>
      <c r="E151"/>
      <c r="AO151" s="27" t="s">
        <v>8</v>
      </c>
      <c r="AP151" s="27" t="s">
        <v>7</v>
      </c>
    </row>
    <row r="152" spans="1:60" x14ac:dyDescent="0.25">
      <c r="A152" s="30">
        <v>73.22482090623744</v>
      </c>
      <c r="E152"/>
      <c r="AO152" s="27" t="s">
        <v>8</v>
      </c>
      <c r="AP152" s="27" t="s">
        <v>7</v>
      </c>
      <c r="AQ152" s="27" t="s">
        <v>8</v>
      </c>
      <c r="AS152" s="27" t="s">
        <v>8</v>
      </c>
    </row>
    <row r="153" spans="1:60" x14ac:dyDescent="0.25">
      <c r="A153" s="30">
        <v>69.737924672607079</v>
      </c>
      <c r="C153" s="7"/>
      <c r="D153"/>
      <c r="E153"/>
      <c r="AO153" s="27" t="s">
        <v>8</v>
      </c>
      <c r="AP153" s="27" t="s">
        <v>7</v>
      </c>
      <c r="AQ153" s="27" t="s">
        <v>8</v>
      </c>
      <c r="AR153" s="27" t="s">
        <v>7</v>
      </c>
      <c r="AS153" s="27" t="s">
        <v>8</v>
      </c>
      <c r="AT153" s="27" t="s">
        <v>7</v>
      </c>
      <c r="AW153" s="27" t="s">
        <v>8</v>
      </c>
    </row>
    <row r="154" spans="1:60" x14ac:dyDescent="0.25">
      <c r="A154" s="30">
        <v>66.417071116768639</v>
      </c>
      <c r="E154"/>
      <c r="AO154" s="27" t="s">
        <v>8</v>
      </c>
      <c r="AP154" s="27" t="s">
        <v>7</v>
      </c>
      <c r="AQ154" s="27" t="s">
        <v>8</v>
      </c>
      <c r="AR154" s="27" t="s">
        <v>7</v>
      </c>
      <c r="AS154" s="27" t="s">
        <v>8</v>
      </c>
      <c r="AT154" s="27" t="s">
        <v>7</v>
      </c>
      <c r="AW154" s="27" t="s">
        <v>8</v>
      </c>
      <c r="AX154" s="27" t="s">
        <v>7</v>
      </c>
    </row>
    <row r="155" spans="1:60" x14ac:dyDescent="0.25">
      <c r="A155" s="30">
        <v>63.254353444541557</v>
      </c>
      <c r="E155"/>
      <c r="AO155" s="27" t="s">
        <v>8</v>
      </c>
      <c r="AP155" s="27" t="s">
        <v>7</v>
      </c>
      <c r="AR155" s="27" t="s">
        <v>7</v>
      </c>
      <c r="AS155" s="27" t="s">
        <v>8</v>
      </c>
      <c r="AT155" s="27" t="s">
        <v>7</v>
      </c>
      <c r="AW155" s="27" t="s">
        <v>8</v>
      </c>
      <c r="AX155" s="27" t="s">
        <v>7</v>
      </c>
    </row>
    <row r="156" spans="1:60" x14ac:dyDescent="0.25">
      <c r="A156" s="30">
        <v>60.242241375753864</v>
      </c>
      <c r="C156"/>
      <c r="D156"/>
      <c r="E156"/>
      <c r="AO156" s="27" t="s">
        <v>8</v>
      </c>
      <c r="AR156" s="27" t="s">
        <v>7</v>
      </c>
      <c r="AS156" s="27" t="s">
        <v>8</v>
      </c>
      <c r="AT156" s="27" t="s">
        <v>7</v>
      </c>
      <c r="AW156" s="27" t="s">
        <v>8</v>
      </c>
      <c r="AX156" s="27" t="s">
        <v>7</v>
      </c>
    </row>
    <row r="157" spans="1:60" x14ac:dyDescent="0.25">
      <c r="A157" s="30">
        <v>57.373563215003678</v>
      </c>
      <c r="E157"/>
      <c r="AO157" s="27" t="s">
        <v>8</v>
      </c>
      <c r="AR157" s="27" t="s">
        <v>7</v>
      </c>
      <c r="AT157" s="27" t="s">
        <v>7</v>
      </c>
      <c r="AW157" s="27" t="s">
        <v>8</v>
      </c>
      <c r="AX157" s="27" t="s">
        <v>7</v>
      </c>
    </row>
    <row r="158" spans="1:60" x14ac:dyDescent="0.25">
      <c r="A158" s="30">
        <v>54.641488776193974</v>
      </c>
      <c r="E158"/>
      <c r="AO158" s="27" t="s">
        <v>8</v>
      </c>
      <c r="AT158" s="27" t="s">
        <v>7</v>
      </c>
      <c r="AU158" s="27" t="s">
        <v>8</v>
      </c>
      <c r="AW158" s="27" t="s">
        <v>8</v>
      </c>
      <c r="AX158" s="27" t="s">
        <v>7</v>
      </c>
      <c r="BE158" s="27" t="s">
        <v>8</v>
      </c>
    </row>
    <row r="159" spans="1:60" x14ac:dyDescent="0.25">
      <c r="A159" s="30">
        <v>52.039513120184736</v>
      </c>
      <c r="E159"/>
      <c r="AO159" s="27" t="s">
        <v>8</v>
      </c>
      <c r="AT159" s="27" t="s">
        <v>7</v>
      </c>
      <c r="AU159" s="27" t="s">
        <v>8</v>
      </c>
      <c r="AV159" s="27" t="s">
        <v>7</v>
      </c>
      <c r="AW159" s="27" t="s">
        <v>8</v>
      </c>
      <c r="AX159" s="27" t="s">
        <v>7</v>
      </c>
      <c r="BE159" s="27" t="s">
        <v>8</v>
      </c>
      <c r="BF159" s="27" t="s">
        <v>7</v>
      </c>
      <c r="BG159" s="27" t="s">
        <v>8</v>
      </c>
    </row>
    <row r="160" spans="1:60" x14ac:dyDescent="0.25">
      <c r="A160" s="30">
        <v>49.561441066842605</v>
      </c>
      <c r="C160"/>
      <c r="E160"/>
      <c r="AO160" s="27" t="s">
        <v>8</v>
      </c>
      <c r="AT160" s="27" t="s">
        <v>7</v>
      </c>
      <c r="AU160" s="27" t="s">
        <v>8</v>
      </c>
      <c r="AV160" s="27" t="s">
        <v>7</v>
      </c>
      <c r="AW160" s="27" t="s">
        <v>8</v>
      </c>
      <c r="AX160" s="27" t="s">
        <v>7</v>
      </c>
      <c r="BE160" s="27" t="s">
        <v>8</v>
      </c>
      <c r="BF160" s="27" t="s">
        <v>7</v>
      </c>
      <c r="BG160" s="27" t="s">
        <v>8</v>
      </c>
      <c r="BH160" s="27" t="s">
        <v>7</v>
      </c>
    </row>
    <row r="161" spans="1:65" x14ac:dyDescent="0.25">
      <c r="A161" s="30">
        <v>47.201372444612005</v>
      </c>
      <c r="E161"/>
      <c r="AO161" s="27" t="s">
        <v>8</v>
      </c>
      <c r="AT161" s="27" t="s">
        <v>7</v>
      </c>
      <c r="AV161" s="27" t="s">
        <v>7</v>
      </c>
      <c r="AX161" s="27" t="s">
        <v>7</v>
      </c>
      <c r="AY161" s="27" t="s">
        <v>8</v>
      </c>
      <c r="BC161" s="27" t="s">
        <v>8</v>
      </c>
      <c r="BE161" s="27" t="s">
        <v>8</v>
      </c>
      <c r="BF161" s="27" t="s">
        <v>7</v>
      </c>
      <c r="BG161" s="27" t="s">
        <v>8</v>
      </c>
      <c r="BH161" s="27" t="s">
        <v>7</v>
      </c>
    </row>
    <row r="162" spans="1:65" x14ac:dyDescent="0.25">
      <c r="A162" s="30">
        <v>44.95368804248762</v>
      </c>
      <c r="E162"/>
      <c r="AO162" s="27" t="s">
        <v>8</v>
      </c>
      <c r="AX162" s="27" t="s">
        <v>7</v>
      </c>
      <c r="AY162" s="27" t="s">
        <v>8</v>
      </c>
      <c r="AZ162" s="27" t="s">
        <v>7</v>
      </c>
      <c r="BC162" s="27" t="s">
        <v>8</v>
      </c>
      <c r="BD162" s="27" t="s">
        <v>7</v>
      </c>
      <c r="BE162" s="27" t="s">
        <v>8</v>
      </c>
      <c r="BF162" s="27" t="s">
        <v>7</v>
      </c>
      <c r="BG162" s="27" t="s">
        <v>8</v>
      </c>
      <c r="BH162" s="27" t="s">
        <v>7</v>
      </c>
    </row>
    <row r="163" spans="1:65" x14ac:dyDescent="0.25">
      <c r="A163" s="30">
        <v>42.81303623094059</v>
      </c>
      <c r="E163"/>
      <c r="AO163" s="27" t="s">
        <v>8</v>
      </c>
      <c r="AX163" s="27" t="s">
        <v>7</v>
      </c>
      <c r="AY163" s="27" t="s">
        <v>8</v>
      </c>
      <c r="AZ163" s="27" t="s">
        <v>7</v>
      </c>
      <c r="BC163" s="27" t="s">
        <v>8</v>
      </c>
      <c r="BD163" s="27" t="s">
        <v>7</v>
      </c>
      <c r="BE163" s="27" t="s">
        <v>8</v>
      </c>
      <c r="BF163" s="27" t="s">
        <v>7</v>
      </c>
      <c r="BG163" s="27" t="s">
        <v>8</v>
      </c>
      <c r="BH163" s="27" t="s">
        <v>7</v>
      </c>
    </row>
    <row r="164" spans="1:65" x14ac:dyDescent="0.25">
      <c r="A164" s="30">
        <v>40.774320219943419</v>
      </c>
      <c r="E164"/>
      <c r="AO164" s="27" t="s">
        <v>8</v>
      </c>
      <c r="AX164" s="27" t="s">
        <v>7</v>
      </c>
      <c r="AY164" s="27" t="s">
        <v>8</v>
      </c>
      <c r="AZ164" s="27" t="s">
        <v>7</v>
      </c>
      <c r="BC164" s="27" t="s">
        <v>8</v>
      </c>
      <c r="BD164" s="27" t="s">
        <v>7</v>
      </c>
      <c r="BE164" s="27" t="s">
        <v>8</v>
      </c>
      <c r="BF164" s="27" t="s">
        <v>7</v>
      </c>
      <c r="BG164" s="27" t="s">
        <v>8</v>
      </c>
      <c r="BH164" s="27" t="s">
        <v>7</v>
      </c>
    </row>
    <row r="165" spans="1:65" x14ac:dyDescent="0.25">
      <c r="A165" s="30">
        <v>38.832685923755633</v>
      </c>
      <c r="E165"/>
      <c r="AO165" s="27" t="s">
        <v>8</v>
      </c>
      <c r="AX165" s="27" t="s">
        <v>7</v>
      </c>
      <c r="AY165" s="27" t="s">
        <v>8</v>
      </c>
      <c r="AZ165" s="27" t="s">
        <v>7</v>
      </c>
      <c r="BA165" s="27" t="s">
        <v>8</v>
      </c>
      <c r="BC165" s="27" t="s">
        <v>8</v>
      </c>
      <c r="BD165" s="27" t="s">
        <v>7</v>
      </c>
      <c r="BF165" s="27" t="s">
        <v>7</v>
      </c>
      <c r="BH165" s="27" t="s">
        <v>7</v>
      </c>
      <c r="BI165" s="27" t="s">
        <v>8</v>
      </c>
    </row>
    <row r="166" spans="1:65" x14ac:dyDescent="0.25">
      <c r="A166" s="30">
        <v>36.983510403576794</v>
      </c>
      <c r="E166"/>
      <c r="AM166" s="27" t="s">
        <v>8</v>
      </c>
      <c r="AO166" s="27" t="s">
        <v>8</v>
      </c>
      <c r="AX166" s="27" t="s">
        <v>7</v>
      </c>
      <c r="AY166" s="27" t="s">
        <v>8</v>
      </c>
      <c r="AZ166" s="27" t="s">
        <v>7</v>
      </c>
      <c r="BA166" s="27" t="s">
        <v>8</v>
      </c>
      <c r="BB166" s="27" t="s">
        <v>7</v>
      </c>
      <c r="BC166" s="27" t="s">
        <v>8</v>
      </c>
      <c r="BH166" s="27" t="s">
        <v>7</v>
      </c>
      <c r="BI166" s="27" t="s">
        <v>8</v>
      </c>
      <c r="BJ166" s="27" t="s">
        <v>7</v>
      </c>
    </row>
    <row r="167" spans="1:65" x14ac:dyDescent="0.25">
      <c r="A167" s="30">
        <v>35.222390860549325</v>
      </c>
      <c r="E167"/>
      <c r="AG167" s="27" t="s">
        <v>8</v>
      </c>
      <c r="AK167" s="27" t="s">
        <v>8</v>
      </c>
      <c r="AM167" s="27" t="s">
        <v>8</v>
      </c>
      <c r="AN167" s="27" t="s">
        <v>7</v>
      </c>
      <c r="AO167" s="27" t="s">
        <v>8</v>
      </c>
      <c r="AX167" s="27" t="s">
        <v>7</v>
      </c>
      <c r="AY167" s="27" t="s">
        <v>8</v>
      </c>
      <c r="AZ167" s="27" t="s">
        <v>7</v>
      </c>
      <c r="BA167" s="27" t="s">
        <v>8</v>
      </c>
      <c r="BB167" s="27" t="s">
        <v>7</v>
      </c>
      <c r="BC167" s="27" t="s">
        <v>8</v>
      </c>
      <c r="BH167" s="27" t="s">
        <v>7</v>
      </c>
      <c r="BI167" s="27" t="s">
        <v>8</v>
      </c>
      <c r="BJ167" s="27" t="s">
        <v>7</v>
      </c>
    </row>
    <row r="168" spans="1:65" x14ac:dyDescent="0.25">
      <c r="A168" s="30">
        <v>33.545134152904119</v>
      </c>
      <c r="E168"/>
      <c r="AG168" s="27" t="s">
        <v>8</v>
      </c>
      <c r="AH168" s="27" t="s">
        <v>7</v>
      </c>
      <c r="AI168" s="27" t="s">
        <v>8</v>
      </c>
      <c r="AK168" s="27" t="s">
        <v>8</v>
      </c>
      <c r="AL168" s="27" t="s">
        <v>7</v>
      </c>
      <c r="AM168" s="27" t="s">
        <v>8</v>
      </c>
      <c r="AN168" s="27" t="s">
        <v>7</v>
      </c>
      <c r="AO168" s="27" t="s">
        <v>8</v>
      </c>
      <c r="AX168" s="27" t="s">
        <v>7</v>
      </c>
      <c r="AY168" s="27" t="s">
        <v>8</v>
      </c>
      <c r="AZ168" s="27" t="s">
        <v>7</v>
      </c>
      <c r="BA168" s="27" t="s">
        <v>8</v>
      </c>
      <c r="BB168" s="27" t="s">
        <v>7</v>
      </c>
      <c r="BH168" s="27" t="s">
        <v>7</v>
      </c>
      <c r="BJ168" s="27" t="s">
        <v>7</v>
      </c>
    </row>
    <row r="169" spans="1:65" x14ac:dyDescent="0.25">
      <c r="A169" s="30">
        <v>31.947746812289637</v>
      </c>
      <c r="E169"/>
      <c r="G169" s="27" t="s">
        <v>8</v>
      </c>
      <c r="AE169" s="27" t="s">
        <v>8</v>
      </c>
      <c r="AG169" s="27" t="s">
        <v>8</v>
      </c>
      <c r="AH169" s="27" t="s">
        <v>7</v>
      </c>
      <c r="AI169" s="27" t="s">
        <v>8</v>
      </c>
      <c r="AJ169" s="27" t="s">
        <v>7</v>
      </c>
      <c r="AK169" s="27" t="s">
        <v>8</v>
      </c>
      <c r="AL169" s="27" t="s">
        <v>7</v>
      </c>
      <c r="AM169" s="27" t="s">
        <v>8</v>
      </c>
      <c r="AN169" s="27" t="s">
        <v>7</v>
      </c>
      <c r="AX169" s="27" t="s">
        <v>7</v>
      </c>
      <c r="AZ169" s="27" t="s">
        <v>7</v>
      </c>
      <c r="BJ169" s="27" t="s">
        <v>7</v>
      </c>
    </row>
    <row r="170" spans="1:65" x14ac:dyDescent="0.25">
      <c r="A170" s="30">
        <v>30.426425535513939</v>
      </c>
      <c r="E170"/>
      <c r="G170" s="27" t="s">
        <v>8</v>
      </c>
      <c r="H170" s="27" t="s">
        <v>7</v>
      </c>
      <c r="K170" s="27" t="s">
        <v>8</v>
      </c>
      <c r="AE170" s="27" t="s">
        <v>8</v>
      </c>
      <c r="AF170" s="27" t="s">
        <v>7</v>
      </c>
      <c r="AG170" s="27" t="s">
        <v>8</v>
      </c>
      <c r="AH170" s="27" t="s">
        <v>7</v>
      </c>
      <c r="AI170" s="27" t="s">
        <v>8</v>
      </c>
      <c r="AJ170" s="27" t="s">
        <v>7</v>
      </c>
      <c r="AK170" s="27" t="s">
        <v>8</v>
      </c>
      <c r="AL170" s="27" t="s">
        <v>7</v>
      </c>
      <c r="AM170" s="27" t="s">
        <v>8</v>
      </c>
      <c r="BJ170" s="27" t="s">
        <v>7</v>
      </c>
    </row>
    <row r="171" spans="1:65" x14ac:dyDescent="0.25">
      <c r="A171" s="30">
        <v>28.977548129060892</v>
      </c>
      <c r="E171"/>
      <c r="G171" s="27" t="s">
        <v>8</v>
      </c>
      <c r="H171" s="27" t="s">
        <v>7</v>
      </c>
      <c r="K171" s="27" t="s">
        <v>8</v>
      </c>
      <c r="L171" s="27" t="s">
        <v>7</v>
      </c>
      <c r="AE171" s="27" t="s">
        <v>8</v>
      </c>
      <c r="AF171" s="27" t="s">
        <v>7</v>
      </c>
      <c r="AG171" s="27" t="s">
        <v>8</v>
      </c>
      <c r="AH171" s="27" t="s">
        <v>7</v>
      </c>
      <c r="AI171" s="27" t="s">
        <v>8</v>
      </c>
      <c r="AJ171" s="27" t="s">
        <v>7</v>
      </c>
      <c r="AK171" s="27" t="s">
        <v>8</v>
      </c>
      <c r="AL171" s="27" t="s">
        <v>7</v>
      </c>
      <c r="BJ171" s="27" t="s">
        <v>7</v>
      </c>
    </row>
    <row r="172" spans="1:65" x14ac:dyDescent="0.25">
      <c r="A172" s="30">
        <v>27.597664884819896</v>
      </c>
      <c r="E172" t="s">
        <v>8</v>
      </c>
      <c r="G172" s="27" t="s">
        <v>8</v>
      </c>
      <c r="H172" s="27" t="s">
        <v>7</v>
      </c>
      <c r="I172" s="27" t="s">
        <v>8</v>
      </c>
      <c r="K172" s="27" t="s">
        <v>8</v>
      </c>
      <c r="L172" s="27" t="s">
        <v>7</v>
      </c>
      <c r="AE172" s="27" t="s">
        <v>8</v>
      </c>
      <c r="AF172" s="27" t="s">
        <v>7</v>
      </c>
      <c r="AG172" s="27" t="s">
        <v>8</v>
      </c>
      <c r="AH172" s="27" t="s">
        <v>7</v>
      </c>
      <c r="AI172" s="27" t="s">
        <v>8</v>
      </c>
      <c r="AJ172" s="27" t="s">
        <v>7</v>
      </c>
      <c r="AK172" s="27" t="s">
        <v>8</v>
      </c>
      <c r="BJ172" s="27" t="s">
        <v>7</v>
      </c>
    </row>
    <row r="173" spans="1:65" x14ac:dyDescent="0.25">
      <c r="A173" s="30">
        <v>26.283490366495137</v>
      </c>
      <c r="E173" t="s">
        <v>8</v>
      </c>
      <c r="F173" s="27" t="s">
        <v>7</v>
      </c>
      <c r="G173" s="27" t="s">
        <v>8</v>
      </c>
      <c r="H173" s="27" t="s">
        <v>7</v>
      </c>
      <c r="I173" s="27" t="s">
        <v>8</v>
      </c>
      <c r="J173" s="27" t="s">
        <v>7</v>
      </c>
      <c r="K173" s="27" t="s">
        <v>8</v>
      </c>
      <c r="L173" s="27" t="s">
        <v>7</v>
      </c>
      <c r="AE173" s="27" t="s">
        <v>8</v>
      </c>
      <c r="AF173" s="27" t="s">
        <v>7</v>
      </c>
      <c r="AG173" s="27" t="s">
        <v>8</v>
      </c>
      <c r="AH173" s="27" t="s">
        <v>7</v>
      </c>
      <c r="AI173" s="27" t="s">
        <v>8</v>
      </c>
      <c r="AJ173" s="27" t="s">
        <v>7</v>
      </c>
      <c r="BJ173" s="27" t="s">
        <v>7</v>
      </c>
      <c r="BK173" s="27" t="s">
        <v>8</v>
      </c>
      <c r="BM173" s="27" t="s">
        <v>8</v>
      </c>
    </row>
    <row r="174" spans="1:65" x14ac:dyDescent="0.25">
      <c r="A174" s="30">
        <v>25.031895587138223</v>
      </c>
      <c r="E174" t="s">
        <v>8</v>
      </c>
      <c r="F174" s="27" t="s">
        <v>7</v>
      </c>
      <c r="G174" s="27" t="s">
        <v>8</v>
      </c>
      <c r="H174" s="27" t="s">
        <v>7</v>
      </c>
      <c r="I174" s="27" t="s">
        <v>8</v>
      </c>
      <c r="J174" s="27" t="s">
        <v>7</v>
      </c>
      <c r="K174" s="27" t="s">
        <v>8</v>
      </c>
      <c r="L174" s="27" t="s">
        <v>7</v>
      </c>
      <c r="AE174" s="27" t="s">
        <v>8</v>
      </c>
      <c r="AF174" s="27" t="s">
        <v>7</v>
      </c>
      <c r="AG174" s="27" t="s">
        <v>8</v>
      </c>
      <c r="AH174" s="27" t="s">
        <v>7</v>
      </c>
      <c r="AI174" s="27" t="s">
        <v>8</v>
      </c>
      <c r="BJ174" s="27" t="s">
        <v>7</v>
      </c>
      <c r="BK174" s="27" t="s">
        <v>8</v>
      </c>
      <c r="BL174" s="27" t="s">
        <v>7</v>
      </c>
      <c r="BM174" s="27" t="s">
        <v>8</v>
      </c>
    </row>
    <row r="175" spans="1:65" x14ac:dyDescent="0.25">
      <c r="A175" s="30">
        <v>23.839900559179259</v>
      </c>
      <c r="E175" t="s">
        <v>8</v>
      </c>
      <c r="F175" s="27" t="s">
        <v>7</v>
      </c>
      <c r="G175" s="27" t="s">
        <v>8</v>
      </c>
      <c r="H175" s="27" t="s">
        <v>7</v>
      </c>
      <c r="J175" s="27" t="s">
        <v>7</v>
      </c>
      <c r="K175" s="27" t="s">
        <v>8</v>
      </c>
      <c r="L175" s="27" t="s">
        <v>7</v>
      </c>
      <c r="Y175" s="27" t="s">
        <v>8</v>
      </c>
      <c r="AA175" s="27" t="s">
        <v>8</v>
      </c>
      <c r="AC175" s="27" t="s">
        <v>8</v>
      </c>
      <c r="AE175" s="27" t="s">
        <v>8</v>
      </c>
      <c r="AF175" s="27" t="s">
        <v>7</v>
      </c>
      <c r="AG175" s="27" t="s">
        <v>8</v>
      </c>
      <c r="AH175" s="27" t="s">
        <v>7</v>
      </c>
      <c r="AI175" s="27" t="s">
        <v>8</v>
      </c>
      <c r="BJ175" s="27" t="s">
        <v>7</v>
      </c>
      <c r="BK175" s="27" t="s">
        <v>8</v>
      </c>
      <c r="BL175" s="27" t="s">
        <v>7</v>
      </c>
      <c r="BM175" s="27" t="s">
        <v>8</v>
      </c>
    </row>
    <row r="176" spans="1:65" x14ac:dyDescent="0.25">
      <c r="A176" s="30">
        <v>22.704667199218342</v>
      </c>
      <c r="E176" t="s">
        <v>8</v>
      </c>
      <c r="F176" s="27" t="s">
        <v>7</v>
      </c>
      <c r="J176" s="27" t="s">
        <v>7</v>
      </c>
      <c r="K176" s="27" t="s">
        <v>8</v>
      </c>
      <c r="L176" s="27" t="s">
        <v>7</v>
      </c>
      <c r="M176" s="27" t="s">
        <v>8</v>
      </c>
      <c r="Y176" s="27" t="s">
        <v>8</v>
      </c>
      <c r="Z176" s="27" t="s">
        <v>7</v>
      </c>
      <c r="AA176" s="27" t="s">
        <v>8</v>
      </c>
      <c r="AB176" s="27" t="s">
        <v>7</v>
      </c>
      <c r="AC176" s="27" t="s">
        <v>8</v>
      </c>
      <c r="AD176" s="27" t="s">
        <v>7</v>
      </c>
      <c r="AE176" s="27" t="s">
        <v>8</v>
      </c>
      <c r="AF176" s="27" t="s">
        <v>7</v>
      </c>
      <c r="AG176" s="27" t="s">
        <v>8</v>
      </c>
      <c r="AH176" s="27" t="s">
        <v>7</v>
      </c>
      <c r="BJ176" s="27" t="s">
        <v>7</v>
      </c>
      <c r="BK176" s="27" t="s">
        <v>8</v>
      </c>
      <c r="BL176" s="27" t="s">
        <v>7</v>
      </c>
      <c r="BM176" s="27" t="s">
        <v>8</v>
      </c>
    </row>
    <row r="177" spans="1:65" x14ac:dyDescent="0.25">
      <c r="A177" s="30">
        <v>21.623492570684135</v>
      </c>
      <c r="E177" t="s">
        <v>8</v>
      </c>
      <c r="J177" s="27" t="s">
        <v>7</v>
      </c>
      <c r="K177" s="27" t="s">
        <v>8</v>
      </c>
      <c r="L177" s="27" t="s">
        <v>7</v>
      </c>
      <c r="M177" s="27" t="s">
        <v>8</v>
      </c>
      <c r="N177" s="27" t="s">
        <v>7</v>
      </c>
      <c r="Q177" s="27" t="s">
        <v>8</v>
      </c>
      <c r="S177" s="27" t="s">
        <v>8</v>
      </c>
      <c r="Y177" s="27" t="s">
        <v>8</v>
      </c>
      <c r="Z177" s="27" t="s">
        <v>7</v>
      </c>
      <c r="AA177" s="27" t="s">
        <v>8</v>
      </c>
      <c r="AB177" s="27" t="s">
        <v>7</v>
      </c>
      <c r="AC177" s="27" t="s">
        <v>8</v>
      </c>
      <c r="AD177" s="27" t="s">
        <v>7</v>
      </c>
      <c r="AE177" s="27" t="s">
        <v>8</v>
      </c>
      <c r="AF177" s="27" t="s">
        <v>7</v>
      </c>
      <c r="AG177" s="27" t="s">
        <v>8</v>
      </c>
      <c r="BJ177" s="27" t="s">
        <v>7</v>
      </c>
      <c r="BL177" s="27" t="s">
        <v>7</v>
      </c>
      <c r="BM177" s="27" t="s">
        <v>8</v>
      </c>
    </row>
    <row r="178" spans="1:65" x14ac:dyDescent="0.25">
      <c r="A178" s="30">
        <v>20.593802448270605</v>
      </c>
      <c r="C178" s="7"/>
      <c r="D178"/>
      <c r="E178" t="s">
        <v>8</v>
      </c>
      <c r="J178" s="27" t="s">
        <v>7</v>
      </c>
      <c r="K178" s="27" t="s">
        <v>8</v>
      </c>
      <c r="L178" s="27" t="s">
        <v>7</v>
      </c>
      <c r="M178" s="27" t="s">
        <v>8</v>
      </c>
      <c r="N178" s="27" t="s">
        <v>7</v>
      </c>
      <c r="Q178" s="27" t="s">
        <v>8</v>
      </c>
      <c r="R178" s="27" t="s">
        <v>7</v>
      </c>
      <c r="S178" s="27" t="s">
        <v>8</v>
      </c>
      <c r="T178" s="27" t="s">
        <v>7</v>
      </c>
      <c r="U178" s="27" t="s">
        <v>8</v>
      </c>
      <c r="W178" s="27" t="s">
        <v>8</v>
      </c>
      <c r="Y178" s="27" t="s">
        <v>8</v>
      </c>
      <c r="Z178" s="27" t="s">
        <v>7</v>
      </c>
      <c r="AA178" s="27" t="s">
        <v>8</v>
      </c>
      <c r="AB178" s="27" t="s">
        <v>7</v>
      </c>
      <c r="AC178" s="27" t="s">
        <v>8</v>
      </c>
      <c r="AD178" s="27" t="s">
        <v>7</v>
      </c>
      <c r="AE178" s="27" t="s">
        <v>8</v>
      </c>
      <c r="AF178" s="27" t="s">
        <v>7</v>
      </c>
      <c r="BL178" s="27" t="s">
        <v>7</v>
      </c>
    </row>
    <row r="179" spans="1:65" x14ac:dyDescent="0.25">
      <c r="A179" s="30">
        <v>19.613145188829147</v>
      </c>
      <c r="E179" t="s">
        <v>8</v>
      </c>
      <c r="J179" s="27" t="s">
        <v>7</v>
      </c>
      <c r="L179" s="27" t="s">
        <v>7</v>
      </c>
      <c r="M179" s="27" t="s">
        <v>8</v>
      </c>
      <c r="N179" s="27" t="s">
        <v>7</v>
      </c>
      <c r="Q179" s="27" t="s">
        <v>8</v>
      </c>
      <c r="R179" s="27" t="s">
        <v>7</v>
      </c>
      <c r="S179" s="27" t="s">
        <v>8</v>
      </c>
      <c r="T179" s="27" t="s">
        <v>7</v>
      </c>
      <c r="U179" s="27" t="s">
        <v>8</v>
      </c>
      <c r="V179" s="27" t="s">
        <v>7</v>
      </c>
      <c r="W179" s="27" t="s">
        <v>8</v>
      </c>
      <c r="X179" s="27" t="s">
        <v>7</v>
      </c>
      <c r="Y179" s="27" t="s">
        <v>8</v>
      </c>
      <c r="Z179" s="27" t="s">
        <v>7</v>
      </c>
      <c r="AA179" s="27" t="s">
        <v>8</v>
      </c>
      <c r="AB179" s="27" t="s">
        <v>7</v>
      </c>
      <c r="AC179" s="27" t="s">
        <v>8</v>
      </c>
      <c r="AD179" s="27" t="s">
        <v>7</v>
      </c>
      <c r="AE179" s="27" t="s">
        <v>8</v>
      </c>
    </row>
    <row r="180" spans="1:65" x14ac:dyDescent="0.25">
      <c r="A180" s="30">
        <v>18.679185894122998</v>
      </c>
      <c r="E180" t="s">
        <v>8</v>
      </c>
      <c r="L180" s="27" t="s">
        <v>7</v>
      </c>
      <c r="N180" s="27" t="s">
        <v>7</v>
      </c>
      <c r="Q180" s="27" t="s">
        <v>8</v>
      </c>
      <c r="R180" s="27" t="s">
        <v>7</v>
      </c>
      <c r="S180" s="27" t="s">
        <v>8</v>
      </c>
      <c r="T180" s="27" t="s">
        <v>7</v>
      </c>
      <c r="U180" s="27" t="s">
        <v>8</v>
      </c>
      <c r="V180" s="27" t="s">
        <v>7</v>
      </c>
      <c r="W180" s="27" t="s">
        <v>8</v>
      </c>
      <c r="X180" s="27" t="s">
        <v>7</v>
      </c>
      <c r="Y180" s="27" t="s">
        <v>8</v>
      </c>
      <c r="Z180" s="27" t="s">
        <v>7</v>
      </c>
      <c r="AB180" s="27" t="s">
        <v>7</v>
      </c>
      <c r="AC180" s="27" t="s">
        <v>8</v>
      </c>
      <c r="AD180" s="27" t="s">
        <v>7</v>
      </c>
      <c r="AE180" s="27" t="s">
        <v>8</v>
      </c>
    </row>
    <row r="181" spans="1:65" x14ac:dyDescent="0.25">
      <c r="A181" s="30">
        <v>17.78970085154571</v>
      </c>
      <c r="C181"/>
      <c r="D181"/>
      <c r="E181" t="s">
        <v>8</v>
      </c>
      <c r="N181" s="27" t="s">
        <v>7</v>
      </c>
      <c r="Q181" s="27" t="s">
        <v>8</v>
      </c>
      <c r="R181" s="27" t="s">
        <v>7</v>
      </c>
      <c r="S181" s="27" t="s">
        <v>8</v>
      </c>
      <c r="T181" s="27" t="s">
        <v>7</v>
      </c>
      <c r="V181" s="27" t="s">
        <v>7</v>
      </c>
      <c r="X181" s="27" t="s">
        <v>7</v>
      </c>
      <c r="AB181" s="27" t="s">
        <v>7</v>
      </c>
      <c r="AC181" s="27" t="s">
        <v>8</v>
      </c>
      <c r="AD181" s="27" t="s">
        <v>7</v>
      </c>
      <c r="AE181" s="27" t="s">
        <v>8</v>
      </c>
    </row>
    <row r="182" spans="1:65" x14ac:dyDescent="0.25">
      <c r="A182" s="30">
        <v>16.942572239567344</v>
      </c>
      <c r="E182" t="s">
        <v>8</v>
      </c>
      <c r="N182" s="27" t="s">
        <v>7</v>
      </c>
      <c r="O182" s="27" t="s">
        <v>8</v>
      </c>
      <c r="Q182" s="27" t="s">
        <v>8</v>
      </c>
      <c r="R182" s="27" t="s">
        <v>7</v>
      </c>
      <c r="S182" s="27" t="s">
        <v>8</v>
      </c>
      <c r="AB182" s="27" t="s">
        <v>7</v>
      </c>
      <c r="AC182" s="27" t="s">
        <v>8</v>
      </c>
      <c r="AD182" s="27" t="s">
        <v>7</v>
      </c>
      <c r="AE182" s="27" t="s">
        <v>8</v>
      </c>
    </row>
    <row r="183" spans="1:65" x14ac:dyDescent="0.25">
      <c r="A183" s="30">
        <v>16.135783085302233</v>
      </c>
      <c r="E183" t="s">
        <v>8</v>
      </c>
      <c r="N183" s="27" t="s">
        <v>7</v>
      </c>
      <c r="O183" s="27" t="s">
        <v>8</v>
      </c>
      <c r="P183" s="27" t="s">
        <v>7</v>
      </c>
      <c r="Q183" s="27" t="s">
        <v>8</v>
      </c>
      <c r="R183" s="27" t="s">
        <v>7</v>
      </c>
      <c r="AB183" s="27" t="s">
        <v>7</v>
      </c>
      <c r="AD183" s="27" t="s">
        <v>7</v>
      </c>
    </row>
    <row r="184" spans="1:65" x14ac:dyDescent="0.25">
      <c r="A184" s="30">
        <v>15.367412462192602</v>
      </c>
      <c r="E184" t="s">
        <v>8</v>
      </c>
      <c r="N184" s="27" t="s">
        <v>7</v>
      </c>
      <c r="O184" s="27" t="s">
        <v>8</v>
      </c>
      <c r="P184" s="27" t="s">
        <v>7</v>
      </c>
      <c r="Q184" s="27" t="s">
        <v>8</v>
      </c>
    </row>
    <row r="185" spans="1:65" x14ac:dyDescent="0.25">
      <c r="A185" s="30">
        <v>14.635630916373906</v>
      </c>
      <c r="C185"/>
      <c r="E185" t="s">
        <v>8</v>
      </c>
      <c r="N185" s="27" t="s">
        <v>7</v>
      </c>
      <c r="O185" s="27" t="s">
        <v>8</v>
      </c>
      <c r="P185" s="27" t="s">
        <v>7</v>
      </c>
      <c r="Q185" s="27" t="s">
        <v>8</v>
      </c>
    </row>
    <row r="186" spans="1:65" x14ac:dyDescent="0.25">
      <c r="A186" s="30">
        <v>13.938696110832291</v>
      </c>
      <c r="E186" t="s">
        <v>8</v>
      </c>
      <c r="N186" s="27" t="s">
        <v>7</v>
      </c>
      <c r="O186" s="27" t="s">
        <v>8</v>
      </c>
      <c r="P186" s="27" t="s">
        <v>7</v>
      </c>
      <c r="Q186" s="27" t="s">
        <v>8</v>
      </c>
    </row>
    <row r="187" spans="1:6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N187" s="27" t="s">
        <v>7</v>
      </c>
      <c r="O187" s="27" t="s">
        <v>8</v>
      </c>
      <c r="P187" s="27" t="s">
        <v>7</v>
      </c>
      <c r="Q187" s="27" t="s">
        <v>8</v>
      </c>
    </row>
    <row r="188" spans="1:65" x14ac:dyDescent="0.25">
      <c r="A188" s="30">
        <v>12.64280826379346</v>
      </c>
      <c r="E188" t="s">
        <v>8</v>
      </c>
      <c r="N188" s="27" t="s">
        <v>7</v>
      </c>
      <c r="P188" s="27" t="s">
        <v>7</v>
      </c>
      <c r="Q188" s="27" t="s">
        <v>8</v>
      </c>
    </row>
    <row r="189" spans="1:65" x14ac:dyDescent="0.25">
      <c r="A189" s="30">
        <v>12.04076977504139</v>
      </c>
      <c r="E189" t="s">
        <v>8</v>
      </c>
      <c r="P189" s="18" t="s">
        <v>7</v>
      </c>
      <c r="Q189" s="27" t="s">
        <v>8</v>
      </c>
    </row>
    <row r="190" spans="1:65" x14ac:dyDescent="0.25">
      <c r="A190" s="30">
        <v>11.467399785753704</v>
      </c>
      <c r="E190" t="s">
        <v>8</v>
      </c>
      <c r="P190" s="27" t="s">
        <v>7</v>
      </c>
      <c r="Q190" s="27" t="s">
        <v>8</v>
      </c>
    </row>
    <row r="191" spans="1:65" x14ac:dyDescent="0.25">
      <c r="A191" s="30">
        <v>10.921333129289241</v>
      </c>
      <c r="E191" t="s">
        <v>8</v>
      </c>
      <c r="P191" s="27" t="s">
        <v>7</v>
      </c>
    </row>
    <row r="192" spans="1:6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65" operator="equal">
      <formula>$U$1</formula>
    </cfRule>
    <cfRule type="cellIs" dxfId="67" priority="666" operator="equal">
      <formula>$S$1</formula>
    </cfRule>
  </conditionalFormatting>
  <conditionalFormatting sqref="D136">
    <cfRule type="cellIs" dxfId="66" priority="663" operator="equal">
      <formula>$S$1</formula>
    </cfRule>
    <cfRule type="cellIs" dxfId="65" priority="664" operator="equal">
      <formula>$U$1</formula>
    </cfRule>
  </conditionalFormatting>
  <conditionalFormatting sqref="C162">
    <cfRule type="cellIs" dxfId="64" priority="661" operator="equal">
      <formula>$U$1</formula>
    </cfRule>
    <cfRule type="cellIs" dxfId="63" priority="662" operator="equal">
      <formula>$S$1</formula>
    </cfRule>
  </conditionalFormatting>
  <conditionalFormatting sqref="D162">
    <cfRule type="cellIs" dxfId="62" priority="659" operator="equal">
      <formula>$S$1</formula>
    </cfRule>
    <cfRule type="cellIs" dxfId="61" priority="660" operator="equal">
      <formula>$U$1</formula>
    </cfRule>
  </conditionalFormatting>
  <conditionalFormatting sqref="C187">
    <cfRule type="cellIs" dxfId="60" priority="657" operator="equal">
      <formula>$U$1</formula>
    </cfRule>
    <cfRule type="cellIs" dxfId="59" priority="658" operator="equal">
      <formula>$S$1</formula>
    </cfRule>
  </conditionalFormatting>
  <conditionalFormatting sqref="D187">
    <cfRule type="cellIs" dxfId="58" priority="655" operator="equal">
      <formula>$S$1</formula>
    </cfRule>
    <cfRule type="cellIs" dxfId="57" priority="656" operator="equal">
      <formula>$U$1</formula>
    </cfRule>
  </conditionalFormatting>
  <conditionalFormatting sqref="C212">
    <cfRule type="cellIs" dxfId="56" priority="653" operator="equal">
      <formula>$U$1</formula>
    </cfRule>
    <cfRule type="cellIs" dxfId="55" priority="654" operator="equal">
      <formula>$S$1</formula>
    </cfRule>
  </conditionalFormatting>
  <conditionalFormatting sqref="D212">
    <cfRule type="cellIs" dxfId="54" priority="651" operator="equal">
      <formula>$S$1</formula>
    </cfRule>
    <cfRule type="cellIs" dxfId="53" priority="652" operator="equal">
      <formula>$U$1</formula>
    </cfRule>
  </conditionalFormatting>
  <conditionalFormatting sqref="C237">
    <cfRule type="cellIs" dxfId="52" priority="649" operator="equal">
      <formula>$U$1</formula>
    </cfRule>
    <cfRule type="cellIs" dxfId="51" priority="650" operator="equal">
      <formula>$S$1</formula>
    </cfRule>
  </conditionalFormatting>
  <conditionalFormatting sqref="D237">
    <cfRule type="cellIs" dxfId="50" priority="647" operator="equal">
      <formula>$S$1</formula>
    </cfRule>
    <cfRule type="cellIs" dxfId="49" priority="648" operator="equal">
      <formula>$U$1</formula>
    </cfRule>
  </conditionalFormatting>
  <conditionalFormatting sqref="C106">
    <cfRule type="cellIs" dxfId="48" priority="645" operator="equal">
      <formula>$U$1</formula>
    </cfRule>
    <cfRule type="cellIs" dxfId="47" priority="646" operator="equal">
      <formula>$S$1</formula>
    </cfRule>
  </conditionalFormatting>
  <conditionalFormatting sqref="D106">
    <cfRule type="cellIs" dxfId="46" priority="643" operator="equal">
      <formula>$S$1</formula>
    </cfRule>
    <cfRule type="cellIs" dxfId="45" priority="644" operator="equal">
      <formula>$U$1</formula>
    </cfRule>
  </conditionalFormatting>
  <conditionalFormatting sqref="C81">
    <cfRule type="cellIs" dxfId="44" priority="641" operator="equal">
      <formula>$U$1</formula>
    </cfRule>
    <cfRule type="cellIs" dxfId="43" priority="642" operator="equal">
      <formula>$S$1</formula>
    </cfRule>
  </conditionalFormatting>
  <conditionalFormatting sqref="D81">
    <cfRule type="cellIs" dxfId="42" priority="639" operator="equal">
      <formula>$S$1</formula>
    </cfRule>
    <cfRule type="cellIs" dxfId="41" priority="640" operator="equal">
      <formula>$U$1</formula>
    </cfRule>
  </conditionalFormatting>
  <conditionalFormatting sqref="C56">
    <cfRule type="cellIs" dxfId="40" priority="637" operator="equal">
      <formula>$U$1</formula>
    </cfRule>
    <cfRule type="cellIs" dxfId="39" priority="638" operator="equal">
      <formula>$S$1</formula>
    </cfRule>
  </conditionalFormatting>
  <conditionalFormatting sqref="D56">
    <cfRule type="cellIs" dxfId="38" priority="635" operator="equal">
      <formula>$S$1</formula>
    </cfRule>
    <cfRule type="cellIs" dxfId="37" priority="636" operator="equal">
      <formula>$U$1</formula>
    </cfRule>
  </conditionalFormatting>
  <conditionalFormatting sqref="C31">
    <cfRule type="cellIs" dxfId="36" priority="633" operator="equal">
      <formula>$U$1</formula>
    </cfRule>
    <cfRule type="cellIs" dxfId="35" priority="634" operator="equal">
      <formula>$S$1</formula>
    </cfRule>
  </conditionalFormatting>
  <conditionalFormatting sqref="D31">
    <cfRule type="cellIs" dxfId="34" priority="631" operator="equal">
      <formula>$S$1</formula>
    </cfRule>
    <cfRule type="cellIs" dxfId="33" priority="63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Z89" sqref="Z8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26" x14ac:dyDescent="0.25">
      <c r="A65" s="30">
        <v>207.96505671840671</v>
      </c>
      <c r="E65"/>
    </row>
    <row r="66" spans="1:26" x14ac:dyDescent="0.25">
      <c r="A66" s="30">
        <v>189.05914247127882</v>
      </c>
      <c r="E66"/>
    </row>
    <row r="67" spans="1:26" x14ac:dyDescent="0.25">
      <c r="A67" s="30">
        <v>171.87194770116255</v>
      </c>
      <c r="C67" s="1" t="s">
        <v>15</v>
      </c>
      <c r="E67"/>
    </row>
    <row r="68" spans="1:26" x14ac:dyDescent="0.25">
      <c r="A68" s="30">
        <v>156.24722518287504</v>
      </c>
      <c r="C68" s="7">
        <v>0.11167815779424731</v>
      </c>
      <c r="D68"/>
      <c r="E68"/>
    </row>
    <row r="69" spans="1:26" x14ac:dyDescent="0.25">
      <c r="A69" s="30">
        <v>142.04293198443185</v>
      </c>
      <c r="E69"/>
    </row>
    <row r="70" spans="1:26" x14ac:dyDescent="0.25">
      <c r="A70" s="30">
        <v>129.1299381676653</v>
      </c>
      <c r="C70" s="1" t="s">
        <v>11</v>
      </c>
      <c r="D70" s="1" t="s">
        <v>12</v>
      </c>
      <c r="E70"/>
    </row>
    <row r="71" spans="1:26" x14ac:dyDescent="0.25">
      <c r="A71" s="30">
        <v>117.39085287969573</v>
      </c>
      <c r="C71"/>
      <c r="D71"/>
      <c r="E71"/>
    </row>
    <row r="72" spans="1:26" x14ac:dyDescent="0.25">
      <c r="A72" s="30">
        <v>106.71895716335975</v>
      </c>
      <c r="E72"/>
    </row>
    <row r="73" spans="1:26" x14ac:dyDescent="0.25">
      <c r="A73" s="30">
        <v>97.017233784872488</v>
      </c>
      <c r="C73" s="1" t="s">
        <v>13</v>
      </c>
      <c r="E73"/>
      <c r="S73" s="27" t="s">
        <v>8</v>
      </c>
    </row>
    <row r="74" spans="1:26" x14ac:dyDescent="0.25">
      <c r="A74" s="30">
        <v>88.197485258974979</v>
      </c>
      <c r="C74" s="1">
        <f>C63</f>
        <v>0</v>
      </c>
      <c r="E74"/>
      <c r="S74" s="27" t="s">
        <v>8</v>
      </c>
      <c r="T74" s="27" t="s">
        <v>7</v>
      </c>
    </row>
    <row r="75" spans="1:26" x14ac:dyDescent="0.25">
      <c r="A75" s="30">
        <v>80.179532053613613</v>
      </c>
      <c r="C75"/>
      <c r="D75"/>
      <c r="E75"/>
      <c r="S75" s="27" t="s">
        <v>8</v>
      </c>
      <c r="T75" s="27" t="s">
        <v>7</v>
      </c>
    </row>
    <row r="76" spans="1:26" x14ac:dyDescent="0.25">
      <c r="A76" s="30">
        <v>72.890483685103277</v>
      </c>
      <c r="C76" s="1" t="s">
        <v>14</v>
      </c>
      <c r="E76"/>
      <c r="S76" s="27" t="s">
        <v>8</v>
      </c>
      <c r="T76" s="27" t="s">
        <v>7</v>
      </c>
    </row>
    <row r="77" spans="1:26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S77" s="27" t="s">
        <v>8</v>
      </c>
      <c r="T77" s="27" t="s">
        <v>7</v>
      </c>
      <c r="U77" s="27" t="s">
        <v>8</v>
      </c>
    </row>
    <row r="78" spans="1:26" x14ac:dyDescent="0.25">
      <c r="A78" s="30">
        <v>60.240069161242367</v>
      </c>
      <c r="E78"/>
      <c r="S78" s="27" t="s">
        <v>8</v>
      </c>
      <c r="T78" s="27" t="s">
        <v>7</v>
      </c>
      <c r="U78" s="27" t="s">
        <v>8</v>
      </c>
      <c r="V78" s="27" t="s">
        <v>7</v>
      </c>
    </row>
    <row r="79" spans="1:26" x14ac:dyDescent="0.25">
      <c r="A79" s="30">
        <v>54.763699237493057</v>
      </c>
      <c r="E79"/>
      <c r="S79" s="27" t="s">
        <v>8</v>
      </c>
      <c r="T79" s="27" t="s">
        <v>7</v>
      </c>
      <c r="U79" s="27" t="s">
        <v>8</v>
      </c>
      <c r="V79" s="27" t="s">
        <v>7</v>
      </c>
      <c r="Y79" s="27" t="s">
        <v>8</v>
      </c>
    </row>
    <row r="80" spans="1:26" x14ac:dyDescent="0.25">
      <c r="A80" s="30">
        <v>49.785181124993684</v>
      </c>
      <c r="E80"/>
      <c r="S80" s="27" t="s">
        <v>8</v>
      </c>
      <c r="T80" s="27" t="s">
        <v>7</v>
      </c>
      <c r="V80" s="27" t="s">
        <v>7</v>
      </c>
      <c r="Y80" s="27" t="s">
        <v>8</v>
      </c>
      <c r="Z80" s="27" t="s">
        <v>7</v>
      </c>
    </row>
    <row r="81" spans="1:26" x14ac:dyDescent="0.25">
      <c r="A81" s="30">
        <v>45.259255568176073</v>
      </c>
      <c r="E81"/>
      <c r="S81" s="27" t="s">
        <v>8</v>
      </c>
      <c r="V81" s="27" t="s">
        <v>7</v>
      </c>
      <c r="W81" s="27" t="s">
        <v>8</v>
      </c>
      <c r="Y81" s="27" t="s">
        <v>8</v>
      </c>
      <c r="Z81" s="27" t="s">
        <v>7</v>
      </c>
    </row>
    <row r="82" spans="1:26" x14ac:dyDescent="0.25">
      <c r="A82" s="30">
        <v>41.144777789250973</v>
      </c>
      <c r="E82"/>
      <c r="S82" s="27" t="s">
        <v>8</v>
      </c>
      <c r="V82" s="27" t="s">
        <v>7</v>
      </c>
      <c r="W82" s="27" t="s">
        <v>8</v>
      </c>
      <c r="X82" s="27" t="s">
        <v>7</v>
      </c>
      <c r="Y82" s="27" t="s">
        <v>8</v>
      </c>
      <c r="Z82" s="27" t="s">
        <v>7</v>
      </c>
    </row>
    <row r="83" spans="1:26" x14ac:dyDescent="0.25">
      <c r="A83" s="30">
        <v>37.404343444773609</v>
      </c>
      <c r="E83"/>
      <c r="S83" s="27" t="s">
        <v>8</v>
      </c>
      <c r="V83" s="27" t="s">
        <v>7</v>
      </c>
      <c r="W83" s="27" t="s">
        <v>8</v>
      </c>
      <c r="X83" s="27" t="s">
        <v>7</v>
      </c>
      <c r="Y83" s="27" t="s">
        <v>8</v>
      </c>
      <c r="Z83" s="27" t="s">
        <v>7</v>
      </c>
    </row>
    <row r="84" spans="1:26" x14ac:dyDescent="0.25">
      <c r="A84" s="30">
        <v>34.003948586157826</v>
      </c>
      <c r="E84"/>
      <c r="Q84" s="27" t="s">
        <v>8</v>
      </c>
      <c r="S84" s="27" t="s">
        <v>8</v>
      </c>
      <c r="V84" s="27" t="s">
        <v>7</v>
      </c>
      <c r="X84" s="27" t="s">
        <v>7</v>
      </c>
      <c r="Z84" s="27" t="s">
        <v>7</v>
      </c>
    </row>
    <row r="85" spans="1:26" x14ac:dyDescent="0.25">
      <c r="A85" s="30">
        <v>30.912680532870748</v>
      </c>
      <c r="E85" t="s">
        <v>8</v>
      </c>
      <c r="G85" s="27" t="s">
        <v>8</v>
      </c>
      <c r="O85" s="27" t="s">
        <v>8</v>
      </c>
      <c r="Q85" s="27" t="s">
        <v>8</v>
      </c>
      <c r="R85" s="27" t="s">
        <v>7</v>
      </c>
      <c r="S85" s="27" t="s">
        <v>8</v>
      </c>
      <c r="Z85" s="27" t="s">
        <v>7</v>
      </c>
    </row>
    <row r="86" spans="1:26" x14ac:dyDescent="0.25">
      <c r="A86" s="30">
        <v>28.102436848064315</v>
      </c>
      <c r="E86" t="s">
        <v>8</v>
      </c>
      <c r="F86" s="27" t="s">
        <v>7</v>
      </c>
      <c r="G86" s="27" t="s">
        <v>8</v>
      </c>
      <c r="H86" s="27" t="s">
        <v>7</v>
      </c>
      <c r="O86" s="27" t="s">
        <v>8</v>
      </c>
      <c r="P86" s="27" t="s">
        <v>7</v>
      </c>
      <c r="Q86" s="27" t="s">
        <v>8</v>
      </c>
      <c r="R86" s="27" t="s">
        <v>7</v>
      </c>
      <c r="S86" s="27" t="s">
        <v>8</v>
      </c>
      <c r="Z86" s="27" t="s">
        <v>7</v>
      </c>
    </row>
    <row r="87" spans="1:26" x14ac:dyDescent="0.25">
      <c r="A87" s="30">
        <v>25.547669861876649</v>
      </c>
      <c r="E87" t="s">
        <v>8</v>
      </c>
      <c r="F87" s="27" t="s">
        <v>7</v>
      </c>
      <c r="G87" s="27" t="s">
        <v>8</v>
      </c>
      <c r="H87" s="27" t="s">
        <v>7</v>
      </c>
      <c r="O87" s="27" t="s">
        <v>8</v>
      </c>
      <c r="P87" s="27" t="s">
        <v>7</v>
      </c>
      <c r="Q87" s="27" t="s">
        <v>8</v>
      </c>
      <c r="R87" s="27" t="s">
        <v>7</v>
      </c>
      <c r="S87" s="27" t="s">
        <v>8</v>
      </c>
      <c r="Z87" s="27" t="s">
        <v>7</v>
      </c>
    </row>
    <row r="88" spans="1:26" x14ac:dyDescent="0.25">
      <c r="A88" s="30">
        <v>23.225154419887861</v>
      </c>
      <c r="E88" t="s">
        <v>8</v>
      </c>
      <c r="F88" s="27" t="s">
        <v>7</v>
      </c>
      <c r="G88" s="27" t="s">
        <v>8</v>
      </c>
      <c r="H88" s="27" t="s">
        <v>7</v>
      </c>
      <c r="K88" s="27" t="s">
        <v>8</v>
      </c>
      <c r="M88" s="27" t="s">
        <v>8</v>
      </c>
      <c r="O88" s="27" t="s">
        <v>8</v>
      </c>
      <c r="P88" s="27" t="s">
        <v>7</v>
      </c>
      <c r="Q88" s="27" t="s">
        <v>8</v>
      </c>
      <c r="R88" s="27" t="s">
        <v>7</v>
      </c>
      <c r="Z88" s="27" t="s">
        <v>7</v>
      </c>
    </row>
    <row r="89" spans="1:26" x14ac:dyDescent="0.25">
      <c r="A89" s="30">
        <v>21.113776745352599</v>
      </c>
      <c r="E89" t="s">
        <v>8</v>
      </c>
      <c r="F89" s="27" t="s">
        <v>7</v>
      </c>
      <c r="H89" s="27" t="s">
        <v>7</v>
      </c>
      <c r="I89" s="27" t="s">
        <v>8</v>
      </c>
      <c r="K89" s="27" t="s">
        <v>8</v>
      </c>
      <c r="L89" s="27" t="s">
        <v>7</v>
      </c>
      <c r="M89" s="27" t="s">
        <v>8</v>
      </c>
      <c r="N89" s="27" t="s">
        <v>7</v>
      </c>
      <c r="O89" s="27" t="s">
        <v>8</v>
      </c>
      <c r="P89" s="27" t="s">
        <v>7</v>
      </c>
      <c r="Z89" s="27" t="s">
        <v>7</v>
      </c>
    </row>
    <row r="90" spans="1:26" x14ac:dyDescent="0.25">
      <c r="A90" s="30">
        <v>19.194342495775089</v>
      </c>
      <c r="E90" t="s">
        <v>8</v>
      </c>
      <c r="H90" s="27" t="s">
        <v>7</v>
      </c>
      <c r="I90" s="27" t="s">
        <v>8</v>
      </c>
      <c r="J90" s="27" t="s">
        <v>7</v>
      </c>
      <c r="K90" s="27" t="s">
        <v>8</v>
      </c>
      <c r="L90" s="27" t="s">
        <v>7</v>
      </c>
      <c r="M90" s="27" t="s">
        <v>8</v>
      </c>
      <c r="N90" s="27" t="s">
        <v>7</v>
      </c>
      <c r="O90" s="27" t="s">
        <v>8</v>
      </c>
    </row>
    <row r="91" spans="1:26" x14ac:dyDescent="0.25">
      <c r="A91" s="30">
        <v>17.449402268886445</v>
      </c>
      <c r="E91" t="s">
        <v>8</v>
      </c>
      <c r="H91" s="27" t="s">
        <v>7</v>
      </c>
      <c r="I91" s="27" t="s">
        <v>8</v>
      </c>
      <c r="J91" s="27" t="s">
        <v>7</v>
      </c>
      <c r="K91" s="27" t="s">
        <v>8</v>
      </c>
      <c r="L91" s="27" t="s">
        <v>7</v>
      </c>
      <c r="M91" s="27" t="s">
        <v>8</v>
      </c>
      <c r="N91" s="27" t="s">
        <v>7</v>
      </c>
      <c r="O91" s="27" t="s">
        <v>8</v>
      </c>
    </row>
    <row r="92" spans="1:26" x14ac:dyDescent="0.25">
      <c r="A92" s="30">
        <v>15.863092971714948</v>
      </c>
      <c r="C92" s="1" t="s">
        <v>15</v>
      </c>
      <c r="E92" t="s">
        <v>8</v>
      </c>
      <c r="H92" s="27" t="s">
        <v>7</v>
      </c>
      <c r="I92" s="27" t="s">
        <v>8</v>
      </c>
      <c r="J92" s="27" t="s">
        <v>7</v>
      </c>
      <c r="L92" s="27" t="s">
        <v>7</v>
      </c>
      <c r="N92" s="27" t="s">
        <v>7</v>
      </c>
    </row>
    <row r="93" spans="1:26" x14ac:dyDescent="0.25">
      <c r="A93" s="30">
        <v>14.420993610649951</v>
      </c>
      <c r="C93" s="7">
        <v>0.11167815779424731</v>
      </c>
      <c r="D93"/>
      <c r="E93" t="s">
        <v>8</v>
      </c>
      <c r="H93" s="27" t="s">
        <v>7</v>
      </c>
      <c r="I93" s="27" t="s">
        <v>8</v>
      </c>
    </row>
    <row r="94" spans="1:26" x14ac:dyDescent="0.25">
      <c r="A94" s="30">
        <v>13.109994191499954</v>
      </c>
      <c r="E94" t="s">
        <v>8</v>
      </c>
      <c r="H94" s="27" t="s">
        <v>7</v>
      </c>
      <c r="I94" s="27" t="s">
        <v>8</v>
      </c>
    </row>
    <row r="95" spans="1:26" x14ac:dyDescent="0.25">
      <c r="A95" s="30">
        <v>11.918176537727231</v>
      </c>
      <c r="C95" s="1" t="s">
        <v>11</v>
      </c>
      <c r="D95" s="1" t="s">
        <v>12</v>
      </c>
      <c r="E95" t="s">
        <v>8</v>
      </c>
      <c r="H95" s="18" t="s">
        <v>7</v>
      </c>
      <c r="I95" s="27" t="s">
        <v>8</v>
      </c>
    </row>
    <row r="96" spans="1:26" x14ac:dyDescent="0.25">
      <c r="A96" s="30">
        <v>10.834705943388391</v>
      </c>
      <c r="C96"/>
      <c r="D96"/>
      <c r="E96" t="s">
        <v>8</v>
      </c>
      <c r="H96" s="27" t="s">
        <v>7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$A$88</v>
      </c>
      <c r="D111" s="1" t="str">
        <f>ADDRESS(C121-1,D121,1,1)</f>
        <v>$Z$88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$A$89</v>
      </c>
      <c r="D112" s="1" t="str">
        <f>ADDRESS(C121,D121-1,1,1)</f>
        <v>$Y$89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$A$90</v>
      </c>
      <c r="D113" s="1" t="str">
        <f>ADDRESS(C121-1,D121+1,1,1)</f>
        <v>$AA$88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$Z$89</v>
      </c>
      <c r="D114" s="1" t="str">
        <f>ADDRESS(C121+1,D121+1,1,1)</f>
        <v>$AA$90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$Z$90</v>
      </c>
      <c r="E115" s="1" t="s">
        <v>8</v>
      </c>
    </row>
    <row r="116" spans="1:5" x14ac:dyDescent="0.25">
      <c r="A116" s="30">
        <v>1.6105100000000008</v>
      </c>
      <c r="C116" s="1">
        <f>C117-1</f>
        <v>88</v>
      </c>
      <c r="E116" s="1" t="s">
        <v>8</v>
      </c>
    </row>
    <row r="117" spans="1:5" x14ac:dyDescent="0.25">
      <c r="A117" s="30">
        <v>1.4641000000000006</v>
      </c>
      <c r="C117" s="1">
        <f>C121</f>
        <v>89</v>
      </c>
      <c r="D117" s="1">
        <f>D121</f>
        <v>26</v>
      </c>
      <c r="E117" s="1" t="s">
        <v>8</v>
      </c>
    </row>
    <row r="118" spans="1:5" x14ac:dyDescent="0.25">
      <c r="A118" s="30">
        <v>1.3310000000000004</v>
      </c>
      <c r="C118" s="1">
        <f>C117+1</f>
        <v>90</v>
      </c>
      <c r="D118" s="1">
        <f>D117+1</f>
        <v>27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89</v>
      </c>
      <c r="D121" s="19">
        <v>26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R89</v>
      </c>
      <c r="D123" s="1" t="str">
        <f>"C"&amp;D121</f>
        <v>C26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21.113776745352599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49" operator="equal">
      <formula>$U$1</formula>
    </cfRule>
    <cfRule type="cellIs" dxfId="30" priority="650" operator="equal">
      <formula>$S$1</formula>
    </cfRule>
  </conditionalFormatting>
  <conditionalFormatting sqref="D136">
    <cfRule type="cellIs" dxfId="29" priority="647" operator="equal">
      <formula>$S$1</formula>
    </cfRule>
    <cfRule type="cellIs" dxfId="28" priority="648" operator="equal">
      <formula>$U$1</formula>
    </cfRule>
  </conditionalFormatting>
  <conditionalFormatting sqref="C102">
    <cfRule type="cellIs" dxfId="27" priority="645" operator="equal">
      <formula>$U$1</formula>
    </cfRule>
    <cfRule type="cellIs" dxfId="26" priority="646" operator="equal">
      <formula>$S$1</formula>
    </cfRule>
  </conditionalFormatting>
  <conditionalFormatting sqref="D102">
    <cfRule type="cellIs" dxfId="25" priority="643" operator="equal">
      <formula>$S$1</formula>
    </cfRule>
    <cfRule type="cellIs" dxfId="24" priority="644" operator="equal">
      <formula>$U$1</formula>
    </cfRule>
  </conditionalFormatting>
  <conditionalFormatting sqref="C77">
    <cfRule type="cellIs" dxfId="23" priority="641" operator="equal">
      <formula>$U$1</formula>
    </cfRule>
    <cfRule type="cellIs" dxfId="22" priority="642" operator="equal">
      <formula>$S$1</formula>
    </cfRule>
  </conditionalFormatting>
  <conditionalFormatting sqref="D77">
    <cfRule type="cellIs" dxfId="21" priority="639" operator="equal">
      <formula>$S$1</formula>
    </cfRule>
    <cfRule type="cellIs" dxfId="20" priority="640" operator="equal">
      <formula>$U$1</formula>
    </cfRule>
  </conditionalFormatting>
  <conditionalFormatting sqref="C52">
    <cfRule type="cellIs" dxfId="19" priority="637" operator="equal">
      <formula>$U$1</formula>
    </cfRule>
    <cfRule type="cellIs" dxfId="18" priority="638" operator="equal">
      <formula>$S$1</formula>
    </cfRule>
  </conditionalFormatting>
  <conditionalFormatting sqref="D52">
    <cfRule type="cellIs" dxfId="17" priority="635" operator="equal">
      <formula>$S$1</formula>
    </cfRule>
    <cfRule type="cellIs" dxfId="16" priority="636" operator="equal">
      <formula>$U$1</formula>
    </cfRule>
  </conditionalFormatting>
  <conditionalFormatting sqref="C26">
    <cfRule type="cellIs" dxfId="15" priority="633" operator="equal">
      <formula>$U$1</formula>
    </cfRule>
    <cfRule type="cellIs" dxfId="14" priority="634" operator="equal">
      <formula>$S$1</formula>
    </cfRule>
  </conditionalFormatting>
  <conditionalFormatting sqref="D26">
    <cfRule type="cellIs" dxfId="13" priority="631" operator="equal">
      <formula>$S$1</formula>
    </cfRule>
    <cfRule type="cellIs" dxfId="12" priority="63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2022-01-28T01:18:28Z</dcterms:modified>
</cp:coreProperties>
</file>