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1AD1847-D8DE-4FE0-A48F-F11C02FA12E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C136" i="4" s="1"/>
  <c r="C116" i="5"/>
  <c r="R765" i="1"/>
  <c r="S765" i="1" s="1"/>
  <c r="T765" i="1" s="1"/>
  <c r="C116" i="4"/>
  <c r="C122" i="3"/>
  <c r="C133" i="3" s="1"/>
  <c r="D136" i="3" s="1"/>
  <c r="C116" i="3"/>
  <c r="R764" i="1" l="1"/>
  <c r="R763" i="1" s="1"/>
  <c r="C136" i="5"/>
  <c r="C138" i="5" s="1"/>
  <c r="D136" i="4"/>
  <c r="C138" i="4" s="1"/>
  <c r="C136" i="3"/>
  <c r="C138" i="3" s="1"/>
  <c r="S764" i="1" l="1"/>
  <c r="T764" i="1" s="1"/>
  <c r="S763" i="1"/>
  <c r="T763" i="1" s="1"/>
  <c r="R762" i="1"/>
  <c r="S762" i="1" l="1"/>
  <c r="T762" i="1" s="1"/>
  <c r="R761" i="1"/>
  <c r="S761" i="1" l="1"/>
  <c r="T761" i="1" s="1"/>
  <c r="R760" i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S750" i="1" l="1"/>
  <c r="T750" i="1" s="1"/>
  <c r="R749" i="1"/>
  <c r="S749" i="1" l="1"/>
  <c r="T749" i="1" s="1"/>
  <c r="R748" i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R723" i="1" l="1"/>
  <c r="S724" i="1"/>
  <c r="T724" i="1" s="1"/>
  <c r="R722" i="1" l="1"/>
  <c r="S723" i="1"/>
  <c r="T723" i="1" s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S713" i="1" l="1"/>
  <c r="T713" i="1" s="1"/>
  <c r="R712" i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S677" i="1" l="1"/>
  <c r="T677" i="1" s="1"/>
  <c r="R676" i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S644" i="1" l="1"/>
  <c r="T644" i="1" s="1"/>
  <c r="R643" i="1"/>
  <c r="R642" i="1" l="1"/>
  <c r="S643" i="1"/>
  <c r="T643" i="1" s="1"/>
  <c r="S642" i="1" l="1"/>
  <c r="T642" i="1" s="1"/>
  <c r="R641" i="1"/>
  <c r="S641" i="1" l="1"/>
  <c r="T641" i="1" s="1"/>
  <c r="R640" i="1"/>
  <c r="R639" i="1" l="1"/>
  <c r="S640" i="1"/>
  <c r="T640" i="1" s="1"/>
  <c r="S639" i="1" l="1"/>
  <c r="T639" i="1" s="1"/>
  <c r="R638" i="1"/>
  <c r="S638" i="1" l="1"/>
  <c r="T638" i="1" s="1"/>
  <c r="R637" i="1"/>
  <c r="S637" i="1" l="1"/>
  <c r="T637" i="1" s="1"/>
  <c r="R636" i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S623" i="1" l="1"/>
  <c r="T623" i="1" s="1"/>
  <c r="R622" i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S593" i="1" l="1"/>
  <c r="T593" i="1" s="1"/>
  <c r="R592" i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R581" i="1" l="1"/>
  <c r="S582" i="1"/>
  <c r="T582" i="1" s="1"/>
  <c r="S581" i="1" l="1"/>
  <c r="T581" i="1" s="1"/>
  <c r="R580" i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S562" i="1" l="1"/>
  <c r="T562" i="1" s="1"/>
  <c r="R561" i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R503" i="1" l="1"/>
  <c r="S504" i="1"/>
  <c r="T504" i="1" s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S437" i="1" l="1"/>
  <c r="T437" i="1" s="1"/>
  <c r="R436" i="1"/>
  <c r="S436" i="1" l="1"/>
  <c r="T436" i="1" s="1"/>
  <c r="R435" i="1"/>
  <c r="R434" i="1" l="1"/>
  <c r="S435" i="1"/>
  <c r="T435" i="1" s="1"/>
  <c r="R433" i="1" l="1"/>
  <c r="S434" i="1"/>
  <c r="T434" i="1" s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R414" i="1" l="1"/>
  <c r="S415" i="1"/>
  <c r="T415" i="1" s="1"/>
  <c r="R413" i="1" l="1"/>
  <c r="S414" i="1"/>
  <c r="T414" i="1" s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S406" i="1" l="1"/>
  <c r="T406" i="1" s="1"/>
  <c r="R405" i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S262" i="1" l="1"/>
  <c r="T262" i="1" s="1"/>
  <c r="R261" i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S257" i="1" l="1"/>
  <c r="T257" i="1" s="1"/>
  <c r="R256" i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S202" i="1" l="1"/>
  <c r="T202" i="1" s="1"/>
  <c r="R201" i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S123" i="1" l="1"/>
  <c r="T123" i="1" s="1"/>
  <c r="R122" i="1"/>
  <c r="R121" i="1" l="1"/>
  <c r="S122" i="1"/>
  <c r="T122" i="1" s="1"/>
  <c r="S121" i="1" l="1"/>
  <c r="T121" i="1" s="1"/>
  <c r="R120" i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S78" i="1" l="1"/>
  <c r="T78" i="1" s="1"/>
  <c r="R77" i="1"/>
  <c r="R76" i="1" l="1"/>
  <c r="S77" i="1"/>
  <c r="T77" i="1" s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<sst xmlns="http://schemas.openxmlformats.org/spreadsheetml/2006/main" count="8982" uniqueCount="34">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</sst>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4.9149999999999999E-2</c:v>
                </c:pt>
                <c:pt idx="1">
                  <c:v>5.0610000000000002E-2</c:v>
                </c:pt>
                <c:pt idx="2">
                  <c:v>5.0310000000000001E-2</c:v>
                </c:pt>
                <c:pt idx="3">
                  <c:v>4.9889999999999997E-2</c:v>
                </c:pt>
                <c:pt idx="4">
                  <c:v>5.2560000000000003E-2</c:v>
                </c:pt>
                <c:pt idx="5">
                  <c:v>5.2720000000000003E-2</c:v>
                </c:pt>
                <c:pt idx="6">
                  <c:v>6.3740000000000005E-2</c:v>
                </c:pt>
                <c:pt idx="7">
                  <c:v>6.8540000000000004E-2</c:v>
                </c:pt>
                <c:pt idx="8">
                  <c:v>7.4389999999999998E-2</c:v>
                </c:pt>
                <c:pt idx="9">
                  <c:v>8.1199999999999994E-2</c:v>
                </c:pt>
                <c:pt idx="10">
                  <c:v>8.4690000000000001E-2</c:v>
                </c:pt>
                <c:pt idx="11">
                  <c:v>9.2399999999999996E-2</c:v>
                </c:pt>
                <c:pt idx="12">
                  <c:v>9.7780000000000006E-2</c:v>
                </c:pt>
                <c:pt idx="13">
                  <c:v>8.5209999999999994E-2</c:v>
                </c:pt>
                <c:pt idx="14">
                  <c:v>7.8640000000000002E-2</c:v>
                </c:pt>
                <c:pt idx="15">
                  <c:v>7.5429999999999997E-2</c:v>
                </c:pt>
                <c:pt idx="16">
                  <c:v>6.7540000000000003E-2</c:v>
                </c:pt>
                <c:pt idx="17">
                  <c:v>6.3519999999999993E-2</c:v>
                </c:pt>
                <c:pt idx="18">
                  <c:v>6.7900000000000002E-2</c:v>
                </c:pt>
                <c:pt idx="19">
                  <c:v>6.4640000000000003E-2</c:v>
                </c:pt>
                <c:pt idx="20">
                  <c:v>6.8900000000000003E-2</c:v>
                </c:pt>
                <c:pt idx="21">
                  <c:v>7.5069999999999998E-2</c:v>
                </c:pt>
                <c:pt idx="22">
                  <c:v>7.7439999999999995E-2</c:v>
                </c:pt>
                <c:pt idx="23">
                  <c:v>8.097E-2</c:v>
                </c:pt>
                <c:pt idx="24">
                  <c:v>7.707E-2</c:v>
                </c:pt>
                <c:pt idx="25">
                  <c:v>7.8530000000000003E-2</c:v>
                </c:pt>
                <c:pt idx="26">
                  <c:v>7.9020000000000007E-2</c:v>
                </c:pt>
                <c:pt idx="27">
                  <c:v>7.306E-2</c:v>
                </c:pt>
                <c:pt idx="28">
                  <c:v>7.5060000000000002E-2</c:v>
                </c:pt>
                <c:pt idx="29">
                  <c:v>7.2870000000000004E-2</c:v>
                </c:pt>
                <c:pt idx="30">
                  <c:v>7.6810000000000003E-2</c:v>
                </c:pt>
                <c:pt idx="31">
                  <c:v>8.7410000000000002E-2</c:v>
                </c:pt>
                <c:pt idx="32">
                  <c:v>8.7230000000000002E-2</c:v>
                </c:pt>
                <c:pt idx="33">
                  <c:v>8.7720000000000006E-2</c:v>
                </c:pt>
                <c:pt idx="34">
                  <c:v>7.7780000000000002E-2</c:v>
                </c:pt>
                <c:pt idx="35">
                  <c:v>7.7670000000000003E-2</c:v>
                </c:pt>
                <c:pt idx="36">
                  <c:v>7.1540000000000006E-2</c:v>
                </c:pt>
                <c:pt idx="37">
                  <c:v>7.2340000000000002E-2</c:v>
                </c:pt>
                <c:pt idx="38">
                  <c:v>6.9970000000000004E-2</c:v>
                </c:pt>
                <c:pt idx="39">
                  <c:v>7.2679999999999995E-2</c:v>
                </c:pt>
                <c:pt idx="40">
                  <c:v>6.9739999999999996E-2</c:v>
                </c:pt>
                <c:pt idx="41">
                  <c:v>7.1970000000000006E-2</c:v>
                </c:pt>
                <c:pt idx="42">
                  <c:v>7.6230000000000006E-2</c:v>
                </c:pt>
                <c:pt idx="43">
                  <c:v>6.7629999999999996E-2</c:v>
                </c:pt>
                <c:pt idx="44">
                  <c:v>6.2740000000000004E-2</c:v>
                </c:pt>
                <c:pt idx="45">
                  <c:v>6.0810000000000003E-2</c:v>
                </c:pt>
                <c:pt idx="46">
                  <c:v>7.0139999999999994E-2</c:v>
                </c:pt>
                <c:pt idx="47">
                  <c:v>6.5909999999999996E-2</c:v>
                </c:pt>
                <c:pt idx="48">
                  <c:v>6.5170000000000006E-2</c:v>
                </c:pt>
                <c:pt idx="49">
                  <c:v>6.7379999999999995E-2</c:v>
                </c:pt>
                <c:pt idx="50">
                  <c:v>7.6869999999999994E-2</c:v>
                </c:pt>
                <c:pt idx="51">
                  <c:v>7.9229999999999995E-2</c:v>
                </c:pt>
                <c:pt idx="52">
                  <c:v>7.2609999999999994E-2</c:v>
                </c:pt>
                <c:pt idx="53">
                  <c:v>7.3719999999999994E-2</c:v>
                </c:pt>
                <c:pt idx="54">
                  <c:v>8.3699999999999997E-2</c:v>
                </c:pt>
                <c:pt idx="55">
                  <c:v>0.10135</c:v>
                </c:pt>
                <c:pt idx="56">
                  <c:v>0.10743</c:v>
                </c:pt>
                <c:pt idx="57">
                  <c:v>0.11090999999999999</c:v>
                </c:pt>
                <c:pt idx="58">
                  <c:v>0.11161</c:v>
                </c:pt>
                <c:pt idx="59">
                  <c:v>0.11297</c:v>
                </c:pt>
                <c:pt idx="60">
                  <c:v>0.11143</c:v>
                </c:pt>
                <c:pt idx="61">
                  <c:v>0.11074000000000001</c:v>
                </c:pt>
                <c:pt idx="62">
                  <c:v>0.11032</c:v>
                </c:pt>
                <c:pt idx="63">
                  <c:v>0.12562999999999999</c:v>
                </c:pt>
                <c:pt idx="64">
                  <c:v>0.13727</c:v>
                </c:pt>
                <c:pt idx="65">
                  <c:v>0.13424</c:v>
                </c:pt>
                <c:pt idx="66">
                  <c:v>0.129</c:v>
                </c:pt>
                <c:pt idx="67">
                  <c:v>0.14560999999999999</c:v>
                </c:pt>
                <c:pt idx="68">
                  <c:v>0.11862</c:v>
                </c:pt>
                <c:pt idx="69">
                  <c:v>0.10986</c:v>
                </c:pt>
                <c:pt idx="70">
                  <c:v>0.10672</c:v>
                </c:pt>
                <c:pt idx="71">
                  <c:v>0.11665</c:v>
                </c:pt>
                <c:pt idx="72">
                  <c:v>0.10426000000000001</c:v>
                </c:pt>
                <c:pt idx="73">
                  <c:v>0.11841</c:v>
                </c:pt>
                <c:pt idx="74">
                  <c:v>0.12073</c:v>
                </c:pt>
                <c:pt idx="75">
                  <c:v>0.11803</c:v>
                </c:pt>
                <c:pt idx="76">
                  <c:v>0.11838</c:v>
                </c:pt>
                <c:pt idx="77">
                  <c:v>0.12839999999999999</c:v>
                </c:pt>
                <c:pt idx="78">
                  <c:v>0.13475000000000001</c:v>
                </c:pt>
                <c:pt idx="79">
                  <c:v>0.11607000000000001</c:v>
                </c:pt>
                <c:pt idx="80">
                  <c:v>0.11285000000000001</c:v>
                </c:pt>
                <c:pt idx="81">
                  <c:v>0.11337</c:v>
                </c:pt>
                <c:pt idx="82">
                  <c:v>0.11233</c:v>
                </c:pt>
                <c:pt idx="83">
                  <c:v>0.11803</c:v>
                </c:pt>
                <c:pt idx="84">
                  <c:v>0.11459999999999999</c:v>
                </c:pt>
                <c:pt idx="85">
                  <c:v>0.12021</c:v>
                </c:pt>
                <c:pt idx="86">
                  <c:v>0.12307</c:v>
                </c:pt>
                <c:pt idx="87">
                  <c:v>0.12044000000000001</c:v>
                </c:pt>
                <c:pt idx="88">
                  <c:v>0.12188</c:v>
                </c:pt>
                <c:pt idx="89">
                  <c:v>0.12012</c:v>
                </c:pt>
                <c:pt idx="90">
                  <c:v>0.12576999999999999</c:v>
                </c:pt>
                <c:pt idx="91">
                  <c:v>0.12501000000000001</c:v>
                </c:pt>
                <c:pt idx="92">
                  <c:v>0.12265</c:v>
                </c:pt>
                <c:pt idx="93">
                  <c:v>0.14632000000000001</c:v>
                </c:pt>
                <c:pt idx="94">
                  <c:v>0.14462</c:v>
                </c:pt>
                <c:pt idx="95">
                  <c:v>0.14000000000000001</c:v>
                </c:pt>
                <c:pt idx="96">
                  <c:v>0.13653999999999999</c:v>
                </c:pt>
                <c:pt idx="97">
                  <c:v>0.14049</c:v>
                </c:pt>
                <c:pt idx="98">
                  <c:v>0.13466</c:v>
                </c:pt>
                <c:pt idx="99">
                  <c:v>0.13911999999999999</c:v>
                </c:pt>
                <c:pt idx="100">
                  <c:v>0.13675999999999999</c:v>
                </c:pt>
                <c:pt idx="101">
                  <c:v>0.13136</c:v>
                </c:pt>
                <c:pt idx="102">
                  <c:v>0.13406000000000001</c:v>
                </c:pt>
                <c:pt idx="103">
                  <c:v>0.13886000000000001</c:v>
                </c:pt>
                <c:pt idx="104">
                  <c:v>0.14074999999999999</c:v>
                </c:pt>
                <c:pt idx="105">
                  <c:v>0.14274999999999999</c:v>
                </c:pt>
                <c:pt idx="106">
                  <c:v>0.14188999999999999</c:v>
                </c:pt>
                <c:pt idx="107">
                  <c:v>0.14610999999999999</c:v>
                </c:pt>
                <c:pt idx="108">
                  <c:v>0.14645</c:v>
                </c:pt>
                <c:pt idx="109">
                  <c:v>0.15240999999999999</c:v>
                </c:pt>
                <c:pt idx="110">
                  <c:v>0.15895000000000001</c:v>
                </c:pt>
                <c:pt idx="111">
                  <c:v>0.17527999999999999</c:v>
                </c:pt>
                <c:pt idx="112">
                  <c:v>0.13325999999999999</c:v>
                </c:pt>
                <c:pt idx="113">
                  <c:v>0.13086</c:v>
                </c:pt>
                <c:pt idx="114">
                  <c:v>0.13944000000000001</c:v>
                </c:pt>
                <c:pt idx="115">
                  <c:v>0.14291000000000001</c:v>
                </c:pt>
                <c:pt idx="116">
                  <c:v>0.14155999999999999</c:v>
                </c:pt>
                <c:pt idx="117">
                  <c:v>0.14363000000000001</c:v>
                </c:pt>
                <c:pt idx="118">
                  <c:v>0.14468</c:v>
                </c:pt>
                <c:pt idx="119">
                  <c:v>0.13829</c:v>
                </c:pt>
                <c:pt idx="120">
                  <c:v>0.14652000000000001</c:v>
                </c:pt>
                <c:pt idx="121">
                  <c:v>0.15479999999999999</c:v>
                </c:pt>
                <c:pt idx="122">
                  <c:v>0.15589</c:v>
                </c:pt>
                <c:pt idx="123">
                  <c:v>0.16772000000000001</c:v>
                </c:pt>
                <c:pt idx="124">
                  <c:v>0.16216</c:v>
                </c:pt>
                <c:pt idx="125">
                  <c:v>0.17854</c:v>
                </c:pt>
                <c:pt idx="126">
                  <c:v>0.13922000000000001</c:v>
                </c:pt>
                <c:pt idx="127">
                  <c:v>0.10953</c:v>
                </c:pt>
                <c:pt idx="128">
                  <c:v>8.3239999999999995E-2</c:v>
                </c:pt>
                <c:pt idx="129">
                  <c:v>9.2079999999999995E-2</c:v>
                </c:pt>
                <c:pt idx="130">
                  <c:v>0.10201</c:v>
                </c:pt>
                <c:pt idx="131">
                  <c:v>0.11271</c:v>
                </c:pt>
                <c:pt idx="132">
                  <c:v>0.11953</c:v>
                </c:pt>
                <c:pt idx="133">
                  <c:v>0.104</c:v>
                </c:pt>
                <c:pt idx="134">
                  <c:v>9.35E-2</c:v>
                </c:pt>
                <c:pt idx="135">
                  <c:v>9.7570000000000004E-2</c:v>
                </c:pt>
                <c:pt idx="136">
                  <c:v>7.9659999999999995E-2</c:v>
                </c:pt>
                <c:pt idx="137">
                  <c:v>8.6239999999999997E-2</c:v>
                </c:pt>
                <c:pt idx="138">
                  <c:v>6.4780000000000004E-2</c:v>
                </c:pt>
                <c:pt idx="139">
                  <c:v>5.6500000000000002E-2</c:v>
                </c:pt>
                <c:pt idx="140">
                  <c:v>6.4829999999999999E-2</c:v>
                </c:pt>
                <c:pt idx="141">
                  <c:v>5.883E-2</c:v>
                </c:pt>
                <c:pt idx="142">
                  <c:v>4.4769999999999997E-2</c:v>
                </c:pt>
                <c:pt idx="143">
                  <c:v>5.7369999999999997E-2</c:v>
                </c:pt>
                <c:pt idx="144">
                  <c:v>5.7829999999999999E-2</c:v>
                </c:pt>
                <c:pt idx="145">
                  <c:v>5.4239999999999997E-2</c:v>
                </c:pt>
                <c:pt idx="146">
                  <c:v>5.3530000000000001E-2</c:v>
                </c:pt>
                <c:pt idx="147">
                  <c:v>5.3530000000000001E-2</c:v>
                </c:pt>
                <c:pt idx="148">
                  <c:v>5.8319999999999997E-2</c:v>
                </c:pt>
                <c:pt idx="149">
                  <c:v>4.8120000000000003E-2</c:v>
                </c:pt>
                <c:pt idx="150">
                  <c:v>4.5679999999999998E-2</c:v>
                </c:pt>
                <c:pt idx="151">
                  <c:v>4.4119999999999999E-2</c:v>
                </c:pt>
                <c:pt idx="152">
                  <c:v>4.5350000000000001E-2</c:v>
                </c:pt>
                <c:pt idx="153">
                  <c:v>4.5629999999999997E-2</c:v>
                </c:pt>
                <c:pt idx="154">
                  <c:v>4.2119999999999998E-2</c:v>
                </c:pt>
                <c:pt idx="155">
                  <c:v>4.6089999999999999E-2</c:v>
                </c:pt>
                <c:pt idx="156">
                  <c:v>4.3909999999999998E-2</c:v>
                </c:pt>
                <c:pt idx="157">
                  <c:v>4.9390000000000003E-2</c:v>
                </c:pt>
                <c:pt idx="158">
                  <c:v>4.6980000000000001E-2</c:v>
                </c:pt>
                <c:pt idx="159">
                  <c:v>4.6030000000000001E-2</c:v>
                </c:pt>
                <c:pt idx="160">
                  <c:v>4.6210000000000001E-2</c:v>
                </c:pt>
                <c:pt idx="161">
                  <c:v>4.487E-2</c:v>
                </c:pt>
                <c:pt idx="162">
                  <c:v>4.163E-2</c:v>
                </c:pt>
                <c:pt idx="163">
                  <c:v>4.1750000000000002E-2</c:v>
                </c:pt>
                <c:pt idx="164">
                  <c:v>4.58E-2</c:v>
                </c:pt>
                <c:pt idx="165">
                  <c:v>4.9029999999999997E-2</c:v>
                </c:pt>
                <c:pt idx="166">
                  <c:v>5.1020000000000003E-2</c:v>
                </c:pt>
                <c:pt idx="167">
                  <c:v>4.6350000000000002E-2</c:v>
                </c:pt>
                <c:pt idx="168">
                  <c:v>4.3430000000000003E-2</c:v>
                </c:pt>
                <c:pt idx="169">
                  <c:v>4.5740000000000003E-2</c:v>
                </c:pt>
                <c:pt idx="170">
                  <c:v>4.2020000000000002E-2</c:v>
                </c:pt>
                <c:pt idx="171">
                  <c:v>4.1450000000000001E-2</c:v>
                </c:pt>
                <c:pt idx="172">
                  <c:v>3.5979999999999998E-2</c:v>
                </c:pt>
                <c:pt idx="173">
                  <c:v>3.7940000000000002E-2</c:v>
                </c:pt>
                <c:pt idx="174">
                  <c:v>3.5009999999999999E-2</c:v>
                </c:pt>
                <c:pt idx="175">
                  <c:v>3.4200000000000001E-2</c:v>
                </c:pt>
                <c:pt idx="176">
                  <c:v>3.1060000000000001E-2</c:v>
                </c:pt>
                <c:pt idx="177">
                  <c:v>2.9819999999999999E-2</c:v>
                </c:pt>
                <c:pt idx="178">
                  <c:v>3.1510000000000003E-2</c:v>
                </c:pt>
                <c:pt idx="179">
                  <c:v>3.0970000000000001E-2</c:v>
                </c:pt>
                <c:pt idx="180">
                  <c:v>3.2800000000000003E-2</c:v>
                </c:pt>
                <c:pt idx="181">
                  <c:v>2.988E-2</c:v>
                </c:pt>
                <c:pt idx="182">
                  <c:v>3.0110000000000001E-2</c:v>
                </c:pt>
                <c:pt idx="183">
                  <c:v>2.7799999999999998E-2</c:v>
                </c:pt>
                <c:pt idx="184">
                  <c:v>2.8080000000000001E-2</c:v>
                </c:pt>
                <c:pt idx="185">
                  <c:v>2.6859999999999998E-2</c:v>
                </c:pt>
                <c:pt idx="186">
                  <c:v>2.7949999999999999E-2</c:v>
                </c:pt>
                <c:pt idx="187">
                  <c:v>2.589E-2</c:v>
                </c:pt>
                <c:pt idx="188">
                  <c:v>2.537E-2</c:v>
                </c:pt>
                <c:pt idx="189">
                  <c:v>2.5139999999999999E-2</c:v>
                </c:pt>
                <c:pt idx="190">
                  <c:v>2.3099999999999999E-2</c:v>
                </c:pt>
                <c:pt idx="191">
                  <c:v>2.0740000000000001E-2</c:v>
                </c:pt>
                <c:pt idx="192">
                  <c:v>2.2280000000000001E-2</c:v>
                </c:pt>
                <c:pt idx="193">
                  <c:v>2.615E-2</c:v>
                </c:pt>
                <c:pt idx="194">
                  <c:v>2.324E-2</c:v>
                </c:pt>
                <c:pt idx="195">
                  <c:v>2.2769999999999999E-2</c:v>
                </c:pt>
                <c:pt idx="196">
                  <c:v>2.4920000000000001E-2</c:v>
                </c:pt>
                <c:pt idx="197">
                  <c:v>2.708E-2</c:v>
                </c:pt>
                <c:pt idx="198">
                  <c:v>2.7619999999999999E-2</c:v>
                </c:pt>
                <c:pt idx="199">
                  <c:v>2.8719999999999999E-2</c:v>
                </c:pt>
                <c:pt idx="200">
                  <c:v>3.0419999999999999E-2</c:v>
                </c:pt>
                <c:pt idx="201">
                  <c:v>2.8129999999999999E-2</c:v>
                </c:pt>
                <c:pt idx="202">
                  <c:v>2.8500000000000001E-2</c:v>
                </c:pt>
                <c:pt idx="203">
                  <c:v>2.861E-2</c:v>
                </c:pt>
                <c:pt idx="204">
                  <c:v>3.168E-2</c:v>
                </c:pt>
                <c:pt idx="205">
                  <c:v>2.9239999999999999E-2</c:v>
                </c:pt>
                <c:pt idx="206">
                  <c:v>2.7019999999999999E-2</c:v>
                </c:pt>
                <c:pt idx="207">
                  <c:v>2.911E-2</c:v>
                </c:pt>
                <c:pt idx="208">
                  <c:v>2.826E-2</c:v>
                </c:pt>
                <c:pt idx="209">
                  <c:v>2.664E-2</c:v>
                </c:pt>
                <c:pt idx="210">
                  <c:v>2.681E-2</c:v>
                </c:pt>
                <c:pt idx="211">
                  <c:v>2.937E-2</c:v>
                </c:pt>
                <c:pt idx="212">
                  <c:v>3.0280000000000001E-2</c:v>
                </c:pt>
                <c:pt idx="213">
                  <c:v>2.673E-2</c:v>
                </c:pt>
                <c:pt idx="214">
                  <c:v>2.6460000000000001E-2</c:v>
                </c:pt>
                <c:pt idx="215">
                  <c:v>2.503E-2</c:v>
                </c:pt>
                <c:pt idx="216">
                  <c:v>2.563E-2</c:v>
                </c:pt>
                <c:pt idx="217">
                  <c:v>2.8660000000000001E-2</c:v>
                </c:pt>
                <c:pt idx="218">
                  <c:v>2.9010000000000001E-2</c:v>
                </c:pt>
                <c:pt idx="219">
                  <c:v>2.4799999999999999E-2</c:v>
                </c:pt>
                <c:pt idx="220">
                  <c:v>2.6800000000000001E-2</c:v>
                </c:pt>
                <c:pt idx="221">
                  <c:v>3.5310000000000001E-2</c:v>
                </c:pt>
                <c:pt idx="222">
                  <c:v>3.5310000000000001E-2</c:v>
                </c:pt>
                <c:pt idx="223">
                  <c:v>3.5029999999999999E-2</c:v>
                </c:pt>
                <c:pt idx="224">
                  <c:v>3.7330000000000002E-2</c:v>
                </c:pt>
                <c:pt idx="225">
                  <c:v>3.875E-2</c:v>
                </c:pt>
                <c:pt idx="226">
                  <c:v>3.7569999999999999E-2</c:v>
                </c:pt>
                <c:pt idx="227">
                  <c:v>3.7409999999999999E-2</c:v>
                </c:pt>
                <c:pt idx="228">
                  <c:v>3.5049999999999998E-2</c:v>
                </c:pt>
                <c:pt idx="229">
                  <c:v>3.2680000000000001E-2</c:v>
                </c:pt>
                <c:pt idx="230">
                  <c:v>3.4229999999999997E-2</c:v>
                </c:pt>
                <c:pt idx="231">
                  <c:v>3.5439999999999999E-2</c:v>
                </c:pt>
                <c:pt idx="232">
                  <c:v>3.9399999999999998E-2</c:v>
                </c:pt>
                <c:pt idx="233">
                  <c:v>3.5889999999999998E-2</c:v>
                </c:pt>
                <c:pt idx="234">
                  <c:v>3.7089999999999998E-2</c:v>
                </c:pt>
                <c:pt idx="235">
                  <c:v>4.1140000000000003E-2</c:v>
                </c:pt>
                <c:pt idx="236">
                  <c:v>4.1119999999999997E-2</c:v>
                </c:pt>
                <c:pt idx="237">
                  <c:v>4.3139999999999998E-2</c:v>
                </c:pt>
                <c:pt idx="238">
                  <c:v>4.8460000000000003E-2</c:v>
                </c:pt>
                <c:pt idx="239">
                  <c:v>4.3799999999999999E-2</c:v>
                </c:pt>
                <c:pt idx="240">
                  <c:v>4.3869999999999999E-2</c:v>
                </c:pt>
                <c:pt idx="241">
                  <c:v>4.6219999999999997E-2</c:v>
                </c:pt>
                <c:pt idx="242">
                  <c:v>4.4400000000000002E-2</c:v>
                </c:pt>
                <c:pt idx="243">
                  <c:v>4.3459999999999999E-2</c:v>
                </c:pt>
                <c:pt idx="244">
                  <c:v>4.6699999999999998E-2</c:v>
                </c:pt>
                <c:pt idx="245">
                  <c:v>5.4449999999999998E-2</c:v>
                </c:pt>
                <c:pt idx="246">
                  <c:v>4.7969999999999999E-2</c:v>
                </c:pt>
                <c:pt idx="247">
                  <c:v>3.6400000000000002E-2</c:v>
                </c:pt>
                <c:pt idx="248">
                  <c:v>3.6659999999999998E-2</c:v>
                </c:pt>
                <c:pt idx="249">
                  <c:v>2.6630000000000001E-2</c:v>
                </c:pt>
                <c:pt idx="250">
                  <c:v>3.4759999999999999E-2</c:v>
                </c:pt>
                <c:pt idx="251">
                  <c:v>3.814E-2</c:v>
                </c:pt>
                <c:pt idx="252">
                  <c:v>4.8919999999999998E-2</c:v>
                </c:pt>
                <c:pt idx="253">
                  <c:v>5.0200000000000002E-2</c:v>
                </c:pt>
                <c:pt idx="254">
                  <c:v>6.7909999999999998E-2</c:v>
                </c:pt>
                <c:pt idx="255">
                  <c:v>4.7210000000000002E-2</c:v>
                </c:pt>
                <c:pt idx="256">
                  <c:v>5.2630000000000003E-2</c:v>
                </c:pt>
                <c:pt idx="257">
                  <c:v>5.697E-2</c:v>
                </c:pt>
                <c:pt idx="258">
                  <c:v>4.888E-2</c:v>
                </c:pt>
                <c:pt idx="259">
                  <c:v>4.2299999999999997E-2</c:v>
                </c:pt>
                <c:pt idx="260">
                  <c:v>4.163E-2</c:v>
                </c:pt>
                <c:pt idx="261">
                  <c:v>5.076E-2</c:v>
                </c:pt>
                <c:pt idx="262">
                  <c:v>4.7350000000000003E-2</c:v>
                </c:pt>
                <c:pt idx="263">
                  <c:v>5.5550000000000002E-2</c:v>
                </c:pt>
                <c:pt idx="264">
                  <c:v>5.6689999999999997E-2</c:v>
                </c:pt>
                <c:pt idx="265">
                  <c:v>5.79E-2</c:v>
                </c:pt>
                <c:pt idx="266">
                  <c:v>5.7979999999999997E-2</c:v>
                </c:pt>
                <c:pt idx="267">
                  <c:v>6.1990000000000003E-2</c:v>
                </c:pt>
                <c:pt idx="268">
                  <c:v>5.8189999999999999E-2</c:v>
                </c:pt>
                <c:pt idx="269">
                  <c:v>6.7669999999999994E-2</c:v>
                </c:pt>
                <c:pt idx="270">
                  <c:v>7.0559999999999998E-2</c:v>
                </c:pt>
                <c:pt idx="271">
                  <c:v>7.2090000000000001E-2</c:v>
                </c:pt>
                <c:pt idx="272">
                  <c:v>6.5890000000000004E-2</c:v>
                </c:pt>
                <c:pt idx="273">
                  <c:v>6.0650000000000003E-2</c:v>
                </c:pt>
                <c:pt idx="274">
                  <c:v>6.2950000000000006E-2</c:v>
                </c:pt>
                <c:pt idx="275">
                  <c:v>6.7970000000000003E-2</c:v>
                </c:pt>
                <c:pt idx="276">
                  <c:v>5.9459999999999999E-2</c:v>
                </c:pt>
                <c:pt idx="277">
                  <c:v>4.3400000000000001E-2</c:v>
                </c:pt>
                <c:pt idx="278">
                  <c:v>4.2729999999999997E-2</c:v>
                </c:pt>
                <c:pt idx="279">
                  <c:v>4.8390000000000002E-2</c:v>
                </c:pt>
                <c:pt idx="280">
                  <c:v>5.0799999999999998E-2</c:v>
                </c:pt>
                <c:pt idx="281">
                  <c:v>5.1810000000000002E-2</c:v>
                </c:pt>
                <c:pt idx="282">
                  <c:v>5.5599999999999997E-2</c:v>
                </c:pt>
                <c:pt idx="283">
                  <c:v>5.3609999999999998E-2</c:v>
                </c:pt>
                <c:pt idx="284">
                  <c:v>6.0519999999999997E-2</c:v>
                </c:pt>
                <c:pt idx="285">
                  <c:v>6.9769999999999999E-2</c:v>
                </c:pt>
                <c:pt idx="286">
                  <c:v>6.8349999999999994E-2</c:v>
                </c:pt>
                <c:pt idx="287">
                  <c:v>7.392E-2</c:v>
                </c:pt>
                <c:pt idx="288">
                  <c:v>7.3069999999999996E-2</c:v>
                </c:pt>
                <c:pt idx="289">
                  <c:v>6.1280000000000001E-2</c:v>
                </c:pt>
                <c:pt idx="290">
                  <c:v>6.1710000000000001E-2</c:v>
                </c:pt>
                <c:pt idx="291">
                  <c:v>6.3500000000000001E-2</c:v>
                </c:pt>
                <c:pt idx="292">
                  <c:v>6.5430000000000002E-2</c:v>
                </c:pt>
                <c:pt idx="293">
                  <c:v>6.7599999999999993E-2</c:v>
                </c:pt>
                <c:pt idx="294">
                  <c:v>7.1910000000000002E-2</c:v>
                </c:pt>
                <c:pt idx="295">
                  <c:v>6.1769999999999999E-2</c:v>
                </c:pt>
                <c:pt idx="296">
                  <c:v>6.8900000000000003E-2</c:v>
                </c:pt>
                <c:pt idx="297">
                  <c:v>7.4649999999999994E-2</c:v>
                </c:pt>
                <c:pt idx="298">
                  <c:v>7.6569999999999999E-2</c:v>
                </c:pt>
                <c:pt idx="299">
                  <c:v>7.5200000000000003E-2</c:v>
                </c:pt>
                <c:pt idx="300">
                  <c:v>7.9960000000000003E-2</c:v>
                </c:pt>
                <c:pt idx="301">
                  <c:v>7.9399999999999998E-2</c:v>
                </c:pt>
                <c:pt idx="302">
                  <c:v>8.3449999999999996E-2</c:v>
                </c:pt>
                <c:pt idx="303">
                  <c:v>9.2020000000000005E-2</c:v>
                </c:pt>
                <c:pt idx="304">
                  <c:v>8.6959999999999996E-2</c:v>
                </c:pt>
                <c:pt idx="305">
                  <c:v>8.8529999999999998E-2</c:v>
                </c:pt>
                <c:pt idx="306">
                  <c:v>9.2069999999999999E-2</c:v>
                </c:pt>
                <c:pt idx="307">
                  <c:v>6.9739999999999996E-2</c:v>
                </c:pt>
                <c:pt idx="308">
                  <c:v>6.7710000000000006E-2</c:v>
                </c:pt>
                <c:pt idx="309">
                  <c:v>7.2580000000000006E-2</c:v>
                </c:pt>
                <c:pt idx="310">
                  <c:v>7.5730000000000006E-2</c:v>
                </c:pt>
                <c:pt idx="311">
                  <c:v>7.739E-2</c:v>
                </c:pt>
                <c:pt idx="312">
                  <c:v>7.5329999999999994E-2</c:v>
                </c:pt>
                <c:pt idx="313">
                  <c:v>5.9799999999999999E-2</c:v>
                </c:pt>
                <c:pt idx="314">
                  <c:v>5.4859999999999999E-2</c:v>
                </c:pt>
                <c:pt idx="315">
                  <c:v>5.0299999999999997E-2</c:v>
                </c:pt>
                <c:pt idx="316">
                  <c:v>5.0700000000000002E-2</c:v>
                </c:pt>
                <c:pt idx="317">
                  <c:v>5.398E-2</c:v>
                </c:pt>
                <c:pt idx="318">
                  <c:v>5.8770000000000003E-2</c:v>
                </c:pt>
                <c:pt idx="319">
                  <c:v>5.4330000000000003E-2</c:v>
                </c:pt>
                <c:pt idx="320">
                  <c:v>4.6530000000000002E-2</c:v>
                </c:pt>
                <c:pt idx="321">
                  <c:v>4.197E-2</c:v>
                </c:pt>
                <c:pt idx="322">
                  <c:v>3.4680000000000002E-2</c:v>
                </c:pt>
                <c:pt idx="323">
                  <c:v>3.2199999999999999E-2</c:v>
                </c:pt>
                <c:pt idx="324">
                  <c:v>3.3320000000000002E-2</c:v>
                </c:pt>
                <c:pt idx="325">
                  <c:v>3.0439999999999998E-2</c:v>
                </c:pt>
                <c:pt idx="326">
                  <c:v>2.8000000000000001E-2</c:v>
                </c:pt>
                <c:pt idx="327">
                  <c:v>2.8920000000000001E-2</c:v>
                </c:pt>
                <c:pt idx="328">
                  <c:v>2.8889999999999999E-2</c:v>
                </c:pt>
                <c:pt idx="329">
                  <c:v>2.562E-2</c:v>
                </c:pt>
                <c:pt idx="330">
                  <c:v>2.477E-2</c:v>
                </c:pt>
                <c:pt idx="331">
                  <c:v>2.249E-2</c:v>
                </c:pt>
                <c:pt idx="332">
                  <c:v>2.334E-2</c:v>
                </c:pt>
                <c:pt idx="333">
                  <c:v>2.342E-2</c:v>
                </c:pt>
                <c:pt idx="334">
                  <c:v>2.1749999999999999E-2</c:v>
                </c:pt>
                <c:pt idx="335">
                  <c:v>1.7399999999999999E-2</c:v>
                </c:pt>
                <c:pt idx="336">
                  <c:v>1.7260000000000001E-2</c:v>
                </c:pt>
                <c:pt idx="337">
                  <c:v>1.7090000000000001E-2</c:v>
                </c:pt>
                <c:pt idx="338">
                  <c:v>1.6330000000000001E-2</c:v>
                </c:pt>
                <c:pt idx="339">
                  <c:v>1.9970000000000002E-2</c:v>
                </c:pt>
                <c:pt idx="340">
                  <c:v>2.223E-2</c:v>
                </c:pt>
                <c:pt idx="341">
                  <c:v>2.213E-2</c:v>
                </c:pt>
                <c:pt idx="342">
                  <c:v>2.1080000000000002E-2</c:v>
                </c:pt>
                <c:pt idx="343">
                  <c:v>2.1430000000000001E-2</c:v>
                </c:pt>
                <c:pt idx="344">
                  <c:v>1.9290000000000002E-2</c:v>
                </c:pt>
                <c:pt idx="345">
                  <c:v>1.8800000000000001E-2</c:v>
                </c:pt>
                <c:pt idx="346">
                  <c:v>1.9179999999999999E-2</c:v>
                </c:pt>
                <c:pt idx="347">
                  <c:v>2.1930000000000002E-2</c:v>
                </c:pt>
                <c:pt idx="348">
                  <c:v>2.078E-2</c:v>
                </c:pt>
                <c:pt idx="349">
                  <c:v>1.7979999999999999E-2</c:v>
                </c:pt>
                <c:pt idx="350">
                  <c:v>1.6379999999999999E-2</c:v>
                </c:pt>
                <c:pt idx="351">
                  <c:v>1.5469999999999999E-2</c:v>
                </c:pt>
                <c:pt idx="352">
                  <c:v>1.7389999999999999E-2</c:v>
                </c:pt>
                <c:pt idx="353">
                  <c:v>1.252E-2</c:v>
                </c:pt>
                <c:pt idx="354">
                  <c:v>1.048E-2</c:v>
                </c:pt>
                <c:pt idx="355">
                  <c:v>1.047E-2</c:v>
                </c:pt>
                <c:pt idx="356">
                  <c:v>1.158E-2</c:v>
                </c:pt>
                <c:pt idx="357">
                  <c:v>1.052E-2</c:v>
                </c:pt>
                <c:pt idx="358">
                  <c:v>1.025E-2</c:v>
                </c:pt>
                <c:pt idx="359">
                  <c:v>8.8699999999999994E-3</c:v>
                </c:pt>
                <c:pt idx="360">
                  <c:v>8.1200000000000005E-3</c:v>
                </c:pt>
                <c:pt idx="361">
                  <c:v>8.6499999999999997E-3</c:v>
                </c:pt>
                <c:pt idx="362">
                  <c:v>8.9200000000000008E-3</c:v>
                </c:pt>
                <c:pt idx="363">
                  <c:v>8.6599999999999993E-3</c:v>
                </c:pt>
                <c:pt idx="364">
                  <c:v>8.0000000000000002E-3</c:v>
                </c:pt>
                <c:pt idx="365">
                  <c:v>6.8700000000000002E-3</c:v>
                </c:pt>
                <c:pt idx="366">
                  <c:v>7.0699999999999999E-3</c:v>
                </c:pt>
                <c:pt idx="367">
                  <c:v>7.0699999999999999E-3</c:v>
                </c:pt>
                <c:pt idx="368">
                  <c:v>7.4700000000000001E-3</c:v>
                </c:pt>
                <c:pt idx="369">
                  <c:v>7.6699999999999997E-3</c:v>
                </c:pt>
                <c:pt idx="370">
                  <c:v>7.11E-3</c:v>
                </c:pt>
                <c:pt idx="371">
                  <c:v>6.7000000000000002E-3</c:v>
                </c:pt>
                <c:pt idx="372">
                  <c:v>7.7999999999999996E-3</c:v>
                </c:pt>
                <c:pt idx="373">
                  <c:v>8.0199999999999994E-3</c:v>
                </c:pt>
                <c:pt idx="374">
                  <c:v>7.4400000000000004E-3</c:v>
                </c:pt>
                <c:pt idx="375">
                  <c:v>7.3000000000000001E-3</c:v>
                </c:pt>
                <c:pt idx="376">
                  <c:v>6.6600000000000001E-3</c:v>
                </c:pt>
                <c:pt idx="377">
                  <c:v>6.2700000000000004E-3</c:v>
                </c:pt>
                <c:pt idx="378">
                  <c:v>6.2899999999999996E-3</c:v>
                </c:pt>
                <c:pt idx="379">
                  <c:v>6.4000000000000003E-3</c:v>
                </c:pt>
                <c:pt idx="380">
                  <c:v>5.8500000000000002E-3</c:v>
                </c:pt>
                <c:pt idx="381">
                  <c:v>6.13E-3</c:v>
                </c:pt>
                <c:pt idx="382">
                  <c:v>7.2199999999999999E-3</c:v>
                </c:pt>
                <c:pt idx="383">
                  <c:v>7.3099999999999997E-3</c:v>
                </c:pt>
                <c:pt idx="384">
                  <c:v>6.4999999999999997E-3</c:v>
                </c:pt>
                <c:pt idx="385">
                  <c:v>6.7499999999999999E-3</c:v>
                </c:pt>
                <c:pt idx="386">
                  <c:v>7.0400000000000003E-3</c:v>
                </c:pt>
                <c:pt idx="387">
                  <c:v>5.9199999999999999E-3</c:v>
                </c:pt>
                <c:pt idx="388">
                  <c:v>5.6600000000000001E-3</c:v>
                </c:pt>
                <c:pt idx="389">
                  <c:v>5.3800000000000002E-3</c:v>
                </c:pt>
                <c:pt idx="390">
                  <c:v>4.7999999999999996E-3</c:v>
                </c:pt>
                <c:pt idx="391">
                  <c:v>4.79E-3</c:v>
                </c:pt>
                <c:pt idx="392">
                  <c:v>4.4299999999999999E-3</c:v>
                </c:pt>
                <c:pt idx="393">
                  <c:v>4.28E-3</c:v>
                </c:pt>
                <c:pt idx="394">
                  <c:v>4.6100000000000004E-3</c:v>
                </c:pt>
                <c:pt idx="395">
                  <c:v>5.0099999999999997E-3</c:v>
                </c:pt>
                <c:pt idx="396">
                  <c:v>4.9699999999999996E-3</c:v>
                </c:pt>
                <c:pt idx="397">
                  <c:v>4.7999999999999996E-3</c:v>
                </c:pt>
                <c:pt idx="398">
                  <c:v>4.7999999999999996E-3</c:v>
                </c:pt>
                <c:pt idx="399">
                  <c:v>4.7999999999999996E-3</c:v>
                </c:pt>
                <c:pt idx="400">
                  <c:v>4.5500000000000002E-3</c:v>
                </c:pt>
                <c:pt idx="401">
                  <c:v>5.5599999999999998E-3</c:v>
                </c:pt>
                <c:pt idx="402">
                  <c:v>5.3E-3</c:v>
                </c:pt>
                <c:pt idx="403">
                  <c:v>5.7400000000000003E-3</c:v>
                </c:pt>
                <c:pt idx="404">
                  <c:v>5.62E-3</c:v>
                </c:pt>
                <c:pt idx="405">
                  <c:v>5.7200000000000003E-3</c:v>
                </c:pt>
                <c:pt idx="406">
                  <c:v>5.3499999999999997E-3</c:v>
                </c:pt>
                <c:pt idx="407">
                  <c:v>5.6600000000000001E-3</c:v>
                </c:pt>
                <c:pt idx="408">
                  <c:v>5.3600000000000002E-3</c:v>
                </c:pt>
                <c:pt idx="409">
                  <c:v>5.0000000000000001E-3</c:v>
                </c:pt>
                <c:pt idx="410">
                  <c:v>5.2199999999999998E-3</c:v>
                </c:pt>
                <c:pt idx="411">
                  <c:v>5.1799999999999997E-3</c:v>
                </c:pt>
                <c:pt idx="412">
                  <c:v>4.7099999999999998E-3</c:v>
                </c:pt>
                <c:pt idx="413">
                  <c:v>4.9800000000000001E-3</c:v>
                </c:pt>
                <c:pt idx="414">
                  <c:v>5.0499999999999998E-3</c:v>
                </c:pt>
                <c:pt idx="415">
                  <c:v>4.6899999999999997E-3</c:v>
                </c:pt>
                <c:pt idx="416">
                  <c:v>5.4000000000000003E-3</c:v>
                </c:pt>
                <c:pt idx="417">
                  <c:v>5.1200000000000004E-3</c:v>
                </c:pt>
                <c:pt idx="418">
                  <c:v>5.3299999999999997E-3</c:v>
                </c:pt>
                <c:pt idx="419">
                  <c:v>5.2700000000000004E-3</c:v>
                </c:pt>
                <c:pt idx="420">
                  <c:v>5.62E-3</c:v>
                </c:pt>
                <c:pt idx="421">
                  <c:v>5.6600000000000001E-3</c:v>
                </c:pt>
                <c:pt idx="422">
                  <c:v>5.6299999999999996E-3</c:v>
                </c:pt>
                <c:pt idx="423">
                  <c:v>5.7499999999999999E-3</c:v>
                </c:pt>
                <c:pt idx="424">
                  <c:v>5.7099999999999998E-3</c:v>
                </c:pt>
                <c:pt idx="425">
                  <c:v>5.6899999999999997E-3</c:v>
                </c:pt>
                <c:pt idx="426">
                  <c:v>5.1900000000000002E-3</c:v>
                </c:pt>
                <c:pt idx="427">
                  <c:v>5.3899999999999998E-3</c:v>
                </c:pt>
                <c:pt idx="428">
                  <c:v>6.3099999999999996E-3</c:v>
                </c:pt>
                <c:pt idx="429">
                  <c:v>5.8700000000000002E-3</c:v>
                </c:pt>
                <c:pt idx="430">
                  <c:v>5.5999999999999999E-3</c:v>
                </c:pt>
                <c:pt idx="431">
                  <c:v>5.0499999999999998E-3</c:v>
                </c:pt>
                <c:pt idx="432">
                  <c:v>4.96E-3</c:v>
                </c:pt>
                <c:pt idx="433">
                  <c:v>4.62E-3</c:v>
                </c:pt>
                <c:pt idx="434">
                  <c:v>4.4000000000000003E-3</c:v>
                </c:pt>
                <c:pt idx="435">
                  <c:v>4.3800000000000002E-3</c:v>
                </c:pt>
                <c:pt idx="436">
                  <c:v>4.5700000000000003E-3</c:v>
                </c:pt>
                <c:pt idx="437">
                  <c:v>4.3899999999999998E-3</c:v>
                </c:pt>
                <c:pt idx="438">
                  <c:v>4.2399999999999998E-3</c:v>
                </c:pt>
                <c:pt idx="439">
                  <c:v>4.4999999999999997E-3</c:v>
                </c:pt>
                <c:pt idx="440">
                  <c:v>4.5999999999999999E-3</c:v>
                </c:pt>
                <c:pt idx="441">
                  <c:v>4.5100000000000001E-3</c:v>
                </c:pt>
                <c:pt idx="442">
                  <c:v>4.7800000000000004E-3</c:v>
                </c:pt>
                <c:pt idx="443">
                  <c:v>4.7699999999999999E-3</c:v>
                </c:pt>
                <c:pt idx="444">
                  <c:v>4.5399999999999998E-3</c:v>
                </c:pt>
                <c:pt idx="445">
                  <c:v>4.15E-3</c:v>
                </c:pt>
                <c:pt idx="446">
                  <c:v>3.8800000000000002E-3</c:v>
                </c:pt>
                <c:pt idx="447">
                  <c:v>4.2500000000000003E-3</c:v>
                </c:pt>
                <c:pt idx="448">
                  <c:v>3.6700000000000001E-3</c:v>
                </c:pt>
                <c:pt idx="449">
                  <c:v>3.6800000000000001E-3</c:v>
                </c:pt>
                <c:pt idx="450">
                  <c:v>3.5699999999999998E-3</c:v>
                </c:pt>
                <c:pt idx="451">
                  <c:v>3.6600000000000001E-3</c:v>
                </c:pt>
                <c:pt idx="452">
                  <c:v>3.9500000000000004E-3</c:v>
                </c:pt>
                <c:pt idx="453">
                  <c:v>3.4099999999999998E-3</c:v>
                </c:pt>
                <c:pt idx="454">
                  <c:v>3.46E-3</c:v>
                </c:pt>
                <c:pt idx="455">
                  <c:v>3.62E-3</c:v>
                </c:pt>
                <c:pt idx="456">
                  <c:v>3.7000000000000002E-3</c:v>
                </c:pt>
                <c:pt idx="457">
                  <c:v>4.0200000000000001E-3</c:v>
                </c:pt>
                <c:pt idx="458">
                  <c:v>4.0800000000000003E-3</c:v>
                </c:pt>
                <c:pt idx="459">
                  <c:v>4.3099999999999996E-3</c:v>
                </c:pt>
                <c:pt idx="460">
                  <c:v>4.3499999999999997E-3</c:v>
                </c:pt>
                <c:pt idx="461">
                  <c:v>4.2599999999999999E-3</c:v>
                </c:pt>
                <c:pt idx="462">
                  <c:v>4.3099999999999996E-3</c:v>
                </c:pt>
                <c:pt idx="463">
                  <c:v>4.2500000000000003E-3</c:v>
                </c:pt>
                <c:pt idx="464">
                  <c:v>4.0499999999999998E-3</c:v>
                </c:pt>
                <c:pt idx="465">
                  <c:v>4.3800000000000002E-3</c:v>
                </c:pt>
                <c:pt idx="466">
                  <c:v>4.62E-3</c:v>
                </c:pt>
                <c:pt idx="467">
                  <c:v>4.3299999999999996E-3</c:v>
                </c:pt>
                <c:pt idx="468">
                  <c:v>4.1399999999999996E-3</c:v>
                </c:pt>
                <c:pt idx="469">
                  <c:v>4.5199999999999997E-3</c:v>
                </c:pt>
                <c:pt idx="470">
                  <c:v>4.8199999999999996E-3</c:v>
                </c:pt>
                <c:pt idx="471">
                  <c:v>4.9199999999999999E-3</c:v>
                </c:pt>
                <c:pt idx="472">
                  <c:v>4.62E-3</c:v>
                </c:pt>
                <c:pt idx="473">
                  <c:v>4.45E-3</c:v>
                </c:pt>
                <c:pt idx="474">
                  <c:v>4.3800000000000002E-3</c:v>
                </c:pt>
                <c:pt idx="475">
                  <c:v>4.5100000000000001E-3</c:v>
                </c:pt>
                <c:pt idx="476">
                  <c:v>4.3200000000000001E-3</c:v>
                </c:pt>
                <c:pt idx="477">
                  <c:v>4.0499999999999998E-3</c:v>
                </c:pt>
                <c:pt idx="478">
                  <c:v>3.9500000000000004E-3</c:v>
                </c:pt>
                <c:pt idx="479">
                  <c:v>4.6299999999999996E-3</c:v>
                </c:pt>
                <c:pt idx="480">
                  <c:v>4.6899999999999997E-3</c:v>
                </c:pt>
                <c:pt idx="481">
                  <c:v>4.7400000000000003E-3</c:v>
                </c:pt>
                <c:pt idx="482">
                  <c:v>4.7800000000000004E-3</c:v>
                </c:pt>
                <c:pt idx="483">
                  <c:v>4.81E-3</c:v>
                </c:pt>
                <c:pt idx="484">
                  <c:v>5.3299999999999997E-3</c:v>
                </c:pt>
                <c:pt idx="485">
                  <c:v>5.0000000000000001E-3</c:v>
                </c:pt>
                <c:pt idx="486">
                  <c:v>4.9300000000000004E-3</c:v>
                </c:pt>
                <c:pt idx="487">
                  <c:v>5.11E-3</c:v>
                </c:pt>
                <c:pt idx="488">
                  <c:v>5.3600000000000002E-3</c:v>
                </c:pt>
                <c:pt idx="489">
                  <c:v>5.1200000000000004E-3</c:v>
                </c:pt>
                <c:pt idx="490">
                  <c:v>4.5199999999999997E-3</c:v>
                </c:pt>
                <c:pt idx="491">
                  <c:v>4.1200000000000004E-3</c:v>
                </c:pt>
                <c:pt idx="492">
                  <c:v>4.6499999999999996E-3</c:v>
                </c:pt>
                <c:pt idx="493">
                  <c:v>4.5599999999999998E-3</c:v>
                </c:pt>
                <c:pt idx="494">
                  <c:v>5.1700000000000001E-3</c:v>
                </c:pt>
                <c:pt idx="495">
                  <c:v>5.5700000000000003E-3</c:v>
                </c:pt>
                <c:pt idx="496">
                  <c:v>5.5799999999999999E-3</c:v>
                </c:pt>
                <c:pt idx="497">
                  <c:v>5.8399999999999997E-3</c:v>
                </c:pt>
                <c:pt idx="498">
                  <c:v>5.8599999999999998E-3</c:v>
                </c:pt>
                <c:pt idx="499">
                  <c:v>5.94E-3</c:v>
                </c:pt>
                <c:pt idx="500">
                  <c:v>6.7999999999999996E-3</c:v>
                </c:pt>
                <c:pt idx="501">
                  <c:v>6.8700000000000002E-3</c:v>
                </c:pt>
                <c:pt idx="502">
                  <c:v>7.45E-3</c:v>
                </c:pt>
                <c:pt idx="503">
                  <c:v>7.1300000000000001E-3</c:v>
                </c:pt>
                <c:pt idx="504">
                  <c:v>7.11E-3</c:v>
                </c:pt>
                <c:pt idx="505">
                  <c:v>6.9100000000000003E-3</c:v>
                </c:pt>
                <c:pt idx="506">
                  <c:v>6.2500000000000003E-3</c:v>
                </c:pt>
                <c:pt idx="507">
                  <c:v>6.4099999999999999E-3</c:v>
                </c:pt>
                <c:pt idx="508">
                  <c:v>6.5399999999999998E-3</c:v>
                </c:pt>
                <c:pt idx="509">
                  <c:v>6.0000000000000001E-3</c:v>
                </c:pt>
                <c:pt idx="510">
                  <c:v>7.5399999999999998E-3</c:v>
                </c:pt>
                <c:pt idx="511">
                  <c:v>7.77E-3</c:v>
                </c:pt>
                <c:pt idx="512">
                  <c:v>0.01</c:v>
                </c:pt>
                <c:pt idx="513">
                  <c:v>1.031E-2</c:v>
                </c:pt>
                <c:pt idx="514">
                  <c:v>1.098E-2</c:v>
                </c:pt>
                <c:pt idx="515">
                  <c:v>1.146E-2</c:v>
                </c:pt>
                <c:pt idx="516">
                  <c:v>1.179E-2</c:v>
                </c:pt>
                <c:pt idx="517">
                  <c:v>1.226E-2</c:v>
                </c:pt>
                <c:pt idx="518">
                  <c:v>1.2E-2</c:v>
                </c:pt>
                <c:pt idx="519">
                  <c:v>1.244E-2</c:v>
                </c:pt>
                <c:pt idx="520">
                  <c:v>1.1679999999999999E-2</c:v>
                </c:pt>
                <c:pt idx="521">
                  <c:v>1.273E-2</c:v>
                </c:pt>
                <c:pt idx="522">
                  <c:v>1.073E-2</c:v>
                </c:pt>
                <c:pt idx="523">
                  <c:v>1.035E-2</c:v>
                </c:pt>
                <c:pt idx="524">
                  <c:v>1.0290000000000001E-2</c:v>
                </c:pt>
                <c:pt idx="525">
                  <c:v>1.221E-2</c:v>
                </c:pt>
                <c:pt idx="526">
                  <c:v>1.055E-2</c:v>
                </c:pt>
                <c:pt idx="527">
                  <c:v>1.1350000000000001E-2</c:v>
                </c:pt>
                <c:pt idx="528">
                  <c:v>1.1809999999999999E-2</c:v>
                </c:pt>
                <c:pt idx="529">
                  <c:v>1.265E-2</c:v>
                </c:pt>
                <c:pt idx="530">
                  <c:v>1.2359999999999999E-2</c:v>
                </c:pt>
                <c:pt idx="531">
                  <c:v>1.319E-2</c:v>
                </c:pt>
                <c:pt idx="532">
                  <c:v>1.0359999999999999E-2</c:v>
                </c:pt>
                <c:pt idx="533">
                  <c:v>1.085E-2</c:v>
                </c:pt>
                <c:pt idx="534">
                  <c:v>1.03E-2</c:v>
                </c:pt>
                <c:pt idx="535">
                  <c:v>1.0970000000000001E-2</c:v>
                </c:pt>
                <c:pt idx="536">
                  <c:v>1.013E-2</c:v>
                </c:pt>
                <c:pt idx="537">
                  <c:v>8.1899999999999994E-3</c:v>
                </c:pt>
                <c:pt idx="538">
                  <c:v>7.4400000000000004E-3</c:v>
                </c:pt>
                <c:pt idx="539">
                  <c:v>7.8700000000000003E-3</c:v>
                </c:pt>
                <c:pt idx="540">
                  <c:v>6.8999999999999999E-3</c:v>
                </c:pt>
                <c:pt idx="541">
                  <c:v>6.94E-3</c:v>
                </c:pt>
                <c:pt idx="542">
                  <c:v>6.6800000000000002E-3</c:v>
                </c:pt>
                <c:pt idx="543">
                  <c:v>6.0499999999999998E-3</c:v>
                </c:pt>
                <c:pt idx="544">
                  <c:v>6.4599999999999996E-3</c:v>
                </c:pt>
                <c:pt idx="545">
                  <c:v>6.7499999999999999E-3</c:v>
                </c:pt>
                <c:pt idx="546">
                  <c:v>7.1000000000000004E-3</c:v>
                </c:pt>
                <c:pt idx="547">
                  <c:v>7.0400000000000003E-3</c:v>
                </c:pt>
                <c:pt idx="548">
                  <c:v>7.6E-3</c:v>
                </c:pt>
                <c:pt idx="549">
                  <c:v>7.9100000000000004E-3</c:v>
                </c:pt>
                <c:pt idx="550">
                  <c:v>7.4400000000000004E-3</c:v>
                </c:pt>
                <c:pt idx="551">
                  <c:v>6.3099999999999996E-3</c:v>
                </c:pt>
                <c:pt idx="552">
                  <c:v>6.5500000000000003E-3</c:v>
                </c:pt>
                <c:pt idx="553">
                  <c:v>6.2899999999999996E-3</c:v>
                </c:pt>
                <c:pt idx="554">
                  <c:v>6.3600000000000002E-3</c:v>
                </c:pt>
                <c:pt idx="555">
                  <c:v>6.7000000000000002E-3</c:v>
                </c:pt>
                <c:pt idx="556">
                  <c:v>5.7999999999999996E-3</c:v>
                </c:pt>
                <c:pt idx="557">
                  <c:v>4.9699999999999996E-3</c:v>
                </c:pt>
                <c:pt idx="558">
                  <c:v>4.9500000000000004E-3</c:v>
                </c:pt>
                <c:pt idx="559">
                  <c:v>4.6699999999999997E-3</c:v>
                </c:pt>
                <c:pt idx="560">
                  <c:v>4.79E-3</c:v>
                </c:pt>
                <c:pt idx="561">
                  <c:v>4.5999999999999999E-3</c:v>
                </c:pt>
                <c:pt idx="562">
                  <c:v>4.79E-3</c:v>
                </c:pt>
                <c:pt idx="563">
                  <c:v>5.0400000000000002E-3</c:v>
                </c:pt>
                <c:pt idx="564">
                  <c:v>5.0000000000000001E-3</c:v>
                </c:pt>
                <c:pt idx="565">
                  <c:v>4.7999999999999996E-3</c:v>
                </c:pt>
                <c:pt idx="566">
                  <c:v>5.0299999999999997E-3</c:v>
                </c:pt>
                <c:pt idx="567">
                  <c:v>4.4999999999999997E-3</c:v>
                </c:pt>
                <c:pt idx="568">
                  <c:v>4.4400000000000004E-3</c:v>
                </c:pt>
                <c:pt idx="569">
                  <c:v>4.3600000000000002E-3</c:v>
                </c:pt>
                <c:pt idx="570">
                  <c:v>4.3E-3</c:v>
                </c:pt>
                <c:pt idx="571">
                  <c:v>3.8999999999999998E-3</c:v>
                </c:pt>
                <c:pt idx="572">
                  <c:v>4.28E-3</c:v>
                </c:pt>
                <c:pt idx="573">
                  <c:v>4.1099999999999999E-3</c:v>
                </c:pt>
                <c:pt idx="574">
                  <c:v>4.0600000000000002E-3</c:v>
                </c:pt>
                <c:pt idx="575">
                  <c:v>3.81E-3</c:v>
                </c:pt>
                <c:pt idx="576">
                  <c:v>3.5300000000000002E-3</c:v>
                </c:pt>
                <c:pt idx="577">
                  <c:v>3.6900000000000001E-3</c:v>
                </c:pt>
                <c:pt idx="578">
                  <c:v>3.7499999999999999E-3</c:v>
                </c:pt>
                <c:pt idx="579">
                  <c:v>3.4499999999999999E-3</c:v>
                </c:pt>
                <c:pt idx="580">
                  <c:v>3.4399999999999999E-3</c:v>
                </c:pt>
                <c:pt idx="581">
                  <c:v>3.7200000000000002E-3</c:v>
                </c:pt>
                <c:pt idx="582">
                  <c:v>3.7399999999999998E-3</c:v>
                </c:pt>
                <c:pt idx="583">
                  <c:v>4.0000000000000001E-3</c:v>
                </c:pt>
                <c:pt idx="584">
                  <c:v>4.0400000000000002E-3</c:v>
                </c:pt>
                <c:pt idx="585">
                  <c:v>4.0600000000000002E-3</c:v>
                </c:pt>
                <c:pt idx="586">
                  <c:v>4.3600000000000002E-3</c:v>
                </c:pt>
                <c:pt idx="587">
                  <c:v>4.4000000000000003E-3</c:v>
                </c:pt>
                <c:pt idx="588">
                  <c:v>4.3600000000000002E-3</c:v>
                </c:pt>
                <c:pt idx="589">
                  <c:v>3.8800000000000002E-3</c:v>
                </c:pt>
                <c:pt idx="590">
                  <c:v>4.0099999999999997E-3</c:v>
                </c:pt>
                <c:pt idx="591">
                  <c:v>4.0299999999999997E-3</c:v>
                </c:pt>
                <c:pt idx="592">
                  <c:v>3.8400000000000001E-3</c:v>
                </c:pt>
                <c:pt idx="593">
                  <c:v>3.8600000000000001E-3</c:v>
                </c:pt>
                <c:pt idx="594">
                  <c:v>3.2299999999999998E-3</c:v>
                </c:pt>
                <c:pt idx="595">
                  <c:v>3.0000000000000001E-3</c:v>
                </c:pt>
                <c:pt idx="596">
                  <c:v>3.3300000000000001E-3</c:v>
                </c:pt>
                <c:pt idx="597">
                  <c:v>3.3899999999999998E-3</c:v>
                </c:pt>
                <c:pt idx="598">
                  <c:v>3.0999999999999999E-3</c:v>
                </c:pt>
                <c:pt idx="599">
                  <c:v>3.1099999999999999E-3</c:v>
                </c:pt>
                <c:pt idx="600">
                  <c:v>2.9299999999999999E-3</c:v>
                </c:pt>
                <c:pt idx="601">
                  <c:v>2.8700000000000002E-3</c:v>
                </c:pt>
                <c:pt idx="602">
                  <c:v>2.8700000000000002E-3</c:v>
                </c:pt>
                <c:pt idx="603">
                  <c:v>2.8600000000000001E-3</c:v>
                </c:pt>
                <c:pt idx="604">
                  <c:v>2.7599999999999999E-3</c:v>
                </c:pt>
                <c:pt idx="605">
                  <c:v>2.8400000000000001E-3</c:v>
                </c:pt>
                <c:pt idx="606">
                  <c:v>2.8E-3</c:v>
                </c:pt>
                <c:pt idx="607">
                  <c:v>2.8999999999999998E-3</c:v>
                </c:pt>
                <c:pt idx="608">
                  <c:v>2.8500000000000001E-3</c:v>
                </c:pt>
                <c:pt idx="609">
                  <c:v>2.8900000000000002E-3</c:v>
                </c:pt>
                <c:pt idx="610">
                  <c:v>2.8800000000000002E-3</c:v>
                </c:pt>
                <c:pt idx="611">
                  <c:v>2.8600000000000001E-3</c:v>
                </c:pt>
                <c:pt idx="612">
                  <c:v>3.13E-3</c:v>
                </c:pt>
                <c:pt idx="613">
                  <c:v>2.6099999999999999E-3</c:v>
                </c:pt>
                <c:pt idx="614">
                  <c:v>2.5999999999999999E-3</c:v>
                </c:pt>
                <c:pt idx="615">
                  <c:v>2.64E-3</c:v>
                </c:pt>
                <c:pt idx="616">
                  <c:v>2.4199999999999998E-3</c:v>
                </c:pt>
                <c:pt idx="617">
                  <c:v>2.5200000000000001E-3</c:v>
                </c:pt>
                <c:pt idx="618">
                  <c:v>2.5899999999999999E-3</c:v>
                </c:pt>
                <c:pt idx="619">
                  <c:v>2.6099999999999999E-3</c:v>
                </c:pt>
                <c:pt idx="620">
                  <c:v>2.5899999999999999E-3</c:v>
                </c:pt>
                <c:pt idx="621">
                  <c:v>2.7899999999999999E-3</c:v>
                </c:pt>
                <c:pt idx="622">
                  <c:v>2.4099999999999998E-3</c:v>
                </c:pt>
                <c:pt idx="623">
                  <c:v>2.3400000000000001E-3</c:v>
                </c:pt>
                <c:pt idx="624">
                  <c:v>2.1099999999999999E-3</c:v>
                </c:pt>
                <c:pt idx="625">
                  <c:v>1.8500000000000001E-3</c:v>
                </c:pt>
                <c:pt idx="626">
                  <c:v>1.81E-3</c:v>
                </c:pt>
                <c:pt idx="627">
                  <c:v>1.83E-3</c:v>
                </c:pt>
                <c:pt idx="628">
                  <c:v>2.0200000000000001E-3</c:v>
                </c:pt>
                <c:pt idx="629">
                  <c:v>2.0100000000000001E-3</c:v>
                </c:pt>
                <c:pt idx="630">
                  <c:v>1.9599999999999999E-3</c:v>
                </c:pt>
                <c:pt idx="631">
                  <c:v>2.0300000000000001E-3</c:v>
                </c:pt>
                <c:pt idx="632">
                  <c:v>2.14E-3</c:v>
                </c:pt>
                <c:pt idx="633">
                  <c:v>1.91E-3</c:v>
                </c:pt>
                <c:pt idx="634">
                  <c:v>1.9599999999999999E-3</c:v>
                </c:pt>
                <c:pt idx="635">
                  <c:v>1.99E-3</c:v>
                </c:pt>
                <c:pt idx="636">
                  <c:v>1.9400000000000001E-3</c:v>
                </c:pt>
                <c:pt idx="637">
                  <c:v>1.92E-3</c:v>
                </c:pt>
                <c:pt idx="638">
                  <c:v>1.97E-3</c:v>
                </c:pt>
                <c:pt idx="639">
                  <c:v>1.8799999999999999E-3</c:v>
                </c:pt>
                <c:pt idx="640">
                  <c:v>1.9E-3</c:v>
                </c:pt>
                <c:pt idx="641">
                  <c:v>2.0300000000000001E-3</c:v>
                </c:pt>
                <c:pt idx="642">
                  <c:v>1.9499999999999999E-3</c:v>
                </c:pt>
                <c:pt idx="643">
                  <c:v>1.91E-3</c:v>
                </c:pt>
                <c:pt idx="644">
                  <c:v>1.6900000000000001E-3</c:v>
                </c:pt>
                <c:pt idx="645">
                  <c:v>1.6299999999999999E-3</c:v>
                </c:pt>
                <c:pt idx="646">
                  <c:v>1.5399999999999999E-3</c:v>
                </c:pt>
                <c:pt idx="647">
                  <c:v>1.5299999999999999E-3</c:v>
                </c:pt>
                <c:pt idx="648">
                  <c:v>1.6199999999999999E-3</c:v>
                </c:pt>
                <c:pt idx="649">
                  <c:v>1.6900000000000001E-3</c:v>
                </c:pt>
                <c:pt idx="650">
                  <c:v>1.5900000000000001E-3</c:v>
                </c:pt>
                <c:pt idx="651">
                  <c:v>1.57E-3</c:v>
                </c:pt>
                <c:pt idx="652">
                  <c:v>1.48E-3</c:v>
                </c:pt>
                <c:pt idx="653">
                  <c:v>1.5200000000000001E-3</c:v>
                </c:pt>
                <c:pt idx="654">
                  <c:v>1.5E-3</c:v>
                </c:pt>
                <c:pt idx="655">
                  <c:v>1.6199999999999999E-3</c:v>
                </c:pt>
                <c:pt idx="656">
                  <c:v>1.6100000000000001E-3</c:v>
                </c:pt>
                <c:pt idx="657">
                  <c:v>1.6000000000000001E-3</c:v>
                </c:pt>
                <c:pt idx="658">
                  <c:v>1.8E-3</c:v>
                </c:pt>
                <c:pt idx="659">
                  <c:v>1.75E-3</c:v>
                </c:pt>
                <c:pt idx="660">
                  <c:v>1.73E-3</c:v>
                </c:pt>
                <c:pt idx="661">
                  <c:v>1.74E-3</c:v>
                </c:pt>
                <c:pt idx="662">
                  <c:v>1.6100000000000001E-3</c:v>
                </c:pt>
                <c:pt idx="663">
                  <c:v>1.6199999999999999E-3</c:v>
                </c:pt>
                <c:pt idx="664">
                  <c:v>1.6199999999999999E-3</c:v>
                </c:pt>
                <c:pt idx="665">
                  <c:v>1.58E-3</c:v>
                </c:pt>
                <c:pt idx="666">
                  <c:v>1.58E-3</c:v>
                </c:pt>
                <c:pt idx="667">
                  <c:v>1.57E-3</c:v>
                </c:pt>
                <c:pt idx="668">
                  <c:v>1.5399999999999999E-3</c:v>
                </c:pt>
                <c:pt idx="669">
                  <c:v>1.4499999999999999E-3</c:v>
                </c:pt>
                <c:pt idx="670">
                  <c:v>1.5100000000000001E-3</c:v>
                </c:pt>
                <c:pt idx="671">
                  <c:v>1.57E-3</c:v>
                </c:pt>
                <c:pt idx="672">
                  <c:v>1.75E-3</c:v>
                </c:pt>
                <c:pt idx="673">
                  <c:v>1.48E-3</c:v>
                </c:pt>
                <c:pt idx="674">
                  <c:v>1.49E-3</c:v>
                </c:pt>
                <c:pt idx="675">
                  <c:v>1.5200000000000001E-3</c:v>
                </c:pt>
                <c:pt idx="676">
                  <c:v>1.3699999999999999E-3</c:v>
                </c:pt>
                <c:pt idx="677">
                  <c:v>1.5E-3</c:v>
                </c:pt>
                <c:pt idx="678">
                  <c:v>1.49E-3</c:v>
                </c:pt>
                <c:pt idx="679">
                  <c:v>1.6000000000000001E-3</c:v>
                </c:pt>
                <c:pt idx="680">
                  <c:v>1.25E-3</c:v>
                </c:pt>
                <c:pt idx="681">
                  <c:v>1.2700000000000001E-3</c:v>
                </c:pt>
                <c:pt idx="682">
                  <c:v>1.1100000000000001E-3</c:v>
                </c:pt>
                <c:pt idx="683">
                  <c:v>1.3799999999999999E-3</c:v>
                </c:pt>
                <c:pt idx="684">
                  <c:v>1.2999999999999999E-3</c:v>
                </c:pt>
                <c:pt idx="685">
                  <c:v>1.3600000000000001E-3</c:v>
                </c:pt>
                <c:pt idx="686">
                  <c:v>1.2600000000000001E-3</c:v>
                </c:pt>
                <c:pt idx="687">
                  <c:v>2.8400000000000001E-3</c:v>
                </c:pt>
                <c:pt idx="688">
                  <c:v>2.8900000000000002E-3</c:v>
                </c:pt>
                <c:pt idx="689">
                  <c:v>2.9299999999999999E-3</c:v>
                </c:pt>
                <c:pt idx="690">
                  <c:v>2.8999999999999998E-3</c:v>
                </c:pt>
                <c:pt idx="691">
                  <c:v>3.46E-3</c:v>
                </c:pt>
                <c:pt idx="692">
                  <c:v>3.5999999999999999E-3</c:v>
                </c:pt>
                <c:pt idx="693">
                  <c:v>3.64E-3</c:v>
                </c:pt>
                <c:pt idx="694">
                  <c:v>3.5799999999999998E-3</c:v>
                </c:pt>
                <c:pt idx="695">
                  <c:v>3.5200000000000001E-3</c:v>
                </c:pt>
                <c:pt idx="696">
                  <c:v>3.48E-3</c:v>
                </c:pt>
                <c:pt idx="697">
                  <c:v>3.2599999999999999E-3</c:v>
                </c:pt>
                <c:pt idx="698">
                  <c:v>3.29E-3</c:v>
                </c:pt>
                <c:pt idx="699">
                  <c:v>3.4499999999999999E-3</c:v>
                </c:pt>
                <c:pt idx="700">
                  <c:v>3.32E-3</c:v>
                </c:pt>
                <c:pt idx="701">
                  <c:v>3.2299999999999998E-3</c:v>
                </c:pt>
                <c:pt idx="702">
                  <c:v>3.5599999999999998E-3</c:v>
                </c:pt>
                <c:pt idx="703">
                  <c:v>3.9100000000000003E-3</c:v>
                </c:pt>
                <c:pt idx="704">
                  <c:v>4.1900000000000001E-3</c:v>
                </c:pt>
                <c:pt idx="705">
                  <c:v>3.9199999999999999E-3</c:v>
                </c:pt>
                <c:pt idx="706">
                  <c:v>3.9199999999999999E-3</c:v>
                </c:pt>
                <c:pt idx="707">
                  <c:v>3.8600000000000001E-3</c:v>
                </c:pt>
                <c:pt idx="708">
                  <c:v>4.0600000000000002E-3</c:v>
                </c:pt>
                <c:pt idx="709">
                  <c:v>4.4999999999999997E-3</c:v>
                </c:pt>
                <c:pt idx="710">
                  <c:v>4.1799999999999997E-3</c:v>
                </c:pt>
                <c:pt idx="711">
                  <c:v>4.2900000000000004E-3</c:v>
                </c:pt>
                <c:pt idx="712">
                  <c:v>4.79E-3</c:v>
                </c:pt>
                <c:pt idx="713">
                  <c:v>5.5500000000000002E-3</c:v>
                </c:pt>
                <c:pt idx="714">
                  <c:v>4.96E-3</c:v>
                </c:pt>
                <c:pt idx="715">
                  <c:v>4.7400000000000003E-3</c:v>
                </c:pt>
                <c:pt idx="716">
                  <c:v>4.5799999999999999E-3</c:v>
                </c:pt>
                <c:pt idx="717">
                  <c:v>4.5500000000000002E-3</c:v>
                </c:pt>
                <c:pt idx="718">
                  <c:v>4.2300000000000003E-3</c:v>
                </c:pt>
                <c:pt idx="719">
                  <c:v>4.1599999999999996E-3</c:v>
                </c:pt>
                <c:pt idx="720">
                  <c:v>4.1900000000000001E-3</c:v>
                </c:pt>
                <c:pt idx="721">
                  <c:v>4.1099999999999999E-3</c:v>
                </c:pt>
                <c:pt idx="722">
                  <c:v>3.64E-3</c:v>
                </c:pt>
                <c:pt idx="723">
                  <c:v>3.7299999999999998E-3</c:v>
                </c:pt>
                <c:pt idx="724">
                  <c:v>3.5899999999999999E-3</c:v>
                </c:pt>
                <c:pt idx="725">
                  <c:v>3.3999999999999998E-3</c:v>
                </c:pt>
                <c:pt idx="726">
                  <c:v>3.31E-3</c:v>
                </c:pt>
                <c:pt idx="727">
                  <c:v>3.2699999999999999E-3</c:v>
                </c:pt>
                <c:pt idx="728">
                  <c:v>3.2599999999999999E-3</c:v>
                </c:pt>
                <c:pt idx="729">
                  <c:v>3.2100000000000002E-3</c:v>
                </c:pt>
                <c:pt idx="730">
                  <c:v>3.3400000000000001E-3</c:v>
                </c:pt>
                <c:pt idx="731">
                  <c:v>3.31E-3</c:v>
                </c:pt>
                <c:pt idx="732">
                  <c:v>3.3600000000000001E-3</c:v>
                </c:pt>
                <c:pt idx="733">
                  <c:v>3.3800000000000002E-3</c:v>
                </c:pt>
                <c:pt idx="734">
                  <c:v>3.2299999999999998E-3</c:v>
                </c:pt>
                <c:pt idx="735">
                  <c:v>3.2399999999999998E-3</c:v>
                </c:pt>
                <c:pt idx="736">
                  <c:v>3.3E-3</c:v>
                </c:pt>
                <c:pt idx="737">
                  <c:v>3.29E-3</c:v>
                </c:pt>
                <c:pt idx="738">
                  <c:v>3.2799999999999999E-3</c:v>
                </c:pt>
                <c:pt idx="739">
                  <c:v>3.3700000000000002E-3</c:v>
                </c:pt>
                <c:pt idx="740">
                  <c:v>3.6700000000000001E-3</c:v>
                </c:pt>
                <c:pt idx="741">
                  <c:v>3.6600000000000001E-3</c:v>
                </c:pt>
                <c:pt idx="742">
                  <c:v>3.5100000000000001E-3</c:v>
                </c:pt>
                <c:pt idx="743">
                  <c:v>3.5899999999999999E-3</c:v>
                </c:pt>
                <c:pt idx="744">
                  <c:v>3.4399999999999999E-3</c:v>
                </c:pt>
                <c:pt idx="745">
                  <c:v>3.5200000000000001E-3</c:v>
                </c:pt>
                <c:pt idx="746">
                  <c:v>3.46E-3</c:v>
                </c:pt>
                <c:pt idx="747">
                  <c:v>3.3300000000000001E-3</c:v>
                </c:pt>
                <c:pt idx="748">
                  <c:v>3.2699999999999999E-3</c:v>
                </c:pt>
                <c:pt idx="749">
                  <c:v>3.32E-3</c:v>
                </c:pt>
                <c:pt idx="750">
                  <c:v>3.3899999999999998E-3</c:v>
                </c:pt>
                <c:pt idx="751">
                  <c:v>3.47E-3</c:v>
                </c:pt>
                <c:pt idx="752">
                  <c:v>3.5599999999999998E-3</c:v>
                </c:pt>
                <c:pt idx="753">
                  <c:v>3.49E-3</c:v>
                </c:pt>
                <c:pt idx="754">
                  <c:v>3.5500000000000002E-3</c:v>
                </c:pt>
                <c:pt idx="755">
                  <c:v>3.5500000000000002E-3</c:v>
                </c:pt>
                <c:pt idx="756">
                  <c:v>3.3999999999999998E-3</c:v>
                </c:pt>
                <c:pt idx="757">
                  <c:v>3.62E-3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F-4D99-92F2-F0A247F4BFE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-95.512937218485121</c:v>
                </c:pt>
                <c:pt idx="1">
                  <c:v>-95.265209086980988</c:v>
                </c:pt>
                <c:pt idx="2">
                  <c:v>-92.215025405406152</c:v>
                </c:pt>
                <c:pt idx="3">
                  <c:v>-93.64873992931372</c:v>
                </c:pt>
                <c:pt idx="4">
                  <c:v>-95.908023924250912</c:v>
                </c:pt>
                <c:pt idx="5">
                  <c:v>-94.248104147375912</c:v>
                </c:pt>
                <c:pt idx="6">
                  <c:v>-88.348210199437361</c:v>
                </c:pt>
                <c:pt idx="7">
                  <c:v>-84.199382282920752</c:v>
                </c:pt>
                <c:pt idx="8">
                  <c:v>-81.368615770462029</c:v>
                </c:pt>
                <c:pt idx="9">
                  <c:v>-78.424816654032526</c:v>
                </c:pt>
                <c:pt idx="10">
                  <c:v>-75.677915817547287</c:v>
                </c:pt>
                <c:pt idx="11">
                  <c:v>-73.783373660430257</c:v>
                </c:pt>
                <c:pt idx="12">
                  <c:v>-70.28578269328662</c:v>
                </c:pt>
                <c:pt idx="13">
                  <c:v>-74.773946492373256</c:v>
                </c:pt>
                <c:pt idx="14">
                  <c:v>-79.339300881021686</c:v>
                </c:pt>
                <c:pt idx="15">
                  <c:v>-80.586128439709569</c:v>
                </c:pt>
                <c:pt idx="16">
                  <c:v>-82.535180668039658</c:v>
                </c:pt>
                <c:pt idx="17">
                  <c:v>-84.068248282325371</c:v>
                </c:pt>
                <c:pt idx="18">
                  <c:v>-83.546178881520731</c:v>
                </c:pt>
                <c:pt idx="19">
                  <c:v>-84.399404630729848</c:v>
                </c:pt>
                <c:pt idx="20">
                  <c:v>-82.750287294738257</c:v>
                </c:pt>
                <c:pt idx="21">
                  <c:v>-80.854613743107123</c:v>
                </c:pt>
                <c:pt idx="22">
                  <c:v>-79.945387438553368</c:v>
                </c:pt>
                <c:pt idx="23">
                  <c:v>-76.415887797018996</c:v>
                </c:pt>
                <c:pt idx="24">
                  <c:v>-76.457849877273077</c:v>
                </c:pt>
                <c:pt idx="25">
                  <c:v>-75.447122242322308</c:v>
                </c:pt>
                <c:pt idx="26">
                  <c:v>-75.64322804030212</c:v>
                </c:pt>
                <c:pt idx="27">
                  <c:v>-77.103667034781253</c:v>
                </c:pt>
                <c:pt idx="28">
                  <c:v>-76.262386579521333</c:v>
                </c:pt>
                <c:pt idx="29">
                  <c:v>-77.30972554274733</c:v>
                </c:pt>
                <c:pt idx="30">
                  <c:v>-75.722752206360738</c:v>
                </c:pt>
                <c:pt idx="31">
                  <c:v>-72.726663369007795</c:v>
                </c:pt>
                <c:pt idx="32">
                  <c:v>-70.500357738034623</c:v>
                </c:pt>
                <c:pt idx="33">
                  <c:v>-69.765855804511816</c:v>
                </c:pt>
                <c:pt idx="34">
                  <c:v>-72.127585343462385</c:v>
                </c:pt>
                <c:pt idx="35">
                  <c:v>-70.662687239132836</c:v>
                </c:pt>
                <c:pt idx="36">
                  <c:v>-72.007096516875293</c:v>
                </c:pt>
                <c:pt idx="37">
                  <c:v>-69.793836222343529</c:v>
                </c:pt>
                <c:pt idx="38">
                  <c:v>-69.346896195367151</c:v>
                </c:pt>
                <c:pt idx="39">
                  <c:v>-67.42753867624063</c:v>
                </c:pt>
                <c:pt idx="40">
                  <c:v>-68.782326822228384</c:v>
                </c:pt>
                <c:pt idx="41">
                  <c:v>-66.379032590901446</c:v>
                </c:pt>
                <c:pt idx="42">
                  <c:v>-59.349801618333977</c:v>
                </c:pt>
                <c:pt idx="43">
                  <c:v>-61.033598058813979</c:v>
                </c:pt>
                <c:pt idx="44">
                  <c:v>-62.921002366935014</c:v>
                </c:pt>
                <c:pt idx="45">
                  <c:v>-64.948467563176223</c:v>
                </c:pt>
                <c:pt idx="46">
                  <c:v>-62.72345236635082</c:v>
                </c:pt>
                <c:pt idx="47">
                  <c:v>-63.393929192219233</c:v>
                </c:pt>
                <c:pt idx="48">
                  <c:v>-63.503161060507175</c:v>
                </c:pt>
                <c:pt idx="49">
                  <c:v>-61.166485875088512</c:v>
                </c:pt>
                <c:pt idx="50">
                  <c:v>-57.731819101791437</c:v>
                </c:pt>
                <c:pt idx="51">
                  <c:v>-58.337163968374945</c:v>
                </c:pt>
                <c:pt idx="52">
                  <c:v>-58.221902736381367</c:v>
                </c:pt>
                <c:pt idx="53">
                  <c:v>-61.402659532165977</c:v>
                </c:pt>
                <c:pt idx="54">
                  <c:v>-59.497113106792725</c:v>
                </c:pt>
                <c:pt idx="55">
                  <c:v>-60.789703580767075</c:v>
                </c:pt>
                <c:pt idx="56">
                  <c:v>-60.033876457686759</c:v>
                </c:pt>
                <c:pt idx="57">
                  <c:v>-60.004315034686755</c:v>
                </c:pt>
                <c:pt idx="58">
                  <c:v>-59.453890927320629</c:v>
                </c:pt>
                <c:pt idx="59">
                  <c:v>-58.40123425018983</c:v>
                </c:pt>
                <c:pt idx="60">
                  <c:v>-60.386765231270914</c:v>
                </c:pt>
                <c:pt idx="61">
                  <c:v>-61.870066496138953</c:v>
                </c:pt>
                <c:pt idx="62">
                  <c:v>-59.779192007082685</c:v>
                </c:pt>
                <c:pt idx="63">
                  <c:v>-58.048721321360773</c:v>
                </c:pt>
                <c:pt idx="64">
                  <c:v>-55.583726168382668</c:v>
                </c:pt>
                <c:pt idx="65">
                  <c:v>-56.855970820599524</c:v>
                </c:pt>
                <c:pt idx="66">
                  <c:v>-61.354044690960386</c:v>
                </c:pt>
                <c:pt idx="67">
                  <c:v>-48.876373440536845</c:v>
                </c:pt>
                <c:pt idx="68">
                  <c:v>-50.275091477730705</c:v>
                </c:pt>
                <c:pt idx="69">
                  <c:v>-52.515942299212625</c:v>
                </c:pt>
                <c:pt idx="70">
                  <c:v>-52.99150416152672</c:v>
                </c:pt>
                <c:pt idx="71">
                  <c:v>-47.725093570545361</c:v>
                </c:pt>
                <c:pt idx="72">
                  <c:v>-52.132590320542967</c:v>
                </c:pt>
                <c:pt idx="73">
                  <c:v>-50.878260711977006</c:v>
                </c:pt>
                <c:pt idx="74">
                  <c:v>-49.834746470317697</c:v>
                </c:pt>
                <c:pt idx="75">
                  <c:v>-50.694530231004862</c:v>
                </c:pt>
                <c:pt idx="76">
                  <c:v>-49.140807648593288</c:v>
                </c:pt>
                <c:pt idx="77">
                  <c:v>-47.531250239474119</c:v>
                </c:pt>
                <c:pt idx="78">
                  <c:v>-45.188757505003366</c:v>
                </c:pt>
                <c:pt idx="79">
                  <c:v>-49.642973352880539</c:v>
                </c:pt>
                <c:pt idx="80">
                  <c:v>-48.66065205354721</c:v>
                </c:pt>
                <c:pt idx="81">
                  <c:v>-48.016933768768943</c:v>
                </c:pt>
                <c:pt idx="82">
                  <c:v>-48.449535925041168</c:v>
                </c:pt>
                <c:pt idx="83">
                  <c:v>-47.81529287653504</c:v>
                </c:pt>
                <c:pt idx="84">
                  <c:v>-49.447250509347114</c:v>
                </c:pt>
                <c:pt idx="85">
                  <c:v>-48.360755648867361</c:v>
                </c:pt>
                <c:pt idx="86">
                  <c:v>-48.762362713448077</c:v>
                </c:pt>
                <c:pt idx="87">
                  <c:v>-48.843692176421996</c:v>
                </c:pt>
                <c:pt idx="88">
                  <c:v>-48.449760421891312</c:v>
                </c:pt>
                <c:pt idx="89">
                  <c:v>-50.851889821053319</c:v>
                </c:pt>
                <c:pt idx="90">
                  <c:v>-49.960541880264707</c:v>
                </c:pt>
                <c:pt idx="91">
                  <c:v>-48.451056249609252</c:v>
                </c:pt>
                <c:pt idx="92">
                  <c:v>-47.350199940125265</c:v>
                </c:pt>
                <c:pt idx="93">
                  <c:v>-43.811350855791019</c:v>
                </c:pt>
                <c:pt idx="94">
                  <c:v>-38.821163960364835</c:v>
                </c:pt>
                <c:pt idx="95">
                  <c:v>-40.255743498566936</c:v>
                </c:pt>
                <c:pt idx="96">
                  <c:v>-38.936082895455833</c:v>
                </c:pt>
                <c:pt idx="97">
                  <c:v>-38.323779591743254</c:v>
                </c:pt>
                <c:pt idx="98">
                  <c:v>-39.862104865946002</c:v>
                </c:pt>
                <c:pt idx="99">
                  <c:v>-38.214211346389078</c:v>
                </c:pt>
                <c:pt idx="100">
                  <c:v>-38.934778878865814</c:v>
                </c:pt>
                <c:pt idx="101">
                  <c:v>-37.706641282379913</c:v>
                </c:pt>
                <c:pt idx="102">
                  <c:v>-37.222822889120017</c:v>
                </c:pt>
                <c:pt idx="103">
                  <c:v>-37.346818069086915</c:v>
                </c:pt>
                <c:pt idx="104">
                  <c:v>-36.11171680588506</c:v>
                </c:pt>
                <c:pt idx="105">
                  <c:v>-36.686614037013349</c:v>
                </c:pt>
                <c:pt idx="106">
                  <c:v>-35.333040798882728</c:v>
                </c:pt>
                <c:pt idx="107">
                  <c:v>-33.200180771281261</c:v>
                </c:pt>
                <c:pt idx="108">
                  <c:v>-34.723103821673902</c:v>
                </c:pt>
                <c:pt idx="109">
                  <c:v>-33.064187236011051</c:v>
                </c:pt>
                <c:pt idx="110">
                  <c:v>-25.350399979407282</c:v>
                </c:pt>
                <c:pt idx="111">
                  <c:v>-14.69444703845612</c:v>
                </c:pt>
                <c:pt idx="112">
                  <c:v>-24.730671452138626</c:v>
                </c:pt>
                <c:pt idx="113">
                  <c:v>-22.617208970390582</c:v>
                </c:pt>
                <c:pt idx="114">
                  <c:v>-21.098251344953905</c:v>
                </c:pt>
                <c:pt idx="115">
                  <c:v>-18.738423475529668</c:v>
                </c:pt>
                <c:pt idx="116">
                  <c:v>-14.733404379917316</c:v>
                </c:pt>
                <c:pt idx="117">
                  <c:v>-13.57568463594512</c:v>
                </c:pt>
                <c:pt idx="118">
                  <c:v>-9.0539921290056178</c:v>
                </c:pt>
                <c:pt idx="119">
                  <c:v>-9.7965271199032369</c:v>
                </c:pt>
                <c:pt idx="120">
                  <c:v>-6.372653725199954</c:v>
                </c:pt>
                <c:pt idx="121">
                  <c:v>-1.4058787221210884</c:v>
                </c:pt>
                <c:pt idx="122">
                  <c:v>5.2981713602018559</c:v>
                </c:pt>
                <c:pt idx="123">
                  <c:v>13.876561195231281</c:v>
                </c:pt>
                <c:pt idx="124">
                  <c:v>20.017944491242559</c:v>
                </c:pt>
                <c:pt idx="125">
                  <c:v>28.870365497792875</c:v>
                </c:pt>
                <c:pt idx="126">
                  <c:v>9.3321604240335443</c:v>
                </c:pt>
                <c:pt idx="127">
                  <c:v>-1.8537100096106947</c:v>
                </c:pt>
                <c:pt idx="128">
                  <c:v>-10.058265702420812</c:v>
                </c:pt>
                <c:pt idx="129">
                  <c:v>0.48709195203325573</c:v>
                </c:pt>
                <c:pt idx="130">
                  <c:v>1.96632519710998</c:v>
                </c:pt>
                <c:pt idx="131">
                  <c:v>5.8115974825743564</c:v>
                </c:pt>
                <c:pt idx="132">
                  <c:v>11.904020730436422</c:v>
                </c:pt>
                <c:pt idx="133">
                  <c:v>4.370484867274727</c:v>
                </c:pt>
                <c:pt idx="134">
                  <c:v>3.4086804183623709</c:v>
                </c:pt>
                <c:pt idx="135">
                  <c:v>11.2559551225969</c:v>
                </c:pt>
                <c:pt idx="136">
                  <c:v>0.45662888526596562</c:v>
                </c:pt>
                <c:pt idx="137">
                  <c:v>1.1063951506565177</c:v>
                </c:pt>
                <c:pt idx="138">
                  <c:v>-9.7179257291652643</c:v>
                </c:pt>
                <c:pt idx="139">
                  <c:v>-11.955071990608301</c:v>
                </c:pt>
                <c:pt idx="140">
                  <c:v>-3.9088117286436379</c:v>
                </c:pt>
                <c:pt idx="141">
                  <c:v>-12.781875661705463</c:v>
                </c:pt>
                <c:pt idx="142">
                  <c:v>-24.14452823583008</c:v>
                </c:pt>
                <c:pt idx="143">
                  <c:v>-16.264903566011554</c:v>
                </c:pt>
                <c:pt idx="144">
                  <c:v>-15.708198913308209</c:v>
                </c:pt>
                <c:pt idx="145">
                  <c:v>-17.840177194128213</c:v>
                </c:pt>
                <c:pt idx="146">
                  <c:v>-17.662078082438068</c:v>
                </c:pt>
                <c:pt idx="147">
                  <c:v>-16.365947409268109</c:v>
                </c:pt>
                <c:pt idx="148">
                  <c:v>-13.909148125411859</c:v>
                </c:pt>
                <c:pt idx="149">
                  <c:v>-20.941814455767535</c:v>
                </c:pt>
                <c:pt idx="150">
                  <c:v>-20.818697912337612</c:v>
                </c:pt>
                <c:pt idx="151">
                  <c:v>-20.959334554344039</c:v>
                </c:pt>
                <c:pt idx="152">
                  <c:v>-20.552937624775936</c:v>
                </c:pt>
                <c:pt idx="153">
                  <c:v>-19.687495862347369</c:v>
                </c:pt>
                <c:pt idx="154">
                  <c:v>-21.841505558659055</c:v>
                </c:pt>
                <c:pt idx="155">
                  <c:v>-20.157320479651204</c:v>
                </c:pt>
                <c:pt idx="156">
                  <c:v>-22.070267986150025</c:v>
                </c:pt>
                <c:pt idx="157">
                  <c:v>-19.98479947961426</c:v>
                </c:pt>
                <c:pt idx="158">
                  <c:v>-17.713578580666894</c:v>
                </c:pt>
                <c:pt idx="159">
                  <c:v>-17.846524005293563</c:v>
                </c:pt>
                <c:pt idx="160">
                  <c:v>-17.703551500057987</c:v>
                </c:pt>
                <c:pt idx="161">
                  <c:v>-17.572780904079728</c:v>
                </c:pt>
                <c:pt idx="162">
                  <c:v>-19.943614111660374</c:v>
                </c:pt>
                <c:pt idx="163">
                  <c:v>-19.824446129287416</c:v>
                </c:pt>
                <c:pt idx="164">
                  <c:v>-16.952486051906469</c:v>
                </c:pt>
                <c:pt idx="165">
                  <c:v>-14.697678337261795</c:v>
                </c:pt>
                <c:pt idx="166">
                  <c:v>-14.947107748851538</c:v>
                </c:pt>
                <c:pt idx="167">
                  <c:v>-17.330025441988386</c:v>
                </c:pt>
                <c:pt idx="168">
                  <c:v>-18.320491930173716</c:v>
                </c:pt>
                <c:pt idx="169">
                  <c:v>-17.564366690610846</c:v>
                </c:pt>
                <c:pt idx="170">
                  <c:v>-17.849473818064215</c:v>
                </c:pt>
                <c:pt idx="171">
                  <c:v>-15.470490389819064</c:v>
                </c:pt>
                <c:pt idx="172">
                  <c:v>-18.924875121317136</c:v>
                </c:pt>
                <c:pt idx="173">
                  <c:v>-16.807275566021776</c:v>
                </c:pt>
                <c:pt idx="174">
                  <c:v>-18.622738228231569</c:v>
                </c:pt>
                <c:pt idx="175">
                  <c:v>-18.940953042701139</c:v>
                </c:pt>
                <c:pt idx="176">
                  <c:v>-21.313710706396797</c:v>
                </c:pt>
                <c:pt idx="177">
                  <c:v>-21.959614629240548</c:v>
                </c:pt>
                <c:pt idx="178">
                  <c:v>-21.105428731018321</c:v>
                </c:pt>
                <c:pt idx="179">
                  <c:v>-21.218963874550802</c:v>
                </c:pt>
                <c:pt idx="180">
                  <c:v>-17.83515873464129</c:v>
                </c:pt>
                <c:pt idx="181">
                  <c:v>-20.639170501500448</c:v>
                </c:pt>
                <c:pt idx="182">
                  <c:v>-22.972487715843851</c:v>
                </c:pt>
                <c:pt idx="183">
                  <c:v>-30.327650152150852</c:v>
                </c:pt>
                <c:pt idx="184">
                  <c:v>-30.34949721460654</c:v>
                </c:pt>
                <c:pt idx="185">
                  <c:v>-31.955541709121867</c:v>
                </c:pt>
                <c:pt idx="186">
                  <c:v>-28.135082135939598</c:v>
                </c:pt>
                <c:pt idx="187">
                  <c:v>-30.942943160373964</c:v>
                </c:pt>
                <c:pt idx="188">
                  <c:v>-31.54535292802851</c:v>
                </c:pt>
                <c:pt idx="189">
                  <c:v>-32.864426978734834</c:v>
                </c:pt>
                <c:pt idx="190">
                  <c:v>-34.841034010627141</c:v>
                </c:pt>
                <c:pt idx="191">
                  <c:v>-36.502190507974731</c:v>
                </c:pt>
                <c:pt idx="192">
                  <c:v>-35.298641508597733</c:v>
                </c:pt>
                <c:pt idx="193">
                  <c:v>-32.08104479029933</c:v>
                </c:pt>
                <c:pt idx="194">
                  <c:v>-34.421379220890877</c:v>
                </c:pt>
                <c:pt idx="195">
                  <c:v>-34.22574060312941</c:v>
                </c:pt>
                <c:pt idx="196">
                  <c:v>-32.052403591676949</c:v>
                </c:pt>
                <c:pt idx="197">
                  <c:v>-30.708649822366411</c:v>
                </c:pt>
                <c:pt idx="198">
                  <c:v>-31.846538979908228</c:v>
                </c:pt>
                <c:pt idx="199">
                  <c:v>-31.15838765425438</c:v>
                </c:pt>
                <c:pt idx="200">
                  <c:v>-30.213643620473245</c:v>
                </c:pt>
                <c:pt idx="201">
                  <c:v>-31.522736390008127</c:v>
                </c:pt>
                <c:pt idx="202">
                  <c:v>-31.096167505915101</c:v>
                </c:pt>
                <c:pt idx="203">
                  <c:v>-32.075655935613462</c:v>
                </c:pt>
                <c:pt idx="204">
                  <c:v>-30.113298269938582</c:v>
                </c:pt>
                <c:pt idx="205">
                  <c:v>-31.316481843175222</c:v>
                </c:pt>
                <c:pt idx="206">
                  <c:v>-31.686435726786726</c:v>
                </c:pt>
                <c:pt idx="207">
                  <c:v>-30.744185865975911</c:v>
                </c:pt>
                <c:pt idx="208">
                  <c:v>-31.755363846386008</c:v>
                </c:pt>
                <c:pt idx="209">
                  <c:v>-33.072908660105668</c:v>
                </c:pt>
                <c:pt idx="210">
                  <c:v>-33.256872080686314</c:v>
                </c:pt>
                <c:pt idx="211">
                  <c:v>-32.258524259802734</c:v>
                </c:pt>
                <c:pt idx="212">
                  <c:v>-32.939118504833665</c:v>
                </c:pt>
                <c:pt idx="213">
                  <c:v>-34.187106253938921</c:v>
                </c:pt>
                <c:pt idx="214">
                  <c:v>-34.045713907395076</c:v>
                </c:pt>
                <c:pt idx="215">
                  <c:v>-35.734228319633168</c:v>
                </c:pt>
                <c:pt idx="216">
                  <c:v>-35.602465638372891</c:v>
                </c:pt>
                <c:pt idx="217">
                  <c:v>-33.265636551340634</c:v>
                </c:pt>
                <c:pt idx="218">
                  <c:v>-34.41442356422796</c:v>
                </c:pt>
                <c:pt idx="219">
                  <c:v>-36.742876708439105</c:v>
                </c:pt>
                <c:pt idx="220">
                  <c:v>-35.758296674104834</c:v>
                </c:pt>
                <c:pt idx="221">
                  <c:v>-31.767440789997529</c:v>
                </c:pt>
                <c:pt idx="222">
                  <c:v>-30.917298983873675</c:v>
                </c:pt>
                <c:pt idx="223">
                  <c:v>-30.448603898316776</c:v>
                </c:pt>
                <c:pt idx="224">
                  <c:v>-29.601863652804301</c:v>
                </c:pt>
                <c:pt idx="225">
                  <c:v>-28.42449720433331</c:v>
                </c:pt>
                <c:pt idx="226">
                  <c:v>-29.678326519496352</c:v>
                </c:pt>
                <c:pt idx="227">
                  <c:v>-26.363697268893176</c:v>
                </c:pt>
                <c:pt idx="228">
                  <c:v>-27.458445057826509</c:v>
                </c:pt>
                <c:pt idx="229">
                  <c:v>-28.917264972208859</c:v>
                </c:pt>
                <c:pt idx="230">
                  <c:v>-28.499413679807255</c:v>
                </c:pt>
                <c:pt idx="231">
                  <c:v>-25.44318143016978</c:v>
                </c:pt>
                <c:pt idx="232">
                  <c:v>-23.908125602464519</c:v>
                </c:pt>
                <c:pt idx="233">
                  <c:v>-27.00803323238048</c:v>
                </c:pt>
                <c:pt idx="234">
                  <c:v>-27.498941839915634</c:v>
                </c:pt>
                <c:pt idx="235">
                  <c:v>-24.618436916313065</c:v>
                </c:pt>
                <c:pt idx="236">
                  <c:v>-25.317803558858522</c:v>
                </c:pt>
                <c:pt idx="237">
                  <c:v>-23.696888852816901</c:v>
                </c:pt>
                <c:pt idx="238">
                  <c:v>-21.961556943577495</c:v>
                </c:pt>
                <c:pt idx="239">
                  <c:v>-25.422329622850771</c:v>
                </c:pt>
                <c:pt idx="240">
                  <c:v>-25.059848067735878</c:v>
                </c:pt>
                <c:pt idx="241">
                  <c:v>-23.063736807590764</c:v>
                </c:pt>
                <c:pt idx="242">
                  <c:v>-27.344873104945833</c:v>
                </c:pt>
                <c:pt idx="243">
                  <c:v>-27.954842220739192</c:v>
                </c:pt>
                <c:pt idx="244">
                  <c:v>-23.538091726387076</c:v>
                </c:pt>
                <c:pt idx="245">
                  <c:v>-17.527565280726858</c:v>
                </c:pt>
                <c:pt idx="246">
                  <c:v>-16.556895261634171</c:v>
                </c:pt>
                <c:pt idx="247">
                  <c:v>-25.305869908025471</c:v>
                </c:pt>
                <c:pt idx="248">
                  <c:v>-26.46986933518135</c:v>
                </c:pt>
                <c:pt idx="249">
                  <c:v>-31.743474081354506</c:v>
                </c:pt>
                <c:pt idx="250">
                  <c:v>-28.234242424142391</c:v>
                </c:pt>
                <c:pt idx="251">
                  <c:v>-27.411265006227179</c:v>
                </c:pt>
                <c:pt idx="252">
                  <c:v>-22.029835651439942</c:v>
                </c:pt>
                <c:pt idx="253">
                  <c:v>-16.881773619803464</c:v>
                </c:pt>
                <c:pt idx="254">
                  <c:v>-0.86158500545038941</c:v>
                </c:pt>
                <c:pt idx="255">
                  <c:v>-7.8245979872703622</c:v>
                </c:pt>
                <c:pt idx="256">
                  <c:v>-5.8417571535220931</c:v>
                </c:pt>
                <c:pt idx="257">
                  <c:v>-1.6265487502370948</c:v>
                </c:pt>
                <c:pt idx="258">
                  <c:v>-4.0038198388744615</c:v>
                </c:pt>
                <c:pt idx="259">
                  <c:v>-5.8827061014509612</c:v>
                </c:pt>
                <c:pt idx="260">
                  <c:v>-5.9850903058528733</c:v>
                </c:pt>
                <c:pt idx="261">
                  <c:v>-2.2478422837502441</c:v>
                </c:pt>
                <c:pt idx="262">
                  <c:v>-4.1469319776064522</c:v>
                </c:pt>
                <c:pt idx="263">
                  <c:v>-2.2217766710249416</c:v>
                </c:pt>
                <c:pt idx="264">
                  <c:v>-3.5792257750775724</c:v>
                </c:pt>
                <c:pt idx="265">
                  <c:v>-2.9485678623275686</c:v>
                </c:pt>
                <c:pt idx="266">
                  <c:v>-2.1491778568730222</c:v>
                </c:pt>
                <c:pt idx="267">
                  <c:v>-0.69282872478045476</c:v>
                </c:pt>
                <c:pt idx="268">
                  <c:v>-1.2229035145956486</c:v>
                </c:pt>
                <c:pt idx="269">
                  <c:v>2.4855108988201389</c:v>
                </c:pt>
                <c:pt idx="270">
                  <c:v>4.2272470859632039</c:v>
                </c:pt>
                <c:pt idx="271">
                  <c:v>3.8132966593155024</c:v>
                </c:pt>
                <c:pt idx="272">
                  <c:v>2.9554928755402377</c:v>
                </c:pt>
                <c:pt idx="273">
                  <c:v>1.3278831506467437</c:v>
                </c:pt>
                <c:pt idx="274">
                  <c:v>2.5647369827472026</c:v>
                </c:pt>
                <c:pt idx="275">
                  <c:v>5.3613937114886552</c:v>
                </c:pt>
                <c:pt idx="276">
                  <c:v>-7.4442461539067029E-2</c:v>
                </c:pt>
                <c:pt idx="277">
                  <c:v>-6.325589342880634</c:v>
                </c:pt>
                <c:pt idx="278">
                  <c:v>-4.2679913874993325</c:v>
                </c:pt>
                <c:pt idx="279">
                  <c:v>-1.8540701720001294</c:v>
                </c:pt>
                <c:pt idx="280">
                  <c:v>-3.545106099680805</c:v>
                </c:pt>
                <c:pt idx="281">
                  <c:v>-1.6316209672670101</c:v>
                </c:pt>
                <c:pt idx="282">
                  <c:v>1.2813317689481127</c:v>
                </c:pt>
                <c:pt idx="283">
                  <c:v>-3.4763032646152898</c:v>
                </c:pt>
                <c:pt idx="284">
                  <c:v>-0.59137304910005195</c:v>
                </c:pt>
                <c:pt idx="285">
                  <c:v>-1.0347456152475922</c:v>
                </c:pt>
                <c:pt idx="286">
                  <c:v>1.8184623431777733</c:v>
                </c:pt>
                <c:pt idx="287">
                  <c:v>3.6304255395458518</c:v>
                </c:pt>
                <c:pt idx="288">
                  <c:v>9.3425850147591962</c:v>
                </c:pt>
                <c:pt idx="289">
                  <c:v>5.1922060279692053</c:v>
                </c:pt>
                <c:pt idx="290">
                  <c:v>5.7149143182615632</c:v>
                </c:pt>
                <c:pt idx="291">
                  <c:v>6.9399145727833007</c:v>
                </c:pt>
                <c:pt idx="292">
                  <c:v>7.3716367107423793</c:v>
                </c:pt>
                <c:pt idx="293">
                  <c:v>8.3458554579064828</c:v>
                </c:pt>
                <c:pt idx="294">
                  <c:v>11.756214296284437</c:v>
                </c:pt>
                <c:pt idx="295">
                  <c:v>8.6501942928249136</c:v>
                </c:pt>
                <c:pt idx="296">
                  <c:v>8.5791231879803647</c:v>
                </c:pt>
                <c:pt idx="297">
                  <c:v>10.683914190022914</c:v>
                </c:pt>
                <c:pt idx="298">
                  <c:v>12.014996601565539</c:v>
                </c:pt>
                <c:pt idx="299">
                  <c:v>12.745159151433722</c:v>
                </c:pt>
                <c:pt idx="300">
                  <c:v>17.110550824672782</c:v>
                </c:pt>
                <c:pt idx="301">
                  <c:v>17.616299308482958</c:v>
                </c:pt>
                <c:pt idx="302">
                  <c:v>20.676118883579729</c:v>
                </c:pt>
                <c:pt idx="303">
                  <c:v>21.863846385283491</c:v>
                </c:pt>
                <c:pt idx="304">
                  <c:v>20.258422984781827</c:v>
                </c:pt>
                <c:pt idx="305">
                  <c:v>21.982297699388486</c:v>
                </c:pt>
                <c:pt idx="306">
                  <c:v>25.643773607793921</c:v>
                </c:pt>
                <c:pt idx="307">
                  <c:v>17.410856057962874</c:v>
                </c:pt>
                <c:pt idx="308">
                  <c:v>18.9479218277827</c:v>
                </c:pt>
                <c:pt idx="309">
                  <c:v>23.285505337067256</c:v>
                </c:pt>
                <c:pt idx="310">
                  <c:v>27.99595807555956</c:v>
                </c:pt>
                <c:pt idx="311">
                  <c:v>27.881078351584552</c:v>
                </c:pt>
                <c:pt idx="312">
                  <c:v>38.507186432039092</c:v>
                </c:pt>
                <c:pt idx="313">
                  <c:v>30.874781824243264</c:v>
                </c:pt>
                <c:pt idx="314">
                  <c:v>32.36228708181531</c:v>
                </c:pt>
                <c:pt idx="315">
                  <c:v>33.431100274649026</c:v>
                </c:pt>
                <c:pt idx="316">
                  <c:v>34.076478301074062</c:v>
                </c:pt>
                <c:pt idx="317">
                  <c:v>33.07044151619985</c:v>
                </c:pt>
                <c:pt idx="318">
                  <c:v>35.689365211233053</c:v>
                </c:pt>
                <c:pt idx="319">
                  <c:v>35.618773000011998</c:v>
                </c:pt>
                <c:pt idx="320">
                  <c:v>32.327135712454059</c:v>
                </c:pt>
                <c:pt idx="321">
                  <c:v>37.569005858890819</c:v>
                </c:pt>
                <c:pt idx="322">
                  <c:v>34.388307025685918</c:v>
                </c:pt>
                <c:pt idx="323">
                  <c:v>32.687148456535233</c:v>
                </c:pt>
                <c:pt idx="324">
                  <c:v>34.215491509867284</c:v>
                </c:pt>
                <c:pt idx="325">
                  <c:v>30.614857369369819</c:v>
                </c:pt>
                <c:pt idx="326">
                  <c:v>28.795082994248826</c:v>
                </c:pt>
                <c:pt idx="327">
                  <c:v>29.705849432111151</c:v>
                </c:pt>
                <c:pt idx="328">
                  <c:v>31.92210267824602</c:v>
                </c:pt>
                <c:pt idx="329">
                  <c:v>27.654423399557494</c:v>
                </c:pt>
                <c:pt idx="330">
                  <c:v>27.223056103722545</c:v>
                </c:pt>
                <c:pt idx="331">
                  <c:v>25.136103789518895</c:v>
                </c:pt>
                <c:pt idx="332">
                  <c:v>25.911722649177012</c:v>
                </c:pt>
                <c:pt idx="333">
                  <c:v>28.376388966353481</c:v>
                </c:pt>
                <c:pt idx="334">
                  <c:v>26.062388389147607</c:v>
                </c:pt>
                <c:pt idx="335">
                  <c:v>24.195027586425169</c:v>
                </c:pt>
                <c:pt idx="336">
                  <c:v>24.545407517277024</c:v>
                </c:pt>
                <c:pt idx="337">
                  <c:v>27.967805781069231</c:v>
                </c:pt>
                <c:pt idx="338">
                  <c:v>28.379213222364779</c:v>
                </c:pt>
                <c:pt idx="339">
                  <c:v>28.952669009690652</c:v>
                </c:pt>
                <c:pt idx="340">
                  <c:v>29.195505597148795</c:v>
                </c:pt>
                <c:pt idx="341">
                  <c:v>30.161406204148793</c:v>
                </c:pt>
                <c:pt idx="342">
                  <c:v>32.35131707404895</c:v>
                </c:pt>
                <c:pt idx="343">
                  <c:v>31.28062804709894</c:v>
                </c:pt>
                <c:pt idx="344">
                  <c:v>28.584760600131201</c:v>
                </c:pt>
                <c:pt idx="345">
                  <c:v>27.440232054973301</c:v>
                </c:pt>
                <c:pt idx="346">
                  <c:v>28.730849467097332</c:v>
                </c:pt>
                <c:pt idx="347">
                  <c:v>29.928047419470875</c:v>
                </c:pt>
                <c:pt idx="348">
                  <c:v>30.876082094004708</c:v>
                </c:pt>
                <c:pt idx="349">
                  <c:v>27.984663961418867</c:v>
                </c:pt>
                <c:pt idx="350">
                  <c:v>26.047623076403791</c:v>
                </c:pt>
                <c:pt idx="351">
                  <c:v>24.592371723714134</c:v>
                </c:pt>
                <c:pt idx="352">
                  <c:v>26.567067895769412</c:v>
                </c:pt>
                <c:pt idx="353">
                  <c:v>21.613082380502746</c:v>
                </c:pt>
                <c:pt idx="354">
                  <c:v>18.14890450479686</c:v>
                </c:pt>
                <c:pt idx="355">
                  <c:v>17.057086936600786</c:v>
                </c:pt>
                <c:pt idx="356">
                  <c:v>18.33468762220863</c:v>
                </c:pt>
                <c:pt idx="357">
                  <c:v>15.881767981100937</c:v>
                </c:pt>
                <c:pt idx="358">
                  <c:v>17.896837675569145</c:v>
                </c:pt>
                <c:pt idx="359">
                  <c:v>14.459690657617337</c:v>
                </c:pt>
                <c:pt idx="360">
                  <c:v>13.095571236037342</c:v>
                </c:pt>
                <c:pt idx="361">
                  <c:v>14.242867752118425</c:v>
                </c:pt>
                <c:pt idx="362">
                  <c:v>13.588722864382163</c:v>
                </c:pt>
                <c:pt idx="363">
                  <c:v>13.14870729159564</c:v>
                </c:pt>
                <c:pt idx="364">
                  <c:v>14.023926206306173</c:v>
                </c:pt>
                <c:pt idx="365">
                  <c:v>14.083661448759955</c:v>
                </c:pt>
                <c:pt idx="366">
                  <c:v>13.032532594872997</c:v>
                </c:pt>
                <c:pt idx="367">
                  <c:v>11.748208311516834</c:v>
                </c:pt>
                <c:pt idx="368">
                  <c:v>13.179881143361905</c:v>
                </c:pt>
                <c:pt idx="369">
                  <c:v>13.384335063161902</c:v>
                </c:pt>
                <c:pt idx="370">
                  <c:v>11.975049697646112</c:v>
                </c:pt>
                <c:pt idx="371">
                  <c:v>10.532117995046116</c:v>
                </c:pt>
                <c:pt idx="372">
                  <c:v>12.754503565225425</c:v>
                </c:pt>
                <c:pt idx="373">
                  <c:v>11.216628660032656</c:v>
                </c:pt>
                <c:pt idx="374">
                  <c:v>8.6886302619326621</c:v>
                </c:pt>
                <c:pt idx="375">
                  <c:v>7.7463056687205363</c:v>
                </c:pt>
                <c:pt idx="376">
                  <c:v>3.9673996426767424</c:v>
                </c:pt>
                <c:pt idx="377">
                  <c:v>4.475103048156079</c:v>
                </c:pt>
                <c:pt idx="378">
                  <c:v>4.7863029206388354</c:v>
                </c:pt>
                <c:pt idx="379">
                  <c:v>5.9211998958623644</c:v>
                </c:pt>
                <c:pt idx="380">
                  <c:v>4.9205043601571026</c:v>
                </c:pt>
                <c:pt idx="381">
                  <c:v>5.1056884995071012</c:v>
                </c:pt>
                <c:pt idx="382">
                  <c:v>5.4442339249451974</c:v>
                </c:pt>
                <c:pt idx="383">
                  <c:v>4.5436035164563098</c:v>
                </c:pt>
                <c:pt idx="384">
                  <c:v>5.0570866333495159</c:v>
                </c:pt>
                <c:pt idx="385">
                  <c:v>5.3606599447761845</c:v>
                </c:pt>
                <c:pt idx="386">
                  <c:v>6.3501117271835907</c:v>
                </c:pt>
                <c:pt idx="387">
                  <c:v>4.6265631060823251</c:v>
                </c:pt>
                <c:pt idx="388">
                  <c:v>4.8723525818524394</c:v>
                </c:pt>
                <c:pt idx="389">
                  <c:v>3.8813457799736506</c:v>
                </c:pt>
                <c:pt idx="390">
                  <c:v>3.4279084372368076</c:v>
                </c:pt>
                <c:pt idx="391">
                  <c:v>3.5778975172368077</c:v>
                </c:pt>
                <c:pt idx="392">
                  <c:v>3.4382194962638355</c:v>
                </c:pt>
                <c:pt idx="393">
                  <c:v>3.4524455667723095</c:v>
                </c:pt>
                <c:pt idx="394">
                  <c:v>4.0529291232008813</c:v>
                </c:pt>
                <c:pt idx="395">
                  <c:v>4.3338481732008809</c:v>
                </c:pt>
                <c:pt idx="396">
                  <c:v>4.3338481732008809</c:v>
                </c:pt>
                <c:pt idx="397">
                  <c:v>4.318982631555313</c:v>
                </c:pt>
                <c:pt idx="398">
                  <c:v>5.3539663865892129</c:v>
                </c:pt>
                <c:pt idx="399">
                  <c:v>5.4135478984781029</c:v>
                </c:pt>
                <c:pt idx="400">
                  <c:v>4.3796619555505671</c:v>
                </c:pt>
                <c:pt idx="401">
                  <c:v>5.0380509501451618</c:v>
                </c:pt>
                <c:pt idx="402">
                  <c:v>4.8136331514609507</c:v>
                </c:pt>
                <c:pt idx="403">
                  <c:v>5.3277366570423466</c:v>
                </c:pt>
                <c:pt idx="404">
                  <c:v>5.088552688354846</c:v>
                </c:pt>
                <c:pt idx="405">
                  <c:v>5.3649928137138208</c:v>
                </c:pt>
                <c:pt idx="406">
                  <c:v>4.7494440567296916</c:v>
                </c:pt>
                <c:pt idx="407">
                  <c:v>5.3539119404439797</c:v>
                </c:pt>
                <c:pt idx="408">
                  <c:v>3.5941588474439801</c:v>
                </c:pt>
                <c:pt idx="409">
                  <c:v>2.91213724287255</c:v>
                </c:pt>
                <c:pt idx="410">
                  <c:v>3.5243624097956241</c:v>
                </c:pt>
                <c:pt idx="411">
                  <c:v>3.4952825762010309</c:v>
                </c:pt>
                <c:pt idx="412">
                  <c:v>2.9715917608425406</c:v>
                </c:pt>
                <c:pt idx="413">
                  <c:v>3.2892406467314306</c:v>
                </c:pt>
                <c:pt idx="414">
                  <c:v>3.2477782563314297</c:v>
                </c:pt>
                <c:pt idx="415">
                  <c:v>2.6298699835314312</c:v>
                </c:pt>
                <c:pt idx="416">
                  <c:v>3.8211351005555296</c:v>
                </c:pt>
                <c:pt idx="417">
                  <c:v>3.4036734740818435</c:v>
                </c:pt>
                <c:pt idx="418">
                  <c:v>3.7836713722693407</c:v>
                </c:pt>
                <c:pt idx="419">
                  <c:v>3.5390361082693431</c:v>
                </c:pt>
                <c:pt idx="420">
                  <c:v>3.9241577210244443</c:v>
                </c:pt>
                <c:pt idx="421">
                  <c:v>4.5312190254115405</c:v>
                </c:pt>
                <c:pt idx="422">
                  <c:v>4.4179289247511617</c:v>
                </c:pt>
                <c:pt idx="423">
                  <c:v>4.2361328724273548</c:v>
                </c:pt>
                <c:pt idx="424">
                  <c:v>3.8076079620940226</c:v>
                </c:pt>
                <c:pt idx="425">
                  <c:v>4.2814295912368809</c:v>
                </c:pt>
                <c:pt idx="426">
                  <c:v>3.8756505700299857</c:v>
                </c:pt>
                <c:pt idx="427">
                  <c:v>4.0018497782473776</c:v>
                </c:pt>
                <c:pt idx="428">
                  <c:v>4.9852622485105353</c:v>
                </c:pt>
                <c:pt idx="429">
                  <c:v>5.5617868549223024</c:v>
                </c:pt>
                <c:pt idx="430">
                  <c:v>4.2550083544571864</c:v>
                </c:pt>
                <c:pt idx="431">
                  <c:v>2.6710128162349651</c:v>
                </c:pt>
                <c:pt idx="432">
                  <c:v>2.0847606046758269</c:v>
                </c:pt>
                <c:pt idx="433">
                  <c:v>1.0852068534940089</c:v>
                </c:pt>
                <c:pt idx="434">
                  <c:v>0.74306957349401026</c:v>
                </c:pt>
                <c:pt idx="435">
                  <c:v>0.97126732256067605</c:v>
                </c:pt>
                <c:pt idx="436">
                  <c:v>1.1000009250152196</c:v>
                </c:pt>
                <c:pt idx="437">
                  <c:v>8.2236174215216451E-2</c:v>
                </c:pt>
                <c:pt idx="438">
                  <c:v>8.2236174215216451E-2</c:v>
                </c:pt>
                <c:pt idx="439">
                  <c:v>0.40711201766976129</c:v>
                </c:pt>
                <c:pt idx="440">
                  <c:v>0.34851604978740824</c:v>
                </c:pt>
                <c:pt idx="441">
                  <c:v>0.46817483478740973</c:v>
                </c:pt>
                <c:pt idx="442">
                  <c:v>1.0122003522610945</c:v>
                </c:pt>
                <c:pt idx="443">
                  <c:v>1.5889654270303217</c:v>
                </c:pt>
                <c:pt idx="444">
                  <c:v>2.1747325146535106</c:v>
                </c:pt>
                <c:pt idx="445">
                  <c:v>1.2799200073550037</c:v>
                </c:pt>
                <c:pt idx="446">
                  <c:v>0.67537331295500391</c:v>
                </c:pt>
                <c:pt idx="447">
                  <c:v>1.4360610941314744</c:v>
                </c:pt>
                <c:pt idx="448">
                  <c:v>0.10815682102036021</c:v>
                </c:pt>
                <c:pt idx="449">
                  <c:v>-0.62413549228733323</c:v>
                </c:pt>
                <c:pt idx="450">
                  <c:v>-0.87404725101147185</c:v>
                </c:pt>
                <c:pt idx="451">
                  <c:v>-1.0797596670114711</c:v>
                </c:pt>
                <c:pt idx="452">
                  <c:v>-0.44152925301147161</c:v>
                </c:pt>
                <c:pt idx="453">
                  <c:v>-0.86363672360697918</c:v>
                </c:pt>
                <c:pt idx="454">
                  <c:v>-0.72367932397061507</c:v>
                </c:pt>
                <c:pt idx="455">
                  <c:v>-0.79181205711695668</c:v>
                </c:pt>
                <c:pt idx="456">
                  <c:v>-0.53934455893513911</c:v>
                </c:pt>
                <c:pt idx="457">
                  <c:v>-0.12134036750656806</c:v>
                </c:pt>
                <c:pt idx="458">
                  <c:v>-0.19749829502656832</c:v>
                </c:pt>
                <c:pt idx="459">
                  <c:v>-6.461884802656917E-2</c:v>
                </c:pt>
                <c:pt idx="460">
                  <c:v>-0.15589563377656784</c:v>
                </c:pt>
                <c:pt idx="461">
                  <c:v>-7.2887035776565592E-2</c:v>
                </c:pt>
                <c:pt idx="462">
                  <c:v>0.33645920065200552</c:v>
                </c:pt>
                <c:pt idx="463">
                  <c:v>0.51979041631867307</c:v>
                </c:pt>
                <c:pt idx="464">
                  <c:v>0.22623200131867005</c:v>
                </c:pt>
                <c:pt idx="465">
                  <c:v>1.0534375411565078</c:v>
                </c:pt>
                <c:pt idx="466">
                  <c:v>1.3723812300655973</c:v>
                </c:pt>
                <c:pt idx="467">
                  <c:v>1.1398989576296994</c:v>
                </c:pt>
                <c:pt idx="468">
                  <c:v>0.95801375585550697</c:v>
                </c:pt>
                <c:pt idx="469">
                  <c:v>1.5127694560279223</c:v>
                </c:pt>
                <c:pt idx="470">
                  <c:v>1.8856906300279239</c:v>
                </c:pt>
                <c:pt idx="471">
                  <c:v>2.2858033487071712</c:v>
                </c:pt>
                <c:pt idx="472">
                  <c:v>1.9811186091973687</c:v>
                </c:pt>
                <c:pt idx="473">
                  <c:v>1.9646905494281384</c:v>
                </c:pt>
                <c:pt idx="474">
                  <c:v>2.1260768284906391</c:v>
                </c:pt>
                <c:pt idx="475">
                  <c:v>2.5231318984906377</c:v>
                </c:pt>
                <c:pt idx="476">
                  <c:v>2.1982771523477798</c:v>
                </c:pt>
                <c:pt idx="477">
                  <c:v>1.9388549185700024</c:v>
                </c:pt>
                <c:pt idx="478">
                  <c:v>1.6497451805700034</c:v>
                </c:pt>
                <c:pt idx="479">
                  <c:v>2.4425962136469255</c:v>
                </c:pt>
                <c:pt idx="480">
                  <c:v>2.4964708860469269</c:v>
                </c:pt>
                <c:pt idx="481">
                  <c:v>2.0902178803171987</c:v>
                </c:pt>
                <c:pt idx="482">
                  <c:v>2.2076448212060864</c:v>
                </c:pt>
                <c:pt idx="483">
                  <c:v>1.6093199660560851</c:v>
                </c:pt>
                <c:pt idx="484">
                  <c:v>2.3580441404791621</c:v>
                </c:pt>
                <c:pt idx="485">
                  <c:v>1.7683139791155271</c:v>
                </c:pt>
                <c:pt idx="486">
                  <c:v>1.7683139791155271</c:v>
                </c:pt>
                <c:pt idx="487">
                  <c:v>2.3705901294298108</c:v>
                </c:pt>
                <c:pt idx="488">
                  <c:v>2.3411730817964775</c:v>
                </c:pt>
                <c:pt idx="489">
                  <c:v>2.0663066289964762</c:v>
                </c:pt>
                <c:pt idx="490">
                  <c:v>1.043529680401881</c:v>
                </c:pt>
                <c:pt idx="491">
                  <c:v>0.52706196201478583</c:v>
                </c:pt>
                <c:pt idx="492">
                  <c:v>1.2925970607206674</c:v>
                </c:pt>
                <c:pt idx="493">
                  <c:v>0.63422891248537727</c:v>
                </c:pt>
                <c:pt idx="494">
                  <c:v>1.7718009205996639</c:v>
                </c:pt>
                <c:pt idx="495">
                  <c:v>2.1423044423454267</c:v>
                </c:pt>
                <c:pt idx="496">
                  <c:v>2.0196805678671637</c:v>
                </c:pt>
                <c:pt idx="497">
                  <c:v>2.4258848843925875</c:v>
                </c:pt>
                <c:pt idx="498">
                  <c:v>2.5489281215925881</c:v>
                </c:pt>
                <c:pt idx="499">
                  <c:v>2.2839187699063137</c:v>
                </c:pt>
                <c:pt idx="500">
                  <c:v>3.3211555488310447</c:v>
                </c:pt>
                <c:pt idx="501">
                  <c:v>3.6277402424977123</c:v>
                </c:pt>
                <c:pt idx="502">
                  <c:v>4.1112506320577129</c:v>
                </c:pt>
                <c:pt idx="503">
                  <c:v>3.3607491542730981</c:v>
                </c:pt>
                <c:pt idx="504">
                  <c:v>2.7552152141883517</c:v>
                </c:pt>
                <c:pt idx="505">
                  <c:v>3.104133041088351</c:v>
                </c:pt>
                <c:pt idx="506">
                  <c:v>2.5236610042123169</c:v>
                </c:pt>
                <c:pt idx="507">
                  <c:v>2.6121980842123151</c:v>
                </c:pt>
                <c:pt idx="508">
                  <c:v>1.8826794242123157</c:v>
                </c:pt>
                <c:pt idx="509">
                  <c:v>0.91087463968040139</c:v>
                </c:pt>
                <c:pt idx="510">
                  <c:v>2.5015530679099727</c:v>
                </c:pt>
                <c:pt idx="511">
                  <c:v>1.9022226935463376</c:v>
                </c:pt>
                <c:pt idx="512">
                  <c:v>3.7354940029707975</c:v>
                </c:pt>
                <c:pt idx="513">
                  <c:v>3.3147193760142764</c:v>
                </c:pt>
                <c:pt idx="514">
                  <c:v>4.4777281461419358</c:v>
                </c:pt>
                <c:pt idx="515">
                  <c:v>5.4205848072086038</c:v>
                </c:pt>
                <c:pt idx="516">
                  <c:v>6.4432858118619398</c:v>
                </c:pt>
                <c:pt idx="517">
                  <c:v>7.5932798535437556</c:v>
                </c:pt>
                <c:pt idx="518">
                  <c:v>7.7061434359073928</c:v>
                </c:pt>
                <c:pt idx="519">
                  <c:v>9.4006340298534461</c:v>
                </c:pt>
                <c:pt idx="520">
                  <c:v>7.5278782698534519</c:v>
                </c:pt>
                <c:pt idx="521">
                  <c:v>7.802111518798907</c:v>
                </c:pt>
                <c:pt idx="522">
                  <c:v>4.939726145510968</c:v>
                </c:pt>
                <c:pt idx="523">
                  <c:v>4.3516515155109676</c:v>
                </c:pt>
                <c:pt idx="524">
                  <c:v>4.095613931242676</c:v>
                </c:pt>
                <c:pt idx="525">
                  <c:v>5.5889122921315648</c:v>
                </c:pt>
                <c:pt idx="526">
                  <c:v>4.3720605562966126</c:v>
                </c:pt>
                <c:pt idx="527">
                  <c:v>4.6361957149329758</c:v>
                </c:pt>
                <c:pt idx="528">
                  <c:v>5.3976341408393775</c:v>
                </c:pt>
                <c:pt idx="529">
                  <c:v>6.9383232759551703</c:v>
                </c:pt>
                <c:pt idx="530">
                  <c:v>6.2662231856985349</c:v>
                </c:pt>
                <c:pt idx="531">
                  <c:v>8.0385517857098332</c:v>
                </c:pt>
                <c:pt idx="532">
                  <c:v>4.5140273001342512</c:v>
                </c:pt>
                <c:pt idx="533">
                  <c:v>4.3637147763070914</c:v>
                </c:pt>
                <c:pt idx="534">
                  <c:v>3.7076841803695917</c:v>
                </c:pt>
                <c:pt idx="535">
                  <c:v>4.9018541632687498</c:v>
                </c:pt>
                <c:pt idx="536">
                  <c:v>3.3441045129424318</c:v>
                </c:pt>
                <c:pt idx="537">
                  <c:v>0.46832700723995463</c:v>
                </c:pt>
                <c:pt idx="538">
                  <c:v>-0.54760266471242525</c:v>
                </c:pt>
                <c:pt idx="539">
                  <c:v>2.5011357009311615E-2</c:v>
                </c:pt>
                <c:pt idx="540">
                  <c:v>-2.2400829298825808</c:v>
                </c:pt>
                <c:pt idx="541">
                  <c:v>-3.1859396801178734</c:v>
                </c:pt>
                <c:pt idx="542">
                  <c:v>-3.6580758387061101</c:v>
                </c:pt>
                <c:pt idx="543">
                  <c:v>-5.09810493928582</c:v>
                </c:pt>
                <c:pt idx="544">
                  <c:v>-4.3607758112036272</c:v>
                </c:pt>
                <c:pt idx="545">
                  <c:v>-2.7008409746411228</c:v>
                </c:pt>
                <c:pt idx="546">
                  <c:v>-1.9084965840614121</c:v>
                </c:pt>
                <c:pt idx="547">
                  <c:v>-1.0348501839288831</c:v>
                </c:pt>
                <c:pt idx="548">
                  <c:v>0.65877355590589948</c:v>
                </c:pt>
                <c:pt idx="549">
                  <c:v>1.8422832045297521</c:v>
                </c:pt>
                <c:pt idx="550">
                  <c:v>3.3384014234731447</c:v>
                </c:pt>
                <c:pt idx="551">
                  <c:v>0.26926037760873706</c:v>
                </c:pt>
                <c:pt idx="552">
                  <c:v>1.6808240898005207</c:v>
                </c:pt>
                <c:pt idx="553">
                  <c:v>0.59334701092551978</c:v>
                </c:pt>
                <c:pt idx="554">
                  <c:v>2.5610960471788546</c:v>
                </c:pt>
                <c:pt idx="555">
                  <c:v>6.0972481436494403</c:v>
                </c:pt>
                <c:pt idx="556">
                  <c:v>3.1640585919324566</c:v>
                </c:pt>
                <c:pt idx="557">
                  <c:v>-0.51161762588003901</c:v>
                </c:pt>
                <c:pt idx="558">
                  <c:v>-1.3273865018800364</c:v>
                </c:pt>
                <c:pt idx="559">
                  <c:v>-2.3869139166626474</c:v>
                </c:pt>
                <c:pt idx="560">
                  <c:v>-1.2597231150497403</c:v>
                </c:pt>
                <c:pt idx="561">
                  <c:v>-3.7692050333354534</c:v>
                </c:pt>
                <c:pt idx="562">
                  <c:v>-3.257475671335452</c:v>
                </c:pt>
                <c:pt idx="563">
                  <c:v>-2.9929839728592604</c:v>
                </c:pt>
                <c:pt idx="564">
                  <c:v>-2.4931691823592632</c:v>
                </c:pt>
                <c:pt idx="565">
                  <c:v>-2.8639581766092648</c:v>
                </c:pt>
                <c:pt idx="566">
                  <c:v>-1.6269220436092637</c:v>
                </c:pt>
                <c:pt idx="567">
                  <c:v>-3.1379820433235488</c:v>
                </c:pt>
                <c:pt idx="568">
                  <c:v>-2.3720212496326392</c:v>
                </c:pt>
                <c:pt idx="569">
                  <c:v>-2.5297456601881985</c:v>
                </c:pt>
                <c:pt idx="570">
                  <c:v>-2.6655100728548655</c:v>
                </c:pt>
                <c:pt idx="571">
                  <c:v>-3.311177299854867</c:v>
                </c:pt>
                <c:pt idx="572">
                  <c:v>-2.7122486780829371</c:v>
                </c:pt>
                <c:pt idx="573">
                  <c:v>-3.3520698344903446</c:v>
                </c:pt>
                <c:pt idx="574">
                  <c:v>-3.2064356589903453</c:v>
                </c:pt>
                <c:pt idx="575">
                  <c:v>-3.5337245687046339</c:v>
                </c:pt>
                <c:pt idx="576">
                  <c:v>-3.8274489333947752</c:v>
                </c:pt>
                <c:pt idx="577">
                  <c:v>-3.4785715561725539</c:v>
                </c:pt>
                <c:pt idx="578">
                  <c:v>-3.1714043174225557</c:v>
                </c:pt>
                <c:pt idx="579">
                  <c:v>-3.4179312394225558</c:v>
                </c:pt>
                <c:pt idx="580">
                  <c:v>-3.0341528025804494</c:v>
                </c:pt>
                <c:pt idx="581">
                  <c:v>-1.9873469154225551</c:v>
                </c:pt>
                <c:pt idx="582">
                  <c:v>-2.2486344584994793</c:v>
                </c:pt>
                <c:pt idx="583">
                  <c:v>-1.575785655681297</c:v>
                </c:pt>
                <c:pt idx="584">
                  <c:v>-1.9115328993955811</c:v>
                </c:pt>
                <c:pt idx="585">
                  <c:v>-1.6590356966597331</c:v>
                </c:pt>
                <c:pt idx="586">
                  <c:v>-0.8883381073740193</c:v>
                </c:pt>
                <c:pt idx="587">
                  <c:v>-0.29957921640104768</c:v>
                </c:pt>
                <c:pt idx="588">
                  <c:v>-0.61646811651216149</c:v>
                </c:pt>
                <c:pt idx="589">
                  <c:v>-2.3411954332899381</c:v>
                </c:pt>
                <c:pt idx="590">
                  <c:v>-2.5672975691649405</c:v>
                </c:pt>
                <c:pt idx="591">
                  <c:v>-3.0169258825197729</c:v>
                </c:pt>
                <c:pt idx="592">
                  <c:v>-5.3145975335724023</c:v>
                </c:pt>
                <c:pt idx="593">
                  <c:v>-3.3872954127897943</c:v>
                </c:pt>
                <c:pt idx="594">
                  <c:v>-6.902466426683131</c:v>
                </c:pt>
                <c:pt idx="595">
                  <c:v>-7.533453615005711</c:v>
                </c:pt>
                <c:pt idx="596">
                  <c:v>-6.627001685074676</c:v>
                </c:pt>
                <c:pt idx="597">
                  <c:v>-5.7409623314746776</c:v>
                </c:pt>
                <c:pt idx="598">
                  <c:v>-7.0035603553837653</c:v>
                </c:pt>
                <c:pt idx="599">
                  <c:v>-5.087856236688113</c:v>
                </c:pt>
                <c:pt idx="600">
                  <c:v>-6.0591857536140372</c:v>
                </c:pt>
                <c:pt idx="601">
                  <c:v>-6.4936696109986523</c:v>
                </c:pt>
                <c:pt idx="602">
                  <c:v>-6.493669610998654</c:v>
                </c:pt>
                <c:pt idx="603">
                  <c:v>-7.1060748419986552</c:v>
                </c:pt>
                <c:pt idx="604">
                  <c:v>-7.8022877499986558</c:v>
                </c:pt>
                <c:pt idx="605">
                  <c:v>-8.7506769095441097</c:v>
                </c:pt>
                <c:pt idx="606">
                  <c:v>-7.9704650839041111</c:v>
                </c:pt>
                <c:pt idx="607">
                  <c:v>-6.0171850469041113</c:v>
                </c:pt>
                <c:pt idx="608">
                  <c:v>-6.4645117666409515</c:v>
                </c:pt>
                <c:pt idx="609">
                  <c:v>-6.4645117666409542</c:v>
                </c:pt>
                <c:pt idx="610">
                  <c:v>-5.9766055758409555</c:v>
                </c:pt>
                <c:pt idx="611">
                  <c:v>-5.3090387918409601</c:v>
                </c:pt>
                <c:pt idx="612">
                  <c:v>-2.6098903247933429</c:v>
                </c:pt>
                <c:pt idx="613">
                  <c:v>-4.7416195909751595</c:v>
                </c:pt>
                <c:pt idx="614">
                  <c:v>-2.275110151994769</c:v>
                </c:pt>
                <c:pt idx="615">
                  <c:v>-2.2751101519947663</c:v>
                </c:pt>
                <c:pt idx="616">
                  <c:v>-2.7488677393757186</c:v>
                </c:pt>
                <c:pt idx="617">
                  <c:v>-1.4739689505708389</c:v>
                </c:pt>
                <c:pt idx="618">
                  <c:v>-1.8934953548508402</c:v>
                </c:pt>
                <c:pt idx="619">
                  <c:v>-2.3569964583802494</c:v>
                </c:pt>
                <c:pt idx="620">
                  <c:v>-2.3569964583802459</c:v>
                </c:pt>
                <c:pt idx="621">
                  <c:v>-0.23255374594434455</c:v>
                </c:pt>
                <c:pt idx="622">
                  <c:v>-1.1214622050619911</c:v>
                </c:pt>
                <c:pt idx="623">
                  <c:v>-1.5084031892511784</c:v>
                </c:pt>
                <c:pt idx="624">
                  <c:v>-2.841316728851182</c:v>
                </c:pt>
                <c:pt idx="625">
                  <c:v>-3.5226569962956269</c:v>
                </c:pt>
                <c:pt idx="626">
                  <c:v>-3.4276766866289607</c:v>
                </c:pt>
                <c:pt idx="627">
                  <c:v>-3.2112061747058847</c:v>
                </c:pt>
                <c:pt idx="628">
                  <c:v>-2.9773400350808847</c:v>
                </c:pt>
                <c:pt idx="629">
                  <c:v>-2.3738958130808872</c:v>
                </c:pt>
                <c:pt idx="630">
                  <c:v>-2.4282633718081601</c:v>
                </c:pt>
                <c:pt idx="631">
                  <c:v>-1.6775567800081588</c:v>
                </c:pt>
                <c:pt idx="632">
                  <c:v>0.31660706276107164</c:v>
                </c:pt>
                <c:pt idx="633">
                  <c:v>-1.0792607412389279</c:v>
                </c:pt>
                <c:pt idx="634">
                  <c:v>-1.1353787661055947</c:v>
                </c:pt>
                <c:pt idx="635">
                  <c:v>-0.81056346690559222</c:v>
                </c:pt>
                <c:pt idx="636">
                  <c:v>-1.0104492605722579</c:v>
                </c:pt>
                <c:pt idx="637">
                  <c:v>-0.74857266090559205</c:v>
                </c:pt>
                <c:pt idx="638">
                  <c:v>-0.23841518465559258</c:v>
                </c:pt>
                <c:pt idx="639">
                  <c:v>-1.1332169941338517</c:v>
                </c:pt>
                <c:pt idx="640">
                  <c:v>-1.1332169941338492</c:v>
                </c:pt>
                <c:pt idx="641">
                  <c:v>-1.0873730846894039</c:v>
                </c:pt>
                <c:pt idx="642">
                  <c:v>-0.81122969211797624</c:v>
                </c:pt>
                <c:pt idx="643">
                  <c:v>-0.72086232503101944</c:v>
                </c:pt>
                <c:pt idx="644">
                  <c:v>-2.6461570250310187</c:v>
                </c:pt>
                <c:pt idx="645">
                  <c:v>-3.6658620290310213</c:v>
                </c:pt>
                <c:pt idx="646">
                  <c:v>-3.923038332531021</c:v>
                </c:pt>
                <c:pt idx="647">
                  <c:v>-3.654080845331019</c:v>
                </c:pt>
                <c:pt idx="648">
                  <c:v>-3.0940964413310179</c:v>
                </c:pt>
                <c:pt idx="649">
                  <c:v>-2.7471740562401075</c:v>
                </c:pt>
                <c:pt idx="650">
                  <c:v>-2.7814477112927403</c:v>
                </c:pt>
                <c:pt idx="651">
                  <c:v>-2.7814477112927412</c:v>
                </c:pt>
                <c:pt idx="652">
                  <c:v>-3.2169348328809759</c:v>
                </c:pt>
                <c:pt idx="653">
                  <c:v>-2.9277736326309762</c:v>
                </c:pt>
                <c:pt idx="654">
                  <c:v>-3.0576349337976447</c:v>
                </c:pt>
                <c:pt idx="655">
                  <c:v>-2.673359027797646</c:v>
                </c:pt>
                <c:pt idx="656">
                  <c:v>-2.6944638048745686</c:v>
                </c:pt>
                <c:pt idx="657">
                  <c:v>-2.9065356621472973</c:v>
                </c:pt>
                <c:pt idx="658">
                  <c:v>-2.4684713974272978</c:v>
                </c:pt>
                <c:pt idx="659">
                  <c:v>-2.6640765144272973</c:v>
                </c:pt>
                <c:pt idx="660">
                  <c:v>-2.5509309350939642</c:v>
                </c:pt>
                <c:pt idx="661">
                  <c:v>-2.1743657374272964</c:v>
                </c:pt>
                <c:pt idx="662">
                  <c:v>-2.4348388046272973</c:v>
                </c:pt>
                <c:pt idx="663">
                  <c:v>-2.2958235121272974</c:v>
                </c:pt>
                <c:pt idx="664">
                  <c:v>-2.2149258657272961</c:v>
                </c:pt>
                <c:pt idx="665">
                  <c:v>-2.3723383175454775</c:v>
                </c:pt>
                <c:pt idx="666">
                  <c:v>-2.2794476185454768</c:v>
                </c:pt>
                <c:pt idx="667">
                  <c:v>-2.4674072737454766</c:v>
                </c:pt>
                <c:pt idx="668">
                  <c:v>-2.3530081514121437</c:v>
                </c:pt>
                <c:pt idx="669">
                  <c:v>-2.7708387944121426</c:v>
                </c:pt>
                <c:pt idx="670">
                  <c:v>-2.6293192928121418</c:v>
                </c:pt>
                <c:pt idx="671">
                  <c:v>-2.7427273024121424</c:v>
                </c:pt>
                <c:pt idx="672">
                  <c:v>-1.0729386968736809</c:v>
                </c:pt>
                <c:pt idx="673">
                  <c:v>0.48288526556852968</c:v>
                </c:pt>
                <c:pt idx="674">
                  <c:v>0.28276920536853001</c:v>
                </c:pt>
                <c:pt idx="675">
                  <c:v>0.24600504792408537</c:v>
                </c:pt>
                <c:pt idx="676">
                  <c:v>-8.0803359075914627E-2</c:v>
                </c:pt>
                <c:pt idx="677">
                  <c:v>0.62028317830870161</c:v>
                </c:pt>
                <c:pt idx="678">
                  <c:v>0.62028317830870161</c:v>
                </c:pt>
                <c:pt idx="679">
                  <c:v>1.29443734877929</c:v>
                </c:pt>
                <c:pt idx="680">
                  <c:v>0.34517184775226195</c:v>
                </c:pt>
                <c:pt idx="681">
                  <c:v>0.30409863989511904</c:v>
                </c:pt>
                <c:pt idx="682">
                  <c:v>2.7375752323690206E-2</c:v>
                </c:pt>
                <c:pt idx="683">
                  <c:v>0.47559962895526864</c:v>
                </c:pt>
                <c:pt idx="684">
                  <c:v>0.54563926379737404</c:v>
                </c:pt>
                <c:pt idx="685">
                  <c:v>1.7539410786373757</c:v>
                </c:pt>
                <c:pt idx="686">
                  <c:v>0.61507715094506721</c:v>
                </c:pt>
                <c:pt idx="687">
                  <c:v>2.7790893760732729</c:v>
                </c:pt>
                <c:pt idx="688">
                  <c:v>2.7263688509119821</c:v>
                </c:pt>
                <c:pt idx="689">
                  <c:v>2.9421555191751394</c:v>
                </c:pt>
                <c:pt idx="690">
                  <c:v>2.7793017827862507</c:v>
                </c:pt>
                <c:pt idx="691">
                  <c:v>3.2293450422608276</c:v>
                </c:pt>
                <c:pt idx="692">
                  <c:v>3.4705108742953099</c:v>
                </c:pt>
                <c:pt idx="693">
                  <c:v>3.5744026799203112</c:v>
                </c:pt>
                <c:pt idx="694">
                  <c:v>3.6481068548026632</c:v>
                </c:pt>
                <c:pt idx="695">
                  <c:v>3.7558729635085455</c:v>
                </c:pt>
                <c:pt idx="696">
                  <c:v>3.4727445424085461</c:v>
                </c:pt>
                <c:pt idx="697">
                  <c:v>3.2924516252656888</c:v>
                </c:pt>
                <c:pt idx="698">
                  <c:v>3.4356804327202348</c:v>
                </c:pt>
                <c:pt idx="699">
                  <c:v>3.7733465371115393</c:v>
                </c:pt>
                <c:pt idx="700">
                  <c:v>3.576556051030459</c:v>
                </c:pt>
                <c:pt idx="701">
                  <c:v>3.4850205993245762</c:v>
                </c:pt>
                <c:pt idx="702">
                  <c:v>3.8701311383245764</c:v>
                </c:pt>
                <c:pt idx="703">
                  <c:v>4.4333647873786326</c:v>
                </c:pt>
                <c:pt idx="704">
                  <c:v>4.6464550016513577</c:v>
                </c:pt>
                <c:pt idx="705">
                  <c:v>4.3307977130452961</c:v>
                </c:pt>
                <c:pt idx="706">
                  <c:v>4.4624712593356195</c:v>
                </c:pt>
                <c:pt idx="707">
                  <c:v>4.7628932743356209</c:v>
                </c:pt>
                <c:pt idx="708">
                  <c:v>4.9291461572004858</c:v>
                </c:pt>
                <c:pt idx="709">
                  <c:v>5.4378428452593077</c:v>
                </c:pt>
                <c:pt idx="710">
                  <c:v>4.8207434560593079</c:v>
                </c:pt>
                <c:pt idx="711">
                  <c:v>4.5412131214878801</c:v>
                </c:pt>
                <c:pt idx="712">
                  <c:v>5.200015169083624</c:v>
                </c:pt>
                <c:pt idx="713">
                  <c:v>6.0424584632951621</c:v>
                </c:pt>
                <c:pt idx="714">
                  <c:v>4.8228656237523033</c:v>
                </c:pt>
                <c:pt idx="715">
                  <c:v>5.1575021434504178</c:v>
                </c:pt>
                <c:pt idx="716">
                  <c:v>4.8683345427361306</c:v>
                </c:pt>
                <c:pt idx="717">
                  <c:v>4.3732326622504161</c:v>
                </c:pt>
                <c:pt idx="718">
                  <c:v>3.3592052254199078</c:v>
                </c:pt>
                <c:pt idx="719">
                  <c:v>3.3592052254199078</c:v>
                </c:pt>
                <c:pt idx="720">
                  <c:v>3.2933033310669688</c:v>
                </c:pt>
                <c:pt idx="721">
                  <c:v>2.4692476515114135</c:v>
                </c:pt>
                <c:pt idx="722">
                  <c:v>1.1875111970828431</c:v>
                </c:pt>
                <c:pt idx="723">
                  <c:v>1.7665431499717315</c:v>
                </c:pt>
                <c:pt idx="724">
                  <c:v>1.3117915559717339</c:v>
                </c:pt>
                <c:pt idx="725">
                  <c:v>0.78851444347173483</c:v>
                </c:pt>
                <c:pt idx="726">
                  <c:v>0.68693707102345991</c:v>
                </c:pt>
                <c:pt idx="727">
                  <c:v>0.61387973042345989</c:v>
                </c:pt>
                <c:pt idx="728">
                  <c:v>0.46614578109012766</c:v>
                </c:pt>
                <c:pt idx="729">
                  <c:v>0.43522993262859044</c:v>
                </c:pt>
                <c:pt idx="730">
                  <c:v>0.78590455862858988</c:v>
                </c:pt>
                <c:pt idx="731">
                  <c:v>0.59676996029525653</c:v>
                </c:pt>
                <c:pt idx="732">
                  <c:v>0.77685248109525651</c:v>
                </c:pt>
                <c:pt idx="733">
                  <c:v>1.0139763637619226</c:v>
                </c:pt>
                <c:pt idx="734">
                  <c:v>0.85461496061906483</c:v>
                </c:pt>
                <c:pt idx="735">
                  <c:v>0.77892220689179303</c:v>
                </c:pt>
                <c:pt idx="736">
                  <c:v>0.80958596800290483</c:v>
                </c:pt>
                <c:pt idx="737">
                  <c:v>0.80958596800290483</c:v>
                </c:pt>
                <c:pt idx="738">
                  <c:v>0.7364374612529061</c:v>
                </c:pt>
                <c:pt idx="739">
                  <c:v>0.83125894673677736</c:v>
                </c:pt>
                <c:pt idx="740">
                  <c:v>1.188627574347888</c:v>
                </c:pt>
                <c:pt idx="741">
                  <c:v>1.0651624988933419</c:v>
                </c:pt>
                <c:pt idx="742">
                  <c:v>0.79190559644506531</c:v>
                </c:pt>
                <c:pt idx="743">
                  <c:v>0.75169710810023749</c:v>
                </c:pt>
                <c:pt idx="744">
                  <c:v>0.58800057926240012</c:v>
                </c:pt>
                <c:pt idx="745">
                  <c:v>0.15952461487351283</c:v>
                </c:pt>
                <c:pt idx="746">
                  <c:v>-8.7221098193153712E-2</c:v>
                </c:pt>
                <c:pt idx="747">
                  <c:v>-0.22834363881815348</c:v>
                </c:pt>
                <c:pt idx="748">
                  <c:v>-0.24705383044973328</c:v>
                </c:pt>
                <c:pt idx="749">
                  <c:v>-0.61716474260973242</c:v>
                </c:pt>
                <c:pt idx="750">
                  <c:v>-0.40814529060973265</c:v>
                </c:pt>
                <c:pt idx="751">
                  <c:v>-0.27094379850973133</c:v>
                </c:pt>
                <c:pt idx="752">
                  <c:v>-0.27094379850973133</c:v>
                </c:pt>
                <c:pt idx="753">
                  <c:v>-0.35324973136687349</c:v>
                </c:pt>
                <c:pt idx="754">
                  <c:v>-0.2190973975668738</c:v>
                </c:pt>
                <c:pt idx="755">
                  <c:v>-0.16425689423354103</c:v>
                </c:pt>
                <c:pt idx="756">
                  <c:v>-0.2956674844906842</c:v>
                </c:pt>
                <c:pt idx="757">
                  <c:v>-8.6120695347826418E-2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F-4D99-92F2-F0A247F4B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7761615"/>
        <c:axId val="787762447"/>
      </c:lineChart>
      <c:dateAx>
        <c:axId val="787761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762447"/>
        <c:crosses val="autoZero"/>
        <c:auto val="1"/>
        <c:lblOffset val="100"/>
        <c:baseTimeUnit val="days"/>
      </c:dateAx>
      <c:valAx>
        <c:axId val="78776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76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8298256-A8F8-4E8A-AD57-7B8D0C3CAF60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9B7F3C-B2A3-43F8-B15E-096ECF16993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0.19869999999999999</v>
      </c>
      <c r="D2" s="4">
        <f>MIN(D3:D1912)</f>
        <v>9.1E-4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5.0619999999999998E-2</v>
      </c>
      <c r="C5">
        <v>5.1400000000000001E-2</v>
      </c>
      <c r="D5">
        <v>4.8980000000000003E-2</v>
      </c>
      <c r="E5">
        <v>4.9149999999999999E-2</v>
      </c>
      <c r="F5">
        <v>28822215.300000001</v>
      </c>
      <c r="G5">
        <v>4.9149999999999999E-2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-0.85950413223140776</v>
      </c>
      <c r="Q5">
        <f t="shared" ref="Q5" si="1">F5*P5</f>
        <v>-24772813.150413305</v>
      </c>
      <c r="R5">
        <f t="shared" ref="R5" si="2">R6+Q5</f>
        <v>-9551293721.8485126</v>
      </c>
      <c r="S5">
        <f t="shared" ref="S5" si="3">R5/100000</f>
        <v>-95512.937218485124</v>
      </c>
      <c r="T5">
        <f t="shared" ref="T5" si="4">S5/1000</f>
        <v>-95.512937218485121</v>
      </c>
    </row>
    <row r="6" spans="1:20" x14ac:dyDescent="0.25">
      <c r="A6" s="5">
        <v>44587</v>
      </c>
      <c r="B6">
        <v>5.0389999999999997E-2</v>
      </c>
      <c r="C6">
        <v>5.7320000000000003E-2</v>
      </c>
      <c r="D6">
        <v>4.9369999999999997E-2</v>
      </c>
      <c r="E6">
        <v>5.0610000000000002E-2</v>
      </c>
      <c r="F6">
        <v>443308231.60000002</v>
      </c>
      <c r="G6">
        <v>5.0610000000000002E-2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-0.68805031446540776</v>
      </c>
      <c r="Q6">
        <f t="shared" ref="Q6" si="6">F6*P6</f>
        <v>-305018368.15748382</v>
      </c>
      <c r="R6">
        <f t="shared" ref="R6" si="7">R7+Q6</f>
        <v>-9526520908.6980991</v>
      </c>
      <c r="S6">
        <f t="shared" ref="S6" si="8">R6/100000</f>
        <v>-95265.209086980991</v>
      </c>
      <c r="T6">
        <f t="shared" ref="T6" si="9">S6/1000</f>
        <v>-95.265209086980988</v>
      </c>
    </row>
    <row r="7" spans="1:20" x14ac:dyDescent="0.25">
      <c r="A7" s="5">
        <v>44586</v>
      </c>
      <c r="B7">
        <v>4.9840000000000002E-2</v>
      </c>
      <c r="C7">
        <v>5.1589999999999997E-2</v>
      </c>
      <c r="D7">
        <v>4.6829999999999997E-2</v>
      </c>
      <c r="E7">
        <v>5.0310000000000001E-2</v>
      </c>
      <c r="F7">
        <v>310203687.89999998</v>
      </c>
      <c r="G7">
        <v>5.0310000000000001E-2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0.46218487394958135</v>
      </c>
      <c r="Q7">
        <f t="shared" ref="Q7" si="11">F7*P7</f>
        <v>143371452.39075676</v>
      </c>
      <c r="R7">
        <f t="shared" ref="R7" si="12">R8+Q7</f>
        <v>-9221502540.5406151</v>
      </c>
      <c r="S7">
        <f t="shared" ref="S7" si="13">R7/100000</f>
        <v>-92215.025405406152</v>
      </c>
      <c r="T7">
        <f t="shared" ref="T7" si="14">S7/1000</f>
        <v>-92.215025405406152</v>
      </c>
    </row>
    <row r="8" spans="1:20" x14ac:dyDescent="0.25">
      <c r="A8" s="5">
        <v>44585</v>
      </c>
      <c r="B8">
        <v>5.2490000000000002E-2</v>
      </c>
      <c r="C8">
        <v>5.2519999999999997E-2</v>
      </c>
      <c r="D8">
        <v>4.4240000000000002E-2</v>
      </c>
      <c r="E8">
        <v>4.9889999999999997E-2</v>
      </c>
      <c r="F8">
        <v>619432830.39999998</v>
      </c>
      <c r="G8">
        <v>4.9889999999999997E-2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0.36473429951690778</v>
      </c>
      <c r="Q8">
        <f t="shared" ref="Q8" si="16">F8*P8</f>
        <v>225928399.49371952</v>
      </c>
      <c r="R8">
        <f t="shared" ref="R8" si="17">R9+Q8</f>
        <v>-9364873992.9313717</v>
      </c>
      <c r="S8">
        <f t="shared" ref="S8" si="18">R8/100000</f>
        <v>-93648.739929313713</v>
      </c>
      <c r="T8">
        <f t="shared" ref="T8" si="19">S8/1000</f>
        <v>-93.64873992931372</v>
      </c>
    </row>
    <row r="9" spans="1:20" x14ac:dyDescent="0.25">
      <c r="A9" s="5">
        <v>44584</v>
      </c>
      <c r="B9">
        <v>5.2589999999999998E-2</v>
      </c>
      <c r="C9">
        <v>5.7599999999999998E-2</v>
      </c>
      <c r="D9">
        <v>4.9919999999999999E-2</v>
      </c>
      <c r="E9">
        <v>5.2560000000000003E-2</v>
      </c>
      <c r="F9">
        <v>531174328.60000002</v>
      </c>
      <c r="G9">
        <v>5.2560000000000003E-2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-0.31249999999999906</v>
      </c>
      <c r="Q9">
        <f t="shared" ref="Q9" si="21">F9*P9</f>
        <v>-165991977.68749949</v>
      </c>
      <c r="R9">
        <f t="shared" ref="R9" si="22">R10+Q9</f>
        <v>-9590802392.4250908</v>
      </c>
      <c r="S9">
        <f t="shared" ref="S9" si="23">R9/100000</f>
        <v>-95908.023924250912</v>
      </c>
      <c r="T9">
        <f t="shared" ref="T9" si="24">S9/1000</f>
        <v>-95.908023924250912</v>
      </c>
    </row>
    <row r="10" spans="1:20" x14ac:dyDescent="0.25">
      <c r="A10" s="5">
        <v>44583</v>
      </c>
      <c r="B10">
        <v>6.3740000000000005E-2</v>
      </c>
      <c r="C10">
        <v>6.8709999999999993E-2</v>
      </c>
      <c r="D10">
        <v>4.8529999999999997E-2</v>
      </c>
      <c r="E10">
        <v>5.2720000000000003E-2</v>
      </c>
      <c r="F10">
        <v>1008981863.3</v>
      </c>
      <c r="G10">
        <v>5.2720000000000003E-2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-0.58473736372646112</v>
      </c>
      <c r="Q10">
        <f t="shared" ref="Q10" si="26">F10*P10</f>
        <v>-589989394.79385459</v>
      </c>
      <c r="R10">
        <f t="shared" ref="R10" si="27">R11+Q10</f>
        <v>-9424810414.7375908</v>
      </c>
      <c r="S10">
        <f t="shared" ref="S10" si="28">R10/100000</f>
        <v>-94248.104147375911</v>
      </c>
      <c r="T10">
        <f t="shared" ref="T10" si="29">S10/1000</f>
        <v>-94.248104147375912</v>
      </c>
    </row>
    <row r="11" spans="1:20" x14ac:dyDescent="0.25">
      <c r="A11" s="5">
        <v>44582</v>
      </c>
      <c r="B11">
        <v>6.8529999999999994E-2</v>
      </c>
      <c r="C11">
        <v>7.2230000000000003E-2</v>
      </c>
      <c r="D11">
        <v>6.2010000000000003E-2</v>
      </c>
      <c r="E11">
        <v>6.3740000000000005E-2</v>
      </c>
      <c r="F11">
        <v>627234043</v>
      </c>
      <c r="G11">
        <v>6.3740000000000005E-2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-0.66144814090019521</v>
      </c>
      <c r="Q11">
        <f t="shared" ref="Q11" si="31">F11*P11</f>
        <v>-414882791.65166312</v>
      </c>
      <c r="R11">
        <f t="shared" ref="R11" si="32">R12+Q11</f>
        <v>-8834821019.943737</v>
      </c>
      <c r="S11">
        <f t="shared" ref="S11" si="33">R11/100000</f>
        <v>-88348.210199437366</v>
      </c>
      <c r="T11">
        <f t="shared" ref="T11" si="34">S11/1000</f>
        <v>-88.348210199437361</v>
      </c>
    </row>
    <row r="12" spans="1:20" x14ac:dyDescent="0.25">
      <c r="A12" s="5">
        <v>44581</v>
      </c>
      <c r="B12">
        <v>7.4370000000000006E-2</v>
      </c>
      <c r="C12">
        <v>7.9649999999999999E-2</v>
      </c>
      <c r="D12">
        <v>6.7659999999999998E-2</v>
      </c>
      <c r="E12">
        <v>6.8540000000000004E-2</v>
      </c>
      <c r="F12">
        <v>331778010.60000002</v>
      </c>
      <c r="G12">
        <v>6.8540000000000004E-2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-0.85321100917431092</v>
      </c>
      <c r="Q12">
        <f t="shared" ref="Q12" si="36">F12*P12</f>
        <v>-283076651.24587125</v>
      </c>
      <c r="R12">
        <f t="shared" ref="R12" si="37">R13+Q12</f>
        <v>-8419938228.2920742</v>
      </c>
      <c r="S12">
        <f t="shared" ref="S12" si="38">R12/100000</f>
        <v>-84199.382282920749</v>
      </c>
      <c r="T12">
        <f t="shared" ref="T12" si="39">S12/1000</f>
        <v>-84.199382282920752</v>
      </c>
    </row>
    <row r="13" spans="1:20" x14ac:dyDescent="0.25">
      <c r="A13" s="5">
        <v>44580</v>
      </c>
      <c r="B13">
        <v>8.1170000000000006E-2</v>
      </c>
      <c r="C13">
        <v>8.1879999999999994E-2</v>
      </c>
      <c r="D13">
        <v>7.4149999999999994E-2</v>
      </c>
      <c r="E13">
        <v>7.4389999999999998E-2</v>
      </c>
      <c r="F13">
        <v>313869892</v>
      </c>
      <c r="G13">
        <v>7.4389999999999998E-2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-0.9379042690814996</v>
      </c>
      <c r="Q13">
        <f t="shared" ref="Q13" si="41">F13*P13</f>
        <v>-294379911.64294922</v>
      </c>
      <c r="R13">
        <f t="shared" ref="R13" si="42">R14+Q13</f>
        <v>-8136861577.0462027</v>
      </c>
      <c r="S13">
        <f t="shared" ref="S13" si="43">R13/100000</f>
        <v>-81368.615770462027</v>
      </c>
      <c r="T13">
        <f t="shared" ref="T13" si="44">S13/1000</f>
        <v>-81.368615770462029</v>
      </c>
    </row>
    <row r="14" spans="1:20" x14ac:dyDescent="0.25">
      <c r="A14" s="5">
        <v>44579</v>
      </c>
      <c r="B14">
        <v>8.4650000000000003E-2</v>
      </c>
      <c r="C14">
        <v>8.9980000000000004E-2</v>
      </c>
      <c r="D14">
        <v>7.7780000000000002E-2</v>
      </c>
      <c r="E14">
        <v>8.1199999999999994E-2</v>
      </c>
      <c r="F14">
        <v>625227429.20000005</v>
      </c>
      <c r="G14">
        <v>8.1199999999999994E-2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-0.43934426229508333</v>
      </c>
      <c r="Q14">
        <f t="shared" ref="Q14" si="46">F14*P14</f>
        <v>-274690083.64852548</v>
      </c>
      <c r="R14">
        <f t="shared" ref="R14" si="47">R15+Q14</f>
        <v>-7842481665.4032536</v>
      </c>
      <c r="S14">
        <f t="shared" ref="S14" si="48">R14/100000</f>
        <v>-78424.816654032533</v>
      </c>
      <c r="T14">
        <f t="shared" ref="T14" si="49">S14/1000</f>
        <v>-78.424816654032526</v>
      </c>
    </row>
    <row r="15" spans="1:20" x14ac:dyDescent="0.25">
      <c r="A15" s="5">
        <v>44578</v>
      </c>
      <c r="B15">
        <v>9.2439999999999994E-2</v>
      </c>
      <c r="C15">
        <v>9.2549999999999993E-2</v>
      </c>
      <c r="D15">
        <v>8.2040000000000002E-2</v>
      </c>
      <c r="E15">
        <v>8.4690000000000001E-2</v>
      </c>
      <c r="F15">
        <v>382181153</v>
      </c>
      <c r="G15">
        <v>8.4690000000000001E-2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-0.49571836346336789</v>
      </c>
      <c r="Q15">
        <f t="shared" ref="Q15" si="51">F15*P15</f>
        <v>-189454215.711703</v>
      </c>
      <c r="R15">
        <f t="shared" ref="R15" si="52">R16+Q15</f>
        <v>-7567791581.7547283</v>
      </c>
      <c r="S15">
        <f t="shared" ref="S15" si="53">R15/100000</f>
        <v>-75677.915817547284</v>
      </c>
      <c r="T15">
        <f t="shared" ref="T15" si="54">S15/1000</f>
        <v>-75.677915817547287</v>
      </c>
    </row>
    <row r="16" spans="1:20" x14ac:dyDescent="0.25">
      <c r="A16" s="5">
        <v>44577</v>
      </c>
      <c r="B16">
        <v>9.7739999999999994E-2</v>
      </c>
      <c r="C16">
        <v>0.1018</v>
      </c>
      <c r="D16">
        <v>9.0660000000000004E-2</v>
      </c>
      <c r="E16">
        <v>9.2399999999999996E-2</v>
      </c>
      <c r="F16">
        <v>508657485.30000001</v>
      </c>
      <c r="G16">
        <v>9.2399999999999996E-2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-0.68761220825852931</v>
      </c>
      <c r="Q16">
        <f t="shared" ref="Q16" si="56">F16*P16</f>
        <v>-349759096.7143634</v>
      </c>
      <c r="R16">
        <f t="shared" ref="R16" si="57">R17+Q16</f>
        <v>-7378337366.043025</v>
      </c>
      <c r="S16">
        <f t="shared" ref="S16" si="58">R16/100000</f>
        <v>-73783.373660430254</v>
      </c>
      <c r="T16">
        <f t="shared" ref="T16" si="59">S16/1000</f>
        <v>-73.783373660430257</v>
      </c>
    </row>
    <row r="17" spans="1:20" x14ac:dyDescent="0.25">
      <c r="A17" s="5">
        <v>44576</v>
      </c>
      <c r="B17">
        <v>8.516E-2</v>
      </c>
      <c r="C17">
        <v>0.1</v>
      </c>
      <c r="D17">
        <v>8.5110000000000005E-2</v>
      </c>
      <c r="E17">
        <v>9.7780000000000006E-2</v>
      </c>
      <c r="F17">
        <v>639509655.20000005</v>
      </c>
      <c r="G17">
        <v>9.7780000000000006E-2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0.7018132975151109</v>
      </c>
      <c r="Q17">
        <f t="shared" ref="Q17" si="61">F17*P17</f>
        <v>448816379.90866363</v>
      </c>
      <c r="R17">
        <f t="shared" ref="R17" si="62">R18+Q17</f>
        <v>-7028578269.3286619</v>
      </c>
      <c r="S17">
        <f t="shared" ref="S17" si="63">R17/100000</f>
        <v>-70285.782693286616</v>
      </c>
      <c r="T17">
        <f t="shared" ref="T17" si="64">S17/1000</f>
        <v>-70.28578269328662</v>
      </c>
    </row>
    <row r="18" spans="1:20" x14ac:dyDescent="0.25">
      <c r="A18" s="5">
        <v>44575</v>
      </c>
      <c r="B18">
        <v>7.8600000000000003E-2</v>
      </c>
      <c r="C18">
        <v>8.6050000000000001E-2</v>
      </c>
      <c r="D18">
        <v>7.5810000000000002E-2</v>
      </c>
      <c r="E18">
        <v>8.5209999999999994E-2</v>
      </c>
      <c r="F18">
        <v>546135852.10000002</v>
      </c>
      <c r="G18">
        <v>8.5209999999999994E-2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0.83593749999999856</v>
      </c>
      <c r="Q18">
        <f t="shared" ref="Q18" si="66">F18*P18</f>
        <v>456535438.86484301</v>
      </c>
      <c r="R18">
        <f t="shared" ref="R18" si="67">R19+Q18</f>
        <v>-7477394649.2373257</v>
      </c>
      <c r="S18">
        <f t="shared" ref="S18" si="68">R18/100000</f>
        <v>-74773.946492373259</v>
      </c>
      <c r="T18">
        <f t="shared" ref="T18" si="69">S18/1000</f>
        <v>-74.773946492373256</v>
      </c>
    </row>
    <row r="19" spans="1:20" x14ac:dyDescent="0.25">
      <c r="A19" s="5">
        <v>44574</v>
      </c>
      <c r="B19">
        <v>7.5399999999999995E-2</v>
      </c>
      <c r="C19">
        <v>8.2019999999999996E-2</v>
      </c>
      <c r="D19">
        <v>7.3529999999999998E-2</v>
      </c>
      <c r="E19">
        <v>7.8640000000000002E-2</v>
      </c>
      <c r="F19">
        <v>611882426.20000005</v>
      </c>
      <c r="G19">
        <v>7.8640000000000002E-2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0.20376914016490102</v>
      </c>
      <c r="Q19">
        <f t="shared" ref="Q19" si="71">F19*P19</f>
        <v>124682755.86878751</v>
      </c>
      <c r="R19">
        <f t="shared" ref="R19" si="72">R20+Q19</f>
        <v>-7933930088.102169</v>
      </c>
      <c r="S19">
        <f t="shared" ref="S19" si="73">R19/100000</f>
        <v>-79339.300881021685</v>
      </c>
      <c r="T19">
        <f t="shared" ref="T19" si="74">S19/1000</f>
        <v>-79.339300881021686</v>
      </c>
    </row>
    <row r="20" spans="1:20" x14ac:dyDescent="0.25">
      <c r="A20" s="5">
        <v>44573</v>
      </c>
      <c r="B20">
        <v>6.7489999999999994E-2</v>
      </c>
      <c r="C20">
        <v>7.6999999999999999E-2</v>
      </c>
      <c r="D20">
        <v>6.6729999999999998E-2</v>
      </c>
      <c r="E20">
        <v>7.5429999999999997E-2</v>
      </c>
      <c r="F20">
        <v>280740061.5</v>
      </c>
      <c r="G20">
        <v>7.5429999999999997E-2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0.69425511197663059</v>
      </c>
      <c r="Q20">
        <f t="shared" ref="Q20" si="76">F20*P20</f>
        <v>194905222.83300865</v>
      </c>
      <c r="R20">
        <f t="shared" ref="R20" si="77">R21+Q20</f>
        <v>-8058612843.9709568</v>
      </c>
      <c r="S20">
        <f t="shared" ref="S20" si="78">R20/100000</f>
        <v>-80586.128439709573</v>
      </c>
      <c r="T20">
        <f t="shared" ref="T20" si="79">S20/1000</f>
        <v>-80.586128439709569</v>
      </c>
    </row>
    <row r="21" spans="1:20" x14ac:dyDescent="0.25">
      <c r="A21" s="5">
        <v>44572</v>
      </c>
      <c r="B21">
        <v>6.3500000000000001E-2</v>
      </c>
      <c r="C21">
        <v>6.8430000000000005E-2</v>
      </c>
      <c r="D21">
        <v>6.2199999999999998E-2</v>
      </c>
      <c r="E21">
        <v>6.7540000000000003E-2</v>
      </c>
      <c r="F21">
        <v>214629466</v>
      </c>
      <c r="G21">
        <v>6.7540000000000003E-2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0.71428571428571397</v>
      </c>
      <c r="Q21">
        <f t="shared" ref="Q21" si="81">F21*P21</f>
        <v>153306761.42857137</v>
      </c>
      <c r="R21">
        <f t="shared" ref="R21" si="82">R22+Q21</f>
        <v>-8253518066.8039656</v>
      </c>
      <c r="S21">
        <f t="shared" ref="S21" si="83">R21/100000</f>
        <v>-82535.180668039655</v>
      </c>
      <c r="T21">
        <f t="shared" ref="T21" si="84">S21/1000</f>
        <v>-82.535180668039658</v>
      </c>
    </row>
    <row r="22" spans="1:20" x14ac:dyDescent="0.25">
      <c r="A22" s="5">
        <v>44571</v>
      </c>
      <c r="B22">
        <v>6.7879999999999996E-2</v>
      </c>
      <c r="C22">
        <v>6.8589999999999998E-2</v>
      </c>
      <c r="D22">
        <v>5.9990000000000002E-2</v>
      </c>
      <c r="E22">
        <v>6.3519999999999993E-2</v>
      </c>
      <c r="F22">
        <v>291545249.80000001</v>
      </c>
      <c r="G22">
        <v>6.3519999999999993E-2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-0.17906976744186212</v>
      </c>
      <c r="Q22">
        <f t="shared" ref="Q22" si="86">F22*P22</f>
        <v>-52206940.0804656</v>
      </c>
      <c r="R22">
        <f t="shared" ref="R22" si="87">R23+Q22</f>
        <v>-8406824828.2325373</v>
      </c>
      <c r="S22">
        <f t="shared" ref="S22" si="88">R22/100000</f>
        <v>-84068.248282325367</v>
      </c>
      <c r="T22">
        <f t="shared" ref="T22" si="89">S22/1000</f>
        <v>-84.068248282325371</v>
      </c>
    </row>
    <row r="23" spans="1:20" x14ac:dyDescent="0.25">
      <c r="A23" s="5">
        <v>44570</v>
      </c>
      <c r="B23">
        <v>6.4610000000000001E-2</v>
      </c>
      <c r="C23">
        <v>6.9349999999999995E-2</v>
      </c>
      <c r="D23">
        <v>6.4089999999999994E-2</v>
      </c>
      <c r="E23">
        <v>6.7900000000000002E-2</v>
      </c>
      <c r="F23">
        <v>190168111.90000001</v>
      </c>
      <c r="G23">
        <v>6.7900000000000002E-2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0.44866920152091533</v>
      </c>
      <c r="Q23">
        <f t="shared" ref="Q23" si="91">F23*P23</f>
        <v>85322574.920913085</v>
      </c>
      <c r="R23">
        <f t="shared" ref="R23" si="92">R24+Q23</f>
        <v>-8354617888.152072</v>
      </c>
      <c r="S23">
        <f t="shared" ref="S23" si="93">R23/100000</f>
        <v>-83546.178881520726</v>
      </c>
      <c r="T23">
        <f t="shared" ref="T23" si="94">S23/1000</f>
        <v>-83.546178881520731</v>
      </c>
    </row>
    <row r="24" spans="1:20" x14ac:dyDescent="0.25">
      <c r="A24" s="5">
        <v>44569</v>
      </c>
      <c r="B24">
        <v>6.8919999999999995E-2</v>
      </c>
      <c r="C24">
        <v>7.1940000000000004E-2</v>
      </c>
      <c r="D24">
        <v>6.2420000000000003E-2</v>
      </c>
      <c r="E24">
        <v>6.4640000000000003E-2</v>
      </c>
      <c r="F24">
        <v>309047185.80000001</v>
      </c>
      <c r="G24">
        <v>6.4640000000000003E-2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-0.53361344537815136</v>
      </c>
      <c r="Q24">
        <f t="shared" ref="Q24" si="96">F24*P24</f>
        <v>-164911733.59915969</v>
      </c>
      <c r="R24">
        <f t="shared" ref="R24" si="97">R25+Q24</f>
        <v>-8439940463.0729847</v>
      </c>
      <c r="S24">
        <f t="shared" ref="S24" si="98">R24/100000</f>
        <v>-84399.404630729841</v>
      </c>
      <c r="T24">
        <f t="shared" ref="T24" si="99">S24/1000</f>
        <v>-84.399404630729848</v>
      </c>
    </row>
    <row r="25" spans="1:20" x14ac:dyDescent="0.25">
      <c r="A25" s="5">
        <v>44568</v>
      </c>
      <c r="B25">
        <v>7.5069999999999998E-2</v>
      </c>
      <c r="C25">
        <v>7.5789999999999996E-2</v>
      </c>
      <c r="D25">
        <v>6.6600000000000006E-2</v>
      </c>
      <c r="E25">
        <v>6.8900000000000003E-2</v>
      </c>
      <c r="F25">
        <v>379547711.10000002</v>
      </c>
      <c r="G25">
        <v>6.8900000000000003E-2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-0.4994559303590862</v>
      </c>
      <c r="Q25">
        <f t="shared" ref="Q25" si="101">F25*P25</f>
        <v>-189567355.16311219</v>
      </c>
      <c r="R25">
        <f t="shared" ref="R25" si="102">R26+Q25</f>
        <v>-8275028729.4738255</v>
      </c>
      <c r="S25">
        <f t="shared" ref="S25" si="103">R25/100000</f>
        <v>-82750.287294738257</v>
      </c>
      <c r="T25">
        <f t="shared" ref="T25" si="104">S25/1000</f>
        <v>-82.750287294738257</v>
      </c>
    </row>
    <row r="26" spans="1:20" x14ac:dyDescent="0.25">
      <c r="A26" s="5">
        <v>44567</v>
      </c>
      <c r="B26">
        <v>7.7439999999999995E-2</v>
      </c>
      <c r="C26">
        <v>7.8189999999999996E-2</v>
      </c>
      <c r="D26">
        <v>7.3260000000000006E-2</v>
      </c>
      <c r="E26">
        <v>7.5069999999999998E-2</v>
      </c>
      <c r="F26">
        <v>342174479.5</v>
      </c>
      <c r="G26">
        <v>7.5069999999999998E-2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-0.26572008113590434</v>
      </c>
      <c r="Q26">
        <f t="shared" ref="Q26" si="106">F26*P26</f>
        <v>-90922630.455375835</v>
      </c>
      <c r="R26">
        <f t="shared" ref="R26" si="107">R27+Q26</f>
        <v>-8085461374.3107128</v>
      </c>
      <c r="S26">
        <f t="shared" ref="S26" si="108">R26/100000</f>
        <v>-80854.613743107126</v>
      </c>
      <c r="T26">
        <f t="shared" ref="T26" si="109">S26/1000</f>
        <v>-80.854613743107123</v>
      </c>
    </row>
    <row r="27" spans="1:20" x14ac:dyDescent="0.25">
      <c r="A27" s="5">
        <v>44566</v>
      </c>
      <c r="B27">
        <v>8.0960000000000004E-2</v>
      </c>
      <c r="C27">
        <v>9.0889999999999999E-2</v>
      </c>
      <c r="D27">
        <v>7.2999999999999995E-2</v>
      </c>
      <c r="E27">
        <v>7.7439999999999995E-2</v>
      </c>
      <c r="F27">
        <v>700807420.5</v>
      </c>
      <c r="G27">
        <v>7.7439999999999995E-2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-0.50363331470095041</v>
      </c>
      <c r="Q27">
        <f t="shared" ref="Q27" si="111">F27*P27</f>
        <v>-352949964.15343779</v>
      </c>
      <c r="R27">
        <f t="shared" ref="R27" si="112">R28+Q27</f>
        <v>-7994538743.8553371</v>
      </c>
      <c r="S27">
        <f t="shared" ref="S27" si="113">R27/100000</f>
        <v>-79945.387438553371</v>
      </c>
      <c r="T27">
        <f t="shared" ref="T27" si="114">S27/1000</f>
        <v>-79.945387438553368</v>
      </c>
    </row>
    <row r="28" spans="1:20" x14ac:dyDescent="0.25">
      <c r="A28" s="5">
        <v>44565</v>
      </c>
      <c r="B28">
        <v>7.707E-2</v>
      </c>
      <c r="C28">
        <v>8.6099999999999996E-2</v>
      </c>
      <c r="D28">
        <v>7.571E-2</v>
      </c>
      <c r="E28">
        <v>8.097E-2</v>
      </c>
      <c r="F28">
        <v>335373856.80000001</v>
      </c>
      <c r="G28">
        <v>8.097E-2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1.2512030798845539E-2</v>
      </c>
      <c r="Q28">
        <f t="shared" ref="Q28" si="116">F28*P28</f>
        <v>4196208.0254092133</v>
      </c>
      <c r="R28">
        <f t="shared" ref="R28" si="117">R29+Q28</f>
        <v>-7641588779.7018995</v>
      </c>
      <c r="S28">
        <f t="shared" ref="S28" si="118">R28/100000</f>
        <v>-76415.887797018993</v>
      </c>
      <c r="T28">
        <f t="shared" ref="T28" si="119">S28/1000</f>
        <v>-76.415887797018996</v>
      </c>
    </row>
    <row r="29" spans="1:20" x14ac:dyDescent="0.25">
      <c r="A29" s="5">
        <v>44564</v>
      </c>
      <c r="B29">
        <v>7.8490000000000004E-2</v>
      </c>
      <c r="C29">
        <v>8.2000000000000003E-2</v>
      </c>
      <c r="D29">
        <v>7.4889999999999998E-2</v>
      </c>
      <c r="E29">
        <v>7.707E-2</v>
      </c>
      <c r="F29">
        <v>261319035.80000001</v>
      </c>
      <c r="G29">
        <v>7.707E-2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-0.38677918424753877</v>
      </c>
      <c r="Q29">
        <f t="shared" ref="Q29" si="121">F29*P29</f>
        <v>-101072763.49507739</v>
      </c>
      <c r="R29">
        <f t="shared" ref="R29" si="122">R30+Q29</f>
        <v>-7645784987.7273083</v>
      </c>
      <c r="S29">
        <f t="shared" ref="S29" si="123">R29/100000</f>
        <v>-76457.849877273082</v>
      </c>
      <c r="T29">
        <f t="shared" ref="T29" si="124">S29/1000</f>
        <v>-76.457849877273077</v>
      </c>
    </row>
    <row r="30" spans="1:20" x14ac:dyDescent="0.25">
      <c r="A30" s="5">
        <v>44563</v>
      </c>
      <c r="B30">
        <v>7.9009999999999997E-2</v>
      </c>
      <c r="C30">
        <v>8.0259999999999998E-2</v>
      </c>
      <c r="D30">
        <v>7.6300000000000007E-2</v>
      </c>
      <c r="E30">
        <v>7.8530000000000003E-2</v>
      </c>
      <c r="F30">
        <v>155315792</v>
      </c>
      <c r="G30">
        <v>7.8530000000000003E-2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0.12626262626262666</v>
      </c>
      <c r="Q30">
        <f t="shared" ref="Q30" si="126">F30*P30</f>
        <v>19610579.797979858</v>
      </c>
      <c r="R30">
        <f t="shared" ref="R30" si="127">R31+Q30</f>
        <v>-7544712224.2322311</v>
      </c>
      <c r="S30">
        <f t="shared" ref="S30" si="128">R30/100000</f>
        <v>-75447.122242322308</v>
      </c>
      <c r="T30">
        <f t="shared" ref="T30" si="129">S30/1000</f>
        <v>-75.447122242322308</v>
      </c>
    </row>
    <row r="31" spans="1:20" x14ac:dyDescent="0.25">
      <c r="A31" s="5">
        <v>44562</v>
      </c>
      <c r="B31">
        <v>7.3130000000000001E-2</v>
      </c>
      <c r="C31">
        <v>7.911E-2</v>
      </c>
      <c r="D31">
        <v>7.3120000000000004E-2</v>
      </c>
      <c r="E31">
        <v>7.9020000000000007E-2</v>
      </c>
      <c r="F31">
        <v>150568495.30000001</v>
      </c>
      <c r="G31">
        <v>7.9020000000000007E-2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0.96994991652754825</v>
      </c>
      <c r="Q31">
        <f t="shared" ref="Q31" si="131">F31*P31</f>
        <v>146043899.44791356</v>
      </c>
      <c r="R31">
        <f t="shared" ref="R31" si="132">R32+Q31</f>
        <v>-7564322804.0302114</v>
      </c>
      <c r="S31">
        <f t="shared" ref="S31" si="133">R31/100000</f>
        <v>-75643.228040302114</v>
      </c>
      <c r="T31">
        <f t="shared" ref="T31" si="134">S31/1000</f>
        <v>-75.64322804030212</v>
      </c>
    </row>
    <row r="32" spans="1:20" x14ac:dyDescent="0.25">
      <c r="A32" s="5">
        <v>44561</v>
      </c>
      <c r="B32">
        <v>7.5130000000000002E-2</v>
      </c>
      <c r="C32">
        <v>7.7929999999999999E-2</v>
      </c>
      <c r="D32">
        <v>7.1120000000000003E-2</v>
      </c>
      <c r="E32">
        <v>7.306E-2</v>
      </c>
      <c r="F32">
        <v>195533102.40000001</v>
      </c>
      <c r="G32">
        <v>7.306E-2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-0.43024963289280521</v>
      </c>
      <c r="Q32">
        <f t="shared" ref="Q32" si="136">F32*P32</f>
        <v>-84128045.525991291</v>
      </c>
      <c r="R32">
        <f t="shared" ref="R32" si="137">R33+Q32</f>
        <v>-7710366703.4781246</v>
      </c>
      <c r="S32">
        <f t="shared" ref="S32" si="138">R32/100000</f>
        <v>-77103.667034781247</v>
      </c>
      <c r="T32">
        <f t="shared" ref="T32" si="139">S32/1000</f>
        <v>-77.103667034781253</v>
      </c>
    </row>
    <row r="33" spans="1:20" x14ac:dyDescent="0.25">
      <c r="A33" s="5">
        <v>44560</v>
      </c>
      <c r="B33">
        <v>7.2840000000000002E-2</v>
      </c>
      <c r="C33">
        <v>7.6969999999999997E-2</v>
      </c>
      <c r="D33">
        <v>6.9889999999999994E-2</v>
      </c>
      <c r="E33">
        <v>7.5060000000000002E-2</v>
      </c>
      <c r="F33">
        <v>227458891.40000001</v>
      </c>
      <c r="G33">
        <v>7.5060000000000002E-2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0.46045197740113158</v>
      </c>
      <c r="Q33">
        <f t="shared" ref="Q33" si="141">F33*P33</f>
        <v>104733896.32259925</v>
      </c>
      <c r="R33">
        <f t="shared" ref="R33" si="142">R34+Q33</f>
        <v>-7626238657.9521332</v>
      </c>
      <c r="S33">
        <f t="shared" ref="S33" si="143">R33/100000</f>
        <v>-76262.386579521335</v>
      </c>
      <c r="T33">
        <f t="shared" ref="T33" si="144">S33/1000</f>
        <v>-76.262386579521333</v>
      </c>
    </row>
    <row r="34" spans="1:20" x14ac:dyDescent="0.25">
      <c r="A34" s="5">
        <v>44559</v>
      </c>
      <c r="B34">
        <v>7.6829999999999996E-2</v>
      </c>
      <c r="C34">
        <v>7.893E-2</v>
      </c>
      <c r="D34">
        <v>7.1169999999999997E-2</v>
      </c>
      <c r="E34">
        <v>7.2870000000000004E-2</v>
      </c>
      <c r="F34">
        <v>282452135.10000002</v>
      </c>
      <c r="G34">
        <v>7.2870000000000004E-2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-0.56185567010309112</v>
      </c>
      <c r="Q34">
        <f t="shared" ref="Q34" si="146">F34*P34</f>
        <v>-158697333.63865933</v>
      </c>
      <c r="R34">
        <f t="shared" ref="R34" si="147">R35+Q34</f>
        <v>-7730972554.2747326</v>
      </c>
      <c r="S34">
        <f t="shared" ref="S34" si="148">R34/100000</f>
        <v>-77309.725542747328</v>
      </c>
      <c r="T34">
        <f t="shared" ref="T34" si="149">S34/1000</f>
        <v>-77.30972554274733</v>
      </c>
    </row>
    <row r="35" spans="1:20" x14ac:dyDescent="0.25">
      <c r="A35" s="5">
        <v>44558</v>
      </c>
      <c r="B35">
        <v>8.7410000000000002E-2</v>
      </c>
      <c r="C35">
        <v>8.7459999999999996E-2</v>
      </c>
      <c r="D35">
        <v>7.4709999999999999E-2</v>
      </c>
      <c r="E35">
        <v>7.6810000000000003E-2</v>
      </c>
      <c r="F35">
        <v>446785177.5</v>
      </c>
      <c r="G35">
        <v>7.6810000000000003E-2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-0.67058823529411682</v>
      </c>
      <c r="Q35">
        <f t="shared" ref="Q35" si="151">F35*P35</f>
        <v>-299608883.73529375</v>
      </c>
      <c r="R35">
        <f t="shared" ref="R35" si="152">R36+Q35</f>
        <v>-7572275220.6360731</v>
      </c>
      <c r="S35">
        <f t="shared" ref="S35" si="153">R35/100000</f>
        <v>-75722.752206360732</v>
      </c>
      <c r="T35">
        <f t="shared" ref="T35" si="154">S35/1000</f>
        <v>-75.722752206360738</v>
      </c>
    </row>
    <row r="36" spans="1:20" x14ac:dyDescent="0.25">
      <c r="A36" s="5">
        <v>44557</v>
      </c>
      <c r="B36">
        <v>8.72E-2</v>
      </c>
      <c r="C36">
        <v>9.4030000000000002E-2</v>
      </c>
      <c r="D36">
        <v>8.6199999999999999E-2</v>
      </c>
      <c r="E36">
        <v>8.7410000000000002E-2</v>
      </c>
      <c r="F36">
        <v>322217617.19999999</v>
      </c>
      <c r="G36">
        <v>8.7410000000000002E-2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-0.69093231162196622</v>
      </c>
      <c r="Q36">
        <f t="shared" ref="Q36" si="156">F36*P36</f>
        <v>-222630563.09731781</v>
      </c>
      <c r="R36">
        <f t="shared" ref="R36" si="157">R37+Q36</f>
        <v>-7272666336.9007797</v>
      </c>
      <c r="S36">
        <f t="shared" ref="S36" si="158">R36/100000</f>
        <v>-72726.663369007802</v>
      </c>
      <c r="T36">
        <f t="shared" ref="T36" si="159">S36/1000</f>
        <v>-72.726663369007795</v>
      </c>
    </row>
    <row r="37" spans="1:20" x14ac:dyDescent="0.25">
      <c r="A37" s="5">
        <v>44556</v>
      </c>
      <c r="B37">
        <v>8.7709999999999996E-2</v>
      </c>
      <c r="C37">
        <v>9.1899999999999996E-2</v>
      </c>
      <c r="D37">
        <v>8.4229999999999999E-2</v>
      </c>
      <c r="E37">
        <v>8.7230000000000002E-2</v>
      </c>
      <c r="F37">
        <v>337343103.60000002</v>
      </c>
      <c r="G37">
        <v>8.7230000000000002E-2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-0.21773142112125055</v>
      </c>
      <c r="Q37">
        <f t="shared" ref="Q37" si="161">F37*P37</f>
        <v>-73450193.352281258</v>
      </c>
      <c r="R37">
        <f t="shared" ref="R37" si="162">R38+Q37</f>
        <v>-7050035773.803462</v>
      </c>
      <c r="S37">
        <f t="shared" ref="S37" si="163">R37/100000</f>
        <v>-70500.357738034625</v>
      </c>
      <c r="T37">
        <f t="shared" ref="T37" si="164">S37/1000</f>
        <v>-70.500357738034623</v>
      </c>
    </row>
    <row r="38" spans="1:20" x14ac:dyDescent="0.25">
      <c r="A38" s="5">
        <v>44555</v>
      </c>
      <c r="B38">
        <v>7.7810000000000004E-2</v>
      </c>
      <c r="C38">
        <v>9.2490000000000003E-2</v>
      </c>
      <c r="D38">
        <v>7.671E-2</v>
      </c>
      <c r="E38">
        <v>8.7720000000000006E-2</v>
      </c>
      <c r="F38">
        <v>597245066.10000002</v>
      </c>
      <c r="G38">
        <v>8.7720000000000006E-2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0.395437262357415</v>
      </c>
      <c r="Q38">
        <f t="shared" ref="Q38" si="166">F38*P38</f>
        <v>236172953.89505738</v>
      </c>
      <c r="R38">
        <f t="shared" ref="R38" si="167">R39+Q38</f>
        <v>-6976585580.4511805</v>
      </c>
      <c r="S38">
        <f t="shared" ref="S38" si="168">R38/100000</f>
        <v>-69765.855804511812</v>
      </c>
      <c r="T38">
        <f t="shared" ref="T38" si="169">S38/1000</f>
        <v>-69.765855804511816</v>
      </c>
    </row>
    <row r="39" spans="1:20" x14ac:dyDescent="0.25">
      <c r="A39" s="5">
        <v>44554</v>
      </c>
      <c r="B39">
        <v>7.7689999999999995E-2</v>
      </c>
      <c r="C39">
        <v>8.294E-2</v>
      </c>
      <c r="D39">
        <v>7.5899999999999995E-2</v>
      </c>
      <c r="E39">
        <v>7.7780000000000002E-2</v>
      </c>
      <c r="F39">
        <v>314417154.10000002</v>
      </c>
      <c r="G39">
        <v>7.7780000000000002E-2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-0.46590909090908939</v>
      </c>
      <c r="Q39">
        <f t="shared" ref="Q39" si="171">F39*P39</f>
        <v>-146489810.43295407</v>
      </c>
      <c r="R39">
        <f t="shared" ref="R39" si="172">R40+Q39</f>
        <v>-7212758534.3462381</v>
      </c>
      <c r="S39">
        <f t="shared" ref="S39" si="173">R39/100000</f>
        <v>-72127.585343462386</v>
      </c>
      <c r="T39">
        <f t="shared" ref="T39" si="174">S39/1000</f>
        <v>-72.127585343462385</v>
      </c>
    </row>
    <row r="40" spans="1:20" x14ac:dyDescent="0.25">
      <c r="A40" s="5">
        <v>44553</v>
      </c>
      <c r="B40">
        <v>7.1550000000000002E-2</v>
      </c>
      <c r="C40">
        <v>8.0500000000000002E-2</v>
      </c>
      <c r="D40">
        <v>7.0250000000000007E-2</v>
      </c>
      <c r="E40">
        <v>7.7670000000000003E-2</v>
      </c>
      <c r="F40">
        <v>300222115.39999998</v>
      </c>
      <c r="G40">
        <v>7.7670000000000003E-2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0.44780487804878039</v>
      </c>
      <c r="Q40">
        <f t="shared" ref="Q40" si="176">F40*P40</f>
        <v>134440927.77424386</v>
      </c>
      <c r="R40">
        <f t="shared" ref="R40" si="177">R41+Q40</f>
        <v>-7066268723.9132843</v>
      </c>
      <c r="S40">
        <f t="shared" ref="S40" si="178">R40/100000</f>
        <v>-70662.687239132836</v>
      </c>
      <c r="T40">
        <f t="shared" ref="T40" si="179">S40/1000</f>
        <v>-70.662687239132836</v>
      </c>
    </row>
    <row r="41" spans="1:20" x14ac:dyDescent="0.25">
      <c r="A41" s="5">
        <v>44552</v>
      </c>
      <c r="B41">
        <v>7.2330000000000005E-2</v>
      </c>
      <c r="C41">
        <v>7.5420000000000001E-2</v>
      </c>
      <c r="D41">
        <v>7.1169999999999997E-2</v>
      </c>
      <c r="E41">
        <v>7.1540000000000006E-2</v>
      </c>
      <c r="F41">
        <v>267987357.59999999</v>
      </c>
      <c r="G41">
        <v>7.1540000000000006E-2</v>
      </c>
      <c r="L41" t="s">
        <v>7</v>
      </c>
      <c r="M41" t="s">
        <v>7</v>
      </c>
      <c r="N41" t="s">
        <v>8</v>
      </c>
      <c r="P41">
        <f t="shared" ref="P41" si="180">IF(C41=D41,0,((E41-D41)-(C41-E41))/(C41-D41))</f>
        <v>-0.82588235294117229</v>
      </c>
      <c r="Q41">
        <f t="shared" ref="Q41" si="181">F41*P41</f>
        <v>-221326029.45317534</v>
      </c>
      <c r="R41">
        <f t="shared" ref="R41" si="182">R42+Q41</f>
        <v>-7200709651.6875286</v>
      </c>
      <c r="S41">
        <f t="shared" ref="S41" si="183">R41/100000</f>
        <v>-72007.096516875288</v>
      </c>
      <c r="T41">
        <f t="shared" ref="T41" si="184">S41/1000</f>
        <v>-72.007096516875293</v>
      </c>
    </row>
    <row r="42" spans="1:20" x14ac:dyDescent="0.25">
      <c r="A42" s="5">
        <v>44551</v>
      </c>
      <c r="B42">
        <v>7.0040000000000005E-2</v>
      </c>
      <c r="C42">
        <v>7.7399999999999997E-2</v>
      </c>
      <c r="D42">
        <v>6.8510000000000001E-2</v>
      </c>
      <c r="E42">
        <v>7.2340000000000002E-2</v>
      </c>
      <c r="F42">
        <v>323032263.39999998</v>
      </c>
      <c r="G42">
        <v>7.2340000000000002E-2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-0.13835770528683866</v>
      </c>
      <c r="Q42">
        <f t="shared" ref="Q42" si="186">F42*P42</f>
        <v>-44694002.697637632</v>
      </c>
      <c r="R42">
        <f t="shared" ref="R42" si="187">R43+Q42</f>
        <v>-6979383622.2343531</v>
      </c>
      <c r="S42">
        <f t="shared" ref="S42" si="188">R42/100000</f>
        <v>-69793.836222343525</v>
      </c>
      <c r="T42">
        <f t="shared" ref="T42" si="189">S42/1000</f>
        <v>-69.793836222343529</v>
      </c>
    </row>
    <row r="43" spans="1:20" x14ac:dyDescent="0.25">
      <c r="A43" s="5">
        <v>44550</v>
      </c>
      <c r="B43">
        <v>7.2720000000000007E-2</v>
      </c>
      <c r="C43">
        <v>7.775E-2</v>
      </c>
      <c r="D43">
        <v>6.6369999999999998E-2</v>
      </c>
      <c r="E43">
        <v>6.9970000000000004E-2</v>
      </c>
      <c r="F43">
        <v>522542788.69999999</v>
      </c>
      <c r="G43">
        <v>6.9970000000000004E-2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-0.36731107205623803</v>
      </c>
      <c r="Q43">
        <f t="shared" ref="Q43" si="191">F43*P43</f>
        <v>-191935751.91265327</v>
      </c>
      <c r="R43">
        <f t="shared" ref="R43" si="192">R44+Q43</f>
        <v>-6934689619.5367155</v>
      </c>
      <c r="S43">
        <f t="shared" ref="S43" si="193">R43/100000</f>
        <v>-69346.896195367153</v>
      </c>
      <c r="T43">
        <f t="shared" ref="T43" si="194">S43/1000</f>
        <v>-69.346896195367151</v>
      </c>
    </row>
    <row r="44" spans="1:20" x14ac:dyDescent="0.25">
      <c r="A44" s="5">
        <v>44549</v>
      </c>
      <c r="B44">
        <v>6.973E-2</v>
      </c>
      <c r="C44">
        <v>7.4340000000000003E-2</v>
      </c>
      <c r="D44">
        <v>6.7799999999999999E-2</v>
      </c>
      <c r="E44">
        <v>7.2679999999999995E-2</v>
      </c>
      <c r="F44">
        <v>275165045.80000001</v>
      </c>
      <c r="G44">
        <v>7.2679999999999995E-2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0.49235474006115976</v>
      </c>
      <c r="Q44">
        <f t="shared" ref="Q44" si="196">F44*P44</f>
        <v>135478814.59877613</v>
      </c>
      <c r="R44">
        <f t="shared" ref="R44" si="197">R45+Q44</f>
        <v>-6742753867.6240625</v>
      </c>
      <c r="S44">
        <f t="shared" ref="S44" si="198">R44/100000</f>
        <v>-67427.538676240627</v>
      </c>
      <c r="T44">
        <f t="shared" ref="T44" si="199">S44/1000</f>
        <v>-67.42753867624063</v>
      </c>
    </row>
    <row r="45" spans="1:20" x14ac:dyDescent="0.25">
      <c r="A45" s="5">
        <v>44548</v>
      </c>
      <c r="B45">
        <v>7.1980000000000002E-2</v>
      </c>
      <c r="C45">
        <v>7.4630000000000002E-2</v>
      </c>
      <c r="D45">
        <v>6.9430000000000006E-2</v>
      </c>
      <c r="E45">
        <v>6.9739999999999996E-2</v>
      </c>
      <c r="F45">
        <v>272863100.5</v>
      </c>
      <c r="G45">
        <v>6.9739999999999996E-2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-0.88076923076923419</v>
      </c>
      <c r="Q45">
        <f t="shared" ref="Q45" si="201">F45*P45</f>
        <v>-240329423.13269323</v>
      </c>
      <c r="R45">
        <f t="shared" ref="R45" si="202">R46+Q45</f>
        <v>-6878232682.2228384</v>
      </c>
      <c r="S45">
        <f t="shared" ref="S45" si="203">R45/100000</f>
        <v>-68782.32682222838</v>
      </c>
      <c r="T45">
        <f t="shared" ref="T45" si="204">S45/1000</f>
        <v>-68.782326822228384</v>
      </c>
    </row>
    <row r="46" spans="1:20" x14ac:dyDescent="0.25">
      <c r="A46" s="5">
        <v>44547</v>
      </c>
      <c r="B46">
        <v>7.6219999999999996E-2</v>
      </c>
      <c r="C46">
        <v>8.7999999999999995E-2</v>
      </c>
      <c r="D46">
        <v>7.0660000000000001E-2</v>
      </c>
      <c r="E46">
        <v>7.1970000000000006E-2</v>
      </c>
      <c r="F46">
        <v>828035768.10000002</v>
      </c>
      <c r="G46">
        <v>7.1970000000000006E-2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-0.84890426758938797</v>
      </c>
      <c r="Q46">
        <f t="shared" ref="Q46" si="206">F46*P46</f>
        <v>-702923097.25674677</v>
      </c>
      <c r="R46">
        <f t="shared" ref="R46" si="207">R47+Q46</f>
        <v>-6637903259.0901451</v>
      </c>
      <c r="S46">
        <f t="shared" ref="S46" si="208">R46/100000</f>
        <v>-66379.03259090145</v>
      </c>
      <c r="T46">
        <f t="shared" ref="T46" si="209">S46/1000</f>
        <v>-66.379032590901446</v>
      </c>
    </row>
    <row r="47" spans="1:20" x14ac:dyDescent="0.25">
      <c r="A47" s="5">
        <v>44546</v>
      </c>
      <c r="B47">
        <v>6.7650000000000002E-2</v>
      </c>
      <c r="C47">
        <v>8.1250000000000003E-2</v>
      </c>
      <c r="D47">
        <v>6.7500000000000004E-2</v>
      </c>
      <c r="E47">
        <v>7.6230000000000006E-2</v>
      </c>
      <c r="F47">
        <v>624048546</v>
      </c>
      <c r="G47">
        <v>7.6230000000000006E-2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0.26981818181818223</v>
      </c>
      <c r="Q47">
        <f t="shared" ref="Q47" si="211">F47*P47</f>
        <v>168379644.04800025</v>
      </c>
      <c r="R47">
        <f t="shared" ref="R47" si="212">R48+Q47</f>
        <v>-5934980161.8333979</v>
      </c>
      <c r="S47">
        <f t="shared" ref="S47" si="213">R47/100000</f>
        <v>-59349.801618333979</v>
      </c>
      <c r="T47">
        <f t="shared" ref="T47" si="214">S47/1000</f>
        <v>-59.349801618333977</v>
      </c>
    </row>
    <row r="48" spans="1:20" x14ac:dyDescent="0.25">
      <c r="A48" s="5">
        <v>44545</v>
      </c>
      <c r="B48">
        <v>6.2719999999999998E-2</v>
      </c>
      <c r="C48">
        <v>7.0220000000000005E-2</v>
      </c>
      <c r="D48">
        <v>5.9810000000000002E-2</v>
      </c>
      <c r="E48">
        <v>6.7629999999999996E-2</v>
      </c>
      <c r="F48">
        <v>375676459.80000001</v>
      </c>
      <c r="G48">
        <v>6.7629999999999996E-2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0.50240153698366796</v>
      </c>
      <c r="Q48">
        <f t="shared" ref="Q48" si="216">F48*P48</f>
        <v>188740430.81210315</v>
      </c>
      <c r="R48">
        <f t="shared" ref="R48" si="217">R49+Q48</f>
        <v>-6103359805.8813982</v>
      </c>
      <c r="S48">
        <f t="shared" ref="S48" si="218">R48/100000</f>
        <v>-61033.598058813979</v>
      </c>
      <c r="T48">
        <f t="shared" ref="T48" si="219">S48/1000</f>
        <v>-61.033598058813979</v>
      </c>
    </row>
    <row r="49" spans="1:20" x14ac:dyDescent="0.25">
      <c r="A49" s="5">
        <v>44544</v>
      </c>
      <c r="B49">
        <v>6.0819999999999999E-2</v>
      </c>
      <c r="C49">
        <v>6.2850000000000003E-2</v>
      </c>
      <c r="D49">
        <v>5.8869999999999999E-2</v>
      </c>
      <c r="E49">
        <v>6.2740000000000004E-2</v>
      </c>
      <c r="F49">
        <v>214609347.90000001</v>
      </c>
      <c r="G49">
        <v>6.2740000000000004E-2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0.9447236180904528</v>
      </c>
      <c r="Q49">
        <f t="shared" ref="Q49" si="221">F49*P49</f>
        <v>202746519.62412071</v>
      </c>
      <c r="R49">
        <f t="shared" ref="R49" si="222">R50+Q49</f>
        <v>-6292100236.6935015</v>
      </c>
      <c r="S49">
        <f t="shared" ref="S49" si="223">R49/100000</f>
        <v>-62921.002366935012</v>
      </c>
      <c r="T49">
        <f t="shared" ref="T49" si="224">S49/1000</f>
        <v>-62.921002366935014</v>
      </c>
    </row>
    <row r="50" spans="1:20" x14ac:dyDescent="0.25">
      <c r="A50" s="5">
        <v>44543</v>
      </c>
      <c r="B50">
        <v>7.0099999999999996E-2</v>
      </c>
      <c r="C50">
        <v>7.324E-2</v>
      </c>
      <c r="D50">
        <v>5.9380000000000002E-2</v>
      </c>
      <c r="E50">
        <v>6.0810000000000003E-2</v>
      </c>
      <c r="F50">
        <v>280351914.80000001</v>
      </c>
      <c r="G50">
        <v>6.0810000000000003E-2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-0.7936507936507935</v>
      </c>
      <c r="Q50">
        <f t="shared" ref="Q50" si="226">F50*P50</f>
        <v>-222501519.68253964</v>
      </c>
      <c r="R50">
        <f t="shared" ref="R50" si="227">R51+Q50</f>
        <v>-6494846756.3176222</v>
      </c>
      <c r="S50">
        <f t="shared" ref="S50" si="228">R50/100000</f>
        <v>-64948.467563176222</v>
      </c>
      <c r="T50">
        <f t="shared" ref="T50" si="229">S50/1000</f>
        <v>-64.948467563176223</v>
      </c>
    </row>
    <row r="51" spans="1:20" x14ac:dyDescent="0.25">
      <c r="A51" s="5">
        <v>44542</v>
      </c>
      <c r="B51">
        <v>6.9190000000000002E-2</v>
      </c>
      <c r="C51">
        <v>7.2489999999999999E-2</v>
      </c>
      <c r="D51">
        <v>6.6409999999999997E-2</v>
      </c>
      <c r="E51">
        <v>7.0139999999999994E-2</v>
      </c>
      <c r="F51">
        <v>295398485.60000002</v>
      </c>
      <c r="G51">
        <v>7.0139999999999994E-2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0.22697368421052497</v>
      </c>
      <c r="Q51">
        <f t="shared" ref="Q51" si="231">F51*P51</f>
        <v>67047682.58684171</v>
      </c>
      <c r="R51">
        <f t="shared" ref="R51" si="232">R52+Q51</f>
        <v>-6272345236.6350822</v>
      </c>
      <c r="S51">
        <f t="shared" ref="S51" si="233">R51/100000</f>
        <v>-62723.452366350823</v>
      </c>
      <c r="T51">
        <f t="shared" ref="T51" si="234">S51/1000</f>
        <v>-62.72345236635082</v>
      </c>
    </row>
    <row r="52" spans="1:20" x14ac:dyDescent="0.25">
      <c r="A52" s="5">
        <v>44541</v>
      </c>
      <c r="B52">
        <v>6.5110000000000001E-2</v>
      </c>
      <c r="C52">
        <v>6.6369999999999998E-2</v>
      </c>
      <c r="D52">
        <v>6.3799999999999996E-2</v>
      </c>
      <c r="E52">
        <v>6.5909999999999996E-2</v>
      </c>
      <c r="F52">
        <v>17013691</v>
      </c>
      <c r="G52">
        <v>6.5909999999999996E-2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0.64202334630350077</v>
      </c>
      <c r="Q52">
        <f t="shared" ref="Q52" si="236">F52*P52</f>
        <v>10923186.828793755</v>
      </c>
      <c r="R52">
        <f t="shared" ref="R52" si="237">R53+Q52</f>
        <v>-6339392919.2219238</v>
      </c>
      <c r="S52">
        <f t="shared" ref="S52" si="238">R52/100000</f>
        <v>-63393.929192219235</v>
      </c>
      <c r="T52">
        <f t="shared" ref="T52" si="239">S52/1000</f>
        <v>-63.393929192219233</v>
      </c>
    </row>
    <row r="53" spans="1:20" x14ac:dyDescent="0.25">
      <c r="A53" s="5">
        <v>44540</v>
      </c>
      <c r="B53">
        <v>6.7390000000000005E-2</v>
      </c>
      <c r="C53">
        <v>7.2239999999999999E-2</v>
      </c>
      <c r="D53">
        <v>6.4740000000000006E-2</v>
      </c>
      <c r="E53">
        <v>6.5170000000000006E-2</v>
      </c>
      <c r="F53">
        <v>263931685.09999999</v>
      </c>
      <c r="G53">
        <v>6.5170000000000006E-2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-0.88533333333333331</v>
      </c>
      <c r="Q53">
        <f t="shared" ref="Q53" si="241">F53*P53</f>
        <v>-233667518.54186666</v>
      </c>
      <c r="R53">
        <f t="shared" ref="R53" si="242">R54+Q53</f>
        <v>-6350316106.0507174</v>
      </c>
      <c r="S53">
        <f t="shared" ref="S53" si="243">R53/100000</f>
        <v>-63503.161060507176</v>
      </c>
      <c r="T53">
        <f t="shared" ref="T53" si="244">S53/1000</f>
        <v>-63.503161060507175</v>
      </c>
    </row>
    <row r="54" spans="1:20" x14ac:dyDescent="0.25">
      <c r="A54" s="5">
        <v>44539</v>
      </c>
      <c r="B54">
        <v>7.6859999999999998E-2</v>
      </c>
      <c r="C54">
        <v>7.7689999999999995E-2</v>
      </c>
      <c r="D54">
        <v>6.7119999999999999E-2</v>
      </c>
      <c r="E54">
        <v>6.7379999999999995E-2</v>
      </c>
      <c r="F54">
        <v>361238087.5</v>
      </c>
      <c r="G54">
        <v>6.7379999999999995E-2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-0.95080416272469315</v>
      </c>
      <c r="Q54">
        <f t="shared" ref="Q54" si="246">F54*P54</f>
        <v>-343466677.32970697</v>
      </c>
      <c r="R54">
        <f t="shared" ref="R54" si="247">R55+Q54</f>
        <v>-6116648587.5088511</v>
      </c>
      <c r="S54">
        <f t="shared" ref="S54" si="248">R54/100000</f>
        <v>-61166.485875088511</v>
      </c>
      <c r="T54">
        <f t="shared" ref="T54" si="249">S54/1000</f>
        <v>-61.166485875088512</v>
      </c>
    </row>
    <row r="55" spans="1:20" x14ac:dyDescent="0.25">
      <c r="A55" s="5">
        <v>44538</v>
      </c>
      <c r="B55">
        <v>7.9189999999999997E-2</v>
      </c>
      <c r="C55">
        <v>8.0909999999999996E-2</v>
      </c>
      <c r="D55">
        <v>7.145E-2</v>
      </c>
      <c r="E55">
        <v>7.6869999999999994E-2</v>
      </c>
      <c r="F55">
        <v>414968292.60000002</v>
      </c>
      <c r="G55">
        <v>7.6869999999999994E-2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0.14587737843551721</v>
      </c>
      <c r="Q55">
        <f t="shared" ref="Q55" si="251">F55*P55</f>
        <v>60534486.658350639</v>
      </c>
      <c r="R55">
        <f t="shared" ref="R55" si="252">R56+Q55</f>
        <v>-5773181910.1791439</v>
      </c>
      <c r="S55">
        <f t="shared" ref="S55" si="253">R55/100000</f>
        <v>-57731.819101791436</v>
      </c>
      <c r="T55">
        <f t="shared" ref="T55" si="254">S55/1000</f>
        <v>-57.731819101791437</v>
      </c>
    </row>
    <row r="56" spans="1:20" x14ac:dyDescent="0.25">
      <c r="A56" s="5">
        <v>44537</v>
      </c>
      <c r="B56">
        <v>7.2580000000000006E-2</v>
      </c>
      <c r="C56">
        <v>8.7129999999999999E-2</v>
      </c>
      <c r="D56">
        <v>7.1580000000000005E-2</v>
      </c>
      <c r="E56">
        <v>7.9229999999999995E-2</v>
      </c>
      <c r="F56">
        <v>716924863</v>
      </c>
      <c r="G56">
        <v>7.9229999999999995E-2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-1.6077170418007342E-2</v>
      </c>
      <c r="Q56">
        <f t="shared" ref="Q56" si="256">F56*P56</f>
        <v>-11526123.199357567</v>
      </c>
      <c r="R56">
        <f t="shared" ref="R56" si="257">R57+Q56</f>
        <v>-5833716396.8374949</v>
      </c>
      <c r="S56">
        <f t="shared" ref="S56" si="258">R56/100000</f>
        <v>-58337.163968374945</v>
      </c>
      <c r="T56">
        <f t="shared" ref="T56" si="259">S56/1000</f>
        <v>-58.337163968374945</v>
      </c>
    </row>
    <row r="57" spans="1:20" x14ac:dyDescent="0.25">
      <c r="A57" s="5">
        <v>44536</v>
      </c>
      <c r="B57">
        <v>7.3770000000000002E-2</v>
      </c>
      <c r="C57">
        <v>7.3849999999999999E-2</v>
      </c>
      <c r="D57">
        <v>6.3450000000000006E-2</v>
      </c>
      <c r="E57">
        <v>7.2609999999999994E-2</v>
      </c>
      <c r="F57">
        <v>417675134.80000001</v>
      </c>
      <c r="G57">
        <v>7.2609999999999994E-2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0.76153846153846039</v>
      </c>
      <c r="Q57">
        <f t="shared" ref="Q57" si="261">F57*P57</f>
        <v>318075679.57846105</v>
      </c>
      <c r="R57">
        <f t="shared" ref="R57" si="262">R58+Q57</f>
        <v>-5822190273.6381369</v>
      </c>
      <c r="S57">
        <f t="shared" ref="S57" si="263">R57/100000</f>
        <v>-58221.902736381366</v>
      </c>
      <c r="T57">
        <f t="shared" ref="T57" si="264">S57/1000</f>
        <v>-58.221902736381367</v>
      </c>
    </row>
    <row r="58" spans="1:20" x14ac:dyDescent="0.25">
      <c r="A58" s="5">
        <v>44535</v>
      </c>
      <c r="B58">
        <v>8.3699999999999997E-2</v>
      </c>
      <c r="C58">
        <v>8.5900000000000004E-2</v>
      </c>
      <c r="D58">
        <v>7.0199999999999999E-2</v>
      </c>
      <c r="E58">
        <v>7.3719999999999994E-2</v>
      </c>
      <c r="F58">
        <v>345462804.60000002</v>
      </c>
      <c r="G58">
        <v>7.3719999999999994E-2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-0.55159235668789885</v>
      </c>
      <c r="Q58">
        <f t="shared" ref="Q58" si="266">F58*P58</f>
        <v>-190554642.53732511</v>
      </c>
      <c r="R58">
        <f t="shared" ref="R58" si="267">R59+Q58</f>
        <v>-6140265953.2165976</v>
      </c>
      <c r="S58">
        <f t="shared" ref="S58" si="268">R58/100000</f>
        <v>-61402.659532165977</v>
      </c>
      <c r="T58">
        <f t="shared" ref="T58" si="269">S58/1000</f>
        <v>-61.402659532165977</v>
      </c>
    </row>
    <row r="59" spans="1:20" x14ac:dyDescent="0.25">
      <c r="A59" s="5">
        <v>44534</v>
      </c>
      <c r="B59">
        <v>0.10135</v>
      </c>
      <c r="C59">
        <v>0.10173</v>
      </c>
      <c r="D59">
        <v>5.8840000000000003E-2</v>
      </c>
      <c r="E59">
        <v>8.3699999999999997E-2</v>
      </c>
      <c r="F59">
        <v>811701397.20000005</v>
      </c>
      <c r="G59">
        <v>8.3699999999999997E-2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0.15924457915598017</v>
      </c>
      <c r="Q59">
        <f t="shared" ref="Q59" si="271">F59*P59</f>
        <v>129259047.39743511</v>
      </c>
      <c r="R59">
        <f t="shared" ref="R59" si="272">R60+Q59</f>
        <v>-5949711310.6792727</v>
      </c>
      <c r="S59">
        <f t="shared" ref="S59" si="273">R59/100000</f>
        <v>-59497.113106792727</v>
      </c>
      <c r="T59">
        <f t="shared" ref="T59" si="274">S59/1000</f>
        <v>-59.497113106792725</v>
      </c>
    </row>
    <row r="60" spans="1:20" x14ac:dyDescent="0.25">
      <c r="A60" s="5">
        <v>44533</v>
      </c>
      <c r="B60">
        <v>0.10743999999999999</v>
      </c>
      <c r="C60">
        <v>0.11094999999999999</v>
      </c>
      <c r="D60">
        <v>9.6009999999999998E-2</v>
      </c>
      <c r="E60">
        <v>0.10135</v>
      </c>
      <c r="F60">
        <v>265071765.69999999</v>
      </c>
      <c r="G60">
        <v>0.10135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-0.28514056224899609</v>
      </c>
      <c r="Q60">
        <f t="shared" ref="Q60" si="276">F60*P60</f>
        <v>-75582712.308032155</v>
      </c>
      <c r="R60">
        <f t="shared" ref="R60" si="277">R61+Q60</f>
        <v>-6078970358.0767078</v>
      </c>
      <c r="S60">
        <f t="shared" ref="S60" si="278">R60/100000</f>
        <v>-60789.703580767076</v>
      </c>
      <c r="T60">
        <f t="shared" ref="T60" si="279">S60/1000</f>
        <v>-60.789703580767075</v>
      </c>
    </row>
    <row r="61" spans="1:20" x14ac:dyDescent="0.25">
      <c r="A61" s="5">
        <v>44532</v>
      </c>
      <c r="B61">
        <v>0.11089</v>
      </c>
      <c r="C61">
        <v>0.11093</v>
      </c>
      <c r="D61">
        <v>0.10403</v>
      </c>
      <c r="E61">
        <v>0.10743</v>
      </c>
      <c r="F61">
        <v>203973818.69999999</v>
      </c>
      <c r="G61">
        <v>0.10743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-1.4492753623188814E-2</v>
      </c>
      <c r="Q61">
        <f t="shared" ref="Q61" si="281">F61*P61</f>
        <v>-2956142.3000000832</v>
      </c>
      <c r="R61">
        <f t="shared" ref="R61" si="282">R62+Q61</f>
        <v>-6003387645.7686758</v>
      </c>
      <c r="S61">
        <f t="shared" ref="S61" si="283">R61/100000</f>
        <v>-60033.876457686762</v>
      </c>
      <c r="T61">
        <f t="shared" ref="T61" si="284">S61/1000</f>
        <v>-60.033876457686759</v>
      </c>
    </row>
    <row r="62" spans="1:20" x14ac:dyDescent="0.25">
      <c r="A62" s="5">
        <v>44531</v>
      </c>
      <c r="B62">
        <v>0.11167000000000001</v>
      </c>
      <c r="C62">
        <v>0.11549</v>
      </c>
      <c r="D62">
        <v>0.10817</v>
      </c>
      <c r="E62">
        <v>0.11090999999999999</v>
      </c>
      <c r="F62">
        <v>218973068.80000001</v>
      </c>
      <c r="G62">
        <v>0.11090999999999999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-0.25136612021858062</v>
      </c>
      <c r="Q62">
        <f t="shared" ref="Q62" si="286">F62*P62</f>
        <v>-55042410.736612327</v>
      </c>
      <c r="R62">
        <f t="shared" ref="R62" si="287">R63+Q62</f>
        <v>-6000431503.4686756</v>
      </c>
      <c r="S62">
        <f t="shared" ref="S62" si="288">R62/100000</f>
        <v>-60004.315034686755</v>
      </c>
      <c r="T62">
        <f t="shared" ref="T62" si="289">S62/1000</f>
        <v>-60.004315034686755</v>
      </c>
    </row>
    <row r="63" spans="1:20" x14ac:dyDescent="0.25">
      <c r="A63" s="5">
        <v>44530</v>
      </c>
      <c r="B63">
        <v>0.11293</v>
      </c>
      <c r="C63">
        <v>0.1208</v>
      </c>
      <c r="D63">
        <v>0.10657999999999999</v>
      </c>
      <c r="E63">
        <v>0.11161</v>
      </c>
      <c r="F63">
        <v>359826393</v>
      </c>
      <c r="G63">
        <v>0.11161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-0.29254571026722881</v>
      </c>
      <c r="Q63">
        <f t="shared" ref="Q63" si="291">F63*P63</f>
        <v>-105265667.71308</v>
      </c>
      <c r="R63">
        <f t="shared" ref="R63" si="292">R64+Q63</f>
        <v>-5945389092.7320633</v>
      </c>
      <c r="S63">
        <f t="shared" ref="S63" si="293">R63/100000</f>
        <v>-59453.89092732063</v>
      </c>
      <c r="T63">
        <f t="shared" ref="T63" si="294">S63/1000</f>
        <v>-59.453890927320629</v>
      </c>
    </row>
    <row r="64" spans="1:20" x14ac:dyDescent="0.25">
      <c r="A64" s="5">
        <v>44529</v>
      </c>
      <c r="B64">
        <v>0.11128</v>
      </c>
      <c r="C64">
        <v>0.11345</v>
      </c>
      <c r="D64">
        <v>0.10753</v>
      </c>
      <c r="E64">
        <v>0.11297</v>
      </c>
      <c r="F64">
        <v>236982730</v>
      </c>
      <c r="G64">
        <v>0.11297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0.83783783783783961</v>
      </c>
      <c r="Q64">
        <f t="shared" ref="Q64" si="296">F64*P64</f>
        <v>198553098.10810852</v>
      </c>
      <c r="R64">
        <f t="shared" ref="R64" si="297">R65+Q64</f>
        <v>-5840123425.0189829</v>
      </c>
      <c r="S64">
        <f t="shared" ref="S64" si="298">R64/100000</f>
        <v>-58401.234250189831</v>
      </c>
      <c r="T64">
        <f t="shared" ref="T64" si="299">S64/1000</f>
        <v>-58.40123425018983</v>
      </c>
    </row>
    <row r="65" spans="1:20" x14ac:dyDescent="0.25">
      <c r="A65" s="5">
        <v>44528</v>
      </c>
      <c r="B65">
        <v>0.11073</v>
      </c>
      <c r="C65">
        <v>0.11445</v>
      </c>
      <c r="D65">
        <v>0.10081</v>
      </c>
      <c r="E65">
        <v>0.11143</v>
      </c>
      <c r="F65">
        <v>266213542.80000001</v>
      </c>
      <c r="G65">
        <v>0.11143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0.55718475073313856</v>
      </c>
      <c r="Q65">
        <f t="shared" ref="Q65" si="301">F65*P65</f>
        <v>148330126.48680371</v>
      </c>
      <c r="R65">
        <f t="shared" ref="R65" si="302">R66+Q65</f>
        <v>-6038676523.1270914</v>
      </c>
      <c r="S65">
        <f t="shared" ref="S65" si="303">R65/100000</f>
        <v>-60386.765231270911</v>
      </c>
      <c r="T65">
        <f t="shared" ref="T65" si="304">S65/1000</f>
        <v>-60.386765231270914</v>
      </c>
    </row>
    <row r="66" spans="1:20" x14ac:dyDescent="0.25">
      <c r="A66" s="5">
        <v>44527</v>
      </c>
      <c r="B66">
        <v>0.11031000000000001</v>
      </c>
      <c r="C66">
        <v>0.12161</v>
      </c>
      <c r="D66">
        <v>0.10775</v>
      </c>
      <c r="E66">
        <v>0.11074000000000001</v>
      </c>
      <c r="F66">
        <v>367760411.39999998</v>
      </c>
      <c r="G66">
        <v>0.11074000000000001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-0.56854256854256746</v>
      </c>
      <c r="Q66">
        <f t="shared" ref="Q66" si="306">F66*P66</f>
        <v>-209087448.90562728</v>
      </c>
      <c r="R66">
        <f t="shared" ref="R66" si="307">R67+Q66</f>
        <v>-6187006649.6138954</v>
      </c>
      <c r="S66">
        <f t="shared" ref="S66" si="308">R66/100000</f>
        <v>-61870.066496138956</v>
      </c>
      <c r="T66">
        <f t="shared" ref="T66" si="309">S66/1000</f>
        <v>-61.870066496138953</v>
      </c>
    </row>
    <row r="67" spans="1:20" x14ac:dyDescent="0.25">
      <c r="A67" s="5">
        <v>44526</v>
      </c>
      <c r="B67">
        <v>0.12562000000000001</v>
      </c>
      <c r="C67">
        <v>0.12637999999999999</v>
      </c>
      <c r="D67">
        <v>0.10199999999999999</v>
      </c>
      <c r="E67">
        <v>0.11032</v>
      </c>
      <c r="F67">
        <v>545075908.5</v>
      </c>
      <c r="G67">
        <v>0.11032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-0.31747333880229628</v>
      </c>
      <c r="Q67">
        <f t="shared" ref="Q67" si="311">F67*P67</f>
        <v>-173047068.57218996</v>
      </c>
      <c r="R67">
        <f t="shared" ref="R67" si="312">R68+Q67</f>
        <v>-5977919200.7082682</v>
      </c>
      <c r="S67">
        <f t="shared" ref="S67" si="313">R67/100000</f>
        <v>-59779.192007082682</v>
      </c>
      <c r="T67">
        <f t="shared" ref="T67" si="314">S67/1000</f>
        <v>-59.779192007082685</v>
      </c>
    </row>
    <row r="68" spans="1:20" x14ac:dyDescent="0.25">
      <c r="A68" s="5">
        <v>44525</v>
      </c>
      <c r="B68">
        <v>0.12361</v>
      </c>
      <c r="C68">
        <v>0.13499</v>
      </c>
      <c r="D68">
        <v>0.12266000000000001</v>
      </c>
      <c r="E68">
        <v>0.12562999999999999</v>
      </c>
      <c r="F68">
        <v>475639909.80000001</v>
      </c>
      <c r="G68">
        <v>0.12562999999999999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-0.51824817518248367</v>
      </c>
      <c r="Q68">
        <f t="shared" ref="Q68" si="316">F68*P68</f>
        <v>-246499515.29781115</v>
      </c>
      <c r="R68">
        <f t="shared" ref="R68" si="317">R69+Q68</f>
        <v>-5804872132.1360779</v>
      </c>
      <c r="S68">
        <f t="shared" ref="S68" si="318">R68/100000</f>
        <v>-58048.721321360776</v>
      </c>
      <c r="T68">
        <f t="shared" ref="T68" si="319">S68/1000</f>
        <v>-58.048721321360773</v>
      </c>
    </row>
    <row r="69" spans="1:20" x14ac:dyDescent="0.25">
      <c r="A69" s="5">
        <v>44524</v>
      </c>
      <c r="B69">
        <v>0.13433999999999999</v>
      </c>
      <c r="C69">
        <v>0.14013999999999999</v>
      </c>
      <c r="D69">
        <v>0.12543000000000001</v>
      </c>
      <c r="E69">
        <v>0.13727</v>
      </c>
      <c r="F69">
        <v>208636776.30000001</v>
      </c>
      <c r="G69">
        <v>0.13727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0.60978925900747938</v>
      </c>
      <c r="Q69">
        <f t="shared" ref="Q69" si="321">F69*P69</f>
        <v>127224465.22168624</v>
      </c>
      <c r="R69">
        <f t="shared" ref="R69" si="322">R70+Q69</f>
        <v>-5558372616.8382664</v>
      </c>
      <c r="S69">
        <f t="shared" ref="S69" si="323">R69/100000</f>
        <v>-55583.726168382665</v>
      </c>
      <c r="T69">
        <f t="shared" ref="T69" si="324">S69/1000</f>
        <v>-55.583726168382668</v>
      </c>
    </row>
    <row r="70" spans="1:20" x14ac:dyDescent="0.25">
      <c r="A70" s="5">
        <v>44523</v>
      </c>
      <c r="B70">
        <v>0.12905</v>
      </c>
      <c r="C70">
        <v>0.13705000000000001</v>
      </c>
      <c r="D70">
        <v>0.12131</v>
      </c>
      <c r="E70">
        <v>0.13424</v>
      </c>
      <c r="F70">
        <v>699601607.89999998</v>
      </c>
      <c r="G70">
        <v>0.13424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0.64294790343074892</v>
      </c>
      <c r="Q70">
        <f t="shared" ref="Q70" si="326">F70*P70</f>
        <v>449807387.03608584</v>
      </c>
      <c r="R70">
        <f t="shared" ref="R70" si="327">R71+Q70</f>
        <v>-5685597082.0599527</v>
      </c>
      <c r="S70">
        <f t="shared" ref="S70" si="328">R70/100000</f>
        <v>-56855.970820599527</v>
      </c>
      <c r="T70">
        <f t="shared" ref="T70" si="329">S70/1000</f>
        <v>-56.855970820599524</v>
      </c>
    </row>
    <row r="71" spans="1:20" x14ac:dyDescent="0.25">
      <c r="A71" s="5">
        <v>44522</v>
      </c>
      <c r="B71">
        <v>0.14571000000000001</v>
      </c>
      <c r="C71">
        <v>0.1678</v>
      </c>
      <c r="D71">
        <v>0.12686</v>
      </c>
      <c r="E71">
        <v>0.129</v>
      </c>
      <c r="F71">
        <v>1393442064.9000001</v>
      </c>
      <c r="G71">
        <v>0.129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-0.8954567659990228</v>
      </c>
      <c r="Q71">
        <f t="shared" ref="Q71" si="331">F71*P71</f>
        <v>-1247767125.0423546</v>
      </c>
      <c r="R71">
        <f t="shared" ref="R71" si="332">R72+Q71</f>
        <v>-6135404469.0960388</v>
      </c>
      <c r="S71">
        <f t="shared" ref="S71" si="333">R71/100000</f>
        <v>-61354.044690960385</v>
      </c>
      <c r="T71">
        <f t="shared" ref="T71" si="334">S71/1000</f>
        <v>-61.354044690960386</v>
      </c>
    </row>
    <row r="72" spans="1:20" x14ac:dyDescent="0.25">
      <c r="A72" s="5">
        <v>44521</v>
      </c>
      <c r="B72">
        <v>0.11865000000000001</v>
      </c>
      <c r="C72">
        <v>0.17</v>
      </c>
      <c r="D72">
        <v>0.11708</v>
      </c>
      <c r="E72">
        <v>0.14560999999999999</v>
      </c>
      <c r="F72">
        <v>1787926534.5</v>
      </c>
      <c r="G72">
        <v>0.14560999999999999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7.8231292517006099E-2</v>
      </c>
      <c r="Q72">
        <f t="shared" ref="Q72" si="336">F72*P72</f>
        <v>139871803.71938649</v>
      </c>
      <c r="R72">
        <f t="shared" ref="R72" si="337">R73+Q72</f>
        <v>-4887637344.0536842</v>
      </c>
      <c r="S72">
        <f t="shared" ref="S72" si="338">R72/100000</f>
        <v>-48876.373440536845</v>
      </c>
      <c r="T72">
        <f t="shared" ref="T72" si="339">S72/1000</f>
        <v>-48.876373440536845</v>
      </c>
    </row>
    <row r="73" spans="1:20" x14ac:dyDescent="0.25">
      <c r="A73" s="5">
        <v>44520</v>
      </c>
      <c r="B73">
        <v>0.10986</v>
      </c>
      <c r="C73">
        <v>0.12212000000000001</v>
      </c>
      <c r="D73">
        <v>0.10884000000000001</v>
      </c>
      <c r="E73">
        <v>0.11862</v>
      </c>
      <c r="F73">
        <v>473861447.60000002</v>
      </c>
      <c r="G73">
        <v>0.11862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0.47289156626505979</v>
      </c>
      <c r="Q73">
        <f t="shared" ref="Q73" si="341">F73*P73</f>
        <v>224085082.14819258</v>
      </c>
      <c r="R73">
        <f t="shared" ref="R73" si="342">R74+Q73</f>
        <v>-5027509147.7730703</v>
      </c>
      <c r="S73">
        <f t="shared" ref="S73" si="343">R73/100000</f>
        <v>-50275.091477730704</v>
      </c>
      <c r="T73">
        <f t="shared" ref="T73" si="344">S73/1000</f>
        <v>-50.275091477730705</v>
      </c>
    </row>
    <row r="74" spans="1:20" x14ac:dyDescent="0.25">
      <c r="A74" s="5">
        <v>44519</v>
      </c>
      <c r="B74">
        <v>0.10675</v>
      </c>
      <c r="C74">
        <v>0.1147</v>
      </c>
      <c r="D74">
        <v>0.10327</v>
      </c>
      <c r="E74">
        <v>0.10986</v>
      </c>
      <c r="F74">
        <v>310609833.5</v>
      </c>
      <c r="G74">
        <v>0.10986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0.15310586176727928</v>
      </c>
      <c r="Q74">
        <f t="shared" ref="Q74" si="346">F74*P74</f>
        <v>47556186.231408633</v>
      </c>
      <c r="R74">
        <f t="shared" ref="R74" si="347">R75+Q74</f>
        <v>-5251594229.9212627</v>
      </c>
      <c r="S74">
        <f t="shared" ref="S74" si="348">R74/100000</f>
        <v>-52515.942299212627</v>
      </c>
      <c r="T74">
        <f t="shared" ref="T74" si="349">S74/1000</f>
        <v>-52.515942299212625</v>
      </c>
    </row>
    <row r="75" spans="1:20" x14ac:dyDescent="0.25">
      <c r="A75" s="5">
        <v>44518</v>
      </c>
      <c r="B75">
        <v>0.11656</v>
      </c>
      <c r="C75">
        <v>0.12964999999999999</v>
      </c>
      <c r="D75">
        <v>0.10068000000000001</v>
      </c>
      <c r="E75">
        <v>0.10672</v>
      </c>
      <c r="F75">
        <v>903303225.70000005</v>
      </c>
      <c r="G75">
        <v>0.10672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-0.58301691404901668</v>
      </c>
      <c r="Q75">
        <f t="shared" ref="Q75" si="351">F75*P75</f>
        <v>-526641059.09813643</v>
      </c>
      <c r="R75">
        <f t="shared" ref="R75" si="352">R76+Q75</f>
        <v>-5299150416.1526718</v>
      </c>
      <c r="S75">
        <f t="shared" ref="S75" si="353">R75/100000</f>
        <v>-52991.504161526718</v>
      </c>
      <c r="T75">
        <f t="shared" ref="T75" si="354">S75/1000</f>
        <v>-52.99150416152672</v>
      </c>
    </row>
    <row r="76" spans="1:20" x14ac:dyDescent="0.25">
      <c r="A76" s="5">
        <v>44517</v>
      </c>
      <c r="B76">
        <v>0.10428</v>
      </c>
      <c r="C76">
        <v>0.11706</v>
      </c>
      <c r="D76">
        <v>0.10036</v>
      </c>
      <c r="E76">
        <v>0.11665</v>
      </c>
      <c r="F76">
        <v>463508789.19999999</v>
      </c>
      <c r="G76">
        <v>0.11665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0.95089820359281507</v>
      </c>
      <c r="Q76">
        <f t="shared" ref="Q76" si="356">F76*P76</f>
        <v>440749674.99976081</v>
      </c>
      <c r="R76">
        <f t="shared" ref="R76" si="357">R77+Q76</f>
        <v>-4772509357.0545359</v>
      </c>
      <c r="S76">
        <f t="shared" ref="S76" si="358">R76/100000</f>
        <v>-47725.093570545359</v>
      </c>
      <c r="T76">
        <f t="shared" ref="T76" si="359">S76/1000</f>
        <v>-47.725093570545361</v>
      </c>
    </row>
    <row r="77" spans="1:20" x14ac:dyDescent="0.25">
      <c r="A77" s="5">
        <v>44516</v>
      </c>
      <c r="B77">
        <v>0.11848</v>
      </c>
      <c r="C77">
        <v>0.11849</v>
      </c>
      <c r="D77">
        <v>9.6280000000000004E-2</v>
      </c>
      <c r="E77">
        <v>0.10426000000000001</v>
      </c>
      <c r="F77">
        <v>445738569.69999999</v>
      </c>
      <c r="G77">
        <v>0.10426000000000001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-0.2814047726249434</v>
      </c>
      <c r="Q77">
        <f t="shared" ref="Q77" si="361">F77*P77</f>
        <v>-125432960.85659598</v>
      </c>
      <c r="R77">
        <f t="shared" ref="R77" si="362">R78+Q77</f>
        <v>-5213259032.0542965</v>
      </c>
      <c r="S77">
        <f t="shared" ref="S77" si="363">R77/100000</f>
        <v>-52132.590320542964</v>
      </c>
      <c r="T77">
        <f t="shared" ref="T77" si="364">S77/1000</f>
        <v>-52.132590320542967</v>
      </c>
    </row>
    <row r="78" spans="1:20" x14ac:dyDescent="0.25">
      <c r="A78" s="5">
        <v>44515</v>
      </c>
      <c r="B78">
        <v>0.12071999999999999</v>
      </c>
      <c r="C78">
        <v>0.1237</v>
      </c>
      <c r="D78">
        <v>0.11645</v>
      </c>
      <c r="E78">
        <v>0.11841</v>
      </c>
      <c r="F78">
        <v>227191539.09999999</v>
      </c>
      <c r="G78">
        <v>0.11841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-0.45931034482758576</v>
      </c>
      <c r="Q78">
        <f t="shared" ref="Q78" si="366">F78*P78</f>
        <v>-104351424.16593093</v>
      </c>
      <c r="R78">
        <f t="shared" ref="R78" si="367">R79+Q78</f>
        <v>-5087826071.1977005</v>
      </c>
      <c r="S78">
        <f t="shared" ref="S78" si="368">R78/100000</f>
        <v>-50878.260711977004</v>
      </c>
      <c r="T78">
        <f t="shared" ref="T78" si="369">S78/1000</f>
        <v>-50.878260711977006</v>
      </c>
    </row>
    <row r="79" spans="1:20" x14ac:dyDescent="0.25">
      <c r="A79" s="5">
        <v>44514</v>
      </c>
      <c r="B79">
        <v>0.11804000000000001</v>
      </c>
      <c r="C79">
        <v>0.123</v>
      </c>
      <c r="D79">
        <v>0.11552</v>
      </c>
      <c r="E79">
        <v>0.12073</v>
      </c>
      <c r="F79">
        <v>218747705.09999999</v>
      </c>
      <c r="G79">
        <v>0.12073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0.39304812834224756</v>
      </c>
      <c r="Q79">
        <f t="shared" ref="Q79" si="371">F79*P79</f>
        <v>85978376.068716913</v>
      </c>
      <c r="R79">
        <f t="shared" ref="R79" si="372">R80+Q79</f>
        <v>-4983474647.0317698</v>
      </c>
      <c r="S79">
        <f t="shared" ref="S79" si="373">R79/100000</f>
        <v>-49834.746470317696</v>
      </c>
      <c r="T79">
        <f t="shared" ref="T79" si="374">S79/1000</f>
        <v>-49.834746470317697</v>
      </c>
    </row>
    <row r="80" spans="1:20" x14ac:dyDescent="0.25">
      <c r="A80" s="5">
        <v>44513</v>
      </c>
      <c r="B80">
        <v>0.11838</v>
      </c>
      <c r="C80">
        <v>0.12592</v>
      </c>
      <c r="D80">
        <v>0.11659</v>
      </c>
      <c r="E80">
        <v>0.11803</v>
      </c>
      <c r="F80">
        <v>224747778.19999999</v>
      </c>
      <c r="G80">
        <v>0.11803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-0.69131832797427739</v>
      </c>
      <c r="Q80">
        <f t="shared" ref="Q80" si="376">F80*P80</f>
        <v>-155372258.24115774</v>
      </c>
      <c r="R80">
        <f t="shared" ref="R80" si="377">R81+Q80</f>
        <v>-5069453023.1004868</v>
      </c>
      <c r="S80">
        <f t="shared" ref="S80" si="378">R80/100000</f>
        <v>-50694.530231004865</v>
      </c>
      <c r="T80">
        <f t="shared" ref="T80" si="379">S80/1000</f>
        <v>-50.694530231004862</v>
      </c>
    </row>
    <row r="81" spans="1:20" x14ac:dyDescent="0.25">
      <c r="A81" s="5">
        <v>44512</v>
      </c>
      <c r="B81">
        <v>0.12823000000000001</v>
      </c>
      <c r="C81">
        <v>0.12898000000000001</v>
      </c>
      <c r="D81">
        <v>0.11354</v>
      </c>
      <c r="E81">
        <v>0.11838</v>
      </c>
      <c r="F81">
        <v>431450805.5</v>
      </c>
      <c r="G81">
        <v>0.11838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-0.37305699481865362</v>
      </c>
      <c r="Q81">
        <f t="shared" ref="Q81" si="381">F81*P81</f>
        <v>-160955740.91191742</v>
      </c>
      <c r="R81">
        <f t="shared" ref="R81" si="382">R82+Q81</f>
        <v>-4914080764.8593292</v>
      </c>
      <c r="S81">
        <f t="shared" ref="S81" si="383">R81/100000</f>
        <v>-49140.807648593291</v>
      </c>
      <c r="T81">
        <f t="shared" ref="T81" si="384">S81/1000</f>
        <v>-49.140807648593288</v>
      </c>
    </row>
    <row r="82" spans="1:20" x14ac:dyDescent="0.25">
      <c r="A82" s="5">
        <v>44511</v>
      </c>
      <c r="B82">
        <v>0.13472000000000001</v>
      </c>
      <c r="C82">
        <v>0.14099999999999999</v>
      </c>
      <c r="D82">
        <v>0.12169000000000001</v>
      </c>
      <c r="E82">
        <v>0.12839999999999999</v>
      </c>
      <c r="F82">
        <v>767971726.70000005</v>
      </c>
      <c r="G82">
        <v>0.12839999999999999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-0.30502330398757255</v>
      </c>
      <c r="Q82">
        <f t="shared" ref="Q82" si="386">F82*P82</f>
        <v>-234249273.4470751</v>
      </c>
      <c r="R82">
        <f t="shared" ref="R82" si="387">R83+Q82</f>
        <v>-4753125023.9474115</v>
      </c>
      <c r="S82">
        <f t="shared" ref="S82" si="388">R82/100000</f>
        <v>-47531.250239474117</v>
      </c>
      <c r="T82">
        <f t="shared" ref="T82" si="389">S82/1000</f>
        <v>-47.531250239474119</v>
      </c>
    </row>
    <row r="83" spans="1:20" x14ac:dyDescent="0.25">
      <c r="A83" s="5">
        <v>44510</v>
      </c>
      <c r="B83">
        <v>0.11613999999999999</v>
      </c>
      <c r="C83">
        <v>0.14463999999999999</v>
      </c>
      <c r="D83">
        <v>0.11501</v>
      </c>
      <c r="E83">
        <v>0.13475000000000001</v>
      </c>
      <c r="F83">
        <v>1339882391.5999999</v>
      </c>
      <c r="G83">
        <v>0.13475000000000001</v>
      </c>
      <c r="L83" t="s">
        <v>8</v>
      </c>
      <c r="M83" t="s">
        <v>8</v>
      </c>
      <c r="N83" t="s">
        <v>7</v>
      </c>
      <c r="P83">
        <f t="shared" ref="P83" si="390">IF(C83=D83,0,((E83-D83)-(C83-E83))/(C83-D83))</f>
        <v>0.33243334458319368</v>
      </c>
      <c r="Q83">
        <f t="shared" ref="Q83" si="391">F83*P83</f>
        <v>445421584.78771645</v>
      </c>
      <c r="R83">
        <f t="shared" ref="R83" si="392">R84+Q83</f>
        <v>-4518875750.5003366</v>
      </c>
      <c r="S83">
        <f t="shared" ref="S83" si="393">R83/100000</f>
        <v>-45188.757505003363</v>
      </c>
      <c r="T83">
        <f t="shared" ref="T83" si="394">S83/1000</f>
        <v>-45.188757505003366</v>
      </c>
    </row>
    <row r="84" spans="1:20" x14ac:dyDescent="0.25">
      <c r="A84" s="5">
        <v>44509</v>
      </c>
      <c r="B84">
        <v>0.11285000000000001</v>
      </c>
      <c r="C84">
        <v>0.12289</v>
      </c>
      <c r="D84">
        <v>0.11173</v>
      </c>
      <c r="E84">
        <v>0.11607000000000001</v>
      </c>
      <c r="F84">
        <v>442044584.69999999</v>
      </c>
      <c r="G84">
        <v>0.11607000000000001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-0.22222222222222057</v>
      </c>
      <c r="Q84">
        <f t="shared" ref="Q84" si="396">F84*P84</f>
        <v>-98232129.933332607</v>
      </c>
      <c r="R84">
        <f t="shared" ref="R84" si="397">R85+Q84</f>
        <v>-4964297335.2880535</v>
      </c>
      <c r="S84">
        <f t="shared" ref="S84" si="398">R84/100000</f>
        <v>-49642.973352880537</v>
      </c>
      <c r="T84">
        <f t="shared" ref="T84" si="399">S84/1000</f>
        <v>-49.642973352880539</v>
      </c>
    </row>
    <row r="85" spans="1:20" x14ac:dyDescent="0.25">
      <c r="A85" s="5">
        <v>44508</v>
      </c>
      <c r="B85">
        <v>0.11337999999999999</v>
      </c>
      <c r="C85">
        <v>0.11701</v>
      </c>
      <c r="D85">
        <v>0.11020000000000001</v>
      </c>
      <c r="E85">
        <v>0.11285000000000001</v>
      </c>
      <c r="F85">
        <v>290312683.39999998</v>
      </c>
      <c r="G85">
        <v>0.11285000000000001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-0.22173274596182058</v>
      </c>
      <c r="Q85">
        <f t="shared" ref="Q85" si="401">F85*P85</f>
        <v>-64371828.47782664</v>
      </c>
      <c r="R85">
        <f t="shared" ref="R85" si="402">R86+Q85</f>
        <v>-4866065205.3547211</v>
      </c>
      <c r="S85">
        <f t="shared" ref="S85" si="403">R85/100000</f>
        <v>-48660.652053547208</v>
      </c>
      <c r="T85">
        <f t="shared" ref="T85" si="404">S85/1000</f>
        <v>-48.66065205354721</v>
      </c>
    </row>
    <row r="86" spans="1:20" x14ac:dyDescent="0.25">
      <c r="A86" s="5">
        <v>44507</v>
      </c>
      <c r="B86">
        <v>0.11234</v>
      </c>
      <c r="C86">
        <v>0.11489000000000001</v>
      </c>
      <c r="D86">
        <v>0.11118</v>
      </c>
      <c r="E86">
        <v>0.11337</v>
      </c>
      <c r="F86">
        <v>239545373.09999999</v>
      </c>
      <c r="G86">
        <v>0.11337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0.1805929919137437</v>
      </c>
      <c r="Q86">
        <f t="shared" ref="Q86" si="406">F86*P86</f>
        <v>43260215.627223015</v>
      </c>
      <c r="R86">
        <f t="shared" ref="R86" si="407">R87+Q86</f>
        <v>-4801693376.876894</v>
      </c>
      <c r="S86">
        <f t="shared" ref="S86" si="408">R86/100000</f>
        <v>-48016.93376876894</v>
      </c>
      <c r="T86">
        <f t="shared" ref="T86" si="409">S86/1000</f>
        <v>-48.016933768768943</v>
      </c>
    </row>
    <row r="87" spans="1:20" x14ac:dyDescent="0.25">
      <c r="A87" s="5">
        <v>44506</v>
      </c>
      <c r="B87">
        <v>0.11806</v>
      </c>
      <c r="C87">
        <v>0.12</v>
      </c>
      <c r="D87">
        <v>0.10777</v>
      </c>
      <c r="E87">
        <v>0.11233</v>
      </c>
      <c r="F87">
        <v>249414549.30000001</v>
      </c>
      <c r="G87">
        <v>0.11233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-0.25429272281275583</v>
      </c>
      <c r="Q87">
        <f t="shared" ref="Q87" si="411">F87*P87</f>
        <v>-63424304.850613326</v>
      </c>
      <c r="R87">
        <f t="shared" ref="R87" si="412">R88+Q87</f>
        <v>-4844953592.504117</v>
      </c>
      <c r="S87">
        <f t="shared" ref="S87" si="413">R87/100000</f>
        <v>-48449.535925041171</v>
      </c>
      <c r="T87">
        <f t="shared" ref="T87" si="414">S87/1000</f>
        <v>-48.449535925041168</v>
      </c>
    </row>
    <row r="88" spans="1:20" x14ac:dyDescent="0.25">
      <c r="A88" s="5">
        <v>44505</v>
      </c>
      <c r="B88">
        <v>0.11465</v>
      </c>
      <c r="C88">
        <v>0.121</v>
      </c>
      <c r="D88">
        <v>0.10759000000000001</v>
      </c>
      <c r="E88">
        <v>0.11803</v>
      </c>
      <c r="F88">
        <v>292965888.30000001</v>
      </c>
      <c r="G88">
        <v>0.11803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0.55704697986577145</v>
      </c>
      <c r="Q88">
        <f t="shared" ref="Q88" si="416">F88*P88</f>
        <v>163195763.28120795</v>
      </c>
      <c r="R88">
        <f t="shared" ref="R88" si="417">R89+Q88</f>
        <v>-4781529287.6535034</v>
      </c>
      <c r="S88">
        <f t="shared" ref="S88" si="418">R88/100000</f>
        <v>-47815.292876535037</v>
      </c>
      <c r="T88">
        <f t="shared" ref="T88" si="419">S88/1000</f>
        <v>-47.81529287653504</v>
      </c>
    </row>
    <row r="89" spans="1:20" x14ac:dyDescent="0.25">
      <c r="A89" s="5">
        <v>44504</v>
      </c>
      <c r="B89">
        <v>0.12028999999999999</v>
      </c>
      <c r="C89">
        <v>0.12123</v>
      </c>
      <c r="D89">
        <v>0.1116</v>
      </c>
      <c r="E89">
        <v>0.11459999999999999</v>
      </c>
      <c r="F89">
        <v>288235413.39999998</v>
      </c>
      <c r="G89">
        <v>0.11459999999999999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-0.37694704049844469</v>
      </c>
      <c r="Q89">
        <f t="shared" ref="Q89" si="421">F89*P89</f>
        <v>-108649486.04797573</v>
      </c>
      <c r="R89">
        <f t="shared" ref="R89" si="422">R90+Q89</f>
        <v>-4944725050.9347115</v>
      </c>
      <c r="S89">
        <f t="shared" ref="S89" si="423">R89/100000</f>
        <v>-49447.250509347112</v>
      </c>
      <c r="T89">
        <f t="shared" ref="T89" si="424">S89/1000</f>
        <v>-49.447250509347114</v>
      </c>
    </row>
    <row r="90" spans="1:20" x14ac:dyDescent="0.25">
      <c r="A90" s="5">
        <v>44503</v>
      </c>
      <c r="B90">
        <v>0.12317</v>
      </c>
      <c r="C90">
        <v>0.12363</v>
      </c>
      <c r="D90">
        <v>0.11564000000000001</v>
      </c>
      <c r="E90">
        <v>0.12021</v>
      </c>
      <c r="F90">
        <v>279029604</v>
      </c>
      <c r="G90">
        <v>0.12021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0.14392991239048619</v>
      </c>
      <c r="Q90">
        <f t="shared" ref="Q90" si="426">F90*P90</f>
        <v>40160706.458072059</v>
      </c>
      <c r="R90">
        <f t="shared" ref="R90" si="427">R91+Q90</f>
        <v>-4836075564.8867359</v>
      </c>
      <c r="S90">
        <f t="shared" ref="S90" si="428">R90/100000</f>
        <v>-48360.755648867358</v>
      </c>
      <c r="T90">
        <f t="shared" ref="T90" si="429">S90/1000</f>
        <v>-48.360755648867361</v>
      </c>
    </row>
    <row r="91" spans="1:20" x14ac:dyDescent="0.25">
      <c r="A91" s="5">
        <v>44502</v>
      </c>
      <c r="B91">
        <v>0.12044000000000001</v>
      </c>
      <c r="C91">
        <v>0.12679000000000001</v>
      </c>
      <c r="D91">
        <v>0.11912</v>
      </c>
      <c r="E91">
        <v>0.12307</v>
      </c>
      <c r="F91">
        <v>271216078.69999999</v>
      </c>
      <c r="G91">
        <v>0.12307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2.9986962190349402E-2</v>
      </c>
      <c r="Q91">
        <f t="shared" ref="Q91" si="431">F91*P91</f>
        <v>8132946.2973917276</v>
      </c>
      <c r="R91">
        <f t="shared" ref="R91" si="432">R92+Q91</f>
        <v>-4876236271.3448076</v>
      </c>
      <c r="S91">
        <f t="shared" ref="S91" si="433">R91/100000</f>
        <v>-48762.362713448078</v>
      </c>
      <c r="T91">
        <f t="shared" ref="T91" si="434">S91/1000</f>
        <v>-48.762362713448077</v>
      </c>
    </row>
    <row r="92" spans="1:20" x14ac:dyDescent="0.25">
      <c r="A92" s="5">
        <v>44501</v>
      </c>
      <c r="B92">
        <v>0.12202</v>
      </c>
      <c r="C92">
        <v>0.12654000000000001</v>
      </c>
      <c r="D92">
        <v>0.11595</v>
      </c>
      <c r="E92">
        <v>0.12044000000000001</v>
      </c>
      <c r="F92">
        <v>259114116.80000001</v>
      </c>
      <c r="G92">
        <v>0.12044000000000001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-0.15203021718602436</v>
      </c>
      <c r="Q92">
        <f t="shared" ref="Q92" si="436">F92*P92</f>
        <v>-39393175.453068882</v>
      </c>
      <c r="R92">
        <f t="shared" ref="R92" si="437">R93+Q92</f>
        <v>-4884369217.6421995</v>
      </c>
      <c r="S92">
        <f t="shared" ref="S92" si="438">R92/100000</f>
        <v>-48843.692176421995</v>
      </c>
      <c r="T92">
        <f t="shared" ref="T92" si="439">S92/1000</f>
        <v>-48.843692176421996</v>
      </c>
    </row>
    <row r="93" spans="1:20" x14ac:dyDescent="0.25">
      <c r="A93" s="5">
        <v>44500</v>
      </c>
      <c r="B93">
        <v>0.12003</v>
      </c>
      <c r="C93">
        <v>0.12275</v>
      </c>
      <c r="D93">
        <v>0.11201</v>
      </c>
      <c r="E93">
        <v>0.12188</v>
      </c>
      <c r="F93">
        <v>286654108.30000001</v>
      </c>
      <c r="G93">
        <v>0.12188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0.83798882681564324</v>
      </c>
      <c r="Q93">
        <f t="shared" ref="Q93" si="441">F93*P93</f>
        <v>240212939.91620135</v>
      </c>
      <c r="R93">
        <f t="shared" ref="R93" si="442">R94+Q93</f>
        <v>-4844976042.1891308</v>
      </c>
      <c r="S93">
        <f t="shared" ref="S93" si="443">R93/100000</f>
        <v>-48449.760421891311</v>
      </c>
      <c r="T93">
        <f t="shared" ref="T93" si="444">S93/1000</f>
        <v>-48.449760421891312</v>
      </c>
    </row>
    <row r="94" spans="1:20" x14ac:dyDescent="0.25">
      <c r="A94" s="5">
        <v>44499</v>
      </c>
      <c r="B94">
        <v>0.12584999999999999</v>
      </c>
      <c r="C94">
        <v>0.12892000000000001</v>
      </c>
      <c r="D94">
        <v>0.11539000000000001</v>
      </c>
      <c r="E94">
        <v>0.12012</v>
      </c>
      <c r="F94">
        <v>296312964.10000002</v>
      </c>
      <c r="G94">
        <v>0.12012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-0.3008130081300816</v>
      </c>
      <c r="Q94">
        <f t="shared" ref="Q94" si="446">F94*P94</f>
        <v>-89134794.078861892</v>
      </c>
      <c r="R94">
        <f t="shared" ref="R94" si="447">R95+Q94</f>
        <v>-5085188982.1053324</v>
      </c>
      <c r="S94">
        <f t="shared" ref="S94" si="448">R94/100000</f>
        <v>-50851.889821053323</v>
      </c>
      <c r="T94">
        <f t="shared" ref="T94" si="449">S94/1000</f>
        <v>-50.851889821053319</v>
      </c>
    </row>
    <row r="95" spans="1:20" x14ac:dyDescent="0.25">
      <c r="A95" s="5">
        <v>44498</v>
      </c>
      <c r="B95">
        <v>0.12503</v>
      </c>
      <c r="C95">
        <v>0.13236000000000001</v>
      </c>
      <c r="D95">
        <v>0.12345</v>
      </c>
      <c r="E95">
        <v>0.12576999999999999</v>
      </c>
      <c r="F95">
        <v>314976978.19999999</v>
      </c>
      <c r="G95">
        <v>0.12576999999999999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-0.4792368125701485</v>
      </c>
      <c r="Q95">
        <f t="shared" ref="Q95" si="451">F95*P95</f>
        <v>-150948563.06554514</v>
      </c>
      <c r="R95">
        <f t="shared" ref="R95" si="452">R96+Q95</f>
        <v>-4996054188.0264702</v>
      </c>
      <c r="S95">
        <f t="shared" ref="S95" si="453">R95/100000</f>
        <v>-49960.541880264704</v>
      </c>
      <c r="T95">
        <f t="shared" ref="T95" si="454">S95/1000</f>
        <v>-49.960541880264707</v>
      </c>
    </row>
    <row r="96" spans="1:20" x14ac:dyDescent="0.25">
      <c r="A96" s="5">
        <v>44497</v>
      </c>
      <c r="B96">
        <v>0.12257999999999999</v>
      </c>
      <c r="C96">
        <v>0.13167999999999999</v>
      </c>
      <c r="D96">
        <v>0.12106</v>
      </c>
      <c r="E96">
        <v>0.12501000000000001</v>
      </c>
      <c r="F96">
        <v>429819632.60000002</v>
      </c>
      <c r="G96">
        <v>0.12501000000000001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-0.25612052730696561</v>
      </c>
      <c r="Q96">
        <f t="shared" ref="Q96" si="456">F96*P96</f>
        <v>-110085630.94839823</v>
      </c>
      <c r="R96">
        <f t="shared" ref="R96" si="457">R97+Q96</f>
        <v>-4845105624.9609251</v>
      </c>
      <c r="S96">
        <f t="shared" ref="S96" si="458">R96/100000</f>
        <v>-48451.056249609253</v>
      </c>
      <c r="T96">
        <f t="shared" ref="T96" si="459">S96/1000</f>
        <v>-48.451056249609252</v>
      </c>
    </row>
    <row r="97" spans="1:20" x14ac:dyDescent="0.25">
      <c r="A97" s="5">
        <v>44496</v>
      </c>
      <c r="B97">
        <v>0.14649000000000001</v>
      </c>
      <c r="C97">
        <v>0.15145</v>
      </c>
      <c r="D97">
        <v>0.11495</v>
      </c>
      <c r="E97">
        <v>0.12265</v>
      </c>
      <c r="F97">
        <v>612170576.20000005</v>
      </c>
      <c r="G97">
        <v>0.12265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-0.5780821917808221</v>
      </c>
      <c r="Q97">
        <f t="shared" ref="Q97" si="461">F97*P97</f>
        <v>-353884908.43342477</v>
      </c>
      <c r="R97">
        <f t="shared" ref="R97" si="462">R98+Q97</f>
        <v>-4735019994.0125265</v>
      </c>
      <c r="S97">
        <f t="shared" ref="S97" si="463">R97/100000</f>
        <v>-47350.199940125261</v>
      </c>
      <c r="T97">
        <f t="shared" ref="T97" si="464">S97/1000</f>
        <v>-47.350199940125265</v>
      </c>
    </row>
    <row r="98" spans="1:20" x14ac:dyDescent="0.25">
      <c r="A98" s="5">
        <v>44495</v>
      </c>
      <c r="B98">
        <v>0.14460999999999999</v>
      </c>
      <c r="C98">
        <v>0.16274</v>
      </c>
      <c r="D98">
        <v>0.14349999999999999</v>
      </c>
      <c r="E98">
        <v>0.14632000000000001</v>
      </c>
      <c r="F98">
        <v>705964675.5</v>
      </c>
      <c r="G98">
        <v>0.14632000000000001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-0.70686070686070523</v>
      </c>
      <c r="Q98">
        <f t="shared" ref="Q98" si="466">F98*P98</f>
        <v>-499018689.54261839</v>
      </c>
      <c r="R98">
        <f t="shared" ref="R98" si="467">R99+Q98</f>
        <v>-4381135085.5791016</v>
      </c>
      <c r="S98">
        <f t="shared" ref="S98" si="468">R98/100000</f>
        <v>-43811.350855791017</v>
      </c>
      <c r="T98">
        <f t="shared" ref="T98" si="469">S98/1000</f>
        <v>-43.811350855791019</v>
      </c>
    </row>
    <row r="99" spans="1:20" x14ac:dyDescent="0.25">
      <c r="A99" s="5">
        <v>44494</v>
      </c>
      <c r="B99">
        <v>0.14002999999999999</v>
      </c>
      <c r="C99">
        <v>0.14749999999999999</v>
      </c>
      <c r="D99">
        <v>0.13800000000000001</v>
      </c>
      <c r="E99">
        <v>0.14462</v>
      </c>
      <c r="F99">
        <v>364398545.80000001</v>
      </c>
      <c r="G99">
        <v>0.14462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0.39368421052631591</v>
      </c>
      <c r="Q99">
        <f t="shared" ref="Q99" si="471">F99*P99</f>
        <v>143457953.82021058</v>
      </c>
      <c r="R99">
        <f t="shared" ref="R99" si="472">R100+Q99</f>
        <v>-3882116396.0364833</v>
      </c>
      <c r="S99">
        <f t="shared" ref="S99" si="473">R99/100000</f>
        <v>-38821.163960364836</v>
      </c>
      <c r="T99">
        <f t="shared" ref="T99" si="474">S99/1000</f>
        <v>-38.821163960364835</v>
      </c>
    </row>
    <row r="100" spans="1:20" x14ac:dyDescent="0.25">
      <c r="A100" s="5">
        <v>44493</v>
      </c>
      <c r="B100">
        <v>0.13650999999999999</v>
      </c>
      <c r="C100">
        <v>0.151</v>
      </c>
      <c r="D100">
        <v>0.13300000000000001</v>
      </c>
      <c r="E100">
        <v>0.14000000000000001</v>
      </c>
      <c r="F100">
        <v>593847271.39999998</v>
      </c>
      <c r="G100">
        <v>0.14000000000000001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-0.22222222222222102</v>
      </c>
      <c r="Q100">
        <f t="shared" ref="Q100" si="476">F100*P100</f>
        <v>-131966060.31111039</v>
      </c>
      <c r="R100">
        <f t="shared" ref="R100" si="477">R101+Q100</f>
        <v>-4025574349.8566937</v>
      </c>
      <c r="S100">
        <f t="shared" ref="S100" si="478">R100/100000</f>
        <v>-40255.743498566939</v>
      </c>
      <c r="T100">
        <f t="shared" ref="T100" si="479">S100/1000</f>
        <v>-40.255743498566936</v>
      </c>
    </row>
    <row r="101" spans="1:20" x14ac:dyDescent="0.25">
      <c r="A101" s="5">
        <v>44492</v>
      </c>
      <c r="B101">
        <v>0.14044000000000001</v>
      </c>
      <c r="C101">
        <v>0.14118</v>
      </c>
      <c r="D101">
        <v>0.13450000000000001</v>
      </c>
      <c r="E101">
        <v>0.13653999999999999</v>
      </c>
      <c r="F101">
        <v>157314848.80000001</v>
      </c>
      <c r="G101">
        <v>0.13653999999999999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-0.38922155688623089</v>
      </c>
      <c r="Q101">
        <f t="shared" ref="Q101" si="481">F101*P101</f>
        <v>-61230330.371258013</v>
      </c>
      <c r="R101">
        <f t="shared" ref="R101" si="482">R102+Q101</f>
        <v>-3893608289.5455832</v>
      </c>
      <c r="S101">
        <f t="shared" ref="S101" si="483">R101/100000</f>
        <v>-38936.082895455831</v>
      </c>
      <c r="T101">
        <f t="shared" ref="T101" si="484">S101/1000</f>
        <v>-38.936082895455833</v>
      </c>
    </row>
    <row r="102" spans="1:20" x14ac:dyDescent="0.25">
      <c r="A102" s="5">
        <v>44491</v>
      </c>
      <c r="B102">
        <v>0.13469</v>
      </c>
      <c r="C102">
        <v>0.14169000000000001</v>
      </c>
      <c r="D102">
        <v>0.13295999999999999</v>
      </c>
      <c r="E102">
        <v>0.14049</v>
      </c>
      <c r="F102">
        <v>212157656.30000001</v>
      </c>
      <c r="G102">
        <v>0.14049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0.72508591065291994</v>
      </c>
      <c r="Q102">
        <f t="shared" ref="Q102" si="486">F102*P102</f>
        <v>153832527.4202747</v>
      </c>
      <c r="R102">
        <f t="shared" ref="R102" si="487">R103+Q102</f>
        <v>-3832377959.1743255</v>
      </c>
      <c r="S102">
        <f t="shared" ref="S102" si="488">R102/100000</f>
        <v>-38323.779591743252</v>
      </c>
      <c r="T102">
        <f t="shared" ref="T102" si="489">S102/1000</f>
        <v>-38.323779591743254</v>
      </c>
    </row>
    <row r="103" spans="1:20" x14ac:dyDescent="0.25">
      <c r="A103" s="5">
        <v>44490</v>
      </c>
      <c r="B103">
        <v>0.13911999999999999</v>
      </c>
      <c r="C103">
        <v>0.14499999999999999</v>
      </c>
      <c r="D103">
        <v>0.13200000000000001</v>
      </c>
      <c r="E103">
        <v>0.13466</v>
      </c>
      <c r="F103">
        <v>278940309.30000001</v>
      </c>
      <c r="G103">
        <v>0.13466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-0.59076923076923094</v>
      </c>
      <c r="Q103">
        <f t="shared" ref="Q103" si="491">F103*P103</f>
        <v>-164789351.95569235</v>
      </c>
      <c r="R103">
        <f t="shared" ref="R103" si="492">R104+Q103</f>
        <v>-3986210486.5946002</v>
      </c>
      <c r="S103">
        <f t="shared" ref="S103" si="493">R103/100000</f>
        <v>-39862.104865945999</v>
      </c>
      <c r="T103">
        <f t="shared" ref="T103" si="494">S103/1000</f>
        <v>-39.862104865946002</v>
      </c>
    </row>
    <row r="104" spans="1:20" x14ac:dyDescent="0.25">
      <c r="A104" s="5">
        <v>44489</v>
      </c>
      <c r="B104">
        <v>0.13678999999999999</v>
      </c>
      <c r="C104">
        <v>0.14227000000000001</v>
      </c>
      <c r="D104">
        <v>0.13367000000000001</v>
      </c>
      <c r="E104">
        <v>0.13911999999999999</v>
      </c>
      <c r="F104">
        <v>269429599.10000002</v>
      </c>
      <c r="G104">
        <v>0.13911999999999999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0.26744186046511276</v>
      </c>
      <c r="Q104">
        <f t="shared" ref="Q104" si="496">F104*P104</f>
        <v>72056753.247673482</v>
      </c>
      <c r="R104">
        <f t="shared" ref="R104" si="497">R105+Q104</f>
        <v>-3821421134.6389079</v>
      </c>
      <c r="S104">
        <f t="shared" ref="S104" si="498">R104/100000</f>
        <v>-38214.211346389078</v>
      </c>
      <c r="T104">
        <f t="shared" ref="T104" si="499">S104/1000</f>
        <v>-38.214211346389078</v>
      </c>
    </row>
    <row r="105" spans="1:20" x14ac:dyDescent="0.25">
      <c r="A105" s="5">
        <v>44488</v>
      </c>
      <c r="B105">
        <v>0.13139000000000001</v>
      </c>
      <c r="C105">
        <v>0.14818000000000001</v>
      </c>
      <c r="D105">
        <v>0.12973999999999999</v>
      </c>
      <c r="E105">
        <v>0.13675999999999999</v>
      </c>
      <c r="F105">
        <v>514701301.80000001</v>
      </c>
      <c r="G105">
        <v>0.13675999999999999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-0.23861171366594425</v>
      </c>
      <c r="Q105">
        <f t="shared" ref="Q105" si="501">F105*P105</f>
        <v>-122813759.64859036</v>
      </c>
      <c r="R105">
        <f t="shared" ref="R105" si="502">R106+Q105</f>
        <v>-3893477887.8865814</v>
      </c>
      <c r="S105">
        <f t="shared" ref="S105" si="503">R105/100000</f>
        <v>-38934.778878865814</v>
      </c>
      <c r="T105">
        <f t="shared" ref="T105" si="504">S105/1000</f>
        <v>-38.934778878865814</v>
      </c>
    </row>
    <row r="106" spans="1:20" x14ac:dyDescent="0.25">
      <c r="A106" s="5">
        <v>44487</v>
      </c>
      <c r="B106">
        <v>0.13406999999999999</v>
      </c>
      <c r="C106">
        <v>0.13583999999999999</v>
      </c>
      <c r="D106">
        <v>0.12876000000000001</v>
      </c>
      <c r="E106">
        <v>0.13136</v>
      </c>
      <c r="F106">
        <v>182203948.09999999</v>
      </c>
      <c r="G106">
        <v>0.13136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-0.26553672316384169</v>
      </c>
      <c r="Q106">
        <f t="shared" ref="Q106" si="506">F106*P106</f>
        <v>-48381839.32598868</v>
      </c>
      <c r="R106">
        <f t="shared" ref="R106" si="507">R107+Q106</f>
        <v>-3770664128.2379909</v>
      </c>
      <c r="S106">
        <f t="shared" ref="S106" si="508">R106/100000</f>
        <v>-37706.641282379911</v>
      </c>
      <c r="T106">
        <f t="shared" ref="T106" si="509">S106/1000</f>
        <v>-37.706641282379913</v>
      </c>
    </row>
    <row r="107" spans="1:20" x14ac:dyDescent="0.25">
      <c r="A107" s="5">
        <v>44486</v>
      </c>
      <c r="B107">
        <v>0.1389</v>
      </c>
      <c r="C107">
        <v>0.13974</v>
      </c>
      <c r="D107">
        <v>0.12766</v>
      </c>
      <c r="E107">
        <v>0.13406000000000001</v>
      </c>
      <c r="F107">
        <v>208036357.5</v>
      </c>
      <c r="G107">
        <v>0.13406000000000001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5.9602649006624646E-2</v>
      </c>
      <c r="Q107">
        <f t="shared" ref="Q107" si="511">F107*P107</f>
        <v>12399517.996689186</v>
      </c>
      <c r="R107">
        <f t="shared" ref="R107" si="512">R108+Q107</f>
        <v>-3722282288.9120021</v>
      </c>
      <c r="S107">
        <f t="shared" ref="S107" si="513">R107/100000</f>
        <v>-37222.82288912002</v>
      </c>
      <c r="T107">
        <f t="shared" ref="T107" si="514">S107/1000</f>
        <v>-37.222822889120017</v>
      </c>
    </row>
    <row r="108" spans="1:20" x14ac:dyDescent="0.25">
      <c r="A108" s="5">
        <v>44485</v>
      </c>
      <c r="B108">
        <v>0.14085</v>
      </c>
      <c r="C108">
        <v>0.14587</v>
      </c>
      <c r="D108">
        <v>0.13725000000000001</v>
      </c>
      <c r="E108">
        <v>0.13886000000000001</v>
      </c>
      <c r="F108">
        <v>197158757.19999999</v>
      </c>
      <c r="G108">
        <v>0.13886000000000001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-0.62645011600928013</v>
      </c>
      <c r="Q108">
        <f t="shared" ref="Q108" si="516">F108*P108</f>
        <v>-123510126.32018548</v>
      </c>
      <c r="R108">
        <f t="shared" ref="R108" si="517">R109+Q108</f>
        <v>-3734681806.9086914</v>
      </c>
      <c r="S108">
        <f t="shared" ref="S108" si="518">R108/100000</f>
        <v>-37346.818069086912</v>
      </c>
      <c r="T108">
        <f t="shared" ref="T108" si="519">S108/1000</f>
        <v>-37.346818069086915</v>
      </c>
    </row>
    <row r="109" spans="1:20" x14ac:dyDescent="0.25">
      <c r="A109" s="5">
        <v>44484</v>
      </c>
      <c r="B109">
        <v>0.14271</v>
      </c>
      <c r="C109">
        <v>0.14474000000000001</v>
      </c>
      <c r="D109">
        <v>0.13492000000000001</v>
      </c>
      <c r="E109">
        <v>0.14074999999999999</v>
      </c>
      <c r="F109">
        <v>306820152.69999999</v>
      </c>
      <c r="G109">
        <v>0.14074999999999999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0.18737270875763276</v>
      </c>
      <c r="Q109">
        <f t="shared" ref="Q109" si="521">F109*P109</f>
        <v>57489723.112829506</v>
      </c>
      <c r="R109">
        <f t="shared" ref="R109" si="522">R110+Q109</f>
        <v>-3611171680.5885057</v>
      </c>
      <c r="S109">
        <f t="shared" ref="S109" si="523">R109/100000</f>
        <v>-36111.716805885058</v>
      </c>
      <c r="T109">
        <f t="shared" ref="T109" si="524">S109/1000</f>
        <v>-36.11171680588506</v>
      </c>
    </row>
    <row r="110" spans="1:20" x14ac:dyDescent="0.25">
      <c r="A110" s="5">
        <v>44483</v>
      </c>
      <c r="B110">
        <v>0.14191999999999999</v>
      </c>
      <c r="C110">
        <v>0.14967</v>
      </c>
      <c r="D110">
        <v>0.1401</v>
      </c>
      <c r="E110">
        <v>0.14274999999999999</v>
      </c>
      <c r="F110">
        <v>303365243.30000001</v>
      </c>
      <c r="G110">
        <v>0.14274999999999999</v>
      </c>
      <c r="L110" t="s">
        <v>7</v>
      </c>
      <c r="M110" t="s">
        <v>7</v>
      </c>
      <c r="N110" t="s">
        <v>7</v>
      </c>
      <c r="P110">
        <f t="shared" ref="P110" si="525">IF(C110=D110,0,((E110-D110)-(C110-E110))/(C110-D110))</f>
        <v>-0.44618599791013858</v>
      </c>
      <c r="Q110">
        <f t="shared" ref="Q110" si="526">F110*P110</f>
        <v>-135357323.81306249</v>
      </c>
      <c r="R110">
        <f t="shared" ref="R110" si="527">R111+Q110</f>
        <v>-3668661403.7013354</v>
      </c>
      <c r="S110">
        <f t="shared" ref="S110" si="528">R110/100000</f>
        <v>-36686.614037013351</v>
      </c>
      <c r="T110">
        <f t="shared" ref="T110" si="529">S110/1000</f>
        <v>-36.686614037013349</v>
      </c>
    </row>
    <row r="111" spans="1:20" x14ac:dyDescent="0.25">
      <c r="A111" s="5">
        <v>44482</v>
      </c>
      <c r="B111">
        <v>0.14599999999999999</v>
      </c>
      <c r="C111">
        <v>0.15445999999999999</v>
      </c>
      <c r="D111">
        <v>0.13800000000000001</v>
      </c>
      <c r="E111">
        <v>0.14188999999999999</v>
      </c>
      <c r="F111">
        <v>404457097.39999998</v>
      </c>
      <c r="G111">
        <v>0.14188999999999999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-0.52733900364520259</v>
      </c>
      <c r="Q111">
        <f t="shared" ref="Q111" si="531">F111*P111</f>
        <v>-213286002.76014665</v>
      </c>
      <c r="R111">
        <f t="shared" ref="R111" si="532">R112+Q111</f>
        <v>-3533304079.8882728</v>
      </c>
      <c r="S111">
        <f t="shared" ref="S111" si="533">R111/100000</f>
        <v>-35333.040798882728</v>
      </c>
      <c r="T111">
        <f t="shared" ref="T111" si="534">S111/1000</f>
        <v>-35.333040798882728</v>
      </c>
    </row>
    <row r="112" spans="1:20" x14ac:dyDescent="0.25">
      <c r="A112" s="5">
        <v>44481</v>
      </c>
      <c r="B112">
        <v>0.14635999999999999</v>
      </c>
      <c r="C112">
        <v>0.15265999999999999</v>
      </c>
      <c r="D112">
        <v>0.13389000000000001</v>
      </c>
      <c r="E112">
        <v>0.14610999999999999</v>
      </c>
      <c r="F112">
        <v>504149306.10000002</v>
      </c>
      <c r="G112">
        <v>0.14610999999999999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0.30207778369738875</v>
      </c>
      <c r="Q112">
        <f t="shared" ref="Q112" si="536">F112*P112</f>
        <v>152292305.03926444</v>
      </c>
      <c r="R112">
        <f t="shared" ref="R112" si="537">R113+Q112</f>
        <v>-3320018077.1281261</v>
      </c>
      <c r="S112">
        <f t="shared" ref="S112" si="538">R112/100000</f>
        <v>-33200.180771281259</v>
      </c>
      <c r="T112">
        <f t="shared" ref="T112" si="539">S112/1000</f>
        <v>-33.200180771281261</v>
      </c>
    </row>
    <row r="113" spans="1:20" x14ac:dyDescent="0.25">
      <c r="A113" s="5">
        <v>44480</v>
      </c>
      <c r="B113">
        <v>0.15229000000000001</v>
      </c>
      <c r="C113">
        <v>0.15798999999999999</v>
      </c>
      <c r="D113">
        <v>0.14052000000000001</v>
      </c>
      <c r="E113">
        <v>0.14645</v>
      </c>
      <c r="F113">
        <v>516600227.30000001</v>
      </c>
      <c r="G113">
        <v>0.14645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-0.32112192329708122</v>
      </c>
      <c r="Q113">
        <f t="shared" ref="Q113" si="541">F113*P113</f>
        <v>-165891658.56628534</v>
      </c>
      <c r="R113">
        <f t="shared" ref="R113" si="542">R114+Q113</f>
        <v>-3472310382.1673903</v>
      </c>
      <c r="S113">
        <f t="shared" ref="S113" si="543">R113/100000</f>
        <v>-34723.103821673903</v>
      </c>
      <c r="T113">
        <f t="shared" ref="T113" si="544">S113/1000</f>
        <v>-34.723103821673902</v>
      </c>
    </row>
    <row r="114" spans="1:20" x14ac:dyDescent="0.25">
      <c r="A114" s="5">
        <v>44479</v>
      </c>
      <c r="B114">
        <v>0.15901000000000001</v>
      </c>
      <c r="C114">
        <v>0.17818999999999999</v>
      </c>
      <c r="D114">
        <v>0.15062999999999999</v>
      </c>
      <c r="E114">
        <v>0.15240999999999999</v>
      </c>
      <c r="F114">
        <v>885799903.29999995</v>
      </c>
      <c r="G114">
        <v>0.15240999999999999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-0.87082728592162528</v>
      </c>
      <c r="Q114">
        <f t="shared" ref="Q114" si="546">F114*P114</f>
        <v>-771378725.66037703</v>
      </c>
      <c r="R114">
        <f t="shared" ref="R114" si="547">R115+Q114</f>
        <v>-3306418723.6011052</v>
      </c>
      <c r="S114">
        <f t="shared" ref="S114" si="548">R114/100000</f>
        <v>-33064.18723601105</v>
      </c>
      <c r="T114">
        <f t="shared" ref="T114" si="549">S114/1000</f>
        <v>-33.064187236011051</v>
      </c>
    </row>
    <row r="115" spans="1:20" x14ac:dyDescent="0.25">
      <c r="A115" s="5">
        <v>44478</v>
      </c>
      <c r="B115">
        <v>0.17538000000000001</v>
      </c>
      <c r="C115">
        <v>0.19389000000000001</v>
      </c>
      <c r="D115">
        <v>0.15478</v>
      </c>
      <c r="E115">
        <v>0.15895000000000001</v>
      </c>
      <c r="F115">
        <v>1354417678</v>
      </c>
      <c r="G115">
        <v>0.15895000000000001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-0.78675530554845274</v>
      </c>
      <c r="Q115">
        <f t="shared" ref="Q115" si="551">F115*P115</f>
        <v>-1065595294.0951159</v>
      </c>
      <c r="R115">
        <f t="shared" ref="R115" si="552">R116+Q115</f>
        <v>-2535039997.9407282</v>
      </c>
      <c r="S115">
        <f t="shared" ref="S115" si="553">R115/100000</f>
        <v>-25350.399979407281</v>
      </c>
      <c r="T115">
        <f t="shared" ref="T115" si="554">S115/1000</f>
        <v>-25.350399979407282</v>
      </c>
    </row>
    <row r="116" spans="1:20" x14ac:dyDescent="0.25">
      <c r="A116" s="5">
        <v>44477</v>
      </c>
      <c r="B116">
        <v>0.13336999999999999</v>
      </c>
      <c r="C116">
        <v>0.1789</v>
      </c>
      <c r="D116">
        <v>0.12926000000000001</v>
      </c>
      <c r="E116">
        <v>0.17527999999999999</v>
      </c>
      <c r="F116">
        <v>1174995707.3</v>
      </c>
      <c r="G116">
        <v>0.17527999999999999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0.85414987912973361</v>
      </c>
      <c r="Q116">
        <f t="shared" ref="Q116" si="556">F116*P116</f>
        <v>1003622441.3682508</v>
      </c>
      <c r="R116">
        <f t="shared" ref="R116" si="557">R117+Q116</f>
        <v>-1469444703.845612</v>
      </c>
      <c r="S116">
        <f t="shared" ref="S116" si="558">R116/100000</f>
        <v>-14694.447038456121</v>
      </c>
      <c r="T116">
        <f t="shared" ref="T116" si="559">S116/1000</f>
        <v>-14.69444703845612</v>
      </c>
    </row>
    <row r="117" spans="1:20" x14ac:dyDescent="0.25">
      <c r="A117" s="5">
        <v>44476</v>
      </c>
      <c r="B117">
        <v>0.13086</v>
      </c>
      <c r="C117">
        <v>0.14823</v>
      </c>
      <c r="D117">
        <v>0.12520999999999999</v>
      </c>
      <c r="E117">
        <v>0.13325999999999999</v>
      </c>
      <c r="F117">
        <v>703062230.20000005</v>
      </c>
      <c r="G117">
        <v>0.13325999999999999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-0.30060816681146851</v>
      </c>
      <c r="Q117">
        <f t="shared" ref="Q117" si="561">F117*P117</f>
        <v>-211346248.17480469</v>
      </c>
      <c r="R117">
        <f t="shared" ref="R117" si="562">R118+Q117</f>
        <v>-2473067145.2138629</v>
      </c>
      <c r="S117">
        <f t="shared" ref="S117" si="563">R117/100000</f>
        <v>-24730.671452138628</v>
      </c>
      <c r="T117">
        <f t="shared" ref="T117" si="564">S117/1000</f>
        <v>-24.730671452138626</v>
      </c>
    </row>
    <row r="118" spans="1:20" x14ac:dyDescent="0.25">
      <c r="A118" s="5">
        <v>44475</v>
      </c>
      <c r="B118">
        <v>0.13944000000000001</v>
      </c>
      <c r="C118">
        <v>0.14312</v>
      </c>
      <c r="D118">
        <v>0.12479999999999999</v>
      </c>
      <c r="E118">
        <v>0.13086</v>
      </c>
      <c r="F118">
        <v>448827479</v>
      </c>
      <c r="G118">
        <v>0.13086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-0.33842794759825229</v>
      </c>
      <c r="Q118">
        <f t="shared" ref="Q118" si="566">F118*P118</f>
        <v>-151895762.54366767</v>
      </c>
      <c r="R118">
        <f t="shared" ref="R118" si="567">R119+Q118</f>
        <v>-2261720897.0390582</v>
      </c>
      <c r="S118">
        <f t="shared" ref="S118" si="568">R118/100000</f>
        <v>-22617.20897039058</v>
      </c>
      <c r="T118">
        <f t="shared" ref="T118" si="569">S118/1000</f>
        <v>-22.617208970390582</v>
      </c>
    </row>
    <row r="119" spans="1:20" x14ac:dyDescent="0.25">
      <c r="A119" s="5">
        <v>44474</v>
      </c>
      <c r="B119">
        <v>0.14266000000000001</v>
      </c>
      <c r="C119">
        <v>0.14974000000000001</v>
      </c>
      <c r="D119">
        <v>0.13653999999999999</v>
      </c>
      <c r="E119">
        <v>0.13944000000000001</v>
      </c>
      <c r="F119">
        <v>420942268.60000002</v>
      </c>
      <c r="G119">
        <v>0.13944000000000001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-0.56060606060605911</v>
      </c>
      <c r="Q119">
        <f t="shared" ref="Q119" si="571">F119*P119</f>
        <v>-235982786.94242361</v>
      </c>
      <c r="R119">
        <f t="shared" ref="R119" si="572">R120+Q119</f>
        <v>-2109825134.4953904</v>
      </c>
      <c r="S119">
        <f t="shared" ref="S119" si="573">R119/100000</f>
        <v>-21098.251344953904</v>
      </c>
      <c r="T119">
        <f t="shared" ref="T119" si="574">S119/1000</f>
        <v>-21.098251344953905</v>
      </c>
    </row>
    <row r="120" spans="1:20" x14ac:dyDescent="0.25">
      <c r="A120" s="5">
        <v>44473</v>
      </c>
      <c r="B120">
        <v>0.14373</v>
      </c>
      <c r="C120">
        <v>0.157</v>
      </c>
      <c r="D120">
        <v>0.13822000000000001</v>
      </c>
      <c r="E120">
        <v>0.14291000000000001</v>
      </c>
      <c r="F120">
        <v>800151687.39999998</v>
      </c>
      <c r="G120">
        <v>0.14291000000000001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-0.50053248136315209</v>
      </c>
      <c r="Q120">
        <f t="shared" ref="Q120" si="576">F120*P120</f>
        <v>-400501909.56123519</v>
      </c>
      <c r="R120">
        <f t="shared" ref="R120" si="577">R121+Q120</f>
        <v>-1873842347.5529668</v>
      </c>
      <c r="S120">
        <f t="shared" ref="S120" si="578">R120/100000</f>
        <v>-18738.423475529667</v>
      </c>
      <c r="T120">
        <f t="shared" ref="T120" si="579">S120/1000</f>
        <v>-18.738423475529668</v>
      </c>
    </row>
    <row r="121" spans="1:20" x14ac:dyDescent="0.25">
      <c r="A121" s="5">
        <v>44472</v>
      </c>
      <c r="B121">
        <v>0.14363999999999999</v>
      </c>
      <c r="C121">
        <v>0.14788000000000001</v>
      </c>
      <c r="D121">
        <v>0.13816999999999999</v>
      </c>
      <c r="E121">
        <v>0.14155999999999999</v>
      </c>
      <c r="F121">
        <v>383667532.89999998</v>
      </c>
      <c r="G121">
        <v>0.14155999999999999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-0.30175077239958892</v>
      </c>
      <c r="Q121">
        <f t="shared" ref="Q121" si="581">F121*P121</f>
        <v>-115771974.39721969</v>
      </c>
      <c r="R121">
        <f t="shared" ref="R121" si="582">R122+Q121</f>
        <v>-1473340437.9917316</v>
      </c>
      <c r="S121">
        <f t="shared" ref="S121" si="583">R121/100000</f>
        <v>-14733.404379917316</v>
      </c>
      <c r="T121">
        <f t="shared" ref="T121" si="584">S121/1000</f>
        <v>-14.733404379917316</v>
      </c>
    </row>
    <row r="122" spans="1:20" x14ac:dyDescent="0.25">
      <c r="A122" s="5">
        <v>44471</v>
      </c>
      <c r="B122">
        <v>0.14469000000000001</v>
      </c>
      <c r="C122">
        <v>0.1578</v>
      </c>
      <c r="D122">
        <v>0.14094000000000001</v>
      </c>
      <c r="E122">
        <v>0.14363000000000001</v>
      </c>
      <c r="F122">
        <v>664074352.5</v>
      </c>
      <c r="G122">
        <v>0.14363000000000001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-0.68090154211150655</v>
      </c>
      <c r="Q122">
        <f t="shared" ref="Q122" si="586">F122*P122</f>
        <v>-452169250.69395018</v>
      </c>
      <c r="R122">
        <f t="shared" ref="R122" si="587">R123+Q122</f>
        <v>-1357568463.594512</v>
      </c>
      <c r="S122">
        <f t="shared" ref="S122" si="588">R122/100000</f>
        <v>-13575.684635945119</v>
      </c>
      <c r="T122">
        <f t="shared" ref="T122" si="589">S122/1000</f>
        <v>-13.57568463594512</v>
      </c>
    </row>
    <row r="123" spans="1:20" x14ac:dyDescent="0.25">
      <c r="A123" s="5">
        <v>44470</v>
      </c>
      <c r="B123">
        <v>0.13833999999999999</v>
      </c>
      <c r="C123">
        <v>0.15099000000000001</v>
      </c>
      <c r="D123">
        <v>0.13711999999999999</v>
      </c>
      <c r="E123">
        <v>0.14468</v>
      </c>
      <c r="F123">
        <v>823916825.89999998</v>
      </c>
      <c r="G123">
        <v>0.14468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9.0122566690699291E-2</v>
      </c>
      <c r="Q123">
        <f t="shared" ref="Q123" si="591">F123*P123</f>
        <v>74253499.089762017</v>
      </c>
      <c r="R123">
        <f t="shared" ref="R123" si="592">R124+Q123</f>
        <v>-905399212.90056181</v>
      </c>
      <c r="S123">
        <f t="shared" ref="S123" si="593">R123/100000</f>
        <v>-9053.9921290056172</v>
      </c>
      <c r="T123">
        <f t="shared" ref="T123" si="594">S123/1000</f>
        <v>-9.0539921290056178</v>
      </c>
    </row>
    <row r="124" spans="1:20" x14ac:dyDescent="0.25">
      <c r="A124" s="5">
        <v>44469</v>
      </c>
      <c r="B124">
        <v>0.14646000000000001</v>
      </c>
      <c r="C124">
        <v>0.15068000000000001</v>
      </c>
      <c r="D124">
        <v>0.13511000000000001</v>
      </c>
      <c r="E124">
        <v>0.13829</v>
      </c>
      <c r="F124">
        <v>578824199.29999995</v>
      </c>
      <c r="G124">
        <v>0.13829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-0.59152215799614793</v>
      </c>
      <c r="Q124">
        <f t="shared" ref="Q124" si="596">F124*P124</f>
        <v>-342387339.47032839</v>
      </c>
      <c r="R124">
        <f t="shared" ref="R124" si="597">R125+Q124</f>
        <v>-979652711.99032378</v>
      </c>
      <c r="S124">
        <f t="shared" ref="S124" si="598">R124/100000</f>
        <v>-9796.5271199032377</v>
      </c>
      <c r="T124">
        <f t="shared" ref="T124" si="599">S124/1000</f>
        <v>-9.7965271199032369</v>
      </c>
    </row>
    <row r="125" spans="1:20" x14ac:dyDescent="0.25">
      <c r="A125" s="5">
        <v>44468</v>
      </c>
      <c r="B125">
        <v>0.15484000000000001</v>
      </c>
      <c r="C125">
        <v>0.16700000000000001</v>
      </c>
      <c r="D125">
        <v>0.14215</v>
      </c>
      <c r="E125">
        <v>0.14652000000000001</v>
      </c>
      <c r="F125">
        <v>766135064.10000002</v>
      </c>
      <c r="G125">
        <v>0.14652000000000001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-0.64828973843058257</v>
      </c>
      <c r="Q125">
        <f t="shared" ref="Q125" si="601">F125*P125</f>
        <v>-496677500.3078866</v>
      </c>
      <c r="R125">
        <f t="shared" ref="R125" si="602">R126+Q125</f>
        <v>-637265372.51999545</v>
      </c>
      <c r="S125">
        <f t="shared" ref="S125" si="603">R125/100000</f>
        <v>-6372.6537251999544</v>
      </c>
      <c r="T125">
        <f t="shared" ref="T125" si="604">S125/1000</f>
        <v>-6.372653725199954</v>
      </c>
    </row>
    <row r="126" spans="1:20" x14ac:dyDescent="0.25">
      <c r="A126" s="5">
        <v>44467</v>
      </c>
      <c r="B126">
        <v>0.15578</v>
      </c>
      <c r="C126">
        <v>0.17488000000000001</v>
      </c>
      <c r="D126">
        <v>0.15112999999999999</v>
      </c>
      <c r="E126">
        <v>0.15479999999999999</v>
      </c>
      <c r="F126">
        <v>970269283.70000005</v>
      </c>
      <c r="G126">
        <v>0.15479999999999999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-0.69094736842105231</v>
      </c>
      <c r="Q126">
        <f t="shared" ref="Q126" si="606">F126*P126</f>
        <v>-670405008.23229444</v>
      </c>
      <c r="R126">
        <f t="shared" ref="R126" si="607">R127+Q126</f>
        <v>-140587872.21210885</v>
      </c>
      <c r="S126">
        <f t="shared" ref="S126" si="608">R126/100000</f>
        <v>-1405.8787221210885</v>
      </c>
      <c r="T126">
        <f t="shared" ref="T126" si="609">S126/1000</f>
        <v>-1.4058787221210884</v>
      </c>
    </row>
    <row r="127" spans="1:20" x14ac:dyDescent="0.25">
      <c r="A127" s="5">
        <v>44466</v>
      </c>
      <c r="B127">
        <v>0.16761999999999999</v>
      </c>
      <c r="C127">
        <v>0.18353</v>
      </c>
      <c r="D127">
        <v>0.15362999999999999</v>
      </c>
      <c r="E127">
        <v>0.15589</v>
      </c>
      <c r="F127">
        <v>1010614090.1</v>
      </c>
      <c r="G127">
        <v>0.15589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-0.84882943143812639</v>
      </c>
      <c r="Q127">
        <f t="shared" ref="Q127" si="611">F127*P127</f>
        <v>-857838983.50294244</v>
      </c>
      <c r="R127">
        <f t="shared" ref="R127" si="612">R128+Q127</f>
        <v>529817136.02018559</v>
      </c>
      <c r="S127">
        <f t="shared" ref="S127" si="613">R127/100000</f>
        <v>5298.1713602018563</v>
      </c>
      <c r="T127">
        <f t="shared" ref="T127" si="614">S127/1000</f>
        <v>5.2981713602018559</v>
      </c>
    </row>
    <row r="128" spans="1:20" x14ac:dyDescent="0.25">
      <c r="A128" s="5">
        <v>44465</v>
      </c>
      <c r="B128">
        <v>0.16214000000000001</v>
      </c>
      <c r="C128">
        <v>0.19869999999999999</v>
      </c>
      <c r="D128">
        <v>0.15176999999999999</v>
      </c>
      <c r="E128">
        <v>0.16772000000000001</v>
      </c>
      <c r="F128">
        <v>1917598922.7</v>
      </c>
      <c r="G128">
        <v>0.16772000000000001</v>
      </c>
      <c r="L128" t="s">
        <v>7</v>
      </c>
      <c r="M128" t="s">
        <v>8</v>
      </c>
      <c r="N128" t="s">
        <v>8</v>
      </c>
      <c r="P128">
        <f t="shared" ref="P128" si="615">IF(C128=D128,0,((E128-D128)-(C128-E128))/(C128-D128))</f>
        <v>-0.32026422331131388</v>
      </c>
      <c r="Q128">
        <f t="shared" ref="Q128" si="616">F128*P128</f>
        <v>-614138329.60112774</v>
      </c>
      <c r="R128">
        <f t="shared" ref="R128" si="617">R129+Q128</f>
        <v>1387656119.523128</v>
      </c>
      <c r="S128">
        <f t="shared" ref="S128" si="618">R128/100000</f>
        <v>13876.561195231281</v>
      </c>
      <c r="T128">
        <f t="shared" ref="T128" si="619">S128/1000</f>
        <v>13.876561195231281</v>
      </c>
    </row>
    <row r="129" spans="1:20" x14ac:dyDescent="0.25">
      <c r="A129" s="5">
        <v>44464</v>
      </c>
      <c r="B129">
        <v>0.17860999999999999</v>
      </c>
      <c r="C129">
        <v>0.18887999999999999</v>
      </c>
      <c r="D129">
        <v>0.1537</v>
      </c>
      <c r="E129">
        <v>0.16216</v>
      </c>
      <c r="F129">
        <v>1705521199.4000001</v>
      </c>
      <c r="G129">
        <v>0.16216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-0.51904491188175106</v>
      </c>
      <c r="Q129">
        <f t="shared" ref="Q129" si="621">F129*P129</f>
        <v>-885242100.65503144</v>
      </c>
      <c r="R129">
        <f t="shared" ref="R129" si="622">R130+Q129</f>
        <v>2001794449.1242559</v>
      </c>
      <c r="S129">
        <f t="shared" ref="S129" si="623">R129/100000</f>
        <v>20017.944491242561</v>
      </c>
      <c r="T129">
        <f t="shared" ref="T129" si="624">S129/1000</f>
        <v>20.017944491242559</v>
      </c>
    </row>
    <row r="130" spans="1:20" x14ac:dyDescent="0.25">
      <c r="A130" s="5">
        <v>44463</v>
      </c>
      <c r="B130">
        <v>0.13925000000000001</v>
      </c>
      <c r="C130">
        <v>0.192</v>
      </c>
      <c r="D130">
        <v>0.11937</v>
      </c>
      <c r="E130">
        <v>0.17854</v>
      </c>
      <c r="F130">
        <v>3104484433.4000001</v>
      </c>
      <c r="G130">
        <v>0.17854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0.62935426132452155</v>
      </c>
      <c r="Q130">
        <f t="shared" ref="Q130" si="626">F130*P130</f>
        <v>1953820507.3759329</v>
      </c>
      <c r="R130">
        <f t="shared" ref="R130" si="627">R131+Q130</f>
        <v>2887036549.7792873</v>
      </c>
      <c r="S130">
        <f t="shared" ref="S130" si="628">R130/100000</f>
        <v>28870.365497792875</v>
      </c>
      <c r="T130">
        <f t="shared" ref="T130" si="629">S130/1000</f>
        <v>28.870365497792875</v>
      </c>
    </row>
    <row r="131" spans="1:20" x14ac:dyDescent="0.25">
      <c r="A131" s="5">
        <v>44462</v>
      </c>
      <c r="B131">
        <v>0.10958</v>
      </c>
      <c r="C131">
        <v>0.14912</v>
      </c>
      <c r="D131">
        <v>0.10752</v>
      </c>
      <c r="E131">
        <v>0.13922000000000001</v>
      </c>
      <c r="F131">
        <v>2134551422.2</v>
      </c>
      <c r="G131">
        <v>0.13922000000000001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0.5240384615384619</v>
      </c>
      <c r="Q131">
        <f t="shared" ref="Q131" si="631">F131*P131</f>
        <v>1118587043.3644238</v>
      </c>
      <c r="R131">
        <f t="shared" ref="R131" si="632">R132+Q131</f>
        <v>933216042.40335429</v>
      </c>
      <c r="S131">
        <f t="shared" ref="S131" si="633">R131/100000</f>
        <v>9332.1604240335437</v>
      </c>
      <c r="T131">
        <f t="shared" ref="T131" si="634">S131/1000</f>
        <v>9.3321604240335443</v>
      </c>
    </row>
    <row r="132" spans="1:20" x14ac:dyDescent="0.25">
      <c r="A132" s="5">
        <v>44461</v>
      </c>
      <c r="B132">
        <v>8.3260000000000001E-2</v>
      </c>
      <c r="C132">
        <v>0.11321000000000001</v>
      </c>
      <c r="D132">
        <v>8.1189999999999998E-2</v>
      </c>
      <c r="E132">
        <v>0.10953</v>
      </c>
      <c r="F132">
        <v>1065327953.3</v>
      </c>
      <c r="G132">
        <v>0.10953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0.77014366021236713</v>
      </c>
      <c r="Q132">
        <f t="shared" ref="Q132" si="636">F132*P132</f>
        <v>820455569.2810117</v>
      </c>
      <c r="R132">
        <f t="shared" ref="R132" si="637">R133+Q132</f>
        <v>-185371000.96106946</v>
      </c>
      <c r="S132">
        <f t="shared" ref="S132" si="638">R132/100000</f>
        <v>-1853.7100096106947</v>
      </c>
      <c r="T132">
        <f t="shared" ref="T132" si="639">S132/1000</f>
        <v>-1.8537100096106947</v>
      </c>
    </row>
    <row r="133" spans="1:20" x14ac:dyDescent="0.25">
      <c r="A133" s="5">
        <v>44460</v>
      </c>
      <c r="B133">
        <v>8.8739999999999999E-2</v>
      </c>
      <c r="C133">
        <v>0.10668999999999999</v>
      </c>
      <c r="D133">
        <v>8.0019999999999994E-2</v>
      </c>
      <c r="E133">
        <v>8.3239999999999995E-2</v>
      </c>
      <c r="F133">
        <v>1390235732.3</v>
      </c>
      <c r="G133">
        <v>8.3239999999999995E-2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-0.75853018372703407</v>
      </c>
      <c r="Q133">
        <f t="shared" ref="Q133" si="641">F133*P133</f>
        <v>-1054535765.4454067</v>
      </c>
      <c r="R133">
        <f t="shared" ref="R133" si="642">R134+Q133</f>
        <v>-1005826570.2420812</v>
      </c>
      <c r="S133">
        <f t="shared" ref="S133" si="643">R133/100000</f>
        <v>-10058.265702420811</v>
      </c>
      <c r="T133">
        <f t="shared" ref="T133" si="644">S133/1000</f>
        <v>-10.058265702420812</v>
      </c>
    </row>
    <row r="134" spans="1:20" x14ac:dyDescent="0.25">
      <c r="A134" s="5">
        <v>44459</v>
      </c>
      <c r="B134">
        <v>0.10203</v>
      </c>
      <c r="C134">
        <v>0.10209</v>
      </c>
      <c r="D134">
        <v>8.6709999999999995E-2</v>
      </c>
      <c r="E134">
        <v>9.2079999999999995E-2</v>
      </c>
      <c r="F134">
        <v>490314812.69999999</v>
      </c>
      <c r="G134">
        <v>9.2079999999999995E-2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-0.3016905071521459</v>
      </c>
      <c r="Q134">
        <f t="shared" ref="Q134" si="646">F134*P134</f>
        <v>-147923324.50767243</v>
      </c>
      <c r="R134">
        <f t="shared" ref="R134" si="647">R135+Q134</f>
        <v>48709195.20332557</v>
      </c>
      <c r="S134">
        <f t="shared" ref="S134" si="648">R134/100000</f>
        <v>487.09195203325572</v>
      </c>
      <c r="T134">
        <f t="shared" ref="T134" si="649">S134/1000</f>
        <v>0.48709195203325573</v>
      </c>
    </row>
    <row r="135" spans="1:20" x14ac:dyDescent="0.25">
      <c r="A135" s="5">
        <v>44458</v>
      </c>
      <c r="B135">
        <v>0.11272</v>
      </c>
      <c r="C135">
        <v>0.11860999999999999</v>
      </c>
      <c r="D135">
        <v>9.8820000000000005E-2</v>
      </c>
      <c r="E135">
        <v>0.10201</v>
      </c>
      <c r="F135">
        <v>567471577.39999998</v>
      </c>
      <c r="G135">
        <v>0.10201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-0.67761495704901464</v>
      </c>
      <c r="Q135">
        <f t="shared" ref="Q135" si="651">F135*P135</f>
        <v>-384527228.54643756</v>
      </c>
      <c r="R135">
        <f t="shared" ref="R135" si="652">R136+Q135</f>
        <v>196632519.710998</v>
      </c>
      <c r="S135">
        <f t="shared" ref="S135" si="653">R135/100000</f>
        <v>1966.3251971099801</v>
      </c>
      <c r="T135">
        <f t="shared" ref="T135" si="654">S135/1000</f>
        <v>1.96632519710998</v>
      </c>
    </row>
    <row r="136" spans="1:20" x14ac:dyDescent="0.25">
      <c r="A136" s="5">
        <v>44457</v>
      </c>
      <c r="B136">
        <v>0.11957</v>
      </c>
      <c r="C136">
        <v>0.1275</v>
      </c>
      <c r="D136">
        <v>0.11068</v>
      </c>
      <c r="E136">
        <v>0.11271</v>
      </c>
      <c r="F136">
        <v>803092155.39999998</v>
      </c>
      <c r="G136">
        <v>0.11271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-0.75862068965517193</v>
      </c>
      <c r="Q136">
        <f t="shared" ref="Q136" si="656">F136*P136</f>
        <v>-609242324.78620648</v>
      </c>
      <c r="R136">
        <f t="shared" ref="R136" si="657">R137+Q136</f>
        <v>581159748.25743556</v>
      </c>
      <c r="S136">
        <f t="shared" ref="S136" si="658">R136/100000</f>
        <v>5811.597482574356</v>
      </c>
      <c r="T136">
        <f t="shared" ref="T136" si="659">S136/1000</f>
        <v>5.8115974825743564</v>
      </c>
    </row>
    <row r="137" spans="1:20" x14ac:dyDescent="0.25">
      <c r="A137" s="5">
        <v>44456</v>
      </c>
      <c r="B137">
        <v>0.10396</v>
      </c>
      <c r="C137">
        <v>0.12347</v>
      </c>
      <c r="D137">
        <v>0.10269</v>
      </c>
      <c r="E137">
        <v>0.11953</v>
      </c>
      <c r="F137">
        <v>1213541668.5</v>
      </c>
      <c r="G137">
        <v>0.11953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0.62078922040423479</v>
      </c>
      <c r="Q137">
        <f t="shared" ref="Q137" si="661">F137*P137</f>
        <v>753353586.31616938</v>
      </c>
      <c r="R137">
        <f t="shared" ref="R137" si="662">R138+Q137</f>
        <v>1190402073.043642</v>
      </c>
      <c r="S137">
        <f t="shared" ref="S137" si="663">R137/100000</f>
        <v>11904.020730436421</v>
      </c>
      <c r="T137">
        <f t="shared" ref="T137" si="664">S137/1000</f>
        <v>11.904020730436422</v>
      </c>
    </row>
    <row r="138" spans="1:20" x14ac:dyDescent="0.25">
      <c r="A138" s="5">
        <v>44455</v>
      </c>
      <c r="B138">
        <v>9.3590000000000007E-2</v>
      </c>
      <c r="C138">
        <v>0.11641</v>
      </c>
      <c r="D138">
        <v>8.9709999999999998E-2</v>
      </c>
      <c r="E138">
        <v>0.104</v>
      </c>
      <c r="F138">
        <v>1365966956.7</v>
      </c>
      <c r="G138">
        <v>0.104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7.0411985018726322E-2</v>
      </c>
      <c r="Q138">
        <f t="shared" ref="Q138" si="666">F138*P138</f>
        <v>96180444.89123559</v>
      </c>
      <c r="R138">
        <f t="shared" ref="R138" si="667">R139+Q138</f>
        <v>437048486.72747266</v>
      </c>
      <c r="S138">
        <f t="shared" ref="S138" si="668">R138/100000</f>
        <v>4370.4848672747266</v>
      </c>
      <c r="T138">
        <f t="shared" ref="T138" si="669">S138/1000</f>
        <v>4.370484867274727</v>
      </c>
    </row>
    <row r="139" spans="1:20" x14ac:dyDescent="0.25">
      <c r="A139" s="5">
        <v>44454</v>
      </c>
      <c r="B139">
        <v>9.758E-2</v>
      </c>
      <c r="C139">
        <v>0.1089</v>
      </c>
      <c r="D139">
        <v>8.967E-2</v>
      </c>
      <c r="E139">
        <v>9.35E-2</v>
      </c>
      <c r="F139">
        <v>1304261819.9000001</v>
      </c>
      <c r="G139">
        <v>9.35E-2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-0.60166406656266247</v>
      </c>
      <c r="Q139">
        <f t="shared" ref="Q139" si="671">F139*P139</f>
        <v>-784727470.42345297</v>
      </c>
      <c r="R139">
        <f t="shared" ref="R139" si="672">R140+Q139</f>
        <v>340868041.83623707</v>
      </c>
      <c r="S139">
        <f t="shared" ref="S139" si="673">R139/100000</f>
        <v>3408.6804183623708</v>
      </c>
      <c r="T139">
        <f t="shared" ref="T139" si="674">S139/1000</f>
        <v>3.4086804183623709</v>
      </c>
    </row>
    <row r="140" spans="1:20" x14ac:dyDescent="0.25">
      <c r="A140" s="5">
        <v>44453</v>
      </c>
      <c r="B140">
        <v>7.9750000000000001E-2</v>
      </c>
      <c r="C140">
        <v>9.8659999999999998E-2</v>
      </c>
      <c r="D140">
        <v>7.3700000000000002E-2</v>
      </c>
      <c r="E140">
        <v>9.7570000000000004E-2</v>
      </c>
      <c r="F140">
        <v>1183279995.0999999</v>
      </c>
      <c r="G140">
        <v>9.7570000000000004E-2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0.91266025641025694</v>
      </c>
      <c r="Q140">
        <f t="shared" ref="Q140" si="676">F140*P140</f>
        <v>1079932623.7330935</v>
      </c>
      <c r="R140">
        <f t="shared" ref="R140" si="677">R141+Q140</f>
        <v>1125595512.25969</v>
      </c>
      <c r="S140">
        <f t="shared" ref="S140" si="678">R140/100000</f>
        <v>11255.955122596901</v>
      </c>
      <c r="T140">
        <f t="shared" ref="T140" si="679">S140/1000</f>
        <v>11.2559551225969</v>
      </c>
    </row>
    <row r="141" spans="1:20" x14ac:dyDescent="0.25">
      <c r="A141" s="5">
        <v>44452</v>
      </c>
      <c r="B141">
        <v>8.6230000000000001E-2</v>
      </c>
      <c r="C141">
        <v>8.9859999999999995E-2</v>
      </c>
      <c r="D141">
        <v>7.0400000000000004E-2</v>
      </c>
      <c r="E141">
        <v>7.9659999999999995E-2</v>
      </c>
      <c r="F141">
        <v>1345154417.5</v>
      </c>
      <c r="G141">
        <v>7.9659999999999995E-2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-4.8304213771840222E-2</v>
      </c>
      <c r="Q141">
        <f t="shared" ref="Q141" si="681">F141*P141</f>
        <v>-64976626.539055213</v>
      </c>
      <c r="R141">
        <f t="shared" ref="R141" si="682">R142+Q141</f>
        <v>45662888.526596561</v>
      </c>
      <c r="S141">
        <f t="shared" ref="S141" si="683">R141/100000</f>
        <v>456.62888526596561</v>
      </c>
      <c r="T141">
        <f t="shared" ref="T141" si="684">S141/1000</f>
        <v>0.45662888526596562</v>
      </c>
    </row>
    <row r="142" spans="1:20" x14ac:dyDescent="0.25">
      <c r="A142" s="5">
        <v>44451</v>
      </c>
      <c r="B142">
        <v>6.4850000000000005E-2</v>
      </c>
      <c r="C142">
        <v>9.4880000000000006E-2</v>
      </c>
      <c r="D142">
        <v>6.4409999999999995E-2</v>
      </c>
      <c r="E142">
        <v>8.6239999999999997E-2</v>
      </c>
      <c r="F142">
        <v>2500508394.3000002</v>
      </c>
      <c r="G142">
        <v>8.6239999999999997E-2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0.43288480472595958</v>
      </c>
      <c r="Q142">
        <f t="shared" ref="Q142" si="686">F142*P142</f>
        <v>1082432087.9821782</v>
      </c>
      <c r="R142">
        <f t="shared" ref="R142" si="687">R143+Q142</f>
        <v>110639515.06565177</v>
      </c>
      <c r="S142">
        <f t="shared" ref="S142" si="688">R142/100000</f>
        <v>1106.3951506565177</v>
      </c>
      <c r="T142">
        <f t="shared" ref="T142" si="689">S142/1000</f>
        <v>1.1063951506565177</v>
      </c>
    </row>
    <row r="143" spans="1:20" x14ac:dyDescent="0.25">
      <c r="A143" s="5">
        <v>44450</v>
      </c>
      <c r="B143">
        <v>5.6430000000000001E-2</v>
      </c>
      <c r="C143">
        <v>7.0000000000000007E-2</v>
      </c>
      <c r="D143">
        <v>5.5780000000000003E-2</v>
      </c>
      <c r="E143">
        <v>6.4780000000000004E-2</v>
      </c>
      <c r="F143">
        <v>841593117.39999998</v>
      </c>
      <c r="G143">
        <v>6.4780000000000004E-2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0.26582278481012644</v>
      </c>
      <c r="Q143">
        <f t="shared" ref="Q143" si="691">F143*P143</f>
        <v>223714626.14430368</v>
      </c>
      <c r="R143">
        <f t="shared" ref="R143" si="692">R144+Q143</f>
        <v>-971792572.91652644</v>
      </c>
      <c r="S143">
        <f t="shared" ref="S143" si="693">R143/100000</f>
        <v>-9717.9257291652648</v>
      </c>
      <c r="T143">
        <f t="shared" ref="T143" si="694">S143/1000</f>
        <v>-9.7179257291652643</v>
      </c>
    </row>
    <row r="144" spans="1:20" x14ac:dyDescent="0.25">
      <c r="A144" s="5">
        <v>44449</v>
      </c>
      <c r="B144">
        <v>6.4799999999999996E-2</v>
      </c>
      <c r="C144">
        <v>7.1580000000000005E-2</v>
      </c>
      <c r="D144">
        <v>5.3749999999999999E-2</v>
      </c>
      <c r="E144">
        <v>5.6500000000000002E-2</v>
      </c>
      <c r="F144">
        <v>1163542745.0999999</v>
      </c>
      <c r="G144">
        <v>5.6500000000000002E-2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-0.6915311273135164</v>
      </c>
      <c r="Q144">
        <f t="shared" ref="Q144" si="696">F144*P144</f>
        <v>-804626026.19646645</v>
      </c>
      <c r="R144">
        <f t="shared" ref="R144" si="697">R145+Q144</f>
        <v>-1195507199.0608301</v>
      </c>
      <c r="S144">
        <f t="shared" ref="S144" si="698">R144/100000</f>
        <v>-11955.071990608301</v>
      </c>
      <c r="T144">
        <f t="shared" ref="T144" si="699">S144/1000</f>
        <v>-11.955071990608301</v>
      </c>
    </row>
    <row r="145" spans="1:20" x14ac:dyDescent="0.25">
      <c r="A145" s="5">
        <v>44448</v>
      </c>
      <c r="B145">
        <v>5.883E-2</v>
      </c>
      <c r="C145">
        <v>6.6879999999999995E-2</v>
      </c>
      <c r="D145">
        <v>5.3129999999999997E-2</v>
      </c>
      <c r="E145">
        <v>6.4829999999999999E-2</v>
      </c>
      <c r="F145">
        <v>1264296674.4000001</v>
      </c>
      <c r="G145">
        <v>6.4829999999999999E-2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0.70181818181818234</v>
      </c>
      <c r="Q145">
        <f t="shared" ref="Q145" si="701">F145*P145</f>
        <v>887306393.3061825</v>
      </c>
      <c r="R145">
        <f t="shared" ref="R145" si="702">R146+Q145</f>
        <v>-390881172.86436379</v>
      </c>
      <c r="S145">
        <f t="shared" ref="S145" si="703">R145/100000</f>
        <v>-3908.8117286436377</v>
      </c>
      <c r="T145">
        <f t="shared" ref="T145" si="704">S145/1000</f>
        <v>-3.9088117286436379</v>
      </c>
    </row>
    <row r="146" spans="1:20" x14ac:dyDescent="0.25">
      <c r="A146" s="5">
        <v>44447</v>
      </c>
      <c r="B146">
        <v>4.4790000000000003E-2</v>
      </c>
      <c r="C146">
        <v>5.9889999999999999E-2</v>
      </c>
      <c r="D146">
        <v>4.0469999999999999E-2</v>
      </c>
      <c r="E146">
        <v>5.883E-2</v>
      </c>
      <c r="F146">
        <v>1275507011.5</v>
      </c>
      <c r="G146">
        <v>5.883E-2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0.89083419155509802</v>
      </c>
      <c r="Q146">
        <f t="shared" ref="Q146" si="706">F146*P146</f>
        <v>1136265257.4124615</v>
      </c>
      <c r="R146">
        <f t="shared" ref="R146" si="707">R147+Q146</f>
        <v>-1278187566.1705463</v>
      </c>
      <c r="S146">
        <f t="shared" ref="S146" si="708">R146/100000</f>
        <v>-12781.875661705462</v>
      </c>
      <c r="T146">
        <f t="shared" ref="T146" si="709">S146/1000</f>
        <v>-12.781875661705463</v>
      </c>
    </row>
    <row r="147" spans="1:20" x14ac:dyDescent="0.25">
      <c r="A147" s="5">
        <v>44446</v>
      </c>
      <c r="B147">
        <v>5.7360000000000001E-2</v>
      </c>
      <c r="C147">
        <v>6.368E-2</v>
      </c>
      <c r="D147">
        <v>4.2299999999999997E-2</v>
      </c>
      <c r="E147">
        <v>4.4769999999999997E-2</v>
      </c>
      <c r="F147">
        <v>1024734643.8</v>
      </c>
      <c r="G147">
        <v>4.4769999999999997E-2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-0.7689429373246025</v>
      </c>
      <c r="Q147">
        <f t="shared" ref="Q147" si="711">F147*P147</f>
        <v>-787962466.98185229</v>
      </c>
      <c r="R147">
        <f t="shared" ref="R147" si="712">R148+Q147</f>
        <v>-2414452823.5830078</v>
      </c>
      <c r="S147">
        <f t="shared" ref="S147" si="713">R147/100000</f>
        <v>-24144.528235830079</v>
      </c>
      <c r="T147">
        <f t="shared" ref="T147" si="714">S147/1000</f>
        <v>-24.14452823583008</v>
      </c>
    </row>
    <row r="148" spans="1:20" x14ac:dyDescent="0.25">
      <c r="A148" s="5">
        <v>44445</v>
      </c>
      <c r="B148">
        <v>5.7840000000000003E-2</v>
      </c>
      <c r="C148">
        <v>6.3E-2</v>
      </c>
      <c r="D148">
        <v>5.2819999999999999E-2</v>
      </c>
      <c r="E148">
        <v>5.7369999999999997E-2</v>
      </c>
      <c r="F148">
        <v>524745681.89999998</v>
      </c>
      <c r="G148">
        <v>5.7369999999999997E-2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-0.10609037328094346</v>
      </c>
      <c r="Q148">
        <f t="shared" ref="Q148" si="716">F148*P148</f>
        <v>-55670465.270334214</v>
      </c>
      <c r="R148">
        <f t="shared" ref="R148" si="717">R149+Q148</f>
        <v>-1626490356.6011553</v>
      </c>
      <c r="S148">
        <f t="shared" ref="S148" si="718">R148/100000</f>
        <v>-16264.903566011553</v>
      </c>
      <c r="T148">
        <f t="shared" ref="T148" si="719">S148/1000</f>
        <v>-16.264903566011554</v>
      </c>
    </row>
    <row r="149" spans="1:20" x14ac:dyDescent="0.25">
      <c r="A149" s="5">
        <v>44444</v>
      </c>
      <c r="B149">
        <v>5.4300000000000001E-2</v>
      </c>
      <c r="C149">
        <v>5.8999999999999997E-2</v>
      </c>
      <c r="D149">
        <v>5.2999999999999999E-2</v>
      </c>
      <c r="E149">
        <v>5.7829999999999999E-2</v>
      </c>
      <c r="F149">
        <v>349504636.19999999</v>
      </c>
      <c r="G149">
        <v>5.7829999999999999E-2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0.61000000000000076</v>
      </c>
      <c r="Q149">
        <f t="shared" ref="Q149" si="721">F149*P149</f>
        <v>213197828.08200026</v>
      </c>
      <c r="R149">
        <f t="shared" ref="R149" si="722">R150+Q149</f>
        <v>-1570819891.330821</v>
      </c>
      <c r="S149">
        <f t="shared" ref="S149" si="723">R149/100000</f>
        <v>-15708.19891330821</v>
      </c>
      <c r="T149">
        <f t="shared" ref="T149" si="724">S149/1000</f>
        <v>-15.708198913308209</v>
      </c>
    </row>
    <row r="150" spans="1:20" x14ac:dyDescent="0.25">
      <c r="A150" s="5">
        <v>44443</v>
      </c>
      <c r="B150">
        <v>5.3560000000000003E-2</v>
      </c>
      <c r="C150">
        <v>5.6520000000000001E-2</v>
      </c>
      <c r="D150">
        <v>5.2260000000000001E-2</v>
      </c>
      <c r="E150">
        <v>5.4239999999999997E-2</v>
      </c>
      <c r="F150">
        <v>252900738.59999999</v>
      </c>
      <c r="G150">
        <v>5.4239999999999997E-2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-7.0422535211269621E-2</v>
      </c>
      <c r="Q150">
        <f t="shared" ref="Q150" si="726">F150*P150</f>
        <v>-17809911.169014595</v>
      </c>
      <c r="R150">
        <f t="shared" ref="R150" si="727">R151+Q150</f>
        <v>-1784017719.4128213</v>
      </c>
      <c r="S150">
        <f t="shared" ref="S150" si="728">R150/100000</f>
        <v>-17840.177194128213</v>
      </c>
      <c r="T150">
        <f t="shared" ref="T150" si="729">S150/1000</f>
        <v>-17.840177194128213</v>
      </c>
    </row>
    <row r="151" spans="1:20" x14ac:dyDescent="0.25">
      <c r="A151" s="5">
        <v>44442</v>
      </c>
      <c r="B151">
        <v>5.3499999999999999E-2</v>
      </c>
      <c r="C151">
        <v>5.7079999999999999E-2</v>
      </c>
      <c r="D151">
        <v>5.2019999999999997E-2</v>
      </c>
      <c r="E151">
        <v>5.3530000000000001E-2</v>
      </c>
      <c r="F151">
        <v>321491235.60000002</v>
      </c>
      <c r="G151">
        <v>5.3530000000000001E-2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-0.40316205533596688</v>
      </c>
      <c r="Q151">
        <f t="shared" ref="Q151" si="731">F151*P151</f>
        <v>-129613067.31699558</v>
      </c>
      <c r="R151">
        <f t="shared" ref="R151" si="732">R152+Q151</f>
        <v>-1766207808.2438066</v>
      </c>
      <c r="S151">
        <f t="shared" ref="S151" si="733">R151/100000</f>
        <v>-17662.078082438067</v>
      </c>
      <c r="T151">
        <f t="shared" ref="T151" si="734">S151/1000</f>
        <v>-17.662078082438068</v>
      </c>
    </row>
    <row r="152" spans="1:20" x14ac:dyDescent="0.25">
      <c r="A152" s="5">
        <v>44441</v>
      </c>
      <c r="B152">
        <v>5.8310000000000001E-2</v>
      </c>
      <c r="C152">
        <v>5.8349999999999999E-2</v>
      </c>
      <c r="D152">
        <v>5.1950000000000003E-2</v>
      </c>
      <c r="E152">
        <v>5.3530000000000001E-2</v>
      </c>
      <c r="F152">
        <v>485293685.69999999</v>
      </c>
      <c r="G152">
        <v>5.3530000000000001E-2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-0.50625000000000031</v>
      </c>
      <c r="Q152">
        <f t="shared" ref="Q152" si="736">F152*P152</f>
        <v>-245679928.38562515</v>
      </c>
      <c r="R152">
        <f t="shared" ref="R152" si="737">R153+Q152</f>
        <v>-1636594740.926811</v>
      </c>
      <c r="S152">
        <f t="shared" ref="S152" si="738">R152/100000</f>
        <v>-16365.94740926811</v>
      </c>
      <c r="T152">
        <f t="shared" ref="T152" si="739">S152/1000</f>
        <v>-16.365947409268109</v>
      </c>
    </row>
    <row r="153" spans="1:20" x14ac:dyDescent="0.25">
      <c r="A153" s="5">
        <v>44440</v>
      </c>
      <c r="B153">
        <v>4.8140000000000002E-2</v>
      </c>
      <c r="C153">
        <v>5.8930000000000003E-2</v>
      </c>
      <c r="D153">
        <v>4.6699999999999998E-2</v>
      </c>
      <c r="E153">
        <v>5.8319999999999997E-2</v>
      </c>
      <c r="F153">
        <v>781194452.5</v>
      </c>
      <c r="G153">
        <v>5.8319999999999997E-2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0.90024529844644219</v>
      </c>
      <c r="Q153">
        <f t="shared" ref="Q153" si="741">F153*P153</f>
        <v>703266633.03556752</v>
      </c>
      <c r="R153">
        <f t="shared" ref="R153" si="742">R154+Q153</f>
        <v>-1390914812.5411859</v>
      </c>
      <c r="S153">
        <f t="shared" ref="S153" si="743">R153/100000</f>
        <v>-13909.148125411859</v>
      </c>
      <c r="T153">
        <f t="shared" ref="T153" si="744">S153/1000</f>
        <v>-13.909148125411859</v>
      </c>
    </row>
    <row r="154" spans="1:20" x14ac:dyDescent="0.25">
      <c r="A154" s="5">
        <v>44439</v>
      </c>
      <c r="B154">
        <v>4.5679999999999998E-2</v>
      </c>
      <c r="C154">
        <v>5.2409999999999998E-2</v>
      </c>
      <c r="D154">
        <v>4.3990000000000001E-2</v>
      </c>
      <c r="E154">
        <v>4.8120000000000003E-2</v>
      </c>
      <c r="F154">
        <v>647900809.79999995</v>
      </c>
      <c r="G154">
        <v>4.8120000000000003E-2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-1.9002375296911348E-2</v>
      </c>
      <c r="Q154">
        <f t="shared" ref="Q154" si="746">F154*P154</f>
        <v>-12311654.342992377</v>
      </c>
      <c r="R154">
        <f t="shared" ref="R154" si="747">R155+Q154</f>
        <v>-2094181445.5767534</v>
      </c>
      <c r="S154">
        <f t="shared" ref="S154" si="748">R154/100000</f>
        <v>-20941.814455767533</v>
      </c>
      <c r="T154">
        <f t="shared" ref="T154" si="749">S154/1000</f>
        <v>-20.941814455767535</v>
      </c>
    </row>
    <row r="155" spans="1:20" x14ac:dyDescent="0.25">
      <c r="A155" s="5">
        <v>44438</v>
      </c>
      <c r="B155">
        <v>4.41E-2</v>
      </c>
      <c r="C155">
        <v>4.8680000000000001E-2</v>
      </c>
      <c r="D155">
        <v>4.2459999999999998E-2</v>
      </c>
      <c r="E155">
        <v>4.5679999999999998E-2</v>
      </c>
      <c r="F155">
        <v>397618142.39999998</v>
      </c>
      <c r="G155">
        <v>4.5679999999999998E-2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3.5369774919613801E-2</v>
      </c>
      <c r="Q155">
        <f t="shared" ref="Q155" si="751">F155*P155</f>
        <v>14063664.200642949</v>
      </c>
      <c r="R155">
        <f t="shared" ref="R155" si="752">R156+Q155</f>
        <v>-2081869791.2337611</v>
      </c>
      <c r="S155">
        <f t="shared" ref="S155" si="753">R155/100000</f>
        <v>-20818.697912337611</v>
      </c>
      <c r="T155">
        <f t="shared" ref="T155" si="754">S155/1000</f>
        <v>-20.818697912337612</v>
      </c>
    </row>
    <row r="156" spans="1:20" x14ac:dyDescent="0.25">
      <c r="A156" s="5">
        <v>44437</v>
      </c>
      <c r="B156">
        <v>4.5359999999999998E-2</v>
      </c>
      <c r="C156">
        <v>4.5999999999999999E-2</v>
      </c>
      <c r="D156">
        <v>4.299E-2</v>
      </c>
      <c r="E156">
        <v>4.4119999999999999E-2</v>
      </c>
      <c r="F156">
        <v>163100634.40000001</v>
      </c>
      <c r="G156">
        <v>4.4119999999999999E-2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-0.24916943521594717</v>
      </c>
      <c r="Q156">
        <f t="shared" ref="Q156" si="756">F156*P156</f>
        <v>-40639692.956810683</v>
      </c>
      <c r="R156">
        <f t="shared" ref="R156" si="757">R157+Q156</f>
        <v>-2095933455.4344041</v>
      </c>
      <c r="S156">
        <f t="shared" ref="S156" si="758">R156/100000</f>
        <v>-20959.334554344041</v>
      </c>
      <c r="T156">
        <f t="shared" ref="T156" si="759">S156/1000</f>
        <v>-20.959334554344039</v>
      </c>
    </row>
    <row r="157" spans="1:20" x14ac:dyDescent="0.25">
      <c r="A157" s="5">
        <v>44436</v>
      </c>
      <c r="B157">
        <v>4.5650000000000003E-2</v>
      </c>
      <c r="C157">
        <v>4.7489999999999997E-2</v>
      </c>
      <c r="D157">
        <v>4.4269999999999997E-2</v>
      </c>
      <c r="E157">
        <v>4.5350000000000001E-2</v>
      </c>
      <c r="F157">
        <v>262898346.69999999</v>
      </c>
      <c r="G157">
        <v>4.5350000000000001E-2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-0.32919254658384822</v>
      </c>
      <c r="Q157">
        <f t="shared" ref="Q157" si="761">F157*P157</f>
        <v>-86544176.242856428</v>
      </c>
      <c r="R157">
        <f t="shared" ref="R157" si="762">R158+Q157</f>
        <v>-2055293762.4775934</v>
      </c>
      <c r="S157">
        <f t="shared" ref="S157" si="763">R157/100000</f>
        <v>-20552.937624775936</v>
      </c>
      <c r="T157">
        <f t="shared" ref="T157" si="764">S157/1000</f>
        <v>-20.552937624775936</v>
      </c>
    </row>
    <row r="158" spans="1:20" x14ac:dyDescent="0.25">
      <c r="A158" s="5">
        <v>44435</v>
      </c>
      <c r="B158">
        <v>4.2130000000000001E-2</v>
      </c>
      <c r="C158">
        <v>4.7E-2</v>
      </c>
      <c r="D158">
        <v>4.0070000000000001E-2</v>
      </c>
      <c r="E158">
        <v>4.5629999999999997E-2</v>
      </c>
      <c r="F158">
        <v>356259837.60000002</v>
      </c>
      <c r="G158">
        <v>4.5629999999999997E-2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0.60461760461760361</v>
      </c>
      <c r="Q158">
        <f t="shared" ref="Q158" si="766">F158*P158</f>
        <v>215400969.63116848</v>
      </c>
      <c r="R158">
        <f t="shared" ref="R158" si="767">R159+Q158</f>
        <v>-1968749586.2347369</v>
      </c>
      <c r="S158">
        <f t="shared" ref="S158" si="768">R158/100000</f>
        <v>-19687.495862347369</v>
      </c>
      <c r="T158">
        <f t="shared" ref="T158" si="769">S158/1000</f>
        <v>-19.687495862347369</v>
      </c>
    </row>
    <row r="159" spans="1:20" x14ac:dyDescent="0.25">
      <c r="A159" s="5">
        <v>44434</v>
      </c>
      <c r="B159">
        <v>4.6080000000000003E-2</v>
      </c>
      <c r="C159">
        <v>4.7699999999999999E-2</v>
      </c>
      <c r="D159">
        <v>4.1329999999999999E-2</v>
      </c>
      <c r="E159">
        <v>4.2119999999999998E-2</v>
      </c>
      <c r="F159">
        <v>223972003.19999999</v>
      </c>
      <c r="G159">
        <v>4.2119999999999998E-2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-0.75196232339089519</v>
      </c>
      <c r="Q159">
        <f t="shared" ref="Q159" si="771">F159*P159</f>
        <v>-168418507.900785</v>
      </c>
      <c r="R159">
        <f t="shared" ref="R159" si="772">R160+Q159</f>
        <v>-2184150555.8659053</v>
      </c>
      <c r="S159">
        <f t="shared" ref="S159" si="773">R159/100000</f>
        <v>-21841.505558659053</v>
      </c>
      <c r="T159">
        <f t="shared" ref="T159" si="774">S159/1000</f>
        <v>-21.841505558659055</v>
      </c>
    </row>
    <row r="160" spans="1:20" x14ac:dyDescent="0.25">
      <c r="A160" s="5">
        <v>44433</v>
      </c>
      <c r="B160">
        <v>4.3909999999999998E-2</v>
      </c>
      <c r="C160">
        <v>4.65E-2</v>
      </c>
      <c r="D160">
        <v>4.2250000000000003E-2</v>
      </c>
      <c r="E160">
        <v>4.6089999999999999E-2</v>
      </c>
      <c r="F160">
        <v>237027023.40000001</v>
      </c>
      <c r="G160">
        <v>4.6089999999999999E-2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0.80705882352941127</v>
      </c>
      <c r="Q160">
        <f t="shared" ref="Q160" si="776">F160*P160</f>
        <v>191294750.64988223</v>
      </c>
      <c r="R160">
        <f t="shared" ref="R160" si="777">R161+Q160</f>
        <v>-2015732047.9651203</v>
      </c>
      <c r="S160">
        <f t="shared" ref="S160" si="778">R160/100000</f>
        <v>-20157.320479651204</v>
      </c>
      <c r="T160">
        <f t="shared" ref="T160" si="779">S160/1000</f>
        <v>-20.157320479651204</v>
      </c>
    </row>
    <row r="161" spans="1:20" x14ac:dyDescent="0.25">
      <c r="A161" s="5">
        <v>44432</v>
      </c>
      <c r="B161">
        <v>4.9329999999999999E-2</v>
      </c>
      <c r="C161">
        <v>5.0200000000000002E-2</v>
      </c>
      <c r="D161">
        <v>4.335E-2</v>
      </c>
      <c r="E161">
        <v>4.3909999999999998E-2</v>
      </c>
      <c r="F161">
        <v>249309934.90000001</v>
      </c>
      <c r="G161">
        <v>4.3909999999999998E-2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-0.83649635036496417</v>
      </c>
      <c r="Q161">
        <f t="shared" ref="Q161" si="781">F161*P161</f>
        <v>-208546850.65357682</v>
      </c>
      <c r="R161">
        <f t="shared" ref="R161" si="782">R162+Q161</f>
        <v>-2207026798.6150026</v>
      </c>
      <c r="S161">
        <f t="shared" ref="S161" si="783">R161/100000</f>
        <v>-22070.267986150026</v>
      </c>
      <c r="T161">
        <f t="shared" ref="T161" si="784">S161/1000</f>
        <v>-22.070267986150025</v>
      </c>
    </row>
    <row r="162" spans="1:20" x14ac:dyDescent="0.25">
      <c r="A162" s="5">
        <v>44431</v>
      </c>
      <c r="B162">
        <v>5.1450000000000003E-2</v>
      </c>
      <c r="C162">
        <v>5.3990000000000003E-2</v>
      </c>
      <c r="D162">
        <v>4.829E-2</v>
      </c>
      <c r="E162">
        <v>4.9390000000000003E-2</v>
      </c>
      <c r="F162">
        <v>369884546.39999998</v>
      </c>
      <c r="G162">
        <v>4.9390000000000003E-2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-0.61403508771929716</v>
      </c>
      <c r="Q162">
        <f t="shared" ref="Q162" si="786">F162*P162</f>
        <v>-227122089.89473644</v>
      </c>
      <c r="R162">
        <f t="shared" ref="R162" si="787">R163+Q162</f>
        <v>-1998479947.961426</v>
      </c>
      <c r="S162">
        <f t="shared" ref="S162" si="788">R162/100000</f>
        <v>-19984.799479614259</v>
      </c>
      <c r="T162">
        <f t="shared" ref="T162" si="789">S162/1000</f>
        <v>-19.98479947961426</v>
      </c>
    </row>
    <row r="163" spans="1:20" x14ac:dyDescent="0.25">
      <c r="A163" s="5">
        <v>44430</v>
      </c>
      <c r="B163">
        <v>4.6039999999999998E-2</v>
      </c>
      <c r="C163">
        <v>4.7500000000000001E-2</v>
      </c>
      <c r="D163">
        <v>4.5999999999999999E-2</v>
      </c>
      <c r="E163">
        <v>4.6980000000000001E-2</v>
      </c>
      <c r="F163">
        <v>43351768.899999999</v>
      </c>
      <c r="G163">
        <v>4.6980000000000001E-2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0.30666666666666775</v>
      </c>
      <c r="Q163">
        <f t="shared" ref="Q163" si="791">F163*P163</f>
        <v>13294542.462666713</v>
      </c>
      <c r="R163">
        <f t="shared" ref="R163" si="792">R164+Q163</f>
        <v>-1771357858.0666895</v>
      </c>
      <c r="S163">
        <f t="shared" ref="S163" si="793">R163/100000</f>
        <v>-17713.578580666894</v>
      </c>
      <c r="T163">
        <f t="shared" ref="T163" si="794">S163/1000</f>
        <v>-17.713578580666894</v>
      </c>
    </row>
    <row r="164" spans="1:20" x14ac:dyDescent="0.25">
      <c r="A164" s="5">
        <v>44429</v>
      </c>
      <c r="B164">
        <v>4.616E-2</v>
      </c>
      <c r="C164">
        <v>4.8219999999999999E-2</v>
      </c>
      <c r="D164">
        <v>4.4060000000000002E-2</v>
      </c>
      <c r="E164">
        <v>4.6030000000000001E-2</v>
      </c>
      <c r="F164">
        <v>270348009.89999998</v>
      </c>
      <c r="G164">
        <v>4.6030000000000001E-2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-5.2884615384614933E-2</v>
      </c>
      <c r="Q164">
        <f t="shared" ref="Q164" si="796">F164*P164</f>
        <v>-14297250.52355757</v>
      </c>
      <c r="R164">
        <f t="shared" ref="R164" si="797">R165+Q164</f>
        <v>-1784652400.5293562</v>
      </c>
      <c r="S164">
        <f t="shared" ref="S164" si="798">R164/100000</f>
        <v>-17846.524005293562</v>
      </c>
      <c r="T164">
        <f t="shared" ref="T164" si="799">S164/1000</f>
        <v>-17.846524005293563</v>
      </c>
    </row>
    <row r="165" spans="1:20" x14ac:dyDescent="0.25">
      <c r="A165" s="5">
        <v>44428</v>
      </c>
      <c r="B165">
        <v>4.4850000000000001E-2</v>
      </c>
      <c r="C165">
        <v>4.9119999999999997E-2</v>
      </c>
      <c r="D165">
        <v>4.36E-2</v>
      </c>
      <c r="E165">
        <v>4.6210000000000001E-2</v>
      </c>
      <c r="F165">
        <v>240617896.59999999</v>
      </c>
      <c r="G165">
        <v>4.6210000000000001E-2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-5.434782608695559E-2</v>
      </c>
      <c r="Q165">
        <f t="shared" ref="Q165" si="801">F165*P165</f>
        <v>-13077059.597825862</v>
      </c>
      <c r="R165">
        <f t="shared" ref="R165" si="802">R166+Q165</f>
        <v>-1770355150.0057986</v>
      </c>
      <c r="S165">
        <f t="shared" ref="S165" si="803">R165/100000</f>
        <v>-17703.551500057987</v>
      </c>
      <c r="T165">
        <f t="shared" ref="T165" si="804">S165/1000</f>
        <v>-17.703551500057987</v>
      </c>
    </row>
    <row r="166" spans="1:20" x14ac:dyDescent="0.25">
      <c r="A166" s="5">
        <v>44427</v>
      </c>
      <c r="B166">
        <v>4.1669999999999999E-2</v>
      </c>
      <c r="C166">
        <v>4.505E-2</v>
      </c>
      <c r="D166">
        <v>4.0090000000000001E-2</v>
      </c>
      <c r="E166">
        <v>4.487E-2</v>
      </c>
      <c r="F166">
        <v>255637667.59999999</v>
      </c>
      <c r="G166">
        <v>4.487E-2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0.92741935483870985</v>
      </c>
      <c r="Q166">
        <f t="shared" ref="Q166" si="806">F166*P166</f>
        <v>237083320.75806457</v>
      </c>
      <c r="R166">
        <f t="shared" ref="R166" si="807">R167+Q166</f>
        <v>-1757278090.4079728</v>
      </c>
      <c r="S166">
        <f t="shared" ref="S166" si="808">R166/100000</f>
        <v>-17572.780904079729</v>
      </c>
      <c r="T166">
        <f t="shared" ref="T166" si="809">S166/1000</f>
        <v>-17.572780904079728</v>
      </c>
    </row>
    <row r="167" spans="1:20" x14ac:dyDescent="0.25">
      <c r="A167" s="5">
        <v>44426</v>
      </c>
      <c r="B167">
        <v>4.1759999999999999E-2</v>
      </c>
      <c r="C167">
        <v>4.3869999999999999E-2</v>
      </c>
      <c r="D167">
        <v>3.9579999999999997E-2</v>
      </c>
      <c r="E167">
        <v>4.163E-2</v>
      </c>
      <c r="F167">
        <v>269068760.19999999</v>
      </c>
      <c r="G167">
        <v>4.163E-2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-4.4289044289043268E-2</v>
      </c>
      <c r="Q167">
        <f t="shared" ref="Q167" si="811">F167*P167</f>
        <v>-11916798.237295762</v>
      </c>
      <c r="R167">
        <f t="shared" ref="R167" si="812">R168+Q167</f>
        <v>-1994361411.1660373</v>
      </c>
      <c r="S167">
        <f t="shared" ref="S167" si="813">R167/100000</f>
        <v>-19943.614111660372</v>
      </c>
      <c r="T167">
        <f t="shared" ref="T167" si="814">S167/1000</f>
        <v>-19.943614111660374</v>
      </c>
    </row>
    <row r="168" spans="1:20" x14ac:dyDescent="0.25">
      <c r="A168" s="5">
        <v>44425</v>
      </c>
      <c r="B168">
        <v>4.5780000000000001E-2</v>
      </c>
      <c r="C168">
        <v>4.8239999999999998E-2</v>
      </c>
      <c r="D168">
        <v>4.1309999999999999E-2</v>
      </c>
      <c r="E168">
        <v>4.1750000000000002E-2</v>
      </c>
      <c r="F168">
        <v>328969972.5</v>
      </c>
      <c r="G168">
        <v>4.1750000000000002E-2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-0.87301587301587213</v>
      </c>
      <c r="Q168">
        <f t="shared" ref="Q168" si="816">F168*P168</f>
        <v>-287196007.73809493</v>
      </c>
      <c r="R168">
        <f t="shared" ref="R168" si="817">R169+Q168</f>
        <v>-1982444612.9287415</v>
      </c>
      <c r="S168">
        <f t="shared" ref="S168" si="818">R168/100000</f>
        <v>-19824.446129287415</v>
      </c>
      <c r="T168">
        <f t="shared" ref="T168" si="819">S168/1000</f>
        <v>-19.824446129287416</v>
      </c>
    </row>
    <row r="169" spans="1:20" x14ac:dyDescent="0.25">
      <c r="A169" s="5">
        <v>44424</v>
      </c>
      <c r="B169">
        <v>4.9029999999999997E-2</v>
      </c>
      <c r="C169">
        <v>5.1279999999999999E-2</v>
      </c>
      <c r="D169">
        <v>4.5370000000000001E-2</v>
      </c>
      <c r="E169">
        <v>4.58E-2</v>
      </c>
      <c r="F169">
        <v>263879477.09999999</v>
      </c>
      <c r="G169">
        <v>4.58E-2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-0.85448392554991537</v>
      </c>
      <c r="Q169">
        <f t="shared" ref="Q169" si="821">F169*P169</f>
        <v>-225480771.46446699</v>
      </c>
      <c r="R169">
        <f t="shared" ref="R169" si="822">R170+Q169</f>
        <v>-1695248605.1906466</v>
      </c>
      <c r="S169">
        <f t="shared" ref="S169" si="823">R169/100000</f>
        <v>-16952.486051906468</v>
      </c>
      <c r="T169">
        <f t="shared" ref="T169" si="824">S169/1000</f>
        <v>-16.952486051906469</v>
      </c>
    </row>
    <row r="170" spans="1:20" x14ac:dyDescent="0.25">
      <c r="A170" s="5">
        <v>44423</v>
      </c>
      <c r="B170">
        <v>5.1020000000000003E-2</v>
      </c>
      <c r="C170">
        <v>5.1139999999999998E-2</v>
      </c>
      <c r="D170">
        <v>4.6460000000000001E-2</v>
      </c>
      <c r="E170">
        <v>4.9029999999999997E-2</v>
      </c>
      <c r="F170">
        <v>253767314.40000001</v>
      </c>
      <c r="G170">
        <v>4.9029999999999997E-2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9.8290598290597317E-2</v>
      </c>
      <c r="Q170">
        <f t="shared" ref="Q170" si="826">F170*P170</f>
        <v>24942941.158974111</v>
      </c>
      <c r="R170">
        <f t="shared" ref="R170" si="827">R171+Q170</f>
        <v>-1469767833.7261796</v>
      </c>
      <c r="S170">
        <f t="shared" ref="S170" si="828">R170/100000</f>
        <v>-14697.678337261796</v>
      </c>
      <c r="T170">
        <f t="shared" ref="T170" si="829">S170/1000</f>
        <v>-14.697678337261795</v>
      </c>
    </row>
    <row r="171" spans="1:20" x14ac:dyDescent="0.25">
      <c r="A171" s="5">
        <v>44422</v>
      </c>
      <c r="B171">
        <v>4.6359999999999998E-2</v>
      </c>
      <c r="C171">
        <v>5.2999999999999999E-2</v>
      </c>
      <c r="D171">
        <v>4.5400000000000003E-2</v>
      </c>
      <c r="E171">
        <v>5.1020000000000003E-2</v>
      </c>
      <c r="F171">
        <v>497532265.60000002</v>
      </c>
      <c r="G171">
        <v>5.1020000000000003E-2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0.47894736842105345</v>
      </c>
      <c r="Q171">
        <f t="shared" ref="Q171" si="831">F171*P171</f>
        <v>238291769.31368464</v>
      </c>
      <c r="R171">
        <f t="shared" ref="R171" si="832">R172+Q171</f>
        <v>-1494710774.8851538</v>
      </c>
      <c r="S171">
        <f t="shared" ref="S171" si="833">R171/100000</f>
        <v>-14947.107748851538</v>
      </c>
      <c r="T171">
        <f t="shared" ref="T171" si="834">S171/1000</f>
        <v>-14.947107748851538</v>
      </c>
    </row>
    <row r="172" spans="1:20" x14ac:dyDescent="0.25">
      <c r="A172" s="5">
        <v>44421</v>
      </c>
      <c r="B172">
        <v>4.342E-2</v>
      </c>
      <c r="C172">
        <v>4.7739999999999998E-2</v>
      </c>
      <c r="D172">
        <v>4.2560000000000001E-2</v>
      </c>
      <c r="E172">
        <v>4.6350000000000002E-2</v>
      </c>
      <c r="F172">
        <v>213775683.69999999</v>
      </c>
      <c r="G172">
        <v>4.6350000000000002E-2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0.46332046332046478</v>
      </c>
      <c r="Q172">
        <f t="shared" ref="Q172" si="836">F172*P172</f>
        <v>99046648.818533123</v>
      </c>
      <c r="R172">
        <f t="shared" ref="R172" si="837">R173+Q172</f>
        <v>-1733002544.1988385</v>
      </c>
      <c r="S172">
        <f t="shared" ref="S172" si="838">R172/100000</f>
        <v>-17330.025441988386</v>
      </c>
      <c r="T172">
        <f t="shared" ref="T172" si="839">S172/1000</f>
        <v>-17.330025441988386</v>
      </c>
    </row>
    <row r="173" spans="1:20" x14ac:dyDescent="0.25">
      <c r="A173" s="5">
        <v>44420</v>
      </c>
      <c r="B173">
        <v>4.5719999999999997E-2</v>
      </c>
      <c r="C173">
        <v>4.7500000000000001E-2</v>
      </c>
      <c r="D173">
        <v>4.0820000000000002E-2</v>
      </c>
      <c r="E173">
        <v>4.3430000000000003E-2</v>
      </c>
      <c r="F173">
        <v>345953191.80000001</v>
      </c>
      <c r="G173">
        <v>4.3430000000000003E-2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-0.21856287425149645</v>
      </c>
      <c r="Q173">
        <f t="shared" ref="Q173" si="841">F173*P173</f>
        <v>-75612523.956287235</v>
      </c>
      <c r="R173">
        <f t="shared" ref="R173" si="842">R174+Q173</f>
        <v>-1832049193.0173717</v>
      </c>
      <c r="S173">
        <f t="shared" ref="S173" si="843">R173/100000</f>
        <v>-18320.491930173717</v>
      </c>
      <c r="T173">
        <f t="shared" ref="T173" si="844">S173/1000</f>
        <v>-18.320491930173716</v>
      </c>
    </row>
    <row r="174" spans="1:20" x14ac:dyDescent="0.25">
      <c r="A174" s="5">
        <v>44419</v>
      </c>
      <c r="B174">
        <v>4.2029999999999998E-2</v>
      </c>
      <c r="C174">
        <v>4.929E-2</v>
      </c>
      <c r="D174">
        <v>4.1570000000000003E-2</v>
      </c>
      <c r="E174">
        <v>4.5740000000000003E-2</v>
      </c>
      <c r="F174">
        <v>355004358.69999999</v>
      </c>
      <c r="G174">
        <v>4.5740000000000003E-2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8.0310880829015885E-2</v>
      </c>
      <c r="Q174">
        <f t="shared" ref="Q174" si="846">F174*P174</f>
        <v>28510712.745336909</v>
      </c>
      <c r="R174">
        <f t="shared" ref="R174" si="847">R175+Q174</f>
        <v>-1756436669.0610845</v>
      </c>
      <c r="S174">
        <f t="shared" ref="S174" si="848">R174/100000</f>
        <v>-17564.366690610845</v>
      </c>
      <c r="T174">
        <f t="shared" ref="T174" si="849">S174/1000</f>
        <v>-17.564366690610846</v>
      </c>
    </row>
    <row r="175" spans="1:20" x14ac:dyDescent="0.25">
      <c r="A175" s="5">
        <v>44418</v>
      </c>
      <c r="B175">
        <v>4.1419999999999998E-2</v>
      </c>
      <c r="C175">
        <v>4.5900000000000003E-2</v>
      </c>
      <c r="D175">
        <v>4.0230000000000002E-2</v>
      </c>
      <c r="E175">
        <v>4.2020000000000002E-2</v>
      </c>
      <c r="F175">
        <v>645398853.5</v>
      </c>
      <c r="G175">
        <v>4.2020000000000002E-2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-0.36860670194003547</v>
      </c>
      <c r="Q175">
        <f t="shared" ref="Q175" si="851">F175*P175</f>
        <v>-237898342.82451513</v>
      </c>
      <c r="R175">
        <f t="shared" ref="R175" si="852">R176+Q175</f>
        <v>-1784947381.8064215</v>
      </c>
      <c r="S175">
        <f t="shared" ref="S175" si="853">R175/100000</f>
        <v>-17849.473818064216</v>
      </c>
      <c r="T175">
        <f t="shared" ref="T175" si="854">S175/1000</f>
        <v>-17.849473818064215</v>
      </c>
    </row>
    <row r="176" spans="1:20" x14ac:dyDescent="0.25">
      <c r="A176" s="5">
        <v>44417</v>
      </c>
      <c r="B176">
        <v>3.5970000000000002E-2</v>
      </c>
      <c r="C176">
        <v>4.2200000000000001E-2</v>
      </c>
      <c r="D176">
        <v>3.4430000000000002E-2</v>
      </c>
      <c r="E176">
        <v>4.1450000000000001E-2</v>
      </c>
      <c r="F176">
        <v>428079256.19999999</v>
      </c>
      <c r="G176">
        <v>4.1450000000000001E-2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0.80694980694980678</v>
      </c>
      <c r="Q176">
        <f t="shared" ref="Q176" si="856">F176*P176</f>
        <v>345438473.14980686</v>
      </c>
      <c r="R176">
        <f t="shared" ref="R176" si="857">R177+Q176</f>
        <v>-1547049038.9819064</v>
      </c>
      <c r="S176">
        <f t="shared" ref="S176" si="858">R176/100000</f>
        <v>-15470.490389819064</v>
      </c>
      <c r="T176">
        <f t="shared" ref="T176" si="859">S176/1000</f>
        <v>-15.470490389819064</v>
      </c>
    </row>
    <row r="177" spans="1:20" x14ac:dyDescent="0.25">
      <c r="A177" s="5">
        <v>44416</v>
      </c>
      <c r="B177">
        <v>3.7949999999999998E-2</v>
      </c>
      <c r="C177">
        <v>3.8190000000000002E-2</v>
      </c>
      <c r="D177">
        <v>3.5819999999999998E-2</v>
      </c>
      <c r="E177">
        <v>3.5979999999999998E-2</v>
      </c>
      <c r="F177">
        <v>244815168.09999999</v>
      </c>
      <c r="G177">
        <v>3.5979999999999998E-2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-0.86497890295358637</v>
      </c>
      <c r="Q177">
        <f t="shared" ref="Q177" si="861">F177*P177</f>
        <v>-211759955.52953583</v>
      </c>
      <c r="R177">
        <f t="shared" ref="R177" si="862">R178+Q177</f>
        <v>-1892487512.1317134</v>
      </c>
      <c r="S177">
        <f t="shared" ref="S177" si="863">R177/100000</f>
        <v>-18924.875121317134</v>
      </c>
      <c r="T177">
        <f t="shared" ref="T177" si="864">S177/1000</f>
        <v>-18.924875121317136</v>
      </c>
    </row>
    <row r="178" spans="1:20" x14ac:dyDescent="0.25">
      <c r="A178" s="5">
        <v>44415</v>
      </c>
      <c r="B178">
        <v>3.5110000000000002E-2</v>
      </c>
      <c r="C178">
        <v>3.8899999999999997E-2</v>
      </c>
      <c r="D178">
        <v>3.4610000000000002E-2</v>
      </c>
      <c r="E178">
        <v>3.7940000000000002E-2</v>
      </c>
      <c r="F178">
        <v>328621722.39999998</v>
      </c>
      <c r="G178">
        <v>3.7940000000000002E-2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0.55244755244755406</v>
      </c>
      <c r="Q178">
        <f t="shared" ref="Q178" si="866">F178*P178</f>
        <v>181546266.22097954</v>
      </c>
      <c r="R178">
        <f t="shared" ref="R178" si="867">R179+Q178</f>
        <v>-1680727556.6021776</v>
      </c>
      <c r="S178">
        <f t="shared" ref="S178" si="868">R178/100000</f>
        <v>-16807.275566021777</v>
      </c>
      <c r="T178">
        <f t="shared" ref="T178" si="869">S178/1000</f>
        <v>-16.807275566021776</v>
      </c>
    </row>
    <row r="179" spans="1:20" x14ac:dyDescent="0.25">
      <c r="A179" s="5">
        <v>44414</v>
      </c>
      <c r="B179">
        <v>3.424E-2</v>
      </c>
      <c r="C179">
        <v>3.5999999999999997E-2</v>
      </c>
      <c r="D179">
        <v>3.3700000000000001E-2</v>
      </c>
      <c r="E179">
        <v>3.5009999999999999E-2</v>
      </c>
      <c r="F179">
        <v>228716897.90000001</v>
      </c>
      <c r="G179">
        <v>3.5009999999999999E-2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0.13913043478260928</v>
      </c>
      <c r="Q179">
        <f t="shared" ref="Q179" si="871">F179*P179</f>
        <v>31821481.446956657</v>
      </c>
      <c r="R179">
        <f t="shared" ref="R179" si="872">R180+Q179</f>
        <v>-1862273822.8231571</v>
      </c>
      <c r="S179">
        <f t="shared" ref="S179" si="873">R179/100000</f>
        <v>-18622.73822823157</v>
      </c>
      <c r="T179">
        <f t="shared" ref="T179" si="874">S179/1000</f>
        <v>-18.622738228231569</v>
      </c>
    </row>
    <row r="180" spans="1:20" x14ac:dyDescent="0.25">
      <c r="A180" s="5">
        <v>44413</v>
      </c>
      <c r="B180">
        <v>3.1130000000000001E-2</v>
      </c>
      <c r="C180">
        <v>3.56E-2</v>
      </c>
      <c r="D180">
        <v>3.0769999999999999E-2</v>
      </c>
      <c r="E180">
        <v>3.4200000000000001E-2</v>
      </c>
      <c r="F180">
        <v>564552685.5</v>
      </c>
      <c r="G180">
        <v>3.4200000000000001E-2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0.42028985507246452</v>
      </c>
      <c r="Q180">
        <f t="shared" ref="Q180" si="876">F180*P180</f>
        <v>237275766.36956564</v>
      </c>
      <c r="R180">
        <f t="shared" ref="R180" si="877">R181+Q180</f>
        <v>-1894095304.2701137</v>
      </c>
      <c r="S180">
        <f t="shared" ref="S180" si="878">R180/100000</f>
        <v>-18940.953042701138</v>
      </c>
      <c r="T180">
        <f t="shared" ref="T180" si="879">S180/1000</f>
        <v>-18.940953042701139</v>
      </c>
    </row>
    <row r="181" spans="1:20" x14ac:dyDescent="0.25">
      <c r="A181" s="5">
        <v>44412</v>
      </c>
      <c r="B181">
        <v>2.9839999999999998E-2</v>
      </c>
      <c r="C181">
        <v>3.1809999999999998E-2</v>
      </c>
      <c r="D181">
        <v>2.9250000000000002E-2</v>
      </c>
      <c r="E181">
        <v>3.1060000000000001E-2</v>
      </c>
      <c r="F181">
        <v>155991890.80000001</v>
      </c>
      <c r="G181">
        <v>3.1060000000000001E-2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0.41406250000000133</v>
      </c>
      <c r="Q181">
        <f t="shared" ref="Q181" si="881">F181*P181</f>
        <v>64590392.284375213</v>
      </c>
      <c r="R181">
        <f t="shared" ref="R181" si="882">R182+Q181</f>
        <v>-2131371070.6396794</v>
      </c>
      <c r="S181">
        <f t="shared" ref="S181" si="883">R181/100000</f>
        <v>-21313.710706396796</v>
      </c>
      <c r="T181">
        <f t="shared" ref="T181" si="884">S181/1000</f>
        <v>-21.313710706396797</v>
      </c>
    </row>
    <row r="182" spans="1:20" x14ac:dyDescent="0.25">
      <c r="A182" s="5">
        <v>44411</v>
      </c>
      <c r="B182">
        <v>3.1570000000000001E-2</v>
      </c>
      <c r="C182">
        <v>3.2030000000000003E-2</v>
      </c>
      <c r="D182">
        <v>2.8969999999999999E-2</v>
      </c>
      <c r="E182">
        <v>2.9819999999999999E-2</v>
      </c>
      <c r="F182">
        <v>192191827.09999999</v>
      </c>
      <c r="G182">
        <v>2.9819999999999999E-2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-0.44444444444444509</v>
      </c>
      <c r="Q182">
        <f t="shared" ref="Q182" si="886">F182*P182</f>
        <v>-85418589.822222337</v>
      </c>
      <c r="R182">
        <f t="shared" ref="R182" si="887">R183+Q182</f>
        <v>-2195961462.9240546</v>
      </c>
      <c r="S182">
        <f t="shared" ref="S182" si="888">R182/100000</f>
        <v>-21959.614629240546</v>
      </c>
      <c r="T182">
        <f t="shared" ref="T182" si="889">S182/1000</f>
        <v>-21.959614629240548</v>
      </c>
    </row>
    <row r="183" spans="1:20" x14ac:dyDescent="0.25">
      <c r="A183" s="5">
        <v>44410</v>
      </c>
      <c r="B183">
        <v>3.0980000000000001E-2</v>
      </c>
      <c r="C183">
        <v>3.2239999999999998E-2</v>
      </c>
      <c r="D183">
        <v>3.0700000000000002E-2</v>
      </c>
      <c r="E183">
        <v>3.1510000000000003E-2</v>
      </c>
      <c r="F183">
        <v>218555151.30000001</v>
      </c>
      <c r="G183">
        <v>3.1510000000000003E-2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5.1948051948056718E-2</v>
      </c>
      <c r="Q183">
        <f t="shared" ref="Q183" si="891">F183*P183</f>
        <v>11353514.353247797</v>
      </c>
      <c r="R183">
        <f t="shared" ref="R183" si="892">R184+Q183</f>
        <v>-2110542873.1018322</v>
      </c>
      <c r="S183">
        <f t="shared" ref="S183" si="893">R183/100000</f>
        <v>-21105.428731018321</v>
      </c>
      <c r="T183">
        <f t="shared" ref="T183" si="894">S183/1000</f>
        <v>-21.105428731018321</v>
      </c>
    </row>
    <row r="184" spans="1:20" x14ac:dyDescent="0.25">
      <c r="A184" s="5">
        <v>44409</v>
      </c>
      <c r="B184">
        <v>3.2809999999999999E-2</v>
      </c>
      <c r="C184">
        <v>3.5020000000000003E-2</v>
      </c>
      <c r="D184">
        <v>3.0710000000000001E-2</v>
      </c>
      <c r="E184">
        <v>3.0970000000000001E-2</v>
      </c>
      <c r="F184">
        <v>384807391.89999998</v>
      </c>
      <c r="G184">
        <v>3.0970000000000001E-2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-0.8793503480278424</v>
      </c>
      <c r="Q184">
        <f t="shared" ref="Q184" si="896">F184*P184</f>
        <v>-338380513.9909513</v>
      </c>
      <c r="R184">
        <f t="shared" ref="R184" si="897">R185+Q184</f>
        <v>-2121896387.45508</v>
      </c>
      <c r="S184">
        <f t="shared" ref="S184" si="898">R184/100000</f>
        <v>-21218.963874550802</v>
      </c>
      <c r="T184">
        <f t="shared" ref="T184" si="899">S184/1000</f>
        <v>-21.218963874550802</v>
      </c>
    </row>
    <row r="185" spans="1:20" x14ac:dyDescent="0.25">
      <c r="A185" s="5">
        <v>44408</v>
      </c>
      <c r="B185">
        <v>2.9950000000000001E-2</v>
      </c>
      <c r="C185">
        <v>3.3099999999999997E-2</v>
      </c>
      <c r="D185">
        <v>2.8840000000000001E-2</v>
      </c>
      <c r="E185">
        <v>3.2800000000000003E-2</v>
      </c>
      <c r="F185">
        <v>326368582.69999999</v>
      </c>
      <c r="G185">
        <v>3.2800000000000003E-2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0.8591549295774672</v>
      </c>
      <c r="Q185">
        <f t="shared" ref="Q185" si="901">F185*P185</f>
        <v>280401176.68591624</v>
      </c>
      <c r="R185">
        <f t="shared" ref="R185" si="902">R186+Q185</f>
        <v>-1783515873.4641287</v>
      </c>
      <c r="S185">
        <f t="shared" ref="S185" si="903">R185/100000</f>
        <v>-17835.158734641289</v>
      </c>
      <c r="T185">
        <f t="shared" ref="T185" si="904">S185/1000</f>
        <v>-17.83515873464129</v>
      </c>
    </row>
    <row r="186" spans="1:20" x14ac:dyDescent="0.25">
      <c r="A186" s="5">
        <v>44407</v>
      </c>
      <c r="B186">
        <v>3.015E-2</v>
      </c>
      <c r="C186">
        <v>3.0269999999999998E-2</v>
      </c>
      <c r="D186">
        <v>2.7619999999999999E-2</v>
      </c>
      <c r="E186">
        <v>2.988E-2</v>
      </c>
      <c r="F186">
        <v>330657252.30000001</v>
      </c>
      <c r="G186">
        <v>2.988E-2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0.70566037735849207</v>
      </c>
      <c r="Q186">
        <f t="shared" ref="Q186" si="906">F186*P186</f>
        <v>233331721.43434012</v>
      </c>
      <c r="R186">
        <f t="shared" ref="R186" si="907">R187+Q186</f>
        <v>-2063917050.1500449</v>
      </c>
      <c r="S186">
        <f t="shared" ref="S186" si="908">R186/100000</f>
        <v>-20639.170501500448</v>
      </c>
      <c r="T186">
        <f t="shared" ref="T186" si="909">S186/1000</f>
        <v>-20.639170501500448</v>
      </c>
    </row>
    <row r="187" spans="1:20" x14ac:dyDescent="0.25">
      <c r="A187" s="5">
        <v>44406</v>
      </c>
      <c r="B187">
        <v>2.7810000000000001E-2</v>
      </c>
      <c r="C187">
        <v>3.0429999999999999E-2</v>
      </c>
      <c r="D187">
        <v>2.7140000000000001E-2</v>
      </c>
      <c r="E187">
        <v>3.0110000000000001E-2</v>
      </c>
      <c r="F187">
        <v>913150355.29999995</v>
      </c>
      <c r="G187">
        <v>3.0110000000000001E-2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0.80547112462006221</v>
      </c>
      <c r="Q187">
        <f t="shared" ref="Q187" si="911">F187*P187</f>
        <v>735516243.63070035</v>
      </c>
      <c r="R187">
        <f t="shared" ref="R187" si="912">R188+Q187</f>
        <v>-2297248771.5843849</v>
      </c>
      <c r="S187">
        <f t="shared" ref="S187" si="913">R187/100000</f>
        <v>-22972.48771584385</v>
      </c>
      <c r="T187">
        <f t="shared" ref="T187" si="914">S187/1000</f>
        <v>-22.972487715843851</v>
      </c>
    </row>
    <row r="188" spans="1:20" x14ac:dyDescent="0.25">
      <c r="A188" s="5">
        <v>44405</v>
      </c>
      <c r="B188">
        <v>2.809E-2</v>
      </c>
      <c r="C188">
        <v>2.8580000000000001E-2</v>
      </c>
      <c r="D188">
        <v>2.7E-2</v>
      </c>
      <c r="E188">
        <v>2.7799999999999998E-2</v>
      </c>
      <c r="F188">
        <v>172591793.40000001</v>
      </c>
      <c r="G188">
        <v>2.7799999999999998E-2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1.2658227848098542E-2</v>
      </c>
      <c r="Q188">
        <f t="shared" ref="Q188" si="916">F188*P188</f>
        <v>2184706.2455691504</v>
      </c>
      <c r="R188">
        <f t="shared" ref="R188" si="917">R189+Q188</f>
        <v>-3032765015.215085</v>
      </c>
      <c r="S188">
        <f t="shared" ref="S188" si="918">R188/100000</f>
        <v>-30327.650152150851</v>
      </c>
      <c r="T188">
        <f t="shared" ref="T188" si="919">S188/1000</f>
        <v>-30.327650152150852</v>
      </c>
    </row>
    <row r="189" spans="1:20" x14ac:dyDescent="0.25">
      <c r="A189" s="5">
        <v>44404</v>
      </c>
      <c r="B189">
        <v>2.6849999999999999E-2</v>
      </c>
      <c r="C189">
        <v>2.887E-2</v>
      </c>
      <c r="D189">
        <v>2.528E-2</v>
      </c>
      <c r="E189">
        <v>2.8080000000000001E-2</v>
      </c>
      <c r="F189">
        <v>286850733.10000002</v>
      </c>
      <c r="G189">
        <v>2.8080000000000001E-2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0.55988857938718706</v>
      </c>
      <c r="Q189">
        <f t="shared" ref="Q189" si="921">F189*P189</f>
        <v>160604449.45153216</v>
      </c>
      <c r="R189">
        <f t="shared" ref="R189" si="922">R190+Q189</f>
        <v>-3034949721.4606543</v>
      </c>
      <c r="S189">
        <f t="shared" ref="S189" si="923">R189/100000</f>
        <v>-30349.497214606541</v>
      </c>
      <c r="T189">
        <f t="shared" ref="T189" si="924">S189/1000</f>
        <v>-30.34949721460654</v>
      </c>
    </row>
    <row r="190" spans="1:20" x14ac:dyDescent="0.25">
      <c r="A190" s="5">
        <v>44403</v>
      </c>
      <c r="B190">
        <v>2.7949999999999999E-2</v>
      </c>
      <c r="C190">
        <v>3.0859999999999999E-2</v>
      </c>
      <c r="D190">
        <v>2.6800000000000001E-2</v>
      </c>
      <c r="E190">
        <v>2.6859999999999998E-2</v>
      </c>
      <c r="F190">
        <v>393681874.80000001</v>
      </c>
      <c r="G190">
        <v>2.6859999999999998E-2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-0.97044334975369573</v>
      </c>
      <c r="Q190">
        <f t="shared" ref="Q190" si="926">F190*P190</f>
        <v>-382045957.31822705</v>
      </c>
      <c r="R190">
        <f t="shared" ref="R190" si="927">R191+Q190</f>
        <v>-3195554170.9121866</v>
      </c>
      <c r="S190">
        <f t="shared" ref="S190" si="928">R190/100000</f>
        <v>-31955.541709121866</v>
      </c>
      <c r="T190">
        <f t="shared" ref="T190" si="929">S190/1000</f>
        <v>-31.955541709121867</v>
      </c>
    </row>
    <row r="191" spans="1:20" x14ac:dyDescent="0.25">
      <c r="A191" s="5">
        <v>44402</v>
      </c>
      <c r="B191">
        <v>2.588E-2</v>
      </c>
      <c r="C191">
        <v>2.8979999999999999E-2</v>
      </c>
      <c r="D191">
        <v>2.479E-2</v>
      </c>
      <c r="E191">
        <v>2.7949999999999999E-2</v>
      </c>
      <c r="F191">
        <v>552344492.60000002</v>
      </c>
      <c r="G191">
        <v>2.7949999999999999E-2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0.50835322195704069</v>
      </c>
      <c r="Q191">
        <f t="shared" ref="Q191" si="931">F191*P191</f>
        <v>280786102.44343686</v>
      </c>
      <c r="R191">
        <f t="shared" ref="R191" si="932">R192+Q191</f>
        <v>-2813508213.5939598</v>
      </c>
      <c r="S191">
        <f t="shared" ref="S191" si="933">R191/100000</f>
        <v>-28135.0821359396</v>
      </c>
      <c r="T191">
        <f t="shared" ref="T191" si="934">S191/1000</f>
        <v>-28.135082135939598</v>
      </c>
    </row>
    <row r="192" spans="1:20" x14ac:dyDescent="0.25">
      <c r="A192" s="5">
        <v>44401</v>
      </c>
      <c r="B192">
        <v>2.5329999999999998E-2</v>
      </c>
      <c r="C192">
        <v>2.647E-2</v>
      </c>
      <c r="D192">
        <v>2.4819999999999998E-2</v>
      </c>
      <c r="E192">
        <v>2.589E-2</v>
      </c>
      <c r="F192">
        <v>202852268.69999999</v>
      </c>
      <c r="G192">
        <v>2.589E-2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0.29696969696969711</v>
      </c>
      <c r="Q192">
        <f t="shared" ref="Q192" si="936">F192*P192</f>
        <v>60240976.765454568</v>
      </c>
      <c r="R192">
        <f t="shared" ref="R192" si="937">R193+Q192</f>
        <v>-3094294316.0373964</v>
      </c>
      <c r="S192">
        <f t="shared" ref="S192" si="938">R192/100000</f>
        <v>-30942.943160373965</v>
      </c>
      <c r="T192">
        <f t="shared" ref="T192:T197" si="939">S192/1000</f>
        <v>-30.942943160373964</v>
      </c>
    </row>
    <row r="193" spans="1:20" x14ac:dyDescent="0.25">
      <c r="A193" s="5">
        <v>44400</v>
      </c>
      <c r="B193">
        <v>2.513E-2</v>
      </c>
      <c r="C193">
        <v>2.596E-2</v>
      </c>
      <c r="D193">
        <v>2.3269999999999999E-2</v>
      </c>
      <c r="E193">
        <v>2.537E-2</v>
      </c>
      <c r="F193">
        <v>234987364</v>
      </c>
      <c r="G193">
        <v>2.537E-2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0.56133828996282531</v>
      </c>
      <c r="Q193">
        <f t="shared" ref="Q193" si="941">F193*P193</f>
        <v>131907405.07063198</v>
      </c>
      <c r="R193">
        <f t="shared" ref="R193" si="942">R194+Q193</f>
        <v>-3154535292.8028512</v>
      </c>
      <c r="S193">
        <f t="shared" ref="S193" si="943">R193/100000</f>
        <v>-31545.352928028511</v>
      </c>
      <c r="T193">
        <f t="shared" si="939"/>
        <v>-31.54535292802851</v>
      </c>
    </row>
    <row r="194" spans="1:20" x14ac:dyDescent="0.25">
      <c r="A194" s="5">
        <v>44399</v>
      </c>
      <c r="B194">
        <v>2.3109999999999999E-2</v>
      </c>
      <c r="C194">
        <v>2.5499999999999998E-2</v>
      </c>
      <c r="D194">
        <v>2.2249999999999999E-2</v>
      </c>
      <c r="E194">
        <v>2.5139999999999999E-2</v>
      </c>
      <c r="F194">
        <v>253911970.5</v>
      </c>
      <c r="G194">
        <v>2.5139999999999999E-2</v>
      </c>
      <c r="L194" t="s">
        <v>8</v>
      </c>
      <c r="M194" t="s">
        <v>8</v>
      </c>
      <c r="N194" t="s">
        <v>7</v>
      </c>
      <c r="P194">
        <f t="shared" ref="P194" si="944">IF(C194=D194,0,((E194-D194)-(C194-E194))/(C194-D194))</f>
        <v>0.77846153846153887</v>
      </c>
      <c r="Q194">
        <f t="shared" ref="Q194" si="945">F194*P194</f>
        <v>197660703.18923086</v>
      </c>
      <c r="R194">
        <f t="shared" ref="R194" si="946">R195+Q194</f>
        <v>-3286442697.8734832</v>
      </c>
      <c r="S194">
        <f t="shared" ref="S194" si="947">R194/100000</f>
        <v>-32864.426978734831</v>
      </c>
      <c r="T194">
        <f t="shared" si="939"/>
        <v>-32.864426978734834</v>
      </c>
    </row>
    <row r="195" spans="1:20" x14ac:dyDescent="0.25">
      <c r="A195" s="5">
        <v>44398</v>
      </c>
      <c r="B195">
        <v>2.077E-2</v>
      </c>
      <c r="C195">
        <v>2.3800000000000002E-2</v>
      </c>
      <c r="D195">
        <v>2.0060000000000001E-2</v>
      </c>
      <c r="E195">
        <v>2.3099999999999999E-2</v>
      </c>
      <c r="F195">
        <v>265501081.19999999</v>
      </c>
      <c r="G195">
        <v>2.3099999999999999E-2</v>
      </c>
      <c r="L195" t="s">
        <v>8</v>
      </c>
      <c r="M195" t="s">
        <v>8</v>
      </c>
      <c r="N195" t="s">
        <v>7</v>
      </c>
      <c r="P195">
        <f t="shared" ref="P195" si="948">IF(C195=D195,0,((E195-D195)-(C195-E195))/(C195-D195))</f>
        <v>0.62566844919785958</v>
      </c>
      <c r="Q195">
        <f t="shared" ref="Q195" si="949">F195*P195</f>
        <v>166115649.73475897</v>
      </c>
      <c r="R195">
        <f t="shared" ref="R195" si="950">R196+Q195</f>
        <v>-3484103401.0627141</v>
      </c>
      <c r="S195">
        <f t="shared" ref="S195" si="951">R195/100000</f>
        <v>-34841.03401062714</v>
      </c>
      <c r="T195">
        <f t="shared" si="939"/>
        <v>-34.841034010627141</v>
      </c>
    </row>
    <row r="196" spans="1:20" x14ac:dyDescent="0.25">
      <c r="A196" s="5">
        <v>44397</v>
      </c>
      <c r="B196">
        <v>2.2290000000000001E-2</v>
      </c>
      <c r="C196">
        <v>2.2950000000000002E-2</v>
      </c>
      <c r="D196">
        <v>1.9820000000000001E-2</v>
      </c>
      <c r="E196">
        <v>2.0740000000000001E-2</v>
      </c>
      <c r="F196">
        <v>292023904.5</v>
      </c>
      <c r="G196">
        <v>2.0740000000000001E-2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-0.41214057507987195</v>
      </c>
      <c r="Q196">
        <f t="shared" ref="Q196" si="953">F196*P196</f>
        <v>-120354899.9376996</v>
      </c>
      <c r="R196">
        <f t="shared" ref="R196" si="954">R197+Q196</f>
        <v>-3650219050.797473</v>
      </c>
      <c r="S196">
        <f t="shared" ref="S196" si="955">R196/100000</f>
        <v>-36502.19050797473</v>
      </c>
      <c r="T196">
        <f t="shared" si="939"/>
        <v>-36.502190507974731</v>
      </c>
    </row>
    <row r="197" spans="1:20" x14ac:dyDescent="0.25">
      <c r="A197" s="5">
        <v>44396</v>
      </c>
      <c r="B197">
        <v>2.6159999999999999E-2</v>
      </c>
      <c r="C197">
        <v>2.648E-2</v>
      </c>
      <c r="D197">
        <v>2.2089999999999999E-2</v>
      </c>
      <c r="E197">
        <v>2.2280000000000001E-2</v>
      </c>
      <c r="F197">
        <v>352250613.30000001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-0.91343963553530638</v>
      </c>
      <c r="Q197">
        <f t="shared" ref="Q197" si="957">F197*P197</f>
        <v>-321759671.82984018</v>
      </c>
      <c r="R197">
        <f t="shared" ref="R197" si="958">R198+Q197</f>
        <v>-3529864150.8597732</v>
      </c>
      <c r="S197">
        <f t="shared" ref="S197" si="959">R197/100000</f>
        <v>-35298.641508597735</v>
      </c>
      <c r="T197">
        <f t="shared" si="939"/>
        <v>-35.298641508597733</v>
      </c>
    </row>
    <row r="198" spans="1:20" x14ac:dyDescent="0.25">
      <c r="A198" s="5">
        <v>44395</v>
      </c>
      <c r="B198">
        <v>2.3199999999999998E-2</v>
      </c>
      <c r="C198">
        <v>2.6700000000000002E-2</v>
      </c>
      <c r="D198">
        <v>2.315E-2</v>
      </c>
      <c r="E198">
        <v>2.615E-2</v>
      </c>
      <c r="F198">
        <v>339109682.80000001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60">IF(C198=D198,0,((E198-D198)-(C198-E198))/(C198-D198))</f>
        <v>0.69014084507042162</v>
      </c>
      <c r="Q198">
        <f t="shared" ref="Q198:Q261" si="961">F198*P198</f>
        <v>234033443.05915463</v>
      </c>
      <c r="R198">
        <f t="shared" ref="R198:R261" si="962">R199+Q198</f>
        <v>-3208104479.029933</v>
      </c>
      <c r="S198">
        <f t="shared" ref="S198:S261" si="963">R198/100000</f>
        <v>-32081.044790299329</v>
      </c>
      <c r="T198">
        <f t="shared" ref="T198:T261" si="964">S198/1000</f>
        <v>-32.08104479029933</v>
      </c>
    </row>
    <row r="199" spans="1:20" x14ac:dyDescent="0.25">
      <c r="A199" s="5">
        <v>44394</v>
      </c>
      <c r="B199">
        <v>2.2769999999999999E-2</v>
      </c>
      <c r="C199">
        <v>2.445E-2</v>
      </c>
      <c r="D199">
        <v>2.2270000000000002E-2</v>
      </c>
      <c r="E199">
        <v>2.324E-2</v>
      </c>
      <c r="F199">
        <v>177705077.80000001</v>
      </c>
      <c r="G199">
        <v>0</v>
      </c>
      <c r="L199" t="s">
        <v>7</v>
      </c>
      <c r="M199" t="s">
        <v>7</v>
      </c>
      <c r="N199" t="s">
        <v>7</v>
      </c>
      <c r="P199">
        <f t="shared" si="960"/>
        <v>-0.11009174311926645</v>
      </c>
      <c r="Q199">
        <f t="shared" si="961"/>
        <v>-19563861.776146859</v>
      </c>
      <c r="R199">
        <f t="shared" si="962"/>
        <v>-3442137922.0890875</v>
      </c>
      <c r="S199">
        <f t="shared" si="963"/>
        <v>-34421.379220890878</v>
      </c>
      <c r="T199">
        <f t="shared" si="964"/>
        <v>-34.421379220890877</v>
      </c>
    </row>
    <row r="200" spans="1:20" x14ac:dyDescent="0.25">
      <c r="A200" s="5">
        <v>44393</v>
      </c>
      <c r="B200">
        <v>2.4969999999999999E-2</v>
      </c>
      <c r="C200">
        <v>2.5760000000000002E-2</v>
      </c>
      <c r="D200">
        <v>2.2710000000000001E-2</v>
      </c>
      <c r="E200">
        <v>2.2769999999999999E-2</v>
      </c>
      <c r="F200">
        <v>226234740.09999999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-0.96065573770491963</v>
      </c>
      <c r="Q200">
        <f t="shared" si="961"/>
        <v>-217333701.14524627</v>
      </c>
      <c r="R200">
        <f t="shared" si="962"/>
        <v>-3422574060.3129406</v>
      </c>
      <c r="S200">
        <f t="shared" si="963"/>
        <v>-34225.740603129409</v>
      </c>
      <c r="T200">
        <f t="shared" si="964"/>
        <v>-34.22574060312941</v>
      </c>
    </row>
    <row r="201" spans="1:20" x14ac:dyDescent="0.25">
      <c r="A201" s="5">
        <v>44392</v>
      </c>
      <c r="B201">
        <v>2.707E-2</v>
      </c>
      <c r="C201">
        <v>2.7730000000000001E-2</v>
      </c>
      <c r="D201">
        <v>2.4219999999999998E-2</v>
      </c>
      <c r="E201">
        <v>2.4920000000000001E-2</v>
      </c>
      <c r="F201">
        <v>223534394.80000001</v>
      </c>
      <c r="G201">
        <v>0</v>
      </c>
      <c r="L201" t="s">
        <v>7</v>
      </c>
      <c r="M201" t="s">
        <v>7</v>
      </c>
      <c r="N201" t="s">
        <v>7</v>
      </c>
      <c r="P201">
        <f t="shared" si="960"/>
        <v>-0.60113960113959986</v>
      </c>
      <c r="Q201">
        <f t="shared" si="961"/>
        <v>-134375376.93105385</v>
      </c>
      <c r="R201">
        <f t="shared" si="962"/>
        <v>-3205240359.1676946</v>
      </c>
      <c r="S201">
        <f t="shared" si="963"/>
        <v>-32052.403591676946</v>
      </c>
      <c r="T201">
        <f t="shared" si="964"/>
        <v>-32.052403591676949</v>
      </c>
    </row>
    <row r="202" spans="1:20" x14ac:dyDescent="0.25">
      <c r="A202" s="5">
        <v>44391</v>
      </c>
      <c r="B202">
        <v>2.7640000000000001E-2</v>
      </c>
      <c r="C202">
        <v>2.775E-2</v>
      </c>
      <c r="D202">
        <v>2.5000000000000001E-2</v>
      </c>
      <c r="E202">
        <v>2.708E-2</v>
      </c>
      <c r="F202">
        <v>221928736.40000001</v>
      </c>
      <c r="G202">
        <v>0</v>
      </c>
      <c r="L202" t="s">
        <v>7</v>
      </c>
      <c r="M202" t="s">
        <v>7</v>
      </c>
      <c r="N202" t="s">
        <v>8</v>
      </c>
      <c r="P202">
        <f t="shared" si="960"/>
        <v>0.51272727272727225</v>
      </c>
      <c r="Q202">
        <f t="shared" si="961"/>
        <v>113788915.75418171</v>
      </c>
      <c r="R202">
        <f t="shared" si="962"/>
        <v>-3070864982.2366409</v>
      </c>
      <c r="S202">
        <f t="shared" si="963"/>
        <v>-30708.649822366409</v>
      </c>
      <c r="T202">
        <f t="shared" si="964"/>
        <v>-30.708649822366411</v>
      </c>
    </row>
    <row r="203" spans="1:20" x14ac:dyDescent="0.25">
      <c r="A203" s="5">
        <v>44390</v>
      </c>
      <c r="B203">
        <v>2.8709999999999999E-2</v>
      </c>
      <c r="C203">
        <v>2.9100000000000001E-2</v>
      </c>
      <c r="D203">
        <v>2.7019999999999999E-2</v>
      </c>
      <c r="E203">
        <v>2.7619999999999999E-2</v>
      </c>
      <c r="F203">
        <v>162653949.69999999</v>
      </c>
      <c r="G203">
        <v>0</v>
      </c>
      <c r="L203" t="s">
        <v>7</v>
      </c>
      <c r="M203" t="s">
        <v>7</v>
      </c>
      <c r="N203" t="s">
        <v>8</v>
      </c>
      <c r="P203">
        <f t="shared" si="960"/>
        <v>-0.42307692307692379</v>
      </c>
      <c r="Q203">
        <f t="shared" si="961"/>
        <v>-68815132.565384731</v>
      </c>
      <c r="R203">
        <f t="shared" si="962"/>
        <v>-3184653897.9908228</v>
      </c>
      <c r="S203">
        <f t="shared" si="963"/>
        <v>-31846.53897990823</v>
      </c>
      <c r="T203">
        <f t="shared" si="964"/>
        <v>-31.846538979908228</v>
      </c>
    </row>
    <row r="204" spans="1:20" x14ac:dyDescent="0.25">
      <c r="A204" s="5">
        <v>44389</v>
      </c>
      <c r="B204">
        <v>3.039E-2</v>
      </c>
      <c r="C204">
        <v>3.065E-2</v>
      </c>
      <c r="D204">
        <v>2.8000000000000001E-2</v>
      </c>
      <c r="E204">
        <v>2.8719999999999999E-2</v>
      </c>
      <c r="F204">
        <v>206906751.19999999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-0.45660377358490678</v>
      </c>
      <c r="Q204">
        <f t="shared" si="961"/>
        <v>-94474403.378113434</v>
      </c>
      <c r="R204">
        <f t="shared" si="962"/>
        <v>-3115838765.4254379</v>
      </c>
      <c r="S204">
        <f t="shared" si="963"/>
        <v>-31158.38765425438</v>
      </c>
      <c r="T204">
        <f t="shared" si="964"/>
        <v>-31.15838765425438</v>
      </c>
    </row>
    <row r="205" spans="1:20" x14ac:dyDescent="0.25">
      <c r="A205" s="5">
        <v>44388</v>
      </c>
      <c r="B205">
        <v>2.8080000000000001E-2</v>
      </c>
      <c r="C205">
        <v>3.1300000000000001E-2</v>
      </c>
      <c r="D205">
        <v>2.7859999999999999E-2</v>
      </c>
      <c r="E205">
        <v>3.0419999999999999E-2</v>
      </c>
      <c r="F205">
        <v>268052329</v>
      </c>
      <c r="G205">
        <v>0</v>
      </c>
      <c r="L205" t="s">
        <v>8</v>
      </c>
      <c r="M205" t="s">
        <v>7</v>
      </c>
      <c r="N205" t="s">
        <v>8</v>
      </c>
      <c r="P205">
        <f t="shared" si="960"/>
        <v>0.48837209302325479</v>
      </c>
      <c r="Q205">
        <f t="shared" si="961"/>
        <v>130909276.9534881</v>
      </c>
      <c r="R205">
        <f t="shared" si="962"/>
        <v>-3021364362.0473247</v>
      </c>
      <c r="S205">
        <f t="shared" si="963"/>
        <v>-30213.643620473245</v>
      </c>
      <c r="T205">
        <f t="shared" si="964"/>
        <v>-30.213643620473245</v>
      </c>
    </row>
    <row r="206" spans="1:20" x14ac:dyDescent="0.25">
      <c r="A206" s="5">
        <v>44387</v>
      </c>
      <c r="B206">
        <v>2.853E-2</v>
      </c>
      <c r="C206">
        <v>2.9739999999999999E-2</v>
      </c>
      <c r="D206">
        <v>2.716E-2</v>
      </c>
      <c r="E206">
        <v>2.8129999999999999E-2</v>
      </c>
      <c r="F206">
        <v>171960581.40000001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-0.24806201550387671</v>
      </c>
      <c r="Q206">
        <f t="shared" si="961"/>
        <v>-42656888.409302458</v>
      </c>
      <c r="R206">
        <f t="shared" si="962"/>
        <v>-3152273639.0008125</v>
      </c>
      <c r="S206">
        <f t="shared" si="963"/>
        <v>-31522.736390008125</v>
      </c>
      <c r="T206">
        <f t="shared" si="964"/>
        <v>-31.522736390008127</v>
      </c>
    </row>
    <row r="207" spans="1:20" x14ac:dyDescent="0.25">
      <c r="A207" s="5">
        <v>44386</v>
      </c>
      <c r="B207">
        <v>2.8629999999999999E-2</v>
      </c>
      <c r="C207">
        <v>2.9440000000000001E-2</v>
      </c>
      <c r="D207">
        <v>2.639E-2</v>
      </c>
      <c r="E207">
        <v>2.8500000000000001E-2</v>
      </c>
      <c r="F207">
        <v>255336727.40000001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0.38360655737704941</v>
      </c>
      <c r="Q207">
        <f t="shared" si="961"/>
        <v>97948842.969836131</v>
      </c>
      <c r="R207">
        <f t="shared" si="962"/>
        <v>-3109616750.5915103</v>
      </c>
      <c r="S207">
        <f t="shared" si="963"/>
        <v>-31096.167505915102</v>
      </c>
      <c r="T207">
        <f t="shared" si="964"/>
        <v>-31.096167505915101</v>
      </c>
    </row>
    <row r="208" spans="1:20" x14ac:dyDescent="0.25">
      <c r="A208" s="5">
        <v>44385</v>
      </c>
      <c r="B208">
        <v>3.168E-2</v>
      </c>
      <c r="C208">
        <v>3.1780000000000003E-2</v>
      </c>
      <c r="D208">
        <v>2.7720000000000002E-2</v>
      </c>
      <c r="E208">
        <v>2.861E-2</v>
      </c>
      <c r="F208">
        <v>349437373.80000001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-0.56157635467980382</v>
      </c>
      <c r="Q208">
        <f t="shared" si="961"/>
        <v>-196235766.56748798</v>
      </c>
      <c r="R208">
        <f t="shared" si="962"/>
        <v>-3207565593.5613465</v>
      </c>
      <c r="S208">
        <f t="shared" si="963"/>
        <v>-32075.655935613464</v>
      </c>
      <c r="T208">
        <f t="shared" si="964"/>
        <v>-32.075655935613462</v>
      </c>
    </row>
    <row r="209" spans="1:20" x14ac:dyDescent="0.25">
      <c r="A209" s="5">
        <v>44384</v>
      </c>
      <c r="B209">
        <v>2.929E-2</v>
      </c>
      <c r="C209">
        <v>3.3860000000000001E-2</v>
      </c>
      <c r="D209">
        <v>2.862E-2</v>
      </c>
      <c r="E209">
        <v>3.168E-2</v>
      </c>
      <c r="F209">
        <v>716441127.70000005</v>
      </c>
      <c r="G209">
        <v>0</v>
      </c>
      <c r="L209" t="s">
        <v>8</v>
      </c>
      <c r="M209" t="s">
        <v>8</v>
      </c>
      <c r="N209" t="s">
        <v>8</v>
      </c>
      <c r="P209">
        <f t="shared" si="960"/>
        <v>0.16793893129770965</v>
      </c>
      <c r="Q209">
        <f t="shared" si="961"/>
        <v>120318357.32366394</v>
      </c>
      <c r="R209">
        <f t="shared" si="962"/>
        <v>-3011329826.9938583</v>
      </c>
      <c r="S209">
        <f t="shared" si="963"/>
        <v>-30113.298269938583</v>
      </c>
      <c r="T209">
        <f t="shared" si="964"/>
        <v>-30.113298269938582</v>
      </c>
    </row>
    <row r="210" spans="1:20" x14ac:dyDescent="0.25">
      <c r="A210" s="5">
        <v>44383</v>
      </c>
      <c r="B210">
        <v>2.7060000000000001E-2</v>
      </c>
      <c r="C210">
        <v>3.116E-2</v>
      </c>
      <c r="D210">
        <v>2.699E-2</v>
      </c>
      <c r="E210">
        <v>2.9239999999999999E-2</v>
      </c>
      <c r="F210">
        <v>467487180.19999999</v>
      </c>
      <c r="G210">
        <v>0</v>
      </c>
      <c r="L210" t="s">
        <v>8</v>
      </c>
      <c r="M210" t="s">
        <v>8</v>
      </c>
      <c r="N210" t="s">
        <v>8</v>
      </c>
      <c r="P210">
        <f t="shared" si="960"/>
        <v>7.9136690647481286E-2</v>
      </c>
      <c r="Q210">
        <f t="shared" si="961"/>
        <v>36995388.361150742</v>
      </c>
      <c r="R210">
        <f t="shared" si="962"/>
        <v>-3131648184.317522</v>
      </c>
      <c r="S210">
        <f t="shared" si="963"/>
        <v>-31316.481843175221</v>
      </c>
      <c r="T210">
        <f t="shared" si="964"/>
        <v>-31.316481843175222</v>
      </c>
    </row>
    <row r="211" spans="1:20" x14ac:dyDescent="0.25">
      <c r="A211" s="5">
        <v>44382</v>
      </c>
      <c r="B211">
        <v>2.9049999999999999E-2</v>
      </c>
      <c r="C211">
        <v>2.9059999999999999E-2</v>
      </c>
      <c r="D211">
        <v>2.6100000000000002E-2</v>
      </c>
      <c r="E211">
        <v>2.7019999999999999E-2</v>
      </c>
      <c r="F211">
        <v>249023177.5</v>
      </c>
      <c r="G211">
        <v>0</v>
      </c>
      <c r="L211" t="s">
        <v>7</v>
      </c>
      <c r="M211" t="s">
        <v>7</v>
      </c>
      <c r="N211" t="s">
        <v>8</v>
      </c>
      <c r="P211">
        <f t="shared" si="960"/>
        <v>-0.37837837837837973</v>
      </c>
      <c r="Q211">
        <f t="shared" si="961"/>
        <v>-94224986.08108142</v>
      </c>
      <c r="R211">
        <f t="shared" si="962"/>
        <v>-3168643572.6786728</v>
      </c>
      <c r="S211">
        <f t="shared" si="963"/>
        <v>-31686.435726786727</v>
      </c>
      <c r="T211">
        <f t="shared" si="964"/>
        <v>-31.686435726786726</v>
      </c>
    </row>
    <row r="212" spans="1:20" x14ac:dyDescent="0.25">
      <c r="A212" s="5">
        <v>44381</v>
      </c>
      <c r="B212">
        <v>2.826E-2</v>
      </c>
      <c r="C212">
        <v>2.9770000000000001E-2</v>
      </c>
      <c r="D212">
        <v>2.6599999999999999E-2</v>
      </c>
      <c r="E212">
        <v>2.911E-2</v>
      </c>
      <c r="F212">
        <v>173266713.40000001</v>
      </c>
      <c r="G212">
        <v>0</v>
      </c>
      <c r="L212" t="s">
        <v>8</v>
      </c>
      <c r="M212" t="s">
        <v>7</v>
      </c>
      <c r="N212" t="s">
        <v>8</v>
      </c>
      <c r="P212">
        <f t="shared" si="960"/>
        <v>0.58359621451104082</v>
      </c>
      <c r="Q212">
        <f t="shared" si="961"/>
        <v>101117798.04100944</v>
      </c>
      <c r="R212">
        <f t="shared" si="962"/>
        <v>-3074418586.5975914</v>
      </c>
      <c r="S212">
        <f t="shared" si="963"/>
        <v>-30744.185865975913</v>
      </c>
      <c r="T212">
        <f t="shared" si="964"/>
        <v>-30.744185865975911</v>
      </c>
    </row>
    <row r="213" spans="1:20" x14ac:dyDescent="0.25">
      <c r="A213" s="5">
        <v>44380</v>
      </c>
      <c r="B213">
        <v>2.665E-2</v>
      </c>
      <c r="C213">
        <v>2.836E-2</v>
      </c>
      <c r="D213">
        <v>2.597E-2</v>
      </c>
      <c r="E213">
        <v>2.826E-2</v>
      </c>
      <c r="F213">
        <v>143786854.09999999</v>
      </c>
      <c r="G213">
        <v>0</v>
      </c>
      <c r="L213" t="s">
        <v>8</v>
      </c>
      <c r="M213" t="s">
        <v>7</v>
      </c>
      <c r="N213" t="s">
        <v>8</v>
      </c>
      <c r="P213">
        <f t="shared" si="960"/>
        <v>0.91631799163179961</v>
      </c>
      <c r="Q213">
        <f t="shared" si="961"/>
        <v>131754481.37196659</v>
      </c>
      <c r="R213">
        <f t="shared" si="962"/>
        <v>-3175536384.6386008</v>
      </c>
      <c r="S213">
        <f t="shared" si="963"/>
        <v>-31755.363846386008</v>
      </c>
      <c r="T213">
        <f t="shared" si="964"/>
        <v>-31.755363846386008</v>
      </c>
    </row>
    <row r="214" spans="1:20" x14ac:dyDescent="0.25">
      <c r="A214" s="5">
        <v>44379</v>
      </c>
      <c r="B214">
        <v>2.6769999999999999E-2</v>
      </c>
      <c r="C214">
        <v>2.7480000000000001E-2</v>
      </c>
      <c r="D214">
        <v>2.562E-2</v>
      </c>
      <c r="E214">
        <v>2.664E-2</v>
      </c>
      <c r="F214">
        <v>190095534.59999999</v>
      </c>
      <c r="G214">
        <v>0</v>
      </c>
      <c r="L214" t="s">
        <v>7</v>
      </c>
      <c r="M214" t="s">
        <v>7</v>
      </c>
      <c r="N214" t="s">
        <v>8</v>
      </c>
      <c r="P214">
        <f t="shared" si="960"/>
        <v>9.6774193548386858E-2</v>
      </c>
      <c r="Q214">
        <f t="shared" si="961"/>
        <v>18396342.058064472</v>
      </c>
      <c r="R214">
        <f t="shared" si="962"/>
        <v>-3307290866.0105672</v>
      </c>
      <c r="S214">
        <f t="shared" si="963"/>
        <v>-33072.90866010567</v>
      </c>
      <c r="T214">
        <f t="shared" si="964"/>
        <v>-33.072908660105668</v>
      </c>
    </row>
    <row r="215" spans="1:20" x14ac:dyDescent="0.25">
      <c r="A215" s="5">
        <v>44378</v>
      </c>
      <c r="B215">
        <v>2.9389999999999999E-2</v>
      </c>
      <c r="C215">
        <v>2.9399999999999999E-2</v>
      </c>
      <c r="D215">
        <v>2.605E-2</v>
      </c>
      <c r="E215">
        <v>2.681E-2</v>
      </c>
      <c r="F215">
        <v>182757661.19999999</v>
      </c>
      <c r="G215">
        <v>0</v>
      </c>
      <c r="L215" t="s">
        <v>7</v>
      </c>
      <c r="M215" t="s">
        <v>7</v>
      </c>
      <c r="N215" t="s">
        <v>8</v>
      </c>
      <c r="P215">
        <f t="shared" si="960"/>
        <v>-0.54626865671641756</v>
      </c>
      <c r="Q215">
        <f t="shared" si="961"/>
        <v>-99834782.088358134</v>
      </c>
      <c r="R215">
        <f t="shared" si="962"/>
        <v>-3325687208.0686316</v>
      </c>
      <c r="S215">
        <f t="shared" si="963"/>
        <v>-33256.872080686313</v>
      </c>
      <c r="T215">
        <f t="shared" si="964"/>
        <v>-33.256872080686314</v>
      </c>
    </row>
    <row r="216" spans="1:20" x14ac:dyDescent="0.25">
      <c r="A216" s="5">
        <v>44377</v>
      </c>
      <c r="B216">
        <v>3.0290000000000001E-2</v>
      </c>
      <c r="C216">
        <v>3.0790000000000001E-2</v>
      </c>
      <c r="D216">
        <v>2.691E-2</v>
      </c>
      <c r="E216">
        <v>2.937E-2</v>
      </c>
      <c r="F216">
        <v>253914006.80000001</v>
      </c>
      <c r="G216">
        <v>0</v>
      </c>
      <c r="L216" t="s">
        <v>7</v>
      </c>
      <c r="M216" t="s">
        <v>7</v>
      </c>
      <c r="N216" t="s">
        <v>8</v>
      </c>
      <c r="P216">
        <f t="shared" si="960"/>
        <v>0.26804123711340178</v>
      </c>
      <c r="Q216">
        <f t="shared" si="961"/>
        <v>68059424.503092721</v>
      </c>
      <c r="R216">
        <f t="shared" si="962"/>
        <v>-3225852425.9802737</v>
      </c>
      <c r="S216">
        <f t="shared" si="963"/>
        <v>-32258.524259802736</v>
      </c>
      <c r="T216">
        <f t="shared" si="964"/>
        <v>-32.258524259802734</v>
      </c>
    </row>
    <row r="217" spans="1:20" x14ac:dyDescent="0.25">
      <c r="A217" s="5">
        <v>44376</v>
      </c>
      <c r="B217">
        <v>2.6749999999999999E-2</v>
      </c>
      <c r="C217">
        <v>3.1960000000000002E-2</v>
      </c>
      <c r="D217">
        <v>2.664E-2</v>
      </c>
      <c r="E217">
        <v>3.0280000000000001E-2</v>
      </c>
      <c r="F217">
        <v>338739531.89999998</v>
      </c>
      <c r="G217">
        <v>0</v>
      </c>
      <c r="L217" t="s">
        <v>8</v>
      </c>
      <c r="M217" t="s">
        <v>8</v>
      </c>
      <c r="N217" t="s">
        <v>8</v>
      </c>
      <c r="P217">
        <f t="shared" si="960"/>
        <v>0.36842105263157882</v>
      </c>
      <c r="Q217">
        <f t="shared" si="961"/>
        <v>124798774.91052626</v>
      </c>
      <c r="R217">
        <f t="shared" si="962"/>
        <v>-3293911850.4833665</v>
      </c>
      <c r="S217">
        <f t="shared" si="963"/>
        <v>-32939.118504833663</v>
      </c>
      <c r="T217">
        <f t="shared" si="964"/>
        <v>-32.939118504833665</v>
      </c>
    </row>
    <row r="218" spans="1:20" x14ac:dyDescent="0.25">
      <c r="A218" s="5">
        <v>44375</v>
      </c>
      <c r="B218">
        <v>2.6519999999999998E-2</v>
      </c>
      <c r="C218">
        <v>2.794E-2</v>
      </c>
      <c r="D218">
        <v>2.5659999999999999E-2</v>
      </c>
      <c r="E218">
        <v>2.673E-2</v>
      </c>
      <c r="F218">
        <v>230267535.80000001</v>
      </c>
      <c r="G218">
        <v>0</v>
      </c>
      <c r="L218" t="s">
        <v>8</v>
      </c>
      <c r="M218" t="s">
        <v>7</v>
      </c>
      <c r="N218" t="s">
        <v>8</v>
      </c>
      <c r="P218">
        <f t="shared" si="960"/>
        <v>-6.1403508771928822E-2</v>
      </c>
      <c r="Q218">
        <f t="shared" si="961"/>
        <v>-14139234.654385734</v>
      </c>
      <c r="R218">
        <f t="shared" si="962"/>
        <v>-3418710625.3938928</v>
      </c>
      <c r="S218">
        <f t="shared" si="963"/>
        <v>-34187.106253938924</v>
      </c>
      <c r="T218">
        <f t="shared" si="964"/>
        <v>-34.187106253938921</v>
      </c>
    </row>
    <row r="219" spans="1:20" x14ac:dyDescent="0.25">
      <c r="A219" s="5">
        <v>44374</v>
      </c>
      <c r="B219">
        <v>2.503E-2</v>
      </c>
      <c r="C219">
        <v>2.664E-2</v>
      </c>
      <c r="D219">
        <v>2.4750000000000001E-2</v>
      </c>
      <c r="E219">
        <v>2.6460000000000001E-2</v>
      </c>
      <c r="F219">
        <v>208581192.09999999</v>
      </c>
      <c r="G219">
        <v>0</v>
      </c>
      <c r="L219" t="s">
        <v>8</v>
      </c>
      <c r="M219" t="s">
        <v>7</v>
      </c>
      <c r="N219" t="s">
        <v>8</v>
      </c>
      <c r="P219">
        <f t="shared" si="960"/>
        <v>0.80952380952380987</v>
      </c>
      <c r="Q219">
        <f t="shared" si="961"/>
        <v>168851441.2238096</v>
      </c>
      <c r="R219">
        <f t="shared" si="962"/>
        <v>-3404571390.7395072</v>
      </c>
      <c r="S219">
        <f t="shared" si="963"/>
        <v>-34045.713907395075</v>
      </c>
      <c r="T219">
        <f t="shared" si="964"/>
        <v>-34.045713907395076</v>
      </c>
    </row>
    <row r="220" spans="1:20" x14ac:dyDescent="0.25">
      <c r="A220" s="5">
        <v>44373</v>
      </c>
      <c r="B220">
        <v>2.5590000000000002E-2</v>
      </c>
      <c r="C220">
        <v>2.657E-2</v>
      </c>
      <c r="D220">
        <v>2.3650000000000001E-2</v>
      </c>
      <c r="E220">
        <v>2.503E-2</v>
      </c>
      <c r="F220">
        <v>240466893.30000001</v>
      </c>
      <c r="G220">
        <v>0</v>
      </c>
      <c r="L220" t="s">
        <v>7</v>
      </c>
      <c r="M220" t="s">
        <v>7</v>
      </c>
      <c r="N220" t="s">
        <v>8</v>
      </c>
      <c r="P220">
        <f t="shared" si="960"/>
        <v>-5.4794520547945369E-2</v>
      </c>
      <c r="Q220">
        <f t="shared" si="961"/>
        <v>-13176268.126027437</v>
      </c>
      <c r="R220">
        <f t="shared" si="962"/>
        <v>-3573422831.9633169</v>
      </c>
      <c r="S220">
        <f t="shared" si="963"/>
        <v>-35734.22831963317</v>
      </c>
      <c r="T220">
        <f t="shared" si="964"/>
        <v>-35.734228319633168</v>
      </c>
    </row>
    <row r="221" spans="1:20" x14ac:dyDescent="0.25">
      <c r="A221" s="5">
        <v>44372</v>
      </c>
      <c r="B221">
        <v>2.869E-2</v>
      </c>
      <c r="C221">
        <v>3.048E-2</v>
      </c>
      <c r="D221">
        <v>2.521E-2</v>
      </c>
      <c r="E221">
        <v>2.563E-2</v>
      </c>
      <c r="F221">
        <v>277992986.19999999</v>
      </c>
      <c r="G221">
        <v>0</v>
      </c>
      <c r="L221" t="s">
        <v>7</v>
      </c>
      <c r="M221" t="s">
        <v>7</v>
      </c>
      <c r="N221" t="s">
        <v>8</v>
      </c>
      <c r="P221">
        <f t="shared" si="960"/>
        <v>-0.84060721062618593</v>
      </c>
      <c r="Q221">
        <f t="shared" si="961"/>
        <v>-233682908.70322579</v>
      </c>
      <c r="R221">
        <f t="shared" si="962"/>
        <v>-3560246563.8372893</v>
      </c>
      <c r="S221">
        <f t="shared" si="963"/>
        <v>-35602.465638372894</v>
      </c>
      <c r="T221">
        <f t="shared" si="964"/>
        <v>-35.602465638372891</v>
      </c>
    </row>
    <row r="222" spans="1:20" x14ac:dyDescent="0.25">
      <c r="A222" s="5">
        <v>44371</v>
      </c>
      <c r="B222">
        <v>2.9020000000000001E-2</v>
      </c>
      <c r="C222">
        <v>2.93E-2</v>
      </c>
      <c r="D222">
        <v>2.6460000000000001E-2</v>
      </c>
      <c r="E222">
        <v>2.8660000000000001E-2</v>
      </c>
      <c r="F222">
        <v>209138148.5</v>
      </c>
      <c r="G222">
        <v>0</v>
      </c>
      <c r="L222" t="s">
        <v>7</v>
      </c>
      <c r="M222" t="s">
        <v>8</v>
      </c>
      <c r="N222" t="s">
        <v>8</v>
      </c>
      <c r="P222">
        <f t="shared" si="960"/>
        <v>0.54929577464788837</v>
      </c>
      <c r="Q222">
        <f t="shared" si="961"/>
        <v>114878701.28873262</v>
      </c>
      <c r="R222">
        <f t="shared" si="962"/>
        <v>-3326563655.1340637</v>
      </c>
      <c r="S222">
        <f t="shared" si="963"/>
        <v>-33265.636551340634</v>
      </c>
      <c r="T222">
        <f t="shared" si="964"/>
        <v>-33.265636551340634</v>
      </c>
    </row>
    <row r="223" spans="1:20" x14ac:dyDescent="0.25">
      <c r="A223" s="5">
        <v>44370</v>
      </c>
      <c r="B223">
        <v>2.4809999999999999E-2</v>
      </c>
      <c r="C223">
        <v>3.0499999999999999E-2</v>
      </c>
      <c r="D223">
        <v>2.368E-2</v>
      </c>
      <c r="E223">
        <v>2.9010000000000001E-2</v>
      </c>
      <c r="F223">
        <v>413542980.30000001</v>
      </c>
      <c r="G223">
        <v>0</v>
      </c>
      <c r="L223" t="s">
        <v>8</v>
      </c>
      <c r="M223" t="s">
        <v>8</v>
      </c>
      <c r="N223" t="s">
        <v>8</v>
      </c>
      <c r="P223">
        <f t="shared" si="960"/>
        <v>0.56304985337243452</v>
      </c>
      <c r="Q223">
        <f t="shared" si="961"/>
        <v>232845314.42111459</v>
      </c>
      <c r="R223">
        <f t="shared" si="962"/>
        <v>-3441442356.4227962</v>
      </c>
      <c r="S223">
        <f t="shared" si="963"/>
        <v>-34414.42356422796</v>
      </c>
      <c r="T223">
        <f t="shared" si="964"/>
        <v>-34.41442356422796</v>
      </c>
    </row>
    <row r="224" spans="1:20" x14ac:dyDescent="0.25">
      <c r="A224" s="5">
        <v>44369</v>
      </c>
      <c r="B224">
        <v>2.6780000000000002E-2</v>
      </c>
      <c r="C224">
        <v>2.8969999999999999E-2</v>
      </c>
      <c r="D224">
        <v>2.1850000000000001E-2</v>
      </c>
      <c r="E224">
        <v>2.4799999999999999E-2</v>
      </c>
      <c r="F224">
        <v>574607364.29999995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-0.17134831460674196</v>
      </c>
      <c r="Q224">
        <f t="shared" si="961"/>
        <v>-98458003.433427185</v>
      </c>
      <c r="R224">
        <f t="shared" si="962"/>
        <v>-3674287670.8439107</v>
      </c>
      <c r="S224">
        <f t="shared" si="963"/>
        <v>-36742.876708439107</v>
      </c>
      <c r="T224">
        <f t="shared" si="964"/>
        <v>-36.742876708439105</v>
      </c>
    </row>
    <row r="225" spans="1:20" x14ac:dyDescent="0.25">
      <c r="A225" s="5">
        <v>44368</v>
      </c>
      <c r="B225">
        <v>3.5340000000000003E-2</v>
      </c>
      <c r="C225">
        <v>3.5490000000000001E-2</v>
      </c>
      <c r="D225">
        <v>2.673E-2</v>
      </c>
      <c r="E225">
        <v>2.6800000000000001E-2</v>
      </c>
      <c r="F225">
        <v>405567256.89999998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-0.98401826484018251</v>
      </c>
      <c r="Q225">
        <f t="shared" si="961"/>
        <v>-399085588.41073054</v>
      </c>
      <c r="R225">
        <f t="shared" si="962"/>
        <v>-3575829667.4104834</v>
      </c>
      <c r="S225">
        <f t="shared" si="963"/>
        <v>-35758.296674104837</v>
      </c>
      <c r="T225">
        <f t="shared" si="964"/>
        <v>-35.758296674104834</v>
      </c>
    </row>
    <row r="226" spans="1:20" x14ac:dyDescent="0.25">
      <c r="A226" s="5">
        <v>44367</v>
      </c>
      <c r="B226">
        <v>3.5319999999999997E-2</v>
      </c>
      <c r="C226">
        <v>3.7999999999999999E-2</v>
      </c>
      <c r="D226">
        <v>3.3640000000000003E-2</v>
      </c>
      <c r="E226">
        <v>3.5310000000000001E-2</v>
      </c>
      <c r="F226">
        <v>363393948.5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-0.2339449541284406</v>
      </c>
      <c r="Q226">
        <f t="shared" si="961"/>
        <v>-85014180.612385407</v>
      </c>
      <c r="R226">
        <f t="shared" si="962"/>
        <v>-3176744078.999753</v>
      </c>
      <c r="S226">
        <f t="shared" si="963"/>
        <v>-31767.44078999753</v>
      </c>
      <c r="T226">
        <f t="shared" si="964"/>
        <v>-31.767440789997529</v>
      </c>
    </row>
    <row r="227" spans="1:20" x14ac:dyDescent="0.25">
      <c r="A227" s="5">
        <v>44366</v>
      </c>
      <c r="B227">
        <v>3.5040000000000002E-2</v>
      </c>
      <c r="C227">
        <v>3.7679999999999998E-2</v>
      </c>
      <c r="D227">
        <v>3.3550000000000003E-2</v>
      </c>
      <c r="E227">
        <v>3.5310000000000001E-2</v>
      </c>
      <c r="F227">
        <v>317329623.5</v>
      </c>
      <c r="G227">
        <v>0</v>
      </c>
      <c r="L227" t="s">
        <v>8</v>
      </c>
      <c r="M227" t="s">
        <v>7</v>
      </c>
      <c r="N227" t="s">
        <v>7</v>
      </c>
      <c r="P227">
        <f t="shared" si="960"/>
        <v>-0.14769975786924944</v>
      </c>
      <c r="Q227">
        <f t="shared" si="961"/>
        <v>-46869508.555690087</v>
      </c>
      <c r="R227">
        <f t="shared" si="962"/>
        <v>-3091729898.3873677</v>
      </c>
      <c r="S227">
        <f t="shared" si="963"/>
        <v>-30917.298983873676</v>
      </c>
      <c r="T227">
        <f t="shared" si="964"/>
        <v>-30.917298983873675</v>
      </c>
    </row>
    <row r="228" spans="1:20" x14ac:dyDescent="0.25">
      <c r="A228" s="5">
        <v>44365</v>
      </c>
      <c r="B228">
        <v>3.7359999999999997E-2</v>
      </c>
      <c r="C228">
        <v>3.7990000000000003E-2</v>
      </c>
      <c r="D228">
        <v>3.3579999999999999E-2</v>
      </c>
      <c r="E228">
        <v>3.5029999999999999E-2</v>
      </c>
      <c r="F228">
        <v>247293012.09999999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-0.34240362811791453</v>
      </c>
      <c r="Q228">
        <f t="shared" si="961"/>
        <v>-84674024.551247329</v>
      </c>
      <c r="R228">
        <f t="shared" si="962"/>
        <v>-3044860389.8316774</v>
      </c>
      <c r="S228">
        <f t="shared" si="963"/>
        <v>-30448.603898316775</v>
      </c>
      <c r="T228">
        <f t="shared" si="964"/>
        <v>-30.448603898316776</v>
      </c>
    </row>
    <row r="229" spans="1:20" x14ac:dyDescent="0.25">
      <c r="A229" s="5">
        <v>44364</v>
      </c>
      <c r="B229">
        <v>3.8739999999999997E-2</v>
      </c>
      <c r="C229">
        <v>4.0379999999999999E-2</v>
      </c>
      <c r="D229">
        <v>3.6069999999999998E-2</v>
      </c>
      <c r="E229">
        <v>3.7330000000000002E-2</v>
      </c>
      <c r="F229">
        <v>283488792.89999998</v>
      </c>
      <c r="G229">
        <v>0</v>
      </c>
      <c r="L229" t="s">
        <v>8</v>
      </c>
      <c r="M229" t="s">
        <v>7</v>
      </c>
      <c r="N229" t="s">
        <v>7</v>
      </c>
      <c r="P229">
        <f t="shared" si="960"/>
        <v>-0.41531322505800289</v>
      </c>
      <c r="Q229">
        <f t="shared" si="961"/>
        <v>-117736644.84709926</v>
      </c>
      <c r="R229">
        <f t="shared" si="962"/>
        <v>-2960186365.2804303</v>
      </c>
      <c r="S229">
        <f t="shared" si="963"/>
        <v>-29601.863652804303</v>
      </c>
      <c r="T229">
        <f t="shared" si="964"/>
        <v>-29.601863652804301</v>
      </c>
    </row>
    <row r="230" spans="1:20" x14ac:dyDescent="0.25">
      <c r="A230" s="5">
        <v>44363</v>
      </c>
      <c r="B230">
        <v>3.7569999999999999E-2</v>
      </c>
      <c r="C230">
        <v>3.9809999999999998E-2</v>
      </c>
      <c r="D230">
        <v>3.6130000000000002E-2</v>
      </c>
      <c r="E230">
        <v>3.875E-2</v>
      </c>
      <c r="F230">
        <v>295775120.5</v>
      </c>
      <c r="G230">
        <v>0</v>
      </c>
      <c r="L230" t="s">
        <v>7</v>
      </c>
      <c r="M230" t="s">
        <v>7</v>
      </c>
      <c r="N230" t="s">
        <v>7</v>
      </c>
      <c r="P230">
        <f t="shared" si="960"/>
        <v>0.42391304347826103</v>
      </c>
      <c r="Q230">
        <f t="shared" si="961"/>
        <v>125382931.51630439</v>
      </c>
      <c r="R230">
        <f t="shared" si="962"/>
        <v>-2842449720.433331</v>
      </c>
      <c r="S230">
        <f t="shared" si="963"/>
        <v>-28424.497204333311</v>
      </c>
      <c r="T230">
        <f t="shared" si="964"/>
        <v>-28.42449720433331</v>
      </c>
    </row>
    <row r="231" spans="1:20" x14ac:dyDescent="0.25">
      <c r="A231" s="5">
        <v>44362</v>
      </c>
      <c r="B231">
        <v>3.7470000000000003E-2</v>
      </c>
      <c r="C231">
        <v>4.2209999999999998E-2</v>
      </c>
      <c r="D231">
        <v>3.7170000000000002E-2</v>
      </c>
      <c r="E231">
        <v>3.7569999999999999E-2</v>
      </c>
      <c r="F231">
        <v>394003099.60000002</v>
      </c>
      <c r="G231">
        <v>0</v>
      </c>
      <c r="L231" t="s">
        <v>8</v>
      </c>
      <c r="M231" t="s">
        <v>8</v>
      </c>
      <c r="N231" t="s">
        <v>7</v>
      </c>
      <c r="P231">
        <f t="shared" si="960"/>
        <v>-0.84126984126984206</v>
      </c>
      <c r="Q231">
        <f t="shared" si="961"/>
        <v>-331462925.06031781</v>
      </c>
      <c r="R231">
        <f t="shared" si="962"/>
        <v>-2967832651.9496355</v>
      </c>
      <c r="S231">
        <f t="shared" si="963"/>
        <v>-29678.326519496353</v>
      </c>
      <c r="T231">
        <f t="shared" si="964"/>
        <v>-29.678326519496352</v>
      </c>
    </row>
    <row r="232" spans="1:20" x14ac:dyDescent="0.25">
      <c r="A232" s="5">
        <v>44361</v>
      </c>
      <c r="B232">
        <v>3.5069999999999997E-2</v>
      </c>
      <c r="C232">
        <v>3.8739999999999997E-2</v>
      </c>
      <c r="D232">
        <v>3.4540000000000001E-2</v>
      </c>
      <c r="E232">
        <v>3.7409999999999999E-2</v>
      </c>
      <c r="F232">
        <v>298567578.80000001</v>
      </c>
      <c r="G232">
        <v>0</v>
      </c>
      <c r="L232" t="s">
        <v>8</v>
      </c>
      <c r="M232" t="s">
        <v>8</v>
      </c>
      <c r="N232" t="s">
        <v>7</v>
      </c>
      <c r="P232">
        <f t="shared" si="960"/>
        <v>0.36666666666666697</v>
      </c>
      <c r="Q232">
        <f t="shared" si="961"/>
        <v>109474778.89333344</v>
      </c>
      <c r="R232">
        <f t="shared" si="962"/>
        <v>-2636369726.8893175</v>
      </c>
      <c r="S232">
        <f t="shared" si="963"/>
        <v>-26363.697268893175</v>
      </c>
      <c r="T232">
        <f t="shared" si="964"/>
        <v>-26.363697268893176</v>
      </c>
    </row>
    <row r="233" spans="1:20" x14ac:dyDescent="0.25">
      <c r="A233" s="5">
        <v>44360</v>
      </c>
      <c r="B233">
        <v>3.2750000000000001E-2</v>
      </c>
      <c r="C233">
        <v>3.5830000000000001E-2</v>
      </c>
      <c r="D233">
        <v>3.175E-2</v>
      </c>
      <c r="E233">
        <v>3.5049999999999998E-2</v>
      </c>
      <c r="F233">
        <v>236189890.90000001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0.61764705882352799</v>
      </c>
      <c r="Q233">
        <f t="shared" si="961"/>
        <v>145881991.43823496</v>
      </c>
      <c r="R233">
        <f t="shared" si="962"/>
        <v>-2745844505.7826509</v>
      </c>
      <c r="S233">
        <f t="shared" si="963"/>
        <v>-27458.44505782651</v>
      </c>
      <c r="T233">
        <f t="shared" si="964"/>
        <v>-27.458445057826509</v>
      </c>
    </row>
    <row r="234" spans="1:20" x14ac:dyDescent="0.25">
      <c r="A234" s="5">
        <v>44359</v>
      </c>
      <c r="B234">
        <v>3.4250000000000003E-2</v>
      </c>
      <c r="C234">
        <v>3.5490000000000001E-2</v>
      </c>
      <c r="D234">
        <v>3.0509999999999999E-2</v>
      </c>
      <c r="E234">
        <v>3.2680000000000001E-2</v>
      </c>
      <c r="F234">
        <v>325140536.89999998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-0.1285140562248992</v>
      </c>
      <c r="Q234">
        <f t="shared" si="961"/>
        <v>-41785129.24016051</v>
      </c>
      <c r="R234">
        <f t="shared" si="962"/>
        <v>-2891726497.2208858</v>
      </c>
      <c r="S234">
        <f t="shared" si="963"/>
        <v>-28917.264972208857</v>
      </c>
      <c r="T234">
        <f t="shared" si="964"/>
        <v>-28.917264972208859</v>
      </c>
    </row>
    <row r="235" spans="1:20" x14ac:dyDescent="0.25">
      <c r="A235" s="5">
        <v>44358</v>
      </c>
      <c r="B235">
        <v>3.5450000000000002E-2</v>
      </c>
      <c r="C235">
        <v>3.9829999999999997E-2</v>
      </c>
      <c r="D235">
        <v>3.3210000000000003E-2</v>
      </c>
      <c r="E235">
        <v>3.4229999999999997E-2</v>
      </c>
      <c r="F235">
        <v>441752347</v>
      </c>
      <c r="G235">
        <v>0</v>
      </c>
      <c r="L235" t="s">
        <v>7</v>
      </c>
      <c r="M235" t="s">
        <v>7</v>
      </c>
      <c r="N235" t="s">
        <v>7</v>
      </c>
      <c r="P235">
        <f t="shared" si="960"/>
        <v>-0.69184290030211659</v>
      </c>
      <c r="Q235">
        <f t="shared" si="961"/>
        <v>-305623224.96374702</v>
      </c>
      <c r="R235">
        <f t="shared" si="962"/>
        <v>-2849941367.9807253</v>
      </c>
      <c r="S235">
        <f t="shared" si="963"/>
        <v>-28499.413679807254</v>
      </c>
      <c r="T235">
        <f t="shared" si="964"/>
        <v>-28.499413679807255</v>
      </c>
    </row>
    <row r="236" spans="1:20" x14ac:dyDescent="0.25">
      <c r="A236" s="5">
        <v>44357</v>
      </c>
      <c r="B236">
        <v>3.9449999999999999E-2</v>
      </c>
      <c r="C236">
        <v>3.9849999999999997E-2</v>
      </c>
      <c r="D236">
        <v>3.415E-2</v>
      </c>
      <c r="E236">
        <v>3.5439999999999999E-2</v>
      </c>
      <c r="F236">
        <v>280442891.60000002</v>
      </c>
      <c r="G236">
        <v>0</v>
      </c>
      <c r="L236" t="s">
        <v>8</v>
      </c>
      <c r="M236" t="s">
        <v>7</v>
      </c>
      <c r="N236" t="s">
        <v>7</v>
      </c>
      <c r="P236">
        <f t="shared" si="960"/>
        <v>-0.5473684210526315</v>
      </c>
      <c r="Q236">
        <f t="shared" si="961"/>
        <v>-153505582.77052632</v>
      </c>
      <c r="R236">
        <f t="shared" si="962"/>
        <v>-2544318143.0169783</v>
      </c>
      <c r="S236">
        <f t="shared" si="963"/>
        <v>-25443.181430169781</v>
      </c>
      <c r="T236">
        <f t="shared" si="964"/>
        <v>-25.44318143016978</v>
      </c>
    </row>
    <row r="237" spans="1:20" x14ac:dyDescent="0.25">
      <c r="A237" s="5">
        <v>44356</v>
      </c>
      <c r="B237">
        <v>3.5880000000000002E-2</v>
      </c>
      <c r="C237">
        <v>3.95E-2</v>
      </c>
      <c r="D237">
        <v>3.3550000000000003E-2</v>
      </c>
      <c r="E237">
        <v>3.9399999999999998E-2</v>
      </c>
      <c r="F237">
        <v>320773050.39999998</v>
      </c>
      <c r="G237">
        <v>0</v>
      </c>
      <c r="L237" t="s">
        <v>8</v>
      </c>
      <c r="M237" t="s">
        <v>7</v>
      </c>
      <c r="N237" t="s">
        <v>7</v>
      </c>
      <c r="P237">
        <f t="shared" si="960"/>
        <v>0.96638655462184775</v>
      </c>
      <c r="Q237">
        <f t="shared" si="961"/>
        <v>309990762.99159628</v>
      </c>
      <c r="R237">
        <f t="shared" si="962"/>
        <v>-2390812560.2464519</v>
      </c>
      <c r="S237">
        <f t="shared" si="963"/>
        <v>-23908.125602464519</v>
      </c>
      <c r="T237">
        <f t="shared" si="964"/>
        <v>-23.908125602464519</v>
      </c>
    </row>
    <row r="238" spans="1:20" x14ac:dyDescent="0.25">
      <c r="A238" s="5">
        <v>44355</v>
      </c>
      <c r="B238">
        <v>3.7089999999999998E-2</v>
      </c>
      <c r="C238">
        <v>3.8120000000000001E-2</v>
      </c>
      <c r="D238">
        <v>3.3000000000000002E-2</v>
      </c>
      <c r="E238">
        <v>3.5889999999999998E-2</v>
      </c>
      <c r="F238">
        <v>380826071.30000001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0.12890624999999883</v>
      </c>
      <c r="Q238">
        <f t="shared" si="961"/>
        <v>49090860.753515184</v>
      </c>
      <c r="R238">
        <f t="shared" si="962"/>
        <v>-2700803323.2380481</v>
      </c>
      <c r="S238">
        <f t="shared" si="963"/>
        <v>-27008.03323238048</v>
      </c>
      <c r="T238">
        <f t="shared" si="964"/>
        <v>-27.00803323238048</v>
      </c>
    </row>
    <row r="239" spans="1:20" x14ac:dyDescent="0.25">
      <c r="A239" s="5">
        <v>44354</v>
      </c>
      <c r="B239">
        <v>4.1059999999999999E-2</v>
      </c>
      <c r="C239">
        <v>4.4159999999999998E-2</v>
      </c>
      <c r="D239">
        <v>3.6360000000000003E-2</v>
      </c>
      <c r="E239">
        <v>3.7089999999999998E-2</v>
      </c>
      <c r="F239">
        <v>354383886.5</v>
      </c>
      <c r="G239">
        <v>0</v>
      </c>
      <c r="L239" t="s">
        <v>8</v>
      </c>
      <c r="M239" t="s">
        <v>7</v>
      </c>
      <c r="N239" t="s">
        <v>7</v>
      </c>
      <c r="P239">
        <f t="shared" si="960"/>
        <v>-0.81282051282051404</v>
      </c>
      <c r="Q239">
        <f t="shared" si="961"/>
        <v>-288050492.36025685</v>
      </c>
      <c r="R239">
        <f t="shared" si="962"/>
        <v>-2749894183.9915633</v>
      </c>
      <c r="S239">
        <f t="shared" si="963"/>
        <v>-27498.941839915635</v>
      </c>
      <c r="T239">
        <f t="shared" si="964"/>
        <v>-27.498941839915634</v>
      </c>
    </row>
    <row r="240" spans="1:20" x14ac:dyDescent="0.25">
      <c r="A240" s="5">
        <v>44353</v>
      </c>
      <c r="B240">
        <v>4.1070000000000002E-2</v>
      </c>
      <c r="C240">
        <v>4.1930000000000002E-2</v>
      </c>
      <c r="D240">
        <v>3.9510000000000003E-2</v>
      </c>
      <c r="E240">
        <v>4.1140000000000003E-2</v>
      </c>
      <c r="F240">
        <v>201484199.40000001</v>
      </c>
      <c r="G240">
        <v>0</v>
      </c>
      <c r="L240" t="s">
        <v>8</v>
      </c>
      <c r="M240" t="s">
        <v>7</v>
      </c>
      <c r="N240" t="s">
        <v>7</v>
      </c>
      <c r="P240">
        <f t="shared" si="960"/>
        <v>0.34710743801652932</v>
      </c>
      <c r="Q240">
        <f t="shared" si="961"/>
        <v>69936664.25454554</v>
      </c>
      <c r="R240">
        <f t="shared" si="962"/>
        <v>-2461843691.6313066</v>
      </c>
      <c r="S240">
        <f t="shared" si="963"/>
        <v>-24618.436916313065</v>
      </c>
      <c r="T240">
        <f t="shared" si="964"/>
        <v>-24.618436916313065</v>
      </c>
    </row>
    <row r="241" spans="1:20" x14ac:dyDescent="0.25">
      <c r="A241" s="5">
        <v>44352</v>
      </c>
      <c r="B241">
        <v>4.3119999999999999E-2</v>
      </c>
      <c r="C241">
        <v>4.7E-2</v>
      </c>
      <c r="D241">
        <v>3.8830000000000003E-2</v>
      </c>
      <c r="E241">
        <v>4.1119999999999997E-2</v>
      </c>
      <c r="F241">
        <v>368882260.39999998</v>
      </c>
      <c r="G241">
        <v>0</v>
      </c>
      <c r="L241" t="s">
        <v>7</v>
      </c>
      <c r="M241" t="s">
        <v>7</v>
      </c>
      <c r="N241" t="s">
        <v>7</v>
      </c>
      <c r="P241">
        <f t="shared" si="960"/>
        <v>-0.43941248470012378</v>
      </c>
      <c r="Q241">
        <f t="shared" si="961"/>
        <v>-162091470.60416207</v>
      </c>
      <c r="R241">
        <f t="shared" si="962"/>
        <v>-2531780355.8858523</v>
      </c>
      <c r="S241">
        <f t="shared" si="963"/>
        <v>-25317.803558858523</v>
      </c>
      <c r="T241">
        <f t="shared" si="964"/>
        <v>-25.317803558858522</v>
      </c>
    </row>
    <row r="242" spans="1:20" x14ac:dyDescent="0.25">
      <c r="A242" s="5">
        <v>44351</v>
      </c>
      <c r="B242">
        <v>4.845E-2</v>
      </c>
      <c r="C242">
        <v>4.8520000000000001E-2</v>
      </c>
      <c r="D242">
        <v>4.0500000000000001E-2</v>
      </c>
      <c r="E242">
        <v>4.3139999999999998E-2</v>
      </c>
      <c r="F242">
        <v>507932916.5</v>
      </c>
      <c r="G242">
        <v>0</v>
      </c>
      <c r="L242" t="s">
        <v>7</v>
      </c>
      <c r="M242" t="s">
        <v>7</v>
      </c>
      <c r="N242" t="s">
        <v>7</v>
      </c>
      <c r="P242">
        <f t="shared" si="960"/>
        <v>-0.34164588528678386</v>
      </c>
      <c r="Q242">
        <f t="shared" si="961"/>
        <v>-173533190.92394057</v>
      </c>
      <c r="R242">
        <f t="shared" si="962"/>
        <v>-2369688885.2816901</v>
      </c>
      <c r="S242">
        <f t="shared" si="963"/>
        <v>-23696.888852816901</v>
      </c>
      <c r="T242">
        <f t="shared" si="964"/>
        <v>-23.696888852816901</v>
      </c>
    </row>
    <row r="243" spans="1:20" x14ac:dyDescent="0.25">
      <c r="A243" s="5">
        <v>44350</v>
      </c>
      <c r="B243">
        <v>4.3779999999999999E-2</v>
      </c>
      <c r="C243">
        <v>4.9970000000000001E-2</v>
      </c>
      <c r="D243">
        <v>4.3310000000000001E-2</v>
      </c>
      <c r="E243">
        <v>4.8460000000000003E-2</v>
      </c>
      <c r="F243">
        <v>633207308.89999998</v>
      </c>
      <c r="G243">
        <v>0</v>
      </c>
      <c r="L243" t="s">
        <v>8</v>
      </c>
      <c r="M243" t="s">
        <v>8</v>
      </c>
      <c r="N243" t="s">
        <v>7</v>
      </c>
      <c r="P243">
        <f t="shared" si="960"/>
        <v>0.54654654654654722</v>
      </c>
      <c r="Q243">
        <f t="shared" si="961"/>
        <v>346077267.92732775</v>
      </c>
      <c r="R243">
        <f t="shared" si="962"/>
        <v>-2196155694.3577495</v>
      </c>
      <c r="S243">
        <f t="shared" si="963"/>
        <v>-21961.556943577496</v>
      </c>
      <c r="T243">
        <f t="shared" si="964"/>
        <v>-21.961556943577495</v>
      </c>
    </row>
    <row r="244" spans="1:20" x14ac:dyDescent="0.25">
      <c r="A244" s="5">
        <v>44349</v>
      </c>
      <c r="B244">
        <v>4.3830000000000001E-2</v>
      </c>
      <c r="C244">
        <v>4.6370000000000001E-2</v>
      </c>
      <c r="D244">
        <v>4.1669999999999999E-2</v>
      </c>
      <c r="E244">
        <v>4.3799999999999999E-2</v>
      </c>
      <c r="F244">
        <v>387196206.60000002</v>
      </c>
      <c r="G244">
        <v>0</v>
      </c>
      <c r="L244" t="s">
        <v>7</v>
      </c>
      <c r="M244" t="s">
        <v>8</v>
      </c>
      <c r="N244" t="s">
        <v>7</v>
      </c>
      <c r="P244">
        <f t="shared" si="960"/>
        <v>-9.361702127659631E-2</v>
      </c>
      <c r="Q244">
        <f t="shared" si="961"/>
        <v>-36248155.511489585</v>
      </c>
      <c r="R244">
        <f t="shared" si="962"/>
        <v>-2542232962.2850771</v>
      </c>
      <c r="S244">
        <f t="shared" si="963"/>
        <v>-25422.329622850772</v>
      </c>
      <c r="T244">
        <f t="shared" si="964"/>
        <v>-25.422329622850771</v>
      </c>
    </row>
    <row r="245" spans="1:20" x14ac:dyDescent="0.25">
      <c r="A245" s="5">
        <v>44348</v>
      </c>
      <c r="B245">
        <v>4.616E-2</v>
      </c>
      <c r="C245">
        <v>4.8219999999999999E-2</v>
      </c>
      <c r="D245">
        <v>4.1880000000000001E-2</v>
      </c>
      <c r="E245">
        <v>4.3869999999999999E-2</v>
      </c>
      <c r="F245">
        <v>536243448.69999999</v>
      </c>
      <c r="G245">
        <v>0</v>
      </c>
      <c r="L245" t="s">
        <v>8</v>
      </c>
      <c r="M245" t="s">
        <v>8</v>
      </c>
      <c r="N245" t="s">
        <v>7</v>
      </c>
      <c r="P245">
        <f t="shared" si="960"/>
        <v>-0.37223974763406964</v>
      </c>
      <c r="Q245">
        <f t="shared" si="961"/>
        <v>-199611126.01451117</v>
      </c>
      <c r="R245">
        <f t="shared" si="962"/>
        <v>-2505984806.7735877</v>
      </c>
      <c r="S245">
        <f t="shared" si="963"/>
        <v>-25059.848067735878</v>
      </c>
      <c r="T245">
        <f t="shared" si="964"/>
        <v>-25.059848067735878</v>
      </c>
    </row>
    <row r="246" spans="1:20" x14ac:dyDescent="0.25">
      <c r="A246" s="5">
        <v>44347</v>
      </c>
      <c r="B246">
        <v>4.4400000000000002E-2</v>
      </c>
      <c r="C246">
        <v>4.675E-2</v>
      </c>
      <c r="D246">
        <v>4.1230000000000003E-2</v>
      </c>
      <c r="E246">
        <v>4.6219999999999997E-2</v>
      </c>
      <c r="F246">
        <v>529862609</v>
      </c>
      <c r="G246">
        <v>0</v>
      </c>
      <c r="L246" t="s">
        <v>8</v>
      </c>
      <c r="M246" t="s">
        <v>8</v>
      </c>
      <c r="N246" t="s">
        <v>7</v>
      </c>
      <c r="P246">
        <f t="shared" si="960"/>
        <v>0.80797101449275255</v>
      </c>
      <c r="Q246">
        <f t="shared" si="961"/>
        <v>428113629.73550665</v>
      </c>
      <c r="R246">
        <f t="shared" si="962"/>
        <v>-2306373680.7590766</v>
      </c>
      <c r="S246">
        <f t="shared" si="963"/>
        <v>-23063.736807590765</v>
      </c>
      <c r="T246">
        <f t="shared" si="964"/>
        <v>-23.063736807590764</v>
      </c>
    </row>
    <row r="247" spans="1:20" x14ac:dyDescent="0.25">
      <c r="A247" s="5">
        <v>44346</v>
      </c>
      <c r="B247">
        <v>4.3540000000000002E-2</v>
      </c>
      <c r="C247">
        <v>4.8030000000000003E-2</v>
      </c>
      <c r="D247">
        <v>3.9899999999999998E-2</v>
      </c>
      <c r="E247">
        <v>4.4400000000000002E-2</v>
      </c>
      <c r="F247">
        <v>570005622</v>
      </c>
      <c r="G247">
        <v>0</v>
      </c>
      <c r="L247" t="s">
        <v>7</v>
      </c>
      <c r="M247" t="s">
        <v>7</v>
      </c>
      <c r="N247" t="s">
        <v>7</v>
      </c>
      <c r="P247">
        <f t="shared" si="960"/>
        <v>0.10701107011070138</v>
      </c>
      <c r="Q247">
        <f t="shared" si="961"/>
        <v>60996911.57933595</v>
      </c>
      <c r="R247">
        <f t="shared" si="962"/>
        <v>-2734487310.4945831</v>
      </c>
      <c r="S247">
        <f t="shared" si="963"/>
        <v>-27344.873104945833</v>
      </c>
      <c r="T247">
        <f t="shared" si="964"/>
        <v>-27.344873104945833</v>
      </c>
    </row>
    <row r="248" spans="1:20" x14ac:dyDescent="0.25">
      <c r="A248" s="5">
        <v>44345</v>
      </c>
      <c r="B248">
        <v>4.6739999999999997E-2</v>
      </c>
      <c r="C248">
        <v>5.2310000000000002E-2</v>
      </c>
      <c r="D248">
        <v>4.095E-2</v>
      </c>
      <c r="E248">
        <v>4.3459999999999999E-2</v>
      </c>
      <c r="F248">
        <v>791392517.60000002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-0.5580985915492962</v>
      </c>
      <c r="Q248">
        <f t="shared" si="961"/>
        <v>-441675049.4352116</v>
      </c>
      <c r="R248">
        <f t="shared" si="962"/>
        <v>-2795484222.0739193</v>
      </c>
      <c r="S248">
        <f t="shared" si="963"/>
        <v>-27954.842220739192</v>
      </c>
      <c r="T248">
        <f t="shared" si="964"/>
        <v>-27.954842220739192</v>
      </c>
    </row>
    <row r="249" spans="1:20" x14ac:dyDescent="0.25">
      <c r="A249" s="5">
        <v>44344</v>
      </c>
      <c r="B249">
        <v>5.4480000000000001E-2</v>
      </c>
      <c r="C249">
        <v>5.9799999999999999E-2</v>
      </c>
      <c r="D249">
        <v>4.326E-2</v>
      </c>
      <c r="E249">
        <v>4.6699999999999998E-2</v>
      </c>
      <c r="F249">
        <v>1029131546.7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-0.58403869407496989</v>
      </c>
      <c r="Q249">
        <f t="shared" si="961"/>
        <v>-601052644.56602192</v>
      </c>
      <c r="R249">
        <f t="shared" si="962"/>
        <v>-2353809172.6387076</v>
      </c>
      <c r="S249">
        <f t="shared" si="963"/>
        <v>-23538.091726387076</v>
      </c>
      <c r="T249">
        <f t="shared" si="964"/>
        <v>-23.538091726387076</v>
      </c>
    </row>
    <row r="250" spans="1:20" x14ac:dyDescent="0.25">
      <c r="A250" s="5">
        <v>44343</v>
      </c>
      <c r="B250">
        <v>4.7989999999999998E-2</v>
      </c>
      <c r="C250">
        <v>6.1800000000000001E-2</v>
      </c>
      <c r="D250">
        <v>4.7989999999999998E-2</v>
      </c>
      <c r="E250">
        <v>5.4449999999999998E-2</v>
      </c>
      <c r="F250">
        <v>1506174490.3</v>
      </c>
      <c r="G250">
        <v>0</v>
      </c>
      <c r="L250" t="s">
        <v>8</v>
      </c>
      <c r="M250" t="s">
        <v>8</v>
      </c>
      <c r="N250" t="s">
        <v>8</v>
      </c>
      <c r="P250">
        <f t="shared" si="960"/>
        <v>-6.4446053584359286E-2</v>
      </c>
      <c r="Q250">
        <f t="shared" si="961"/>
        <v>-97067001.909268826</v>
      </c>
      <c r="R250">
        <f t="shared" si="962"/>
        <v>-1752756528.0726857</v>
      </c>
      <c r="S250">
        <f t="shared" si="963"/>
        <v>-17527.565280726856</v>
      </c>
      <c r="T250">
        <f t="shared" si="964"/>
        <v>-17.527565280726858</v>
      </c>
    </row>
    <row r="251" spans="1:20" x14ac:dyDescent="0.25">
      <c r="A251" s="5">
        <v>44342</v>
      </c>
      <c r="B251">
        <v>3.6420000000000001E-2</v>
      </c>
      <c r="C251">
        <v>4.8500000000000001E-2</v>
      </c>
      <c r="D251">
        <v>3.6310000000000002E-2</v>
      </c>
      <c r="E251">
        <v>4.7969999999999999E-2</v>
      </c>
      <c r="F251">
        <v>958221032.70000005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0.91304347826086907</v>
      </c>
      <c r="Q251">
        <f t="shared" si="961"/>
        <v>874897464.63913</v>
      </c>
      <c r="R251">
        <f t="shared" si="962"/>
        <v>-1655689526.1634169</v>
      </c>
      <c r="S251">
        <f t="shared" si="963"/>
        <v>-16556.89526163417</v>
      </c>
      <c r="T251">
        <f t="shared" si="964"/>
        <v>-16.556895261634171</v>
      </c>
    </row>
    <row r="252" spans="1:20" x14ac:dyDescent="0.25">
      <c r="A252" s="5">
        <v>44341</v>
      </c>
      <c r="B252">
        <v>3.6679999999999997E-2</v>
      </c>
      <c r="C252">
        <v>3.95E-2</v>
      </c>
      <c r="D252">
        <v>3.193E-2</v>
      </c>
      <c r="E252">
        <v>3.6400000000000002E-2</v>
      </c>
      <c r="F252">
        <v>643173406.10000002</v>
      </c>
      <c r="G252">
        <v>0</v>
      </c>
      <c r="L252" t="s">
        <v>7</v>
      </c>
      <c r="M252" t="s">
        <v>7</v>
      </c>
      <c r="N252" t="s">
        <v>8</v>
      </c>
      <c r="P252">
        <f t="shared" si="960"/>
        <v>0.18097754293262922</v>
      </c>
      <c r="Q252">
        <f t="shared" si="961"/>
        <v>116399942.71558812</v>
      </c>
      <c r="R252">
        <f t="shared" si="962"/>
        <v>-2530586990.802547</v>
      </c>
      <c r="S252">
        <f t="shared" si="963"/>
        <v>-25305.86990802547</v>
      </c>
      <c r="T252">
        <f t="shared" si="964"/>
        <v>-25.305869908025471</v>
      </c>
    </row>
    <row r="253" spans="1:20" x14ac:dyDescent="0.25">
      <c r="A253" s="5">
        <v>44340</v>
      </c>
      <c r="B253">
        <v>2.657E-2</v>
      </c>
      <c r="C253">
        <v>0.04</v>
      </c>
      <c r="D253">
        <v>2.614E-2</v>
      </c>
      <c r="E253">
        <v>3.6659999999999998E-2</v>
      </c>
      <c r="F253">
        <v>1017996682.2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0.51803751803751763</v>
      </c>
      <c r="Q253">
        <f t="shared" si="961"/>
        <v>527360474.61731565</v>
      </c>
      <c r="R253">
        <f t="shared" si="962"/>
        <v>-2646986933.5181351</v>
      </c>
      <c r="S253">
        <f t="shared" si="963"/>
        <v>-26469.869335181349</v>
      </c>
      <c r="T253">
        <f t="shared" si="964"/>
        <v>-26.46986933518135</v>
      </c>
    </row>
    <row r="254" spans="1:20" x14ac:dyDescent="0.25">
      <c r="A254" s="5">
        <v>44339</v>
      </c>
      <c r="B254">
        <v>3.483E-2</v>
      </c>
      <c r="C254">
        <v>3.9579999999999997E-2</v>
      </c>
      <c r="D254">
        <v>2.1100000000000001E-2</v>
      </c>
      <c r="E254">
        <v>2.6630000000000001E-2</v>
      </c>
      <c r="F254">
        <v>873997318.39999998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-0.40151515151515138</v>
      </c>
      <c r="Q254">
        <f t="shared" si="961"/>
        <v>-350923165.72121197</v>
      </c>
      <c r="R254">
        <f t="shared" si="962"/>
        <v>-3174347408.1354508</v>
      </c>
      <c r="S254">
        <f t="shared" si="963"/>
        <v>-31743.474081354507</v>
      </c>
      <c r="T254">
        <f t="shared" si="964"/>
        <v>-31.743474081354506</v>
      </c>
    </row>
    <row r="255" spans="1:20" x14ac:dyDescent="0.25">
      <c r="A255" s="5">
        <v>44338</v>
      </c>
      <c r="B255">
        <v>3.814E-2</v>
      </c>
      <c r="C255">
        <v>3.8980000000000001E-2</v>
      </c>
      <c r="D255">
        <v>3.1550000000000002E-2</v>
      </c>
      <c r="E255">
        <v>3.4759999999999999E-2</v>
      </c>
      <c r="F255">
        <v>605418041.10000002</v>
      </c>
      <c r="G255">
        <v>0</v>
      </c>
      <c r="L255" t="s">
        <v>7</v>
      </c>
      <c r="M255" t="s">
        <v>8</v>
      </c>
      <c r="N255" t="s">
        <v>7</v>
      </c>
      <c r="P255">
        <f t="shared" si="960"/>
        <v>-0.13593539703903151</v>
      </c>
      <c r="Q255">
        <f t="shared" si="961"/>
        <v>-82297741.791521206</v>
      </c>
      <c r="R255">
        <f t="shared" si="962"/>
        <v>-2823424242.4142389</v>
      </c>
      <c r="S255">
        <f t="shared" si="963"/>
        <v>-28234.242424142391</v>
      </c>
      <c r="T255">
        <f t="shared" si="964"/>
        <v>-28.234242424142391</v>
      </c>
    </row>
    <row r="256" spans="1:20" x14ac:dyDescent="0.25">
      <c r="A256" s="5">
        <v>44337</v>
      </c>
      <c r="B256">
        <v>4.895E-2</v>
      </c>
      <c r="C256">
        <v>5.101E-2</v>
      </c>
      <c r="D256">
        <v>3.2680000000000001E-2</v>
      </c>
      <c r="E256">
        <v>3.814E-2</v>
      </c>
      <c r="F256">
        <v>1331195682.5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-0.4042553191489362</v>
      </c>
      <c r="Q256">
        <f t="shared" si="961"/>
        <v>-538142935.47872341</v>
      </c>
      <c r="R256">
        <f t="shared" si="962"/>
        <v>-2741126500.6227179</v>
      </c>
      <c r="S256">
        <f t="shared" si="963"/>
        <v>-27411.265006227179</v>
      </c>
      <c r="T256">
        <f t="shared" si="964"/>
        <v>-27.411265006227179</v>
      </c>
    </row>
    <row r="257" spans="1:20" x14ac:dyDescent="0.25">
      <c r="A257" s="5">
        <v>44336</v>
      </c>
      <c r="B257">
        <v>5.0049999999999997E-2</v>
      </c>
      <c r="C257">
        <v>5.9499999999999997E-2</v>
      </c>
      <c r="D257">
        <v>4.36E-2</v>
      </c>
      <c r="E257">
        <v>4.8919999999999998E-2</v>
      </c>
      <c r="F257">
        <v>1556163237.7</v>
      </c>
      <c r="G257">
        <v>0</v>
      </c>
      <c r="L257" t="s">
        <v>7</v>
      </c>
      <c r="M257" t="s">
        <v>7</v>
      </c>
      <c r="N257" t="s">
        <v>8</v>
      </c>
      <c r="P257">
        <f t="shared" si="960"/>
        <v>-0.33081761006289317</v>
      </c>
      <c r="Q257">
        <f t="shared" si="961"/>
        <v>-514806203.16364795</v>
      </c>
      <c r="R257">
        <f t="shared" si="962"/>
        <v>-2202983565.1439943</v>
      </c>
      <c r="S257">
        <f t="shared" si="963"/>
        <v>-22029.835651439942</v>
      </c>
      <c r="T257">
        <f t="shared" si="964"/>
        <v>-22.029835651439942</v>
      </c>
    </row>
    <row r="258" spans="1:20" x14ac:dyDescent="0.25">
      <c r="A258" s="5">
        <v>44335</v>
      </c>
      <c r="B258">
        <v>6.7909999999999998E-2</v>
      </c>
      <c r="C258">
        <v>8.2000000000000003E-2</v>
      </c>
      <c r="D258">
        <v>3.8609999999999998E-2</v>
      </c>
      <c r="E258">
        <v>5.0200000000000002E-2</v>
      </c>
      <c r="F258">
        <v>3439465531.8000002</v>
      </c>
      <c r="G258">
        <v>0</v>
      </c>
      <c r="L258" t="s">
        <v>8</v>
      </c>
      <c r="M258" t="s">
        <v>8</v>
      </c>
      <c r="N258" t="s">
        <v>7</v>
      </c>
      <c r="P258">
        <f t="shared" si="960"/>
        <v>-0.46577552431435809</v>
      </c>
      <c r="Q258">
        <f t="shared" si="961"/>
        <v>-1602018861.4353075</v>
      </c>
      <c r="R258">
        <f t="shared" si="962"/>
        <v>-1688177361.9803464</v>
      </c>
      <c r="S258">
        <f t="shared" si="963"/>
        <v>-16881.773619803465</v>
      </c>
      <c r="T258">
        <f t="shared" si="964"/>
        <v>-16.881773619803464</v>
      </c>
    </row>
    <row r="259" spans="1:20" x14ac:dyDescent="0.25">
      <c r="A259" s="5">
        <v>44334</v>
      </c>
      <c r="B259">
        <v>4.7120000000000002E-2</v>
      </c>
      <c r="C259">
        <v>7.6840000000000006E-2</v>
      </c>
      <c r="D259">
        <v>4.6510000000000003E-2</v>
      </c>
      <c r="E259">
        <v>6.7909999999999998E-2</v>
      </c>
      <c r="F259">
        <v>1693570038</v>
      </c>
      <c r="G259">
        <v>0</v>
      </c>
      <c r="L259" t="s">
        <v>8</v>
      </c>
      <c r="M259" t="s">
        <v>8</v>
      </c>
      <c r="N259" t="s">
        <v>8</v>
      </c>
      <c r="P259">
        <f t="shared" si="960"/>
        <v>0.41114408176722672</v>
      </c>
      <c r="Q259">
        <f t="shared" si="961"/>
        <v>696301298.1819973</v>
      </c>
      <c r="R259">
        <f t="shared" si="962"/>
        <v>-86158500.545038939</v>
      </c>
      <c r="S259">
        <f t="shared" si="963"/>
        <v>-861.58500545038942</v>
      </c>
      <c r="T259">
        <f t="shared" si="964"/>
        <v>-0.86158500545038941</v>
      </c>
    </row>
    <row r="260" spans="1:20" x14ac:dyDescent="0.25">
      <c r="A260" s="5">
        <v>44333</v>
      </c>
      <c r="B260">
        <v>5.2650000000000002E-2</v>
      </c>
      <c r="C260">
        <v>5.271E-2</v>
      </c>
      <c r="D260">
        <v>4.548E-2</v>
      </c>
      <c r="E260">
        <v>4.7210000000000002E-2</v>
      </c>
      <c r="F260">
        <v>380263640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-0.52143845089903118</v>
      </c>
      <c r="Q260">
        <f t="shared" si="961"/>
        <v>-198284083.37482688</v>
      </c>
      <c r="R260">
        <f t="shared" si="962"/>
        <v>-782459798.72703624</v>
      </c>
      <c r="S260">
        <f t="shared" si="963"/>
        <v>-7824.597987270362</v>
      </c>
      <c r="T260">
        <f t="shared" si="964"/>
        <v>-7.8245979872703622</v>
      </c>
    </row>
    <row r="261" spans="1:20" x14ac:dyDescent="0.25">
      <c r="A261" s="5">
        <v>44332</v>
      </c>
      <c r="B261">
        <v>5.697E-2</v>
      </c>
      <c r="C261">
        <v>6.2E-2</v>
      </c>
      <c r="D261">
        <v>0.05</v>
      </c>
      <c r="E261">
        <v>5.2630000000000003E-2</v>
      </c>
      <c r="F261">
        <v>750482208.29999995</v>
      </c>
      <c r="G261">
        <v>0</v>
      </c>
      <c r="L261" t="s">
        <v>7</v>
      </c>
      <c r="M261" t="s">
        <v>7</v>
      </c>
      <c r="N261" t="s">
        <v>8</v>
      </c>
      <c r="P261">
        <f t="shared" si="960"/>
        <v>-0.56166666666666654</v>
      </c>
      <c r="Q261">
        <f t="shared" si="961"/>
        <v>-421520840.32849985</v>
      </c>
      <c r="R261">
        <f t="shared" si="962"/>
        <v>-584175715.35220933</v>
      </c>
      <c r="S261">
        <f t="shared" si="963"/>
        <v>-5841.7571535220932</v>
      </c>
      <c r="T261">
        <f t="shared" si="964"/>
        <v>-5.8417571535220931</v>
      </c>
    </row>
    <row r="262" spans="1:20" x14ac:dyDescent="0.25">
      <c r="A262" s="5">
        <v>44331</v>
      </c>
      <c r="B262">
        <v>4.8849999999999998E-2</v>
      </c>
      <c r="C262">
        <v>6.3089999999999993E-2</v>
      </c>
      <c r="D262">
        <v>4.6710000000000002E-2</v>
      </c>
      <c r="E262">
        <v>5.697E-2</v>
      </c>
      <c r="F262">
        <v>940572474.20000005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5">IF(C262=D262,0,((E262-D262)-(C262-E262))/(C262-D262))</f>
        <v>0.25274725274725318</v>
      </c>
      <c r="Q262">
        <f t="shared" ref="Q262:Q325" si="966">F262*P262</f>
        <v>237727108.86373669</v>
      </c>
      <c r="R262">
        <f t="shared" ref="R262:R325" si="967">R263+Q262</f>
        <v>-162654875.02370948</v>
      </c>
      <c r="S262">
        <f t="shared" ref="S262:S325" si="968">R262/100000</f>
        <v>-1626.5487502370947</v>
      </c>
      <c r="T262">
        <f t="shared" ref="T262:T325" si="969">S262/1000</f>
        <v>-1.6265487502370948</v>
      </c>
    </row>
    <row r="263" spans="1:20" x14ac:dyDescent="0.25">
      <c r="A263" s="5">
        <v>44330</v>
      </c>
      <c r="B263">
        <v>4.2369999999999998E-2</v>
      </c>
      <c r="C263">
        <v>5.024E-2</v>
      </c>
      <c r="D263">
        <v>4.2070000000000003E-2</v>
      </c>
      <c r="E263">
        <v>4.888E-2</v>
      </c>
      <c r="F263">
        <v>281660564.5</v>
      </c>
      <c r="G263">
        <v>0</v>
      </c>
      <c r="L263" t="s">
        <v>8</v>
      </c>
      <c r="M263" t="s">
        <v>8</v>
      </c>
      <c r="N263" t="s">
        <v>7</v>
      </c>
      <c r="P263">
        <f t="shared" si="965"/>
        <v>0.66707466340269261</v>
      </c>
      <c r="Q263">
        <f t="shared" si="966"/>
        <v>187888626.2576499</v>
      </c>
      <c r="R263">
        <f t="shared" si="967"/>
        <v>-400381983.88744617</v>
      </c>
      <c r="S263">
        <f t="shared" si="968"/>
        <v>-4003.8198388744618</v>
      </c>
      <c r="T263">
        <f t="shared" si="969"/>
        <v>-4.0038198388744615</v>
      </c>
    </row>
    <row r="264" spans="1:20" x14ac:dyDescent="0.25">
      <c r="A264" s="5">
        <v>44329</v>
      </c>
      <c r="B264">
        <v>4.1640000000000003E-2</v>
      </c>
      <c r="C264">
        <v>4.6359999999999998E-2</v>
      </c>
      <c r="D264">
        <v>3.7999999999999999E-2</v>
      </c>
      <c r="E264">
        <v>4.2299999999999997E-2</v>
      </c>
      <c r="F264">
        <v>356638312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2.870813397129153E-2</v>
      </c>
      <c r="Q264">
        <f t="shared" si="966"/>
        <v>10238420.440191267</v>
      </c>
      <c r="R264">
        <f t="shared" si="967"/>
        <v>-588270610.14509606</v>
      </c>
      <c r="S264">
        <f t="shared" si="968"/>
        <v>-5882.7061014509609</v>
      </c>
      <c r="T264">
        <f t="shared" si="969"/>
        <v>-5.8827061014509612</v>
      </c>
    </row>
    <row r="265" spans="1:20" x14ac:dyDescent="0.25">
      <c r="A265" s="5">
        <v>44328</v>
      </c>
      <c r="B265">
        <v>5.076E-2</v>
      </c>
      <c r="C265">
        <v>5.6140000000000002E-2</v>
      </c>
      <c r="D265">
        <v>4.0939999999999997E-2</v>
      </c>
      <c r="E265">
        <v>4.163E-2</v>
      </c>
      <c r="F265">
        <v>411043197.80000001</v>
      </c>
      <c r="G265">
        <v>0</v>
      </c>
      <c r="L265" t="s">
        <v>8</v>
      </c>
      <c r="M265" t="s">
        <v>8</v>
      </c>
      <c r="N265" t="s">
        <v>7</v>
      </c>
      <c r="P265">
        <f t="shared" si="965"/>
        <v>-0.90921052631578914</v>
      </c>
      <c r="Q265">
        <f t="shared" si="966"/>
        <v>-373724802.21026301</v>
      </c>
      <c r="R265">
        <f t="shared" si="967"/>
        <v>-598509030.58528733</v>
      </c>
      <c r="S265">
        <f t="shared" si="968"/>
        <v>-5985.0903058528729</v>
      </c>
      <c r="T265">
        <f t="shared" si="969"/>
        <v>-5.9850903058528733</v>
      </c>
    </row>
    <row r="266" spans="1:20" x14ac:dyDescent="0.25">
      <c r="A266" s="5">
        <v>44327</v>
      </c>
      <c r="B266">
        <v>4.7370000000000002E-2</v>
      </c>
      <c r="C266">
        <v>5.1670000000000001E-2</v>
      </c>
      <c r="D266">
        <v>4.555E-2</v>
      </c>
      <c r="E266">
        <v>5.076E-2</v>
      </c>
      <c r="F266">
        <v>270289044.80000001</v>
      </c>
      <c r="G266">
        <v>0</v>
      </c>
      <c r="L266" t="s">
        <v>8</v>
      </c>
      <c r="M266" t="s">
        <v>8</v>
      </c>
      <c r="N266" t="s">
        <v>7</v>
      </c>
      <c r="P266">
        <f t="shared" si="965"/>
        <v>0.70261437908496693</v>
      </c>
      <c r="Q266">
        <f t="shared" si="966"/>
        <v>189908969.38562083</v>
      </c>
      <c r="R266">
        <f t="shared" si="967"/>
        <v>-224784228.37502438</v>
      </c>
      <c r="S266">
        <f t="shared" si="968"/>
        <v>-2247.842283750244</v>
      </c>
      <c r="T266">
        <f t="shared" si="969"/>
        <v>-2.2478422837502441</v>
      </c>
    </row>
    <row r="267" spans="1:20" x14ac:dyDescent="0.25">
      <c r="A267" s="5">
        <v>44326</v>
      </c>
      <c r="B267">
        <v>5.5620000000000003E-2</v>
      </c>
      <c r="C267">
        <v>5.8709999999999998E-2</v>
      </c>
      <c r="D267">
        <v>4.2700000000000002E-2</v>
      </c>
      <c r="E267">
        <v>4.7350000000000003E-2</v>
      </c>
      <c r="F267">
        <v>459340334.69999999</v>
      </c>
      <c r="G267">
        <v>0</v>
      </c>
      <c r="L267" t="s">
        <v>7</v>
      </c>
      <c r="M267" t="s">
        <v>7</v>
      </c>
      <c r="N267" t="s">
        <v>7</v>
      </c>
      <c r="P267">
        <f t="shared" si="965"/>
        <v>-0.41911305434103657</v>
      </c>
      <c r="Q267">
        <f t="shared" si="966"/>
        <v>-192515530.65815103</v>
      </c>
      <c r="R267">
        <f t="shared" si="967"/>
        <v>-414693197.76064521</v>
      </c>
      <c r="S267">
        <f t="shared" si="968"/>
        <v>-4146.9319776064522</v>
      </c>
      <c r="T267">
        <f t="shared" si="969"/>
        <v>-4.1469319776064522</v>
      </c>
    </row>
    <row r="268" spans="1:20" x14ac:dyDescent="0.25">
      <c r="A268" s="5">
        <v>44325</v>
      </c>
      <c r="B268">
        <v>5.672E-2</v>
      </c>
      <c r="C268">
        <v>5.7410000000000003E-2</v>
      </c>
      <c r="D268">
        <v>5.1520000000000003E-2</v>
      </c>
      <c r="E268">
        <v>5.5550000000000002E-2</v>
      </c>
      <c r="F268">
        <v>368450471.10000002</v>
      </c>
      <c r="G268">
        <v>0</v>
      </c>
      <c r="L268" t="s">
        <v>7</v>
      </c>
      <c r="M268" t="s">
        <v>7</v>
      </c>
      <c r="N268" t="s">
        <v>7</v>
      </c>
      <c r="P268">
        <f t="shared" si="965"/>
        <v>0.3684210526315787</v>
      </c>
      <c r="Q268">
        <f t="shared" si="966"/>
        <v>135744910.40526307</v>
      </c>
      <c r="R268">
        <f t="shared" si="967"/>
        <v>-222177667.10249418</v>
      </c>
      <c r="S268">
        <f t="shared" si="968"/>
        <v>-2221.7766710249416</v>
      </c>
      <c r="T268">
        <f t="shared" si="969"/>
        <v>-2.2217766710249416</v>
      </c>
    </row>
    <row r="269" spans="1:20" x14ac:dyDescent="0.25">
      <c r="A269" s="5">
        <v>44324</v>
      </c>
      <c r="B269">
        <v>5.7889999999999997E-2</v>
      </c>
      <c r="C269">
        <v>5.9339999999999997E-2</v>
      </c>
      <c r="D269">
        <v>5.5100000000000003E-2</v>
      </c>
      <c r="E269">
        <v>5.6689999999999997E-2</v>
      </c>
      <c r="F269">
        <v>252263165.09999999</v>
      </c>
      <c r="G269">
        <v>0</v>
      </c>
      <c r="L269" t="s">
        <v>7</v>
      </c>
      <c r="M269" t="s">
        <v>7</v>
      </c>
      <c r="N269" t="s">
        <v>7</v>
      </c>
      <c r="P269">
        <f t="shared" si="965"/>
        <v>-0.25000000000000161</v>
      </c>
      <c r="Q269">
        <f t="shared" si="966"/>
        <v>-63065791.275000408</v>
      </c>
      <c r="R269">
        <f t="shared" si="967"/>
        <v>-357922577.50775725</v>
      </c>
      <c r="S269">
        <f t="shared" si="968"/>
        <v>-3579.2257750775725</v>
      </c>
      <c r="T269">
        <f t="shared" si="969"/>
        <v>-3.5792257750775724</v>
      </c>
    </row>
    <row r="270" spans="1:20" x14ac:dyDescent="0.25">
      <c r="A270" s="5">
        <v>44323</v>
      </c>
      <c r="B270">
        <v>5.7979999999999997E-2</v>
      </c>
      <c r="C270">
        <v>6.1409999999999999E-2</v>
      </c>
      <c r="D270">
        <v>5.5910000000000001E-2</v>
      </c>
      <c r="E270">
        <v>5.79E-2</v>
      </c>
      <c r="F270">
        <v>289252962.5</v>
      </c>
      <c r="G270">
        <v>0</v>
      </c>
      <c r="L270" t="s">
        <v>8</v>
      </c>
      <c r="M270" t="s">
        <v>7</v>
      </c>
      <c r="N270" t="s">
        <v>7</v>
      </c>
      <c r="P270">
        <f t="shared" si="965"/>
        <v>-0.27636363636363653</v>
      </c>
      <c r="Q270">
        <f t="shared" si="966"/>
        <v>-79939000.545454592</v>
      </c>
      <c r="R270">
        <f t="shared" si="967"/>
        <v>-294856786.23275685</v>
      </c>
      <c r="S270">
        <f t="shared" si="968"/>
        <v>-2948.5678623275685</v>
      </c>
      <c r="T270">
        <f t="shared" si="969"/>
        <v>-2.9485678623275686</v>
      </c>
    </row>
    <row r="271" spans="1:20" x14ac:dyDescent="0.25">
      <c r="A271" s="5">
        <v>44322</v>
      </c>
      <c r="B271">
        <v>6.2039999999999998E-2</v>
      </c>
      <c r="C271">
        <v>6.2440000000000002E-2</v>
      </c>
      <c r="D271">
        <v>5.6390000000000003E-2</v>
      </c>
      <c r="E271">
        <v>5.7979999999999997E-2</v>
      </c>
      <c r="F271">
        <v>307000426.80000001</v>
      </c>
      <c r="G271">
        <v>0</v>
      </c>
      <c r="L271" t="s">
        <v>7</v>
      </c>
      <c r="M271" t="s">
        <v>7</v>
      </c>
      <c r="N271" t="s">
        <v>7</v>
      </c>
      <c r="P271">
        <f t="shared" si="965"/>
        <v>-0.47438016528925808</v>
      </c>
      <c r="Q271">
        <f t="shared" si="966"/>
        <v>-145634913.20925677</v>
      </c>
      <c r="R271">
        <f t="shared" si="967"/>
        <v>-214917785.68730223</v>
      </c>
      <c r="S271">
        <f t="shared" si="968"/>
        <v>-2149.1778568730224</v>
      </c>
      <c r="T271">
        <f t="shared" si="969"/>
        <v>-2.1491778568730222</v>
      </c>
    </row>
    <row r="272" spans="1:20" x14ac:dyDescent="0.25">
      <c r="A272" s="5">
        <v>44321</v>
      </c>
      <c r="B272">
        <v>5.8069999999999997E-2</v>
      </c>
      <c r="C272">
        <v>6.5129999999999993E-2</v>
      </c>
      <c r="D272">
        <v>5.7230000000000003E-2</v>
      </c>
      <c r="E272">
        <v>6.1990000000000003E-2</v>
      </c>
      <c r="F272">
        <v>258493261.69999999</v>
      </c>
      <c r="G272">
        <v>0</v>
      </c>
      <c r="L272" t="s">
        <v>8</v>
      </c>
      <c r="M272" t="s">
        <v>7</v>
      </c>
      <c r="N272" t="s">
        <v>7</v>
      </c>
      <c r="P272">
        <f t="shared" si="965"/>
        <v>0.20506329113924207</v>
      </c>
      <c r="Q272">
        <f t="shared" si="966"/>
        <v>53007478.981519386</v>
      </c>
      <c r="R272">
        <f t="shared" si="967"/>
        <v>-69282872.478045478</v>
      </c>
      <c r="S272">
        <f t="shared" si="968"/>
        <v>-692.82872478045476</v>
      </c>
      <c r="T272">
        <f t="shared" si="969"/>
        <v>-0.69282872478045476</v>
      </c>
    </row>
    <row r="273" spans="1:20" x14ac:dyDescent="0.25">
      <c r="A273" s="5">
        <v>44320</v>
      </c>
      <c r="B273">
        <v>6.7589999999999997E-2</v>
      </c>
      <c r="C273">
        <v>6.7979999999999999E-2</v>
      </c>
      <c r="D273">
        <v>5.7590000000000002E-2</v>
      </c>
      <c r="E273">
        <v>5.8189999999999999E-2</v>
      </c>
      <c r="F273">
        <v>419264698.10000002</v>
      </c>
      <c r="G273">
        <v>0</v>
      </c>
      <c r="L273" t="s">
        <v>7</v>
      </c>
      <c r="M273" t="s">
        <v>7</v>
      </c>
      <c r="N273" t="s">
        <v>8</v>
      </c>
      <c r="P273">
        <f t="shared" si="965"/>
        <v>-0.88450433108758486</v>
      </c>
      <c r="Q273">
        <f t="shared" si="966"/>
        <v>-370841441.34157872</v>
      </c>
      <c r="R273">
        <f t="shared" si="967"/>
        <v>-122290351.45956486</v>
      </c>
      <c r="S273">
        <f t="shared" si="968"/>
        <v>-1222.9035145956486</v>
      </c>
      <c r="T273">
        <f t="shared" si="969"/>
        <v>-1.2229035145956486</v>
      </c>
    </row>
    <row r="274" spans="1:20" x14ac:dyDescent="0.25">
      <c r="A274" s="5">
        <v>44319</v>
      </c>
      <c r="B274">
        <v>7.0459999999999995E-2</v>
      </c>
      <c r="C274">
        <v>7.3499999999999996E-2</v>
      </c>
      <c r="D274">
        <v>6.651E-2</v>
      </c>
      <c r="E274">
        <v>6.7669999999999994E-2</v>
      </c>
      <c r="F274">
        <v>260700983.90000001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-0.66809728183118888</v>
      </c>
      <c r="Q274">
        <f t="shared" si="966"/>
        <v>-174173618.71430653</v>
      </c>
      <c r="R274">
        <f t="shared" si="967"/>
        <v>248551089.88201386</v>
      </c>
      <c r="S274">
        <f t="shared" si="968"/>
        <v>2485.5108988201387</v>
      </c>
      <c r="T274">
        <f t="shared" si="969"/>
        <v>2.4855108988201389</v>
      </c>
    </row>
    <row r="275" spans="1:20" x14ac:dyDescent="0.25">
      <c r="A275" s="5">
        <v>44318</v>
      </c>
      <c r="B275">
        <v>7.2179999999999994E-2</v>
      </c>
      <c r="C275">
        <v>7.3330000000000006E-2</v>
      </c>
      <c r="D275">
        <v>6.7000000000000004E-2</v>
      </c>
      <c r="E275">
        <v>7.0559999999999998E-2</v>
      </c>
      <c r="F275">
        <v>331684329.19999999</v>
      </c>
      <c r="G275">
        <v>0</v>
      </c>
      <c r="L275" t="s">
        <v>7</v>
      </c>
      <c r="M275" t="s">
        <v>8</v>
      </c>
      <c r="N275" t="s">
        <v>8</v>
      </c>
      <c r="P275">
        <f t="shared" si="965"/>
        <v>0.12480252764612715</v>
      </c>
      <c r="Q275">
        <f t="shared" si="966"/>
        <v>41395042.664770134</v>
      </c>
      <c r="R275">
        <f t="shared" si="967"/>
        <v>422724708.59632039</v>
      </c>
      <c r="S275">
        <f t="shared" si="968"/>
        <v>4227.247085963204</v>
      </c>
      <c r="T275">
        <f t="shared" si="969"/>
        <v>4.2272470859632039</v>
      </c>
    </row>
    <row r="276" spans="1:20" x14ac:dyDescent="0.25">
      <c r="A276" s="5">
        <v>44317</v>
      </c>
      <c r="B276">
        <v>6.5890000000000004E-2</v>
      </c>
      <c r="C276">
        <v>7.6999999999999999E-2</v>
      </c>
      <c r="D276">
        <v>6.5519999999999995E-2</v>
      </c>
      <c r="E276">
        <v>7.2090000000000001E-2</v>
      </c>
      <c r="F276">
        <v>593228158.89999998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0.1445993031358892</v>
      </c>
      <c r="Q276">
        <f t="shared" si="966"/>
        <v>85780378.377526537</v>
      </c>
      <c r="R276">
        <f t="shared" si="967"/>
        <v>381329665.93155026</v>
      </c>
      <c r="S276">
        <f t="shared" si="968"/>
        <v>3813.2966593155024</v>
      </c>
      <c r="T276">
        <f t="shared" si="969"/>
        <v>3.8132966593155024</v>
      </c>
    </row>
    <row r="277" spans="1:20" x14ac:dyDescent="0.25">
      <c r="A277" s="5">
        <v>44316</v>
      </c>
      <c r="B277">
        <v>6.0650000000000003E-2</v>
      </c>
      <c r="C277">
        <v>6.794E-2</v>
      </c>
      <c r="D277">
        <v>5.9490000000000001E-2</v>
      </c>
      <c r="E277">
        <v>6.5890000000000004E-2</v>
      </c>
      <c r="F277">
        <v>316167866.10000002</v>
      </c>
      <c r="G277">
        <v>0</v>
      </c>
      <c r="L277" t="s">
        <v>8</v>
      </c>
      <c r="M277" t="s">
        <v>7</v>
      </c>
      <c r="N277" t="s">
        <v>8</v>
      </c>
      <c r="P277">
        <f t="shared" si="965"/>
        <v>0.51479289940828488</v>
      </c>
      <c r="Q277">
        <f t="shared" si="966"/>
        <v>162760972.4893494</v>
      </c>
      <c r="R277">
        <f t="shared" si="967"/>
        <v>295549287.55402374</v>
      </c>
      <c r="S277">
        <f t="shared" si="968"/>
        <v>2955.4928755402375</v>
      </c>
      <c r="T277">
        <f t="shared" si="969"/>
        <v>2.9554928755402377</v>
      </c>
    </row>
    <row r="278" spans="1:20" x14ac:dyDescent="0.25">
      <c r="A278" s="5">
        <v>44315</v>
      </c>
      <c r="B278">
        <v>6.2820000000000001E-2</v>
      </c>
      <c r="C278">
        <v>6.5040000000000001E-2</v>
      </c>
      <c r="D278">
        <v>5.8569999999999997E-2</v>
      </c>
      <c r="E278">
        <v>6.0650000000000003E-2</v>
      </c>
      <c r="F278">
        <v>346426159.89999998</v>
      </c>
      <c r="G278">
        <v>0</v>
      </c>
      <c r="L278" t="s">
        <v>7</v>
      </c>
      <c r="M278" t="s">
        <v>7</v>
      </c>
      <c r="N278" t="s">
        <v>8</v>
      </c>
      <c r="P278">
        <f t="shared" si="965"/>
        <v>-0.35703245749613466</v>
      </c>
      <c r="Q278">
        <f t="shared" si="966"/>
        <v>-123685383.21004589</v>
      </c>
      <c r="R278">
        <f t="shared" si="967"/>
        <v>132788315.06467436</v>
      </c>
      <c r="S278">
        <f t="shared" si="968"/>
        <v>1327.8831506467436</v>
      </c>
      <c r="T278">
        <f t="shared" si="969"/>
        <v>1.3278831506467437</v>
      </c>
    </row>
    <row r="279" spans="1:20" x14ac:dyDescent="0.25">
      <c r="A279" s="5">
        <v>44314</v>
      </c>
      <c r="B279">
        <v>6.7970000000000003E-2</v>
      </c>
      <c r="C279">
        <v>7.1470000000000006E-2</v>
      </c>
      <c r="D279">
        <v>6.0060000000000002E-2</v>
      </c>
      <c r="E279">
        <v>6.2950000000000006E-2</v>
      </c>
      <c r="F279">
        <v>566782473.79999995</v>
      </c>
      <c r="G279">
        <v>0</v>
      </c>
      <c r="L279" t="s">
        <v>8</v>
      </c>
      <c r="M279" t="s">
        <v>8</v>
      </c>
      <c r="N279" t="s">
        <v>8</v>
      </c>
      <c r="P279">
        <f t="shared" si="965"/>
        <v>-0.49342681858019233</v>
      </c>
      <c r="Q279">
        <f t="shared" si="966"/>
        <v>-279665672.87414521</v>
      </c>
      <c r="R279">
        <f t="shared" si="967"/>
        <v>256473698.27472025</v>
      </c>
      <c r="S279">
        <f t="shared" si="968"/>
        <v>2564.7369827472025</v>
      </c>
      <c r="T279">
        <f t="shared" si="969"/>
        <v>2.5647369827472026</v>
      </c>
    </row>
    <row r="280" spans="1:20" x14ac:dyDescent="0.25">
      <c r="A280" s="5">
        <v>44313</v>
      </c>
      <c r="B280">
        <v>5.9470000000000002E-2</v>
      </c>
      <c r="C280">
        <v>6.8459999999999993E-2</v>
      </c>
      <c r="D280">
        <v>5.5469999999999998E-2</v>
      </c>
      <c r="E280">
        <v>6.7970000000000003E-2</v>
      </c>
      <c r="F280">
        <v>587939316.29999995</v>
      </c>
      <c r="G280">
        <v>0</v>
      </c>
      <c r="L280" t="s">
        <v>8</v>
      </c>
      <c r="M280" t="s">
        <v>8</v>
      </c>
      <c r="N280" t="s">
        <v>8</v>
      </c>
      <c r="P280">
        <f t="shared" si="965"/>
        <v>0.92455735180908538</v>
      </c>
      <c r="Q280">
        <f t="shared" si="966"/>
        <v>543583617.30277216</v>
      </c>
      <c r="R280">
        <f t="shared" si="967"/>
        <v>536139371.14886546</v>
      </c>
      <c r="S280">
        <f t="shared" si="968"/>
        <v>5361.3937114886548</v>
      </c>
      <c r="T280">
        <f t="shared" si="969"/>
        <v>5.3613937114886552</v>
      </c>
    </row>
    <row r="281" spans="1:20" x14ac:dyDescent="0.25">
      <c r="A281" s="5">
        <v>44312</v>
      </c>
      <c r="B281">
        <v>4.3360000000000003E-2</v>
      </c>
      <c r="C281">
        <v>6.1060000000000003E-2</v>
      </c>
      <c r="D281">
        <v>4.2849999999999999E-2</v>
      </c>
      <c r="E281">
        <v>5.9459999999999999E-2</v>
      </c>
      <c r="F281">
        <v>758383642.29999995</v>
      </c>
      <c r="G281">
        <v>0</v>
      </c>
      <c r="L281" t="s">
        <v>8</v>
      </c>
      <c r="M281" t="s">
        <v>8</v>
      </c>
      <c r="N281" t="s">
        <v>8</v>
      </c>
      <c r="P281">
        <f t="shared" si="965"/>
        <v>0.82427237781438722</v>
      </c>
      <c r="Q281">
        <f t="shared" si="966"/>
        <v>625114688.1341567</v>
      </c>
      <c r="R281">
        <f t="shared" si="967"/>
        <v>-7444246.153906703</v>
      </c>
      <c r="S281">
        <f t="shared" si="968"/>
        <v>-74.442461539067025</v>
      </c>
      <c r="T281">
        <f t="shared" si="969"/>
        <v>-7.4442461539067029E-2</v>
      </c>
    </row>
    <row r="282" spans="1:20" x14ac:dyDescent="0.25">
      <c r="A282" s="5">
        <v>44311</v>
      </c>
      <c r="B282">
        <v>4.2639999999999997E-2</v>
      </c>
      <c r="C282">
        <v>4.9979999999999997E-2</v>
      </c>
      <c r="D282">
        <v>4.1849999999999998E-2</v>
      </c>
      <c r="E282">
        <v>4.3400000000000001E-2</v>
      </c>
      <c r="F282">
        <v>332570007.5</v>
      </c>
      <c r="G282">
        <v>0</v>
      </c>
      <c r="L282" t="s">
        <v>8</v>
      </c>
      <c r="M282" t="s">
        <v>7</v>
      </c>
      <c r="N282" t="s">
        <v>7</v>
      </c>
      <c r="P282">
        <f t="shared" si="965"/>
        <v>-0.6186961869618689</v>
      </c>
      <c r="Q282">
        <f t="shared" si="966"/>
        <v>-205759795.53813013</v>
      </c>
      <c r="R282">
        <f t="shared" si="967"/>
        <v>-632558934.28806341</v>
      </c>
      <c r="S282">
        <f t="shared" si="968"/>
        <v>-6325.5893428806339</v>
      </c>
      <c r="T282">
        <f t="shared" si="969"/>
        <v>-6.325589342880634</v>
      </c>
    </row>
    <row r="283" spans="1:20" x14ac:dyDescent="0.25">
      <c r="A283" s="5">
        <v>44310</v>
      </c>
      <c r="B283">
        <v>4.845E-2</v>
      </c>
      <c r="C283">
        <v>4.8719999999999999E-2</v>
      </c>
      <c r="D283">
        <v>4.2470000000000001E-2</v>
      </c>
      <c r="E283">
        <v>4.2729999999999997E-2</v>
      </c>
      <c r="F283">
        <v>263298561.90000001</v>
      </c>
      <c r="G283">
        <v>0</v>
      </c>
      <c r="L283" t="s">
        <v>8</v>
      </c>
      <c r="M283" t="s">
        <v>8</v>
      </c>
      <c r="N283" t="s">
        <v>7</v>
      </c>
      <c r="P283">
        <f t="shared" si="965"/>
        <v>-0.91680000000000117</v>
      </c>
      <c r="Q283">
        <f t="shared" si="966"/>
        <v>-241392121.54992032</v>
      </c>
      <c r="R283">
        <f t="shared" si="967"/>
        <v>-426799138.74993324</v>
      </c>
      <c r="S283">
        <f t="shared" si="968"/>
        <v>-4267.9913874993326</v>
      </c>
      <c r="T283">
        <f t="shared" si="969"/>
        <v>-4.2679913874993325</v>
      </c>
    </row>
    <row r="284" spans="1:20" x14ac:dyDescent="0.25">
      <c r="A284" s="5">
        <v>44309</v>
      </c>
      <c r="B284">
        <v>5.0790000000000002E-2</v>
      </c>
      <c r="C284">
        <v>5.2409999999999998E-2</v>
      </c>
      <c r="D284">
        <v>4.0509999999999997E-2</v>
      </c>
      <c r="E284">
        <v>4.8390000000000002E-2</v>
      </c>
      <c r="F284">
        <v>521329729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0.3243697478991604</v>
      </c>
      <c r="Q284">
        <f t="shared" si="966"/>
        <v>169103592.7680676</v>
      </c>
      <c r="R284">
        <f t="shared" si="967"/>
        <v>-185407017.20001292</v>
      </c>
      <c r="S284">
        <f t="shared" si="968"/>
        <v>-1854.0701720001293</v>
      </c>
      <c r="T284">
        <f t="shared" si="969"/>
        <v>-1.8540701720001294</v>
      </c>
    </row>
    <row r="285" spans="1:20" x14ac:dyDescent="0.25">
      <c r="A285" s="5">
        <v>44308</v>
      </c>
      <c r="B285">
        <v>5.1810000000000002E-2</v>
      </c>
      <c r="C285">
        <v>5.7000000000000002E-2</v>
      </c>
      <c r="D285">
        <v>4.888E-2</v>
      </c>
      <c r="E285">
        <v>5.0799999999999998E-2</v>
      </c>
      <c r="F285">
        <v>363025684</v>
      </c>
      <c r="G285">
        <v>0</v>
      </c>
      <c r="L285" t="s">
        <v>7</v>
      </c>
      <c r="M285" t="s">
        <v>8</v>
      </c>
      <c r="N285" t="s">
        <v>7</v>
      </c>
      <c r="P285">
        <f t="shared" si="965"/>
        <v>-0.52709359605911388</v>
      </c>
      <c r="Q285">
        <f t="shared" si="966"/>
        <v>-191348513.24137953</v>
      </c>
      <c r="R285">
        <f t="shared" si="967"/>
        <v>-354510609.96808052</v>
      </c>
      <c r="S285">
        <f t="shared" si="968"/>
        <v>-3545.1060996808051</v>
      </c>
      <c r="T285">
        <f t="shared" si="969"/>
        <v>-3.545106099680805</v>
      </c>
    </row>
    <row r="286" spans="1:20" x14ac:dyDescent="0.25">
      <c r="A286" s="5">
        <v>44307</v>
      </c>
      <c r="B286">
        <v>5.5590000000000001E-2</v>
      </c>
      <c r="C286">
        <v>5.7500000000000002E-2</v>
      </c>
      <c r="D286">
        <v>5.1549999999999999E-2</v>
      </c>
      <c r="E286">
        <v>5.1810000000000002E-2</v>
      </c>
      <c r="F286">
        <v>319190953.60000002</v>
      </c>
      <c r="G286">
        <v>0</v>
      </c>
      <c r="L286" t="s">
        <v>8</v>
      </c>
      <c r="M286" t="s">
        <v>8</v>
      </c>
      <c r="N286" t="s">
        <v>7</v>
      </c>
      <c r="P286">
        <f t="shared" si="965"/>
        <v>-0.9126050420168057</v>
      </c>
      <c r="Q286">
        <f t="shared" si="966"/>
        <v>-291295273.62151229</v>
      </c>
      <c r="R286">
        <f t="shared" si="967"/>
        <v>-163162096.72670102</v>
      </c>
      <c r="S286">
        <f t="shared" si="968"/>
        <v>-1631.6209672670102</v>
      </c>
      <c r="T286">
        <f t="shared" si="969"/>
        <v>-1.6316209672670101</v>
      </c>
    </row>
    <row r="287" spans="1:20" x14ac:dyDescent="0.25">
      <c r="A287" s="5">
        <v>44306</v>
      </c>
      <c r="B287">
        <v>5.3609999999999998E-2</v>
      </c>
      <c r="C287">
        <v>5.8970000000000002E-2</v>
      </c>
      <c r="D287">
        <v>4.3119999999999999E-2</v>
      </c>
      <c r="E287">
        <v>5.5599999999999997E-2</v>
      </c>
      <c r="F287">
        <v>827755381.79999995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0.57476340694006256</v>
      </c>
      <c r="Q287">
        <f t="shared" si="966"/>
        <v>475763503.35634023</v>
      </c>
      <c r="R287">
        <f t="shared" si="967"/>
        <v>128133176.89481127</v>
      </c>
      <c r="S287">
        <f t="shared" si="968"/>
        <v>1281.3317689481128</v>
      </c>
      <c r="T287">
        <f t="shared" si="969"/>
        <v>1.2813317689481127</v>
      </c>
    </row>
    <row r="288" spans="1:20" x14ac:dyDescent="0.25">
      <c r="A288" s="5">
        <v>44305</v>
      </c>
      <c r="B288">
        <v>6.0409999999999998E-2</v>
      </c>
      <c r="C288">
        <v>6.2880000000000005E-2</v>
      </c>
      <c r="D288">
        <v>5.2049999999999999E-2</v>
      </c>
      <c r="E288">
        <v>5.3609999999999998E-2</v>
      </c>
      <c r="F288">
        <v>405237279.30000001</v>
      </c>
      <c r="G288">
        <v>0</v>
      </c>
      <c r="L288" t="s">
        <v>8</v>
      </c>
      <c r="M288" t="s">
        <v>8</v>
      </c>
      <c r="N288" t="s">
        <v>7</v>
      </c>
      <c r="P288">
        <f t="shared" si="965"/>
        <v>-0.71191135734072064</v>
      </c>
      <c r="Q288">
        <f t="shared" si="966"/>
        <v>-288493021.55152375</v>
      </c>
      <c r="R288">
        <f t="shared" si="967"/>
        <v>-347630326.46152896</v>
      </c>
      <c r="S288">
        <f t="shared" si="968"/>
        <v>-3476.3032646152897</v>
      </c>
      <c r="T288">
        <f t="shared" si="969"/>
        <v>-3.4763032646152898</v>
      </c>
    </row>
    <row r="289" spans="1:20" x14ac:dyDescent="0.25">
      <c r="A289" s="5">
        <v>44304</v>
      </c>
      <c r="B289">
        <v>6.9800000000000001E-2</v>
      </c>
      <c r="C289">
        <v>7.0879999999999999E-2</v>
      </c>
      <c r="D289">
        <v>4.8309999999999999E-2</v>
      </c>
      <c r="E289">
        <v>6.0519999999999997E-2</v>
      </c>
      <c r="F289">
        <v>540914530.70000005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8.1967213114753981E-2</v>
      </c>
      <c r="Q289">
        <f t="shared" si="966"/>
        <v>44337256.614754036</v>
      </c>
      <c r="R289">
        <f t="shared" si="967"/>
        <v>-59137304.910005197</v>
      </c>
      <c r="S289">
        <f t="shared" si="968"/>
        <v>-591.37304910005196</v>
      </c>
      <c r="T289">
        <f t="shared" si="969"/>
        <v>-0.59137304910005195</v>
      </c>
    </row>
    <row r="290" spans="1:20" x14ac:dyDescent="0.25">
      <c r="A290" s="5">
        <v>44303</v>
      </c>
      <c r="B290">
        <v>6.8500000000000005E-2</v>
      </c>
      <c r="C290">
        <v>7.961E-2</v>
      </c>
      <c r="D290">
        <v>6.8019999999999997E-2</v>
      </c>
      <c r="E290">
        <v>6.9769999999999999E-2</v>
      </c>
      <c r="F290">
        <v>408759953.5</v>
      </c>
      <c r="G290">
        <v>0</v>
      </c>
      <c r="L290" t="s">
        <v>8</v>
      </c>
      <c r="M290" t="s">
        <v>8</v>
      </c>
      <c r="N290" t="s">
        <v>8</v>
      </c>
      <c r="P290">
        <f t="shared" si="965"/>
        <v>-0.69801553062985311</v>
      </c>
      <c r="Q290">
        <f t="shared" si="966"/>
        <v>-285320795.84253657</v>
      </c>
      <c r="R290">
        <f t="shared" si="967"/>
        <v>-103474561.52475923</v>
      </c>
      <c r="S290">
        <f t="shared" si="968"/>
        <v>-1034.7456152475922</v>
      </c>
      <c r="T290">
        <f t="shared" si="969"/>
        <v>-1.0347456152475922</v>
      </c>
    </row>
    <row r="291" spans="1:20" x14ac:dyDescent="0.25">
      <c r="A291" s="5">
        <v>44302</v>
      </c>
      <c r="B291">
        <v>7.3959999999999998E-2</v>
      </c>
      <c r="C291">
        <v>7.6869999999999994E-2</v>
      </c>
      <c r="D291">
        <v>6.4589999999999995E-2</v>
      </c>
      <c r="E291">
        <v>6.8349999999999994E-2</v>
      </c>
      <c r="F291">
        <v>467456051.5</v>
      </c>
      <c r="G291">
        <v>0</v>
      </c>
      <c r="L291" t="s">
        <v>7</v>
      </c>
      <c r="M291" t="s">
        <v>7</v>
      </c>
      <c r="N291" t="s">
        <v>8</v>
      </c>
      <c r="P291">
        <f t="shared" si="965"/>
        <v>-0.38762214983713361</v>
      </c>
      <c r="Q291">
        <f t="shared" si="966"/>
        <v>-181196319.63680786</v>
      </c>
      <c r="R291">
        <f t="shared" si="967"/>
        <v>181846234.31777734</v>
      </c>
      <c r="S291">
        <f t="shared" si="968"/>
        <v>1818.4623431777734</v>
      </c>
      <c r="T291">
        <f t="shared" si="969"/>
        <v>1.8184623431777733</v>
      </c>
    </row>
    <row r="292" spans="1:20" x14ac:dyDescent="0.25">
      <c r="A292" s="5">
        <v>44301</v>
      </c>
      <c r="B292">
        <v>7.3050000000000004E-2</v>
      </c>
      <c r="C292">
        <v>8.548E-2</v>
      </c>
      <c r="D292">
        <v>7.109E-2</v>
      </c>
      <c r="E292">
        <v>7.392E-2</v>
      </c>
      <c r="F292">
        <v>941557558.39999998</v>
      </c>
      <c r="G292">
        <v>0</v>
      </c>
      <c r="L292" t="s">
        <v>8</v>
      </c>
      <c r="M292" t="s">
        <v>8</v>
      </c>
      <c r="N292" t="s">
        <v>8</v>
      </c>
      <c r="P292">
        <f t="shared" si="965"/>
        <v>-0.60667129951355114</v>
      </c>
      <c r="Q292">
        <f t="shared" si="966"/>
        <v>-571215947.52133429</v>
      </c>
      <c r="R292">
        <f t="shared" si="967"/>
        <v>363042553.95458519</v>
      </c>
      <c r="S292">
        <f t="shared" si="968"/>
        <v>3630.4255395458517</v>
      </c>
      <c r="T292">
        <f t="shared" si="969"/>
        <v>3.6304255395458518</v>
      </c>
    </row>
    <row r="293" spans="1:20" x14ac:dyDescent="0.25">
      <c r="A293" s="5">
        <v>44300</v>
      </c>
      <c r="B293">
        <v>6.1400000000000003E-2</v>
      </c>
      <c r="C293">
        <v>7.7979999999999994E-2</v>
      </c>
      <c r="D293">
        <v>5.96E-2</v>
      </c>
      <c r="E293">
        <v>7.3069999999999996E-2</v>
      </c>
      <c r="F293">
        <v>891167824.5</v>
      </c>
      <c r="G293">
        <v>0</v>
      </c>
      <c r="L293" t="s">
        <v>8</v>
      </c>
      <c r="M293" t="s">
        <v>8</v>
      </c>
      <c r="N293" t="s">
        <v>8</v>
      </c>
      <c r="P293">
        <f t="shared" si="965"/>
        <v>0.46572361262241574</v>
      </c>
      <c r="Q293">
        <f t="shared" si="966"/>
        <v>415037898.67899895</v>
      </c>
      <c r="R293">
        <f t="shared" si="967"/>
        <v>934258501.47591949</v>
      </c>
      <c r="S293">
        <f t="shared" si="968"/>
        <v>9342.5850147591955</v>
      </c>
      <c r="T293">
        <f t="shared" si="969"/>
        <v>9.3425850147591962</v>
      </c>
    </row>
    <row r="294" spans="1:20" x14ac:dyDescent="0.25">
      <c r="A294" s="5">
        <v>44299</v>
      </c>
      <c r="B294">
        <v>6.1769999999999999E-2</v>
      </c>
      <c r="C294">
        <v>6.4899999999999999E-2</v>
      </c>
      <c r="D294">
        <v>5.8880000000000002E-2</v>
      </c>
      <c r="E294">
        <v>6.1280000000000001E-2</v>
      </c>
      <c r="F294">
        <v>257926549.80000001</v>
      </c>
      <c r="G294">
        <v>0</v>
      </c>
      <c r="L294" t="s">
        <v>7</v>
      </c>
      <c r="M294" t="s">
        <v>7</v>
      </c>
      <c r="N294" t="s">
        <v>7</v>
      </c>
      <c r="P294">
        <f t="shared" si="965"/>
        <v>-0.20265780730896998</v>
      </c>
      <c r="Q294">
        <f t="shared" si="966"/>
        <v>-52270829.029235855</v>
      </c>
      <c r="R294">
        <f t="shared" si="967"/>
        <v>519220602.79692054</v>
      </c>
      <c r="S294">
        <f t="shared" si="968"/>
        <v>5192.206027969205</v>
      </c>
      <c r="T294">
        <f t="shared" si="969"/>
        <v>5.1922060279692053</v>
      </c>
    </row>
    <row r="295" spans="1:20" x14ac:dyDescent="0.25">
      <c r="A295" s="5">
        <v>44298</v>
      </c>
      <c r="B295">
        <v>6.3500000000000001E-2</v>
      </c>
      <c r="C295">
        <v>6.6900000000000001E-2</v>
      </c>
      <c r="D295">
        <v>0.06</v>
      </c>
      <c r="E295">
        <v>6.1710000000000001E-2</v>
      </c>
      <c r="F295">
        <v>242887981.5</v>
      </c>
      <c r="G295">
        <v>0</v>
      </c>
      <c r="L295" t="s">
        <v>7</v>
      </c>
      <c r="M295" t="s">
        <v>7</v>
      </c>
      <c r="N295" t="s">
        <v>7</v>
      </c>
      <c r="P295">
        <f t="shared" si="965"/>
        <v>-0.50434782608695583</v>
      </c>
      <c r="Q295">
        <f t="shared" si="966"/>
        <v>-122500025.45217374</v>
      </c>
      <c r="R295">
        <f t="shared" si="967"/>
        <v>571491431.82615638</v>
      </c>
      <c r="S295">
        <f t="shared" si="968"/>
        <v>5714.9143182615635</v>
      </c>
      <c r="T295">
        <f t="shared" si="969"/>
        <v>5.7149143182615632</v>
      </c>
    </row>
    <row r="296" spans="1:20" x14ac:dyDescent="0.25">
      <c r="A296" s="5">
        <v>44297</v>
      </c>
      <c r="B296">
        <v>6.5579999999999999E-2</v>
      </c>
      <c r="C296">
        <v>6.7949999999999997E-2</v>
      </c>
      <c r="D296">
        <v>6.0130000000000003E-2</v>
      </c>
      <c r="E296">
        <v>6.3500000000000001E-2</v>
      </c>
      <c r="F296">
        <v>312598807.30000001</v>
      </c>
      <c r="G296">
        <v>0</v>
      </c>
      <c r="L296" t="s">
        <v>7</v>
      </c>
      <c r="M296" t="s">
        <v>7</v>
      </c>
      <c r="N296" t="s">
        <v>7</v>
      </c>
      <c r="P296">
        <f t="shared" si="965"/>
        <v>-0.13810741687979522</v>
      </c>
      <c r="Q296">
        <f t="shared" si="966"/>
        <v>-43172213.795907877</v>
      </c>
      <c r="R296">
        <f t="shared" si="967"/>
        <v>693991457.27833009</v>
      </c>
      <c r="S296">
        <f t="shared" si="968"/>
        <v>6939.9145727833011</v>
      </c>
      <c r="T296">
        <f t="shared" si="969"/>
        <v>6.9399145727833007</v>
      </c>
    </row>
    <row r="297" spans="1:20" x14ac:dyDescent="0.25">
      <c r="A297" s="5">
        <v>44296</v>
      </c>
      <c r="B297">
        <v>6.7739999999999995E-2</v>
      </c>
      <c r="C297">
        <v>7.0749999999999993E-2</v>
      </c>
      <c r="D297">
        <v>6.2950000000000006E-2</v>
      </c>
      <c r="E297">
        <v>6.5430000000000002E-2</v>
      </c>
      <c r="F297">
        <v>267567120.69999999</v>
      </c>
      <c r="G297">
        <v>0</v>
      </c>
      <c r="L297" t="s">
        <v>7</v>
      </c>
      <c r="M297" t="s">
        <v>8</v>
      </c>
      <c r="N297" t="s">
        <v>7</v>
      </c>
      <c r="P297">
        <f t="shared" si="965"/>
        <v>-0.36410256410256409</v>
      </c>
      <c r="Q297">
        <f t="shared" si="966"/>
        <v>-97421874.716410249</v>
      </c>
      <c r="R297">
        <f t="shared" si="967"/>
        <v>737163671.07423794</v>
      </c>
      <c r="S297">
        <f t="shared" si="968"/>
        <v>7371.6367107423794</v>
      </c>
      <c r="T297">
        <f t="shared" si="969"/>
        <v>7.3716367107423793</v>
      </c>
    </row>
    <row r="298" spans="1:20" x14ac:dyDescent="0.25">
      <c r="A298" s="5">
        <v>44295</v>
      </c>
      <c r="B298">
        <v>7.17E-2</v>
      </c>
      <c r="C298">
        <v>7.4749999999999997E-2</v>
      </c>
      <c r="D298">
        <v>6.7129999999999995E-2</v>
      </c>
      <c r="E298">
        <v>6.7599999999999993E-2</v>
      </c>
      <c r="F298">
        <v>389025963.30000001</v>
      </c>
      <c r="G298">
        <v>0</v>
      </c>
      <c r="L298" t="s">
        <v>7</v>
      </c>
      <c r="M298" t="s">
        <v>8</v>
      </c>
      <c r="N298" t="s">
        <v>7</v>
      </c>
      <c r="P298">
        <f t="shared" si="965"/>
        <v>-0.87664041994750708</v>
      </c>
      <c r="Q298">
        <f t="shared" si="966"/>
        <v>-341035883.8377955</v>
      </c>
      <c r="R298">
        <f t="shared" si="967"/>
        <v>834585545.79064822</v>
      </c>
      <c r="S298">
        <f t="shared" si="968"/>
        <v>8345.8554579064821</v>
      </c>
      <c r="T298">
        <f t="shared" si="969"/>
        <v>8.3458554579064828</v>
      </c>
    </row>
    <row r="299" spans="1:20" x14ac:dyDescent="0.25">
      <c r="A299" s="5">
        <v>44294</v>
      </c>
      <c r="B299">
        <v>6.1740000000000003E-2</v>
      </c>
      <c r="C299">
        <v>7.4999999999999997E-2</v>
      </c>
      <c r="D299">
        <v>6.1289999999999997E-2</v>
      </c>
      <c r="E299">
        <v>7.1910000000000002E-2</v>
      </c>
      <c r="F299">
        <v>565518383.10000002</v>
      </c>
      <c r="G299">
        <v>0</v>
      </c>
      <c r="L299" t="s">
        <v>8</v>
      </c>
      <c r="M299" t="s">
        <v>8</v>
      </c>
      <c r="N299" t="s">
        <v>7</v>
      </c>
      <c r="P299">
        <f t="shared" si="965"/>
        <v>0.54923413566739676</v>
      </c>
      <c r="Q299">
        <f t="shared" si="966"/>
        <v>310602000.34595227</v>
      </c>
      <c r="R299">
        <f t="shared" si="967"/>
        <v>1175621429.6284437</v>
      </c>
      <c r="S299">
        <f t="shared" si="968"/>
        <v>11756.214296284437</v>
      </c>
      <c r="T299">
        <f t="shared" si="969"/>
        <v>11.756214296284437</v>
      </c>
    </row>
    <row r="300" spans="1:20" x14ac:dyDescent="0.25">
      <c r="A300" s="5">
        <v>44293</v>
      </c>
      <c r="B300">
        <v>6.898E-2</v>
      </c>
      <c r="C300">
        <v>7.0279999999999995E-2</v>
      </c>
      <c r="D300">
        <v>5.3039999999999997E-2</v>
      </c>
      <c r="E300">
        <v>6.1769999999999999E-2</v>
      </c>
      <c r="F300">
        <v>556939021.60000002</v>
      </c>
      <c r="G300">
        <v>0</v>
      </c>
      <c r="L300" t="s">
        <v>7</v>
      </c>
      <c r="M300" t="s">
        <v>7</v>
      </c>
      <c r="N300" t="s">
        <v>7</v>
      </c>
      <c r="P300">
        <f t="shared" si="965"/>
        <v>1.2761020881670819E-2</v>
      </c>
      <c r="Q300">
        <f t="shared" si="966"/>
        <v>7107110.4844549159</v>
      </c>
      <c r="R300">
        <f t="shared" si="967"/>
        <v>865019429.28249133</v>
      </c>
      <c r="S300">
        <f t="shared" si="968"/>
        <v>8650.1942928249136</v>
      </c>
      <c r="T300">
        <f t="shared" si="969"/>
        <v>8.6501942928249136</v>
      </c>
    </row>
    <row r="301" spans="1:20" x14ac:dyDescent="0.25">
      <c r="A301" s="5">
        <v>44292</v>
      </c>
      <c r="B301">
        <v>7.46E-2</v>
      </c>
      <c r="C301">
        <v>7.8149999999999997E-2</v>
      </c>
      <c r="D301">
        <v>6.6400000000000001E-2</v>
      </c>
      <c r="E301">
        <v>6.8900000000000003E-2</v>
      </c>
      <c r="F301">
        <v>366389544.80000001</v>
      </c>
      <c r="G301">
        <v>0</v>
      </c>
      <c r="L301" t="s">
        <v>7</v>
      </c>
      <c r="M301" t="s">
        <v>7</v>
      </c>
      <c r="N301" t="s">
        <v>7</v>
      </c>
      <c r="P301">
        <f t="shared" si="965"/>
        <v>-0.57446808510638248</v>
      </c>
      <c r="Q301">
        <f t="shared" si="966"/>
        <v>-210479100.20425513</v>
      </c>
      <c r="R301">
        <f t="shared" si="967"/>
        <v>857912318.79803646</v>
      </c>
      <c r="S301">
        <f t="shared" si="968"/>
        <v>8579.1231879803654</v>
      </c>
      <c r="T301">
        <f t="shared" si="969"/>
        <v>8.5791231879803647</v>
      </c>
    </row>
    <row r="302" spans="1:20" x14ac:dyDescent="0.25">
      <c r="A302" s="5">
        <v>44291</v>
      </c>
      <c r="B302">
        <v>7.664E-2</v>
      </c>
      <c r="C302">
        <v>8.1000000000000003E-2</v>
      </c>
      <c r="D302">
        <v>7.1379999999999999E-2</v>
      </c>
      <c r="E302">
        <v>7.4649999999999994E-2</v>
      </c>
      <c r="F302">
        <v>415747168.80000001</v>
      </c>
      <c r="G302">
        <v>0</v>
      </c>
      <c r="L302" t="s">
        <v>7</v>
      </c>
      <c r="M302" t="s">
        <v>7</v>
      </c>
      <c r="N302" t="s">
        <v>7</v>
      </c>
      <c r="P302">
        <f t="shared" si="965"/>
        <v>-0.32016632016632141</v>
      </c>
      <c r="Q302">
        <f t="shared" si="966"/>
        <v>-133108241.15426247</v>
      </c>
      <c r="R302">
        <f t="shared" si="967"/>
        <v>1068391419.0022916</v>
      </c>
      <c r="S302">
        <f t="shared" si="968"/>
        <v>10683.914190022915</v>
      </c>
      <c r="T302">
        <f t="shared" si="969"/>
        <v>10.683914190022914</v>
      </c>
    </row>
    <row r="303" spans="1:20" x14ac:dyDescent="0.25">
      <c r="A303" s="5">
        <v>44290</v>
      </c>
      <c r="B303">
        <v>7.553E-2</v>
      </c>
      <c r="C303">
        <v>8.1900000000000001E-2</v>
      </c>
      <c r="D303">
        <v>7.3099999999999998E-2</v>
      </c>
      <c r="E303">
        <v>7.6569999999999999E-2</v>
      </c>
      <c r="F303">
        <v>345453249.39999998</v>
      </c>
      <c r="G303">
        <v>0</v>
      </c>
      <c r="L303" t="s">
        <v>7</v>
      </c>
      <c r="M303" t="s">
        <v>7</v>
      </c>
      <c r="N303" t="s">
        <v>7</v>
      </c>
      <c r="P303">
        <f t="shared" si="965"/>
        <v>-0.21136363636363636</v>
      </c>
      <c r="Q303">
        <f t="shared" si="966"/>
        <v>-73016254.986818179</v>
      </c>
      <c r="R303">
        <f t="shared" si="967"/>
        <v>1201499660.156554</v>
      </c>
      <c r="S303">
        <f t="shared" si="968"/>
        <v>12014.996601565539</v>
      </c>
      <c r="T303">
        <f t="shared" si="969"/>
        <v>12.014996601565539</v>
      </c>
    </row>
    <row r="304" spans="1:20" x14ac:dyDescent="0.25">
      <c r="A304" s="5">
        <v>44289</v>
      </c>
      <c r="B304">
        <v>7.9909999999999995E-2</v>
      </c>
      <c r="C304">
        <v>8.6999999999999994E-2</v>
      </c>
      <c r="D304">
        <v>7.5120000000000006E-2</v>
      </c>
      <c r="E304">
        <v>7.5200000000000003E-2</v>
      </c>
      <c r="F304">
        <v>442498746.39999998</v>
      </c>
      <c r="G304">
        <v>0</v>
      </c>
      <c r="L304" t="s">
        <v>8</v>
      </c>
      <c r="M304" t="s">
        <v>7</v>
      </c>
      <c r="N304" t="s">
        <v>7</v>
      </c>
      <c r="P304">
        <f t="shared" si="965"/>
        <v>-0.98653198653198704</v>
      </c>
      <c r="Q304">
        <f t="shared" si="966"/>
        <v>-436539167.32390594</v>
      </c>
      <c r="R304">
        <f t="shared" si="967"/>
        <v>1274515915.1433721</v>
      </c>
      <c r="S304">
        <f t="shared" si="968"/>
        <v>12745.159151433721</v>
      </c>
      <c r="T304">
        <f t="shared" si="969"/>
        <v>12.745159151433722</v>
      </c>
    </row>
    <row r="305" spans="1:20" x14ac:dyDescent="0.25">
      <c r="A305" s="5">
        <v>44288</v>
      </c>
      <c r="B305">
        <v>7.9299999999999995E-2</v>
      </c>
      <c r="C305">
        <v>8.5389999999999994E-2</v>
      </c>
      <c r="D305">
        <v>7.596E-2</v>
      </c>
      <c r="E305">
        <v>7.9960000000000003E-2</v>
      </c>
      <c r="F305">
        <v>333511063.10000002</v>
      </c>
      <c r="G305">
        <v>0</v>
      </c>
      <c r="L305" t="s">
        <v>7</v>
      </c>
      <c r="M305" t="s">
        <v>7</v>
      </c>
      <c r="N305" t="s">
        <v>7</v>
      </c>
      <c r="P305">
        <f t="shared" si="965"/>
        <v>-0.15164369034994568</v>
      </c>
      <c r="Q305">
        <f t="shared" si="966"/>
        <v>-50574848.381017596</v>
      </c>
      <c r="R305">
        <f t="shared" si="967"/>
        <v>1711055082.467278</v>
      </c>
      <c r="S305">
        <f t="shared" si="968"/>
        <v>17110.55082467278</v>
      </c>
      <c r="T305">
        <f t="shared" si="969"/>
        <v>17.110550824672782</v>
      </c>
    </row>
    <row r="306" spans="1:20" x14ac:dyDescent="0.25">
      <c r="A306" s="5">
        <v>44287</v>
      </c>
      <c r="B306">
        <v>8.337E-2</v>
      </c>
      <c r="C306">
        <v>8.7919999999999998E-2</v>
      </c>
      <c r="D306">
        <v>7.8E-2</v>
      </c>
      <c r="E306">
        <v>7.9399999999999998E-2</v>
      </c>
      <c r="F306">
        <v>426311940.80000001</v>
      </c>
      <c r="G306">
        <v>0</v>
      </c>
      <c r="L306" t="s">
        <v>8</v>
      </c>
      <c r="M306" t="s">
        <v>7</v>
      </c>
      <c r="N306" t="s">
        <v>8</v>
      </c>
      <c r="P306">
        <f t="shared" si="965"/>
        <v>-0.71774193548387122</v>
      </c>
      <c r="Q306">
        <f t="shared" si="966"/>
        <v>-305981957.50967753</v>
      </c>
      <c r="R306">
        <f t="shared" si="967"/>
        <v>1761629930.8482957</v>
      </c>
      <c r="S306">
        <f t="shared" si="968"/>
        <v>17616.299308482958</v>
      </c>
      <c r="T306">
        <f t="shared" si="969"/>
        <v>17.616299308482958</v>
      </c>
    </row>
    <row r="307" spans="1:20" x14ac:dyDescent="0.25">
      <c r="A307" s="5">
        <v>44286</v>
      </c>
      <c r="B307">
        <v>9.2200000000000004E-2</v>
      </c>
      <c r="C307">
        <v>9.2490000000000003E-2</v>
      </c>
      <c r="D307">
        <v>7.8109999999999999E-2</v>
      </c>
      <c r="E307">
        <v>8.3449999999999996E-2</v>
      </c>
      <c r="F307">
        <v>461608688.5</v>
      </c>
      <c r="G307">
        <v>0</v>
      </c>
      <c r="L307" t="s">
        <v>7</v>
      </c>
      <c r="M307" t="s">
        <v>7</v>
      </c>
      <c r="N307" t="s">
        <v>8</v>
      </c>
      <c r="P307">
        <f t="shared" si="965"/>
        <v>-0.25730180806675995</v>
      </c>
      <c r="Q307">
        <f t="shared" si="966"/>
        <v>-118772750.17037578</v>
      </c>
      <c r="R307">
        <f t="shared" si="967"/>
        <v>2067611888.3579731</v>
      </c>
      <c r="S307">
        <f t="shared" si="968"/>
        <v>20676.118883579729</v>
      </c>
      <c r="T307">
        <f t="shared" si="969"/>
        <v>20.676118883579729</v>
      </c>
    </row>
    <row r="308" spans="1:20" x14ac:dyDescent="0.25">
      <c r="A308" s="5">
        <v>44285</v>
      </c>
      <c r="B308">
        <v>8.7050000000000002E-2</v>
      </c>
      <c r="C308">
        <v>9.4979999999999995E-2</v>
      </c>
      <c r="D308">
        <v>8.591E-2</v>
      </c>
      <c r="E308">
        <v>9.2020000000000005E-2</v>
      </c>
      <c r="F308">
        <v>462260007.69999999</v>
      </c>
      <c r="G308">
        <v>0</v>
      </c>
      <c r="L308" t="s">
        <v>8</v>
      </c>
      <c r="M308" t="s">
        <v>7</v>
      </c>
      <c r="N308" t="s">
        <v>8</v>
      </c>
      <c r="P308">
        <f t="shared" si="965"/>
        <v>0.3472987872105861</v>
      </c>
      <c r="Q308">
        <f t="shared" si="966"/>
        <v>160542340.05016619</v>
      </c>
      <c r="R308">
        <f t="shared" si="967"/>
        <v>2186384638.5283489</v>
      </c>
      <c r="S308">
        <f t="shared" si="968"/>
        <v>21863.84638528349</v>
      </c>
      <c r="T308">
        <f t="shared" si="969"/>
        <v>21.863846385283491</v>
      </c>
    </row>
    <row r="309" spans="1:20" x14ac:dyDescent="0.25">
      <c r="A309" s="5">
        <v>44284</v>
      </c>
      <c r="B309">
        <v>8.8469999999999993E-2</v>
      </c>
      <c r="C309">
        <v>9.5939999999999998E-2</v>
      </c>
      <c r="D309">
        <v>8.2110000000000002E-2</v>
      </c>
      <c r="E309">
        <v>8.6959999999999996E-2</v>
      </c>
      <c r="F309">
        <v>577268457.70000005</v>
      </c>
      <c r="G309">
        <v>0</v>
      </c>
      <c r="L309" t="s">
        <v>7</v>
      </c>
      <c r="M309" t="s">
        <v>7</v>
      </c>
      <c r="N309" t="s">
        <v>8</v>
      </c>
      <c r="P309">
        <f t="shared" si="965"/>
        <v>-0.29862617498192406</v>
      </c>
      <c r="Q309">
        <f t="shared" si="966"/>
        <v>-172387471.46066564</v>
      </c>
      <c r="R309">
        <f t="shared" si="967"/>
        <v>2025842298.4781828</v>
      </c>
      <c r="S309">
        <f t="shared" si="968"/>
        <v>20258.422984781828</v>
      </c>
      <c r="T309">
        <f t="shared" si="969"/>
        <v>20.258422984781827</v>
      </c>
    </row>
    <row r="310" spans="1:20" x14ac:dyDescent="0.25">
      <c r="A310" s="5">
        <v>44283</v>
      </c>
      <c r="B310">
        <v>9.2060000000000003E-2</v>
      </c>
      <c r="C310">
        <v>0.10394</v>
      </c>
      <c r="D310">
        <v>8.1100000000000005E-2</v>
      </c>
      <c r="E310">
        <v>8.8529999999999998E-2</v>
      </c>
      <c r="F310">
        <v>1047971300.1</v>
      </c>
      <c r="G310">
        <v>0</v>
      </c>
      <c r="L310" t="s">
        <v>8</v>
      </c>
      <c r="M310" t="s">
        <v>8</v>
      </c>
      <c r="N310" t="s">
        <v>8</v>
      </c>
      <c r="P310">
        <f t="shared" si="965"/>
        <v>-0.34938704028021084</v>
      </c>
      <c r="Q310">
        <f t="shared" si="966"/>
        <v>-366147590.84054363</v>
      </c>
      <c r="R310">
        <f t="shared" si="967"/>
        <v>2198229769.9388485</v>
      </c>
      <c r="S310">
        <f t="shared" si="968"/>
        <v>21982.297699388484</v>
      </c>
      <c r="T310">
        <f t="shared" si="969"/>
        <v>21.982297699388486</v>
      </c>
    </row>
    <row r="311" spans="1:20" x14ac:dyDescent="0.25">
      <c r="A311" s="5">
        <v>44282</v>
      </c>
      <c r="B311">
        <v>6.9669999999999996E-2</v>
      </c>
      <c r="C311">
        <v>9.5000000000000001E-2</v>
      </c>
      <c r="D311">
        <v>6.7299999999999999E-2</v>
      </c>
      <c r="E311">
        <v>9.2069999999999999E-2</v>
      </c>
      <c r="F311">
        <v>1044193297.3</v>
      </c>
      <c r="G311">
        <v>0</v>
      </c>
      <c r="L311" t="s">
        <v>8</v>
      </c>
      <c r="M311" t="s">
        <v>8</v>
      </c>
      <c r="N311" t="s">
        <v>8</v>
      </c>
      <c r="P311">
        <f t="shared" si="965"/>
        <v>0.78844765342960277</v>
      </c>
      <c r="Q311">
        <f t="shared" si="966"/>
        <v>823291754.98310459</v>
      </c>
      <c r="R311">
        <f t="shared" si="967"/>
        <v>2564377360.7793922</v>
      </c>
      <c r="S311">
        <f t="shared" si="968"/>
        <v>25643.773607793923</v>
      </c>
      <c r="T311">
        <f t="shared" si="969"/>
        <v>25.643773607793921</v>
      </c>
    </row>
    <row r="312" spans="1:20" x14ac:dyDescent="0.25">
      <c r="A312" s="5">
        <v>44281</v>
      </c>
      <c r="B312">
        <v>6.7790000000000003E-2</v>
      </c>
      <c r="C312">
        <v>7.4999999999999997E-2</v>
      </c>
      <c r="D312">
        <v>6.7229999999999998E-2</v>
      </c>
      <c r="E312">
        <v>6.9739999999999996E-2</v>
      </c>
      <c r="F312">
        <v>434290946.60000002</v>
      </c>
      <c r="G312">
        <v>0</v>
      </c>
      <c r="L312" t="s">
        <v>8</v>
      </c>
      <c r="M312" t="s">
        <v>7</v>
      </c>
      <c r="N312" t="s">
        <v>7</v>
      </c>
      <c r="P312">
        <f t="shared" si="965"/>
        <v>-0.35392535392535429</v>
      </c>
      <c r="Q312">
        <f t="shared" si="966"/>
        <v>-153706576.98198214</v>
      </c>
      <c r="R312">
        <f t="shared" si="967"/>
        <v>1741085605.7962875</v>
      </c>
      <c r="S312">
        <f t="shared" si="968"/>
        <v>17410.856057962876</v>
      </c>
      <c r="T312">
        <f t="shared" si="969"/>
        <v>17.410856057962874</v>
      </c>
    </row>
    <row r="313" spans="1:20" x14ac:dyDescent="0.25">
      <c r="A313" s="5">
        <v>44280</v>
      </c>
      <c r="B313">
        <v>7.2770000000000001E-2</v>
      </c>
      <c r="C313">
        <v>8.0869999999999997E-2</v>
      </c>
      <c r="D313">
        <v>6.5970000000000001E-2</v>
      </c>
      <c r="E313">
        <v>6.7710000000000006E-2</v>
      </c>
      <c r="F313">
        <v>565936902.70000005</v>
      </c>
      <c r="G313">
        <v>0</v>
      </c>
      <c r="L313" t="s">
        <v>7</v>
      </c>
      <c r="M313" t="s">
        <v>7</v>
      </c>
      <c r="N313" t="s">
        <v>7</v>
      </c>
      <c r="P313">
        <f t="shared" si="965"/>
        <v>-0.76644295302013343</v>
      </c>
      <c r="Q313">
        <f t="shared" si="966"/>
        <v>-433758350.92845595</v>
      </c>
      <c r="R313">
        <f t="shared" si="967"/>
        <v>1894792182.7782698</v>
      </c>
      <c r="S313">
        <f t="shared" si="968"/>
        <v>18947.921827782699</v>
      </c>
      <c r="T313">
        <f t="shared" si="969"/>
        <v>18.9479218277827</v>
      </c>
    </row>
    <row r="314" spans="1:20" x14ac:dyDescent="0.25">
      <c r="A314" s="5">
        <v>44279</v>
      </c>
      <c r="B314">
        <v>7.5660000000000005E-2</v>
      </c>
      <c r="C314">
        <v>8.9859999999999995E-2</v>
      </c>
      <c r="D314">
        <v>6.9059999999999996E-2</v>
      </c>
      <c r="E314">
        <v>7.2580000000000006E-2</v>
      </c>
      <c r="F314">
        <v>712045181.39999998</v>
      </c>
      <c r="G314">
        <v>0</v>
      </c>
      <c r="L314" t="s">
        <v>8</v>
      </c>
      <c r="M314" t="s">
        <v>8</v>
      </c>
      <c r="N314" t="s">
        <v>7</v>
      </c>
      <c r="P314">
        <f t="shared" si="965"/>
        <v>-0.66153846153846063</v>
      </c>
      <c r="Q314">
        <f t="shared" si="966"/>
        <v>-471045273.84923011</v>
      </c>
      <c r="R314">
        <f t="shared" si="967"/>
        <v>2328550533.7067256</v>
      </c>
      <c r="S314">
        <f t="shared" si="968"/>
        <v>23285.505337067258</v>
      </c>
      <c r="T314">
        <f t="shared" si="969"/>
        <v>23.285505337067256</v>
      </c>
    </row>
    <row r="315" spans="1:20" x14ac:dyDescent="0.25">
      <c r="A315" s="5">
        <v>44278</v>
      </c>
      <c r="B315">
        <v>7.739E-2</v>
      </c>
      <c r="C315">
        <v>8.5999999999999993E-2</v>
      </c>
      <c r="D315">
        <v>6.5199999999999994E-2</v>
      </c>
      <c r="E315">
        <v>7.5730000000000006E-2</v>
      </c>
      <c r="F315">
        <v>919037791.79999995</v>
      </c>
      <c r="G315">
        <v>0</v>
      </c>
      <c r="L315" t="s">
        <v>7</v>
      </c>
      <c r="M315" t="s">
        <v>7</v>
      </c>
      <c r="N315" t="s">
        <v>7</v>
      </c>
      <c r="P315">
        <f t="shared" si="965"/>
        <v>1.2500000000001159E-2</v>
      </c>
      <c r="Q315">
        <f t="shared" si="966"/>
        <v>11487972.397501064</v>
      </c>
      <c r="R315">
        <f t="shared" si="967"/>
        <v>2799595807.5559559</v>
      </c>
      <c r="S315">
        <f t="shared" si="968"/>
        <v>27995.95807555956</v>
      </c>
      <c r="T315">
        <f t="shared" si="969"/>
        <v>27.99595807555956</v>
      </c>
    </row>
    <row r="316" spans="1:20" x14ac:dyDescent="0.25">
      <c r="A316" s="5">
        <v>44277</v>
      </c>
      <c r="B316">
        <v>7.5340000000000004E-2</v>
      </c>
      <c r="C316">
        <v>9.7000000000000003E-2</v>
      </c>
      <c r="D316">
        <v>7.3679999999999995E-2</v>
      </c>
      <c r="E316">
        <v>7.739E-2</v>
      </c>
      <c r="F316">
        <v>1558495851.8</v>
      </c>
      <c r="G316">
        <v>0</v>
      </c>
      <c r="L316" t="s">
        <v>8</v>
      </c>
      <c r="M316" t="s">
        <v>8</v>
      </c>
      <c r="N316" t="s">
        <v>8</v>
      </c>
      <c r="P316">
        <f t="shared" si="965"/>
        <v>-0.68181818181818155</v>
      </c>
      <c r="Q316">
        <f t="shared" si="966"/>
        <v>-1062610808.0454541</v>
      </c>
      <c r="R316">
        <f t="shared" si="967"/>
        <v>2788107835.1584549</v>
      </c>
      <c r="S316">
        <f t="shared" si="968"/>
        <v>27881.078351584551</v>
      </c>
      <c r="T316">
        <f t="shared" si="969"/>
        <v>27.881078351584552</v>
      </c>
    </row>
    <row r="317" spans="1:20" x14ac:dyDescent="0.25">
      <c r="A317" s="5">
        <v>44276</v>
      </c>
      <c r="B317">
        <v>5.9990000000000002E-2</v>
      </c>
      <c r="C317">
        <v>0.08</v>
      </c>
      <c r="D317">
        <v>5.6000000000000001E-2</v>
      </c>
      <c r="E317">
        <v>7.5329999999999994E-2</v>
      </c>
      <c r="F317">
        <v>1249506893.5</v>
      </c>
      <c r="G317">
        <v>0</v>
      </c>
      <c r="L317" t="s">
        <v>8</v>
      </c>
      <c r="M317" t="s">
        <v>8</v>
      </c>
      <c r="N317" t="s">
        <v>8</v>
      </c>
      <c r="P317">
        <f t="shared" si="965"/>
        <v>0.61083333333333267</v>
      </c>
      <c r="Q317">
        <f t="shared" si="966"/>
        <v>763240460.7795825</v>
      </c>
      <c r="R317">
        <f t="shared" si="967"/>
        <v>3850718643.2039089</v>
      </c>
      <c r="S317">
        <f t="shared" si="968"/>
        <v>38507.186432039089</v>
      </c>
      <c r="T317">
        <f t="shared" si="969"/>
        <v>38.507186432039092</v>
      </c>
    </row>
    <row r="318" spans="1:20" x14ac:dyDescent="0.25">
      <c r="A318" s="5">
        <v>44275</v>
      </c>
      <c r="B318">
        <v>5.4879999999999998E-2</v>
      </c>
      <c r="C318">
        <v>6.9800000000000001E-2</v>
      </c>
      <c r="D318">
        <v>5.3629999999999997E-2</v>
      </c>
      <c r="E318">
        <v>5.9799999999999999E-2</v>
      </c>
      <c r="F318">
        <v>628014621.79999995</v>
      </c>
      <c r="G318">
        <v>0</v>
      </c>
      <c r="L318" t="s">
        <v>8</v>
      </c>
      <c r="M318" t="s">
        <v>8</v>
      </c>
      <c r="N318" t="s">
        <v>8</v>
      </c>
      <c r="P318">
        <f t="shared" si="965"/>
        <v>-0.23685837971552251</v>
      </c>
      <c r="Q318">
        <f t="shared" si="966"/>
        <v>-148750525.75720465</v>
      </c>
      <c r="R318">
        <f t="shared" si="967"/>
        <v>3087478182.4243264</v>
      </c>
      <c r="S318">
        <f t="shared" si="968"/>
        <v>30874.781824243266</v>
      </c>
      <c r="T318">
        <f t="shared" si="969"/>
        <v>30.874781824243264</v>
      </c>
    </row>
    <row r="319" spans="1:20" x14ac:dyDescent="0.25">
      <c r="A319" s="5">
        <v>44274</v>
      </c>
      <c r="B319">
        <v>5.024E-2</v>
      </c>
      <c r="C319">
        <v>6.25E-2</v>
      </c>
      <c r="D319">
        <v>4.9450000000000001E-2</v>
      </c>
      <c r="E319">
        <v>5.4859999999999999E-2</v>
      </c>
      <c r="F319">
        <v>625471397.60000002</v>
      </c>
      <c r="G319">
        <v>0</v>
      </c>
      <c r="L319" t="s">
        <v>8</v>
      </c>
      <c r="M319" t="s">
        <v>8</v>
      </c>
      <c r="N319" t="s">
        <v>7</v>
      </c>
      <c r="P319">
        <f t="shared" si="965"/>
        <v>-0.17088122605364006</v>
      </c>
      <c r="Q319">
        <f t="shared" si="966"/>
        <v>-106881319.28337179</v>
      </c>
      <c r="R319">
        <f t="shared" si="967"/>
        <v>3236228708.181531</v>
      </c>
      <c r="S319">
        <f t="shared" si="968"/>
        <v>32362.28708181531</v>
      </c>
      <c r="T319">
        <f t="shared" si="969"/>
        <v>32.36228708181531</v>
      </c>
    </row>
    <row r="320" spans="1:20" x14ac:dyDescent="0.25">
      <c r="A320" s="5">
        <v>44273</v>
      </c>
      <c r="B320">
        <v>5.076E-2</v>
      </c>
      <c r="C320">
        <v>5.45E-2</v>
      </c>
      <c r="D320">
        <v>4.7230000000000001E-2</v>
      </c>
      <c r="E320">
        <v>5.0299999999999997E-2</v>
      </c>
      <c r="F320">
        <v>415212234.69999999</v>
      </c>
      <c r="G320">
        <v>0</v>
      </c>
      <c r="L320" t="s">
        <v>8</v>
      </c>
      <c r="M320" t="s">
        <v>8</v>
      </c>
      <c r="N320" t="s">
        <v>7</v>
      </c>
      <c r="P320">
        <f t="shared" si="965"/>
        <v>-0.15543328748280691</v>
      </c>
      <c r="Q320">
        <f t="shared" si="966"/>
        <v>-64537802.642503791</v>
      </c>
      <c r="R320">
        <f t="shared" si="967"/>
        <v>3343110027.4649029</v>
      </c>
      <c r="S320">
        <f t="shared" si="968"/>
        <v>33431.100274649027</v>
      </c>
      <c r="T320">
        <f t="shared" si="969"/>
        <v>33.431100274649026</v>
      </c>
    </row>
    <row r="321" spans="1:20" x14ac:dyDescent="0.25">
      <c r="A321" s="5">
        <v>44272</v>
      </c>
      <c r="B321">
        <v>5.382E-2</v>
      </c>
      <c r="C321">
        <v>5.3949999999999998E-2</v>
      </c>
      <c r="D321">
        <v>4.5999999999999999E-2</v>
      </c>
      <c r="E321">
        <v>5.0700000000000002E-2</v>
      </c>
      <c r="F321">
        <v>551585685.5</v>
      </c>
      <c r="G321">
        <v>0</v>
      </c>
      <c r="L321" t="s">
        <v>7</v>
      </c>
      <c r="M321" t="s">
        <v>7</v>
      </c>
      <c r="N321" t="s">
        <v>7</v>
      </c>
      <c r="P321">
        <f t="shared" si="965"/>
        <v>0.18238993710691911</v>
      </c>
      <c r="Q321">
        <f t="shared" si="966"/>
        <v>100603678.48742187</v>
      </c>
      <c r="R321">
        <f t="shared" si="967"/>
        <v>3407647830.1074066</v>
      </c>
      <c r="S321">
        <f t="shared" si="968"/>
        <v>34076.478301074065</v>
      </c>
      <c r="T321">
        <f t="shared" si="969"/>
        <v>34.076478301074062</v>
      </c>
    </row>
    <row r="322" spans="1:20" x14ac:dyDescent="0.25">
      <c r="A322" s="5">
        <v>44271</v>
      </c>
      <c r="B322">
        <v>5.8740000000000001E-2</v>
      </c>
      <c r="C322">
        <v>6.1839999999999999E-2</v>
      </c>
      <c r="D322">
        <v>5.0999999999999997E-2</v>
      </c>
      <c r="E322">
        <v>5.398E-2</v>
      </c>
      <c r="F322">
        <v>581744525.70000005</v>
      </c>
      <c r="G322">
        <v>0</v>
      </c>
      <c r="L322" t="s">
        <v>7</v>
      </c>
      <c r="M322" t="s">
        <v>7</v>
      </c>
      <c r="N322" t="s">
        <v>8</v>
      </c>
      <c r="P322">
        <f t="shared" si="965"/>
        <v>-0.4501845018450179</v>
      </c>
      <c r="Q322">
        <f t="shared" si="966"/>
        <v>-261892369.50332072</v>
      </c>
      <c r="R322">
        <f t="shared" si="967"/>
        <v>3307044151.6199846</v>
      </c>
      <c r="S322">
        <f t="shared" si="968"/>
        <v>33070.441516199848</v>
      </c>
      <c r="T322">
        <f t="shared" si="969"/>
        <v>33.07044151619985</v>
      </c>
    </row>
    <row r="323" spans="1:20" x14ac:dyDescent="0.25">
      <c r="A323" s="5">
        <v>44270</v>
      </c>
      <c r="B323">
        <v>5.4089999999999999E-2</v>
      </c>
      <c r="C323">
        <v>6.6790000000000002E-2</v>
      </c>
      <c r="D323">
        <v>5.0639999999999998E-2</v>
      </c>
      <c r="E323">
        <v>5.8770000000000003E-2</v>
      </c>
      <c r="F323">
        <v>1036422010.2</v>
      </c>
      <c r="G323">
        <v>0</v>
      </c>
      <c r="L323" t="s">
        <v>8</v>
      </c>
      <c r="M323" t="s">
        <v>8</v>
      </c>
      <c r="N323" t="s">
        <v>8</v>
      </c>
      <c r="P323">
        <f t="shared" si="965"/>
        <v>6.811145510836278E-3</v>
      </c>
      <c r="Q323">
        <f t="shared" si="966"/>
        <v>7059221.1221056413</v>
      </c>
      <c r="R323">
        <f t="shared" si="967"/>
        <v>3568936521.1233053</v>
      </c>
      <c r="S323">
        <f t="shared" si="968"/>
        <v>35689.365211233053</v>
      </c>
      <c r="T323">
        <f t="shared" si="969"/>
        <v>35.689365211233053</v>
      </c>
    </row>
    <row r="324" spans="1:20" x14ac:dyDescent="0.25">
      <c r="A324" s="5">
        <v>44269</v>
      </c>
      <c r="B324">
        <v>4.6530000000000002E-2</v>
      </c>
      <c r="C324">
        <v>5.8729999999999997E-2</v>
      </c>
      <c r="D324">
        <v>4.3799999999999999E-2</v>
      </c>
      <c r="E324">
        <v>5.4330000000000003E-2</v>
      </c>
      <c r="F324">
        <v>801698934.79999995</v>
      </c>
      <c r="G324">
        <v>0</v>
      </c>
      <c r="L324" t="s">
        <v>7</v>
      </c>
      <c r="M324" t="s">
        <v>7</v>
      </c>
      <c r="N324" t="s">
        <v>8</v>
      </c>
      <c r="P324">
        <f t="shared" si="965"/>
        <v>0.41058271935700008</v>
      </c>
      <c r="Q324">
        <f t="shared" si="966"/>
        <v>329163728.75579429</v>
      </c>
      <c r="R324">
        <f t="shared" si="967"/>
        <v>3561877300.0011997</v>
      </c>
      <c r="S324">
        <f t="shared" si="968"/>
        <v>35618.773000011999</v>
      </c>
      <c r="T324">
        <f t="shared" si="969"/>
        <v>35.618773000011998</v>
      </c>
    </row>
    <row r="325" spans="1:20" x14ac:dyDescent="0.25">
      <c r="A325" s="5">
        <v>44268</v>
      </c>
      <c r="B325">
        <v>4.1959999999999997E-2</v>
      </c>
      <c r="C325">
        <v>5.9490000000000001E-2</v>
      </c>
      <c r="D325">
        <v>4.1540000000000001E-2</v>
      </c>
      <c r="E325">
        <v>4.6530000000000002E-2</v>
      </c>
      <c r="F325">
        <v>1180571758.2</v>
      </c>
      <c r="G325">
        <v>0</v>
      </c>
      <c r="L325" t="s">
        <v>8</v>
      </c>
      <c r="M325" t="s">
        <v>8</v>
      </c>
      <c r="N325" t="s">
        <v>8</v>
      </c>
      <c r="P325">
        <f t="shared" si="965"/>
        <v>-0.44401114206128123</v>
      </c>
      <c r="Q325">
        <f t="shared" si="966"/>
        <v>-524187014.64367676</v>
      </c>
      <c r="R325">
        <f t="shared" si="967"/>
        <v>3232713571.2454057</v>
      </c>
      <c r="S325">
        <f t="shared" si="968"/>
        <v>32327.135712454055</v>
      </c>
      <c r="T325">
        <f t="shared" si="969"/>
        <v>32.327135712454059</v>
      </c>
    </row>
    <row r="326" spans="1:20" x14ac:dyDescent="0.25">
      <c r="A326" s="5">
        <v>44267</v>
      </c>
      <c r="B326">
        <v>3.4720000000000001E-2</v>
      </c>
      <c r="C326">
        <v>4.5600000000000002E-2</v>
      </c>
      <c r="D326">
        <v>3.4180000000000002E-2</v>
      </c>
      <c r="E326">
        <v>4.197E-2</v>
      </c>
      <c r="F326">
        <v>873162997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70">IF(C326=D326,0,((E326-D326)-(C326-E326))/(C326-D326))</f>
        <v>0.36427320490367754</v>
      </c>
      <c r="Q326">
        <f t="shared" ref="Q326:Q389" si="971">F326*P326</f>
        <v>318069883.32049018</v>
      </c>
      <c r="R326">
        <f t="shared" ref="R326:R389" si="972">R327+Q326</f>
        <v>3756900585.8890824</v>
      </c>
      <c r="S326">
        <f t="shared" ref="S326:S389" si="973">R326/100000</f>
        <v>37569.005858890821</v>
      </c>
      <c r="T326">
        <f t="shared" ref="T326:T389" si="974">S326/1000</f>
        <v>37.569005858890819</v>
      </c>
    </row>
    <row r="327" spans="1:20" x14ac:dyDescent="0.25">
      <c r="A327" s="5">
        <v>44266</v>
      </c>
      <c r="B327">
        <v>3.227E-2</v>
      </c>
      <c r="C327">
        <v>3.5880000000000002E-2</v>
      </c>
      <c r="D327">
        <v>3.15E-2</v>
      </c>
      <c r="E327">
        <v>3.4680000000000002E-2</v>
      </c>
      <c r="F327">
        <v>376316895.60000002</v>
      </c>
      <c r="G327">
        <v>0</v>
      </c>
      <c r="L327" t="s">
        <v>7</v>
      </c>
      <c r="M327" t="s">
        <v>8</v>
      </c>
      <c r="N327" t="s">
        <v>8</v>
      </c>
      <c r="P327">
        <f t="shared" si="970"/>
        <v>0.45205479452054831</v>
      </c>
      <c r="Q327">
        <f t="shared" si="971"/>
        <v>170115856.91506863</v>
      </c>
      <c r="R327">
        <f t="shared" si="972"/>
        <v>3438830702.5685921</v>
      </c>
      <c r="S327">
        <f t="shared" si="973"/>
        <v>34388.307025685921</v>
      </c>
      <c r="T327">
        <f t="shared" si="974"/>
        <v>34.388307025685918</v>
      </c>
    </row>
    <row r="328" spans="1:20" x14ac:dyDescent="0.25">
      <c r="A328" s="5">
        <v>44265</v>
      </c>
      <c r="B328">
        <v>3.3300000000000003E-2</v>
      </c>
      <c r="C328">
        <v>3.5709999999999999E-2</v>
      </c>
      <c r="D328">
        <v>3.0499999999999999E-2</v>
      </c>
      <c r="E328">
        <v>3.2199999999999999E-2</v>
      </c>
      <c r="F328">
        <v>439926370.60000002</v>
      </c>
      <c r="G328">
        <v>0</v>
      </c>
      <c r="L328" t="s">
        <v>8</v>
      </c>
      <c r="M328" t="s">
        <v>8</v>
      </c>
      <c r="N328" t="s">
        <v>8</v>
      </c>
      <c r="P328">
        <f t="shared" si="970"/>
        <v>-0.34740882917466398</v>
      </c>
      <c r="Q328">
        <f t="shared" si="971"/>
        <v>-152834305.33320531</v>
      </c>
      <c r="R328">
        <f t="shared" si="972"/>
        <v>3268714845.6535234</v>
      </c>
      <c r="S328">
        <f t="shared" si="973"/>
        <v>32687.148456535233</v>
      </c>
      <c r="T328">
        <f t="shared" si="974"/>
        <v>32.687148456535233</v>
      </c>
    </row>
    <row r="329" spans="1:20" x14ac:dyDescent="0.25">
      <c r="A329" s="5">
        <v>44264</v>
      </c>
      <c r="B329">
        <v>3.0460000000000001E-2</v>
      </c>
      <c r="C329">
        <v>3.3500000000000002E-2</v>
      </c>
      <c r="D329">
        <v>2.9559999999999999E-2</v>
      </c>
      <c r="E329">
        <v>3.3320000000000002E-2</v>
      </c>
      <c r="F329">
        <v>396270908.19999999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0.90862944162436576</v>
      </c>
      <c r="Q329">
        <f t="shared" si="971"/>
        <v>360063414.04974627</v>
      </c>
      <c r="R329">
        <f t="shared" si="972"/>
        <v>3421549150.9867287</v>
      </c>
      <c r="S329">
        <f t="shared" si="973"/>
        <v>34215.491509867286</v>
      </c>
      <c r="T329">
        <f t="shared" si="974"/>
        <v>34.215491509867284</v>
      </c>
    </row>
    <row r="330" spans="1:20" x14ac:dyDescent="0.25">
      <c r="A330" s="5">
        <v>44263</v>
      </c>
      <c r="B330">
        <v>2.8000000000000001E-2</v>
      </c>
      <c r="C330">
        <v>3.184E-2</v>
      </c>
      <c r="D330">
        <v>2.622E-2</v>
      </c>
      <c r="E330">
        <v>3.0439999999999998E-2</v>
      </c>
      <c r="F330">
        <v>362664254.89999998</v>
      </c>
      <c r="G330">
        <v>0</v>
      </c>
      <c r="L330" t="s">
        <v>7</v>
      </c>
      <c r="M330" t="s">
        <v>8</v>
      </c>
      <c r="N330" t="s">
        <v>8</v>
      </c>
      <c r="P330">
        <f t="shared" si="970"/>
        <v>0.50177935943060425</v>
      </c>
      <c r="Q330">
        <f t="shared" si="971"/>
        <v>181977437.51209936</v>
      </c>
      <c r="R330">
        <f t="shared" si="972"/>
        <v>3061485736.9369822</v>
      </c>
      <c r="S330">
        <f t="shared" si="973"/>
        <v>30614.85736936982</v>
      </c>
      <c r="T330">
        <f t="shared" si="974"/>
        <v>30.614857369369819</v>
      </c>
    </row>
    <row r="331" spans="1:20" x14ac:dyDescent="0.25">
      <c r="A331" s="5">
        <v>44262</v>
      </c>
      <c r="B331">
        <v>2.8969999999999999E-2</v>
      </c>
      <c r="C331">
        <v>2.9729999999999999E-2</v>
      </c>
      <c r="D331">
        <v>2.6970000000000001E-2</v>
      </c>
      <c r="E331">
        <v>2.8000000000000001E-2</v>
      </c>
      <c r="F331">
        <v>359102195.5</v>
      </c>
      <c r="G331">
        <v>0</v>
      </c>
      <c r="L331" t="s">
        <v>7</v>
      </c>
      <c r="M331" t="s">
        <v>7</v>
      </c>
      <c r="N331" t="s">
        <v>8</v>
      </c>
      <c r="P331">
        <f t="shared" si="970"/>
        <v>-0.25362318840579695</v>
      </c>
      <c r="Q331">
        <f t="shared" si="971"/>
        <v>-91076643.786231831</v>
      </c>
      <c r="R331">
        <f t="shared" si="972"/>
        <v>2879508299.4248829</v>
      </c>
      <c r="S331">
        <f t="shared" si="973"/>
        <v>28795.082994248827</v>
      </c>
      <c r="T331">
        <f t="shared" si="974"/>
        <v>28.795082994248826</v>
      </c>
    </row>
    <row r="332" spans="1:20" x14ac:dyDescent="0.25">
      <c r="A332" s="5">
        <v>44261</v>
      </c>
      <c r="B332">
        <v>2.8969999999999999E-2</v>
      </c>
      <c r="C332">
        <v>3.2500000000000001E-2</v>
      </c>
      <c r="D332">
        <v>2.7310000000000001E-2</v>
      </c>
      <c r="E332">
        <v>2.8920000000000001E-2</v>
      </c>
      <c r="F332">
        <v>583875855.20000005</v>
      </c>
      <c r="G332">
        <v>0</v>
      </c>
      <c r="L332" t="s">
        <v>8</v>
      </c>
      <c r="M332" t="s">
        <v>8</v>
      </c>
      <c r="N332" t="s">
        <v>8</v>
      </c>
      <c r="P332">
        <f t="shared" si="970"/>
        <v>-0.37957610789980722</v>
      </c>
      <c r="Q332">
        <f t="shared" si="971"/>
        <v>-221625324.61348742</v>
      </c>
      <c r="R332">
        <f t="shared" si="972"/>
        <v>2970584943.2111149</v>
      </c>
      <c r="S332">
        <f t="shared" si="973"/>
        <v>29705.84943211115</v>
      </c>
      <c r="T332">
        <f t="shared" si="974"/>
        <v>29.705849432111151</v>
      </c>
    </row>
    <row r="333" spans="1:20" x14ac:dyDescent="0.25">
      <c r="A333" s="5">
        <v>44260</v>
      </c>
      <c r="B333">
        <v>2.554E-2</v>
      </c>
      <c r="C333">
        <v>3.0949999999999998E-2</v>
      </c>
      <c r="D333">
        <v>2.3630000000000002E-2</v>
      </c>
      <c r="E333">
        <v>2.8889999999999999E-2</v>
      </c>
      <c r="F333">
        <v>976231635</v>
      </c>
      <c r="G333">
        <v>0</v>
      </c>
      <c r="L333" t="s">
        <v>8</v>
      </c>
      <c r="M333" t="s">
        <v>8</v>
      </c>
      <c r="N333" t="s">
        <v>8</v>
      </c>
      <c r="P333">
        <f t="shared" si="970"/>
        <v>0.43715846994535512</v>
      </c>
      <c r="Q333">
        <f t="shared" si="971"/>
        <v>426767927.86885238</v>
      </c>
      <c r="R333">
        <f t="shared" si="972"/>
        <v>3192210267.8246021</v>
      </c>
      <c r="S333">
        <f t="shared" si="973"/>
        <v>31922.102678246021</v>
      </c>
      <c r="T333">
        <f t="shared" si="974"/>
        <v>31.92210267824602</v>
      </c>
    </row>
    <row r="334" spans="1:20" x14ac:dyDescent="0.25">
      <c r="A334" s="5">
        <v>44259</v>
      </c>
      <c r="B334">
        <v>2.4750000000000001E-2</v>
      </c>
      <c r="C334">
        <v>2.8000000000000001E-2</v>
      </c>
      <c r="D334">
        <v>2.2849999999999999E-2</v>
      </c>
      <c r="E334">
        <v>2.562E-2</v>
      </c>
      <c r="F334">
        <v>569626044.5</v>
      </c>
      <c r="G334">
        <v>0</v>
      </c>
      <c r="L334" t="s">
        <v>8</v>
      </c>
      <c r="M334" t="s">
        <v>8</v>
      </c>
      <c r="N334" t="s">
        <v>8</v>
      </c>
      <c r="P334">
        <f t="shared" si="970"/>
        <v>7.5728155339806077E-2</v>
      </c>
      <c r="Q334">
        <f t="shared" si="971"/>
        <v>43136729.583495289</v>
      </c>
      <c r="R334">
        <f t="shared" si="972"/>
        <v>2765442339.9557495</v>
      </c>
      <c r="S334">
        <f t="shared" si="973"/>
        <v>27654.423399557494</v>
      </c>
      <c r="T334">
        <f t="shared" si="974"/>
        <v>27.654423399557494</v>
      </c>
    </row>
    <row r="335" spans="1:20" x14ac:dyDescent="0.25">
      <c r="A335" s="5">
        <v>44258</v>
      </c>
      <c r="B335">
        <v>2.247E-2</v>
      </c>
      <c r="C335">
        <v>2.5409999999999999E-2</v>
      </c>
      <c r="D335">
        <v>2.2120000000000001E-2</v>
      </c>
      <c r="E335">
        <v>2.477E-2</v>
      </c>
      <c r="F335">
        <v>341595677.30000001</v>
      </c>
      <c r="G335">
        <v>0</v>
      </c>
      <c r="L335" t="s">
        <v>8</v>
      </c>
      <c r="M335" t="s">
        <v>7</v>
      </c>
      <c r="N335" t="s">
        <v>8</v>
      </c>
      <c r="P335">
        <f t="shared" si="970"/>
        <v>0.61094224924012241</v>
      </c>
      <c r="Q335">
        <f t="shared" si="971"/>
        <v>208695231.42036504</v>
      </c>
      <c r="R335">
        <f t="shared" si="972"/>
        <v>2722305610.3722544</v>
      </c>
      <c r="S335">
        <f t="shared" si="973"/>
        <v>27223.056103722545</v>
      </c>
      <c r="T335">
        <f t="shared" si="974"/>
        <v>27.223056103722545</v>
      </c>
    </row>
    <row r="336" spans="1:20" x14ac:dyDescent="0.25">
      <c r="A336" s="5">
        <v>44257</v>
      </c>
      <c r="B336">
        <v>2.334E-2</v>
      </c>
      <c r="C336">
        <v>2.4E-2</v>
      </c>
      <c r="D336">
        <v>2.1659999999999999E-2</v>
      </c>
      <c r="E336">
        <v>2.249E-2</v>
      </c>
      <c r="F336">
        <v>266904137</v>
      </c>
      <c r="G336">
        <v>0</v>
      </c>
      <c r="L336" t="s">
        <v>7</v>
      </c>
      <c r="M336" t="s">
        <v>7</v>
      </c>
      <c r="N336" t="s">
        <v>8</v>
      </c>
      <c r="P336">
        <f t="shared" si="970"/>
        <v>-0.2905982905982904</v>
      </c>
      <c r="Q336">
        <f t="shared" si="971"/>
        <v>-77561885.965811908</v>
      </c>
      <c r="R336">
        <f t="shared" si="972"/>
        <v>2513610378.9518895</v>
      </c>
      <c r="S336">
        <f t="shared" si="973"/>
        <v>25136.103789518897</v>
      </c>
      <c r="T336">
        <f t="shared" si="974"/>
        <v>25.136103789518895</v>
      </c>
    </row>
    <row r="337" spans="1:20" x14ac:dyDescent="0.25">
      <c r="A337" s="5">
        <v>44256</v>
      </c>
      <c r="B337">
        <v>2.341E-2</v>
      </c>
      <c r="C337">
        <v>2.5989999999999999E-2</v>
      </c>
      <c r="D337">
        <v>2.2249999999999999E-2</v>
      </c>
      <c r="E337">
        <v>2.334E-2</v>
      </c>
      <c r="F337">
        <v>590887950.39999998</v>
      </c>
      <c r="G337">
        <v>0</v>
      </c>
      <c r="L337" t="s">
        <v>7</v>
      </c>
      <c r="M337" t="s">
        <v>8</v>
      </c>
      <c r="N337" t="s">
        <v>8</v>
      </c>
      <c r="P337">
        <f t="shared" si="970"/>
        <v>-0.41711229946524031</v>
      </c>
      <c r="Q337">
        <f t="shared" si="971"/>
        <v>-246466631.71764687</v>
      </c>
      <c r="R337">
        <f t="shared" si="972"/>
        <v>2591172264.9177012</v>
      </c>
      <c r="S337">
        <f t="shared" si="973"/>
        <v>25911.722649177012</v>
      </c>
      <c r="T337">
        <f t="shared" si="974"/>
        <v>25.911722649177012</v>
      </c>
    </row>
    <row r="338" spans="1:20" x14ac:dyDescent="0.25">
      <c r="A338" s="5">
        <v>44255</v>
      </c>
      <c r="B338">
        <v>2.1760000000000002E-2</v>
      </c>
      <c r="C338">
        <v>2.6120000000000001E-2</v>
      </c>
      <c r="D338">
        <v>1.932E-2</v>
      </c>
      <c r="E338">
        <v>2.342E-2</v>
      </c>
      <c r="F338">
        <v>1123943137.5</v>
      </c>
      <c r="G338">
        <v>0</v>
      </c>
      <c r="L338" t="s">
        <v>8</v>
      </c>
      <c r="M338" t="s">
        <v>8</v>
      </c>
      <c r="N338" t="s">
        <v>8</v>
      </c>
      <c r="P338">
        <f t="shared" si="970"/>
        <v>0.20588235294117624</v>
      </c>
      <c r="Q338">
        <f t="shared" si="971"/>
        <v>231400057.72058797</v>
      </c>
      <c r="R338">
        <f t="shared" si="972"/>
        <v>2837638896.6353483</v>
      </c>
      <c r="S338">
        <f t="shared" si="973"/>
        <v>28376.388966353483</v>
      </c>
      <c r="T338">
        <f t="shared" si="974"/>
        <v>28.376388966353481</v>
      </c>
    </row>
    <row r="339" spans="1:20" x14ac:dyDescent="0.25">
      <c r="A339" s="5">
        <v>44254</v>
      </c>
      <c r="B339">
        <v>1.7399999999999999E-2</v>
      </c>
      <c r="C339">
        <v>2.486E-2</v>
      </c>
      <c r="D339">
        <v>1.7330000000000002E-2</v>
      </c>
      <c r="E339">
        <v>2.1749999999999999E-2</v>
      </c>
      <c r="F339">
        <v>1073376095</v>
      </c>
      <c r="G339">
        <v>0</v>
      </c>
      <c r="L339" t="s">
        <v>8</v>
      </c>
      <c r="M339" t="s">
        <v>8</v>
      </c>
      <c r="N339" t="s">
        <v>8</v>
      </c>
      <c r="P339">
        <f t="shared" si="970"/>
        <v>0.17397078353253592</v>
      </c>
      <c r="Q339">
        <f t="shared" si="971"/>
        <v>186736080.27224371</v>
      </c>
      <c r="R339">
        <f t="shared" si="972"/>
        <v>2606238838.9147606</v>
      </c>
      <c r="S339">
        <f t="shared" si="973"/>
        <v>26062.388389147607</v>
      </c>
      <c r="T339">
        <f t="shared" si="974"/>
        <v>26.062388389147607</v>
      </c>
    </row>
    <row r="340" spans="1:20" x14ac:dyDescent="0.25">
      <c r="A340" s="5">
        <v>44253</v>
      </c>
      <c r="B340">
        <v>1.729E-2</v>
      </c>
      <c r="C340">
        <v>1.9269999999999999E-2</v>
      </c>
      <c r="D340">
        <v>1.576E-2</v>
      </c>
      <c r="E340">
        <v>1.7399999999999999E-2</v>
      </c>
      <c r="F340">
        <v>534710242.30000001</v>
      </c>
      <c r="G340">
        <v>0</v>
      </c>
      <c r="L340" t="s">
        <v>7</v>
      </c>
      <c r="M340" t="s">
        <v>7</v>
      </c>
      <c r="N340" t="s">
        <v>8</v>
      </c>
      <c r="P340">
        <f t="shared" si="970"/>
        <v>-6.5527065527065831E-2</v>
      </c>
      <c r="Q340">
        <f t="shared" si="971"/>
        <v>-35037993.085185349</v>
      </c>
      <c r="R340">
        <f t="shared" si="972"/>
        <v>2419502758.6425171</v>
      </c>
      <c r="S340">
        <f t="shared" si="973"/>
        <v>24195.027586425171</v>
      </c>
      <c r="T340">
        <f t="shared" si="974"/>
        <v>24.195027586425169</v>
      </c>
    </row>
    <row r="341" spans="1:20" x14ac:dyDescent="0.25">
      <c r="A341" s="5">
        <v>44252</v>
      </c>
      <c r="B341">
        <v>1.7000000000000001E-2</v>
      </c>
      <c r="C341">
        <v>2.0660000000000001E-2</v>
      </c>
      <c r="D341">
        <v>1.6809999999999999E-2</v>
      </c>
      <c r="E341">
        <v>1.7260000000000001E-2</v>
      </c>
      <c r="F341">
        <v>446651976.80000001</v>
      </c>
      <c r="G341">
        <v>0</v>
      </c>
      <c r="L341" t="s">
        <v>8</v>
      </c>
      <c r="M341" t="s">
        <v>8</v>
      </c>
      <c r="N341" t="s">
        <v>8</v>
      </c>
      <c r="P341">
        <f t="shared" si="970"/>
        <v>-0.76623376623376516</v>
      </c>
      <c r="Q341">
        <f t="shared" si="971"/>
        <v>-342239826.37922031</v>
      </c>
      <c r="R341">
        <f t="shared" si="972"/>
        <v>2454540751.7277026</v>
      </c>
      <c r="S341">
        <f t="shared" si="973"/>
        <v>24545.407517277024</v>
      </c>
      <c r="T341">
        <f t="shared" si="974"/>
        <v>24.545407517277024</v>
      </c>
    </row>
    <row r="342" spans="1:20" x14ac:dyDescent="0.25">
      <c r="A342" s="5">
        <v>44251</v>
      </c>
      <c r="B342">
        <v>1.6279999999999999E-2</v>
      </c>
      <c r="C342">
        <v>1.9800000000000002E-2</v>
      </c>
      <c r="D342">
        <v>1.486E-2</v>
      </c>
      <c r="E342">
        <v>1.7090000000000001E-2</v>
      </c>
      <c r="F342">
        <v>423406825</v>
      </c>
      <c r="G342">
        <v>0</v>
      </c>
      <c r="L342" t="s">
        <v>8</v>
      </c>
      <c r="M342" t="s">
        <v>8</v>
      </c>
      <c r="N342" t="s">
        <v>8</v>
      </c>
      <c r="P342">
        <f t="shared" si="970"/>
        <v>-9.7165991902833884E-2</v>
      </c>
      <c r="Q342">
        <f t="shared" si="971"/>
        <v>-41140744.129554607</v>
      </c>
      <c r="R342">
        <f t="shared" si="972"/>
        <v>2796780578.1069231</v>
      </c>
      <c r="S342">
        <f t="shared" si="973"/>
        <v>27967.80578106923</v>
      </c>
      <c r="T342">
        <f t="shared" si="974"/>
        <v>27.967805781069231</v>
      </c>
    </row>
    <row r="343" spans="1:20" x14ac:dyDescent="0.25">
      <c r="A343" s="5">
        <v>44250</v>
      </c>
      <c r="B343">
        <v>1.9949999999999999E-2</v>
      </c>
      <c r="C343">
        <v>2.0299999999999999E-2</v>
      </c>
      <c r="D343">
        <v>1.315E-2</v>
      </c>
      <c r="E343">
        <v>1.6330000000000001E-2</v>
      </c>
      <c r="F343">
        <v>519013782.19999999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-0.11048951048951014</v>
      </c>
      <c r="Q343">
        <f t="shared" si="971"/>
        <v>-57345578.732587233</v>
      </c>
      <c r="R343">
        <f t="shared" si="972"/>
        <v>2837921322.2364779</v>
      </c>
      <c r="S343">
        <f t="shared" si="973"/>
        <v>28379.213222364779</v>
      </c>
      <c r="T343">
        <f t="shared" si="974"/>
        <v>28.379213222364779</v>
      </c>
    </row>
    <row r="344" spans="1:20" x14ac:dyDescent="0.25">
      <c r="A344" s="5">
        <v>44249</v>
      </c>
      <c r="B344">
        <v>2.223E-2</v>
      </c>
      <c r="C344">
        <v>2.3539999999999998E-2</v>
      </c>
      <c r="D344">
        <v>1.6729999999999998E-2</v>
      </c>
      <c r="E344">
        <v>1.9970000000000002E-2</v>
      </c>
      <c r="F344">
        <v>501126412.30000001</v>
      </c>
      <c r="G344">
        <v>0</v>
      </c>
      <c r="L344" t="s">
        <v>7</v>
      </c>
      <c r="M344" t="s">
        <v>7</v>
      </c>
      <c r="N344" t="s">
        <v>7</v>
      </c>
      <c r="P344">
        <f t="shared" si="970"/>
        <v>-4.8458149779734727E-2</v>
      </c>
      <c r="Q344">
        <f t="shared" si="971"/>
        <v>-24283658.745814499</v>
      </c>
      <c r="R344">
        <f t="shared" si="972"/>
        <v>2895266900.9690652</v>
      </c>
      <c r="S344">
        <f t="shared" si="973"/>
        <v>28952.669009690653</v>
      </c>
      <c r="T344">
        <f t="shared" si="974"/>
        <v>28.952669009690652</v>
      </c>
    </row>
    <row r="345" spans="1:20" x14ac:dyDescent="0.25">
      <c r="A345" s="5">
        <v>44248</v>
      </c>
      <c r="B345">
        <v>2.2009999999999998E-2</v>
      </c>
      <c r="C345">
        <v>2.3449999999999999E-2</v>
      </c>
      <c r="D345">
        <v>2.162E-2</v>
      </c>
      <c r="E345">
        <v>2.223E-2</v>
      </c>
      <c r="F345">
        <v>289770182.10000002</v>
      </c>
      <c r="G345">
        <v>0</v>
      </c>
      <c r="L345" t="s">
        <v>7</v>
      </c>
      <c r="M345" t="s">
        <v>7</v>
      </c>
      <c r="N345" t="s">
        <v>8</v>
      </c>
      <c r="P345">
        <f t="shared" si="970"/>
        <v>-0.33333333333333331</v>
      </c>
      <c r="Q345">
        <f t="shared" si="971"/>
        <v>-96590060.700000003</v>
      </c>
      <c r="R345">
        <f t="shared" si="972"/>
        <v>2919550559.7148795</v>
      </c>
      <c r="S345">
        <f t="shared" si="973"/>
        <v>29195.505597148796</v>
      </c>
      <c r="T345">
        <f t="shared" si="974"/>
        <v>29.195505597148795</v>
      </c>
    </row>
    <row r="346" spans="1:20" x14ac:dyDescent="0.25">
      <c r="A346" s="5">
        <v>44247</v>
      </c>
      <c r="B346">
        <v>2.1069999999999998E-2</v>
      </c>
      <c r="C346">
        <v>2.6499999999999999E-2</v>
      </c>
      <c r="D346">
        <v>2.009E-2</v>
      </c>
      <c r="E346">
        <v>2.213E-2</v>
      </c>
      <c r="F346">
        <v>602460458.20000005</v>
      </c>
      <c r="G346">
        <v>0</v>
      </c>
      <c r="L346" t="s">
        <v>8</v>
      </c>
      <c r="M346" t="s">
        <v>8</v>
      </c>
      <c r="N346" t="s">
        <v>8</v>
      </c>
      <c r="P346">
        <f t="shared" si="970"/>
        <v>-0.36349453978159113</v>
      </c>
      <c r="Q346">
        <f t="shared" si="971"/>
        <v>-218991086.99001554</v>
      </c>
      <c r="R346">
        <f t="shared" si="972"/>
        <v>3016140620.4148793</v>
      </c>
      <c r="S346">
        <f t="shared" si="973"/>
        <v>30161.406204148792</v>
      </c>
      <c r="T346">
        <f t="shared" si="974"/>
        <v>30.161406204148793</v>
      </c>
    </row>
    <row r="347" spans="1:20" x14ac:dyDescent="0.25">
      <c r="A347" s="5">
        <v>44246</v>
      </c>
      <c r="B347">
        <v>2.1430000000000001E-2</v>
      </c>
      <c r="C347">
        <v>2.1899999999999999E-2</v>
      </c>
      <c r="D347">
        <v>1.95E-2</v>
      </c>
      <c r="E347">
        <v>2.1080000000000002E-2</v>
      </c>
      <c r="F347">
        <v>338112324.30000001</v>
      </c>
      <c r="G347">
        <v>0</v>
      </c>
      <c r="L347" t="s">
        <v>8</v>
      </c>
      <c r="M347" t="s">
        <v>8</v>
      </c>
      <c r="N347" t="s">
        <v>7</v>
      </c>
      <c r="P347">
        <f t="shared" si="970"/>
        <v>0.31666666666666832</v>
      </c>
      <c r="Q347">
        <f t="shared" si="971"/>
        <v>107068902.69500056</v>
      </c>
      <c r="R347">
        <f t="shared" si="972"/>
        <v>3235131707.4048948</v>
      </c>
      <c r="S347">
        <f t="shared" si="973"/>
        <v>32351.317074048948</v>
      </c>
      <c r="T347">
        <f t="shared" si="974"/>
        <v>32.35131707404895</v>
      </c>
    </row>
    <row r="348" spans="1:20" x14ac:dyDescent="0.25">
      <c r="A348" s="5">
        <v>44245</v>
      </c>
      <c r="B348">
        <v>1.9310000000000001E-2</v>
      </c>
      <c r="C348">
        <v>2.1600000000000001E-2</v>
      </c>
      <c r="D348">
        <v>1.8499999999999999E-2</v>
      </c>
      <c r="E348">
        <v>2.1430000000000001E-2</v>
      </c>
      <c r="F348">
        <v>302796706</v>
      </c>
      <c r="G348">
        <v>0</v>
      </c>
      <c r="L348" t="s">
        <v>8</v>
      </c>
      <c r="M348" t="s">
        <v>8</v>
      </c>
      <c r="N348" t="s">
        <v>7</v>
      </c>
      <c r="P348">
        <f t="shared" si="970"/>
        <v>0.89032258064516134</v>
      </c>
      <c r="Q348">
        <f t="shared" si="971"/>
        <v>269586744.69677418</v>
      </c>
      <c r="R348">
        <f t="shared" si="972"/>
        <v>3128062804.7098942</v>
      </c>
      <c r="S348">
        <f t="shared" si="973"/>
        <v>31280.62804709894</v>
      </c>
      <c r="T348">
        <f t="shared" si="974"/>
        <v>31.28062804709894</v>
      </c>
    </row>
    <row r="349" spans="1:20" x14ac:dyDescent="0.25">
      <c r="A349" s="5">
        <v>44244</v>
      </c>
      <c r="B349">
        <v>1.8800000000000001E-2</v>
      </c>
      <c r="C349">
        <v>2.0299999999999999E-2</v>
      </c>
      <c r="D349">
        <v>1.669E-2</v>
      </c>
      <c r="E349">
        <v>1.9290000000000002E-2</v>
      </c>
      <c r="F349">
        <v>259858367.80000001</v>
      </c>
      <c r="G349">
        <v>0</v>
      </c>
      <c r="L349" t="s">
        <v>7</v>
      </c>
      <c r="M349" t="s">
        <v>7</v>
      </c>
      <c r="N349" t="s">
        <v>7</v>
      </c>
      <c r="P349">
        <f t="shared" si="970"/>
        <v>0.44044321329640035</v>
      </c>
      <c r="Q349">
        <f t="shared" si="971"/>
        <v>114452854.51578985</v>
      </c>
      <c r="R349">
        <f t="shared" si="972"/>
        <v>2858476060.0131202</v>
      </c>
      <c r="S349">
        <f t="shared" si="973"/>
        <v>28584.760600131201</v>
      </c>
      <c r="T349">
        <f t="shared" si="974"/>
        <v>28.584760600131201</v>
      </c>
    </row>
    <row r="350" spans="1:20" x14ac:dyDescent="0.25">
      <c r="A350" s="5">
        <v>44243</v>
      </c>
      <c r="B350">
        <v>1.9179999999999999E-2</v>
      </c>
      <c r="C350">
        <v>2.085E-2</v>
      </c>
      <c r="D350">
        <v>1.8270000000000002E-2</v>
      </c>
      <c r="E350">
        <v>1.8800000000000001E-2</v>
      </c>
      <c r="F350">
        <v>219065323.90000001</v>
      </c>
      <c r="G350">
        <v>0</v>
      </c>
      <c r="L350" t="s">
        <v>8</v>
      </c>
      <c r="M350" t="s">
        <v>8</v>
      </c>
      <c r="N350" t="s">
        <v>7</v>
      </c>
      <c r="P350">
        <f t="shared" si="970"/>
        <v>-0.58914728682170592</v>
      </c>
      <c r="Q350">
        <f t="shared" si="971"/>
        <v>-129061741.21240321</v>
      </c>
      <c r="R350">
        <f t="shared" si="972"/>
        <v>2744023205.4973302</v>
      </c>
      <c r="S350">
        <f t="shared" si="973"/>
        <v>27440.232054973301</v>
      </c>
      <c r="T350">
        <f t="shared" si="974"/>
        <v>27.440232054973301</v>
      </c>
    </row>
    <row r="351" spans="1:20" x14ac:dyDescent="0.25">
      <c r="A351" s="5">
        <v>44242</v>
      </c>
      <c r="B351">
        <v>2.1950000000000001E-2</v>
      </c>
      <c r="C351">
        <v>2.2380000000000001E-2</v>
      </c>
      <c r="D351">
        <v>1.7239999999999998E-2</v>
      </c>
      <c r="E351">
        <v>1.9179999999999999E-2</v>
      </c>
      <c r="F351">
        <v>488380752</v>
      </c>
      <c r="G351">
        <v>0</v>
      </c>
      <c r="L351" t="s">
        <v>7</v>
      </c>
      <c r="M351" t="s">
        <v>7</v>
      </c>
      <c r="N351" t="s">
        <v>7</v>
      </c>
      <c r="P351">
        <f t="shared" si="970"/>
        <v>-0.24513618677042806</v>
      </c>
      <c r="Q351">
        <f t="shared" si="971"/>
        <v>-119719795.23735411</v>
      </c>
      <c r="R351">
        <f t="shared" si="972"/>
        <v>2873084946.7097335</v>
      </c>
      <c r="S351">
        <f t="shared" si="973"/>
        <v>28730.849467097334</v>
      </c>
      <c r="T351">
        <f t="shared" si="974"/>
        <v>28.730849467097332</v>
      </c>
    </row>
    <row r="352" spans="1:20" x14ac:dyDescent="0.25">
      <c r="A352" s="5">
        <v>44241</v>
      </c>
      <c r="B352">
        <v>2.0719999999999999E-2</v>
      </c>
      <c r="C352">
        <v>2.5000000000000001E-2</v>
      </c>
      <c r="D352">
        <v>1.968E-2</v>
      </c>
      <c r="E352">
        <v>2.1930000000000002E-2</v>
      </c>
      <c r="F352">
        <v>615066398.60000002</v>
      </c>
      <c r="G352">
        <v>0</v>
      </c>
      <c r="L352" t="s">
        <v>8</v>
      </c>
      <c r="M352" t="s">
        <v>8</v>
      </c>
      <c r="N352" t="s">
        <v>8</v>
      </c>
      <c r="P352">
        <f t="shared" si="970"/>
        <v>-0.15413533834586421</v>
      </c>
      <c r="Q352">
        <f t="shared" si="971"/>
        <v>-94803467.453383178</v>
      </c>
      <c r="R352">
        <f t="shared" si="972"/>
        <v>2992804741.9470878</v>
      </c>
      <c r="S352">
        <f t="shared" si="973"/>
        <v>29928.047419470877</v>
      </c>
      <c r="T352">
        <f t="shared" si="974"/>
        <v>29.928047419470875</v>
      </c>
    </row>
    <row r="353" spans="1:20" x14ac:dyDescent="0.25">
      <c r="A353" s="5">
        <v>44240</v>
      </c>
      <c r="B353">
        <v>1.796E-2</v>
      </c>
      <c r="C353">
        <v>2.24E-2</v>
      </c>
      <c r="D353">
        <v>1.6750000000000001E-2</v>
      </c>
      <c r="E353">
        <v>2.078E-2</v>
      </c>
      <c r="F353">
        <v>677863587.10000002</v>
      </c>
      <c r="G353">
        <v>0</v>
      </c>
      <c r="L353" t="s">
        <v>8</v>
      </c>
      <c r="M353" t="s">
        <v>8</v>
      </c>
      <c r="N353" t="s">
        <v>8</v>
      </c>
      <c r="P353">
        <f t="shared" si="970"/>
        <v>0.42654867256637158</v>
      </c>
      <c r="Q353">
        <f t="shared" si="971"/>
        <v>289141813.25858402</v>
      </c>
      <c r="R353">
        <f t="shared" si="972"/>
        <v>3087608209.4004707</v>
      </c>
      <c r="S353">
        <f t="shared" si="973"/>
        <v>30876.082094004709</v>
      </c>
      <c r="T353">
        <f t="shared" si="974"/>
        <v>30.876082094004708</v>
      </c>
    </row>
    <row r="354" spans="1:20" x14ac:dyDescent="0.25">
      <c r="A354" s="5">
        <v>44239</v>
      </c>
      <c r="B354">
        <v>1.6379999999999999E-2</v>
      </c>
      <c r="C354">
        <v>1.9099999999999999E-2</v>
      </c>
      <c r="D354">
        <v>1.512E-2</v>
      </c>
      <c r="E354">
        <v>1.7979999999999999E-2</v>
      </c>
      <c r="F354">
        <v>443070271.39999998</v>
      </c>
      <c r="G354">
        <v>0</v>
      </c>
      <c r="L354" t="s">
        <v>8</v>
      </c>
      <c r="M354" t="s">
        <v>8</v>
      </c>
      <c r="N354" t="s">
        <v>8</v>
      </c>
      <c r="P354">
        <f t="shared" si="970"/>
        <v>0.43718592964824138</v>
      </c>
      <c r="Q354">
        <f t="shared" si="971"/>
        <v>193704088.50150761</v>
      </c>
      <c r="R354">
        <f t="shared" si="972"/>
        <v>2798466396.1418867</v>
      </c>
      <c r="S354">
        <f t="shared" si="973"/>
        <v>27984.663961418868</v>
      </c>
      <c r="T354">
        <f t="shared" si="974"/>
        <v>27.984663961418867</v>
      </c>
    </row>
    <row r="355" spans="1:20" x14ac:dyDescent="0.25">
      <c r="A355" s="5">
        <v>44238</v>
      </c>
      <c r="B355">
        <v>1.546E-2</v>
      </c>
      <c r="C355">
        <v>1.6979999999999999E-2</v>
      </c>
      <c r="D355">
        <v>1.495E-2</v>
      </c>
      <c r="E355">
        <v>1.6379999999999999E-2</v>
      </c>
      <c r="F355">
        <v>355922921.19999999</v>
      </c>
      <c r="G355">
        <v>0</v>
      </c>
      <c r="L355" t="s">
        <v>8</v>
      </c>
      <c r="M355" t="s">
        <v>8</v>
      </c>
      <c r="N355" t="s">
        <v>8</v>
      </c>
      <c r="P355">
        <f t="shared" si="970"/>
        <v>0.40886699507389146</v>
      </c>
      <c r="Q355">
        <f t="shared" si="971"/>
        <v>145525135.26896545</v>
      </c>
      <c r="R355">
        <f t="shared" si="972"/>
        <v>2604762307.640379</v>
      </c>
      <c r="S355">
        <f t="shared" si="973"/>
        <v>26047.62307640379</v>
      </c>
      <c r="T355">
        <f t="shared" si="974"/>
        <v>26.047623076403791</v>
      </c>
    </row>
    <row r="356" spans="1:20" x14ac:dyDescent="0.25">
      <c r="A356" s="5">
        <v>44237</v>
      </c>
      <c r="B356">
        <v>1.7440000000000001E-2</v>
      </c>
      <c r="C356">
        <v>1.8089999999999998E-2</v>
      </c>
      <c r="D356">
        <v>1.4109999999999999E-2</v>
      </c>
      <c r="E356">
        <v>1.5469999999999999E-2</v>
      </c>
      <c r="F356">
        <v>623753235.29999995</v>
      </c>
      <c r="G356">
        <v>0</v>
      </c>
      <c r="L356" t="s">
        <v>7</v>
      </c>
      <c r="M356" t="s">
        <v>7</v>
      </c>
      <c r="N356" t="s">
        <v>8</v>
      </c>
      <c r="P356">
        <f t="shared" si="970"/>
        <v>-0.31658291457286414</v>
      </c>
      <c r="Q356">
        <f t="shared" si="971"/>
        <v>-197469617.20552751</v>
      </c>
      <c r="R356">
        <f t="shared" si="972"/>
        <v>2459237172.3714137</v>
      </c>
      <c r="S356">
        <f t="shared" si="973"/>
        <v>24592.371723714135</v>
      </c>
      <c r="T356">
        <f t="shared" si="974"/>
        <v>24.592371723714134</v>
      </c>
    </row>
    <row r="357" spans="1:20" x14ac:dyDescent="0.25">
      <c r="A357" s="5">
        <v>44236</v>
      </c>
      <c r="B357">
        <v>1.256E-2</v>
      </c>
      <c r="C357">
        <v>1.8970000000000001E-2</v>
      </c>
      <c r="D357">
        <v>1.252E-2</v>
      </c>
      <c r="E357">
        <v>1.7389999999999999E-2</v>
      </c>
      <c r="F357">
        <v>971222084.29999995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0.51007751937984458</v>
      </c>
      <c r="Q357">
        <f t="shared" si="971"/>
        <v>495398551.52666628</v>
      </c>
      <c r="R357">
        <f t="shared" si="972"/>
        <v>2656706789.576941</v>
      </c>
      <c r="S357">
        <f t="shared" si="973"/>
        <v>26567.067895769411</v>
      </c>
      <c r="T357">
        <f t="shared" si="974"/>
        <v>26.567067895769412</v>
      </c>
    </row>
    <row r="358" spans="1:20" x14ac:dyDescent="0.25">
      <c r="A358" s="5">
        <v>44235</v>
      </c>
      <c r="B358">
        <v>1.047E-2</v>
      </c>
      <c r="C358">
        <v>1.312E-2</v>
      </c>
      <c r="D358">
        <v>1.04E-2</v>
      </c>
      <c r="E358">
        <v>1.252E-2</v>
      </c>
      <c r="F358">
        <v>619905514.60000002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0.55882352941176483</v>
      </c>
      <c r="Q358">
        <f t="shared" si="971"/>
        <v>346417787.57058835</v>
      </c>
      <c r="R358">
        <f t="shared" si="972"/>
        <v>2161308238.0502748</v>
      </c>
      <c r="S358">
        <f t="shared" si="973"/>
        <v>21613.082380502747</v>
      </c>
      <c r="T358">
        <f t="shared" si="974"/>
        <v>21.613082380502746</v>
      </c>
    </row>
    <row r="359" spans="1:20" x14ac:dyDescent="0.25">
      <c r="A359" s="5">
        <v>44234</v>
      </c>
      <c r="B359">
        <v>1.0460000000000001E-2</v>
      </c>
      <c r="C359">
        <v>1.073E-2</v>
      </c>
      <c r="D359">
        <v>9.7099999999999999E-3</v>
      </c>
      <c r="E359">
        <v>1.048E-2</v>
      </c>
      <c r="F359">
        <v>214164215.30000001</v>
      </c>
      <c r="G359">
        <v>0</v>
      </c>
      <c r="L359" t="s">
        <v>7</v>
      </c>
      <c r="M359" t="s">
        <v>8</v>
      </c>
      <c r="N359" t="s">
        <v>8</v>
      </c>
      <c r="P359">
        <f t="shared" si="970"/>
        <v>0.50980392156862708</v>
      </c>
      <c r="Q359">
        <f t="shared" si="971"/>
        <v>109181756.81960776</v>
      </c>
      <c r="R359">
        <f t="shared" si="972"/>
        <v>1814890450.4796863</v>
      </c>
      <c r="S359">
        <f t="shared" si="973"/>
        <v>18148.904504796861</v>
      </c>
      <c r="T359">
        <f t="shared" si="974"/>
        <v>18.14890450479686</v>
      </c>
    </row>
    <row r="360" spans="1:20" x14ac:dyDescent="0.25">
      <c r="A360" s="5">
        <v>44233</v>
      </c>
      <c r="B360">
        <v>1.158E-2</v>
      </c>
      <c r="C360">
        <v>1.1599999999999999E-2</v>
      </c>
      <c r="D360">
        <v>1.0070000000000001E-2</v>
      </c>
      <c r="E360">
        <v>1.047E-2</v>
      </c>
      <c r="F360">
        <v>267771102.59999999</v>
      </c>
      <c r="G360">
        <v>0</v>
      </c>
      <c r="L360" t="s">
        <v>7</v>
      </c>
      <c r="M360" t="s">
        <v>8</v>
      </c>
      <c r="N360" t="s">
        <v>8</v>
      </c>
      <c r="P360">
        <f t="shared" si="970"/>
        <v>-0.47712418300653631</v>
      </c>
      <c r="Q360">
        <f t="shared" si="971"/>
        <v>-127760068.56078441</v>
      </c>
      <c r="R360">
        <f t="shared" si="972"/>
        <v>1705708693.6600785</v>
      </c>
      <c r="S360">
        <f t="shared" si="973"/>
        <v>17057.086936600786</v>
      </c>
      <c r="T360">
        <f t="shared" si="974"/>
        <v>17.057086936600786</v>
      </c>
    </row>
    <row r="361" spans="1:20" x14ac:dyDescent="0.25">
      <c r="A361" s="5">
        <v>44232</v>
      </c>
      <c r="B361">
        <v>1.0500000000000001E-2</v>
      </c>
      <c r="C361">
        <v>1.175E-2</v>
      </c>
      <c r="D361">
        <v>1.0449999999999999E-2</v>
      </c>
      <c r="E361">
        <v>1.158E-2</v>
      </c>
      <c r="F361">
        <v>332166201.39999998</v>
      </c>
      <c r="G361">
        <v>0</v>
      </c>
      <c r="L361" t="s">
        <v>7</v>
      </c>
      <c r="M361" t="s">
        <v>8</v>
      </c>
      <c r="N361" t="s">
        <v>8</v>
      </c>
      <c r="P361">
        <f t="shared" si="970"/>
        <v>0.73846153846153861</v>
      </c>
      <c r="Q361">
        <f t="shared" si="971"/>
        <v>245291964.11076927</v>
      </c>
      <c r="R361">
        <f t="shared" si="972"/>
        <v>1833468762.2208629</v>
      </c>
      <c r="S361">
        <f t="shared" si="973"/>
        <v>18334.687622208628</v>
      </c>
      <c r="T361">
        <f t="shared" si="974"/>
        <v>18.33468762220863</v>
      </c>
    </row>
    <row r="362" spans="1:20" x14ac:dyDescent="0.25">
      <c r="A362" s="5">
        <v>44231</v>
      </c>
      <c r="B362">
        <v>1.026E-2</v>
      </c>
      <c r="C362">
        <v>1.1639999999999999E-2</v>
      </c>
      <c r="D362">
        <v>9.9100000000000004E-3</v>
      </c>
      <c r="E362">
        <v>1.052E-2</v>
      </c>
      <c r="F362">
        <v>683543249.29999995</v>
      </c>
      <c r="G362">
        <v>0</v>
      </c>
      <c r="L362" t="s">
        <v>8</v>
      </c>
      <c r="M362" t="s">
        <v>8</v>
      </c>
      <c r="N362" t="s">
        <v>8</v>
      </c>
      <c r="P362">
        <f t="shared" si="970"/>
        <v>-0.29479768786127186</v>
      </c>
      <c r="Q362">
        <f t="shared" si="971"/>
        <v>-201506969.44682091</v>
      </c>
      <c r="R362">
        <f t="shared" si="972"/>
        <v>1588176798.1100936</v>
      </c>
      <c r="S362">
        <f t="shared" si="973"/>
        <v>15881.767981100937</v>
      </c>
      <c r="T362">
        <f t="shared" si="974"/>
        <v>15.881767981100937</v>
      </c>
    </row>
    <row r="363" spans="1:20" x14ac:dyDescent="0.25">
      <c r="A363" s="5">
        <v>44230</v>
      </c>
      <c r="B363">
        <v>8.8699999999999994E-3</v>
      </c>
      <c r="C363">
        <v>1.042E-2</v>
      </c>
      <c r="D363">
        <v>8.7600000000000004E-3</v>
      </c>
      <c r="E363">
        <v>1.025E-2</v>
      </c>
      <c r="F363">
        <v>432247276.5</v>
      </c>
      <c r="G363">
        <v>0</v>
      </c>
      <c r="L363" t="s">
        <v>8</v>
      </c>
      <c r="M363" t="s">
        <v>8</v>
      </c>
      <c r="N363" t="s">
        <v>8</v>
      </c>
      <c r="P363">
        <f t="shared" si="970"/>
        <v>0.79518072289156627</v>
      </c>
      <c r="Q363">
        <f t="shared" si="971"/>
        <v>343714701.79518074</v>
      </c>
      <c r="R363">
        <f t="shared" si="972"/>
        <v>1789683767.5569146</v>
      </c>
      <c r="S363">
        <f t="shared" si="973"/>
        <v>17896.837675569146</v>
      </c>
      <c r="T363">
        <f t="shared" si="974"/>
        <v>17.896837675569145</v>
      </c>
    </row>
    <row r="364" spans="1:20" x14ac:dyDescent="0.25">
      <c r="A364" s="5">
        <v>44229</v>
      </c>
      <c r="B364">
        <v>8.1099999999999992E-3</v>
      </c>
      <c r="C364">
        <v>9.1000000000000004E-3</v>
      </c>
      <c r="D364">
        <v>8.0999999999999996E-3</v>
      </c>
      <c r="E364">
        <v>8.8699999999999994E-3</v>
      </c>
      <c r="F364">
        <v>252614707.69999999</v>
      </c>
      <c r="G364">
        <v>0</v>
      </c>
      <c r="L364" t="s">
        <v>8</v>
      </c>
      <c r="M364" t="s">
        <v>7</v>
      </c>
      <c r="N364" t="s">
        <v>8</v>
      </c>
      <c r="P364">
        <f t="shared" si="970"/>
        <v>0.53999999999999837</v>
      </c>
      <c r="Q364">
        <f t="shared" si="971"/>
        <v>136411942.15799958</v>
      </c>
      <c r="R364">
        <f t="shared" si="972"/>
        <v>1445969065.7617338</v>
      </c>
      <c r="S364">
        <f t="shared" si="973"/>
        <v>14459.690657617337</v>
      </c>
      <c r="T364">
        <f t="shared" si="974"/>
        <v>14.459690657617337</v>
      </c>
    </row>
    <row r="365" spans="1:20" x14ac:dyDescent="0.25">
      <c r="A365" s="5">
        <v>44228</v>
      </c>
      <c r="B365">
        <v>8.6099999999999996E-3</v>
      </c>
      <c r="C365">
        <v>8.6400000000000001E-3</v>
      </c>
      <c r="D365">
        <v>7.9000000000000008E-3</v>
      </c>
      <c r="E365">
        <v>8.1200000000000005E-3</v>
      </c>
      <c r="F365">
        <v>282999807.30000001</v>
      </c>
      <c r="G365">
        <v>0</v>
      </c>
      <c r="L365" t="s">
        <v>7</v>
      </c>
      <c r="M365" t="s">
        <v>7</v>
      </c>
      <c r="N365" t="s">
        <v>8</v>
      </c>
      <c r="P365">
        <f t="shared" si="970"/>
        <v>-0.40540540540540565</v>
      </c>
      <c r="Q365">
        <f t="shared" si="971"/>
        <v>-114729651.60810818</v>
      </c>
      <c r="R365">
        <f t="shared" si="972"/>
        <v>1309557123.6037343</v>
      </c>
      <c r="S365">
        <f t="shared" si="973"/>
        <v>13095.571236037342</v>
      </c>
      <c r="T365">
        <f t="shared" si="974"/>
        <v>13.095571236037342</v>
      </c>
    </row>
    <row r="366" spans="1:20" x14ac:dyDescent="0.25">
      <c r="A366" s="5">
        <v>44227</v>
      </c>
      <c r="B366">
        <v>8.9200000000000008E-3</v>
      </c>
      <c r="C366">
        <v>8.9200000000000008E-3</v>
      </c>
      <c r="D366">
        <v>8.0099999999999998E-3</v>
      </c>
      <c r="E366">
        <v>8.6499999999999997E-3</v>
      </c>
      <c r="F366">
        <v>160884283.19999999</v>
      </c>
      <c r="G366">
        <v>0</v>
      </c>
      <c r="L366" t="s">
        <v>7</v>
      </c>
      <c r="M366" t="s">
        <v>8</v>
      </c>
      <c r="N366" t="s">
        <v>8</v>
      </c>
      <c r="P366">
        <f t="shared" si="970"/>
        <v>0.40659340659340482</v>
      </c>
      <c r="Q366">
        <f t="shared" si="971"/>
        <v>65414488.773626082</v>
      </c>
      <c r="R366">
        <f t="shared" si="972"/>
        <v>1424286775.2118425</v>
      </c>
      <c r="S366">
        <f t="shared" si="973"/>
        <v>14242.867752118425</v>
      </c>
      <c r="T366">
        <f t="shared" si="974"/>
        <v>14.242867752118425</v>
      </c>
    </row>
    <row r="367" spans="1:20" x14ac:dyDescent="0.25">
      <c r="A367" s="5">
        <v>44226</v>
      </c>
      <c r="B367">
        <v>8.6899999999999998E-3</v>
      </c>
      <c r="C367">
        <v>9.2999999999999992E-3</v>
      </c>
      <c r="D367">
        <v>8.4100000000000008E-3</v>
      </c>
      <c r="E367">
        <v>8.9200000000000008E-3</v>
      </c>
      <c r="F367">
        <v>301241430.60000002</v>
      </c>
      <c r="G367">
        <v>0</v>
      </c>
      <c r="L367" t="s">
        <v>7</v>
      </c>
      <c r="M367" t="s">
        <v>8</v>
      </c>
      <c r="N367" t="s">
        <v>8</v>
      </c>
      <c r="P367">
        <f t="shared" si="970"/>
        <v>0.14606741573033918</v>
      </c>
      <c r="Q367">
        <f t="shared" si="971"/>
        <v>44001557.278652325</v>
      </c>
      <c r="R367">
        <f t="shared" si="972"/>
        <v>1358872286.4382164</v>
      </c>
      <c r="S367">
        <f t="shared" si="973"/>
        <v>13588.722864382164</v>
      </c>
      <c r="T367">
        <f t="shared" si="974"/>
        <v>13.588722864382163</v>
      </c>
    </row>
    <row r="368" spans="1:20" x14ac:dyDescent="0.25">
      <c r="A368" s="5">
        <v>44225</v>
      </c>
      <c r="B368">
        <v>8.0000000000000002E-3</v>
      </c>
      <c r="C368">
        <v>9.5099999999999994E-3</v>
      </c>
      <c r="D368">
        <v>7.9900000000000006E-3</v>
      </c>
      <c r="E368">
        <v>8.6599999999999993E-3</v>
      </c>
      <c r="F368">
        <v>739073750.20000005</v>
      </c>
      <c r="G368">
        <v>0</v>
      </c>
      <c r="L368" t="s">
        <v>8</v>
      </c>
      <c r="M368" t="s">
        <v>8</v>
      </c>
      <c r="N368" t="s">
        <v>8</v>
      </c>
      <c r="P368">
        <f t="shared" si="970"/>
        <v>-0.11842105263157993</v>
      </c>
      <c r="Q368">
        <f t="shared" si="971"/>
        <v>-87521891.471053362</v>
      </c>
      <c r="R368">
        <f t="shared" si="972"/>
        <v>1314870729.159564</v>
      </c>
      <c r="S368">
        <f t="shared" si="973"/>
        <v>13148.70729159564</v>
      </c>
      <c r="T368">
        <f t="shared" si="974"/>
        <v>13.14870729159564</v>
      </c>
    </row>
    <row r="369" spans="1:20" x14ac:dyDescent="0.25">
      <c r="A369" s="5">
        <v>44224</v>
      </c>
      <c r="B369">
        <v>6.8500000000000002E-3</v>
      </c>
      <c r="C369">
        <v>9.1999999999999998E-3</v>
      </c>
      <c r="D369">
        <v>6.8199999999999997E-3</v>
      </c>
      <c r="E369">
        <v>8.0000000000000002E-3</v>
      </c>
      <c r="F369">
        <v>710849385.20000005</v>
      </c>
      <c r="G369">
        <v>0</v>
      </c>
      <c r="L369" t="s">
        <v>8</v>
      </c>
      <c r="M369" t="s">
        <v>8</v>
      </c>
      <c r="N369" t="s">
        <v>8</v>
      </c>
      <c r="P369">
        <f t="shared" si="970"/>
        <v>-8.4033613445374713E-3</v>
      </c>
      <c r="Q369">
        <f t="shared" si="971"/>
        <v>-5973524.2453779075</v>
      </c>
      <c r="R369">
        <f t="shared" si="972"/>
        <v>1402392620.6306174</v>
      </c>
      <c r="S369">
        <f t="shared" si="973"/>
        <v>14023.926206306174</v>
      </c>
      <c r="T369">
        <f t="shared" si="974"/>
        <v>14.023926206306173</v>
      </c>
    </row>
    <row r="370" spans="1:20" x14ac:dyDescent="0.25">
      <c r="A370" s="5">
        <v>44223</v>
      </c>
      <c r="B370">
        <v>7.0600000000000003E-3</v>
      </c>
      <c r="C370">
        <v>7.3000000000000001E-3</v>
      </c>
      <c r="D370">
        <v>6.1500000000000001E-3</v>
      </c>
      <c r="E370">
        <v>6.8700000000000002E-3</v>
      </c>
      <c r="F370">
        <v>416826959.30000001</v>
      </c>
      <c r="G370">
        <v>0</v>
      </c>
      <c r="L370" t="s">
        <v>7</v>
      </c>
      <c r="M370" t="s">
        <v>7</v>
      </c>
      <c r="N370" t="s">
        <v>8</v>
      </c>
      <c r="P370">
        <f t="shared" si="970"/>
        <v>0.25217391304347853</v>
      </c>
      <c r="Q370">
        <f t="shared" si="971"/>
        <v>105112885.38869576</v>
      </c>
      <c r="R370">
        <f t="shared" si="972"/>
        <v>1408366144.8759954</v>
      </c>
      <c r="S370">
        <f t="shared" si="973"/>
        <v>14083.661448759955</v>
      </c>
      <c r="T370">
        <f t="shared" si="974"/>
        <v>14.083661448759955</v>
      </c>
    </row>
    <row r="371" spans="1:20" x14ac:dyDescent="0.25">
      <c r="A371" s="5">
        <v>44222</v>
      </c>
      <c r="B371">
        <v>7.0600000000000003E-3</v>
      </c>
      <c r="C371">
        <v>7.2100000000000003E-3</v>
      </c>
      <c r="D371">
        <v>6.4799999999999996E-3</v>
      </c>
      <c r="E371">
        <v>7.0699999999999999E-3</v>
      </c>
      <c r="F371">
        <v>208345939.30000001</v>
      </c>
      <c r="G371">
        <v>0</v>
      </c>
      <c r="L371" t="s">
        <v>7</v>
      </c>
      <c r="M371" t="s">
        <v>7</v>
      </c>
      <c r="N371" t="s">
        <v>8</v>
      </c>
      <c r="P371">
        <f t="shared" si="970"/>
        <v>0.61643835616438292</v>
      </c>
      <c r="Q371">
        <f t="shared" si="971"/>
        <v>128432428.33561631</v>
      </c>
      <c r="R371">
        <f t="shared" si="972"/>
        <v>1303253259.4872997</v>
      </c>
      <c r="S371">
        <f t="shared" si="973"/>
        <v>13032.532594872997</v>
      </c>
      <c r="T371">
        <f t="shared" si="974"/>
        <v>13.032532594872997</v>
      </c>
    </row>
    <row r="372" spans="1:20" x14ac:dyDescent="0.25">
      <c r="A372" s="5">
        <v>44221</v>
      </c>
      <c r="B372">
        <v>7.45E-3</v>
      </c>
      <c r="C372">
        <v>7.7099999999999998E-3</v>
      </c>
      <c r="D372">
        <v>7.0000000000000001E-3</v>
      </c>
      <c r="E372">
        <v>7.0699999999999999E-3</v>
      </c>
      <c r="F372">
        <v>178331177.30000001</v>
      </c>
      <c r="G372">
        <v>0</v>
      </c>
      <c r="L372" t="s">
        <v>7</v>
      </c>
      <c r="M372" t="s">
        <v>8</v>
      </c>
      <c r="N372" t="s">
        <v>8</v>
      </c>
      <c r="P372">
        <f t="shared" si="970"/>
        <v>-0.8028169014084513</v>
      </c>
      <c r="Q372">
        <f t="shared" si="971"/>
        <v>-143167283.18450716</v>
      </c>
      <c r="R372">
        <f t="shared" si="972"/>
        <v>1174820831.1516833</v>
      </c>
      <c r="S372">
        <f t="shared" si="973"/>
        <v>11748.208311516833</v>
      </c>
      <c r="T372">
        <f t="shared" si="974"/>
        <v>11.748208311516834</v>
      </c>
    </row>
    <row r="373" spans="1:20" x14ac:dyDescent="0.25">
      <c r="A373" s="5">
        <v>44220</v>
      </c>
      <c r="B373">
        <v>7.6800000000000002E-3</v>
      </c>
      <c r="C373">
        <v>7.9399999999999991E-3</v>
      </c>
      <c r="D373">
        <v>7.0899999999999999E-3</v>
      </c>
      <c r="E373">
        <v>7.4700000000000001E-3</v>
      </c>
      <c r="F373">
        <v>193095368.69999999</v>
      </c>
      <c r="G373">
        <v>0</v>
      </c>
      <c r="L373" t="s">
        <v>7</v>
      </c>
      <c r="M373" t="s">
        <v>8</v>
      </c>
      <c r="N373" t="s">
        <v>8</v>
      </c>
      <c r="P373">
        <f t="shared" si="970"/>
        <v>-0.10588235294117532</v>
      </c>
      <c r="Q373">
        <f t="shared" si="971"/>
        <v>-20445391.979999777</v>
      </c>
      <c r="R373">
        <f t="shared" si="972"/>
        <v>1317988114.3361905</v>
      </c>
      <c r="S373">
        <f t="shared" si="973"/>
        <v>13179.881143361905</v>
      </c>
      <c r="T373">
        <f t="shared" si="974"/>
        <v>13.179881143361905</v>
      </c>
    </row>
    <row r="374" spans="1:20" x14ac:dyDescent="0.25">
      <c r="A374" s="5">
        <v>44219</v>
      </c>
      <c r="B374">
        <v>7.1300000000000001E-3</v>
      </c>
      <c r="C374">
        <v>7.8399999999999997E-3</v>
      </c>
      <c r="D374">
        <v>6.8900000000000003E-3</v>
      </c>
      <c r="E374">
        <v>7.6699999999999997E-3</v>
      </c>
      <c r="F374">
        <v>219478868.40000001</v>
      </c>
      <c r="G374">
        <v>0</v>
      </c>
      <c r="L374" t="s">
        <v>8</v>
      </c>
      <c r="M374" t="s">
        <v>8</v>
      </c>
      <c r="N374" t="s">
        <v>8</v>
      </c>
      <c r="P374">
        <f t="shared" si="970"/>
        <v>0.64210526315789451</v>
      </c>
      <c r="Q374">
        <f t="shared" si="971"/>
        <v>140928536.55157891</v>
      </c>
      <c r="R374">
        <f t="shared" si="972"/>
        <v>1338433506.3161902</v>
      </c>
      <c r="S374">
        <f t="shared" si="973"/>
        <v>13384.335063161903</v>
      </c>
      <c r="T374">
        <f t="shared" si="974"/>
        <v>13.384335063161902</v>
      </c>
    </row>
    <row r="375" spans="1:20" x14ac:dyDescent="0.25">
      <c r="A375" s="5">
        <v>44218</v>
      </c>
      <c r="B375">
        <v>6.7000000000000002E-3</v>
      </c>
      <c r="C375">
        <v>7.4000000000000003E-3</v>
      </c>
      <c r="D375">
        <v>5.9500000000000004E-3</v>
      </c>
      <c r="E375">
        <v>7.11E-3</v>
      </c>
      <c r="F375">
        <v>240488617.09999999</v>
      </c>
      <c r="G375">
        <v>0</v>
      </c>
      <c r="L375" t="s">
        <v>7</v>
      </c>
      <c r="M375" t="s">
        <v>7</v>
      </c>
      <c r="N375" t="s">
        <v>8</v>
      </c>
      <c r="P375">
        <f t="shared" si="970"/>
        <v>0.59999999999999953</v>
      </c>
      <c r="Q375">
        <f t="shared" si="971"/>
        <v>144293170.25999987</v>
      </c>
      <c r="R375">
        <f t="shared" si="972"/>
        <v>1197504969.7646112</v>
      </c>
      <c r="S375">
        <f t="shared" si="973"/>
        <v>11975.049697646113</v>
      </c>
      <c r="T375">
        <f t="shared" si="974"/>
        <v>11.975049697646112</v>
      </c>
    </row>
    <row r="376" spans="1:20" x14ac:dyDescent="0.25">
      <c r="A376" s="5">
        <v>44217</v>
      </c>
      <c r="B376">
        <v>7.8300000000000002E-3</v>
      </c>
      <c r="C376">
        <v>8.0199999999999994E-3</v>
      </c>
      <c r="D376">
        <v>6.5700000000000003E-3</v>
      </c>
      <c r="E376">
        <v>6.7000000000000002E-3</v>
      </c>
      <c r="F376">
        <v>270794880.39999998</v>
      </c>
      <c r="G376">
        <v>0</v>
      </c>
      <c r="L376" t="s">
        <v>7</v>
      </c>
      <c r="M376" t="s">
        <v>8</v>
      </c>
      <c r="N376" t="s">
        <v>8</v>
      </c>
      <c r="P376">
        <f t="shared" si="970"/>
        <v>-0.82068965517241377</v>
      </c>
      <c r="Q376">
        <f t="shared" si="971"/>
        <v>-222238557.01793101</v>
      </c>
      <c r="R376">
        <f t="shared" si="972"/>
        <v>1053211799.5046115</v>
      </c>
      <c r="S376">
        <f t="shared" si="973"/>
        <v>10532.117995046116</v>
      </c>
      <c r="T376">
        <f t="shared" si="974"/>
        <v>10.532117995046116</v>
      </c>
    </row>
    <row r="377" spans="1:20" x14ac:dyDescent="0.25">
      <c r="A377" s="5">
        <v>44216</v>
      </c>
      <c r="B377">
        <v>8.0199999999999994E-3</v>
      </c>
      <c r="C377">
        <v>8.3400000000000002E-3</v>
      </c>
      <c r="D377">
        <v>6.6800000000000002E-3</v>
      </c>
      <c r="E377">
        <v>7.7999999999999996E-3</v>
      </c>
      <c r="F377">
        <v>440150403.89999998</v>
      </c>
      <c r="G377">
        <v>0</v>
      </c>
      <c r="L377" t="s">
        <v>7</v>
      </c>
      <c r="M377" t="s">
        <v>7</v>
      </c>
      <c r="N377" t="s">
        <v>8</v>
      </c>
      <c r="P377">
        <f t="shared" si="970"/>
        <v>0.34939759036144513</v>
      </c>
      <c r="Q377">
        <f t="shared" si="971"/>
        <v>153787490.51927683</v>
      </c>
      <c r="R377">
        <f t="shared" si="972"/>
        <v>1275450356.5225425</v>
      </c>
      <c r="S377">
        <f t="shared" si="973"/>
        <v>12754.503565225425</v>
      </c>
      <c r="T377">
        <f t="shared" si="974"/>
        <v>12.754503565225425</v>
      </c>
    </row>
    <row r="378" spans="1:20" x14ac:dyDescent="0.25">
      <c r="A378" s="5">
        <v>44215</v>
      </c>
      <c r="B378">
        <v>7.4400000000000004E-3</v>
      </c>
      <c r="C378">
        <v>8.3499999999999998E-3</v>
      </c>
      <c r="D378">
        <v>7.1500000000000001E-3</v>
      </c>
      <c r="E378">
        <v>8.0199999999999994E-3</v>
      </c>
      <c r="F378">
        <v>561777421.79999995</v>
      </c>
      <c r="G378">
        <v>0</v>
      </c>
      <c r="L378" t="s">
        <v>8</v>
      </c>
      <c r="M378" t="s">
        <v>8</v>
      </c>
      <c r="N378" t="s">
        <v>8</v>
      </c>
      <c r="P378">
        <f t="shared" si="970"/>
        <v>0.44999999999999912</v>
      </c>
      <c r="Q378">
        <f t="shared" si="971"/>
        <v>252799839.8099995</v>
      </c>
      <c r="R378">
        <f t="shared" si="972"/>
        <v>1121662866.0032656</v>
      </c>
      <c r="S378">
        <f t="shared" si="973"/>
        <v>11216.628660032657</v>
      </c>
      <c r="T378">
        <f t="shared" si="974"/>
        <v>11.216628660032656</v>
      </c>
    </row>
    <row r="379" spans="1:20" x14ac:dyDescent="0.25">
      <c r="A379" s="5">
        <v>44214</v>
      </c>
      <c r="B379">
        <v>7.3000000000000001E-3</v>
      </c>
      <c r="C379">
        <v>7.8300000000000002E-3</v>
      </c>
      <c r="D379">
        <v>6.8399999999999997E-3</v>
      </c>
      <c r="E379">
        <v>7.4400000000000004E-3</v>
      </c>
      <c r="F379">
        <v>444238736.80000001</v>
      </c>
      <c r="G379">
        <v>0</v>
      </c>
      <c r="L379" t="s">
        <v>8</v>
      </c>
      <c r="M379" t="s">
        <v>8</v>
      </c>
      <c r="N379" t="s">
        <v>8</v>
      </c>
      <c r="P379">
        <f t="shared" si="970"/>
        <v>0.21212121212121302</v>
      </c>
      <c r="Q379">
        <f t="shared" si="971"/>
        <v>94232459.321212515</v>
      </c>
      <c r="R379">
        <f t="shared" si="972"/>
        <v>868863026.19326615</v>
      </c>
      <c r="S379">
        <f t="shared" si="973"/>
        <v>8688.6302619326616</v>
      </c>
      <c r="T379">
        <f t="shared" si="974"/>
        <v>8.6886302619326621</v>
      </c>
    </row>
    <row r="380" spans="1:20" x14ac:dyDescent="0.25">
      <c r="A380" s="5">
        <v>44213</v>
      </c>
      <c r="B380">
        <v>6.62E-3</v>
      </c>
      <c r="C380">
        <v>7.4200000000000004E-3</v>
      </c>
      <c r="D380">
        <v>6.0499999999999998E-3</v>
      </c>
      <c r="E380">
        <v>7.3000000000000001E-3</v>
      </c>
      <c r="F380">
        <v>458150553.60000002</v>
      </c>
      <c r="G380">
        <v>0</v>
      </c>
      <c r="L380" t="s">
        <v>8</v>
      </c>
      <c r="M380" t="s">
        <v>7</v>
      </c>
      <c r="N380" t="s">
        <v>8</v>
      </c>
      <c r="P380">
        <f t="shared" si="970"/>
        <v>0.82481751824817484</v>
      </c>
      <c r="Q380">
        <f t="shared" si="971"/>
        <v>377890602.60437942</v>
      </c>
      <c r="R380">
        <f t="shared" si="972"/>
        <v>774630566.87205362</v>
      </c>
      <c r="S380">
        <f t="shared" si="973"/>
        <v>7746.3056687205362</v>
      </c>
      <c r="T380">
        <f t="shared" si="974"/>
        <v>7.7463056687205363</v>
      </c>
    </row>
    <row r="381" spans="1:20" x14ac:dyDescent="0.25">
      <c r="A381" s="5">
        <v>44212</v>
      </c>
      <c r="B381">
        <v>6.2700000000000004E-3</v>
      </c>
      <c r="C381">
        <v>7.3000000000000001E-3</v>
      </c>
      <c r="D381">
        <v>6.0899999999999999E-3</v>
      </c>
      <c r="E381">
        <v>6.6600000000000001E-3</v>
      </c>
      <c r="F381">
        <v>877601600.89999998</v>
      </c>
      <c r="G381">
        <v>0</v>
      </c>
      <c r="L381" t="s">
        <v>8</v>
      </c>
      <c r="M381" t="s">
        <v>8</v>
      </c>
      <c r="N381" t="s">
        <v>8</v>
      </c>
      <c r="P381">
        <f t="shared" si="970"/>
        <v>-5.7851239669421274E-2</v>
      </c>
      <c r="Q381">
        <f t="shared" si="971"/>
        <v>-50770340.547933698</v>
      </c>
      <c r="R381">
        <f t="shared" si="972"/>
        <v>396739964.26767427</v>
      </c>
      <c r="S381">
        <f t="shared" si="973"/>
        <v>3967.3996426767426</v>
      </c>
      <c r="T381">
        <f t="shared" si="974"/>
        <v>3.9673996426767424</v>
      </c>
    </row>
    <row r="382" spans="1:20" x14ac:dyDescent="0.25">
      <c r="A382" s="5">
        <v>44211</v>
      </c>
      <c r="B382">
        <v>6.2700000000000004E-3</v>
      </c>
      <c r="C382">
        <v>6.8900000000000003E-3</v>
      </c>
      <c r="D382">
        <v>5.7299999999999999E-3</v>
      </c>
      <c r="E382">
        <v>6.2700000000000004E-3</v>
      </c>
      <c r="F382">
        <v>451239815.10000002</v>
      </c>
      <c r="G382">
        <v>0</v>
      </c>
      <c r="L382" t="s">
        <v>7</v>
      </c>
      <c r="M382" t="s">
        <v>7</v>
      </c>
      <c r="N382" t="s">
        <v>7</v>
      </c>
      <c r="P382">
        <f t="shared" si="970"/>
        <v>-6.8965517241378713E-2</v>
      </c>
      <c r="Q382">
        <f t="shared" si="971"/>
        <v>-31119987.248275593</v>
      </c>
      <c r="R382">
        <f t="shared" si="972"/>
        <v>447510304.81560796</v>
      </c>
      <c r="S382">
        <f t="shared" si="973"/>
        <v>4475.1030481560792</v>
      </c>
      <c r="T382">
        <f t="shared" si="974"/>
        <v>4.475103048156079</v>
      </c>
    </row>
    <row r="383" spans="1:20" x14ac:dyDescent="0.25">
      <c r="A383" s="5">
        <v>44210</v>
      </c>
      <c r="B383">
        <v>6.4000000000000003E-3</v>
      </c>
      <c r="C383">
        <v>7.0099999999999997E-3</v>
      </c>
      <c r="D383">
        <v>6.1599999999999997E-3</v>
      </c>
      <c r="E383">
        <v>6.2899999999999996E-3</v>
      </c>
      <c r="F383">
        <v>163502106.59999999</v>
      </c>
      <c r="G383">
        <v>0</v>
      </c>
      <c r="L383" t="s">
        <v>8</v>
      </c>
      <c r="M383" t="s">
        <v>8</v>
      </c>
      <c r="N383" t="s">
        <v>7</v>
      </c>
      <c r="P383">
        <f t="shared" si="970"/>
        <v>-0.69411764705882373</v>
      </c>
      <c r="Q383">
        <f t="shared" si="971"/>
        <v>-113489697.52235296</v>
      </c>
      <c r="R383">
        <f t="shared" si="972"/>
        <v>478630292.06388354</v>
      </c>
      <c r="S383">
        <f t="shared" si="973"/>
        <v>4786.3029206388355</v>
      </c>
      <c r="T383">
        <f t="shared" si="974"/>
        <v>4.7863029206388354</v>
      </c>
    </row>
    <row r="384" spans="1:20" x14ac:dyDescent="0.25">
      <c r="A384" s="5">
        <v>44209</v>
      </c>
      <c r="B384">
        <v>5.7999999999999996E-3</v>
      </c>
      <c r="C384">
        <v>6.4400000000000004E-3</v>
      </c>
      <c r="D384">
        <v>5.4900000000000001E-3</v>
      </c>
      <c r="E384">
        <v>6.4000000000000003E-3</v>
      </c>
      <c r="F384">
        <v>109271351.59999999</v>
      </c>
      <c r="G384">
        <v>0</v>
      </c>
      <c r="L384" t="s">
        <v>8</v>
      </c>
      <c r="M384" t="s">
        <v>8</v>
      </c>
      <c r="N384" t="s">
        <v>7</v>
      </c>
      <c r="P384">
        <f t="shared" si="970"/>
        <v>0.91578947368421038</v>
      </c>
      <c r="Q384">
        <f t="shared" si="971"/>
        <v>100069553.57052629</v>
      </c>
      <c r="R384">
        <f t="shared" si="972"/>
        <v>592119989.58623648</v>
      </c>
      <c r="S384">
        <f t="shared" si="973"/>
        <v>5921.1998958623644</v>
      </c>
      <c r="T384">
        <f t="shared" si="974"/>
        <v>5.9211998958623644</v>
      </c>
    </row>
    <row r="385" spans="1:20" x14ac:dyDescent="0.25">
      <c r="A385" s="5">
        <v>44208</v>
      </c>
      <c r="B385">
        <v>6.13E-3</v>
      </c>
      <c r="C385">
        <v>6.3200000000000001E-3</v>
      </c>
      <c r="D385">
        <v>5.5199999999999997E-3</v>
      </c>
      <c r="E385">
        <v>5.8500000000000002E-3</v>
      </c>
      <c r="F385">
        <v>105819508.2</v>
      </c>
      <c r="G385">
        <v>0</v>
      </c>
      <c r="L385" t="s">
        <v>8</v>
      </c>
      <c r="M385" t="s">
        <v>8</v>
      </c>
      <c r="N385" t="s">
        <v>7</v>
      </c>
      <c r="P385">
        <f t="shared" si="970"/>
        <v>-0.1749999999999993</v>
      </c>
      <c r="Q385">
        <f t="shared" si="971"/>
        <v>-18518413.934999924</v>
      </c>
      <c r="R385">
        <f t="shared" si="972"/>
        <v>492050436.01571023</v>
      </c>
      <c r="S385">
        <f t="shared" si="973"/>
        <v>4920.5043601571024</v>
      </c>
      <c r="T385">
        <f t="shared" si="974"/>
        <v>4.9205043601571026</v>
      </c>
    </row>
    <row r="386" spans="1:20" x14ac:dyDescent="0.25">
      <c r="A386" s="5">
        <v>44207</v>
      </c>
      <c r="B386">
        <v>7.2100000000000003E-3</v>
      </c>
      <c r="C386">
        <v>7.3499999999999998E-3</v>
      </c>
      <c r="D386">
        <v>5.2500000000000003E-3</v>
      </c>
      <c r="E386">
        <v>6.13E-3</v>
      </c>
      <c r="F386">
        <v>209101586.30000001</v>
      </c>
      <c r="G386">
        <v>0</v>
      </c>
      <c r="L386" t="s">
        <v>7</v>
      </c>
      <c r="M386" t="s">
        <v>7</v>
      </c>
      <c r="N386" t="s">
        <v>7</v>
      </c>
      <c r="P386">
        <f t="shared" si="970"/>
        <v>-0.16190476190476197</v>
      </c>
      <c r="Q386">
        <f t="shared" si="971"/>
        <v>-33854542.543809541</v>
      </c>
      <c r="R386">
        <f t="shared" si="972"/>
        <v>510568849.95071018</v>
      </c>
      <c r="S386">
        <f t="shared" si="973"/>
        <v>5105.6884995071014</v>
      </c>
      <c r="T386">
        <f t="shared" si="974"/>
        <v>5.1056884995071012</v>
      </c>
    </row>
    <row r="387" spans="1:20" x14ac:dyDescent="0.25">
      <c r="A387" s="5">
        <v>44206</v>
      </c>
      <c r="B387">
        <v>7.3400000000000002E-3</v>
      </c>
      <c r="C387">
        <v>7.6E-3</v>
      </c>
      <c r="D387">
        <v>6.2500000000000003E-3</v>
      </c>
      <c r="E387">
        <v>7.2199999999999999E-3</v>
      </c>
      <c r="F387">
        <v>206076449.40000001</v>
      </c>
      <c r="G387">
        <v>0</v>
      </c>
      <c r="L387" t="s">
        <v>7</v>
      </c>
      <c r="M387" t="s">
        <v>7</v>
      </c>
      <c r="N387" t="s">
        <v>8</v>
      </c>
      <c r="P387">
        <f t="shared" si="970"/>
        <v>0.43703703703703667</v>
      </c>
      <c r="Q387">
        <f t="shared" si="971"/>
        <v>90063040.848888814</v>
      </c>
      <c r="R387">
        <f t="shared" si="972"/>
        <v>544423392.49451971</v>
      </c>
      <c r="S387">
        <f t="shared" si="973"/>
        <v>5444.233924945197</v>
      </c>
      <c r="T387">
        <f t="shared" si="974"/>
        <v>5.4442339249451974</v>
      </c>
    </row>
    <row r="388" spans="1:20" x14ac:dyDescent="0.25">
      <c r="A388" s="5">
        <v>44205</v>
      </c>
      <c r="B388">
        <v>6.5199999999999998E-3</v>
      </c>
      <c r="C388">
        <v>8.5000000000000006E-3</v>
      </c>
      <c r="D388">
        <v>6.4400000000000004E-3</v>
      </c>
      <c r="E388">
        <v>7.3099999999999997E-3</v>
      </c>
      <c r="F388">
        <v>330554756.5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-0.15533980582524354</v>
      </c>
      <c r="Q388">
        <f t="shared" si="971"/>
        <v>-51348311.689320661</v>
      </c>
      <c r="R388">
        <f t="shared" si="972"/>
        <v>454360351.64563096</v>
      </c>
      <c r="S388">
        <f t="shared" si="973"/>
        <v>4543.60351645631</v>
      </c>
      <c r="T388">
        <f t="shared" si="974"/>
        <v>4.5436035164563098</v>
      </c>
    </row>
    <row r="389" spans="1:20" x14ac:dyDescent="0.25">
      <c r="A389" s="5">
        <v>44204</v>
      </c>
      <c r="B389">
        <v>6.7499999999999999E-3</v>
      </c>
      <c r="C389">
        <v>6.96E-3</v>
      </c>
      <c r="D389">
        <v>6.2100000000000002E-3</v>
      </c>
      <c r="E389">
        <v>6.4999999999999997E-3</v>
      </c>
      <c r="F389">
        <v>133929402.09999999</v>
      </c>
      <c r="G389">
        <v>0</v>
      </c>
      <c r="L389" t="s">
        <v>7</v>
      </c>
      <c r="M389" t="s">
        <v>7</v>
      </c>
      <c r="N389" t="s">
        <v>8</v>
      </c>
      <c r="P389">
        <f t="shared" si="970"/>
        <v>-0.2266666666666679</v>
      </c>
      <c r="Q389">
        <f t="shared" si="971"/>
        <v>-30357331.142666832</v>
      </c>
      <c r="R389">
        <f t="shared" si="972"/>
        <v>505708663.33495164</v>
      </c>
      <c r="S389">
        <f t="shared" si="973"/>
        <v>5057.086633349516</v>
      </c>
      <c r="T389">
        <f t="shared" si="974"/>
        <v>5.0570866333495159</v>
      </c>
    </row>
    <row r="390" spans="1:20" x14ac:dyDescent="0.25">
      <c r="A390" s="5">
        <v>44203</v>
      </c>
      <c r="B390">
        <v>7.0400000000000003E-3</v>
      </c>
      <c r="C390">
        <v>7.5399999999999998E-3</v>
      </c>
      <c r="D390">
        <v>6.4599999999999996E-3</v>
      </c>
      <c r="E390">
        <v>6.7499999999999999E-3</v>
      </c>
      <c r="F390">
        <v>213721585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-0.46296296296296247</v>
      </c>
      <c r="Q390">
        <f t="shared" ref="Q390:Q453" si="976">F390*P390</f>
        <v>-98945178.240740627</v>
      </c>
      <c r="R390">
        <f t="shared" ref="R390:R453" si="977">R391+Q390</f>
        <v>536065994.47761846</v>
      </c>
      <c r="S390">
        <f t="shared" ref="S390:S453" si="978">R390/100000</f>
        <v>5360.6599447761846</v>
      </c>
      <c r="T390">
        <f t="shared" ref="T390:T453" si="979">S390/1000</f>
        <v>5.3606599447761845</v>
      </c>
    </row>
    <row r="391" spans="1:20" x14ac:dyDescent="0.25">
      <c r="A391" s="5">
        <v>44202</v>
      </c>
      <c r="B391">
        <v>5.9300000000000004E-3</v>
      </c>
      <c r="C391">
        <v>7.3000000000000001E-3</v>
      </c>
      <c r="D391">
        <v>5.7200000000000003E-3</v>
      </c>
      <c r="E391">
        <v>7.0400000000000003E-3</v>
      </c>
      <c r="F391">
        <v>256906303.90000001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0.67088607594936733</v>
      </c>
      <c r="Q391">
        <f t="shared" si="976"/>
        <v>172354862.11012664</v>
      </c>
      <c r="R391">
        <f t="shared" si="977"/>
        <v>635011172.71835911</v>
      </c>
      <c r="S391">
        <f t="shared" si="978"/>
        <v>6350.111727183591</v>
      </c>
      <c r="T391">
        <f t="shared" si="979"/>
        <v>6.3501117271835907</v>
      </c>
    </row>
    <row r="392" spans="1:20" x14ac:dyDescent="0.25">
      <c r="A392" s="5">
        <v>44201</v>
      </c>
      <c r="B392">
        <v>5.7000000000000002E-3</v>
      </c>
      <c r="C392">
        <v>6.3899999999999998E-3</v>
      </c>
      <c r="D392">
        <v>5.5199999999999997E-3</v>
      </c>
      <c r="E392">
        <v>5.9199999999999999E-3</v>
      </c>
      <c r="F392">
        <v>305481205.60000002</v>
      </c>
      <c r="G392">
        <v>0</v>
      </c>
      <c r="L392" t="s">
        <v>8</v>
      </c>
      <c r="M392" t="s">
        <v>8</v>
      </c>
      <c r="N392" t="s">
        <v>8</v>
      </c>
      <c r="P392">
        <f t="shared" si="975"/>
        <v>-8.0459770114942236E-2</v>
      </c>
      <c r="Q392">
        <f t="shared" si="976"/>
        <v>-24578947.577011406</v>
      </c>
      <c r="R392">
        <f t="shared" si="977"/>
        <v>462656310.6082325</v>
      </c>
      <c r="S392">
        <f t="shared" si="978"/>
        <v>4626.5631060823252</v>
      </c>
      <c r="T392">
        <f t="shared" si="979"/>
        <v>4.6265631060823251</v>
      </c>
    </row>
    <row r="393" spans="1:20" x14ac:dyDescent="0.25">
      <c r="A393" s="5">
        <v>44200</v>
      </c>
      <c r="B393">
        <v>5.4200000000000003E-3</v>
      </c>
      <c r="C393">
        <v>5.8999999999999999E-3</v>
      </c>
      <c r="D393">
        <v>4.9100000000000003E-3</v>
      </c>
      <c r="E393">
        <v>5.6600000000000001E-3</v>
      </c>
      <c r="F393">
        <v>192371908.59999999</v>
      </c>
      <c r="G393">
        <v>0</v>
      </c>
      <c r="L393" t="s">
        <v>7</v>
      </c>
      <c r="M393" t="s">
        <v>8</v>
      </c>
      <c r="N393" t="s">
        <v>8</v>
      </c>
      <c r="P393">
        <f t="shared" si="975"/>
        <v>0.51515151515151547</v>
      </c>
      <c r="Q393">
        <f t="shared" si="976"/>
        <v>99100680.187878847</v>
      </c>
      <c r="R393">
        <f t="shared" si="977"/>
        <v>487235258.1852439</v>
      </c>
      <c r="S393">
        <f t="shared" si="978"/>
        <v>4872.3525818524395</v>
      </c>
      <c r="T393">
        <f t="shared" si="979"/>
        <v>4.8723525818524394</v>
      </c>
    </row>
    <row r="394" spans="1:20" x14ac:dyDescent="0.25">
      <c r="A394" s="5">
        <v>44199</v>
      </c>
      <c r="B394">
        <v>4.7999999999999996E-3</v>
      </c>
      <c r="C394">
        <v>5.8300000000000001E-3</v>
      </c>
      <c r="D394">
        <v>4.6899999999999997E-3</v>
      </c>
      <c r="E394">
        <v>5.3800000000000002E-3</v>
      </c>
      <c r="F394">
        <v>215382737.80000001</v>
      </c>
      <c r="G394">
        <v>0</v>
      </c>
      <c r="L394" t="s">
        <v>8</v>
      </c>
      <c r="M394" t="s">
        <v>8</v>
      </c>
      <c r="N394" t="s">
        <v>8</v>
      </c>
      <c r="P394">
        <f t="shared" si="975"/>
        <v>0.21052631578947417</v>
      </c>
      <c r="Q394">
        <f t="shared" si="976"/>
        <v>45343734.273684315</v>
      </c>
      <c r="R394">
        <f t="shared" si="977"/>
        <v>388134577.99736506</v>
      </c>
      <c r="S394">
        <f t="shared" si="978"/>
        <v>3881.3457799736507</v>
      </c>
      <c r="T394">
        <f t="shared" si="979"/>
        <v>3.8813457799736506</v>
      </c>
    </row>
    <row r="395" spans="1:20" x14ac:dyDescent="0.25">
      <c r="A395" s="5">
        <v>44198</v>
      </c>
      <c r="B395">
        <v>4.7800000000000004E-3</v>
      </c>
      <c r="C395">
        <v>5.1799999999999997E-3</v>
      </c>
      <c r="D395">
        <v>4.4999999999999997E-3</v>
      </c>
      <c r="E395">
        <v>4.7999999999999996E-3</v>
      </c>
      <c r="F395">
        <v>127490718</v>
      </c>
      <c r="G395">
        <v>0</v>
      </c>
      <c r="L395" t="s">
        <v>8</v>
      </c>
      <c r="M395" t="s">
        <v>8</v>
      </c>
      <c r="N395" t="s">
        <v>7</v>
      </c>
      <c r="P395">
        <f t="shared" si="975"/>
        <v>-0.11764705882352972</v>
      </c>
      <c r="Q395">
        <f t="shared" si="976"/>
        <v>-14998908.000000039</v>
      </c>
      <c r="R395">
        <f t="shared" si="977"/>
        <v>342790843.72368073</v>
      </c>
      <c r="S395">
        <f t="shared" si="978"/>
        <v>3427.9084372368075</v>
      </c>
      <c r="T395">
        <f t="shared" si="979"/>
        <v>3.4279084372368076</v>
      </c>
    </row>
    <row r="396" spans="1:20" x14ac:dyDescent="0.25">
      <c r="A396" s="5">
        <v>44197</v>
      </c>
      <c r="B396">
        <v>4.4299999999999999E-3</v>
      </c>
      <c r="C396">
        <v>5.1000000000000004E-3</v>
      </c>
      <c r="D396">
        <v>4.3600000000000002E-3</v>
      </c>
      <c r="E396">
        <v>4.79E-3</v>
      </c>
      <c r="F396">
        <v>86134779.599999994</v>
      </c>
      <c r="G396">
        <v>0</v>
      </c>
      <c r="L396" t="s">
        <v>8</v>
      </c>
      <c r="M396" t="s">
        <v>8</v>
      </c>
      <c r="N396" t="s">
        <v>7</v>
      </c>
      <c r="P396">
        <f t="shared" si="975"/>
        <v>0.16216216216216137</v>
      </c>
      <c r="Q396">
        <f t="shared" si="976"/>
        <v>13967802.097297227</v>
      </c>
      <c r="R396">
        <f t="shared" si="977"/>
        <v>357789751.72368079</v>
      </c>
      <c r="S396">
        <f t="shared" si="978"/>
        <v>3577.8975172368077</v>
      </c>
      <c r="T396">
        <f t="shared" si="979"/>
        <v>3.5778975172368077</v>
      </c>
    </row>
    <row r="397" spans="1:20" x14ac:dyDescent="0.25">
      <c r="A397" s="5">
        <v>44196</v>
      </c>
      <c r="B397">
        <v>4.28E-3</v>
      </c>
      <c r="C397">
        <v>4.7299999999999998E-3</v>
      </c>
      <c r="D397">
        <v>4.1399999999999996E-3</v>
      </c>
      <c r="E397">
        <v>4.4299999999999999E-3</v>
      </c>
      <c r="F397">
        <v>83933816</v>
      </c>
      <c r="G397">
        <v>0</v>
      </c>
      <c r="L397" t="s">
        <v>7</v>
      </c>
      <c r="M397" t="s">
        <v>7</v>
      </c>
      <c r="N397" t="s">
        <v>7</v>
      </c>
      <c r="P397">
        <f t="shared" si="975"/>
        <v>-1.6949152542372184E-2</v>
      </c>
      <c r="Q397">
        <f t="shared" si="976"/>
        <v>-1422607.050847399</v>
      </c>
      <c r="R397">
        <f t="shared" si="977"/>
        <v>343821949.62638354</v>
      </c>
      <c r="S397">
        <f t="shared" si="978"/>
        <v>3438.2194962638355</v>
      </c>
      <c r="T397">
        <f t="shared" si="979"/>
        <v>3.4382194962638355</v>
      </c>
    </row>
    <row r="398" spans="1:20" x14ac:dyDescent="0.25">
      <c r="A398" s="5">
        <v>44195</v>
      </c>
      <c r="B398">
        <v>4.6100000000000004E-3</v>
      </c>
      <c r="C398">
        <v>4.64E-3</v>
      </c>
      <c r="D398">
        <v>4.15E-3</v>
      </c>
      <c r="E398">
        <v>4.28E-3</v>
      </c>
      <c r="F398">
        <v>127929105.5</v>
      </c>
      <c r="G398">
        <v>0</v>
      </c>
      <c r="L398" t="s">
        <v>7</v>
      </c>
      <c r="M398" t="s">
        <v>7</v>
      </c>
      <c r="N398" t="s">
        <v>7</v>
      </c>
      <c r="P398">
        <f t="shared" si="975"/>
        <v>-0.46938775510204117</v>
      </c>
      <c r="Q398">
        <f t="shared" si="976"/>
        <v>-60048355.642857186</v>
      </c>
      <c r="R398">
        <f t="shared" si="977"/>
        <v>345244556.67723095</v>
      </c>
      <c r="S398">
        <f t="shared" si="978"/>
        <v>3452.4455667723096</v>
      </c>
      <c r="T398">
        <f t="shared" si="979"/>
        <v>3.4524455667723095</v>
      </c>
    </row>
    <row r="399" spans="1:20" x14ac:dyDescent="0.25">
      <c r="A399" s="5">
        <v>44194</v>
      </c>
      <c r="B399">
        <v>5.0299999999999997E-3</v>
      </c>
      <c r="C399">
        <v>5.0400000000000002E-3</v>
      </c>
      <c r="D399">
        <v>4.3800000000000002E-3</v>
      </c>
      <c r="E399">
        <v>4.6100000000000004E-3</v>
      </c>
      <c r="F399">
        <v>92703286.5</v>
      </c>
      <c r="G399">
        <v>0</v>
      </c>
      <c r="L399" t="s">
        <v>7</v>
      </c>
      <c r="M399" t="s">
        <v>7</v>
      </c>
      <c r="N399" t="s">
        <v>7</v>
      </c>
      <c r="P399">
        <f t="shared" si="975"/>
        <v>-0.30303030303030254</v>
      </c>
      <c r="Q399">
        <f t="shared" si="976"/>
        <v>-28091904.999999955</v>
      </c>
      <c r="R399">
        <f t="shared" si="977"/>
        <v>405292912.32008815</v>
      </c>
      <c r="S399">
        <f t="shared" si="978"/>
        <v>4052.9291232008813</v>
      </c>
      <c r="T399">
        <f t="shared" si="979"/>
        <v>4.0529291232008813</v>
      </c>
    </row>
    <row r="400" spans="1:20" x14ac:dyDescent="0.25">
      <c r="A400" s="5">
        <v>44193</v>
      </c>
      <c r="B400">
        <v>4.9800000000000001E-3</v>
      </c>
      <c r="C400">
        <v>5.1799999999999997E-3</v>
      </c>
      <c r="D400">
        <v>4.8399999999999997E-3</v>
      </c>
      <c r="E400">
        <v>5.0099999999999997E-3</v>
      </c>
      <c r="F400">
        <v>79586873.200000003</v>
      </c>
      <c r="G400">
        <v>0</v>
      </c>
      <c r="L400" t="s">
        <v>8</v>
      </c>
      <c r="M400" t="s">
        <v>8</v>
      </c>
      <c r="N400" t="s">
        <v>7</v>
      </c>
      <c r="P400">
        <f t="shared" si="975"/>
        <v>0</v>
      </c>
      <c r="Q400">
        <f t="shared" si="976"/>
        <v>0</v>
      </c>
      <c r="R400">
        <f t="shared" si="977"/>
        <v>433384817.32008809</v>
      </c>
      <c r="S400">
        <f t="shared" si="978"/>
        <v>4333.8481732008813</v>
      </c>
      <c r="T400">
        <f t="shared" si="979"/>
        <v>4.3338481732008809</v>
      </c>
    </row>
    <row r="401" spans="1:20" x14ac:dyDescent="0.25">
      <c r="A401" s="5">
        <v>44192</v>
      </c>
      <c r="B401">
        <v>4.7999999999999996E-3</v>
      </c>
      <c r="C401">
        <v>5.3600000000000002E-3</v>
      </c>
      <c r="D401">
        <v>4.5700000000000003E-3</v>
      </c>
      <c r="E401">
        <v>4.9699999999999996E-3</v>
      </c>
      <c r="F401">
        <v>117437779</v>
      </c>
      <c r="G401">
        <v>0</v>
      </c>
      <c r="L401" t="s">
        <v>7</v>
      </c>
      <c r="M401" t="s">
        <v>8</v>
      </c>
      <c r="N401" t="s">
        <v>7</v>
      </c>
      <c r="P401">
        <f t="shared" si="975"/>
        <v>1.2658227848099654E-2</v>
      </c>
      <c r="Q401">
        <f t="shared" si="976"/>
        <v>1486554.1645567727</v>
      </c>
      <c r="R401">
        <f t="shared" si="977"/>
        <v>433384817.32008809</v>
      </c>
      <c r="S401">
        <f t="shared" si="978"/>
        <v>4333.8481732008813</v>
      </c>
      <c r="T401">
        <f t="shared" si="979"/>
        <v>4.3338481732008809</v>
      </c>
    </row>
    <row r="402" spans="1:20" x14ac:dyDescent="0.25">
      <c r="A402" s="5">
        <v>44191</v>
      </c>
      <c r="B402">
        <v>4.8199999999999996E-3</v>
      </c>
      <c r="C402">
        <v>5.3E-3</v>
      </c>
      <c r="D402">
        <v>4.7099999999999998E-3</v>
      </c>
      <c r="E402">
        <v>4.7999999999999996E-3</v>
      </c>
      <c r="F402">
        <v>148936686.69999999</v>
      </c>
      <c r="G402">
        <v>0</v>
      </c>
      <c r="L402" t="s">
        <v>8</v>
      </c>
      <c r="M402" t="s">
        <v>8</v>
      </c>
      <c r="N402" t="s">
        <v>7</v>
      </c>
      <c r="P402">
        <f t="shared" si="975"/>
        <v>-0.69491525423728895</v>
      </c>
      <c r="Q402">
        <f t="shared" si="976"/>
        <v>-103498375.50338994</v>
      </c>
      <c r="R402">
        <f t="shared" si="977"/>
        <v>431898263.15553129</v>
      </c>
      <c r="S402">
        <f t="shared" si="978"/>
        <v>4318.9826315553128</v>
      </c>
      <c r="T402">
        <f t="shared" si="979"/>
        <v>4.318982631555313</v>
      </c>
    </row>
    <row r="403" spans="1:20" x14ac:dyDescent="0.25">
      <c r="A403" s="5">
        <v>44190</v>
      </c>
      <c r="B403">
        <v>4.7600000000000003E-3</v>
      </c>
      <c r="C403">
        <v>5.0000000000000001E-3</v>
      </c>
      <c r="D403">
        <v>4.64E-3</v>
      </c>
      <c r="E403">
        <v>4.7999999999999996E-3</v>
      </c>
      <c r="F403">
        <v>53623360.700000003</v>
      </c>
      <c r="G403">
        <v>0</v>
      </c>
      <c r="L403" t="s">
        <v>8</v>
      </c>
      <c r="M403" t="s">
        <v>8</v>
      </c>
      <c r="N403" t="s">
        <v>7</v>
      </c>
      <c r="P403">
        <f t="shared" si="975"/>
        <v>-0.11111111111111378</v>
      </c>
      <c r="Q403">
        <f t="shared" si="976"/>
        <v>-5958151.1888890322</v>
      </c>
      <c r="R403">
        <f t="shared" si="977"/>
        <v>535396638.65892124</v>
      </c>
      <c r="S403">
        <f t="shared" si="978"/>
        <v>5353.9663865892126</v>
      </c>
      <c r="T403">
        <f t="shared" si="979"/>
        <v>5.3539663865892129</v>
      </c>
    </row>
    <row r="404" spans="1:20" x14ac:dyDescent="0.25">
      <c r="A404" s="5">
        <v>44189</v>
      </c>
      <c r="B404">
        <v>4.5500000000000002E-3</v>
      </c>
      <c r="C404">
        <v>4.8799999999999998E-3</v>
      </c>
      <c r="D404">
        <v>4.1900000000000001E-3</v>
      </c>
      <c r="E404">
        <v>4.7999999999999996E-3</v>
      </c>
      <c r="F404">
        <v>134600245.40000001</v>
      </c>
      <c r="G404">
        <v>0</v>
      </c>
      <c r="L404" t="s">
        <v>8</v>
      </c>
      <c r="M404" t="s">
        <v>7</v>
      </c>
      <c r="N404" t="s">
        <v>7</v>
      </c>
      <c r="P404">
        <f t="shared" si="975"/>
        <v>0.76811594202898481</v>
      </c>
      <c r="Q404">
        <f t="shared" si="976"/>
        <v>103388594.29275353</v>
      </c>
      <c r="R404">
        <f t="shared" si="977"/>
        <v>541354789.84781027</v>
      </c>
      <c r="S404">
        <f t="shared" si="978"/>
        <v>5413.547898478103</v>
      </c>
      <c r="T404">
        <f t="shared" si="979"/>
        <v>5.4135478984781029</v>
      </c>
    </row>
    <row r="405" spans="1:20" x14ac:dyDescent="0.25">
      <c r="A405" s="5">
        <v>44188</v>
      </c>
      <c r="B405">
        <v>5.5700000000000003E-3</v>
      </c>
      <c r="C405">
        <v>5.6100000000000004E-3</v>
      </c>
      <c r="D405">
        <v>4.13E-3</v>
      </c>
      <c r="E405">
        <v>4.5500000000000002E-3</v>
      </c>
      <c r="F405">
        <v>152252455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-0.43243243243243229</v>
      </c>
      <c r="Q405">
        <f t="shared" si="976"/>
        <v>-65838899.459459439</v>
      </c>
      <c r="R405">
        <f t="shared" si="977"/>
        <v>437966195.55505669</v>
      </c>
      <c r="S405">
        <f t="shared" si="978"/>
        <v>4379.6619555505667</v>
      </c>
      <c r="T405">
        <f t="shared" si="979"/>
        <v>4.3796619555505671</v>
      </c>
    </row>
    <row r="406" spans="1:20" x14ac:dyDescent="0.25">
      <c r="A406" s="5">
        <v>44187</v>
      </c>
      <c r="B406">
        <v>5.3E-3</v>
      </c>
      <c r="C406">
        <v>5.79E-3</v>
      </c>
      <c r="D406">
        <v>5.0299999999999997E-3</v>
      </c>
      <c r="E406">
        <v>5.5599999999999998E-3</v>
      </c>
      <c r="F406">
        <v>56852509</v>
      </c>
      <c r="G406">
        <v>0</v>
      </c>
      <c r="L406" t="s">
        <v>7</v>
      </c>
      <c r="M406" t="s">
        <v>7</v>
      </c>
      <c r="N406" t="s">
        <v>7</v>
      </c>
      <c r="P406">
        <f t="shared" si="975"/>
        <v>0.39473684210526294</v>
      </c>
      <c r="Q406">
        <f t="shared" si="976"/>
        <v>22441779.86842104</v>
      </c>
      <c r="R406">
        <f t="shared" si="977"/>
        <v>503805095.01451612</v>
      </c>
      <c r="S406">
        <f t="shared" si="978"/>
        <v>5038.0509501451616</v>
      </c>
      <c r="T406">
        <f t="shared" si="979"/>
        <v>5.0380509501451618</v>
      </c>
    </row>
    <row r="407" spans="1:20" x14ac:dyDescent="0.25">
      <c r="A407" s="5">
        <v>44186</v>
      </c>
      <c r="B407">
        <v>5.7400000000000003E-3</v>
      </c>
      <c r="C407">
        <v>5.9500000000000004E-3</v>
      </c>
      <c r="D407">
        <v>5.0899999999999999E-3</v>
      </c>
      <c r="E407">
        <v>5.3E-3</v>
      </c>
      <c r="F407">
        <v>100483867</v>
      </c>
      <c r="G407">
        <v>0</v>
      </c>
      <c r="L407" t="s">
        <v>7</v>
      </c>
      <c r="M407" t="s">
        <v>7</v>
      </c>
      <c r="N407" t="s">
        <v>7</v>
      </c>
      <c r="P407">
        <f t="shared" si="975"/>
        <v>-0.51162790697674421</v>
      </c>
      <c r="Q407">
        <f t="shared" si="976"/>
        <v>-51410350.55813954</v>
      </c>
      <c r="R407">
        <f t="shared" si="977"/>
        <v>481363315.1460951</v>
      </c>
      <c r="S407">
        <f t="shared" si="978"/>
        <v>4813.633151460951</v>
      </c>
      <c r="T407">
        <f t="shared" si="979"/>
        <v>4.8136331514609507</v>
      </c>
    </row>
    <row r="408" spans="1:20" x14ac:dyDescent="0.25">
      <c r="A408" s="5">
        <v>44185</v>
      </c>
      <c r="B408">
        <v>5.62E-3</v>
      </c>
      <c r="C408">
        <v>6.0000000000000001E-3</v>
      </c>
      <c r="D408">
        <v>5.3600000000000002E-3</v>
      </c>
      <c r="E408">
        <v>5.7400000000000003E-3</v>
      </c>
      <c r="F408">
        <v>127564783.3</v>
      </c>
      <c r="G408">
        <v>0</v>
      </c>
      <c r="L408" t="s">
        <v>8</v>
      </c>
      <c r="M408" t="s">
        <v>8</v>
      </c>
      <c r="N408" t="s">
        <v>7</v>
      </c>
      <c r="P408">
        <f t="shared" si="975"/>
        <v>0.1875000000000005</v>
      </c>
      <c r="Q408">
        <f t="shared" si="976"/>
        <v>23918396.868750062</v>
      </c>
      <c r="R408">
        <f t="shared" si="977"/>
        <v>532773665.70423466</v>
      </c>
      <c r="S408">
        <f t="shared" si="978"/>
        <v>5327.7366570423465</v>
      </c>
      <c r="T408">
        <f t="shared" si="979"/>
        <v>5.3277366570423466</v>
      </c>
    </row>
    <row r="409" spans="1:20" x14ac:dyDescent="0.25">
      <c r="A409" s="5">
        <v>44184</v>
      </c>
      <c r="B409">
        <v>5.7200000000000003E-3</v>
      </c>
      <c r="C409">
        <v>5.8700000000000002E-3</v>
      </c>
      <c r="D409">
        <v>5.4799999999999996E-3</v>
      </c>
      <c r="E409">
        <v>5.62E-3</v>
      </c>
      <c r="F409">
        <v>98010589.900000006</v>
      </c>
      <c r="G409">
        <v>0</v>
      </c>
      <c r="L409" t="s">
        <v>8</v>
      </c>
      <c r="M409" t="s">
        <v>8</v>
      </c>
      <c r="N409" t="s">
        <v>7</v>
      </c>
      <c r="P409">
        <f t="shared" si="975"/>
        <v>-0.28205128205128127</v>
      </c>
      <c r="Q409">
        <f t="shared" si="976"/>
        <v>-27644012.535897363</v>
      </c>
      <c r="R409">
        <f t="shared" si="977"/>
        <v>508855268.83548462</v>
      </c>
      <c r="S409">
        <f t="shared" si="978"/>
        <v>5088.5526883548464</v>
      </c>
      <c r="T409">
        <f t="shared" si="979"/>
        <v>5.088552688354846</v>
      </c>
    </row>
    <row r="410" spans="1:20" x14ac:dyDescent="0.25">
      <c r="A410" s="5">
        <v>44183</v>
      </c>
      <c r="B410">
        <v>5.3200000000000001E-3</v>
      </c>
      <c r="C410">
        <v>5.7999999999999996E-3</v>
      </c>
      <c r="D410">
        <v>5.1700000000000001E-3</v>
      </c>
      <c r="E410">
        <v>5.7200000000000003E-3</v>
      </c>
      <c r="F410">
        <v>82509727</v>
      </c>
      <c r="G410">
        <v>0</v>
      </c>
      <c r="L410" t="s">
        <v>7</v>
      </c>
      <c r="M410" t="s">
        <v>8</v>
      </c>
      <c r="N410" t="s">
        <v>7</v>
      </c>
      <c r="P410">
        <f t="shared" si="975"/>
        <v>0.74603174603174793</v>
      </c>
      <c r="Q410">
        <f t="shared" si="976"/>
        <v>61554875.698412858</v>
      </c>
      <c r="R410">
        <f t="shared" si="977"/>
        <v>536499281.371382</v>
      </c>
      <c r="S410">
        <f t="shared" si="978"/>
        <v>5364.9928137138204</v>
      </c>
      <c r="T410">
        <f t="shared" si="979"/>
        <v>5.3649928137138208</v>
      </c>
    </row>
    <row r="411" spans="1:20" x14ac:dyDescent="0.25">
      <c r="A411" s="5">
        <v>44182</v>
      </c>
      <c r="B411">
        <v>5.6600000000000001E-3</v>
      </c>
      <c r="C411">
        <v>5.7000000000000002E-3</v>
      </c>
      <c r="D411">
        <v>5.2100000000000002E-3</v>
      </c>
      <c r="E411">
        <v>5.3499999999999997E-3</v>
      </c>
      <c r="F411">
        <v>141042506.19999999</v>
      </c>
      <c r="G411">
        <v>0</v>
      </c>
      <c r="L411" t="s">
        <v>8</v>
      </c>
      <c r="M411" t="s">
        <v>8</v>
      </c>
      <c r="N411" t="s">
        <v>7</v>
      </c>
      <c r="P411">
        <f t="shared" si="975"/>
        <v>-0.4285714285714306</v>
      </c>
      <c r="Q411">
        <f t="shared" si="976"/>
        <v>-60446788.371428855</v>
      </c>
      <c r="R411">
        <f t="shared" si="977"/>
        <v>474944405.67296916</v>
      </c>
      <c r="S411">
        <f t="shared" si="978"/>
        <v>4749.4440567296915</v>
      </c>
      <c r="T411">
        <f t="shared" si="979"/>
        <v>4.7494440567296916</v>
      </c>
    </row>
    <row r="412" spans="1:20" x14ac:dyDescent="0.25">
      <c r="A412" s="5">
        <v>44181</v>
      </c>
      <c r="B412">
        <v>5.3699999999999998E-3</v>
      </c>
      <c r="C412">
        <v>5.6600000000000001E-3</v>
      </c>
      <c r="D412">
        <v>5.1799999999999997E-3</v>
      </c>
      <c r="E412">
        <v>5.6600000000000001E-3</v>
      </c>
      <c r="F412">
        <v>175975309.30000001</v>
      </c>
      <c r="G412">
        <v>0</v>
      </c>
      <c r="L412" t="s">
        <v>8</v>
      </c>
      <c r="M412" t="s">
        <v>8</v>
      </c>
      <c r="N412" t="s">
        <v>7</v>
      </c>
      <c r="P412">
        <f t="shared" si="975"/>
        <v>1</v>
      </c>
      <c r="Q412">
        <f t="shared" si="976"/>
        <v>175975309.30000001</v>
      </c>
      <c r="R412">
        <f t="shared" si="977"/>
        <v>535391194.04439801</v>
      </c>
      <c r="S412">
        <f t="shared" si="978"/>
        <v>5353.9119404439798</v>
      </c>
      <c r="T412">
        <f t="shared" si="979"/>
        <v>5.3539119404439797</v>
      </c>
    </row>
    <row r="413" spans="1:20" x14ac:dyDescent="0.25">
      <c r="A413" s="5">
        <v>44180</v>
      </c>
      <c r="B413">
        <v>5.0000000000000001E-3</v>
      </c>
      <c r="C413">
        <v>5.3899999999999998E-3</v>
      </c>
      <c r="D413">
        <v>4.9699999999999996E-3</v>
      </c>
      <c r="E413">
        <v>5.3600000000000002E-3</v>
      </c>
      <c r="F413">
        <v>79569187.200000003</v>
      </c>
      <c r="G413">
        <v>0</v>
      </c>
      <c r="L413" t="s">
        <v>8</v>
      </c>
      <c r="M413" t="s">
        <v>7</v>
      </c>
      <c r="N413" t="s">
        <v>7</v>
      </c>
      <c r="P413">
        <f t="shared" si="975"/>
        <v>0.85714285714285887</v>
      </c>
      <c r="Q413">
        <f t="shared" si="976"/>
        <v>68202160.457142994</v>
      </c>
      <c r="R413">
        <f t="shared" si="977"/>
        <v>359415884.744398</v>
      </c>
      <c r="S413">
        <f t="shared" si="978"/>
        <v>3594.15884744398</v>
      </c>
      <c r="T413">
        <f t="shared" si="979"/>
        <v>3.5941588474439801</v>
      </c>
    </row>
    <row r="414" spans="1:20" x14ac:dyDescent="0.25">
      <c r="A414" s="5">
        <v>44179</v>
      </c>
      <c r="B414">
        <v>5.2100000000000002E-3</v>
      </c>
      <c r="C414">
        <v>5.2300000000000003E-3</v>
      </c>
      <c r="D414">
        <v>4.9699999999999996E-3</v>
      </c>
      <c r="E414">
        <v>5.0000000000000001E-3</v>
      </c>
      <c r="F414">
        <v>79589271.700000003</v>
      </c>
      <c r="G414">
        <v>0</v>
      </c>
      <c r="L414" t="s">
        <v>7</v>
      </c>
      <c r="M414" t="s">
        <v>7</v>
      </c>
      <c r="N414" t="s">
        <v>7</v>
      </c>
      <c r="P414">
        <f t="shared" si="975"/>
        <v>-0.76923076923076594</v>
      </c>
      <c r="Q414">
        <f t="shared" si="976"/>
        <v>-61222516.692307435</v>
      </c>
      <c r="R414">
        <f t="shared" si="977"/>
        <v>291213724.28725499</v>
      </c>
      <c r="S414">
        <f t="shared" si="978"/>
        <v>2912.1372428725499</v>
      </c>
      <c r="T414">
        <f t="shared" si="979"/>
        <v>2.91213724287255</v>
      </c>
    </row>
    <row r="415" spans="1:20" x14ac:dyDescent="0.25">
      <c r="A415" s="5">
        <v>44178</v>
      </c>
      <c r="B415">
        <v>5.1700000000000001E-3</v>
      </c>
      <c r="C415">
        <v>5.4000000000000003E-3</v>
      </c>
      <c r="D415">
        <v>5.0299999999999997E-3</v>
      </c>
      <c r="E415">
        <v>5.2199999999999998E-3</v>
      </c>
      <c r="F415">
        <v>107595384.3</v>
      </c>
      <c r="G415">
        <v>0</v>
      </c>
      <c r="L415" t="s">
        <v>8</v>
      </c>
      <c r="M415" t="s">
        <v>7</v>
      </c>
      <c r="N415" t="s">
        <v>7</v>
      </c>
      <c r="P415">
        <f t="shared" si="975"/>
        <v>2.7027027027025887E-2</v>
      </c>
      <c r="Q415">
        <f t="shared" si="976"/>
        <v>2907983.3594593368</v>
      </c>
      <c r="R415">
        <f t="shared" si="977"/>
        <v>352436240.9795624</v>
      </c>
      <c r="S415">
        <f t="shared" si="978"/>
        <v>3524.362409795624</v>
      </c>
      <c r="T415">
        <f t="shared" si="979"/>
        <v>3.5243624097956241</v>
      </c>
    </row>
    <row r="416" spans="1:20" x14ac:dyDescent="0.25">
      <c r="A416" s="5">
        <v>44177</v>
      </c>
      <c r="B416">
        <v>4.7000000000000002E-3</v>
      </c>
      <c r="C416">
        <v>5.2100000000000002E-3</v>
      </c>
      <c r="D416">
        <v>4.6800000000000001E-3</v>
      </c>
      <c r="E416">
        <v>5.1799999999999997E-3</v>
      </c>
      <c r="F416">
        <v>59054496.200000003</v>
      </c>
      <c r="G416">
        <v>0</v>
      </c>
      <c r="L416" t="s">
        <v>8</v>
      </c>
      <c r="M416" t="s">
        <v>7</v>
      </c>
      <c r="N416" t="s">
        <v>7</v>
      </c>
      <c r="P416">
        <f t="shared" si="975"/>
        <v>0.88679245283018682</v>
      </c>
      <c r="Q416">
        <f t="shared" si="976"/>
        <v>52369081.535848953</v>
      </c>
      <c r="R416">
        <f t="shared" si="977"/>
        <v>349528257.62010306</v>
      </c>
      <c r="S416">
        <f t="shared" si="978"/>
        <v>3495.2825762010307</v>
      </c>
      <c r="T416">
        <f t="shared" si="979"/>
        <v>3.4952825762010309</v>
      </c>
    </row>
    <row r="417" spans="1:20" x14ac:dyDescent="0.25">
      <c r="A417" s="5">
        <v>44176</v>
      </c>
      <c r="B417">
        <v>4.9899999999999996E-3</v>
      </c>
      <c r="C417">
        <v>5.0000000000000001E-3</v>
      </c>
      <c r="D417">
        <v>4.64E-3</v>
      </c>
      <c r="E417">
        <v>4.7099999999999998E-3</v>
      </c>
      <c r="F417">
        <v>51978908.600000001</v>
      </c>
      <c r="G417">
        <v>0</v>
      </c>
      <c r="L417" t="s">
        <v>7</v>
      </c>
      <c r="M417" t="s">
        <v>7</v>
      </c>
      <c r="N417" t="s">
        <v>7</v>
      </c>
      <c r="P417">
        <f t="shared" si="975"/>
        <v>-0.6111111111111126</v>
      </c>
      <c r="Q417">
        <f t="shared" si="976"/>
        <v>-31764888.588888966</v>
      </c>
      <c r="R417">
        <f t="shared" si="977"/>
        <v>297159176.08425409</v>
      </c>
      <c r="S417">
        <f t="shared" si="978"/>
        <v>2971.5917608425407</v>
      </c>
      <c r="T417">
        <f t="shared" si="979"/>
        <v>2.9715917608425406</v>
      </c>
    </row>
    <row r="418" spans="1:20" x14ac:dyDescent="0.25">
      <c r="A418" s="5">
        <v>44175</v>
      </c>
      <c r="B418">
        <v>5.0699999999999999E-3</v>
      </c>
      <c r="C418">
        <v>5.1399999999999996E-3</v>
      </c>
      <c r="D418">
        <v>4.79E-3</v>
      </c>
      <c r="E418">
        <v>4.9800000000000001E-3</v>
      </c>
      <c r="F418">
        <v>48372788.799999997</v>
      </c>
      <c r="G418">
        <v>0</v>
      </c>
      <c r="L418" t="s">
        <v>8</v>
      </c>
      <c r="M418" t="s">
        <v>7</v>
      </c>
      <c r="N418" t="s">
        <v>7</v>
      </c>
      <c r="P418">
        <f t="shared" si="975"/>
        <v>8.5714285714287269E-2</v>
      </c>
      <c r="Q418">
        <f t="shared" si="976"/>
        <v>4146239.040000075</v>
      </c>
      <c r="R418">
        <f t="shared" si="977"/>
        <v>328924064.67314303</v>
      </c>
      <c r="S418">
        <f t="shared" si="978"/>
        <v>3289.2406467314304</v>
      </c>
      <c r="T418">
        <f t="shared" si="979"/>
        <v>3.2892406467314306</v>
      </c>
    </row>
    <row r="419" spans="1:20" x14ac:dyDescent="0.25">
      <c r="A419" s="5">
        <v>44174</v>
      </c>
      <c r="B419">
        <v>4.7000000000000002E-3</v>
      </c>
      <c r="C419">
        <v>5.1000000000000004E-3</v>
      </c>
      <c r="D419">
        <v>4.5999999999999999E-3</v>
      </c>
      <c r="E419">
        <v>5.0499999999999998E-3</v>
      </c>
      <c r="F419">
        <v>77238534.099999994</v>
      </c>
      <c r="G419">
        <v>0</v>
      </c>
      <c r="L419" t="s">
        <v>8</v>
      </c>
      <c r="M419" t="s">
        <v>7</v>
      </c>
      <c r="N419" t="s">
        <v>7</v>
      </c>
      <c r="P419">
        <f t="shared" si="975"/>
        <v>0.79999999999999793</v>
      </c>
      <c r="Q419">
        <f t="shared" si="976"/>
        <v>61790827.279999837</v>
      </c>
      <c r="R419">
        <f t="shared" si="977"/>
        <v>324777825.63314295</v>
      </c>
      <c r="S419">
        <f t="shared" si="978"/>
        <v>3247.7782563314295</v>
      </c>
      <c r="T419">
        <f t="shared" si="979"/>
        <v>3.2477782563314297</v>
      </c>
    </row>
    <row r="420" spans="1:20" x14ac:dyDescent="0.25">
      <c r="A420" s="5">
        <v>44173</v>
      </c>
      <c r="B420">
        <v>5.4099999999999999E-3</v>
      </c>
      <c r="C420">
        <v>5.4400000000000004E-3</v>
      </c>
      <c r="D420">
        <v>4.6100000000000004E-3</v>
      </c>
      <c r="E420">
        <v>4.6899999999999997E-3</v>
      </c>
      <c r="F420">
        <v>147574633.90000001</v>
      </c>
      <c r="G420">
        <v>0</v>
      </c>
      <c r="L420" t="s">
        <v>7</v>
      </c>
      <c r="M420" t="s">
        <v>7</v>
      </c>
      <c r="N420" t="s">
        <v>7</v>
      </c>
      <c r="P420">
        <f t="shared" si="975"/>
        <v>-0.8072289156626522</v>
      </c>
      <c r="Q420">
        <f t="shared" si="976"/>
        <v>-119126511.70240988</v>
      </c>
      <c r="R420">
        <f t="shared" si="977"/>
        <v>262986998.3531431</v>
      </c>
      <c r="S420">
        <f t="shared" si="978"/>
        <v>2629.869983531431</v>
      </c>
      <c r="T420">
        <f t="shared" si="979"/>
        <v>2.6298699835314312</v>
      </c>
    </row>
    <row r="421" spans="1:20" x14ac:dyDescent="0.25">
      <c r="A421" s="5">
        <v>44172</v>
      </c>
      <c r="B421">
        <v>5.1200000000000004E-3</v>
      </c>
      <c r="C421">
        <v>5.5999999999999999E-3</v>
      </c>
      <c r="D421">
        <v>5.0299999999999997E-3</v>
      </c>
      <c r="E421">
        <v>5.4000000000000003E-3</v>
      </c>
      <c r="F421">
        <v>139972427.69999999</v>
      </c>
      <c r="G421">
        <v>0</v>
      </c>
      <c r="L421" t="s">
        <v>8</v>
      </c>
      <c r="M421" t="s">
        <v>7</v>
      </c>
      <c r="N421" t="s">
        <v>7</v>
      </c>
      <c r="P421">
        <f t="shared" si="975"/>
        <v>0.29824561403508915</v>
      </c>
      <c r="Q421">
        <f t="shared" si="976"/>
        <v>41746162.647368617</v>
      </c>
      <c r="R421">
        <f t="shared" si="977"/>
        <v>382113510.05555296</v>
      </c>
      <c r="S421">
        <f t="shared" si="978"/>
        <v>3821.1351005555298</v>
      </c>
      <c r="T421">
        <f t="shared" si="979"/>
        <v>3.8211351005555296</v>
      </c>
    </row>
    <row r="422" spans="1:20" x14ac:dyDescent="0.25">
      <c r="A422" s="5">
        <v>44171</v>
      </c>
      <c r="B422">
        <v>5.3400000000000001E-3</v>
      </c>
      <c r="C422">
        <v>5.3699999999999998E-3</v>
      </c>
      <c r="D422">
        <v>5.0499999999999998E-3</v>
      </c>
      <c r="E422">
        <v>5.1200000000000004E-3</v>
      </c>
      <c r="F422">
        <v>67555181.900000006</v>
      </c>
      <c r="G422">
        <v>0</v>
      </c>
      <c r="L422" t="s">
        <v>7</v>
      </c>
      <c r="M422" t="s">
        <v>7</v>
      </c>
      <c r="N422" t="s">
        <v>7</v>
      </c>
      <c r="P422">
        <f t="shared" si="975"/>
        <v>-0.56249999999999611</v>
      </c>
      <c r="Q422">
        <f t="shared" si="976"/>
        <v>-37999789.818749741</v>
      </c>
      <c r="R422">
        <f t="shared" si="977"/>
        <v>340367347.40818435</v>
      </c>
      <c r="S422">
        <f t="shared" si="978"/>
        <v>3403.6734740818433</v>
      </c>
      <c r="T422">
        <f t="shared" si="979"/>
        <v>3.4036734740818435</v>
      </c>
    </row>
    <row r="423" spans="1:20" x14ac:dyDescent="0.25">
      <c r="A423" s="5">
        <v>44170</v>
      </c>
      <c r="B423">
        <v>5.28E-3</v>
      </c>
      <c r="C423">
        <v>5.4000000000000003E-3</v>
      </c>
      <c r="D423">
        <v>5.1200000000000004E-3</v>
      </c>
      <c r="E423">
        <v>5.3299999999999997E-3</v>
      </c>
      <c r="F423">
        <v>48927052.799999997</v>
      </c>
      <c r="G423">
        <v>0</v>
      </c>
      <c r="L423" t="s">
        <v>7</v>
      </c>
      <c r="M423" t="s">
        <v>7</v>
      </c>
      <c r="N423" t="s">
        <v>7</v>
      </c>
      <c r="P423">
        <f t="shared" si="975"/>
        <v>0.49999999999999534</v>
      </c>
      <c r="Q423">
        <f t="shared" si="976"/>
        <v>24463526.399999771</v>
      </c>
      <c r="R423">
        <f t="shared" si="977"/>
        <v>378367137.22693408</v>
      </c>
      <c r="S423">
        <f t="shared" si="978"/>
        <v>3783.6713722693407</v>
      </c>
      <c r="T423">
        <f t="shared" si="979"/>
        <v>3.7836713722693407</v>
      </c>
    </row>
    <row r="424" spans="1:20" x14ac:dyDescent="0.25">
      <c r="A424" s="5">
        <v>44169</v>
      </c>
      <c r="B424">
        <v>5.62E-3</v>
      </c>
      <c r="C424">
        <v>5.6600000000000001E-3</v>
      </c>
      <c r="D424">
        <v>5.1700000000000001E-3</v>
      </c>
      <c r="E424">
        <v>5.2700000000000004E-3</v>
      </c>
      <c r="F424">
        <v>65072272.5</v>
      </c>
      <c r="G424">
        <v>0</v>
      </c>
      <c r="L424" t="s">
        <v>7</v>
      </c>
      <c r="M424" t="s">
        <v>7</v>
      </c>
      <c r="N424" t="s">
        <v>7</v>
      </c>
      <c r="P424">
        <f t="shared" si="975"/>
        <v>-0.59183673469387643</v>
      </c>
      <c r="Q424">
        <f t="shared" si="976"/>
        <v>-38512161.275510132</v>
      </c>
      <c r="R424">
        <f t="shared" si="977"/>
        <v>353903610.82693428</v>
      </c>
      <c r="S424">
        <f t="shared" si="978"/>
        <v>3539.036108269343</v>
      </c>
      <c r="T424">
        <f t="shared" si="979"/>
        <v>3.5390361082693431</v>
      </c>
    </row>
    <row r="425" spans="1:20" x14ac:dyDescent="0.25">
      <c r="A425" s="5">
        <v>44168</v>
      </c>
      <c r="B425">
        <v>5.6699999999999997E-3</v>
      </c>
      <c r="C425">
        <v>5.8700000000000002E-3</v>
      </c>
      <c r="D425">
        <v>5.5599999999999998E-3</v>
      </c>
      <c r="E425">
        <v>5.62E-3</v>
      </c>
      <c r="F425">
        <v>99046844.400000006</v>
      </c>
      <c r="G425">
        <v>0</v>
      </c>
      <c r="L425" t="s">
        <v>8</v>
      </c>
      <c r="M425" t="s">
        <v>7</v>
      </c>
      <c r="N425" t="s">
        <v>7</v>
      </c>
      <c r="P425">
        <f t="shared" si="975"/>
        <v>-0.61290322580645107</v>
      </c>
      <c r="Q425">
        <f t="shared" si="976"/>
        <v>-60706130.438709624</v>
      </c>
      <c r="R425">
        <f t="shared" si="977"/>
        <v>392415772.10244441</v>
      </c>
      <c r="S425">
        <f t="shared" si="978"/>
        <v>3924.1577210244441</v>
      </c>
      <c r="T425">
        <f t="shared" si="979"/>
        <v>3.9241577210244443</v>
      </c>
    </row>
    <row r="426" spans="1:20" x14ac:dyDescent="0.25">
      <c r="A426" s="5">
        <v>44167</v>
      </c>
      <c r="B426">
        <v>5.5900000000000004E-3</v>
      </c>
      <c r="C426">
        <v>5.8999999999999999E-3</v>
      </c>
      <c r="D426">
        <v>5.3699999999999998E-3</v>
      </c>
      <c r="E426">
        <v>5.6600000000000001E-3</v>
      </c>
      <c r="F426">
        <v>120087506.7</v>
      </c>
      <c r="G426">
        <v>0</v>
      </c>
      <c r="L426" t="s">
        <v>8</v>
      </c>
      <c r="M426" t="s">
        <v>7</v>
      </c>
      <c r="N426" t="s">
        <v>7</v>
      </c>
      <c r="P426">
        <f t="shared" si="975"/>
        <v>9.4339622641510482E-2</v>
      </c>
      <c r="Q426">
        <f t="shared" si="976"/>
        <v>11329010.066037862</v>
      </c>
      <c r="R426">
        <f t="shared" si="977"/>
        <v>453121902.54115403</v>
      </c>
      <c r="S426">
        <f t="shared" si="978"/>
        <v>4531.2190254115403</v>
      </c>
      <c r="T426">
        <f t="shared" si="979"/>
        <v>4.5312190254115405</v>
      </c>
    </row>
    <row r="427" spans="1:20" x14ac:dyDescent="0.25">
      <c r="A427" s="5">
        <v>44166</v>
      </c>
      <c r="B427">
        <v>5.7499999999999999E-3</v>
      </c>
      <c r="C427">
        <v>6.1000000000000004E-3</v>
      </c>
      <c r="D427">
        <v>5.0499999999999998E-3</v>
      </c>
      <c r="E427">
        <v>5.6299999999999996E-3</v>
      </c>
      <c r="F427">
        <v>173532595.40000001</v>
      </c>
      <c r="G427">
        <v>0</v>
      </c>
      <c r="L427" t="s">
        <v>7</v>
      </c>
      <c r="M427" t="s">
        <v>7</v>
      </c>
      <c r="N427" t="s">
        <v>7</v>
      </c>
      <c r="P427">
        <f t="shared" si="975"/>
        <v>0.10476190476190374</v>
      </c>
      <c r="Q427">
        <f t="shared" si="976"/>
        <v>18179605.232380774</v>
      </c>
      <c r="R427">
        <f t="shared" si="977"/>
        <v>441792892.47511619</v>
      </c>
      <c r="S427">
        <f t="shared" si="978"/>
        <v>4417.9289247511615</v>
      </c>
      <c r="T427">
        <f t="shared" si="979"/>
        <v>4.4179289247511617</v>
      </c>
    </row>
    <row r="428" spans="1:20" x14ac:dyDescent="0.25">
      <c r="A428" s="5">
        <v>44165</v>
      </c>
      <c r="B428">
        <v>5.7200000000000003E-3</v>
      </c>
      <c r="C428">
        <v>5.8900000000000003E-3</v>
      </c>
      <c r="D428">
        <v>5.47E-3</v>
      </c>
      <c r="E428">
        <v>5.7499999999999999E-3</v>
      </c>
      <c r="F428">
        <v>128557473.09999999</v>
      </c>
      <c r="G428">
        <v>0</v>
      </c>
      <c r="L428" t="s">
        <v>7</v>
      </c>
      <c r="M428" t="s">
        <v>8</v>
      </c>
      <c r="N428" t="s">
        <v>7</v>
      </c>
      <c r="P428">
        <f t="shared" si="975"/>
        <v>0.33333333333333198</v>
      </c>
      <c r="Q428">
        <f t="shared" si="976"/>
        <v>42852491.03333316</v>
      </c>
      <c r="R428">
        <f t="shared" si="977"/>
        <v>423613287.24273545</v>
      </c>
      <c r="S428">
        <f t="shared" si="978"/>
        <v>4236.1328724273544</v>
      </c>
      <c r="T428">
        <f t="shared" si="979"/>
        <v>4.2361328724273548</v>
      </c>
    </row>
    <row r="429" spans="1:20" x14ac:dyDescent="0.25">
      <c r="A429" s="5">
        <v>44164</v>
      </c>
      <c r="B429">
        <v>5.6899999999999997E-3</v>
      </c>
      <c r="C429">
        <v>6.0699999999999999E-3</v>
      </c>
      <c r="D429">
        <v>5.5100000000000001E-3</v>
      </c>
      <c r="E429">
        <v>5.7099999999999998E-3</v>
      </c>
      <c r="F429">
        <v>165837570.19999999</v>
      </c>
      <c r="G429">
        <v>0</v>
      </c>
      <c r="L429" t="s">
        <v>8</v>
      </c>
      <c r="M429" t="s">
        <v>8</v>
      </c>
      <c r="N429" t="s">
        <v>7</v>
      </c>
      <c r="P429">
        <f t="shared" si="975"/>
        <v>-0.28571428571428659</v>
      </c>
      <c r="Q429">
        <f t="shared" si="976"/>
        <v>-47382162.914285854</v>
      </c>
      <c r="R429">
        <f t="shared" si="977"/>
        <v>380760796.20940226</v>
      </c>
      <c r="S429">
        <f t="shared" si="978"/>
        <v>3807.6079620940227</v>
      </c>
      <c r="T429">
        <f t="shared" si="979"/>
        <v>3.8076079620940226</v>
      </c>
    </row>
    <row r="430" spans="1:20" x14ac:dyDescent="0.25">
      <c r="A430" s="5">
        <v>44163</v>
      </c>
      <c r="B430">
        <v>5.1799999999999997E-3</v>
      </c>
      <c r="C430">
        <v>5.9300000000000004E-3</v>
      </c>
      <c r="D430">
        <v>5.0600000000000003E-3</v>
      </c>
      <c r="E430">
        <v>5.6899999999999997E-3</v>
      </c>
      <c r="F430">
        <v>90519935.5</v>
      </c>
      <c r="G430">
        <v>0</v>
      </c>
      <c r="L430" t="s">
        <v>8</v>
      </c>
      <c r="M430" t="s">
        <v>8</v>
      </c>
      <c r="N430" t="s">
        <v>7</v>
      </c>
      <c r="P430">
        <f t="shared" si="975"/>
        <v>0.44827586206896414</v>
      </c>
      <c r="Q430">
        <f t="shared" si="976"/>
        <v>40577902.120689534</v>
      </c>
      <c r="R430">
        <f t="shared" si="977"/>
        <v>428142959.1236881</v>
      </c>
      <c r="S430">
        <f t="shared" si="978"/>
        <v>4281.4295912368807</v>
      </c>
      <c r="T430">
        <f t="shared" si="979"/>
        <v>4.2814295912368809</v>
      </c>
    </row>
    <row r="431" spans="1:20" x14ac:dyDescent="0.25">
      <c r="A431" s="5">
        <v>44162</v>
      </c>
      <c r="B431">
        <v>5.4000000000000003E-3</v>
      </c>
      <c r="C431">
        <v>5.5799999999999999E-3</v>
      </c>
      <c r="D431">
        <v>4.8900000000000002E-3</v>
      </c>
      <c r="E431">
        <v>5.1900000000000002E-3</v>
      </c>
      <c r="F431">
        <v>96752726.299999997</v>
      </c>
      <c r="G431">
        <v>0</v>
      </c>
      <c r="L431" t="s">
        <v>8</v>
      </c>
      <c r="M431" t="s">
        <v>7</v>
      </c>
      <c r="N431" t="s">
        <v>7</v>
      </c>
      <c r="P431">
        <f t="shared" si="975"/>
        <v>-0.13043478260869543</v>
      </c>
      <c r="Q431">
        <f t="shared" si="976"/>
        <v>-12619920.821739107</v>
      </c>
      <c r="R431">
        <f t="shared" si="977"/>
        <v>387565057.00299859</v>
      </c>
      <c r="S431">
        <f t="shared" si="978"/>
        <v>3875.6505700299858</v>
      </c>
      <c r="T431">
        <f t="shared" si="979"/>
        <v>3.8756505700299857</v>
      </c>
    </row>
    <row r="432" spans="1:20" x14ac:dyDescent="0.25">
      <c r="A432" s="5">
        <v>44161</v>
      </c>
      <c r="B432">
        <v>6.3099999999999996E-3</v>
      </c>
      <c r="C432">
        <v>6.4999999999999997E-3</v>
      </c>
      <c r="D432">
        <v>4.79E-3</v>
      </c>
      <c r="E432">
        <v>5.3899999999999998E-3</v>
      </c>
      <c r="F432">
        <v>329732416.5</v>
      </c>
      <c r="G432">
        <v>0</v>
      </c>
      <c r="L432" t="s">
        <v>7</v>
      </c>
      <c r="M432" t="s">
        <v>7</v>
      </c>
      <c r="N432" t="s">
        <v>7</v>
      </c>
      <c r="P432">
        <f t="shared" si="975"/>
        <v>-0.29824561403508781</v>
      </c>
      <c r="Q432">
        <f t="shared" si="976"/>
        <v>-98341247.026315823</v>
      </c>
      <c r="R432">
        <f t="shared" si="977"/>
        <v>400184977.82473773</v>
      </c>
      <c r="S432">
        <f t="shared" si="978"/>
        <v>4001.8497782473773</v>
      </c>
      <c r="T432">
        <f t="shared" si="979"/>
        <v>4.0018497782473776</v>
      </c>
    </row>
    <row r="433" spans="1:20" x14ac:dyDescent="0.25">
      <c r="A433" s="5">
        <v>44160</v>
      </c>
      <c r="B433">
        <v>5.8700000000000002E-3</v>
      </c>
      <c r="C433">
        <v>7.2899999999999996E-3</v>
      </c>
      <c r="D433">
        <v>5.5900000000000004E-3</v>
      </c>
      <c r="E433">
        <v>6.3099999999999996E-3</v>
      </c>
      <c r="F433">
        <v>376958396.5</v>
      </c>
      <c r="G433">
        <v>0</v>
      </c>
      <c r="L433" t="s">
        <v>8</v>
      </c>
      <c r="M433" t="s">
        <v>8</v>
      </c>
      <c r="N433" t="s">
        <v>8</v>
      </c>
      <c r="P433">
        <f t="shared" si="975"/>
        <v>-0.15294117647058869</v>
      </c>
      <c r="Q433">
        <f t="shared" si="976"/>
        <v>-57652460.641176641</v>
      </c>
      <c r="R433">
        <f t="shared" si="977"/>
        <v>498526224.85105354</v>
      </c>
      <c r="S433">
        <f t="shared" si="978"/>
        <v>4985.2622485105358</v>
      </c>
      <c r="T433">
        <f t="shared" si="979"/>
        <v>4.9852622485105353</v>
      </c>
    </row>
    <row r="434" spans="1:20" x14ac:dyDescent="0.25">
      <c r="A434" s="5">
        <v>44159</v>
      </c>
      <c r="B434">
        <v>5.5900000000000004E-3</v>
      </c>
      <c r="C434">
        <v>6.1000000000000004E-3</v>
      </c>
      <c r="D434">
        <v>5.2399999999999999E-3</v>
      </c>
      <c r="E434">
        <v>5.8700000000000002E-3</v>
      </c>
      <c r="F434">
        <v>280957377.60000002</v>
      </c>
      <c r="G434">
        <v>0</v>
      </c>
      <c r="L434" t="s">
        <v>8</v>
      </c>
      <c r="M434" t="s">
        <v>8</v>
      </c>
      <c r="N434" t="s">
        <v>8</v>
      </c>
      <c r="P434">
        <f t="shared" si="975"/>
        <v>0.46511627906976738</v>
      </c>
      <c r="Q434">
        <f t="shared" si="976"/>
        <v>130677850.04651162</v>
      </c>
      <c r="R434">
        <f t="shared" si="977"/>
        <v>556178685.49223018</v>
      </c>
      <c r="S434">
        <f t="shared" si="978"/>
        <v>5561.7868549223022</v>
      </c>
      <c r="T434">
        <f t="shared" si="979"/>
        <v>5.5617868549223024</v>
      </c>
    </row>
    <row r="435" spans="1:20" x14ac:dyDescent="0.25">
      <c r="A435" s="5">
        <v>44158</v>
      </c>
      <c r="B435">
        <v>5.0600000000000003E-3</v>
      </c>
      <c r="C435">
        <v>5.7200000000000003E-3</v>
      </c>
      <c r="D435">
        <v>4.9100000000000003E-3</v>
      </c>
      <c r="E435">
        <v>5.5999999999999999E-3</v>
      </c>
      <c r="F435">
        <v>225094102.80000001</v>
      </c>
      <c r="G435">
        <v>0</v>
      </c>
      <c r="L435" t="s">
        <v>8</v>
      </c>
      <c r="M435" t="s">
        <v>8</v>
      </c>
      <c r="N435" t="s">
        <v>8</v>
      </c>
      <c r="P435">
        <f t="shared" si="975"/>
        <v>0.70370370370370294</v>
      </c>
      <c r="Q435">
        <f t="shared" si="976"/>
        <v>158399553.82222205</v>
      </c>
      <c r="R435">
        <f t="shared" si="977"/>
        <v>425500835.44571859</v>
      </c>
      <c r="S435">
        <f t="shared" si="978"/>
        <v>4255.0083544571862</v>
      </c>
      <c r="T435">
        <f t="shared" si="979"/>
        <v>4.2550083544571864</v>
      </c>
    </row>
    <row r="436" spans="1:20" x14ac:dyDescent="0.25">
      <c r="A436" s="5">
        <v>44157</v>
      </c>
      <c r="B436">
        <v>4.9399999999999999E-3</v>
      </c>
      <c r="C436">
        <v>5.3899999999999998E-3</v>
      </c>
      <c r="D436">
        <v>4.4600000000000004E-3</v>
      </c>
      <c r="E436">
        <v>5.0499999999999998E-3</v>
      </c>
      <c r="F436">
        <v>218085822.69999999</v>
      </c>
      <c r="G436">
        <v>0</v>
      </c>
      <c r="L436" t="s">
        <v>8</v>
      </c>
      <c r="M436" t="s">
        <v>8</v>
      </c>
      <c r="N436" t="s">
        <v>8</v>
      </c>
      <c r="P436">
        <f t="shared" si="975"/>
        <v>0.26881720430107475</v>
      </c>
      <c r="Q436">
        <f t="shared" si="976"/>
        <v>58625221.15591386</v>
      </c>
      <c r="R436">
        <f t="shared" si="977"/>
        <v>267101281.62349653</v>
      </c>
      <c r="S436">
        <f t="shared" si="978"/>
        <v>2671.0128162349652</v>
      </c>
      <c r="T436">
        <f t="shared" si="979"/>
        <v>2.6710128162349651</v>
      </c>
    </row>
    <row r="437" spans="1:20" x14ac:dyDescent="0.25">
      <c r="A437" s="5">
        <v>44156</v>
      </c>
      <c r="B437">
        <v>4.62E-3</v>
      </c>
      <c r="C437">
        <v>5.0000000000000001E-3</v>
      </c>
      <c r="D437">
        <v>4.5599999999999998E-3</v>
      </c>
      <c r="E437">
        <v>4.96E-3</v>
      </c>
      <c r="F437">
        <v>122167680.7</v>
      </c>
      <c r="G437">
        <v>0</v>
      </c>
      <c r="L437" t="s">
        <v>8</v>
      </c>
      <c r="M437" t="s">
        <v>8</v>
      </c>
      <c r="N437" t="s">
        <v>8</v>
      </c>
      <c r="P437">
        <f t="shared" si="975"/>
        <v>0.81818181818181779</v>
      </c>
      <c r="Q437">
        <f t="shared" si="976"/>
        <v>99955375.118181765</v>
      </c>
      <c r="R437">
        <f t="shared" si="977"/>
        <v>208476060.46758267</v>
      </c>
      <c r="S437">
        <f t="shared" si="978"/>
        <v>2084.7606046758269</v>
      </c>
      <c r="T437">
        <f t="shared" si="979"/>
        <v>2.0847606046758269</v>
      </c>
    </row>
    <row r="438" spans="1:20" x14ac:dyDescent="0.25">
      <c r="A438" s="5">
        <v>44155</v>
      </c>
      <c r="B438">
        <v>4.4099999999999999E-3</v>
      </c>
      <c r="C438">
        <v>4.7800000000000004E-3</v>
      </c>
      <c r="D438">
        <v>4.3E-3</v>
      </c>
      <c r="E438">
        <v>4.62E-3</v>
      </c>
      <c r="F438">
        <v>102641184</v>
      </c>
      <c r="G438">
        <v>0</v>
      </c>
      <c r="L438" t="s">
        <v>7</v>
      </c>
      <c r="M438" t="s">
        <v>7</v>
      </c>
      <c r="N438" t="s">
        <v>8</v>
      </c>
      <c r="P438">
        <f t="shared" si="975"/>
        <v>0.33333333333333215</v>
      </c>
      <c r="Q438">
        <f t="shared" si="976"/>
        <v>34213727.999999881</v>
      </c>
      <c r="R438">
        <f t="shared" si="977"/>
        <v>108520685.34940091</v>
      </c>
      <c r="S438">
        <f t="shared" si="978"/>
        <v>1085.206853494009</v>
      </c>
      <c r="T438">
        <f t="shared" si="979"/>
        <v>1.0852068534940089</v>
      </c>
    </row>
    <row r="439" spans="1:20" x14ac:dyDescent="0.25">
      <c r="A439" s="5">
        <v>44154</v>
      </c>
      <c r="B439">
        <v>4.3800000000000002E-3</v>
      </c>
      <c r="C439">
        <v>4.7800000000000004E-3</v>
      </c>
      <c r="D439">
        <v>4.1799999999999997E-3</v>
      </c>
      <c r="E439">
        <v>4.4000000000000003E-3</v>
      </c>
      <c r="F439">
        <v>85574155.900000006</v>
      </c>
      <c r="G439">
        <v>0</v>
      </c>
      <c r="L439" t="s">
        <v>8</v>
      </c>
      <c r="M439" t="s">
        <v>7</v>
      </c>
      <c r="N439" t="s">
        <v>8</v>
      </c>
      <c r="P439">
        <f t="shared" si="975"/>
        <v>-0.26666666666666561</v>
      </c>
      <c r="Q439">
        <f t="shared" si="976"/>
        <v>-22819774.906666577</v>
      </c>
      <c r="R439">
        <f t="shared" si="977"/>
        <v>74306957.349401027</v>
      </c>
      <c r="S439">
        <f t="shared" si="978"/>
        <v>743.06957349401023</v>
      </c>
      <c r="T439">
        <f t="shared" si="979"/>
        <v>0.74306957349401026</v>
      </c>
    </row>
    <row r="440" spans="1:20" x14ac:dyDescent="0.25">
      <c r="A440" s="5">
        <v>44153</v>
      </c>
      <c r="B440">
        <v>4.5700000000000003E-3</v>
      </c>
      <c r="C440">
        <v>4.6899999999999997E-3</v>
      </c>
      <c r="D440">
        <v>4.1399999999999996E-3</v>
      </c>
      <c r="E440">
        <v>4.3800000000000002E-3</v>
      </c>
      <c r="F440">
        <v>101147830.5</v>
      </c>
      <c r="G440">
        <v>0</v>
      </c>
      <c r="L440" t="s">
        <v>7</v>
      </c>
      <c r="M440" t="s">
        <v>7</v>
      </c>
      <c r="N440" t="s">
        <v>8</v>
      </c>
      <c r="P440">
        <f t="shared" si="975"/>
        <v>-0.12727272727272521</v>
      </c>
      <c r="Q440">
        <f t="shared" si="976"/>
        <v>-12873360.245454336</v>
      </c>
      <c r="R440">
        <f t="shared" si="977"/>
        <v>97126732.256067604</v>
      </c>
      <c r="S440">
        <f t="shared" si="978"/>
        <v>971.26732256067601</v>
      </c>
      <c r="T440">
        <f t="shared" si="979"/>
        <v>0.97126732256067605</v>
      </c>
    </row>
    <row r="441" spans="1:20" x14ac:dyDescent="0.25">
      <c r="A441" s="5">
        <v>44152</v>
      </c>
      <c r="B441">
        <v>4.4000000000000003E-3</v>
      </c>
      <c r="C441">
        <v>4.5799999999999999E-3</v>
      </c>
      <c r="D441">
        <v>4.28E-3</v>
      </c>
      <c r="E441">
        <v>4.5700000000000003E-3</v>
      </c>
      <c r="F441">
        <v>109046223.3</v>
      </c>
      <c r="G441">
        <v>0</v>
      </c>
      <c r="L441" t="s">
        <v>7</v>
      </c>
      <c r="M441" t="s">
        <v>7</v>
      </c>
      <c r="N441" t="s">
        <v>8</v>
      </c>
      <c r="P441">
        <f t="shared" si="975"/>
        <v>0.93333333333333601</v>
      </c>
      <c r="Q441">
        <f t="shared" si="976"/>
        <v>101776475.0800003</v>
      </c>
      <c r="R441">
        <f t="shared" si="977"/>
        <v>110000092.50152194</v>
      </c>
      <c r="S441">
        <f t="shared" si="978"/>
        <v>1100.0009250152195</v>
      </c>
      <c r="T441">
        <f t="shared" si="979"/>
        <v>1.1000009250152196</v>
      </c>
    </row>
    <row r="442" spans="1:20" x14ac:dyDescent="0.25">
      <c r="A442" s="5">
        <v>44151</v>
      </c>
      <c r="B442">
        <v>4.2500000000000003E-3</v>
      </c>
      <c r="C442">
        <v>4.5799999999999999E-3</v>
      </c>
      <c r="D442">
        <v>4.1999999999999997E-3</v>
      </c>
      <c r="E442">
        <v>4.3899999999999998E-3</v>
      </c>
      <c r="F442">
        <v>80627666.099999994</v>
      </c>
      <c r="G442">
        <v>0</v>
      </c>
      <c r="L442" t="s">
        <v>8</v>
      </c>
      <c r="M442" t="s">
        <v>7</v>
      </c>
      <c r="N442" t="s">
        <v>8</v>
      </c>
      <c r="P442">
        <f t="shared" si="975"/>
        <v>0</v>
      </c>
      <c r="Q442">
        <f t="shared" si="976"/>
        <v>0</v>
      </c>
      <c r="R442">
        <f t="shared" si="977"/>
        <v>8223617.421521645</v>
      </c>
      <c r="S442">
        <f t="shared" si="978"/>
        <v>82.236174215216451</v>
      </c>
      <c r="T442">
        <f t="shared" si="979"/>
        <v>8.2236174215216451E-2</v>
      </c>
    </row>
    <row r="443" spans="1:20" x14ac:dyDescent="0.25">
      <c r="A443" s="5">
        <v>44150</v>
      </c>
      <c r="B443">
        <v>4.4900000000000001E-3</v>
      </c>
      <c r="C443">
        <v>4.5799999999999999E-3</v>
      </c>
      <c r="D443">
        <v>4.1399999999999996E-3</v>
      </c>
      <c r="E443">
        <v>4.2399999999999998E-3</v>
      </c>
      <c r="F443">
        <v>59560571.299999997</v>
      </c>
      <c r="G443">
        <v>0</v>
      </c>
      <c r="L443" t="s">
        <v>7</v>
      </c>
      <c r="M443" t="s">
        <v>7</v>
      </c>
      <c r="N443" t="s">
        <v>8</v>
      </c>
      <c r="P443">
        <f t="shared" si="975"/>
        <v>-0.54545454545454453</v>
      </c>
      <c r="Q443">
        <f t="shared" si="976"/>
        <v>-32487584.345454488</v>
      </c>
      <c r="R443">
        <f t="shared" si="977"/>
        <v>8223617.421521645</v>
      </c>
      <c r="S443">
        <f t="shared" si="978"/>
        <v>82.236174215216451</v>
      </c>
      <c r="T443">
        <f t="shared" si="979"/>
        <v>8.2236174215216451E-2</v>
      </c>
    </row>
    <row r="444" spans="1:20" x14ac:dyDescent="0.25">
      <c r="A444" s="5">
        <v>44149</v>
      </c>
      <c r="B444">
        <v>4.5999999999999999E-3</v>
      </c>
      <c r="C444">
        <v>4.6499999999999996E-3</v>
      </c>
      <c r="D444">
        <v>4.3099999999999996E-3</v>
      </c>
      <c r="E444">
        <v>4.4999999999999997E-3</v>
      </c>
      <c r="F444">
        <v>49806572.700000003</v>
      </c>
      <c r="G444">
        <v>0</v>
      </c>
      <c r="L444" t="s">
        <v>7</v>
      </c>
      <c r="M444" t="s">
        <v>7</v>
      </c>
      <c r="N444" t="s">
        <v>8</v>
      </c>
      <c r="P444">
        <f t="shared" si="975"/>
        <v>0.11764705882352972</v>
      </c>
      <c r="Q444">
        <f t="shared" si="976"/>
        <v>5859596.7882353095</v>
      </c>
      <c r="R444">
        <f t="shared" si="977"/>
        <v>40711201.766976133</v>
      </c>
      <c r="S444">
        <f t="shared" si="978"/>
        <v>407.11201766976131</v>
      </c>
      <c r="T444">
        <f t="shared" si="979"/>
        <v>0.40711201766976129</v>
      </c>
    </row>
    <row r="445" spans="1:20" x14ac:dyDescent="0.25">
      <c r="A445" s="5">
        <v>44148</v>
      </c>
      <c r="B445">
        <v>4.4999999999999997E-3</v>
      </c>
      <c r="C445">
        <v>4.79E-3</v>
      </c>
      <c r="D445">
        <v>4.4600000000000004E-3</v>
      </c>
      <c r="E445">
        <v>4.5999999999999999E-3</v>
      </c>
      <c r="F445">
        <v>78974798.099999994</v>
      </c>
      <c r="G445">
        <v>0</v>
      </c>
      <c r="L445" t="s">
        <v>8</v>
      </c>
      <c r="M445" t="s">
        <v>7</v>
      </c>
      <c r="N445" t="s">
        <v>8</v>
      </c>
      <c r="P445">
        <f t="shared" si="975"/>
        <v>-0.15151515151515343</v>
      </c>
      <c r="Q445">
        <f t="shared" si="976"/>
        <v>-11965878.500000151</v>
      </c>
      <c r="R445">
        <f t="shared" si="977"/>
        <v>34851604.978740826</v>
      </c>
      <c r="S445">
        <f t="shared" si="978"/>
        <v>348.51604978740824</v>
      </c>
      <c r="T445">
        <f t="shared" si="979"/>
        <v>0.34851604978740824</v>
      </c>
    </row>
    <row r="446" spans="1:20" x14ac:dyDescent="0.25">
      <c r="A446" s="5">
        <v>44147</v>
      </c>
      <c r="B446">
        <v>4.81E-3</v>
      </c>
      <c r="C446">
        <v>4.8199999999999996E-3</v>
      </c>
      <c r="D446">
        <v>4.4400000000000004E-3</v>
      </c>
      <c r="E446">
        <v>4.5100000000000001E-3</v>
      </c>
      <c r="F446">
        <v>86137373.599999994</v>
      </c>
      <c r="G446">
        <v>0</v>
      </c>
      <c r="L446" t="s">
        <v>7</v>
      </c>
      <c r="M446" t="s">
        <v>7</v>
      </c>
      <c r="N446" t="s">
        <v>8</v>
      </c>
      <c r="P446">
        <f t="shared" si="975"/>
        <v>-0.63157894736842168</v>
      </c>
      <c r="Q446">
        <f t="shared" si="976"/>
        <v>-54402551.74736847</v>
      </c>
      <c r="R446">
        <f t="shared" si="977"/>
        <v>46817483.478740975</v>
      </c>
      <c r="S446">
        <f t="shared" si="978"/>
        <v>468.17483478740974</v>
      </c>
      <c r="T446">
        <f t="shared" si="979"/>
        <v>0.46817483478740973</v>
      </c>
    </row>
    <row r="447" spans="1:20" x14ac:dyDescent="0.25">
      <c r="A447" s="5">
        <v>44146</v>
      </c>
      <c r="B447">
        <v>4.7800000000000004E-3</v>
      </c>
      <c r="C447">
        <v>5.1500000000000001E-3</v>
      </c>
      <c r="D447">
        <v>4.6299999999999996E-3</v>
      </c>
      <c r="E447">
        <v>4.7800000000000004E-3</v>
      </c>
      <c r="F447">
        <v>136326290.40000001</v>
      </c>
      <c r="G447">
        <v>0</v>
      </c>
      <c r="L447" t="s">
        <v>7</v>
      </c>
      <c r="M447" t="s">
        <v>8</v>
      </c>
      <c r="N447" t="s">
        <v>8</v>
      </c>
      <c r="P447">
        <f t="shared" si="975"/>
        <v>-0.42307692307692046</v>
      </c>
      <c r="Q447">
        <f t="shared" si="976"/>
        <v>-57676507.476922721</v>
      </c>
      <c r="R447">
        <f t="shared" si="977"/>
        <v>101220035.22610945</v>
      </c>
      <c r="S447">
        <f t="shared" si="978"/>
        <v>1012.2003522610944</v>
      </c>
      <c r="T447">
        <f t="shared" si="979"/>
        <v>1.0122003522610945</v>
      </c>
    </row>
    <row r="448" spans="1:20" x14ac:dyDescent="0.25">
      <c r="A448" s="5">
        <v>44145</v>
      </c>
      <c r="B448">
        <v>4.5500000000000002E-3</v>
      </c>
      <c r="C448">
        <v>5.1999999999999998E-3</v>
      </c>
      <c r="D448">
        <v>4.5100000000000001E-3</v>
      </c>
      <c r="E448">
        <v>4.7699999999999999E-3</v>
      </c>
      <c r="F448">
        <v>237752523.80000001</v>
      </c>
      <c r="G448">
        <v>0</v>
      </c>
      <c r="L448" t="s">
        <v>8</v>
      </c>
      <c r="M448" t="s">
        <v>8</v>
      </c>
      <c r="N448" t="s">
        <v>8</v>
      </c>
      <c r="P448">
        <f t="shared" si="975"/>
        <v>-0.24637681159420305</v>
      </c>
      <c r="Q448">
        <f t="shared" si="976"/>
        <v>-58576708.762318879</v>
      </c>
      <c r="R448">
        <f t="shared" si="977"/>
        <v>158896542.70303217</v>
      </c>
      <c r="S448">
        <f t="shared" si="978"/>
        <v>1588.9654270303217</v>
      </c>
      <c r="T448">
        <f t="shared" si="979"/>
        <v>1.5889654270303217</v>
      </c>
    </row>
    <row r="449" spans="1:20" x14ac:dyDescent="0.25">
      <c r="A449" s="5">
        <v>44144</v>
      </c>
      <c r="B449">
        <v>4.15E-3</v>
      </c>
      <c r="C449">
        <v>4.64E-3</v>
      </c>
      <c r="D449">
        <v>3.9699999999999996E-3</v>
      </c>
      <c r="E449">
        <v>4.5399999999999998E-3</v>
      </c>
      <c r="F449">
        <v>127558378.7</v>
      </c>
      <c r="G449">
        <v>0</v>
      </c>
      <c r="L449" t="s">
        <v>8</v>
      </c>
      <c r="M449" t="s">
        <v>8</v>
      </c>
      <c r="N449" t="s">
        <v>8</v>
      </c>
      <c r="P449">
        <f t="shared" si="975"/>
        <v>0.70149253731343231</v>
      </c>
      <c r="Q449">
        <f t="shared" si="976"/>
        <v>89481250.72985068</v>
      </c>
      <c r="R449">
        <f t="shared" si="977"/>
        <v>217473251.46535105</v>
      </c>
      <c r="S449">
        <f t="shared" si="978"/>
        <v>2174.7325146535104</v>
      </c>
      <c r="T449">
        <f t="shared" si="979"/>
        <v>2.1747325146535106</v>
      </c>
    </row>
    <row r="450" spans="1:20" x14ac:dyDescent="0.25">
      <c r="A450" s="5">
        <v>44143</v>
      </c>
      <c r="B450">
        <v>3.8800000000000002E-3</v>
      </c>
      <c r="C450">
        <v>4.1900000000000001E-3</v>
      </c>
      <c r="D450">
        <v>3.79E-3</v>
      </c>
      <c r="E450">
        <v>4.15E-3</v>
      </c>
      <c r="F450">
        <v>75568336.799999997</v>
      </c>
      <c r="G450">
        <v>0</v>
      </c>
      <c r="L450" t="s">
        <v>8</v>
      </c>
      <c r="M450" t="s">
        <v>8</v>
      </c>
      <c r="N450" t="s">
        <v>8</v>
      </c>
      <c r="P450">
        <f t="shared" si="975"/>
        <v>0.7999999999999996</v>
      </c>
      <c r="Q450">
        <f t="shared" si="976"/>
        <v>60454669.439999968</v>
      </c>
      <c r="R450">
        <f t="shared" si="977"/>
        <v>127992000.73550037</v>
      </c>
      <c r="S450">
        <f t="shared" si="978"/>
        <v>1279.9200073550037</v>
      </c>
      <c r="T450">
        <f t="shared" si="979"/>
        <v>1.2799200073550037</v>
      </c>
    </row>
    <row r="451" spans="1:20" x14ac:dyDescent="0.25">
      <c r="A451" s="5">
        <v>44142</v>
      </c>
      <c r="B451">
        <v>4.2500000000000003E-3</v>
      </c>
      <c r="C451">
        <v>4.3800000000000002E-3</v>
      </c>
      <c r="D451">
        <v>3.7000000000000002E-3</v>
      </c>
      <c r="E451">
        <v>3.8800000000000002E-3</v>
      </c>
      <c r="F451">
        <v>161646153.5</v>
      </c>
      <c r="G451">
        <v>0</v>
      </c>
      <c r="L451" t="s">
        <v>7</v>
      </c>
      <c r="M451" t="s">
        <v>8</v>
      </c>
      <c r="N451" t="s">
        <v>8</v>
      </c>
      <c r="P451">
        <f t="shared" si="975"/>
        <v>-0.47058823529411759</v>
      </c>
      <c r="Q451">
        <f t="shared" si="976"/>
        <v>-76068778.117647052</v>
      </c>
      <c r="R451">
        <f t="shared" si="977"/>
        <v>67537331.295500398</v>
      </c>
      <c r="S451">
        <f t="shared" si="978"/>
        <v>675.37331295500394</v>
      </c>
      <c r="T451">
        <f t="shared" si="979"/>
        <v>0.67537331295500391</v>
      </c>
    </row>
    <row r="452" spans="1:20" x14ac:dyDescent="0.25">
      <c r="A452" s="5">
        <v>44141</v>
      </c>
      <c r="B452">
        <v>3.65E-3</v>
      </c>
      <c r="C452">
        <v>4.3299999999999996E-3</v>
      </c>
      <c r="D452">
        <v>3.6099999999999999E-3</v>
      </c>
      <c r="E452">
        <v>4.2500000000000003E-3</v>
      </c>
      <c r="F452">
        <v>170730549.40000001</v>
      </c>
      <c r="G452">
        <v>0</v>
      </c>
      <c r="L452" t="s">
        <v>8</v>
      </c>
      <c r="M452" t="s">
        <v>8</v>
      </c>
      <c r="N452" t="s">
        <v>7</v>
      </c>
      <c r="P452">
        <f t="shared" si="975"/>
        <v>0.77777777777777957</v>
      </c>
      <c r="Q452">
        <f t="shared" si="976"/>
        <v>132790427.31111142</v>
      </c>
      <c r="R452">
        <f t="shared" si="977"/>
        <v>143606109.41314745</v>
      </c>
      <c r="S452">
        <f t="shared" si="978"/>
        <v>1436.0610941314744</v>
      </c>
      <c r="T452">
        <f t="shared" si="979"/>
        <v>1.4360610941314744</v>
      </c>
    </row>
    <row r="453" spans="1:20" x14ac:dyDescent="0.25">
      <c r="A453" s="5">
        <v>44140</v>
      </c>
      <c r="B453">
        <v>3.6800000000000001E-3</v>
      </c>
      <c r="C453">
        <v>3.7499999999999999E-3</v>
      </c>
      <c r="D453">
        <v>3.3600000000000001E-3</v>
      </c>
      <c r="E453">
        <v>3.6700000000000001E-3</v>
      </c>
      <c r="F453">
        <v>124171305.3</v>
      </c>
      <c r="G453">
        <v>0</v>
      </c>
      <c r="L453" t="s">
        <v>7</v>
      </c>
      <c r="M453" t="s">
        <v>7</v>
      </c>
      <c r="N453" t="s">
        <v>7</v>
      </c>
      <c r="P453">
        <f t="shared" si="975"/>
        <v>0.58974358974359065</v>
      </c>
      <c r="Q453">
        <f t="shared" si="976"/>
        <v>73229231.330769345</v>
      </c>
      <c r="R453">
        <f t="shared" si="977"/>
        <v>10815682.102036022</v>
      </c>
      <c r="S453">
        <f t="shared" si="978"/>
        <v>108.15682102036021</v>
      </c>
      <c r="T453">
        <f t="shared" si="979"/>
        <v>0.10815682102036021</v>
      </c>
    </row>
    <row r="454" spans="1:20" x14ac:dyDescent="0.25">
      <c r="A454" s="5">
        <v>44139</v>
      </c>
      <c r="B454">
        <v>3.5699999999999998E-3</v>
      </c>
      <c r="C454">
        <v>3.7399999999999998E-3</v>
      </c>
      <c r="D454">
        <v>3.4499999999999999E-3</v>
      </c>
      <c r="E454">
        <v>3.6800000000000001E-3</v>
      </c>
      <c r="F454">
        <v>42632005.899999999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80">IF(C454=D454,0,((E454-D454)-(C454-E454))/(C454-D454))</f>
        <v>0.58620689655172586</v>
      </c>
      <c r="Q454">
        <f t="shared" ref="Q454:Q517" si="981">F454*P454</f>
        <v>24991175.872413866</v>
      </c>
      <c r="R454">
        <f t="shared" ref="R454:R517" si="982">R455+Q454</f>
        <v>-62413549.228733324</v>
      </c>
      <c r="S454">
        <f t="shared" ref="S454:S517" si="983">R454/100000</f>
        <v>-624.13549228733325</v>
      </c>
      <c r="T454">
        <f t="shared" ref="T454:T517" si="984">S454/1000</f>
        <v>-0.62413549228733323</v>
      </c>
    </row>
    <row r="455" spans="1:20" x14ac:dyDescent="0.25">
      <c r="A455" s="5">
        <v>44138</v>
      </c>
      <c r="B455">
        <v>3.63E-3</v>
      </c>
      <c r="C455">
        <v>3.6700000000000001E-3</v>
      </c>
      <c r="D455">
        <v>3.3400000000000001E-3</v>
      </c>
      <c r="E455">
        <v>3.5699999999999998E-3</v>
      </c>
      <c r="F455">
        <v>52219305.600000001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0.39393939393939237</v>
      </c>
      <c r="Q455">
        <f t="shared" si="981"/>
        <v>20571241.59999992</v>
      </c>
      <c r="R455">
        <f t="shared" si="982"/>
        <v>-87404725.10114719</v>
      </c>
      <c r="S455">
        <f t="shared" si="983"/>
        <v>-874.04725101147187</v>
      </c>
      <c r="T455">
        <f t="shared" si="984"/>
        <v>-0.87404725101147185</v>
      </c>
    </row>
    <row r="456" spans="1:20" x14ac:dyDescent="0.25">
      <c r="A456" s="5">
        <v>44137</v>
      </c>
      <c r="B456">
        <v>3.96E-3</v>
      </c>
      <c r="C456">
        <v>4.0600000000000002E-3</v>
      </c>
      <c r="D456">
        <v>3.5799999999999998E-3</v>
      </c>
      <c r="E456">
        <v>3.6600000000000001E-3</v>
      </c>
      <c r="F456">
        <v>95734562.099999994</v>
      </c>
      <c r="G456">
        <v>0</v>
      </c>
      <c r="L456" t="s">
        <v>7</v>
      </c>
      <c r="M456" t="s">
        <v>7</v>
      </c>
      <c r="N456" t="s">
        <v>7</v>
      </c>
      <c r="P456">
        <f t="shared" si="980"/>
        <v>-0.66666666666666607</v>
      </c>
      <c r="Q456">
        <f t="shared" si="981"/>
        <v>-63823041.399999939</v>
      </c>
      <c r="R456">
        <f t="shared" si="982"/>
        <v>-107975966.70114711</v>
      </c>
      <c r="S456">
        <f t="shared" si="983"/>
        <v>-1079.759667011471</v>
      </c>
      <c r="T456">
        <f t="shared" si="984"/>
        <v>-1.0797596670114711</v>
      </c>
    </row>
    <row r="457" spans="1:20" x14ac:dyDescent="0.25">
      <c r="A457" s="5">
        <v>44136</v>
      </c>
      <c r="B457">
        <v>3.4099999999999998E-3</v>
      </c>
      <c r="C457">
        <v>4.3E-3</v>
      </c>
      <c r="D457">
        <v>3.4099999999999998E-3</v>
      </c>
      <c r="E457">
        <v>3.9500000000000004E-3</v>
      </c>
      <c r="F457">
        <v>197724025.69999999</v>
      </c>
      <c r="G457">
        <v>0</v>
      </c>
      <c r="L457" t="s">
        <v>8</v>
      </c>
      <c r="M457" t="s">
        <v>8</v>
      </c>
      <c r="N457" t="s">
        <v>7</v>
      </c>
      <c r="P457">
        <f t="shared" si="980"/>
        <v>0.21348314606741675</v>
      </c>
      <c r="Q457">
        <f t="shared" si="981"/>
        <v>42210747.059550762</v>
      </c>
      <c r="R457">
        <f t="shared" si="982"/>
        <v>-44152925.301147163</v>
      </c>
      <c r="S457">
        <f t="shared" si="983"/>
        <v>-441.52925301147161</v>
      </c>
      <c r="T457">
        <f t="shared" si="984"/>
        <v>-0.44152925301147161</v>
      </c>
    </row>
    <row r="458" spans="1:20" x14ac:dyDescent="0.25">
      <c r="A458" s="5">
        <v>44135</v>
      </c>
      <c r="B458">
        <v>3.48E-3</v>
      </c>
      <c r="C458">
        <v>3.5599999999999998E-3</v>
      </c>
      <c r="D458">
        <v>3.3400000000000001E-3</v>
      </c>
      <c r="E458">
        <v>3.4099999999999998E-3</v>
      </c>
      <c r="F458">
        <v>38488284.899999999</v>
      </c>
      <c r="G458">
        <v>0</v>
      </c>
      <c r="L458" t="s">
        <v>8</v>
      </c>
      <c r="M458" t="s">
        <v>7</v>
      </c>
      <c r="N458" t="s">
        <v>7</v>
      </c>
      <c r="P458">
        <f t="shared" si="980"/>
        <v>-0.36363636363636509</v>
      </c>
      <c r="Q458">
        <f t="shared" si="981"/>
        <v>-13995739.963636419</v>
      </c>
      <c r="R458">
        <f t="shared" si="982"/>
        <v>-86363672.360697925</v>
      </c>
      <c r="S458">
        <f t="shared" si="983"/>
        <v>-863.63672360697922</v>
      </c>
      <c r="T458">
        <f t="shared" si="984"/>
        <v>-0.86363672360697918</v>
      </c>
    </row>
    <row r="459" spans="1:20" x14ac:dyDescent="0.25">
      <c r="A459" s="5">
        <v>44134</v>
      </c>
      <c r="B459">
        <v>3.62E-3</v>
      </c>
      <c r="C459">
        <v>3.65E-3</v>
      </c>
      <c r="D459">
        <v>3.2399999999999998E-3</v>
      </c>
      <c r="E459">
        <v>3.46E-3</v>
      </c>
      <c r="F459">
        <v>93114735.299999997</v>
      </c>
      <c r="G459">
        <v>0</v>
      </c>
      <c r="L459" t="s">
        <v>7</v>
      </c>
      <c r="M459" t="s">
        <v>7</v>
      </c>
      <c r="N459" t="s">
        <v>7</v>
      </c>
      <c r="P459">
        <f t="shared" si="980"/>
        <v>7.3170731707317221E-2</v>
      </c>
      <c r="Q459">
        <f t="shared" si="981"/>
        <v>6813273.3146341601</v>
      </c>
      <c r="R459">
        <f t="shared" si="982"/>
        <v>-72367932.397061512</v>
      </c>
      <c r="S459">
        <f t="shared" si="983"/>
        <v>-723.67932397061509</v>
      </c>
      <c r="T459">
        <f t="shared" si="984"/>
        <v>-0.72367932397061507</v>
      </c>
    </row>
    <row r="460" spans="1:20" x14ac:dyDescent="0.25">
      <c r="A460" s="5">
        <v>44133</v>
      </c>
      <c r="B460">
        <v>3.7000000000000002E-3</v>
      </c>
      <c r="C460">
        <v>3.7799999999999999E-3</v>
      </c>
      <c r="D460">
        <v>3.5599999999999998E-3</v>
      </c>
      <c r="E460">
        <v>3.62E-3</v>
      </c>
      <c r="F460">
        <v>55542849.600000001</v>
      </c>
      <c r="G460">
        <v>0</v>
      </c>
      <c r="L460" t="s">
        <v>7</v>
      </c>
      <c r="M460" t="s">
        <v>7</v>
      </c>
      <c r="N460" t="s">
        <v>7</v>
      </c>
      <c r="P460">
        <f t="shared" si="980"/>
        <v>-0.45454545454545348</v>
      </c>
      <c r="Q460">
        <f t="shared" si="981"/>
        <v>-25246749.818181761</v>
      </c>
      <c r="R460">
        <f t="shared" si="982"/>
        <v>-79181205.711695671</v>
      </c>
      <c r="S460">
        <f t="shared" si="983"/>
        <v>-791.81205711695668</v>
      </c>
      <c r="T460">
        <f t="shared" si="984"/>
        <v>-0.79181205711695668</v>
      </c>
    </row>
    <row r="461" spans="1:20" x14ac:dyDescent="0.25">
      <c r="A461" s="5">
        <v>44132</v>
      </c>
      <c r="B461">
        <v>4.0200000000000001E-3</v>
      </c>
      <c r="C461">
        <v>4.0600000000000002E-3</v>
      </c>
      <c r="D461">
        <v>3.64E-3</v>
      </c>
      <c r="E461">
        <v>3.7000000000000002E-3</v>
      </c>
      <c r="F461">
        <v>58520586.799999997</v>
      </c>
      <c r="G461">
        <v>0</v>
      </c>
      <c r="L461" t="s">
        <v>7</v>
      </c>
      <c r="M461" t="s">
        <v>7</v>
      </c>
      <c r="N461" t="s">
        <v>7</v>
      </c>
      <c r="P461">
        <f t="shared" si="980"/>
        <v>-0.71428571428571375</v>
      </c>
      <c r="Q461">
        <f t="shared" si="981"/>
        <v>-41800419.142857112</v>
      </c>
      <c r="R461">
        <f t="shared" si="982"/>
        <v>-53934455.893513918</v>
      </c>
      <c r="S461">
        <f t="shared" si="983"/>
        <v>-539.34455893513916</v>
      </c>
      <c r="T461">
        <f t="shared" si="984"/>
        <v>-0.53934455893513911</v>
      </c>
    </row>
    <row r="462" spans="1:20" x14ac:dyDescent="0.25">
      <c r="A462" s="5">
        <v>44131</v>
      </c>
      <c r="B462">
        <v>4.0699999999999998E-3</v>
      </c>
      <c r="C462">
        <v>4.13E-3</v>
      </c>
      <c r="D462">
        <v>3.8800000000000002E-3</v>
      </c>
      <c r="E462">
        <v>4.0200000000000001E-3</v>
      </c>
      <c r="F462">
        <v>63464939.600000001</v>
      </c>
      <c r="G462">
        <v>0</v>
      </c>
      <c r="L462" t="s">
        <v>7</v>
      </c>
      <c r="M462" t="s">
        <v>7</v>
      </c>
      <c r="N462" t="s">
        <v>7</v>
      </c>
      <c r="P462">
        <f t="shared" si="980"/>
        <v>0.12000000000000041</v>
      </c>
      <c r="Q462">
        <f t="shared" si="981"/>
        <v>7615792.7520000264</v>
      </c>
      <c r="R462">
        <f t="shared" si="982"/>
        <v>-12134036.750656806</v>
      </c>
      <c r="S462">
        <f t="shared" si="983"/>
        <v>-121.34036750656806</v>
      </c>
      <c r="T462">
        <f t="shared" si="984"/>
        <v>-0.12134036750656806</v>
      </c>
    </row>
    <row r="463" spans="1:20" x14ac:dyDescent="0.25">
      <c r="A463" s="5">
        <v>44130</v>
      </c>
      <c r="B463">
        <v>4.3200000000000001E-3</v>
      </c>
      <c r="C463">
        <v>4.3899999999999998E-3</v>
      </c>
      <c r="D463">
        <v>3.8600000000000001E-3</v>
      </c>
      <c r="E463">
        <v>4.0800000000000003E-3</v>
      </c>
      <c r="F463">
        <v>78251229.900000006</v>
      </c>
      <c r="G463">
        <v>0</v>
      </c>
      <c r="L463" t="s">
        <v>7</v>
      </c>
      <c r="M463" t="s">
        <v>7</v>
      </c>
      <c r="N463" t="s">
        <v>7</v>
      </c>
      <c r="P463">
        <f t="shared" si="980"/>
        <v>-0.16981132075471589</v>
      </c>
      <c r="Q463">
        <f t="shared" si="981"/>
        <v>-13287944.699999915</v>
      </c>
      <c r="R463">
        <f t="shared" si="982"/>
        <v>-19749829.502656832</v>
      </c>
      <c r="S463">
        <f t="shared" si="983"/>
        <v>-197.49829502656831</v>
      </c>
      <c r="T463">
        <f t="shared" si="984"/>
        <v>-0.19749829502656832</v>
      </c>
    </row>
    <row r="464" spans="1:20" x14ac:dyDescent="0.25">
      <c r="A464" s="5">
        <v>44129</v>
      </c>
      <c r="B464">
        <v>4.3499999999999997E-3</v>
      </c>
      <c r="C464">
        <v>4.4000000000000003E-3</v>
      </c>
      <c r="D464">
        <v>4.1599999999999996E-3</v>
      </c>
      <c r="E464">
        <v>4.3099999999999996E-3</v>
      </c>
      <c r="F464">
        <v>36510714.299999997</v>
      </c>
      <c r="G464">
        <v>0</v>
      </c>
      <c r="L464" t="s">
        <v>7</v>
      </c>
      <c r="M464" t="s">
        <v>7</v>
      </c>
      <c r="N464" t="s">
        <v>7</v>
      </c>
      <c r="P464">
        <f t="shared" si="980"/>
        <v>0.24999999999999639</v>
      </c>
      <c r="Q464">
        <f t="shared" si="981"/>
        <v>9127678.574999867</v>
      </c>
      <c r="R464">
        <f t="shared" si="982"/>
        <v>-6461884.8026569169</v>
      </c>
      <c r="S464">
        <f t="shared" si="983"/>
        <v>-64.618848026569168</v>
      </c>
      <c r="T464">
        <f t="shared" si="984"/>
        <v>-6.461884802656917E-2</v>
      </c>
    </row>
    <row r="465" spans="1:20" x14ac:dyDescent="0.25">
      <c r="A465" s="5">
        <v>44128</v>
      </c>
      <c r="B465">
        <v>4.2900000000000004E-3</v>
      </c>
      <c r="C465">
        <v>4.45E-3</v>
      </c>
      <c r="D465">
        <v>4.2900000000000004E-3</v>
      </c>
      <c r="E465">
        <v>4.3499999999999997E-3</v>
      </c>
      <c r="F465">
        <v>33203439.199999999</v>
      </c>
      <c r="G465">
        <v>0</v>
      </c>
      <c r="L465" t="s">
        <v>7</v>
      </c>
      <c r="M465" t="s">
        <v>7</v>
      </c>
      <c r="N465" t="s">
        <v>7</v>
      </c>
      <c r="P465">
        <f t="shared" si="980"/>
        <v>-0.25000000000000677</v>
      </c>
      <c r="Q465">
        <f t="shared" si="981"/>
        <v>-8300859.8000002243</v>
      </c>
      <c r="R465">
        <f t="shared" si="982"/>
        <v>-15589563.377656784</v>
      </c>
      <c r="S465">
        <f t="shared" si="983"/>
        <v>-155.89563377656785</v>
      </c>
      <c r="T465">
        <f t="shared" si="984"/>
        <v>-0.15589563377656784</v>
      </c>
    </row>
    <row r="466" spans="1:20" x14ac:dyDescent="0.25">
      <c r="A466" s="5">
        <v>44127</v>
      </c>
      <c r="B466">
        <v>4.3299999999999996E-3</v>
      </c>
      <c r="C466">
        <v>4.62E-3</v>
      </c>
      <c r="D466">
        <v>4.1999999999999997E-3</v>
      </c>
      <c r="E466">
        <v>4.2599999999999999E-3</v>
      </c>
      <c r="F466">
        <v>57308473.100000001</v>
      </c>
      <c r="G466">
        <v>0</v>
      </c>
      <c r="L466" t="s">
        <v>8</v>
      </c>
      <c r="M466" t="s">
        <v>7</v>
      </c>
      <c r="N466" t="s">
        <v>7</v>
      </c>
      <c r="P466">
        <f t="shared" si="980"/>
        <v>-0.71428571428571375</v>
      </c>
      <c r="Q466">
        <f t="shared" si="981"/>
        <v>-40934623.642857112</v>
      </c>
      <c r="R466">
        <f t="shared" si="982"/>
        <v>-7288703.5776565596</v>
      </c>
      <c r="S466">
        <f t="shared" si="983"/>
        <v>-72.887035776565597</v>
      </c>
      <c r="T466">
        <f t="shared" si="984"/>
        <v>-7.2887035776565592E-2</v>
      </c>
    </row>
    <row r="467" spans="1:20" x14ac:dyDescent="0.25">
      <c r="A467" s="5">
        <v>44126</v>
      </c>
      <c r="B467">
        <v>4.2599999999999999E-3</v>
      </c>
      <c r="C467">
        <v>4.5700000000000003E-3</v>
      </c>
      <c r="D467">
        <v>4.1799999999999997E-3</v>
      </c>
      <c r="E467">
        <v>4.3099999999999996E-3</v>
      </c>
      <c r="F467">
        <v>54999364.700000003</v>
      </c>
      <c r="G467">
        <v>0</v>
      </c>
      <c r="L467" t="s">
        <v>8</v>
      </c>
      <c r="M467" t="s">
        <v>7</v>
      </c>
      <c r="N467" t="s">
        <v>7</v>
      </c>
      <c r="P467">
        <f t="shared" si="980"/>
        <v>-0.33333333333333481</v>
      </c>
      <c r="Q467">
        <f t="shared" si="981"/>
        <v>-18333121.566666748</v>
      </c>
      <c r="R467">
        <f t="shared" si="982"/>
        <v>33645920.065200552</v>
      </c>
      <c r="S467">
        <f t="shared" si="983"/>
        <v>336.45920065200551</v>
      </c>
      <c r="T467">
        <f t="shared" si="984"/>
        <v>0.33645920065200552</v>
      </c>
    </row>
    <row r="468" spans="1:20" x14ac:dyDescent="0.25">
      <c r="A468" s="5">
        <v>44125</v>
      </c>
      <c r="B468">
        <v>4.0600000000000002E-3</v>
      </c>
      <c r="C468">
        <v>4.3299999999999996E-3</v>
      </c>
      <c r="D468">
        <v>4.0499999999999998E-3</v>
      </c>
      <c r="E468">
        <v>4.2500000000000003E-3</v>
      </c>
      <c r="F468">
        <v>68496963.5</v>
      </c>
      <c r="G468">
        <v>0</v>
      </c>
      <c r="L468" t="s">
        <v>8</v>
      </c>
      <c r="M468" t="s">
        <v>7</v>
      </c>
      <c r="N468" t="s">
        <v>7</v>
      </c>
      <c r="P468">
        <f t="shared" si="980"/>
        <v>0.42857142857143299</v>
      </c>
      <c r="Q468">
        <f t="shared" si="981"/>
        <v>29355841.500000302</v>
      </c>
      <c r="R468">
        <f t="shared" si="982"/>
        <v>51979041.631867304</v>
      </c>
      <c r="S468">
        <f t="shared" si="983"/>
        <v>519.79041631867301</v>
      </c>
      <c r="T468">
        <f t="shared" si="984"/>
        <v>0.51979041631867307</v>
      </c>
    </row>
    <row r="469" spans="1:20" x14ac:dyDescent="0.25">
      <c r="A469" s="5">
        <v>44124</v>
      </c>
      <c r="B469">
        <v>4.3899999999999998E-3</v>
      </c>
      <c r="C469">
        <v>4.7499999999999999E-3</v>
      </c>
      <c r="D469">
        <v>4.0099999999999997E-3</v>
      </c>
      <c r="E469">
        <v>4.0499999999999998E-3</v>
      </c>
      <c r="F469">
        <v>92747287.799999997</v>
      </c>
      <c r="G469">
        <v>0</v>
      </c>
      <c r="L469" t="s">
        <v>7</v>
      </c>
      <c r="M469" t="s">
        <v>7</v>
      </c>
      <c r="N469" t="s">
        <v>7</v>
      </c>
      <c r="P469">
        <f t="shared" si="980"/>
        <v>-0.89189189189189166</v>
      </c>
      <c r="Q469">
        <f t="shared" si="981"/>
        <v>-82720553.983783767</v>
      </c>
      <c r="R469">
        <f t="shared" si="982"/>
        <v>22623200.131867006</v>
      </c>
      <c r="S469">
        <f t="shared" si="983"/>
        <v>226.23200131867006</v>
      </c>
      <c r="T469">
        <f t="shared" si="984"/>
        <v>0.22623200131867005</v>
      </c>
    </row>
    <row r="470" spans="1:20" x14ac:dyDescent="0.25">
      <c r="A470" s="5">
        <v>44123</v>
      </c>
      <c r="B470">
        <v>4.62E-3</v>
      </c>
      <c r="C470">
        <v>4.6600000000000001E-3</v>
      </c>
      <c r="D470">
        <v>4.3299999999999996E-3</v>
      </c>
      <c r="E470">
        <v>4.3800000000000002E-3</v>
      </c>
      <c r="F470">
        <v>45761485.799999997</v>
      </c>
      <c r="G470">
        <v>0</v>
      </c>
      <c r="L470" t="s">
        <v>7</v>
      </c>
      <c r="M470" t="s">
        <v>7</v>
      </c>
      <c r="N470" t="s">
        <v>7</v>
      </c>
      <c r="P470">
        <f t="shared" si="980"/>
        <v>-0.69696969696969391</v>
      </c>
      <c r="Q470">
        <f t="shared" si="981"/>
        <v>-31894368.890908949</v>
      </c>
      <c r="R470">
        <f t="shared" si="982"/>
        <v>105343754.11565077</v>
      </c>
      <c r="S470">
        <f t="shared" si="983"/>
        <v>1053.4375411565077</v>
      </c>
      <c r="T470">
        <f t="shared" si="984"/>
        <v>1.0534375411565078</v>
      </c>
    </row>
    <row r="471" spans="1:20" x14ac:dyDescent="0.25">
      <c r="A471" s="5">
        <v>44122</v>
      </c>
      <c r="B471">
        <v>4.3299999999999996E-3</v>
      </c>
      <c r="C471">
        <v>4.6899999999999997E-3</v>
      </c>
      <c r="D471">
        <v>4.3E-3</v>
      </c>
      <c r="E471">
        <v>4.62E-3</v>
      </c>
      <c r="F471">
        <v>36267234.5</v>
      </c>
      <c r="G471">
        <v>0</v>
      </c>
      <c r="L471" t="s">
        <v>8</v>
      </c>
      <c r="M471" t="s">
        <v>7</v>
      </c>
      <c r="N471" t="s">
        <v>7</v>
      </c>
      <c r="P471">
        <f t="shared" si="980"/>
        <v>0.64102564102564208</v>
      </c>
      <c r="Q471">
        <f t="shared" si="981"/>
        <v>23248227.243589781</v>
      </c>
      <c r="R471">
        <f t="shared" si="982"/>
        <v>137238123.00655973</v>
      </c>
      <c r="S471">
        <f t="shared" si="983"/>
        <v>1372.3812300655973</v>
      </c>
      <c r="T471">
        <f t="shared" si="984"/>
        <v>1.3723812300655973</v>
      </c>
    </row>
    <row r="472" spans="1:20" x14ac:dyDescent="0.25">
      <c r="A472" s="5">
        <v>44121</v>
      </c>
      <c r="B472">
        <v>4.13E-3</v>
      </c>
      <c r="C472">
        <v>4.4000000000000003E-3</v>
      </c>
      <c r="D472">
        <v>4.0899999999999999E-3</v>
      </c>
      <c r="E472">
        <v>4.3299999999999996E-3</v>
      </c>
      <c r="F472">
        <v>33167301.5</v>
      </c>
      <c r="G472">
        <v>0</v>
      </c>
      <c r="L472" t="s">
        <v>7</v>
      </c>
      <c r="M472" t="s">
        <v>7</v>
      </c>
      <c r="N472" t="s">
        <v>7</v>
      </c>
      <c r="P472">
        <f t="shared" si="980"/>
        <v>0.54838709677419006</v>
      </c>
      <c r="Q472">
        <f t="shared" si="981"/>
        <v>18188520.177419238</v>
      </c>
      <c r="R472">
        <f t="shared" si="982"/>
        <v>113989895.76296994</v>
      </c>
      <c r="S472">
        <f t="shared" si="983"/>
        <v>1139.8989576296995</v>
      </c>
      <c r="T472">
        <f t="shared" si="984"/>
        <v>1.1398989576296994</v>
      </c>
    </row>
    <row r="473" spans="1:20" x14ac:dyDescent="0.25">
      <c r="A473" s="5">
        <v>44120</v>
      </c>
      <c r="B473">
        <v>4.5199999999999997E-3</v>
      </c>
      <c r="C473">
        <v>4.7000000000000002E-3</v>
      </c>
      <c r="D473">
        <v>4.1200000000000004E-3</v>
      </c>
      <c r="E473">
        <v>4.1399999999999996E-3</v>
      </c>
      <c r="F473">
        <v>59584871.5</v>
      </c>
      <c r="G473">
        <v>0</v>
      </c>
      <c r="L473" t="s">
        <v>7</v>
      </c>
      <c r="M473" t="s">
        <v>7</v>
      </c>
      <c r="N473" t="s">
        <v>7</v>
      </c>
      <c r="P473">
        <f t="shared" si="980"/>
        <v>-0.93103448275862344</v>
      </c>
      <c r="Q473">
        <f t="shared" si="981"/>
        <v>-55475570.017241545</v>
      </c>
      <c r="R473">
        <f t="shared" si="982"/>
        <v>95801375.585550696</v>
      </c>
      <c r="S473">
        <f t="shared" si="983"/>
        <v>958.01375585550693</v>
      </c>
      <c r="T473">
        <f t="shared" si="984"/>
        <v>0.95801375585550697</v>
      </c>
    </row>
    <row r="474" spans="1:20" x14ac:dyDescent="0.25">
      <c r="A474" s="5">
        <v>44119</v>
      </c>
      <c r="B474">
        <v>4.79E-3</v>
      </c>
      <c r="C474">
        <v>4.8599999999999997E-3</v>
      </c>
      <c r="D474">
        <v>4.4200000000000003E-3</v>
      </c>
      <c r="E474">
        <v>4.5199999999999997E-3</v>
      </c>
      <c r="F474">
        <v>68368881.900000006</v>
      </c>
      <c r="G474">
        <v>0</v>
      </c>
      <c r="L474" t="s">
        <v>7</v>
      </c>
      <c r="M474" t="s">
        <v>7</v>
      </c>
      <c r="N474" t="s">
        <v>7</v>
      </c>
      <c r="P474">
        <f t="shared" si="980"/>
        <v>-0.54545454545454763</v>
      </c>
      <c r="Q474">
        <f t="shared" si="981"/>
        <v>-37292117.400000155</v>
      </c>
      <c r="R474">
        <f t="shared" si="982"/>
        <v>151276945.60279223</v>
      </c>
      <c r="S474">
        <f t="shared" si="983"/>
        <v>1512.7694560279224</v>
      </c>
      <c r="T474">
        <f t="shared" si="984"/>
        <v>1.5127694560279223</v>
      </c>
    </row>
    <row r="475" spans="1:20" x14ac:dyDescent="0.25">
      <c r="A475" s="5">
        <v>44118</v>
      </c>
      <c r="B475">
        <v>4.9399999999999999E-3</v>
      </c>
      <c r="C475">
        <v>5.1900000000000002E-3</v>
      </c>
      <c r="D475">
        <v>4.6600000000000001E-3</v>
      </c>
      <c r="E475">
        <v>4.8199999999999996E-3</v>
      </c>
      <c r="F475">
        <v>100980829</v>
      </c>
      <c r="G475">
        <v>0</v>
      </c>
      <c r="L475" t="s">
        <v>8</v>
      </c>
      <c r="M475" t="s">
        <v>8</v>
      </c>
      <c r="N475" t="s">
        <v>7</v>
      </c>
      <c r="P475">
        <f t="shared" si="980"/>
        <v>-0.39622641509434142</v>
      </c>
      <c r="Q475">
        <f t="shared" si="981"/>
        <v>-40011271.867924713</v>
      </c>
      <c r="R475">
        <f t="shared" si="982"/>
        <v>188569063.00279239</v>
      </c>
      <c r="S475">
        <f t="shared" si="983"/>
        <v>1885.6906300279238</v>
      </c>
      <c r="T475">
        <f t="shared" si="984"/>
        <v>1.8856906300279239</v>
      </c>
    </row>
    <row r="476" spans="1:20" x14ac:dyDescent="0.25">
      <c r="A476" s="5">
        <v>44117</v>
      </c>
      <c r="B476">
        <v>4.6100000000000004E-3</v>
      </c>
      <c r="C476">
        <v>5.0800000000000003E-3</v>
      </c>
      <c r="D476">
        <v>4.5700000000000003E-3</v>
      </c>
      <c r="E476">
        <v>4.9199999999999999E-3</v>
      </c>
      <c r="F476">
        <v>81783798.5</v>
      </c>
      <c r="G476">
        <v>0</v>
      </c>
      <c r="L476" t="s">
        <v>8</v>
      </c>
      <c r="M476" t="s">
        <v>8</v>
      </c>
      <c r="N476" t="s">
        <v>7</v>
      </c>
      <c r="P476">
        <f t="shared" si="980"/>
        <v>0.37254901960784154</v>
      </c>
      <c r="Q476">
        <f t="shared" si="981"/>
        <v>30468473.950980261</v>
      </c>
      <c r="R476">
        <f t="shared" si="982"/>
        <v>228580334.87071711</v>
      </c>
      <c r="S476">
        <f t="shared" si="983"/>
        <v>2285.8033487071712</v>
      </c>
      <c r="T476">
        <f t="shared" si="984"/>
        <v>2.2858033487071712</v>
      </c>
    </row>
    <row r="477" spans="1:20" x14ac:dyDescent="0.25">
      <c r="A477" s="5">
        <v>44116</v>
      </c>
      <c r="B477">
        <v>4.4600000000000004E-3</v>
      </c>
      <c r="C477">
        <v>4.81E-3</v>
      </c>
      <c r="D477">
        <v>4.4200000000000003E-3</v>
      </c>
      <c r="E477">
        <v>4.62E-3</v>
      </c>
      <c r="F477">
        <v>64069433.100000001</v>
      </c>
      <c r="G477">
        <v>0</v>
      </c>
      <c r="L477" t="s">
        <v>8</v>
      </c>
      <c r="M477" t="s">
        <v>8</v>
      </c>
      <c r="N477" t="s">
        <v>7</v>
      </c>
      <c r="P477">
        <f t="shared" si="980"/>
        <v>2.5641025641024613E-2</v>
      </c>
      <c r="Q477">
        <f t="shared" si="981"/>
        <v>1642805.976923011</v>
      </c>
      <c r="R477">
        <f t="shared" si="982"/>
        <v>198111860.91973686</v>
      </c>
      <c r="S477">
        <f t="shared" si="983"/>
        <v>1981.1186091973686</v>
      </c>
      <c r="T477">
        <f t="shared" si="984"/>
        <v>1.9811186091973687</v>
      </c>
    </row>
    <row r="478" spans="1:20" x14ac:dyDescent="0.25">
      <c r="A478" s="5">
        <v>44115</v>
      </c>
      <c r="B478">
        <v>4.3600000000000002E-3</v>
      </c>
      <c r="C478">
        <v>4.6600000000000001E-3</v>
      </c>
      <c r="D478">
        <v>4.3400000000000001E-3</v>
      </c>
      <c r="E478">
        <v>4.45E-3</v>
      </c>
      <c r="F478">
        <v>51643609.299999997</v>
      </c>
      <c r="G478">
        <v>0</v>
      </c>
      <c r="L478" t="s">
        <v>7</v>
      </c>
      <c r="M478" t="s">
        <v>8</v>
      </c>
      <c r="N478" t="s">
        <v>7</v>
      </c>
      <c r="P478">
        <f t="shared" si="980"/>
        <v>-0.31250000000000083</v>
      </c>
      <c r="Q478">
        <f t="shared" si="981"/>
        <v>-16138627.906250043</v>
      </c>
      <c r="R478">
        <f t="shared" si="982"/>
        <v>196469054.94281384</v>
      </c>
      <c r="S478">
        <f t="shared" si="983"/>
        <v>1964.6905494281384</v>
      </c>
      <c r="T478">
        <f t="shared" si="984"/>
        <v>1.9646905494281384</v>
      </c>
    </row>
    <row r="479" spans="1:20" x14ac:dyDescent="0.25">
      <c r="A479" s="5">
        <v>44114</v>
      </c>
      <c r="B479">
        <v>4.5300000000000002E-3</v>
      </c>
      <c r="C479">
        <v>4.6800000000000001E-3</v>
      </c>
      <c r="D479">
        <v>4.3499999999999997E-3</v>
      </c>
      <c r="E479">
        <v>4.3800000000000002E-3</v>
      </c>
      <c r="F479">
        <v>48528953</v>
      </c>
      <c r="G479">
        <v>0</v>
      </c>
      <c r="L479" t="s">
        <v>8</v>
      </c>
      <c r="M479" t="s">
        <v>8</v>
      </c>
      <c r="N479" t="s">
        <v>7</v>
      </c>
      <c r="P479">
        <f t="shared" si="980"/>
        <v>-0.81818181818181535</v>
      </c>
      <c r="Q479">
        <f t="shared" si="981"/>
        <v>-39705506.999999866</v>
      </c>
      <c r="R479">
        <f t="shared" si="982"/>
        <v>212607682.84906387</v>
      </c>
      <c r="S479">
        <f t="shared" si="983"/>
        <v>2126.0768284906389</v>
      </c>
      <c r="T479">
        <f t="shared" si="984"/>
        <v>2.1260768284906391</v>
      </c>
    </row>
    <row r="480" spans="1:20" x14ac:dyDescent="0.25">
      <c r="A480" s="5">
        <v>44113</v>
      </c>
      <c r="B480">
        <v>4.3099999999999996E-3</v>
      </c>
      <c r="C480">
        <v>4.5999999999999999E-3</v>
      </c>
      <c r="D480">
        <v>4.2500000000000003E-3</v>
      </c>
      <c r="E480">
        <v>4.5100000000000001E-3</v>
      </c>
      <c r="F480">
        <v>66881859.5</v>
      </c>
      <c r="G480">
        <v>0</v>
      </c>
      <c r="L480" t="s">
        <v>8</v>
      </c>
      <c r="M480" t="s">
        <v>8</v>
      </c>
      <c r="N480" t="s">
        <v>7</v>
      </c>
      <c r="P480">
        <f t="shared" si="980"/>
        <v>0.48571428571428626</v>
      </c>
      <c r="Q480">
        <f t="shared" si="981"/>
        <v>32485474.614285752</v>
      </c>
      <c r="R480">
        <f t="shared" si="982"/>
        <v>252313189.84906375</v>
      </c>
      <c r="S480">
        <f t="shared" si="983"/>
        <v>2523.1318984906375</v>
      </c>
      <c r="T480">
        <f t="shared" si="984"/>
        <v>2.5231318984906377</v>
      </c>
    </row>
    <row r="481" spans="1:20" x14ac:dyDescent="0.25">
      <c r="A481" s="5">
        <v>44112</v>
      </c>
      <c r="B481">
        <v>4.0699999999999998E-3</v>
      </c>
      <c r="C481">
        <v>4.5500000000000002E-3</v>
      </c>
      <c r="D481">
        <v>3.8300000000000001E-3</v>
      </c>
      <c r="E481">
        <v>4.3200000000000001E-3</v>
      </c>
      <c r="F481">
        <v>71840003.200000003</v>
      </c>
      <c r="G481">
        <v>0</v>
      </c>
      <c r="L481" t="s">
        <v>8</v>
      </c>
      <c r="M481" t="s">
        <v>8</v>
      </c>
      <c r="N481" t="s">
        <v>7</v>
      </c>
      <c r="P481">
        <f t="shared" si="980"/>
        <v>0.36111111111111077</v>
      </c>
      <c r="Q481">
        <f t="shared" si="981"/>
        <v>25942223.377777755</v>
      </c>
      <c r="R481">
        <f t="shared" si="982"/>
        <v>219827715.23477799</v>
      </c>
      <c r="S481">
        <f t="shared" si="983"/>
        <v>2198.27715234778</v>
      </c>
      <c r="T481">
        <f t="shared" si="984"/>
        <v>2.1982771523477798</v>
      </c>
    </row>
    <row r="482" spans="1:20" x14ac:dyDescent="0.25">
      <c r="A482" s="5">
        <v>44111</v>
      </c>
      <c r="B482">
        <v>3.96E-3</v>
      </c>
      <c r="C482">
        <v>4.1700000000000001E-3</v>
      </c>
      <c r="D482">
        <v>3.7699999999999999E-3</v>
      </c>
      <c r="E482">
        <v>4.0499999999999998E-3</v>
      </c>
      <c r="F482">
        <v>72277434.5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0.39999999999999869</v>
      </c>
      <c r="Q482">
        <f t="shared" si="981"/>
        <v>28910973.799999904</v>
      </c>
      <c r="R482">
        <f t="shared" si="982"/>
        <v>193885491.85700023</v>
      </c>
      <c r="S482">
        <f t="shared" si="983"/>
        <v>1938.8549185700024</v>
      </c>
      <c r="T482">
        <f t="shared" si="984"/>
        <v>1.9388549185700024</v>
      </c>
    </row>
    <row r="483" spans="1:20" x14ac:dyDescent="0.25">
      <c r="A483" s="5">
        <v>44110</v>
      </c>
      <c r="B483">
        <v>4.6299999999999996E-3</v>
      </c>
      <c r="C483">
        <v>4.64E-3</v>
      </c>
      <c r="D483">
        <v>3.8600000000000001E-3</v>
      </c>
      <c r="E483">
        <v>3.9500000000000004E-3</v>
      </c>
      <c r="F483">
        <v>103070634.3</v>
      </c>
      <c r="G483">
        <v>0</v>
      </c>
      <c r="L483" t="s">
        <v>7</v>
      </c>
      <c r="M483" t="s">
        <v>7</v>
      </c>
      <c r="N483" t="s">
        <v>7</v>
      </c>
      <c r="P483">
        <f t="shared" si="980"/>
        <v>-0.76923076923076861</v>
      </c>
      <c r="Q483">
        <f t="shared" si="981"/>
        <v>-79285103.307692245</v>
      </c>
      <c r="R483">
        <f t="shared" si="982"/>
        <v>164974518.05700034</v>
      </c>
      <c r="S483">
        <f t="shared" si="983"/>
        <v>1649.7451805700034</v>
      </c>
      <c r="T483">
        <f t="shared" si="984"/>
        <v>1.6497451805700034</v>
      </c>
    </row>
    <row r="484" spans="1:20" x14ac:dyDescent="0.25">
      <c r="A484" s="5">
        <v>44109</v>
      </c>
      <c r="B484">
        <v>4.6899999999999997E-3</v>
      </c>
      <c r="C484">
        <v>4.7499999999999999E-3</v>
      </c>
      <c r="D484">
        <v>4.5500000000000002E-3</v>
      </c>
      <c r="E484">
        <v>4.6299999999999996E-3</v>
      </c>
      <c r="F484">
        <v>26937336.199999999</v>
      </c>
      <c r="G484">
        <v>0</v>
      </c>
      <c r="L484" t="s">
        <v>8</v>
      </c>
      <c r="M484" t="s">
        <v>7</v>
      </c>
      <c r="N484" t="s">
        <v>7</v>
      </c>
      <c r="P484">
        <f t="shared" si="980"/>
        <v>-0.2000000000000052</v>
      </c>
      <c r="Q484">
        <f t="shared" si="981"/>
        <v>-5387467.2400001399</v>
      </c>
      <c r="R484">
        <f t="shared" si="982"/>
        <v>244259621.36469257</v>
      </c>
      <c r="S484">
        <f t="shared" si="983"/>
        <v>2442.5962136469257</v>
      </c>
      <c r="T484">
        <f t="shared" si="984"/>
        <v>2.4425962136469255</v>
      </c>
    </row>
    <row r="485" spans="1:20" x14ac:dyDescent="0.25">
      <c r="A485" s="5">
        <v>44108</v>
      </c>
      <c r="B485">
        <v>4.7400000000000003E-3</v>
      </c>
      <c r="C485">
        <v>4.7600000000000003E-3</v>
      </c>
      <c r="D485">
        <v>4.3899999999999998E-3</v>
      </c>
      <c r="E485">
        <v>4.6899999999999997E-3</v>
      </c>
      <c r="F485">
        <v>65353744.399999999</v>
      </c>
      <c r="G485">
        <v>0</v>
      </c>
      <c r="L485" t="s">
        <v>7</v>
      </c>
      <c r="M485" t="s">
        <v>7</v>
      </c>
      <c r="N485" t="s">
        <v>7</v>
      </c>
      <c r="P485">
        <f t="shared" si="980"/>
        <v>0.62162162162161883</v>
      </c>
      <c r="Q485">
        <f t="shared" si="981"/>
        <v>40625300.572972789</v>
      </c>
      <c r="R485">
        <f t="shared" si="982"/>
        <v>249647088.6046927</v>
      </c>
      <c r="S485">
        <f t="shared" si="983"/>
        <v>2496.4708860469268</v>
      </c>
      <c r="T485">
        <f t="shared" si="984"/>
        <v>2.4964708860469269</v>
      </c>
    </row>
    <row r="486" spans="1:20" x14ac:dyDescent="0.25">
      <c r="A486" s="5">
        <v>44107</v>
      </c>
      <c r="B486">
        <v>4.7299999999999998E-3</v>
      </c>
      <c r="C486">
        <v>4.8700000000000002E-3</v>
      </c>
      <c r="D486">
        <v>4.6899999999999997E-3</v>
      </c>
      <c r="E486">
        <v>4.7400000000000003E-3</v>
      </c>
      <c r="F486">
        <v>26421061.699999999</v>
      </c>
      <c r="G486">
        <v>0</v>
      </c>
      <c r="L486" t="s">
        <v>8</v>
      </c>
      <c r="M486" t="s">
        <v>7</v>
      </c>
      <c r="N486" t="s">
        <v>7</v>
      </c>
      <c r="P486">
        <f t="shared" si="980"/>
        <v>-0.44444444444443965</v>
      </c>
      <c r="Q486">
        <f t="shared" si="981"/>
        <v>-11742694.088888763</v>
      </c>
      <c r="R486">
        <f t="shared" si="982"/>
        <v>209021788.03171989</v>
      </c>
      <c r="S486">
        <f t="shared" si="983"/>
        <v>2090.2178803171987</v>
      </c>
      <c r="T486">
        <f t="shared" si="984"/>
        <v>2.0902178803171987</v>
      </c>
    </row>
    <row r="487" spans="1:20" x14ac:dyDescent="0.25">
      <c r="A487" s="5">
        <v>44106</v>
      </c>
      <c r="B487">
        <v>4.7999999999999996E-3</v>
      </c>
      <c r="C487">
        <v>4.8700000000000002E-3</v>
      </c>
      <c r="D487">
        <v>4.47E-3</v>
      </c>
      <c r="E487">
        <v>4.7800000000000004E-3</v>
      </c>
      <c r="F487">
        <v>108786337.3</v>
      </c>
      <c r="G487">
        <v>0</v>
      </c>
      <c r="L487" t="s">
        <v>7</v>
      </c>
      <c r="M487" t="s">
        <v>7</v>
      </c>
      <c r="N487" t="s">
        <v>7</v>
      </c>
      <c r="P487">
        <f t="shared" si="980"/>
        <v>0.55000000000000115</v>
      </c>
      <c r="Q487">
        <f t="shared" si="981"/>
        <v>59832485.515000127</v>
      </c>
      <c r="R487">
        <f t="shared" si="982"/>
        <v>220764482.12060866</v>
      </c>
      <c r="S487">
        <f t="shared" si="983"/>
        <v>2207.6448212060864</v>
      </c>
      <c r="T487">
        <f t="shared" si="984"/>
        <v>2.2076448212060864</v>
      </c>
    </row>
    <row r="488" spans="1:20" x14ac:dyDescent="0.25">
      <c r="A488" s="5">
        <v>44105</v>
      </c>
      <c r="B488">
        <v>5.3400000000000001E-3</v>
      </c>
      <c r="C488">
        <v>5.5500000000000002E-3</v>
      </c>
      <c r="D488">
        <v>4.5100000000000001E-3</v>
      </c>
      <c r="E488">
        <v>4.81E-3</v>
      </c>
      <c r="F488">
        <v>176971168.5</v>
      </c>
      <c r="G488">
        <v>0</v>
      </c>
      <c r="L488" t="s">
        <v>7</v>
      </c>
      <c r="M488" t="s">
        <v>7</v>
      </c>
      <c r="N488" t="s">
        <v>7</v>
      </c>
      <c r="P488">
        <f t="shared" si="980"/>
        <v>-0.42307692307692329</v>
      </c>
      <c r="Q488">
        <f t="shared" si="981"/>
        <v>-74872417.442307726</v>
      </c>
      <c r="R488">
        <f t="shared" si="982"/>
        <v>160931996.60560852</v>
      </c>
      <c r="S488">
        <f t="shared" si="983"/>
        <v>1609.3199660560851</v>
      </c>
      <c r="T488">
        <f t="shared" si="984"/>
        <v>1.6093199660560851</v>
      </c>
    </row>
    <row r="489" spans="1:20" x14ac:dyDescent="0.25">
      <c r="A489" s="5">
        <v>44104</v>
      </c>
      <c r="B489">
        <v>5.0000000000000001E-3</v>
      </c>
      <c r="C489">
        <v>5.4999999999999997E-3</v>
      </c>
      <c r="D489">
        <v>4.9500000000000004E-3</v>
      </c>
      <c r="E489">
        <v>5.3299999999999997E-3</v>
      </c>
      <c r="F489">
        <v>154453137.5</v>
      </c>
      <c r="G489">
        <v>0</v>
      </c>
      <c r="L489" t="s">
        <v>8</v>
      </c>
      <c r="M489" t="s">
        <v>8</v>
      </c>
      <c r="N489" t="s">
        <v>7</v>
      </c>
      <c r="P489">
        <f t="shared" si="980"/>
        <v>0.38181818181818095</v>
      </c>
      <c r="Q489">
        <f t="shared" si="981"/>
        <v>58973016.136363499</v>
      </c>
      <c r="R489">
        <f t="shared" si="982"/>
        <v>235804414.04791623</v>
      </c>
      <c r="S489">
        <f t="shared" si="983"/>
        <v>2358.0441404791623</v>
      </c>
      <c r="T489">
        <f t="shared" si="984"/>
        <v>2.3580441404791621</v>
      </c>
    </row>
    <row r="490" spans="1:20" x14ac:dyDescent="0.25">
      <c r="A490" s="5">
        <v>44103</v>
      </c>
      <c r="B490">
        <v>4.9300000000000004E-3</v>
      </c>
      <c r="C490">
        <v>5.11E-3</v>
      </c>
      <c r="D490">
        <v>4.8900000000000002E-3</v>
      </c>
      <c r="E490">
        <v>5.0000000000000001E-3</v>
      </c>
      <c r="F490">
        <v>47206621.799999997</v>
      </c>
      <c r="G490">
        <v>0</v>
      </c>
      <c r="L490" t="s">
        <v>8</v>
      </c>
      <c r="M490" t="s">
        <v>8</v>
      </c>
      <c r="N490" t="s">
        <v>7</v>
      </c>
      <c r="P490">
        <f t="shared" si="980"/>
        <v>0</v>
      </c>
      <c r="Q490">
        <f t="shared" si="981"/>
        <v>0</v>
      </c>
      <c r="R490">
        <f t="shared" si="982"/>
        <v>176831397.91155273</v>
      </c>
      <c r="S490">
        <f t="shared" si="983"/>
        <v>1768.3139791155272</v>
      </c>
      <c r="T490">
        <f t="shared" si="984"/>
        <v>1.7683139791155271</v>
      </c>
    </row>
    <row r="491" spans="1:20" x14ac:dyDescent="0.25">
      <c r="A491" s="5">
        <v>44102</v>
      </c>
      <c r="B491">
        <v>5.11E-3</v>
      </c>
      <c r="C491">
        <v>5.2500000000000003E-3</v>
      </c>
      <c r="D491">
        <v>4.8999999999999998E-3</v>
      </c>
      <c r="E491">
        <v>4.9300000000000004E-3</v>
      </c>
      <c r="F491">
        <v>72688500.900000006</v>
      </c>
      <c r="G491">
        <v>0</v>
      </c>
      <c r="L491" t="s">
        <v>8</v>
      </c>
      <c r="M491" t="s">
        <v>8</v>
      </c>
      <c r="N491" t="s">
        <v>7</v>
      </c>
      <c r="P491">
        <f t="shared" si="980"/>
        <v>-0.82857142857142585</v>
      </c>
      <c r="Q491">
        <f t="shared" si="981"/>
        <v>-60227615.031428382</v>
      </c>
      <c r="R491">
        <f t="shared" si="982"/>
        <v>176831397.91155273</v>
      </c>
      <c r="S491">
        <f t="shared" si="983"/>
        <v>1768.3139791155272</v>
      </c>
      <c r="T491">
        <f t="shared" si="984"/>
        <v>1.7683139791155271</v>
      </c>
    </row>
    <row r="492" spans="1:20" x14ac:dyDescent="0.25">
      <c r="A492" s="5">
        <v>44101</v>
      </c>
      <c r="B492">
        <v>5.3699999999999998E-3</v>
      </c>
      <c r="C492">
        <v>5.4000000000000003E-3</v>
      </c>
      <c r="D492">
        <v>4.7999999999999996E-3</v>
      </c>
      <c r="E492">
        <v>5.11E-3</v>
      </c>
      <c r="F492">
        <v>88251142.900000006</v>
      </c>
      <c r="G492">
        <v>0</v>
      </c>
      <c r="L492" t="s">
        <v>7</v>
      </c>
      <c r="M492" t="s">
        <v>8</v>
      </c>
      <c r="N492" t="s">
        <v>7</v>
      </c>
      <c r="P492">
        <f t="shared" si="980"/>
        <v>3.3333333333333381E-2</v>
      </c>
      <c r="Q492">
        <f t="shared" si="981"/>
        <v>2941704.7633333378</v>
      </c>
      <c r="R492">
        <f t="shared" si="982"/>
        <v>237059012.94298109</v>
      </c>
      <c r="S492">
        <f t="shared" si="983"/>
        <v>2370.590129429811</v>
      </c>
      <c r="T492">
        <f t="shared" si="984"/>
        <v>2.3705901294298108</v>
      </c>
    </row>
    <row r="493" spans="1:20" x14ac:dyDescent="0.25">
      <c r="A493" s="5">
        <v>44100</v>
      </c>
      <c r="B493">
        <v>5.1200000000000004E-3</v>
      </c>
      <c r="C493">
        <v>5.5799999999999999E-3</v>
      </c>
      <c r="D493">
        <v>4.9800000000000001E-3</v>
      </c>
      <c r="E493">
        <v>5.3600000000000002E-3</v>
      </c>
      <c r="F493">
        <v>103074919.8</v>
      </c>
      <c r="G493">
        <v>0</v>
      </c>
      <c r="L493" t="s">
        <v>8</v>
      </c>
      <c r="M493" t="s">
        <v>8</v>
      </c>
      <c r="N493" t="s">
        <v>7</v>
      </c>
      <c r="P493">
        <f t="shared" si="980"/>
        <v>0.26666666666666744</v>
      </c>
      <c r="Q493">
        <f t="shared" si="981"/>
        <v>27486645.280000079</v>
      </c>
      <c r="R493">
        <f t="shared" si="982"/>
        <v>234117308.17964774</v>
      </c>
      <c r="S493">
        <f t="shared" si="983"/>
        <v>2341.1730817964776</v>
      </c>
      <c r="T493">
        <f t="shared" si="984"/>
        <v>2.3411730817964775</v>
      </c>
    </row>
    <row r="494" spans="1:20" x14ac:dyDescent="0.25">
      <c r="A494" s="5">
        <v>44099</v>
      </c>
      <c r="B494">
        <v>4.5199999999999997E-3</v>
      </c>
      <c r="C494">
        <v>5.2300000000000003E-3</v>
      </c>
      <c r="D494">
        <v>4.4900000000000001E-3</v>
      </c>
      <c r="E494">
        <v>5.1200000000000004E-3</v>
      </c>
      <c r="F494">
        <v>145549027.30000001</v>
      </c>
      <c r="G494">
        <v>0</v>
      </c>
      <c r="L494" t="s">
        <v>8</v>
      </c>
      <c r="M494" t="s">
        <v>8</v>
      </c>
      <c r="N494" t="s">
        <v>7</v>
      </c>
      <c r="P494">
        <f t="shared" si="980"/>
        <v>0.70270270270270319</v>
      </c>
      <c r="Q494">
        <f t="shared" si="981"/>
        <v>102277694.85945953</v>
      </c>
      <c r="R494">
        <f t="shared" si="982"/>
        <v>206630662.89964765</v>
      </c>
      <c r="S494">
        <f t="shared" si="983"/>
        <v>2066.3066289964763</v>
      </c>
      <c r="T494">
        <f t="shared" si="984"/>
        <v>2.0663066289964762</v>
      </c>
    </row>
    <row r="495" spans="1:20" x14ac:dyDescent="0.25">
      <c r="A495" s="5">
        <v>44098</v>
      </c>
      <c r="B495">
        <v>4.1200000000000004E-3</v>
      </c>
      <c r="C495">
        <v>4.6800000000000001E-3</v>
      </c>
      <c r="D495">
        <v>4.0600000000000002E-3</v>
      </c>
      <c r="E495">
        <v>4.5199999999999997E-3</v>
      </c>
      <c r="F495">
        <v>106736661.8</v>
      </c>
      <c r="G495">
        <v>0</v>
      </c>
      <c r="L495" t="s">
        <v>8</v>
      </c>
      <c r="M495" t="s">
        <v>8</v>
      </c>
      <c r="N495" t="s">
        <v>7</v>
      </c>
      <c r="P495">
        <f t="shared" si="980"/>
        <v>0.48387096774193405</v>
      </c>
      <c r="Q495">
        <f t="shared" si="981"/>
        <v>51646771.838709526</v>
      </c>
      <c r="R495">
        <f t="shared" si="982"/>
        <v>104352968.0401881</v>
      </c>
      <c r="S495">
        <f t="shared" si="983"/>
        <v>1043.529680401881</v>
      </c>
      <c r="T495">
        <f t="shared" si="984"/>
        <v>1.043529680401881</v>
      </c>
    </row>
    <row r="496" spans="1:20" x14ac:dyDescent="0.25">
      <c r="A496" s="5">
        <v>44097</v>
      </c>
      <c r="B496">
        <v>4.64E-3</v>
      </c>
      <c r="C496">
        <v>4.6800000000000001E-3</v>
      </c>
      <c r="D496">
        <v>4.0000000000000001E-3</v>
      </c>
      <c r="E496">
        <v>4.1200000000000004E-3</v>
      </c>
      <c r="F496">
        <v>118309969.8</v>
      </c>
      <c r="G496">
        <v>0</v>
      </c>
      <c r="L496" t="s">
        <v>7</v>
      </c>
      <c r="M496" t="s">
        <v>7</v>
      </c>
      <c r="N496" t="s">
        <v>7</v>
      </c>
      <c r="P496">
        <f t="shared" si="980"/>
        <v>-0.64705882352941091</v>
      </c>
      <c r="Q496">
        <f t="shared" si="981"/>
        <v>-76553509.870588139</v>
      </c>
      <c r="R496">
        <f t="shared" si="982"/>
        <v>52706196.201478586</v>
      </c>
      <c r="S496">
        <f t="shared" si="983"/>
        <v>527.06196201478588</v>
      </c>
      <c r="T496">
        <f t="shared" si="984"/>
        <v>0.52706196201478583</v>
      </c>
    </row>
    <row r="497" spans="1:20" x14ac:dyDescent="0.25">
      <c r="A497" s="5">
        <v>44096</v>
      </c>
      <c r="B497">
        <v>4.5599999999999998E-3</v>
      </c>
      <c r="C497">
        <v>4.7200000000000002E-3</v>
      </c>
      <c r="D497">
        <v>4.3800000000000002E-3</v>
      </c>
      <c r="E497">
        <v>4.6499999999999996E-3</v>
      </c>
      <c r="F497">
        <v>111922585.2</v>
      </c>
      <c r="G497">
        <v>0</v>
      </c>
      <c r="L497" t="s">
        <v>8</v>
      </c>
      <c r="M497" t="s">
        <v>7</v>
      </c>
      <c r="N497" t="s">
        <v>7</v>
      </c>
      <c r="P497">
        <f t="shared" si="980"/>
        <v>0.58823529411764341</v>
      </c>
      <c r="Q497">
        <f t="shared" si="981"/>
        <v>65836814.823529005</v>
      </c>
      <c r="R497">
        <f t="shared" si="982"/>
        <v>129259706.07206672</v>
      </c>
      <c r="S497">
        <f t="shared" si="983"/>
        <v>1292.5970607206673</v>
      </c>
      <c r="T497">
        <f t="shared" si="984"/>
        <v>1.2925970607206674</v>
      </c>
    </row>
    <row r="498" spans="1:20" x14ac:dyDescent="0.25">
      <c r="A498" s="5">
        <v>44095</v>
      </c>
      <c r="B498">
        <v>5.1599999999999997E-3</v>
      </c>
      <c r="C498">
        <v>5.6499999999999996E-3</v>
      </c>
      <c r="D498">
        <v>4.2500000000000003E-3</v>
      </c>
      <c r="E498">
        <v>4.5599999999999998E-3</v>
      </c>
      <c r="F498">
        <v>204179591.19999999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-0.55714285714285761</v>
      </c>
      <c r="Q498">
        <f t="shared" si="981"/>
        <v>-113757200.81142867</v>
      </c>
      <c r="R498">
        <f t="shared" si="982"/>
        <v>63422891.248537719</v>
      </c>
      <c r="S498">
        <f t="shared" si="983"/>
        <v>634.22891248537724</v>
      </c>
      <c r="T498">
        <f t="shared" si="984"/>
        <v>0.63422891248537727</v>
      </c>
    </row>
    <row r="499" spans="1:20" x14ac:dyDescent="0.25">
      <c r="A499" s="5">
        <v>44094</v>
      </c>
      <c r="B499">
        <v>5.5399999999999998E-3</v>
      </c>
      <c r="C499">
        <v>5.6100000000000004E-3</v>
      </c>
      <c r="D499">
        <v>5.0200000000000002E-3</v>
      </c>
      <c r="E499">
        <v>5.1700000000000001E-3</v>
      </c>
      <c r="F499">
        <v>75378302.700000003</v>
      </c>
      <c r="G499">
        <v>0</v>
      </c>
      <c r="L499" t="s">
        <v>7</v>
      </c>
      <c r="M499" t="s">
        <v>7</v>
      </c>
      <c r="N499" t="s">
        <v>7</v>
      </c>
      <c r="P499">
        <f t="shared" si="980"/>
        <v>-0.49152542372881391</v>
      </c>
      <c r="Q499">
        <f t="shared" si="981"/>
        <v>-37050352.174576297</v>
      </c>
      <c r="R499">
        <f t="shared" si="982"/>
        <v>177180092.05996639</v>
      </c>
      <c r="S499">
        <f t="shared" si="983"/>
        <v>1771.8009205996639</v>
      </c>
      <c r="T499">
        <f t="shared" si="984"/>
        <v>1.7718009205996639</v>
      </c>
    </row>
    <row r="500" spans="1:20" x14ac:dyDescent="0.25">
      <c r="A500" s="5">
        <v>44093</v>
      </c>
      <c r="B500">
        <v>5.5799999999999999E-3</v>
      </c>
      <c r="C500">
        <v>5.77E-3</v>
      </c>
      <c r="D500">
        <v>5.3099999999999996E-3</v>
      </c>
      <c r="E500">
        <v>5.5700000000000003E-3</v>
      </c>
      <c r="F500">
        <v>94011637.099999994</v>
      </c>
      <c r="G500">
        <v>0</v>
      </c>
      <c r="L500" t="s">
        <v>7</v>
      </c>
      <c r="M500" t="s">
        <v>7</v>
      </c>
      <c r="N500" t="s">
        <v>7</v>
      </c>
      <c r="P500">
        <f t="shared" si="980"/>
        <v>0.13043478260869779</v>
      </c>
      <c r="Q500">
        <f t="shared" si="981"/>
        <v>12262387.447826287</v>
      </c>
      <c r="R500">
        <f t="shared" si="982"/>
        <v>214230444.23454267</v>
      </c>
      <c r="S500">
        <f t="shared" si="983"/>
        <v>2142.3044423454267</v>
      </c>
      <c r="T500">
        <f t="shared" si="984"/>
        <v>2.1423044423454267</v>
      </c>
    </row>
    <row r="501" spans="1:20" x14ac:dyDescent="0.25">
      <c r="A501" s="5">
        <v>44092</v>
      </c>
      <c r="B501">
        <v>5.8500000000000002E-3</v>
      </c>
      <c r="C501">
        <v>6.0000000000000001E-3</v>
      </c>
      <c r="D501">
        <v>5.4099999999999999E-3</v>
      </c>
      <c r="E501">
        <v>5.5799999999999999E-3</v>
      </c>
      <c r="F501">
        <v>95864218.700000003</v>
      </c>
      <c r="G501">
        <v>0</v>
      </c>
      <c r="L501" t="s">
        <v>7</v>
      </c>
      <c r="M501" t="s">
        <v>7</v>
      </c>
      <c r="N501" t="s">
        <v>7</v>
      </c>
      <c r="P501">
        <f t="shared" si="980"/>
        <v>-0.42372881355932224</v>
      </c>
      <c r="Q501">
        <f t="shared" si="981"/>
        <v>-40620431.65254239</v>
      </c>
      <c r="R501">
        <f t="shared" si="982"/>
        <v>201968056.78671637</v>
      </c>
      <c r="S501">
        <f t="shared" si="983"/>
        <v>2019.6805678671637</v>
      </c>
      <c r="T501">
        <f t="shared" si="984"/>
        <v>2.0196805678671637</v>
      </c>
    </row>
    <row r="502" spans="1:20" x14ac:dyDescent="0.25">
      <c r="A502" s="5">
        <v>44091</v>
      </c>
      <c r="B502">
        <v>5.8900000000000003E-3</v>
      </c>
      <c r="C502">
        <v>6.1399999999999996E-3</v>
      </c>
      <c r="D502">
        <v>5.64E-3</v>
      </c>
      <c r="E502">
        <v>5.8399999999999997E-3</v>
      </c>
      <c r="F502">
        <v>61521618.600000001</v>
      </c>
      <c r="G502">
        <v>0</v>
      </c>
      <c r="L502" t="s">
        <v>8</v>
      </c>
      <c r="M502" t="s">
        <v>7</v>
      </c>
      <c r="N502" t="s">
        <v>7</v>
      </c>
      <c r="P502">
        <f t="shared" si="980"/>
        <v>-0.2000000000000007</v>
      </c>
      <c r="Q502">
        <f t="shared" si="981"/>
        <v>-12304323.720000044</v>
      </c>
      <c r="R502">
        <f t="shared" si="982"/>
        <v>242588488.43925875</v>
      </c>
      <c r="S502">
        <f t="shared" si="983"/>
        <v>2425.8848843925875</v>
      </c>
      <c r="T502">
        <f t="shared" si="984"/>
        <v>2.4258848843925875</v>
      </c>
    </row>
    <row r="503" spans="1:20" x14ac:dyDescent="0.25">
      <c r="A503" s="5">
        <v>44090</v>
      </c>
      <c r="B503">
        <v>5.96E-3</v>
      </c>
      <c r="C503">
        <v>6.0499999999999998E-3</v>
      </c>
      <c r="D503">
        <v>5.5399999999999998E-3</v>
      </c>
      <c r="E503">
        <v>5.8599999999999998E-3</v>
      </c>
      <c r="F503">
        <v>103965207.2</v>
      </c>
      <c r="G503">
        <v>0</v>
      </c>
      <c r="L503" t="s">
        <v>7</v>
      </c>
      <c r="M503" t="s">
        <v>7</v>
      </c>
      <c r="N503" t="s">
        <v>7</v>
      </c>
      <c r="P503">
        <f t="shared" si="980"/>
        <v>0.25490196078431354</v>
      </c>
      <c r="Q503">
        <f t="shared" si="981"/>
        <v>26500935.168627433</v>
      </c>
      <c r="R503">
        <f t="shared" si="982"/>
        <v>254892812.15925878</v>
      </c>
      <c r="S503">
        <f t="shared" si="983"/>
        <v>2548.928121592588</v>
      </c>
      <c r="T503">
        <f t="shared" si="984"/>
        <v>2.5489281215925881</v>
      </c>
    </row>
    <row r="504" spans="1:20" x14ac:dyDescent="0.25">
      <c r="A504" s="5">
        <v>44089</v>
      </c>
      <c r="B504">
        <v>6.7999999999999996E-3</v>
      </c>
      <c r="C504">
        <v>6.8300000000000001E-3</v>
      </c>
      <c r="D504">
        <v>5.8999999999999999E-3</v>
      </c>
      <c r="E504">
        <v>5.94E-3</v>
      </c>
      <c r="F504">
        <v>113485906.40000001</v>
      </c>
      <c r="G504">
        <v>0</v>
      </c>
      <c r="L504" t="s">
        <v>7</v>
      </c>
      <c r="M504" t="s">
        <v>7</v>
      </c>
      <c r="N504" t="s">
        <v>7</v>
      </c>
      <c r="P504">
        <f t="shared" si="980"/>
        <v>-0.91397849462365577</v>
      </c>
      <c r="Q504">
        <f t="shared" si="981"/>
        <v>-103723677.8924731</v>
      </c>
      <c r="R504">
        <f t="shared" si="982"/>
        <v>228391876.99063134</v>
      </c>
      <c r="S504">
        <f t="shared" si="983"/>
        <v>2283.9187699063136</v>
      </c>
      <c r="T504">
        <f t="shared" si="984"/>
        <v>2.2839187699063137</v>
      </c>
    </row>
    <row r="505" spans="1:20" x14ac:dyDescent="0.25">
      <c r="A505" s="5">
        <v>44088</v>
      </c>
      <c r="B505">
        <v>6.8700000000000002E-3</v>
      </c>
      <c r="C505">
        <v>7.1000000000000004E-3</v>
      </c>
      <c r="D505">
        <v>6.6499999999999997E-3</v>
      </c>
      <c r="E505">
        <v>6.7999999999999996E-3</v>
      </c>
      <c r="F505">
        <v>91975408.099999994</v>
      </c>
      <c r="G505">
        <v>0</v>
      </c>
      <c r="L505" t="s">
        <v>8</v>
      </c>
      <c r="M505" t="s">
        <v>8</v>
      </c>
      <c r="N505" t="s">
        <v>7</v>
      </c>
      <c r="P505">
        <f t="shared" si="980"/>
        <v>-0.33333333333333459</v>
      </c>
      <c r="Q505">
        <f t="shared" si="981"/>
        <v>-30658469.366666779</v>
      </c>
      <c r="R505">
        <f t="shared" si="982"/>
        <v>332115554.88310444</v>
      </c>
      <c r="S505">
        <f t="shared" si="983"/>
        <v>3321.1555488310446</v>
      </c>
      <c r="T505">
        <f t="shared" si="984"/>
        <v>3.3211555488310447</v>
      </c>
    </row>
    <row r="506" spans="1:20" x14ac:dyDescent="0.25">
      <c r="A506" s="5">
        <v>44087</v>
      </c>
      <c r="B506">
        <v>7.4700000000000001E-3</v>
      </c>
      <c r="C506">
        <v>7.5900000000000004E-3</v>
      </c>
      <c r="D506">
        <v>6.5900000000000004E-3</v>
      </c>
      <c r="E506">
        <v>6.8700000000000002E-3</v>
      </c>
      <c r="F506">
        <v>109888724.90000001</v>
      </c>
      <c r="G506">
        <v>0</v>
      </c>
      <c r="L506" t="s">
        <v>7</v>
      </c>
      <c r="M506" t="s">
        <v>8</v>
      </c>
      <c r="N506" t="s">
        <v>7</v>
      </c>
      <c r="P506">
        <f t="shared" si="980"/>
        <v>-0.44000000000000028</v>
      </c>
      <c r="Q506">
        <f t="shared" si="981"/>
        <v>-48351038.95600003</v>
      </c>
      <c r="R506">
        <f t="shared" si="982"/>
        <v>362774024.24977124</v>
      </c>
      <c r="S506">
        <f t="shared" si="983"/>
        <v>3627.7402424977122</v>
      </c>
      <c r="T506">
        <f t="shared" si="984"/>
        <v>3.6277402424977123</v>
      </c>
    </row>
    <row r="507" spans="1:20" x14ac:dyDescent="0.25">
      <c r="A507" s="5">
        <v>44086</v>
      </c>
      <c r="B507">
        <v>7.1300000000000001E-3</v>
      </c>
      <c r="C507">
        <v>7.5700000000000003E-3</v>
      </c>
      <c r="D507">
        <v>6.9199999999999999E-3</v>
      </c>
      <c r="E507">
        <v>7.45E-3</v>
      </c>
      <c r="F507">
        <v>118981941.59999999</v>
      </c>
      <c r="G507">
        <v>0</v>
      </c>
      <c r="L507" t="s">
        <v>8</v>
      </c>
      <c r="M507" t="s">
        <v>8</v>
      </c>
      <c r="N507" t="s">
        <v>7</v>
      </c>
      <c r="P507">
        <f t="shared" si="980"/>
        <v>0.63076923076923008</v>
      </c>
      <c r="Q507">
        <f t="shared" si="981"/>
        <v>75050147.778461456</v>
      </c>
      <c r="R507">
        <f t="shared" si="982"/>
        <v>411125063.20577127</v>
      </c>
      <c r="S507">
        <f t="shared" si="983"/>
        <v>4111.2506320577131</v>
      </c>
      <c r="T507">
        <f t="shared" si="984"/>
        <v>4.1112506320577129</v>
      </c>
    </row>
    <row r="508" spans="1:20" x14ac:dyDescent="0.25">
      <c r="A508" s="5">
        <v>44085</v>
      </c>
      <c r="B508">
        <v>7.1199999999999996E-3</v>
      </c>
      <c r="C508">
        <v>7.1999999999999998E-3</v>
      </c>
      <c r="D508">
        <v>6.6100000000000004E-3</v>
      </c>
      <c r="E508">
        <v>7.1300000000000001E-3</v>
      </c>
      <c r="F508">
        <v>79392227.700000003</v>
      </c>
      <c r="G508">
        <v>0</v>
      </c>
      <c r="L508" t="s">
        <v>7</v>
      </c>
      <c r="M508" t="s">
        <v>8</v>
      </c>
      <c r="N508" t="s">
        <v>7</v>
      </c>
      <c r="P508">
        <f t="shared" si="980"/>
        <v>0.76271186440678029</v>
      </c>
      <c r="Q508">
        <f t="shared" si="981"/>
        <v>60553394.008474626</v>
      </c>
      <c r="R508">
        <f t="shared" si="982"/>
        <v>336074915.42730981</v>
      </c>
      <c r="S508">
        <f t="shared" si="983"/>
        <v>3360.7491542730982</v>
      </c>
      <c r="T508">
        <f t="shared" si="984"/>
        <v>3.3607491542730981</v>
      </c>
    </row>
    <row r="509" spans="1:20" x14ac:dyDescent="0.25">
      <c r="A509" s="5">
        <v>44084</v>
      </c>
      <c r="B509">
        <v>6.9100000000000003E-3</v>
      </c>
      <c r="C509">
        <v>7.4999999999999997E-3</v>
      </c>
      <c r="D509">
        <v>6.8999999999999999E-3</v>
      </c>
      <c r="E509">
        <v>7.11E-3</v>
      </c>
      <c r="F509">
        <v>116305942.3</v>
      </c>
      <c r="G509">
        <v>0</v>
      </c>
      <c r="L509" t="s">
        <v>8</v>
      </c>
      <c r="M509" t="s">
        <v>8</v>
      </c>
      <c r="N509" t="s">
        <v>7</v>
      </c>
      <c r="P509">
        <f t="shared" si="980"/>
        <v>-0.29999999999999943</v>
      </c>
      <c r="Q509">
        <f t="shared" si="981"/>
        <v>-34891782.689999931</v>
      </c>
      <c r="R509">
        <f t="shared" si="982"/>
        <v>275521521.41883516</v>
      </c>
      <c r="S509">
        <f t="shared" si="983"/>
        <v>2755.2152141883516</v>
      </c>
      <c r="T509">
        <f t="shared" si="984"/>
        <v>2.7552152141883517</v>
      </c>
    </row>
    <row r="510" spans="1:20" x14ac:dyDescent="0.25">
      <c r="A510" s="5">
        <v>44083</v>
      </c>
      <c r="B510">
        <v>6.28E-3</v>
      </c>
      <c r="C510">
        <v>7.26E-3</v>
      </c>
      <c r="D510">
        <v>6.0499999999999998E-3</v>
      </c>
      <c r="E510">
        <v>6.9100000000000003E-3</v>
      </c>
      <c r="F510">
        <v>137719836.19999999</v>
      </c>
      <c r="G510">
        <v>0</v>
      </c>
      <c r="L510" t="s">
        <v>8</v>
      </c>
      <c r="M510" t="s">
        <v>8</v>
      </c>
      <c r="N510" t="s">
        <v>7</v>
      </c>
      <c r="P510">
        <f t="shared" si="980"/>
        <v>0.42148760330578583</v>
      </c>
      <c r="Q510">
        <f t="shared" si="981"/>
        <v>58047203.687603399</v>
      </c>
      <c r="R510">
        <f t="shared" si="982"/>
        <v>310413304.1088351</v>
      </c>
      <c r="S510">
        <f t="shared" si="983"/>
        <v>3104.1330410883511</v>
      </c>
      <c r="T510">
        <f t="shared" si="984"/>
        <v>3.104133041088351</v>
      </c>
    </row>
    <row r="511" spans="1:20" x14ac:dyDescent="0.25">
      <c r="A511" s="5">
        <v>44082</v>
      </c>
      <c r="B511">
        <v>6.4099999999999999E-3</v>
      </c>
      <c r="C511">
        <v>6.6499999999999997E-3</v>
      </c>
      <c r="D511">
        <v>5.8999999999999999E-3</v>
      </c>
      <c r="E511">
        <v>6.2500000000000003E-3</v>
      </c>
      <c r="F511">
        <v>132805620</v>
      </c>
      <c r="G511">
        <v>0</v>
      </c>
      <c r="L511" t="s">
        <v>7</v>
      </c>
      <c r="M511" t="s">
        <v>8</v>
      </c>
      <c r="N511" t="s">
        <v>7</v>
      </c>
      <c r="P511">
        <f t="shared" si="980"/>
        <v>-6.6666666666665125E-2</v>
      </c>
      <c r="Q511">
        <f t="shared" si="981"/>
        <v>-8853707.9999997951</v>
      </c>
      <c r="R511">
        <f t="shared" si="982"/>
        <v>252366100.42123172</v>
      </c>
      <c r="S511">
        <f t="shared" si="983"/>
        <v>2523.661004212317</v>
      </c>
      <c r="T511">
        <f t="shared" si="984"/>
        <v>2.5236610042123169</v>
      </c>
    </row>
    <row r="512" spans="1:20" x14ac:dyDescent="0.25">
      <c r="A512" s="5">
        <v>44081</v>
      </c>
      <c r="B512">
        <v>6.5599999999999999E-3</v>
      </c>
      <c r="C512">
        <v>6.6800000000000002E-3</v>
      </c>
      <c r="D512">
        <v>5.62E-3</v>
      </c>
      <c r="E512">
        <v>6.4099999999999999E-3</v>
      </c>
      <c r="F512">
        <v>148709573</v>
      </c>
      <c r="G512">
        <v>0</v>
      </c>
      <c r="L512" t="s">
        <v>8</v>
      </c>
      <c r="M512" t="s">
        <v>7</v>
      </c>
      <c r="N512" t="s">
        <v>7</v>
      </c>
      <c r="P512">
        <f t="shared" si="980"/>
        <v>0.49056603773584861</v>
      </c>
      <c r="Q512">
        <f t="shared" si="981"/>
        <v>72951865.99999994</v>
      </c>
      <c r="R512">
        <f t="shared" si="982"/>
        <v>261219808.42123151</v>
      </c>
      <c r="S512">
        <f t="shared" si="983"/>
        <v>2612.1980842123153</v>
      </c>
      <c r="T512">
        <f t="shared" si="984"/>
        <v>2.6121980842123151</v>
      </c>
    </row>
    <row r="513" spans="1:20" x14ac:dyDescent="0.25">
      <c r="A513" s="5">
        <v>44080</v>
      </c>
      <c r="B513">
        <v>6.0000000000000001E-3</v>
      </c>
      <c r="C513">
        <v>6.8999999999999999E-3</v>
      </c>
      <c r="D513">
        <v>5.4900000000000001E-3</v>
      </c>
      <c r="E513">
        <v>6.5399999999999998E-3</v>
      </c>
      <c r="F513">
        <v>198586195.09999999</v>
      </c>
      <c r="G513">
        <v>0</v>
      </c>
      <c r="L513" t="s">
        <v>7</v>
      </c>
      <c r="M513" t="s">
        <v>8</v>
      </c>
      <c r="N513" t="s">
        <v>7</v>
      </c>
      <c r="P513">
        <f t="shared" si="980"/>
        <v>0.48936170212765939</v>
      </c>
      <c r="Q513">
        <f t="shared" si="981"/>
        <v>97180478.453191444</v>
      </c>
      <c r="R513">
        <f t="shared" si="982"/>
        <v>188267942.42123157</v>
      </c>
      <c r="S513">
        <f t="shared" si="983"/>
        <v>1882.6794242123158</v>
      </c>
      <c r="T513">
        <f t="shared" si="984"/>
        <v>1.8826794242123157</v>
      </c>
    </row>
    <row r="514" spans="1:20" x14ac:dyDescent="0.25">
      <c r="A514" s="5">
        <v>44079</v>
      </c>
      <c r="B514">
        <v>7.5399999999999998E-3</v>
      </c>
      <c r="C514">
        <v>8.2000000000000007E-3</v>
      </c>
      <c r="D514">
        <v>5.6299999999999996E-3</v>
      </c>
      <c r="E514">
        <v>6.0000000000000001E-3</v>
      </c>
      <c r="F514">
        <v>223390358.5</v>
      </c>
      <c r="G514">
        <v>0</v>
      </c>
      <c r="L514" t="s">
        <v>7</v>
      </c>
      <c r="M514" t="s">
        <v>7</v>
      </c>
      <c r="N514" t="s">
        <v>7</v>
      </c>
      <c r="P514">
        <f t="shared" si="980"/>
        <v>-0.71206225680933821</v>
      </c>
      <c r="Q514">
        <f t="shared" si="981"/>
        <v>-159067842.82295713</v>
      </c>
      <c r="R514">
        <f t="shared" si="982"/>
        <v>91087463.968040138</v>
      </c>
      <c r="S514">
        <f t="shared" si="983"/>
        <v>910.8746396804014</v>
      </c>
      <c r="T514">
        <f t="shared" si="984"/>
        <v>0.91087463968040139</v>
      </c>
    </row>
    <row r="515" spans="1:20" x14ac:dyDescent="0.25">
      <c r="A515" s="5">
        <v>44078</v>
      </c>
      <c r="B515">
        <v>7.7799999999999996E-3</v>
      </c>
      <c r="C515">
        <v>7.9900000000000006E-3</v>
      </c>
      <c r="D515">
        <v>6.6699999999999997E-3</v>
      </c>
      <c r="E515">
        <v>7.5399999999999998E-3</v>
      </c>
      <c r="F515">
        <v>188360974.80000001</v>
      </c>
      <c r="G515">
        <v>0</v>
      </c>
      <c r="L515" t="s">
        <v>7</v>
      </c>
      <c r="M515" t="s">
        <v>7</v>
      </c>
      <c r="N515" t="s">
        <v>7</v>
      </c>
      <c r="P515">
        <f t="shared" si="980"/>
        <v>0.31818181818181751</v>
      </c>
      <c r="Q515">
        <f t="shared" si="981"/>
        <v>59933037.436363511</v>
      </c>
      <c r="R515">
        <f t="shared" si="982"/>
        <v>250155306.79099727</v>
      </c>
      <c r="S515">
        <f t="shared" si="983"/>
        <v>2501.5530679099725</v>
      </c>
      <c r="T515">
        <f t="shared" si="984"/>
        <v>2.5015530679099727</v>
      </c>
    </row>
    <row r="516" spans="1:20" x14ac:dyDescent="0.25">
      <c r="A516" s="5">
        <v>44077</v>
      </c>
      <c r="B516">
        <v>1.005E-2</v>
      </c>
      <c r="C516">
        <v>1.026E-2</v>
      </c>
      <c r="D516">
        <v>7.4799999999999997E-3</v>
      </c>
      <c r="E516">
        <v>7.77E-3</v>
      </c>
      <c r="F516">
        <v>231658829.09999999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-0.79136690647481989</v>
      </c>
      <c r="Q516">
        <f t="shared" si="981"/>
        <v>-183327130.94244599</v>
      </c>
      <c r="R516">
        <f t="shared" si="982"/>
        <v>190222269.35463375</v>
      </c>
      <c r="S516">
        <f t="shared" si="983"/>
        <v>1902.2226935463375</v>
      </c>
      <c r="T516">
        <f t="shared" si="984"/>
        <v>1.9022226935463376</v>
      </c>
    </row>
    <row r="517" spans="1:20" x14ac:dyDescent="0.25">
      <c r="A517" s="5">
        <v>44076</v>
      </c>
      <c r="B517">
        <v>1.031E-2</v>
      </c>
      <c r="C517">
        <v>1.072E-2</v>
      </c>
      <c r="D517">
        <v>8.8800000000000007E-3</v>
      </c>
      <c r="E517">
        <v>0.01</v>
      </c>
      <c r="F517">
        <v>193556328.40000001</v>
      </c>
      <c r="G517">
        <v>0</v>
      </c>
      <c r="L517" t="s">
        <v>7</v>
      </c>
      <c r="M517" t="s">
        <v>7</v>
      </c>
      <c r="N517" t="s">
        <v>7</v>
      </c>
      <c r="P517">
        <f t="shared" si="980"/>
        <v>0.21739130434782575</v>
      </c>
      <c r="Q517">
        <f t="shared" si="981"/>
        <v>42077462.695652112</v>
      </c>
      <c r="R517">
        <f t="shared" si="982"/>
        <v>373549400.29707974</v>
      </c>
      <c r="S517">
        <f t="shared" si="983"/>
        <v>3735.4940029707973</v>
      </c>
      <c r="T517">
        <f t="shared" si="984"/>
        <v>3.7354940029707975</v>
      </c>
    </row>
    <row r="518" spans="1:20" x14ac:dyDescent="0.25">
      <c r="A518" s="5">
        <v>44075</v>
      </c>
      <c r="B518">
        <v>1.099E-2</v>
      </c>
      <c r="C518">
        <v>1.112E-2</v>
      </c>
      <c r="D518">
        <v>1.018E-2</v>
      </c>
      <c r="E518">
        <v>1.031E-2</v>
      </c>
      <c r="F518">
        <v>160768859.40000001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5">IF(C518=D518,0,((E518-D518)-(C518-E518))/(C518-D518))</f>
        <v>-0.72340425531914909</v>
      </c>
      <c r="Q518">
        <f t="shared" ref="Q518:Q581" si="986">F518*P518</f>
        <v>-116300877.01276599</v>
      </c>
      <c r="R518">
        <f t="shared" ref="R518:R581" si="987">R519+Q518</f>
        <v>331471937.60142761</v>
      </c>
      <c r="S518">
        <f t="shared" ref="S518:S581" si="988">R518/100000</f>
        <v>3314.7193760142763</v>
      </c>
      <c r="T518">
        <f t="shared" ref="T518:T581" si="989">S518/1000</f>
        <v>3.3147193760142764</v>
      </c>
    </row>
    <row r="519" spans="1:20" x14ac:dyDescent="0.25">
      <c r="A519" s="5">
        <v>44074</v>
      </c>
      <c r="B519">
        <v>1.149E-2</v>
      </c>
      <c r="C519">
        <v>1.1679999999999999E-2</v>
      </c>
      <c r="D519">
        <v>1.093E-2</v>
      </c>
      <c r="E519">
        <v>1.098E-2</v>
      </c>
      <c r="F519">
        <v>108791153.2</v>
      </c>
      <c r="G519">
        <v>0</v>
      </c>
      <c r="L519" t="s">
        <v>7</v>
      </c>
      <c r="M519" t="s">
        <v>7</v>
      </c>
      <c r="N519" t="s">
        <v>8</v>
      </c>
      <c r="P519">
        <f t="shared" si="985"/>
        <v>-0.86666666666666725</v>
      </c>
      <c r="Q519">
        <f t="shared" si="986"/>
        <v>-94285666.106666729</v>
      </c>
      <c r="R519">
        <f t="shared" si="987"/>
        <v>447772814.61419362</v>
      </c>
      <c r="S519">
        <f t="shared" si="988"/>
        <v>4477.7281461419361</v>
      </c>
      <c r="T519">
        <f t="shared" si="989"/>
        <v>4.4777281461419358</v>
      </c>
    </row>
    <row r="520" spans="1:20" x14ac:dyDescent="0.25">
      <c r="A520" s="5">
        <v>44073</v>
      </c>
      <c r="B520">
        <v>1.183E-2</v>
      </c>
      <c r="C520">
        <v>1.2019999999999999E-2</v>
      </c>
      <c r="D520">
        <v>1.1270000000000001E-2</v>
      </c>
      <c r="E520">
        <v>1.146E-2</v>
      </c>
      <c r="F520">
        <v>207304257.69999999</v>
      </c>
      <c r="G520">
        <v>0</v>
      </c>
      <c r="L520" t="s">
        <v>7</v>
      </c>
      <c r="M520" t="s">
        <v>7</v>
      </c>
      <c r="N520" t="s">
        <v>8</v>
      </c>
      <c r="P520">
        <f t="shared" si="985"/>
        <v>-0.49333333333333473</v>
      </c>
      <c r="Q520">
        <f t="shared" si="986"/>
        <v>-102270100.46533361</v>
      </c>
      <c r="R520">
        <f t="shared" si="987"/>
        <v>542058480.72086036</v>
      </c>
      <c r="S520">
        <f t="shared" si="988"/>
        <v>5420.5848072086037</v>
      </c>
      <c r="T520">
        <f t="shared" si="989"/>
        <v>5.4205848072086038</v>
      </c>
    </row>
    <row r="521" spans="1:20" x14ac:dyDescent="0.25">
      <c r="A521" s="5">
        <v>44072</v>
      </c>
      <c r="B521">
        <v>1.226E-2</v>
      </c>
      <c r="C521">
        <v>1.26E-2</v>
      </c>
      <c r="D521">
        <v>1.172E-2</v>
      </c>
      <c r="E521">
        <v>1.179E-2</v>
      </c>
      <c r="F521">
        <v>136756048.19999999</v>
      </c>
      <c r="G521">
        <v>0</v>
      </c>
      <c r="L521" t="s">
        <v>7</v>
      </c>
      <c r="M521" t="s">
        <v>7</v>
      </c>
      <c r="N521" t="s">
        <v>8</v>
      </c>
      <c r="P521">
        <f t="shared" si="985"/>
        <v>-0.84090909090908961</v>
      </c>
      <c r="Q521">
        <f t="shared" si="986"/>
        <v>-114999404.16818163</v>
      </c>
      <c r="R521">
        <f t="shared" si="987"/>
        <v>644328581.18619394</v>
      </c>
      <c r="S521">
        <f t="shared" si="988"/>
        <v>6443.2858118619397</v>
      </c>
      <c r="T521">
        <f t="shared" si="989"/>
        <v>6.4432858118619398</v>
      </c>
    </row>
    <row r="522" spans="1:20" x14ac:dyDescent="0.25">
      <c r="A522" s="5">
        <v>44071</v>
      </c>
      <c r="B522">
        <v>1.201E-2</v>
      </c>
      <c r="C522">
        <v>1.274E-2</v>
      </c>
      <c r="D522">
        <v>1.1860000000000001E-2</v>
      </c>
      <c r="E522">
        <v>1.226E-2</v>
      </c>
      <c r="F522">
        <v>124149940.59999999</v>
      </c>
      <c r="G522">
        <v>0</v>
      </c>
      <c r="L522" t="s">
        <v>7</v>
      </c>
      <c r="M522" t="s">
        <v>8</v>
      </c>
      <c r="N522" t="s">
        <v>8</v>
      </c>
      <c r="P522">
        <f t="shared" si="985"/>
        <v>-9.0909090909091272E-2</v>
      </c>
      <c r="Q522">
        <f t="shared" si="986"/>
        <v>-11286358.236363681</v>
      </c>
      <c r="R522">
        <f t="shared" si="987"/>
        <v>759327985.3543756</v>
      </c>
      <c r="S522">
        <f t="shared" si="988"/>
        <v>7593.279853543756</v>
      </c>
      <c r="T522">
        <f t="shared" si="989"/>
        <v>7.5932798535437556</v>
      </c>
    </row>
    <row r="523" spans="1:20" x14ac:dyDescent="0.25">
      <c r="A523" s="5">
        <v>44070</v>
      </c>
      <c r="B523">
        <v>1.243E-2</v>
      </c>
      <c r="C523">
        <v>1.375E-2</v>
      </c>
      <c r="D523">
        <v>1.1339999999999999E-2</v>
      </c>
      <c r="E523">
        <v>1.2E-2</v>
      </c>
      <c r="F523">
        <v>374653424.89999998</v>
      </c>
      <c r="G523">
        <v>0</v>
      </c>
      <c r="L523" t="s">
        <v>8</v>
      </c>
      <c r="M523" t="s">
        <v>8</v>
      </c>
      <c r="N523" t="s">
        <v>8</v>
      </c>
      <c r="P523">
        <f t="shared" si="985"/>
        <v>-0.452282157676348</v>
      </c>
      <c r="Q523">
        <f t="shared" si="986"/>
        <v>-169449059.39460558</v>
      </c>
      <c r="R523">
        <f t="shared" si="987"/>
        <v>770614343.59073925</v>
      </c>
      <c r="S523">
        <f t="shared" si="988"/>
        <v>7706.1434359073928</v>
      </c>
      <c r="T523">
        <f t="shared" si="989"/>
        <v>7.7061434359073928</v>
      </c>
    </row>
    <row r="524" spans="1:20" x14ac:dyDescent="0.25">
      <c r="A524" s="5">
        <v>44069</v>
      </c>
      <c r="B524">
        <v>1.167E-2</v>
      </c>
      <c r="C524">
        <v>1.2500000000000001E-2</v>
      </c>
      <c r="D524">
        <v>1.1180000000000001E-2</v>
      </c>
      <c r="E524">
        <v>1.244E-2</v>
      </c>
      <c r="F524">
        <v>206003133.59999999</v>
      </c>
      <c r="G524">
        <v>0</v>
      </c>
      <c r="L524" t="s">
        <v>8</v>
      </c>
      <c r="M524" t="s">
        <v>8</v>
      </c>
      <c r="N524" t="s">
        <v>7</v>
      </c>
      <c r="P524">
        <f t="shared" si="985"/>
        <v>0.90909090909090751</v>
      </c>
      <c r="Q524">
        <f t="shared" si="986"/>
        <v>187275575.99999967</v>
      </c>
      <c r="R524">
        <f t="shared" si="987"/>
        <v>940063402.98534477</v>
      </c>
      <c r="S524">
        <f t="shared" si="988"/>
        <v>9400.6340298534469</v>
      </c>
      <c r="T524">
        <f t="shared" si="989"/>
        <v>9.4006340298534461</v>
      </c>
    </row>
    <row r="525" spans="1:20" x14ac:dyDescent="0.25">
      <c r="A525" s="5">
        <v>44068</v>
      </c>
      <c r="B525">
        <v>1.2699999999999999E-2</v>
      </c>
      <c r="C525">
        <v>1.29E-2</v>
      </c>
      <c r="D525">
        <v>1.0699999999999999E-2</v>
      </c>
      <c r="E525">
        <v>1.1679999999999999E-2</v>
      </c>
      <c r="F525">
        <v>251380478.19999999</v>
      </c>
      <c r="G525">
        <v>0</v>
      </c>
      <c r="L525" t="s">
        <v>7</v>
      </c>
      <c r="M525" t="s">
        <v>7</v>
      </c>
      <c r="N525" t="s">
        <v>7</v>
      </c>
      <c r="P525">
        <f t="shared" si="985"/>
        <v>-0.10909090909090935</v>
      </c>
      <c r="Q525">
        <f t="shared" si="986"/>
        <v>-27423324.894545518</v>
      </c>
      <c r="R525">
        <f t="shared" si="987"/>
        <v>752787826.98534513</v>
      </c>
      <c r="S525">
        <f t="shared" si="988"/>
        <v>7527.8782698534515</v>
      </c>
      <c r="T525">
        <f t="shared" si="989"/>
        <v>7.5278782698534519</v>
      </c>
    </row>
    <row r="526" spans="1:20" x14ac:dyDescent="0.25">
      <c r="A526" s="5">
        <v>44067</v>
      </c>
      <c r="B526">
        <v>1.0699999999999999E-2</v>
      </c>
      <c r="C526">
        <v>1.304E-2</v>
      </c>
      <c r="D526">
        <v>1.047E-2</v>
      </c>
      <c r="E526">
        <v>1.273E-2</v>
      </c>
      <c r="F526">
        <v>377247713.30000001</v>
      </c>
      <c r="G526">
        <v>0</v>
      </c>
      <c r="L526" t="s">
        <v>8</v>
      </c>
      <c r="M526" t="s">
        <v>8</v>
      </c>
      <c r="N526" t="s">
        <v>7</v>
      </c>
      <c r="P526">
        <f t="shared" si="985"/>
        <v>0.75875486381322987</v>
      </c>
      <c r="Q526">
        <f t="shared" si="986"/>
        <v>286238537.32879388</v>
      </c>
      <c r="R526">
        <f t="shared" si="987"/>
        <v>780211151.87989068</v>
      </c>
      <c r="S526">
        <f t="shared" si="988"/>
        <v>7802.1115187989071</v>
      </c>
      <c r="T526">
        <f t="shared" si="989"/>
        <v>7.802111518798907</v>
      </c>
    </row>
    <row r="527" spans="1:20" x14ac:dyDescent="0.25">
      <c r="A527" s="5">
        <v>44066</v>
      </c>
      <c r="B527">
        <v>1.0359999999999999E-2</v>
      </c>
      <c r="C527">
        <v>1.0999999999999999E-2</v>
      </c>
      <c r="D527">
        <v>9.7999999999999997E-3</v>
      </c>
      <c r="E527">
        <v>1.073E-2</v>
      </c>
      <c r="F527">
        <v>106922660</v>
      </c>
      <c r="G527">
        <v>0</v>
      </c>
      <c r="L527" t="s">
        <v>8</v>
      </c>
      <c r="M527" t="s">
        <v>7</v>
      </c>
      <c r="N527" t="s">
        <v>7</v>
      </c>
      <c r="P527">
        <f t="shared" si="985"/>
        <v>0.55000000000000082</v>
      </c>
      <c r="Q527">
        <f t="shared" si="986"/>
        <v>58807463.000000089</v>
      </c>
      <c r="R527">
        <f t="shared" si="987"/>
        <v>493972614.5510968</v>
      </c>
      <c r="S527">
        <f t="shared" si="988"/>
        <v>4939.7261455109683</v>
      </c>
      <c r="T527">
        <f t="shared" si="989"/>
        <v>4.939726145510968</v>
      </c>
    </row>
    <row r="528" spans="1:20" x14ac:dyDescent="0.25">
      <c r="A528" s="5">
        <v>44065</v>
      </c>
      <c r="B528">
        <v>1.0319999999999999E-2</v>
      </c>
      <c r="C528">
        <v>1.0800000000000001E-2</v>
      </c>
      <c r="D528">
        <v>9.5700000000000004E-3</v>
      </c>
      <c r="E528">
        <v>1.035E-2</v>
      </c>
      <c r="F528">
        <v>95432190.5</v>
      </c>
      <c r="G528">
        <v>0</v>
      </c>
      <c r="L528" t="s">
        <v>7</v>
      </c>
      <c r="M528" t="s">
        <v>7</v>
      </c>
      <c r="N528" t="s">
        <v>7</v>
      </c>
      <c r="P528">
        <f t="shared" si="985"/>
        <v>0.26829268292682817</v>
      </c>
      <c r="Q528">
        <f t="shared" si="986"/>
        <v>25603758.426829163</v>
      </c>
      <c r="R528">
        <f t="shared" si="987"/>
        <v>435165151.55109674</v>
      </c>
      <c r="S528">
        <f t="shared" si="988"/>
        <v>4351.6515155109673</v>
      </c>
      <c r="T528">
        <f t="shared" si="989"/>
        <v>4.3516515155109676</v>
      </c>
    </row>
    <row r="529" spans="1:20" x14ac:dyDescent="0.25">
      <c r="A529" s="5">
        <v>44064</v>
      </c>
      <c r="B529">
        <v>1.223E-2</v>
      </c>
      <c r="C529">
        <v>1.2500000000000001E-2</v>
      </c>
      <c r="D529">
        <v>1.0160000000000001E-2</v>
      </c>
      <c r="E529">
        <v>1.0290000000000001E-2</v>
      </c>
      <c r="F529">
        <v>167996065.59999999</v>
      </c>
      <c r="G529">
        <v>0</v>
      </c>
      <c r="L529" t="s">
        <v>7</v>
      </c>
      <c r="M529" t="s">
        <v>8</v>
      </c>
      <c r="N529" t="s">
        <v>7</v>
      </c>
      <c r="P529">
        <f t="shared" si="985"/>
        <v>-0.88888888888888895</v>
      </c>
      <c r="Q529">
        <f t="shared" si="986"/>
        <v>-149329836.08888888</v>
      </c>
      <c r="R529">
        <f t="shared" si="987"/>
        <v>409561393.12426758</v>
      </c>
      <c r="S529">
        <f t="shared" si="988"/>
        <v>4095.6139312426758</v>
      </c>
      <c r="T529">
        <f t="shared" si="989"/>
        <v>4.095613931242676</v>
      </c>
    </row>
    <row r="530" spans="1:20" x14ac:dyDescent="0.25">
      <c r="A530" s="5">
        <v>44063</v>
      </c>
      <c r="B530">
        <v>1.055E-2</v>
      </c>
      <c r="C530">
        <v>1.2330000000000001E-2</v>
      </c>
      <c r="D530">
        <v>1.027E-2</v>
      </c>
      <c r="E530">
        <v>1.221E-2</v>
      </c>
      <c r="F530">
        <v>137731570.09999999</v>
      </c>
      <c r="G530">
        <v>0</v>
      </c>
      <c r="L530" t="s">
        <v>8</v>
      </c>
      <c r="M530" t="s">
        <v>8</v>
      </c>
      <c r="N530" t="s">
        <v>7</v>
      </c>
      <c r="P530">
        <f t="shared" si="985"/>
        <v>0.88349514563106768</v>
      </c>
      <c r="Q530">
        <f t="shared" si="986"/>
        <v>121685173.5834951</v>
      </c>
      <c r="R530">
        <f t="shared" si="987"/>
        <v>558891229.21315646</v>
      </c>
      <c r="S530">
        <f t="shared" si="988"/>
        <v>5588.9122921315648</v>
      </c>
      <c r="T530">
        <f t="shared" si="989"/>
        <v>5.5889122921315648</v>
      </c>
    </row>
    <row r="531" spans="1:20" x14ac:dyDescent="0.25">
      <c r="A531" s="5">
        <v>44062</v>
      </c>
      <c r="B531">
        <v>1.1350000000000001E-2</v>
      </c>
      <c r="C531">
        <v>1.15E-2</v>
      </c>
      <c r="D531">
        <v>9.8499999999999994E-3</v>
      </c>
      <c r="E531">
        <v>1.055E-2</v>
      </c>
      <c r="F531">
        <v>174329204.69999999</v>
      </c>
      <c r="G531">
        <v>0</v>
      </c>
      <c r="L531" t="s">
        <v>7</v>
      </c>
      <c r="M531" t="s">
        <v>7</v>
      </c>
      <c r="N531" t="s">
        <v>7</v>
      </c>
      <c r="P531">
        <f t="shared" si="985"/>
        <v>-0.15151515151515055</v>
      </c>
      <c r="Q531">
        <f t="shared" si="986"/>
        <v>-26413515.863636192</v>
      </c>
      <c r="R531">
        <f t="shared" si="987"/>
        <v>437206055.62966132</v>
      </c>
      <c r="S531">
        <f t="shared" si="988"/>
        <v>4372.060556296613</v>
      </c>
      <c r="T531">
        <f t="shared" si="989"/>
        <v>4.3720605562966126</v>
      </c>
    </row>
    <row r="532" spans="1:20" x14ac:dyDescent="0.25">
      <c r="A532" s="5">
        <v>44061</v>
      </c>
      <c r="B532">
        <v>1.18E-2</v>
      </c>
      <c r="C532">
        <v>1.272E-2</v>
      </c>
      <c r="D532">
        <v>1.069E-2</v>
      </c>
      <c r="E532">
        <v>1.1350000000000001E-2</v>
      </c>
      <c r="F532">
        <v>217707042.90000001</v>
      </c>
      <c r="G532">
        <v>0</v>
      </c>
      <c r="L532" t="s">
        <v>7</v>
      </c>
      <c r="M532" t="s">
        <v>7</v>
      </c>
      <c r="N532" t="s">
        <v>8</v>
      </c>
      <c r="P532">
        <f t="shared" si="985"/>
        <v>-0.34975369458128014</v>
      </c>
      <c r="Q532">
        <f t="shared" si="986"/>
        <v>-76143842.590640262</v>
      </c>
      <c r="R532">
        <f t="shared" si="987"/>
        <v>463619571.49329752</v>
      </c>
      <c r="S532">
        <f t="shared" si="988"/>
        <v>4636.1957149329755</v>
      </c>
      <c r="T532">
        <f t="shared" si="989"/>
        <v>4.6361957149329758</v>
      </c>
    </row>
    <row r="533" spans="1:20" x14ac:dyDescent="0.25">
      <c r="A533" s="5">
        <v>44060</v>
      </c>
      <c r="B533">
        <v>1.273E-2</v>
      </c>
      <c r="C533">
        <v>1.325E-2</v>
      </c>
      <c r="D533">
        <v>1.1350000000000001E-2</v>
      </c>
      <c r="E533">
        <v>1.1809999999999999E-2</v>
      </c>
      <c r="F533">
        <v>298705036.39999998</v>
      </c>
      <c r="G533">
        <v>0</v>
      </c>
      <c r="L533" t="s">
        <v>8</v>
      </c>
      <c r="M533" t="s">
        <v>7</v>
      </c>
      <c r="N533" t="s">
        <v>8</v>
      </c>
      <c r="P533">
        <f t="shared" si="985"/>
        <v>-0.51578947368421169</v>
      </c>
      <c r="Q533">
        <f t="shared" si="986"/>
        <v>-154068913.51157928</v>
      </c>
      <c r="R533">
        <f t="shared" si="987"/>
        <v>539763414.08393776</v>
      </c>
      <c r="S533">
        <f t="shared" si="988"/>
        <v>5397.6341408393773</v>
      </c>
      <c r="T533">
        <f t="shared" si="989"/>
        <v>5.3976341408393775</v>
      </c>
    </row>
    <row r="534" spans="1:20" x14ac:dyDescent="0.25">
      <c r="A534" s="5">
        <v>44059</v>
      </c>
      <c r="B534">
        <v>1.2370000000000001E-2</v>
      </c>
      <c r="C534">
        <v>1.298E-2</v>
      </c>
      <c r="D534">
        <v>1.1849999999999999E-2</v>
      </c>
      <c r="E534">
        <v>1.265E-2</v>
      </c>
      <c r="F534">
        <v>161590021.69999999</v>
      </c>
      <c r="G534">
        <v>0</v>
      </c>
      <c r="L534" t="s">
        <v>8</v>
      </c>
      <c r="M534" t="s">
        <v>8</v>
      </c>
      <c r="N534" t="s">
        <v>8</v>
      </c>
      <c r="P534">
        <f t="shared" si="985"/>
        <v>0.41592920353982266</v>
      </c>
      <c r="Q534">
        <f t="shared" si="986"/>
        <v>67210009.025663659</v>
      </c>
      <c r="R534">
        <f t="shared" si="987"/>
        <v>693832327.59551704</v>
      </c>
      <c r="S534">
        <f t="shared" si="988"/>
        <v>6938.3232759551702</v>
      </c>
      <c r="T534">
        <f t="shared" si="989"/>
        <v>6.9383232759551703</v>
      </c>
    </row>
    <row r="535" spans="1:20" x14ac:dyDescent="0.25">
      <c r="A535" s="5">
        <v>44058</v>
      </c>
      <c r="B535">
        <v>1.319E-2</v>
      </c>
      <c r="C535">
        <v>1.375E-2</v>
      </c>
      <c r="D535">
        <v>1.1979999999999999E-2</v>
      </c>
      <c r="E535">
        <v>1.2359999999999999E-2</v>
      </c>
      <c r="F535">
        <v>310596200.19999999</v>
      </c>
      <c r="G535">
        <v>0</v>
      </c>
      <c r="L535" t="s">
        <v>7</v>
      </c>
      <c r="M535" t="s">
        <v>8</v>
      </c>
      <c r="N535" t="s">
        <v>8</v>
      </c>
      <c r="P535">
        <f t="shared" si="985"/>
        <v>-0.57062146892655374</v>
      </c>
      <c r="Q535">
        <f t="shared" si="986"/>
        <v>-177232860.00112996</v>
      </c>
      <c r="R535">
        <f t="shared" si="987"/>
        <v>626622318.56985343</v>
      </c>
      <c r="S535">
        <f t="shared" si="988"/>
        <v>6266.2231856985345</v>
      </c>
      <c r="T535">
        <f t="shared" si="989"/>
        <v>6.2662231856985349</v>
      </c>
    </row>
    <row r="536" spans="1:20" x14ac:dyDescent="0.25">
      <c r="A536" s="5">
        <v>44057</v>
      </c>
      <c r="B536">
        <v>1.04E-2</v>
      </c>
      <c r="C536">
        <v>1.38E-2</v>
      </c>
      <c r="D536">
        <v>1.0359999999999999E-2</v>
      </c>
      <c r="E536">
        <v>1.319E-2</v>
      </c>
      <c r="F536">
        <v>546142532.89999998</v>
      </c>
      <c r="G536">
        <v>0</v>
      </c>
      <c r="L536" t="s">
        <v>8</v>
      </c>
      <c r="M536" t="s">
        <v>8</v>
      </c>
      <c r="N536" t="s">
        <v>8</v>
      </c>
      <c r="P536">
        <f t="shared" si="985"/>
        <v>0.64534883720930269</v>
      </c>
      <c r="Q536">
        <f t="shared" si="986"/>
        <v>352452448.5575583</v>
      </c>
      <c r="R536">
        <f t="shared" si="987"/>
        <v>803855178.57098341</v>
      </c>
      <c r="S536">
        <f t="shared" si="988"/>
        <v>8038.5517857098339</v>
      </c>
      <c r="T536">
        <f t="shared" si="989"/>
        <v>8.0385517857098332</v>
      </c>
    </row>
    <row r="537" spans="1:20" x14ac:dyDescent="0.25">
      <c r="A537" s="5">
        <v>44056</v>
      </c>
      <c r="B537">
        <v>1.085E-2</v>
      </c>
      <c r="C537">
        <v>1.112E-2</v>
      </c>
      <c r="D537">
        <v>9.4999999999999998E-3</v>
      </c>
      <c r="E537">
        <v>1.0359999999999999E-2</v>
      </c>
      <c r="F537">
        <v>243506288.59999999</v>
      </c>
      <c r="G537">
        <v>0</v>
      </c>
      <c r="L537" t="s">
        <v>7</v>
      </c>
      <c r="M537" t="s">
        <v>7</v>
      </c>
      <c r="N537" t="s">
        <v>8</v>
      </c>
      <c r="P537">
        <f t="shared" si="985"/>
        <v>6.1728395061728024E-2</v>
      </c>
      <c r="Q537">
        <f t="shared" si="986"/>
        <v>15031252.382715959</v>
      </c>
      <c r="R537">
        <f t="shared" si="987"/>
        <v>451402730.01342511</v>
      </c>
      <c r="S537">
        <f t="shared" si="988"/>
        <v>4514.0273001342512</v>
      </c>
      <c r="T537">
        <f t="shared" si="989"/>
        <v>4.5140273001342512</v>
      </c>
    </row>
    <row r="538" spans="1:20" x14ac:dyDescent="0.25">
      <c r="A538" s="5">
        <v>44055</v>
      </c>
      <c r="B538">
        <v>1.03E-2</v>
      </c>
      <c r="C538">
        <v>1.14E-2</v>
      </c>
      <c r="D538">
        <v>9.7999999999999997E-3</v>
      </c>
      <c r="E538">
        <v>1.085E-2</v>
      </c>
      <c r="F538">
        <v>209929790.69999999</v>
      </c>
      <c r="G538">
        <v>0</v>
      </c>
      <c r="L538" t="s">
        <v>8</v>
      </c>
      <c r="M538" t="s">
        <v>8</v>
      </c>
      <c r="N538" t="s">
        <v>8</v>
      </c>
      <c r="P538">
        <f t="shared" si="985"/>
        <v>0.31250000000000011</v>
      </c>
      <c r="Q538">
        <f t="shared" si="986"/>
        <v>65603059.593750022</v>
      </c>
      <c r="R538">
        <f t="shared" si="987"/>
        <v>436371477.63070917</v>
      </c>
      <c r="S538">
        <f t="shared" si="988"/>
        <v>4363.7147763070916</v>
      </c>
      <c r="T538">
        <f t="shared" si="989"/>
        <v>4.3637147763070914</v>
      </c>
    </row>
    <row r="539" spans="1:20" x14ac:dyDescent="0.25">
      <c r="A539" s="5">
        <v>44054</v>
      </c>
      <c r="B539">
        <v>1.0919999999999999E-2</v>
      </c>
      <c r="C539">
        <v>1.188E-2</v>
      </c>
      <c r="D539">
        <v>9.4999999999999998E-3</v>
      </c>
      <c r="E539">
        <v>1.03E-2</v>
      </c>
      <c r="F539">
        <v>364374943.5</v>
      </c>
      <c r="G539">
        <v>0</v>
      </c>
      <c r="L539" t="s">
        <v>7</v>
      </c>
      <c r="M539" t="s">
        <v>7</v>
      </c>
      <c r="N539" t="s">
        <v>8</v>
      </c>
      <c r="P539">
        <f t="shared" si="985"/>
        <v>-0.32773109243697451</v>
      </c>
      <c r="Q539">
        <f t="shared" si="986"/>
        <v>-119416998.28991586</v>
      </c>
      <c r="R539">
        <f t="shared" si="987"/>
        <v>370768418.03695917</v>
      </c>
      <c r="S539">
        <f t="shared" si="988"/>
        <v>3707.6841803695916</v>
      </c>
      <c r="T539">
        <f t="shared" si="989"/>
        <v>3.7076841803695917</v>
      </c>
    </row>
    <row r="540" spans="1:20" x14ac:dyDescent="0.25">
      <c r="A540" s="5">
        <v>44053</v>
      </c>
      <c r="B540">
        <v>1.018E-2</v>
      </c>
      <c r="C540">
        <v>1.248E-2</v>
      </c>
      <c r="D540">
        <v>8.6800000000000002E-3</v>
      </c>
      <c r="E540">
        <v>1.0970000000000001E-2</v>
      </c>
      <c r="F540">
        <v>758903675.79999995</v>
      </c>
      <c r="G540">
        <v>0</v>
      </c>
      <c r="L540" t="s">
        <v>8</v>
      </c>
      <c r="M540" t="s">
        <v>8</v>
      </c>
      <c r="N540" t="s">
        <v>8</v>
      </c>
      <c r="P540">
        <f t="shared" si="985"/>
        <v>0.20526315789473717</v>
      </c>
      <c r="Q540">
        <f t="shared" si="986"/>
        <v>155774965.03263181</v>
      </c>
      <c r="R540">
        <f t="shared" si="987"/>
        <v>490185416.32687503</v>
      </c>
      <c r="S540">
        <f t="shared" si="988"/>
        <v>4901.8541632687502</v>
      </c>
      <c r="T540">
        <f t="shared" si="989"/>
        <v>4.9018541632687498</v>
      </c>
    </row>
    <row r="541" spans="1:20" x14ac:dyDescent="0.25">
      <c r="A541" s="5">
        <v>44052</v>
      </c>
      <c r="B541">
        <v>8.1799999999999998E-3</v>
      </c>
      <c r="C541">
        <v>1.0200000000000001E-2</v>
      </c>
      <c r="D541">
        <v>7.7799999999999996E-3</v>
      </c>
      <c r="E541">
        <v>1.013E-2</v>
      </c>
      <c r="F541">
        <v>305236033.5</v>
      </c>
      <c r="G541">
        <v>0</v>
      </c>
      <c r="L541" t="s">
        <v>8</v>
      </c>
      <c r="M541" t="s">
        <v>8</v>
      </c>
      <c r="N541" t="s">
        <v>8</v>
      </c>
      <c r="P541">
        <f t="shared" si="985"/>
        <v>0.94214876033057804</v>
      </c>
      <c r="Q541">
        <f t="shared" si="986"/>
        <v>287577750.57024777</v>
      </c>
      <c r="R541">
        <f t="shared" si="987"/>
        <v>334410451.29424322</v>
      </c>
      <c r="S541">
        <f t="shared" si="988"/>
        <v>3344.1045129424319</v>
      </c>
      <c r="T541">
        <f t="shared" si="989"/>
        <v>3.3441045129424318</v>
      </c>
    </row>
    <row r="542" spans="1:20" x14ac:dyDescent="0.25">
      <c r="A542" s="5">
        <v>44051</v>
      </c>
      <c r="B542">
        <v>7.4400000000000004E-3</v>
      </c>
      <c r="C542">
        <v>8.4399999999999996E-3</v>
      </c>
      <c r="D542">
        <v>7.3899999999999999E-3</v>
      </c>
      <c r="E542">
        <v>8.1899999999999994E-3</v>
      </c>
      <c r="F542">
        <v>193950210.09999999</v>
      </c>
      <c r="G542">
        <v>0</v>
      </c>
      <c r="L542" t="s">
        <v>8</v>
      </c>
      <c r="M542" t="s">
        <v>8</v>
      </c>
      <c r="N542" t="s">
        <v>8</v>
      </c>
      <c r="P542">
        <f t="shared" si="985"/>
        <v>0.52380952380952328</v>
      </c>
      <c r="Q542">
        <f t="shared" si="986"/>
        <v>101592967.19523799</v>
      </c>
      <c r="R542">
        <f t="shared" si="987"/>
        <v>46832700.723995462</v>
      </c>
      <c r="S542">
        <f t="shared" si="988"/>
        <v>468.32700723995464</v>
      </c>
      <c r="T542">
        <f t="shared" si="989"/>
        <v>0.46832700723995463</v>
      </c>
    </row>
    <row r="543" spans="1:20" x14ac:dyDescent="0.25">
      <c r="A543" s="5">
        <v>44050</v>
      </c>
      <c r="B543">
        <v>7.8899999999999994E-3</v>
      </c>
      <c r="C543">
        <v>8.1799999999999998E-3</v>
      </c>
      <c r="D543">
        <v>7.0299999999999998E-3</v>
      </c>
      <c r="E543">
        <v>7.4400000000000004E-3</v>
      </c>
      <c r="F543">
        <v>199547310.59999999</v>
      </c>
      <c r="G543">
        <v>0</v>
      </c>
      <c r="L543" t="s">
        <v>8</v>
      </c>
      <c r="M543" t="s">
        <v>8</v>
      </c>
      <c r="N543" t="s">
        <v>8</v>
      </c>
      <c r="P543">
        <f t="shared" si="985"/>
        <v>-0.28695652173912933</v>
      </c>
      <c r="Q543">
        <f t="shared" si="986"/>
        <v>-57261402.172173694</v>
      </c>
      <c r="R543">
        <f t="shared" si="987"/>
        <v>-54760266.471242532</v>
      </c>
      <c r="S543">
        <f t="shared" si="988"/>
        <v>-547.60266471242528</v>
      </c>
      <c r="T543">
        <f t="shared" si="989"/>
        <v>-0.54760266471242525</v>
      </c>
    </row>
    <row r="544" spans="1:20" x14ac:dyDescent="0.25">
      <c r="A544" s="5">
        <v>44049</v>
      </c>
      <c r="B544">
        <v>6.8900000000000003E-3</v>
      </c>
      <c r="C544">
        <v>8.0000000000000002E-3</v>
      </c>
      <c r="D544">
        <v>6.8900000000000003E-3</v>
      </c>
      <c r="E544">
        <v>7.8700000000000003E-3</v>
      </c>
      <c r="F544">
        <v>295794665.69999999</v>
      </c>
      <c r="G544">
        <v>0</v>
      </c>
      <c r="L544" t="s">
        <v>8</v>
      </c>
      <c r="M544" t="s">
        <v>8</v>
      </c>
      <c r="N544" t="s">
        <v>8</v>
      </c>
      <c r="P544">
        <f t="shared" si="985"/>
        <v>0.76576576576576594</v>
      </c>
      <c r="Q544">
        <f t="shared" si="986"/>
        <v>226509428.68918923</v>
      </c>
      <c r="R544">
        <f t="shared" si="987"/>
        <v>2501135.7009311616</v>
      </c>
      <c r="S544">
        <f t="shared" si="988"/>
        <v>25.011357009311617</v>
      </c>
      <c r="T544">
        <f t="shared" si="989"/>
        <v>2.5011357009311615E-2</v>
      </c>
    </row>
    <row r="545" spans="1:20" x14ac:dyDescent="0.25">
      <c r="A545" s="5">
        <v>44048</v>
      </c>
      <c r="B545">
        <v>6.94E-3</v>
      </c>
      <c r="C545">
        <v>6.96E-3</v>
      </c>
      <c r="D545">
        <v>6.62E-3</v>
      </c>
      <c r="E545">
        <v>6.8999999999999999E-3</v>
      </c>
      <c r="F545">
        <v>146177861.40000001</v>
      </c>
      <c r="G545">
        <v>0</v>
      </c>
      <c r="L545" t="s">
        <v>7</v>
      </c>
      <c r="M545" t="s">
        <v>8</v>
      </c>
      <c r="N545" t="s">
        <v>7</v>
      </c>
      <c r="P545">
        <f t="shared" si="985"/>
        <v>0.64705882352941091</v>
      </c>
      <c r="Q545">
        <f t="shared" si="986"/>
        <v>94585675.023529291</v>
      </c>
      <c r="R545">
        <f t="shared" si="987"/>
        <v>-224008292.98825806</v>
      </c>
      <c r="S545">
        <f t="shared" si="988"/>
        <v>-2240.0829298825806</v>
      </c>
      <c r="T545">
        <f t="shared" si="989"/>
        <v>-2.2400829298825808</v>
      </c>
    </row>
    <row r="546" spans="1:20" x14ac:dyDescent="0.25">
      <c r="A546" s="5">
        <v>44047</v>
      </c>
      <c r="B546">
        <v>6.6699999999999997E-3</v>
      </c>
      <c r="C546">
        <v>7.1999999999999998E-3</v>
      </c>
      <c r="D546">
        <v>6.5199999999999998E-3</v>
      </c>
      <c r="E546">
        <v>6.94E-3</v>
      </c>
      <c r="F546">
        <v>200657867.40000001</v>
      </c>
      <c r="G546">
        <v>0</v>
      </c>
      <c r="L546" t="s">
        <v>8</v>
      </c>
      <c r="M546" t="s">
        <v>8</v>
      </c>
      <c r="N546" t="s">
        <v>7</v>
      </c>
      <c r="P546">
        <f t="shared" si="985"/>
        <v>0.23529411764705943</v>
      </c>
      <c r="Q546">
        <f t="shared" si="986"/>
        <v>47213615.85882365</v>
      </c>
      <c r="R546">
        <f t="shared" si="987"/>
        <v>-318593968.01178735</v>
      </c>
      <c r="S546">
        <f t="shared" si="988"/>
        <v>-3185.9396801178736</v>
      </c>
      <c r="T546">
        <f t="shared" si="989"/>
        <v>-3.1859396801178734</v>
      </c>
    </row>
    <row r="547" spans="1:20" x14ac:dyDescent="0.25">
      <c r="A547" s="5">
        <v>44046</v>
      </c>
      <c r="B547">
        <v>6.0499999999999998E-3</v>
      </c>
      <c r="C547">
        <v>6.7000000000000002E-3</v>
      </c>
      <c r="D547">
        <v>6.0099999999999997E-3</v>
      </c>
      <c r="E547">
        <v>6.6800000000000002E-3</v>
      </c>
      <c r="F547">
        <v>152864627.59999999</v>
      </c>
      <c r="G547">
        <v>0</v>
      </c>
      <c r="L547" t="s">
        <v>8</v>
      </c>
      <c r="M547" t="s">
        <v>7</v>
      </c>
      <c r="N547" t="s">
        <v>7</v>
      </c>
      <c r="P547">
        <f t="shared" si="985"/>
        <v>0.94202898550724623</v>
      </c>
      <c r="Q547">
        <f t="shared" si="986"/>
        <v>144002910.057971</v>
      </c>
      <c r="R547">
        <f t="shared" si="987"/>
        <v>-365807583.87061101</v>
      </c>
      <c r="S547">
        <f t="shared" si="988"/>
        <v>-3658.0758387061101</v>
      </c>
      <c r="T547">
        <f t="shared" si="989"/>
        <v>-3.6580758387061101</v>
      </c>
    </row>
    <row r="548" spans="1:20" x14ac:dyDescent="0.25">
      <c r="A548" s="5">
        <v>44045</v>
      </c>
      <c r="B548">
        <v>6.4599999999999996E-3</v>
      </c>
      <c r="C548">
        <v>6.5399999999999998E-3</v>
      </c>
      <c r="D548">
        <v>5.8100000000000001E-3</v>
      </c>
      <c r="E548">
        <v>6.0499999999999998E-3</v>
      </c>
      <c r="F548">
        <v>215300105.40000001</v>
      </c>
      <c r="G548">
        <v>0</v>
      </c>
      <c r="L548" t="s">
        <v>7</v>
      </c>
      <c r="M548" t="s">
        <v>7</v>
      </c>
      <c r="N548" t="s">
        <v>7</v>
      </c>
      <c r="P548">
        <f t="shared" si="985"/>
        <v>-0.34246575342465796</v>
      </c>
      <c r="Q548">
        <f t="shared" si="986"/>
        <v>-73732912.808219269</v>
      </c>
      <c r="R548">
        <f t="shared" si="987"/>
        <v>-509810493.92858201</v>
      </c>
      <c r="S548">
        <f t="shared" si="988"/>
        <v>-5098.1049392858204</v>
      </c>
      <c r="T548">
        <f t="shared" si="989"/>
        <v>-5.09810493928582</v>
      </c>
    </row>
    <row r="549" spans="1:20" x14ac:dyDescent="0.25">
      <c r="A549" s="5">
        <v>44044</v>
      </c>
      <c r="B549">
        <v>6.7499999999999999E-3</v>
      </c>
      <c r="C549">
        <v>7.0800000000000004E-3</v>
      </c>
      <c r="D549">
        <v>6.4400000000000004E-3</v>
      </c>
      <c r="E549">
        <v>6.4599999999999996E-3</v>
      </c>
      <c r="F549">
        <v>177059715.90000001</v>
      </c>
      <c r="G549">
        <v>0</v>
      </c>
      <c r="L549" t="s">
        <v>7</v>
      </c>
      <c r="M549" t="s">
        <v>7</v>
      </c>
      <c r="N549" t="s">
        <v>8</v>
      </c>
      <c r="P549">
        <f t="shared" si="985"/>
        <v>-0.93750000000000255</v>
      </c>
      <c r="Q549">
        <f t="shared" si="986"/>
        <v>-165993483.65625045</v>
      </c>
      <c r="R549">
        <f t="shared" si="987"/>
        <v>-436077581.12036276</v>
      </c>
      <c r="S549">
        <f t="shared" si="988"/>
        <v>-4360.7758112036272</v>
      </c>
      <c r="T549">
        <f t="shared" si="989"/>
        <v>-4.3607758112036272</v>
      </c>
    </row>
    <row r="550" spans="1:20" x14ac:dyDescent="0.25">
      <c r="A550" s="5">
        <v>44043</v>
      </c>
      <c r="B550">
        <v>7.11E-3</v>
      </c>
      <c r="C550">
        <v>7.2700000000000004E-3</v>
      </c>
      <c r="D550">
        <v>6.5799999999999999E-3</v>
      </c>
      <c r="E550">
        <v>6.7499999999999999E-3</v>
      </c>
      <c r="F550">
        <v>156205037</v>
      </c>
      <c r="G550">
        <v>0</v>
      </c>
      <c r="L550" t="s">
        <v>7</v>
      </c>
      <c r="M550" t="s">
        <v>7</v>
      </c>
      <c r="N550" t="s">
        <v>8</v>
      </c>
      <c r="P550">
        <f t="shared" si="985"/>
        <v>-0.50724637681159457</v>
      </c>
      <c r="Q550">
        <f t="shared" si="986"/>
        <v>-79234439.057971075</v>
      </c>
      <c r="R550">
        <f t="shared" si="987"/>
        <v>-270084097.46411228</v>
      </c>
      <c r="S550">
        <f t="shared" si="988"/>
        <v>-2700.840974641123</v>
      </c>
      <c r="T550">
        <f t="shared" si="989"/>
        <v>-2.7008409746411228</v>
      </c>
    </row>
    <row r="551" spans="1:20" x14ac:dyDescent="0.25">
      <c r="A551" s="5">
        <v>44042</v>
      </c>
      <c r="B551">
        <v>7.0600000000000003E-3</v>
      </c>
      <c r="C551">
        <v>7.6800000000000002E-3</v>
      </c>
      <c r="D551">
        <v>6.8500000000000002E-3</v>
      </c>
      <c r="E551">
        <v>7.1000000000000004E-3</v>
      </c>
      <c r="F551">
        <v>219735306.69999999</v>
      </c>
      <c r="G551">
        <v>0</v>
      </c>
      <c r="L551" t="s">
        <v>8</v>
      </c>
      <c r="M551" t="s">
        <v>7</v>
      </c>
      <c r="N551" t="s">
        <v>8</v>
      </c>
      <c r="P551">
        <f t="shared" si="985"/>
        <v>-0.39759036144578258</v>
      </c>
      <c r="Q551">
        <f t="shared" si="986"/>
        <v>-87364640.013252884</v>
      </c>
      <c r="R551">
        <f t="shared" si="987"/>
        <v>-190849658.40614119</v>
      </c>
      <c r="S551">
        <f t="shared" si="988"/>
        <v>-1908.496584061412</v>
      </c>
      <c r="T551">
        <f t="shared" si="989"/>
        <v>-1.9084965840614121</v>
      </c>
    </row>
    <row r="552" spans="1:20" x14ac:dyDescent="0.25">
      <c r="A552" s="5">
        <v>44041</v>
      </c>
      <c r="B552">
        <v>7.6E-3</v>
      </c>
      <c r="C552">
        <v>8.0000000000000002E-3</v>
      </c>
      <c r="D552">
        <v>6.8500000000000002E-3</v>
      </c>
      <c r="E552">
        <v>7.0400000000000003E-3</v>
      </c>
      <c r="F552">
        <v>252943805.30000001</v>
      </c>
      <c r="G552">
        <v>0</v>
      </c>
      <c r="L552" t="s">
        <v>7</v>
      </c>
      <c r="M552" t="s">
        <v>7</v>
      </c>
      <c r="N552" t="s">
        <v>8</v>
      </c>
      <c r="P552">
        <f t="shared" si="985"/>
        <v>-0.66956521739130426</v>
      </c>
      <c r="Q552">
        <f t="shared" si="986"/>
        <v>-169362373.98347825</v>
      </c>
      <c r="R552">
        <f t="shared" si="987"/>
        <v>-103485018.39288831</v>
      </c>
      <c r="S552">
        <f t="shared" si="988"/>
        <v>-1034.8501839288831</v>
      </c>
      <c r="T552">
        <f t="shared" si="989"/>
        <v>-1.0348501839288831</v>
      </c>
    </row>
    <row r="553" spans="1:20" x14ac:dyDescent="0.25">
      <c r="A553" s="5">
        <v>44040</v>
      </c>
      <c r="B553">
        <v>7.9100000000000004E-3</v>
      </c>
      <c r="C553">
        <v>8.3499999999999998E-3</v>
      </c>
      <c r="D553">
        <v>7.26E-3</v>
      </c>
      <c r="E553">
        <v>7.6E-3</v>
      </c>
      <c r="F553">
        <v>314640370</v>
      </c>
      <c r="G553">
        <v>0</v>
      </c>
      <c r="L553" t="s">
        <v>7</v>
      </c>
      <c r="M553" t="s">
        <v>7</v>
      </c>
      <c r="N553" t="s">
        <v>8</v>
      </c>
      <c r="P553">
        <f t="shared" si="985"/>
        <v>-0.37614678899082554</v>
      </c>
      <c r="Q553">
        <f t="shared" si="986"/>
        <v>-118350964.86238527</v>
      </c>
      <c r="R553">
        <f t="shared" si="987"/>
        <v>65877355.590589941</v>
      </c>
      <c r="S553">
        <f t="shared" si="988"/>
        <v>658.77355590589946</v>
      </c>
      <c r="T553">
        <f t="shared" si="989"/>
        <v>0.65877355590589948</v>
      </c>
    </row>
    <row r="554" spans="1:20" x14ac:dyDescent="0.25">
      <c r="A554" s="5">
        <v>44039</v>
      </c>
      <c r="B554">
        <v>7.4200000000000004E-3</v>
      </c>
      <c r="C554">
        <v>9.1500000000000001E-3</v>
      </c>
      <c r="D554">
        <v>7.0299999999999998E-3</v>
      </c>
      <c r="E554">
        <v>7.9100000000000004E-3</v>
      </c>
      <c r="F554">
        <v>881047395.60000002</v>
      </c>
      <c r="G554">
        <v>0</v>
      </c>
      <c r="L554" t="s">
        <v>8</v>
      </c>
      <c r="M554" t="s">
        <v>8</v>
      </c>
      <c r="N554" t="s">
        <v>8</v>
      </c>
      <c r="P554">
        <f t="shared" si="985"/>
        <v>-0.16981132075471658</v>
      </c>
      <c r="Q554">
        <f t="shared" si="986"/>
        <v>-149611821.89433926</v>
      </c>
      <c r="R554">
        <f t="shared" si="987"/>
        <v>184228320.45297521</v>
      </c>
      <c r="S554">
        <f t="shared" si="988"/>
        <v>1842.2832045297521</v>
      </c>
      <c r="T554">
        <f t="shared" si="989"/>
        <v>1.8422832045297521</v>
      </c>
    </row>
    <row r="555" spans="1:20" x14ac:dyDescent="0.25">
      <c r="A555" s="5">
        <v>44038</v>
      </c>
      <c r="B555">
        <v>6.28E-3</v>
      </c>
      <c r="C555">
        <v>7.5700000000000003E-3</v>
      </c>
      <c r="D555">
        <v>5.7999999999999996E-3</v>
      </c>
      <c r="E555">
        <v>7.4400000000000004E-3</v>
      </c>
      <c r="F555">
        <v>359760241.80000001</v>
      </c>
      <c r="G555">
        <v>0</v>
      </c>
      <c r="L555" t="s">
        <v>8</v>
      </c>
      <c r="M555" t="s">
        <v>8</v>
      </c>
      <c r="N555" t="s">
        <v>8</v>
      </c>
      <c r="P555">
        <f t="shared" si="985"/>
        <v>0.85310734463276849</v>
      </c>
      <c r="Q555">
        <f t="shared" si="986"/>
        <v>306914104.58644074</v>
      </c>
      <c r="R555">
        <f t="shared" si="987"/>
        <v>333840142.34731448</v>
      </c>
      <c r="S555">
        <f t="shared" si="988"/>
        <v>3338.4014234731449</v>
      </c>
      <c r="T555">
        <f t="shared" si="989"/>
        <v>3.3384014234731447</v>
      </c>
    </row>
    <row r="556" spans="1:20" x14ac:dyDescent="0.25">
      <c r="A556" s="5">
        <v>44037</v>
      </c>
      <c r="B556">
        <v>6.5500000000000003E-3</v>
      </c>
      <c r="C556">
        <v>6.8999999999999999E-3</v>
      </c>
      <c r="D556">
        <v>6.1700000000000001E-3</v>
      </c>
      <c r="E556">
        <v>6.3099999999999996E-3</v>
      </c>
      <c r="F556">
        <v>228987002.19999999</v>
      </c>
      <c r="G556">
        <v>0</v>
      </c>
      <c r="L556" t="s">
        <v>8</v>
      </c>
      <c r="M556" t="s">
        <v>8</v>
      </c>
      <c r="N556" t="s">
        <v>8</v>
      </c>
      <c r="P556">
        <f t="shared" si="985"/>
        <v>-0.6164383561643848</v>
      </c>
      <c r="Q556">
        <f t="shared" si="986"/>
        <v>-141156371.21917835</v>
      </c>
      <c r="R556">
        <f t="shared" si="987"/>
        <v>26926037.760873705</v>
      </c>
      <c r="S556">
        <f t="shared" si="988"/>
        <v>269.26037760873703</v>
      </c>
      <c r="T556">
        <f t="shared" si="989"/>
        <v>0.26926037760873706</v>
      </c>
    </row>
    <row r="557" spans="1:20" x14ac:dyDescent="0.25">
      <c r="A557" s="5">
        <v>44036</v>
      </c>
      <c r="B557">
        <v>6.2899999999999996E-3</v>
      </c>
      <c r="C557">
        <v>6.8100000000000001E-3</v>
      </c>
      <c r="D557">
        <v>5.8500000000000002E-3</v>
      </c>
      <c r="E557">
        <v>6.5500000000000003E-3</v>
      </c>
      <c r="F557">
        <v>237267726.30000001</v>
      </c>
      <c r="G557">
        <v>0</v>
      </c>
      <c r="L557" t="s">
        <v>7</v>
      </c>
      <c r="M557" t="s">
        <v>7</v>
      </c>
      <c r="N557" t="s">
        <v>8</v>
      </c>
      <c r="P557">
        <f t="shared" si="985"/>
        <v>0.45833333333333365</v>
      </c>
      <c r="Q557">
        <f t="shared" si="986"/>
        <v>108747707.88750008</v>
      </c>
      <c r="R557">
        <f t="shared" si="987"/>
        <v>168082408.98005205</v>
      </c>
      <c r="S557">
        <f t="shared" si="988"/>
        <v>1680.8240898005206</v>
      </c>
      <c r="T557">
        <f t="shared" si="989"/>
        <v>1.6808240898005207</v>
      </c>
    </row>
    <row r="558" spans="1:20" x14ac:dyDescent="0.25">
      <c r="A558" s="5">
        <v>44035</v>
      </c>
      <c r="B558">
        <v>6.3800000000000003E-3</v>
      </c>
      <c r="C558">
        <v>6.9300000000000004E-3</v>
      </c>
      <c r="D558">
        <v>6.1799999999999997E-3</v>
      </c>
      <c r="E558">
        <v>6.2899999999999996E-3</v>
      </c>
      <c r="F558">
        <v>278455052.30000001</v>
      </c>
      <c r="G558">
        <v>0</v>
      </c>
      <c r="L558" t="s">
        <v>7</v>
      </c>
      <c r="M558" t="s">
        <v>7</v>
      </c>
      <c r="N558" t="s">
        <v>8</v>
      </c>
      <c r="P558">
        <f t="shared" si="985"/>
        <v>-0.70666666666666733</v>
      </c>
      <c r="Q558">
        <f t="shared" si="986"/>
        <v>-196774903.62533352</v>
      </c>
      <c r="R558">
        <f t="shared" si="987"/>
        <v>59334701.092551976</v>
      </c>
      <c r="S558">
        <f t="shared" si="988"/>
        <v>593.34701092551973</v>
      </c>
      <c r="T558">
        <f t="shared" si="989"/>
        <v>0.59334701092551978</v>
      </c>
    </row>
    <row r="559" spans="1:20" x14ac:dyDescent="0.25">
      <c r="A559" s="5">
        <v>44034</v>
      </c>
      <c r="B559">
        <v>6.6899999999999998E-3</v>
      </c>
      <c r="C559">
        <v>7.4999999999999997E-3</v>
      </c>
      <c r="D559">
        <v>6.3099999999999996E-3</v>
      </c>
      <c r="E559">
        <v>6.3600000000000002E-3</v>
      </c>
      <c r="F559">
        <v>386056972</v>
      </c>
      <c r="G559">
        <v>0</v>
      </c>
      <c r="L559" t="s">
        <v>8</v>
      </c>
      <c r="M559" t="s">
        <v>8</v>
      </c>
      <c r="N559" t="s">
        <v>8</v>
      </c>
      <c r="P559">
        <f t="shared" si="985"/>
        <v>-0.91596638655462093</v>
      </c>
      <c r="Q559">
        <f t="shared" si="986"/>
        <v>-353615209.64705849</v>
      </c>
      <c r="R559">
        <f t="shared" si="987"/>
        <v>256109604.71788549</v>
      </c>
      <c r="S559">
        <f t="shared" si="988"/>
        <v>2561.0960471788549</v>
      </c>
      <c r="T559">
        <f t="shared" si="989"/>
        <v>2.5610960471788546</v>
      </c>
    </row>
    <row r="560" spans="1:20" x14ac:dyDescent="0.25">
      <c r="A560" s="5">
        <v>44033</v>
      </c>
      <c r="B560">
        <v>5.8199999999999997E-3</v>
      </c>
      <c r="C560">
        <v>7.1500000000000001E-3</v>
      </c>
      <c r="D560">
        <v>5.5599999999999998E-3</v>
      </c>
      <c r="E560">
        <v>6.7000000000000002E-3</v>
      </c>
      <c r="F560">
        <v>675908896.70000005</v>
      </c>
      <c r="G560">
        <v>0</v>
      </c>
      <c r="L560" t="s">
        <v>8</v>
      </c>
      <c r="M560" t="s">
        <v>8</v>
      </c>
      <c r="N560" t="s">
        <v>8</v>
      </c>
      <c r="P560">
        <f t="shared" si="985"/>
        <v>0.43396226415094363</v>
      </c>
      <c r="Q560">
        <f t="shared" si="986"/>
        <v>293318955.17169827</v>
      </c>
      <c r="R560">
        <f t="shared" si="987"/>
        <v>609724814.36494398</v>
      </c>
      <c r="S560">
        <f t="shared" si="988"/>
        <v>6097.24814364944</v>
      </c>
      <c r="T560">
        <f t="shared" si="989"/>
        <v>6.0972481436494403</v>
      </c>
    </row>
    <row r="561" spans="1:104" x14ac:dyDescent="0.25">
      <c r="A561" s="5">
        <v>44032</v>
      </c>
      <c r="B561">
        <v>4.9699999999999996E-3</v>
      </c>
      <c r="C561">
        <v>5.8300000000000001E-3</v>
      </c>
      <c r="D561">
        <v>4.8700000000000002E-3</v>
      </c>
      <c r="E561">
        <v>5.7999999999999996E-3</v>
      </c>
      <c r="F561">
        <v>392072129.89999998</v>
      </c>
      <c r="G561">
        <v>0</v>
      </c>
      <c r="L561" t="s">
        <v>8</v>
      </c>
      <c r="M561" t="s">
        <v>8</v>
      </c>
      <c r="N561" t="s">
        <v>8</v>
      </c>
      <c r="P561">
        <f t="shared" si="985"/>
        <v>0.93749999999999889</v>
      </c>
      <c r="Q561">
        <f t="shared" si="986"/>
        <v>367567621.78124952</v>
      </c>
      <c r="R561">
        <f t="shared" si="987"/>
        <v>316405859.19324565</v>
      </c>
      <c r="S561">
        <f t="shared" si="988"/>
        <v>3164.0585919324567</v>
      </c>
      <c r="T561">
        <f t="shared" si="989"/>
        <v>3.1640585919324566</v>
      </c>
      <c r="CZ561" t="s">
        <v>7</v>
      </c>
    </row>
    <row r="562" spans="1:104" x14ac:dyDescent="0.25">
      <c r="A562" s="5">
        <v>44031</v>
      </c>
      <c r="B562">
        <v>4.9399999999999999E-3</v>
      </c>
      <c r="C562">
        <v>5.0499999999999998E-3</v>
      </c>
      <c r="D562">
        <v>4.7000000000000002E-3</v>
      </c>
      <c r="E562">
        <v>4.9699999999999996E-3</v>
      </c>
      <c r="F562">
        <v>150273214</v>
      </c>
      <c r="G562">
        <v>0</v>
      </c>
      <c r="L562" t="s">
        <v>8</v>
      </c>
      <c r="M562" t="s">
        <v>8</v>
      </c>
      <c r="N562" t="s">
        <v>8</v>
      </c>
      <c r="P562">
        <f t="shared" si="985"/>
        <v>0.54285714285714115</v>
      </c>
      <c r="Q562">
        <f t="shared" si="986"/>
        <v>81576887.599999741</v>
      </c>
      <c r="R562">
        <f t="shared" si="987"/>
        <v>-51161762.588003904</v>
      </c>
      <c r="S562">
        <f t="shared" si="988"/>
        <v>-511.61762588003904</v>
      </c>
      <c r="T562">
        <f t="shared" si="989"/>
        <v>-0.51161762588003901</v>
      </c>
      <c r="CZ562" t="s">
        <v>7</v>
      </c>
    </row>
    <row r="563" spans="1:104" x14ac:dyDescent="0.25">
      <c r="A563" s="5">
        <v>44030</v>
      </c>
      <c r="B563">
        <v>4.6699999999999997E-3</v>
      </c>
      <c r="C563">
        <v>4.9800000000000001E-3</v>
      </c>
      <c r="D563">
        <v>4.5199999999999997E-3</v>
      </c>
      <c r="E563">
        <v>4.9500000000000004E-3</v>
      </c>
      <c r="F563">
        <v>121845652.7</v>
      </c>
      <c r="G563">
        <v>0</v>
      </c>
      <c r="L563" t="s">
        <v>8</v>
      </c>
      <c r="M563" t="s">
        <v>8</v>
      </c>
      <c r="N563" t="s">
        <v>8</v>
      </c>
      <c r="P563">
        <f t="shared" si="985"/>
        <v>0.86956521739130599</v>
      </c>
      <c r="Q563">
        <f t="shared" si="986"/>
        <v>105952741.47826107</v>
      </c>
      <c r="R563">
        <f t="shared" si="987"/>
        <v>-132738650.18800364</v>
      </c>
      <c r="S563">
        <f t="shared" si="988"/>
        <v>-1327.3865018800363</v>
      </c>
      <c r="T563">
        <f t="shared" si="989"/>
        <v>-1.3273865018800364</v>
      </c>
      <c r="CZ563" t="s">
        <v>7</v>
      </c>
    </row>
    <row r="564" spans="1:104" x14ac:dyDescent="0.25">
      <c r="A564" s="5">
        <v>44029</v>
      </c>
      <c r="B564">
        <v>4.7499999999999999E-3</v>
      </c>
      <c r="C564">
        <v>4.9500000000000004E-3</v>
      </c>
      <c r="D564">
        <v>4.64E-3</v>
      </c>
      <c r="E564">
        <v>4.6699999999999997E-3</v>
      </c>
      <c r="F564">
        <v>139771659.40000001</v>
      </c>
      <c r="G564">
        <v>0</v>
      </c>
      <c r="L564" t="s">
        <v>8</v>
      </c>
      <c r="M564" t="s">
        <v>8</v>
      </c>
      <c r="N564" t="s">
        <v>8</v>
      </c>
      <c r="P564">
        <f t="shared" si="985"/>
        <v>-0.80645161290322831</v>
      </c>
      <c r="Q564">
        <f t="shared" si="986"/>
        <v>-112719080.16129068</v>
      </c>
      <c r="R564">
        <f t="shared" si="987"/>
        <v>-238691391.66626471</v>
      </c>
      <c r="S564">
        <f t="shared" si="988"/>
        <v>-2386.9139166626474</v>
      </c>
      <c r="T564">
        <f t="shared" si="989"/>
        <v>-2.3869139166626474</v>
      </c>
    </row>
    <row r="565" spans="1:104" x14ac:dyDescent="0.25">
      <c r="A565" s="5">
        <v>44028</v>
      </c>
      <c r="B565">
        <v>4.5900000000000003E-3</v>
      </c>
      <c r="C565">
        <v>4.8500000000000001E-3</v>
      </c>
      <c r="D565">
        <v>4.2199999999999998E-3</v>
      </c>
      <c r="E565">
        <v>4.79E-3</v>
      </c>
      <c r="F565">
        <v>309994825.19999999</v>
      </c>
      <c r="G565">
        <v>0</v>
      </c>
      <c r="L565" t="s">
        <v>7</v>
      </c>
      <c r="M565" t="s">
        <v>7</v>
      </c>
      <c r="N565" t="s">
        <v>8</v>
      </c>
      <c r="P565">
        <f t="shared" si="985"/>
        <v>0.80952380952380909</v>
      </c>
      <c r="Q565">
        <f t="shared" si="986"/>
        <v>250948191.82857129</v>
      </c>
      <c r="R565">
        <f t="shared" si="987"/>
        <v>-125972311.50497404</v>
      </c>
      <c r="S565">
        <f t="shared" si="988"/>
        <v>-1259.7231150497403</v>
      </c>
      <c r="T565">
        <f t="shared" si="989"/>
        <v>-1.2597231150497403</v>
      </c>
    </row>
    <row r="566" spans="1:104" x14ac:dyDescent="0.25">
      <c r="A566" s="5">
        <v>44027</v>
      </c>
      <c r="B566">
        <v>4.7699999999999999E-3</v>
      </c>
      <c r="C566">
        <v>4.81E-3</v>
      </c>
      <c r="D566">
        <v>4.5100000000000001E-3</v>
      </c>
      <c r="E566">
        <v>4.5999999999999999E-3</v>
      </c>
      <c r="F566">
        <v>127932340.5</v>
      </c>
      <c r="G566">
        <v>0</v>
      </c>
      <c r="L566" t="s">
        <v>7</v>
      </c>
      <c r="M566" t="s">
        <v>8</v>
      </c>
      <c r="N566" t="s">
        <v>8</v>
      </c>
      <c r="P566">
        <f t="shared" si="985"/>
        <v>-0.40000000000000113</v>
      </c>
      <c r="Q566">
        <f t="shared" si="986"/>
        <v>-51172936.200000145</v>
      </c>
      <c r="R566">
        <f t="shared" si="987"/>
        <v>-376920503.33354533</v>
      </c>
      <c r="S566">
        <f t="shared" si="988"/>
        <v>-3769.2050333354532</v>
      </c>
      <c r="T566">
        <f t="shared" si="989"/>
        <v>-3.7692050333354534</v>
      </c>
    </row>
    <row r="567" spans="1:104" x14ac:dyDescent="0.25">
      <c r="A567" s="5">
        <v>44026</v>
      </c>
      <c r="B567">
        <v>5.0400000000000002E-3</v>
      </c>
      <c r="C567">
        <v>5.0400000000000002E-3</v>
      </c>
      <c r="D567">
        <v>4.62E-3</v>
      </c>
      <c r="E567">
        <v>4.79E-3</v>
      </c>
      <c r="F567">
        <v>138858141.69999999</v>
      </c>
      <c r="G567">
        <v>0</v>
      </c>
      <c r="L567" t="s">
        <v>7</v>
      </c>
      <c r="M567" t="s">
        <v>8</v>
      </c>
      <c r="N567" t="s">
        <v>8</v>
      </c>
      <c r="P567">
        <f t="shared" si="985"/>
        <v>-0.19047619047619088</v>
      </c>
      <c r="Q567">
        <f t="shared" si="986"/>
        <v>-26449169.847619101</v>
      </c>
      <c r="R567">
        <f t="shared" si="987"/>
        <v>-325747567.13354516</v>
      </c>
      <c r="S567">
        <f t="shared" si="988"/>
        <v>-3257.4756713354518</v>
      </c>
      <c r="T567">
        <f t="shared" si="989"/>
        <v>-3.257475671335452</v>
      </c>
    </row>
    <row r="568" spans="1:104" x14ac:dyDescent="0.25">
      <c r="A568" s="5">
        <v>44025</v>
      </c>
      <c r="B568">
        <v>5.0000000000000001E-3</v>
      </c>
      <c r="C568">
        <v>5.3400000000000001E-3</v>
      </c>
      <c r="D568">
        <v>4.8599999999999997E-3</v>
      </c>
      <c r="E568">
        <v>5.0400000000000002E-3</v>
      </c>
      <c r="F568">
        <v>199925916.19999999</v>
      </c>
      <c r="G568">
        <v>0</v>
      </c>
      <c r="L568" t="s">
        <v>8</v>
      </c>
      <c r="M568" t="s">
        <v>8</v>
      </c>
      <c r="N568" t="s">
        <v>8</v>
      </c>
      <c r="P568">
        <f t="shared" si="985"/>
        <v>-0.24999999999999864</v>
      </c>
      <c r="Q568">
        <f t="shared" si="986"/>
        <v>-49981479.049999729</v>
      </c>
      <c r="R568">
        <f t="shared" si="987"/>
        <v>-299298397.28592604</v>
      </c>
      <c r="S568">
        <f t="shared" si="988"/>
        <v>-2992.9839728592606</v>
      </c>
      <c r="T568">
        <f t="shared" si="989"/>
        <v>-2.9929839728592604</v>
      </c>
    </row>
    <row r="569" spans="1:104" x14ac:dyDescent="0.25">
      <c r="A569" s="5">
        <v>44024</v>
      </c>
      <c r="B569">
        <v>4.8199999999999996E-3</v>
      </c>
      <c r="C569">
        <v>5.1799999999999997E-3</v>
      </c>
      <c r="D569">
        <v>4.7000000000000002E-3</v>
      </c>
      <c r="E569">
        <v>5.0000000000000001E-3</v>
      </c>
      <c r="F569">
        <v>148315597.69999999</v>
      </c>
      <c r="G569">
        <v>0</v>
      </c>
      <c r="L569" t="s">
        <v>7</v>
      </c>
      <c r="M569" t="s">
        <v>8</v>
      </c>
      <c r="N569" t="s">
        <v>8</v>
      </c>
      <c r="P569">
        <f t="shared" si="985"/>
        <v>0.25000000000000089</v>
      </c>
      <c r="Q569">
        <f t="shared" si="986"/>
        <v>37078899.425000131</v>
      </c>
      <c r="R569">
        <f t="shared" si="987"/>
        <v>-249316918.23592633</v>
      </c>
      <c r="S569">
        <f t="shared" si="988"/>
        <v>-2493.1691823592632</v>
      </c>
      <c r="T569">
        <f t="shared" si="989"/>
        <v>-2.4931691823592632</v>
      </c>
    </row>
    <row r="570" spans="1:104" x14ac:dyDescent="0.25">
      <c r="A570" s="5">
        <v>44023</v>
      </c>
      <c r="B570">
        <v>5.0200000000000002E-3</v>
      </c>
      <c r="C570">
        <v>5.3E-3</v>
      </c>
      <c r="D570">
        <v>4.6699999999999997E-3</v>
      </c>
      <c r="E570">
        <v>4.7999999999999996E-3</v>
      </c>
      <c r="F570">
        <v>210630476.69999999</v>
      </c>
      <c r="G570">
        <v>0</v>
      </c>
      <c r="L570" t="s">
        <v>8</v>
      </c>
      <c r="M570" t="s">
        <v>8</v>
      </c>
      <c r="N570" t="s">
        <v>8</v>
      </c>
      <c r="P570">
        <f t="shared" si="985"/>
        <v>-0.58730158730158788</v>
      </c>
      <c r="Q570">
        <f t="shared" si="986"/>
        <v>-123703613.30000012</v>
      </c>
      <c r="R570">
        <f t="shared" si="987"/>
        <v>-286395817.66092646</v>
      </c>
      <c r="S570">
        <f t="shared" si="988"/>
        <v>-2863.9581766092647</v>
      </c>
      <c r="T570">
        <f t="shared" si="989"/>
        <v>-2.8639581766092648</v>
      </c>
    </row>
    <row r="571" spans="1:104" x14ac:dyDescent="0.25">
      <c r="A571" s="5">
        <v>44022</v>
      </c>
      <c r="B571">
        <v>4.5100000000000001E-3</v>
      </c>
      <c r="C571">
        <v>5.2199999999999998E-3</v>
      </c>
      <c r="D571">
        <v>4.3800000000000002E-3</v>
      </c>
      <c r="E571">
        <v>5.0299999999999997E-3</v>
      </c>
      <c r="F571">
        <v>275932695.60000002</v>
      </c>
      <c r="G571">
        <v>0</v>
      </c>
      <c r="L571" t="s">
        <v>8</v>
      </c>
      <c r="M571" t="s">
        <v>8</v>
      </c>
      <c r="N571" t="s">
        <v>8</v>
      </c>
      <c r="P571">
        <f t="shared" si="985"/>
        <v>0.54761904761904723</v>
      </c>
      <c r="Q571">
        <f t="shared" si="986"/>
        <v>151105999.97142848</v>
      </c>
      <c r="R571">
        <f t="shared" si="987"/>
        <v>-162692204.36092636</v>
      </c>
      <c r="S571">
        <f t="shared" si="988"/>
        <v>-1626.9220436092637</v>
      </c>
      <c r="T571">
        <f t="shared" si="989"/>
        <v>-1.6269220436092637</v>
      </c>
    </row>
    <row r="572" spans="1:104" x14ac:dyDescent="0.25">
      <c r="A572" s="5">
        <v>44021</v>
      </c>
      <c r="B572">
        <v>4.4400000000000004E-3</v>
      </c>
      <c r="C572">
        <v>4.8799999999999998E-3</v>
      </c>
      <c r="D572">
        <v>4.3299999999999996E-3</v>
      </c>
      <c r="E572">
        <v>4.4999999999999997E-3</v>
      </c>
      <c r="F572">
        <v>200608779.30000001</v>
      </c>
      <c r="G572">
        <v>0</v>
      </c>
      <c r="L572" t="s">
        <v>8</v>
      </c>
      <c r="M572" t="s">
        <v>8</v>
      </c>
      <c r="N572" t="s">
        <v>8</v>
      </c>
      <c r="P572">
        <f t="shared" si="985"/>
        <v>-0.38181818181818195</v>
      </c>
      <c r="Q572">
        <f t="shared" si="986"/>
        <v>-76596079.369090945</v>
      </c>
      <c r="R572">
        <f t="shared" si="987"/>
        <v>-313798204.33235484</v>
      </c>
      <c r="S572">
        <f t="shared" si="988"/>
        <v>-3137.9820433235486</v>
      </c>
      <c r="T572">
        <f t="shared" si="989"/>
        <v>-3.1379820433235488</v>
      </c>
    </row>
    <row r="573" spans="1:104" x14ac:dyDescent="0.25">
      <c r="A573" s="5">
        <v>44020</v>
      </c>
      <c r="B573">
        <v>4.3499999999999997E-3</v>
      </c>
      <c r="C573">
        <v>4.5999999999999999E-3</v>
      </c>
      <c r="D573">
        <v>4.2399999999999998E-3</v>
      </c>
      <c r="E573">
        <v>4.4400000000000004E-3</v>
      </c>
      <c r="F573">
        <v>141951969.5</v>
      </c>
      <c r="G573">
        <v>0</v>
      </c>
      <c r="L573" t="s">
        <v>8</v>
      </c>
      <c r="M573" t="s">
        <v>8</v>
      </c>
      <c r="N573" t="s">
        <v>8</v>
      </c>
      <c r="P573">
        <f t="shared" si="985"/>
        <v>0.11111111111111378</v>
      </c>
      <c r="Q573">
        <f t="shared" si="986"/>
        <v>15772441.055555934</v>
      </c>
      <c r="R573">
        <f t="shared" si="987"/>
        <v>-237202124.9632639</v>
      </c>
      <c r="S573">
        <f t="shared" si="988"/>
        <v>-2372.021249632639</v>
      </c>
      <c r="T573">
        <f t="shared" si="989"/>
        <v>-2.3720212496326392</v>
      </c>
    </row>
    <row r="574" spans="1:104" x14ac:dyDescent="0.25">
      <c r="A574" s="5">
        <v>44019</v>
      </c>
      <c r="B574">
        <v>4.3E-3</v>
      </c>
      <c r="C574">
        <v>4.5500000000000002E-3</v>
      </c>
      <c r="D574">
        <v>4.13E-3</v>
      </c>
      <c r="E574">
        <v>4.3600000000000002E-3</v>
      </c>
      <c r="F574">
        <v>142552633.30000001</v>
      </c>
      <c r="G574">
        <v>0</v>
      </c>
      <c r="L574" t="s">
        <v>8</v>
      </c>
      <c r="M574" t="s">
        <v>8</v>
      </c>
      <c r="N574" t="s">
        <v>8</v>
      </c>
      <c r="P574">
        <f t="shared" si="985"/>
        <v>9.5238095238095441E-2</v>
      </c>
      <c r="Q574">
        <f t="shared" si="986"/>
        <v>13576441.266666697</v>
      </c>
      <c r="R574">
        <f t="shared" si="987"/>
        <v>-252974566.01881984</v>
      </c>
      <c r="S574">
        <f t="shared" si="988"/>
        <v>-2529.7456601881986</v>
      </c>
      <c r="T574">
        <f t="shared" si="989"/>
        <v>-2.5297456601881985</v>
      </c>
    </row>
    <row r="575" spans="1:104" x14ac:dyDescent="0.25">
      <c r="A575" s="5">
        <v>44018</v>
      </c>
      <c r="B575">
        <v>3.8899999999999998E-3</v>
      </c>
      <c r="C575">
        <v>4.4799999999999996E-3</v>
      </c>
      <c r="D575">
        <v>3.8500000000000001E-3</v>
      </c>
      <c r="E575">
        <v>4.3E-3</v>
      </c>
      <c r="F575">
        <v>150655686.30000001</v>
      </c>
      <c r="G575">
        <v>0</v>
      </c>
      <c r="L575" t="s">
        <v>8</v>
      </c>
      <c r="M575" t="s">
        <v>8</v>
      </c>
      <c r="N575" t="s">
        <v>8</v>
      </c>
      <c r="P575">
        <f t="shared" si="985"/>
        <v>0.42857142857142938</v>
      </c>
      <c r="Q575">
        <f t="shared" si="986"/>
        <v>64566722.70000013</v>
      </c>
      <c r="R575">
        <f t="shared" si="987"/>
        <v>-266551007.28548655</v>
      </c>
      <c r="S575">
        <f t="shared" si="988"/>
        <v>-2665.5100728548655</v>
      </c>
      <c r="T575">
        <f t="shared" si="989"/>
        <v>-2.6655100728548655</v>
      </c>
    </row>
    <row r="576" spans="1:104" x14ac:dyDescent="0.25">
      <c r="A576" s="5">
        <v>44017</v>
      </c>
      <c r="B576">
        <v>4.2500000000000003E-3</v>
      </c>
      <c r="C576">
        <v>4.3E-3</v>
      </c>
      <c r="D576">
        <v>3.7299999999999998E-3</v>
      </c>
      <c r="E576">
        <v>3.8999999999999998E-3</v>
      </c>
      <c r="F576">
        <v>148430136.69999999</v>
      </c>
      <c r="G576">
        <v>0</v>
      </c>
      <c r="L576" t="s">
        <v>7</v>
      </c>
      <c r="M576" t="s">
        <v>8</v>
      </c>
      <c r="N576" t="s">
        <v>8</v>
      </c>
      <c r="P576">
        <f t="shared" si="985"/>
        <v>-0.40350877192982471</v>
      </c>
      <c r="Q576">
        <f t="shared" si="986"/>
        <v>-59892862.177193001</v>
      </c>
      <c r="R576">
        <f t="shared" si="987"/>
        <v>-331117729.98548669</v>
      </c>
      <c r="S576">
        <f t="shared" si="988"/>
        <v>-3311.1772998548668</v>
      </c>
      <c r="T576">
        <f t="shared" si="989"/>
        <v>-3.311177299854867</v>
      </c>
    </row>
    <row r="577" spans="1:20" x14ac:dyDescent="0.25">
      <c r="A577" s="5">
        <v>44016</v>
      </c>
      <c r="B577">
        <v>4.1099999999999999E-3</v>
      </c>
      <c r="C577">
        <v>4.3E-3</v>
      </c>
      <c r="D577">
        <v>4.0299999999999997E-3</v>
      </c>
      <c r="E577">
        <v>4.28E-3</v>
      </c>
      <c r="F577">
        <v>75109440.099999994</v>
      </c>
      <c r="G577">
        <v>0</v>
      </c>
      <c r="L577" t="s">
        <v>7</v>
      </c>
      <c r="M577" t="s">
        <v>8</v>
      </c>
      <c r="N577" t="s">
        <v>8</v>
      </c>
      <c r="P577">
        <f t="shared" si="985"/>
        <v>0.85185185185185164</v>
      </c>
      <c r="Q577">
        <f t="shared" si="986"/>
        <v>63982115.640740722</v>
      </c>
      <c r="R577">
        <f t="shared" si="987"/>
        <v>-271224867.8082937</v>
      </c>
      <c r="S577">
        <f t="shared" si="988"/>
        <v>-2712.2486780829372</v>
      </c>
      <c r="T577">
        <f t="shared" si="989"/>
        <v>-2.7122486780829371</v>
      </c>
    </row>
    <row r="578" spans="1:20" x14ac:dyDescent="0.25">
      <c r="A578" s="5">
        <v>44015</v>
      </c>
      <c r="B578">
        <v>4.0600000000000002E-3</v>
      </c>
      <c r="C578">
        <v>4.3699999999999998E-3</v>
      </c>
      <c r="D578">
        <v>3.8899999999999998E-3</v>
      </c>
      <c r="E578">
        <v>4.1099999999999999E-3</v>
      </c>
      <c r="F578">
        <v>174761010.59999999</v>
      </c>
      <c r="G578">
        <v>0</v>
      </c>
      <c r="L578" t="s">
        <v>8</v>
      </c>
      <c r="M578" t="s">
        <v>8</v>
      </c>
      <c r="N578" t="s">
        <v>8</v>
      </c>
      <c r="P578">
        <f t="shared" si="985"/>
        <v>-8.3333333333332663E-2</v>
      </c>
      <c r="Q578">
        <f t="shared" si="986"/>
        <v>-14563417.549999882</v>
      </c>
      <c r="R578">
        <f t="shared" si="987"/>
        <v>-335206983.44903445</v>
      </c>
      <c r="S578">
        <f t="shared" si="988"/>
        <v>-3352.0698344903444</v>
      </c>
      <c r="T578">
        <f t="shared" si="989"/>
        <v>-3.3520698344903446</v>
      </c>
    </row>
    <row r="579" spans="1:20" x14ac:dyDescent="0.25">
      <c r="A579" s="5">
        <v>44014</v>
      </c>
      <c r="B579">
        <v>3.8300000000000001E-3</v>
      </c>
      <c r="C579">
        <v>4.3E-3</v>
      </c>
      <c r="D579">
        <v>3.7399999999999998E-3</v>
      </c>
      <c r="E579">
        <v>4.0600000000000002E-3</v>
      </c>
      <c r="F579">
        <v>229102236.80000001</v>
      </c>
      <c r="G579">
        <v>0</v>
      </c>
      <c r="L579" t="s">
        <v>8</v>
      </c>
      <c r="M579" t="s">
        <v>8</v>
      </c>
      <c r="N579" t="s">
        <v>8</v>
      </c>
      <c r="P579">
        <f t="shared" si="985"/>
        <v>0.14285714285714396</v>
      </c>
      <c r="Q579">
        <f t="shared" si="986"/>
        <v>32728890.971428826</v>
      </c>
      <c r="R579">
        <f t="shared" si="987"/>
        <v>-320643565.89903456</v>
      </c>
      <c r="S579">
        <f t="shared" si="988"/>
        <v>-3206.4356589903455</v>
      </c>
      <c r="T579">
        <f t="shared" si="989"/>
        <v>-3.2064356589903453</v>
      </c>
    </row>
    <row r="580" spans="1:20" x14ac:dyDescent="0.25">
      <c r="A580" s="5">
        <v>44013</v>
      </c>
      <c r="B580">
        <v>3.5300000000000002E-3</v>
      </c>
      <c r="C580">
        <v>4.1099999999999999E-3</v>
      </c>
      <c r="D580">
        <v>3.3999999999999998E-3</v>
      </c>
      <c r="E580">
        <v>3.81E-3</v>
      </c>
      <c r="F580">
        <v>189585726.30000001</v>
      </c>
      <c r="G580">
        <v>0</v>
      </c>
      <c r="L580" t="s">
        <v>7</v>
      </c>
      <c r="M580" t="s">
        <v>8</v>
      </c>
      <c r="N580" t="s">
        <v>8</v>
      </c>
      <c r="P580">
        <f t="shared" si="985"/>
        <v>0.15492957746478911</v>
      </c>
      <c r="Q580">
        <f t="shared" si="986"/>
        <v>29372436.469014157</v>
      </c>
      <c r="R580">
        <f t="shared" si="987"/>
        <v>-353372456.87046337</v>
      </c>
      <c r="S580">
        <f t="shared" si="988"/>
        <v>-3533.7245687046338</v>
      </c>
      <c r="T580">
        <f t="shared" si="989"/>
        <v>-3.5337245687046339</v>
      </c>
    </row>
    <row r="581" spans="1:20" x14ac:dyDescent="0.25">
      <c r="A581" s="5">
        <v>44012</v>
      </c>
      <c r="B581">
        <v>3.6800000000000001E-3</v>
      </c>
      <c r="C581">
        <v>3.7399999999999998E-3</v>
      </c>
      <c r="D581">
        <v>3.47E-3</v>
      </c>
      <c r="E581">
        <v>3.5300000000000002E-3</v>
      </c>
      <c r="F581">
        <v>62797927.899999999</v>
      </c>
      <c r="G581">
        <v>0</v>
      </c>
      <c r="L581" t="s">
        <v>7</v>
      </c>
      <c r="M581" t="s">
        <v>7</v>
      </c>
      <c r="N581" t="s">
        <v>8</v>
      </c>
      <c r="P581">
        <f t="shared" si="985"/>
        <v>-0.55555555555555414</v>
      </c>
      <c r="Q581">
        <f t="shared" si="986"/>
        <v>-34887737.722222134</v>
      </c>
      <c r="R581">
        <f t="shared" si="987"/>
        <v>-382744893.33947754</v>
      </c>
      <c r="S581">
        <f t="shared" si="988"/>
        <v>-3827.4489333947754</v>
      </c>
      <c r="T581">
        <f t="shared" si="989"/>
        <v>-3.8274489333947752</v>
      </c>
    </row>
    <row r="582" spans="1:20" x14ac:dyDescent="0.25">
      <c r="A582" s="5">
        <v>44011</v>
      </c>
      <c r="B582">
        <v>3.7599999999999999E-3</v>
      </c>
      <c r="C582">
        <v>3.8400000000000001E-3</v>
      </c>
      <c r="D582">
        <v>3.5999999999999999E-3</v>
      </c>
      <c r="E582">
        <v>3.6900000000000001E-3</v>
      </c>
      <c r="F582">
        <v>122866895.5</v>
      </c>
      <c r="G582">
        <v>0</v>
      </c>
      <c r="L582" t="s">
        <v>7</v>
      </c>
      <c r="M582" t="s">
        <v>8</v>
      </c>
      <c r="N582" t="s">
        <v>8</v>
      </c>
      <c r="P582">
        <f t="shared" ref="P582:P645" si="990">IF(C582=D582,0,((E582-D582)-(C582-E582))/(C582-D582))</f>
        <v>-0.24999999999999864</v>
      </c>
      <c r="Q582">
        <f t="shared" ref="Q582:Q645" si="991">F582*P582</f>
        <v>-30716723.874999832</v>
      </c>
      <c r="R582">
        <f t="shared" ref="R582:R645" si="992">R583+Q582</f>
        <v>-347857155.61725539</v>
      </c>
      <c r="S582">
        <f t="shared" ref="S582:S645" si="993">R582/100000</f>
        <v>-3478.5715561725538</v>
      </c>
      <c r="T582">
        <f t="shared" ref="T582:T645" si="994">S582/1000</f>
        <v>-3.4785715561725539</v>
      </c>
    </row>
    <row r="583" spans="1:20" x14ac:dyDescent="0.25">
      <c r="A583" s="5">
        <v>44010</v>
      </c>
      <c r="B583">
        <v>3.4299999999999999E-3</v>
      </c>
      <c r="C583">
        <v>4.0499999999999998E-3</v>
      </c>
      <c r="D583">
        <v>3.3500000000000001E-3</v>
      </c>
      <c r="E583">
        <v>3.7499999999999999E-3</v>
      </c>
      <c r="F583">
        <v>172568845.40000001</v>
      </c>
      <c r="G583">
        <v>0</v>
      </c>
      <c r="L583" t="s">
        <v>8</v>
      </c>
      <c r="M583" t="s">
        <v>8</v>
      </c>
      <c r="N583" t="s">
        <v>8</v>
      </c>
      <c r="P583">
        <f t="shared" si="990"/>
        <v>0.14285714285714268</v>
      </c>
      <c r="Q583">
        <f t="shared" si="991"/>
        <v>24652692.199999969</v>
      </c>
      <c r="R583">
        <f t="shared" si="992"/>
        <v>-317140431.74225557</v>
      </c>
      <c r="S583">
        <f t="shared" si="993"/>
        <v>-3171.4043174225558</v>
      </c>
      <c r="T583">
        <f t="shared" si="994"/>
        <v>-3.1714043174225557</v>
      </c>
    </row>
    <row r="584" spans="1:20" x14ac:dyDescent="0.25">
      <c r="A584" s="5">
        <v>44009</v>
      </c>
      <c r="B584">
        <v>3.4399999999999999E-3</v>
      </c>
      <c r="C584">
        <v>3.6800000000000001E-3</v>
      </c>
      <c r="D584">
        <v>3.3E-3</v>
      </c>
      <c r="E584">
        <v>3.4499999999999999E-3</v>
      </c>
      <c r="F584">
        <v>182294757.5</v>
      </c>
      <c r="G584">
        <v>0</v>
      </c>
      <c r="L584" t="s">
        <v>7</v>
      </c>
      <c r="M584" t="s">
        <v>7</v>
      </c>
      <c r="N584" t="s">
        <v>8</v>
      </c>
      <c r="P584">
        <f t="shared" si="990"/>
        <v>-0.21052631578947417</v>
      </c>
      <c r="Q584">
        <f t="shared" si="991"/>
        <v>-38377843.684210613</v>
      </c>
      <c r="R584">
        <f t="shared" si="992"/>
        <v>-341793123.94225556</v>
      </c>
      <c r="S584">
        <f t="shared" si="993"/>
        <v>-3417.9312394225558</v>
      </c>
      <c r="T584">
        <f t="shared" si="994"/>
        <v>-3.4179312394225558</v>
      </c>
    </row>
    <row r="585" spans="1:20" x14ac:dyDescent="0.25">
      <c r="A585" s="5">
        <v>44008</v>
      </c>
      <c r="B585">
        <v>3.7100000000000002E-3</v>
      </c>
      <c r="C585">
        <v>3.79E-3</v>
      </c>
      <c r="D585">
        <v>3.4099999999999998E-3</v>
      </c>
      <c r="E585">
        <v>3.4399999999999999E-3</v>
      </c>
      <c r="F585">
        <v>124308199.09999999</v>
      </c>
      <c r="G585">
        <v>0</v>
      </c>
      <c r="L585" t="s">
        <v>7</v>
      </c>
      <c r="M585" t="s">
        <v>7</v>
      </c>
      <c r="N585" t="s">
        <v>8</v>
      </c>
      <c r="P585">
        <f t="shared" si="990"/>
        <v>-0.84210526315789436</v>
      </c>
      <c r="Q585">
        <f t="shared" si="991"/>
        <v>-104680588.71578942</v>
      </c>
      <c r="R585">
        <f t="shared" si="992"/>
        <v>-303415280.25804496</v>
      </c>
      <c r="S585">
        <f t="shared" si="993"/>
        <v>-3034.1528025804496</v>
      </c>
      <c r="T585">
        <f t="shared" si="994"/>
        <v>-3.0341528025804494</v>
      </c>
    </row>
    <row r="586" spans="1:20" x14ac:dyDescent="0.25">
      <c r="A586" s="5">
        <v>44007</v>
      </c>
      <c r="B586">
        <v>3.7499999999999999E-3</v>
      </c>
      <c r="C586">
        <v>3.81E-3</v>
      </c>
      <c r="D586">
        <v>3.5500000000000002E-3</v>
      </c>
      <c r="E586">
        <v>3.7200000000000002E-3</v>
      </c>
      <c r="F586">
        <v>84918451.5</v>
      </c>
      <c r="G586">
        <v>0</v>
      </c>
      <c r="L586" t="s">
        <v>7</v>
      </c>
      <c r="M586" t="s">
        <v>7</v>
      </c>
      <c r="N586" t="s">
        <v>8</v>
      </c>
      <c r="P586">
        <f t="shared" si="990"/>
        <v>0.30769230769230871</v>
      </c>
      <c r="Q586">
        <f t="shared" si="991"/>
        <v>26128754.307692394</v>
      </c>
      <c r="R586">
        <f t="shared" si="992"/>
        <v>-198734691.54225552</v>
      </c>
      <c r="S586">
        <f t="shared" si="993"/>
        <v>-1987.3469154225552</v>
      </c>
      <c r="T586">
        <f t="shared" si="994"/>
        <v>-1.9873469154225551</v>
      </c>
    </row>
    <row r="587" spans="1:20" x14ac:dyDescent="0.25">
      <c r="A587" s="5">
        <v>44006</v>
      </c>
      <c r="B587">
        <v>3.9899999999999996E-3</v>
      </c>
      <c r="C587">
        <v>4.0499999999999998E-3</v>
      </c>
      <c r="D587">
        <v>3.6099999999999999E-3</v>
      </c>
      <c r="E587">
        <v>3.7399999999999998E-3</v>
      </c>
      <c r="F587">
        <v>164474151.80000001</v>
      </c>
      <c r="G587">
        <v>0</v>
      </c>
      <c r="L587" t="s">
        <v>7</v>
      </c>
      <c r="M587" t="s">
        <v>7</v>
      </c>
      <c r="N587" t="s">
        <v>8</v>
      </c>
      <c r="P587">
        <f t="shared" si="990"/>
        <v>-0.40909090909090934</v>
      </c>
      <c r="Q587">
        <f t="shared" si="991"/>
        <v>-67284880.281818226</v>
      </c>
      <c r="R587">
        <f t="shared" si="992"/>
        <v>-224863445.84994793</v>
      </c>
      <c r="S587">
        <f t="shared" si="993"/>
        <v>-2248.6344584994795</v>
      </c>
      <c r="T587">
        <f t="shared" si="994"/>
        <v>-2.2486344584994793</v>
      </c>
    </row>
    <row r="588" spans="1:20" x14ac:dyDescent="0.25">
      <c r="A588" s="5">
        <v>44005</v>
      </c>
      <c r="B588">
        <v>4.0299999999999997E-3</v>
      </c>
      <c r="C588">
        <v>4.1000000000000003E-3</v>
      </c>
      <c r="D588">
        <v>3.82E-3</v>
      </c>
      <c r="E588">
        <v>4.0000000000000001E-3</v>
      </c>
      <c r="F588">
        <v>117511535.3</v>
      </c>
      <c r="G588">
        <v>0</v>
      </c>
      <c r="L588" t="s">
        <v>8</v>
      </c>
      <c r="M588" t="s">
        <v>7</v>
      </c>
      <c r="N588" t="s">
        <v>8</v>
      </c>
      <c r="P588">
        <f t="shared" si="990"/>
        <v>0.28571428571428459</v>
      </c>
      <c r="Q588">
        <f t="shared" si="991"/>
        <v>33574724.371428438</v>
      </c>
      <c r="R588">
        <f t="shared" si="992"/>
        <v>-157578565.56812969</v>
      </c>
      <c r="S588">
        <f t="shared" si="993"/>
        <v>-1575.7856556812969</v>
      </c>
      <c r="T588">
        <f t="shared" si="994"/>
        <v>-1.575785655681297</v>
      </c>
    </row>
    <row r="589" spans="1:20" x14ac:dyDescent="0.25">
      <c r="A589" s="5">
        <v>44004</v>
      </c>
      <c r="B589">
        <v>4.0600000000000002E-3</v>
      </c>
      <c r="C589">
        <v>4.3400000000000001E-3</v>
      </c>
      <c r="D589">
        <v>3.81E-3</v>
      </c>
      <c r="E589">
        <v>4.0400000000000002E-3</v>
      </c>
      <c r="F589">
        <v>191176453.5</v>
      </c>
      <c r="G589">
        <v>0</v>
      </c>
      <c r="L589" t="s">
        <v>7</v>
      </c>
      <c r="M589" t="s">
        <v>7</v>
      </c>
      <c r="N589" t="s">
        <v>8</v>
      </c>
      <c r="P589">
        <f t="shared" si="990"/>
        <v>-0.13207547169811271</v>
      </c>
      <c r="Q589">
        <f t="shared" si="991"/>
        <v>-25249720.273584809</v>
      </c>
      <c r="R589">
        <f t="shared" si="992"/>
        <v>-191153289.93955812</v>
      </c>
      <c r="S589">
        <f t="shared" si="993"/>
        <v>-1911.5328993955811</v>
      </c>
      <c r="T589">
        <f t="shared" si="994"/>
        <v>-1.9115328993955811</v>
      </c>
    </row>
    <row r="590" spans="1:20" x14ac:dyDescent="0.25">
      <c r="A590" s="5">
        <v>44003</v>
      </c>
      <c r="B590">
        <v>4.3699999999999998E-3</v>
      </c>
      <c r="C590">
        <v>4.4200000000000003E-3</v>
      </c>
      <c r="D590">
        <v>4.0000000000000001E-3</v>
      </c>
      <c r="E590">
        <v>4.0600000000000002E-3</v>
      </c>
      <c r="F590">
        <v>107897662.5</v>
      </c>
      <c r="G590">
        <v>0</v>
      </c>
      <c r="L590" t="s">
        <v>7</v>
      </c>
      <c r="M590" t="s">
        <v>7</v>
      </c>
      <c r="N590" t="s">
        <v>8</v>
      </c>
      <c r="P590">
        <f t="shared" si="990"/>
        <v>-0.71428571428571375</v>
      </c>
      <c r="Q590">
        <f t="shared" si="991"/>
        <v>-77069758.928571373</v>
      </c>
      <c r="R590">
        <f t="shared" si="992"/>
        <v>-165903569.66597331</v>
      </c>
      <c r="S590">
        <f t="shared" si="993"/>
        <v>-1659.035696659733</v>
      </c>
      <c r="T590">
        <f t="shared" si="994"/>
        <v>-1.6590356966597331</v>
      </c>
    </row>
    <row r="591" spans="1:20" x14ac:dyDescent="0.25">
      <c r="A591" s="5">
        <v>44002</v>
      </c>
      <c r="B591">
        <v>4.4000000000000003E-3</v>
      </c>
      <c r="C591">
        <v>4.6100000000000004E-3</v>
      </c>
      <c r="D591">
        <v>4.2399999999999998E-3</v>
      </c>
      <c r="E591">
        <v>4.3600000000000002E-3</v>
      </c>
      <c r="F591">
        <v>167569838.19999999</v>
      </c>
      <c r="G591">
        <v>0</v>
      </c>
      <c r="L591" t="s">
        <v>7</v>
      </c>
      <c r="M591" t="s">
        <v>8</v>
      </c>
      <c r="N591" t="s">
        <v>8</v>
      </c>
      <c r="P591">
        <f t="shared" si="990"/>
        <v>-0.35135135135135059</v>
      </c>
      <c r="Q591">
        <f t="shared" si="991"/>
        <v>-58875889.097297169</v>
      </c>
      <c r="R591">
        <f t="shared" si="992"/>
        <v>-88833810.737401932</v>
      </c>
      <c r="S591">
        <f t="shared" si="993"/>
        <v>-888.33810737401927</v>
      </c>
      <c r="T591">
        <f t="shared" si="994"/>
        <v>-0.8883381073740193</v>
      </c>
    </row>
    <row r="592" spans="1:20" x14ac:dyDescent="0.25">
      <c r="A592" s="5">
        <v>44001</v>
      </c>
      <c r="B592">
        <v>4.3899999999999998E-3</v>
      </c>
      <c r="C592">
        <v>4.6800000000000001E-3</v>
      </c>
      <c r="D592">
        <v>4.0499999999999998E-3</v>
      </c>
      <c r="E592">
        <v>4.4000000000000003E-3</v>
      </c>
      <c r="F592">
        <v>285200010.10000002</v>
      </c>
      <c r="G592">
        <v>0</v>
      </c>
      <c r="L592" t="s">
        <v>8</v>
      </c>
      <c r="M592" t="s">
        <v>8</v>
      </c>
      <c r="N592" t="s">
        <v>8</v>
      </c>
      <c r="P592">
        <f t="shared" si="990"/>
        <v>0.11111111111111203</v>
      </c>
      <c r="Q592">
        <f t="shared" si="991"/>
        <v>31688890.011111379</v>
      </c>
      <c r="R592">
        <f t="shared" si="992"/>
        <v>-29957921.640104771</v>
      </c>
      <c r="S592">
        <f t="shared" si="993"/>
        <v>-299.57921640104769</v>
      </c>
      <c r="T592">
        <f t="shared" si="994"/>
        <v>-0.29957921640104768</v>
      </c>
    </row>
    <row r="593" spans="1:20" x14ac:dyDescent="0.25">
      <c r="A593" s="5">
        <v>44000</v>
      </c>
      <c r="B593">
        <v>3.8800000000000002E-3</v>
      </c>
      <c r="C593">
        <v>4.4400000000000004E-3</v>
      </c>
      <c r="D593">
        <v>3.81E-3</v>
      </c>
      <c r="E593">
        <v>4.3600000000000002E-3</v>
      </c>
      <c r="F593">
        <v>231186853.09999999</v>
      </c>
      <c r="G593">
        <v>0</v>
      </c>
      <c r="L593" t="s">
        <v>8</v>
      </c>
      <c r="M593" t="s">
        <v>8</v>
      </c>
      <c r="N593" t="s">
        <v>8</v>
      </c>
      <c r="P593">
        <f t="shared" si="990"/>
        <v>0.74603174603174549</v>
      </c>
      <c r="Q593">
        <f t="shared" si="991"/>
        <v>172472731.67777765</v>
      </c>
      <c r="R593">
        <f t="shared" si="992"/>
        <v>-61646811.651216149</v>
      </c>
      <c r="S593">
        <f t="shared" si="993"/>
        <v>-616.46811651216149</v>
      </c>
      <c r="T593">
        <f t="shared" si="994"/>
        <v>-0.61646811651216149</v>
      </c>
    </row>
    <row r="594" spans="1:20" x14ac:dyDescent="0.25">
      <c r="A594" s="5">
        <v>43999</v>
      </c>
      <c r="B594">
        <v>4.0099999999999997E-3</v>
      </c>
      <c r="C594">
        <v>4.0099999999999997E-3</v>
      </c>
      <c r="D594">
        <v>3.6900000000000001E-3</v>
      </c>
      <c r="E594">
        <v>3.8800000000000002E-3</v>
      </c>
      <c r="F594">
        <v>120587805.8</v>
      </c>
      <c r="G594">
        <v>0</v>
      </c>
      <c r="L594" t="s">
        <v>7</v>
      </c>
      <c r="M594" t="s">
        <v>8</v>
      </c>
      <c r="N594" t="s">
        <v>8</v>
      </c>
      <c r="P594">
        <f t="shared" si="990"/>
        <v>0.18750000000000211</v>
      </c>
      <c r="Q594">
        <f t="shared" si="991"/>
        <v>22610213.587500256</v>
      </c>
      <c r="R594">
        <f t="shared" si="992"/>
        <v>-234119543.3289938</v>
      </c>
      <c r="S594">
        <f t="shared" si="993"/>
        <v>-2341.1954332899381</v>
      </c>
      <c r="T594">
        <f t="shared" si="994"/>
        <v>-2.3411954332899381</v>
      </c>
    </row>
    <row r="595" spans="1:20" x14ac:dyDescent="0.25">
      <c r="A595" s="5">
        <v>43998</v>
      </c>
      <c r="B595">
        <v>4.0299999999999997E-3</v>
      </c>
      <c r="C595">
        <v>4.1200000000000004E-3</v>
      </c>
      <c r="D595">
        <v>3.81E-3</v>
      </c>
      <c r="E595">
        <v>4.0099999999999997E-3</v>
      </c>
      <c r="F595">
        <v>154871974.59999999</v>
      </c>
      <c r="G595">
        <v>0</v>
      </c>
      <c r="L595" t="s">
        <v>8</v>
      </c>
      <c r="M595" t="s">
        <v>8</v>
      </c>
      <c r="N595" t="s">
        <v>8</v>
      </c>
      <c r="P595">
        <f t="shared" si="990"/>
        <v>0.29032258064515748</v>
      </c>
      <c r="Q595">
        <f t="shared" si="991"/>
        <v>44962831.335483283</v>
      </c>
      <c r="R595">
        <f t="shared" si="992"/>
        <v>-256729756.91649404</v>
      </c>
      <c r="S595">
        <f t="shared" si="993"/>
        <v>-2567.2975691649403</v>
      </c>
      <c r="T595">
        <f t="shared" si="994"/>
        <v>-2.5672975691649405</v>
      </c>
    </row>
    <row r="596" spans="1:20" x14ac:dyDescent="0.25">
      <c r="A596" s="5">
        <v>43997</v>
      </c>
      <c r="B596">
        <v>3.8300000000000001E-3</v>
      </c>
      <c r="C596">
        <v>4.15E-3</v>
      </c>
      <c r="D596">
        <v>3.3899999999999998E-3</v>
      </c>
      <c r="E596">
        <v>4.0299999999999997E-3</v>
      </c>
      <c r="F596">
        <v>335813549</v>
      </c>
      <c r="G596">
        <v>0</v>
      </c>
      <c r="L596" t="s">
        <v>7</v>
      </c>
      <c r="M596" t="s">
        <v>7</v>
      </c>
      <c r="N596" t="s">
        <v>8</v>
      </c>
      <c r="P596">
        <f t="shared" si="990"/>
        <v>0.68421052631578871</v>
      </c>
      <c r="Q596">
        <f t="shared" si="991"/>
        <v>229767165.10526291</v>
      </c>
      <c r="R596">
        <f t="shared" si="992"/>
        <v>-301692588.25197732</v>
      </c>
      <c r="S596">
        <f t="shared" si="993"/>
        <v>-3016.925882519773</v>
      </c>
      <c r="T596">
        <f t="shared" si="994"/>
        <v>-3.0169258825197729</v>
      </c>
    </row>
    <row r="597" spans="1:20" x14ac:dyDescent="0.25">
      <c r="A597" s="5">
        <v>43996</v>
      </c>
      <c r="B597">
        <v>3.8600000000000001E-3</v>
      </c>
      <c r="C597">
        <v>4.3200000000000001E-3</v>
      </c>
      <c r="D597">
        <v>3.63E-3</v>
      </c>
      <c r="E597">
        <v>3.8400000000000001E-3</v>
      </c>
      <c r="F597">
        <v>492532764.19999999</v>
      </c>
      <c r="G597">
        <v>0</v>
      </c>
      <c r="L597" t="s">
        <v>8</v>
      </c>
      <c r="M597" t="s">
        <v>8</v>
      </c>
      <c r="N597" t="s">
        <v>8</v>
      </c>
      <c r="P597">
        <f t="shared" si="990"/>
        <v>-0.3913043478260867</v>
      </c>
      <c r="Q597">
        <f t="shared" si="991"/>
        <v>-192730212.07826075</v>
      </c>
      <c r="R597">
        <f t="shared" si="992"/>
        <v>-531459753.3572402</v>
      </c>
      <c r="S597">
        <f t="shared" si="993"/>
        <v>-5314.5975335724024</v>
      </c>
      <c r="T597">
        <f t="shared" si="994"/>
        <v>-5.3145975335724023</v>
      </c>
    </row>
    <row r="598" spans="1:20" x14ac:dyDescent="0.25">
      <c r="A598" s="5">
        <v>43995</v>
      </c>
      <c r="B598">
        <v>3.2299999999999998E-3</v>
      </c>
      <c r="C598">
        <v>3.8999999999999998E-3</v>
      </c>
      <c r="D598">
        <v>3.15E-3</v>
      </c>
      <c r="E598">
        <v>3.8600000000000001E-3</v>
      </c>
      <c r="F598">
        <v>393489292.60000002</v>
      </c>
      <c r="G598">
        <v>0</v>
      </c>
      <c r="L598" t="s">
        <v>8</v>
      </c>
      <c r="M598" t="s">
        <v>8</v>
      </c>
      <c r="N598" t="s">
        <v>8</v>
      </c>
      <c r="P598">
        <f t="shared" si="990"/>
        <v>0.8933333333333342</v>
      </c>
      <c r="Q598">
        <f t="shared" si="991"/>
        <v>351517101.38933372</v>
      </c>
      <c r="R598">
        <f t="shared" si="992"/>
        <v>-338729541.27897942</v>
      </c>
      <c r="S598">
        <f t="shared" si="993"/>
        <v>-3387.2954127897942</v>
      </c>
      <c r="T598">
        <f t="shared" si="994"/>
        <v>-3.3872954127897943</v>
      </c>
    </row>
    <row r="599" spans="1:20" x14ac:dyDescent="0.25">
      <c r="A599" s="5">
        <v>43994</v>
      </c>
      <c r="B599">
        <v>3.0000000000000001E-3</v>
      </c>
      <c r="C599">
        <v>3.2799999999999999E-3</v>
      </c>
      <c r="D599">
        <v>2.97E-3</v>
      </c>
      <c r="E599">
        <v>3.2299999999999998E-3</v>
      </c>
      <c r="F599">
        <v>93145727.799999997</v>
      </c>
      <c r="G599">
        <v>0</v>
      </c>
      <c r="L599" t="s">
        <v>8</v>
      </c>
      <c r="M599" t="s">
        <v>7</v>
      </c>
      <c r="N599" t="s">
        <v>8</v>
      </c>
      <c r="P599">
        <f t="shared" si="990"/>
        <v>0.67741935483870874</v>
      </c>
      <c r="Q599">
        <f t="shared" si="991"/>
        <v>63098718.832257979</v>
      </c>
      <c r="R599">
        <f t="shared" si="992"/>
        <v>-690246642.66831315</v>
      </c>
      <c r="S599">
        <f t="shared" si="993"/>
        <v>-6902.4664266831314</v>
      </c>
      <c r="T599">
        <f t="shared" si="994"/>
        <v>-6.902466426683131</v>
      </c>
    </row>
    <row r="600" spans="1:20" x14ac:dyDescent="0.25">
      <c r="A600" s="5">
        <v>43993</v>
      </c>
      <c r="B600">
        <v>3.3300000000000001E-3</v>
      </c>
      <c r="C600">
        <v>3.4499999999999999E-3</v>
      </c>
      <c r="D600">
        <v>2.8700000000000002E-3</v>
      </c>
      <c r="E600">
        <v>3.0000000000000001E-3</v>
      </c>
      <c r="F600">
        <v>164294412.30000001</v>
      </c>
      <c r="G600">
        <v>0</v>
      </c>
      <c r="L600" t="s">
        <v>7</v>
      </c>
      <c r="M600" t="s">
        <v>7</v>
      </c>
      <c r="N600" t="s">
        <v>8</v>
      </c>
      <c r="P600">
        <f t="shared" si="990"/>
        <v>-0.55172413793103459</v>
      </c>
      <c r="Q600">
        <f t="shared" si="991"/>
        <v>-90645192.993103474</v>
      </c>
      <c r="R600">
        <f t="shared" si="992"/>
        <v>-753345361.50057113</v>
      </c>
      <c r="S600">
        <f t="shared" si="993"/>
        <v>-7533.4536150057111</v>
      </c>
      <c r="T600">
        <f t="shared" si="994"/>
        <v>-7.533453615005711</v>
      </c>
    </row>
    <row r="601" spans="1:20" x14ac:dyDescent="0.25">
      <c r="A601" s="5">
        <v>43992</v>
      </c>
      <c r="B601">
        <v>3.3999999999999998E-3</v>
      </c>
      <c r="C601">
        <v>3.5300000000000002E-3</v>
      </c>
      <c r="D601">
        <v>3.2799999999999999E-3</v>
      </c>
      <c r="E601">
        <v>3.3300000000000001E-3</v>
      </c>
      <c r="F601">
        <v>147673225.59999999</v>
      </c>
      <c r="G601">
        <v>0</v>
      </c>
      <c r="L601" t="s">
        <v>8</v>
      </c>
      <c r="M601" t="s">
        <v>8</v>
      </c>
      <c r="N601" t="s">
        <v>8</v>
      </c>
      <c r="P601">
        <f t="shared" si="990"/>
        <v>-0.59999999999999931</v>
      </c>
      <c r="Q601">
        <f t="shared" si="991"/>
        <v>-88603935.359999895</v>
      </c>
      <c r="R601">
        <f t="shared" si="992"/>
        <v>-662700168.50746763</v>
      </c>
      <c r="S601">
        <f t="shared" si="993"/>
        <v>-6627.0016850746761</v>
      </c>
      <c r="T601">
        <f t="shared" si="994"/>
        <v>-6.627001685074676</v>
      </c>
    </row>
    <row r="602" spans="1:20" x14ac:dyDescent="0.25">
      <c r="A602" s="5">
        <v>43991</v>
      </c>
      <c r="B602">
        <v>3.0999999999999999E-3</v>
      </c>
      <c r="C602">
        <v>3.47E-3</v>
      </c>
      <c r="D602">
        <v>3.0300000000000001E-3</v>
      </c>
      <c r="E602">
        <v>3.3899999999999998E-3</v>
      </c>
      <c r="F602">
        <v>198408260.90000001</v>
      </c>
      <c r="G602">
        <v>0</v>
      </c>
      <c r="L602" t="s">
        <v>7</v>
      </c>
      <c r="M602" t="s">
        <v>8</v>
      </c>
      <c r="N602" t="s">
        <v>8</v>
      </c>
      <c r="P602">
        <f t="shared" si="990"/>
        <v>0.63636363636363524</v>
      </c>
      <c r="Q602">
        <f t="shared" si="991"/>
        <v>126259802.39090887</v>
      </c>
      <c r="R602">
        <f t="shared" si="992"/>
        <v>-574096233.14746773</v>
      </c>
      <c r="S602">
        <f t="shared" si="993"/>
        <v>-5740.9623314746777</v>
      </c>
      <c r="T602">
        <f t="shared" si="994"/>
        <v>-5.7409623314746776</v>
      </c>
    </row>
    <row r="603" spans="1:20" x14ac:dyDescent="0.25">
      <c r="A603" s="5">
        <v>43990</v>
      </c>
      <c r="B603">
        <v>3.1099999999999999E-3</v>
      </c>
      <c r="C603">
        <v>3.5400000000000002E-3</v>
      </c>
      <c r="D603">
        <v>3.0799999999999998E-3</v>
      </c>
      <c r="E603">
        <v>3.0999999999999999E-3</v>
      </c>
      <c r="F603">
        <v>209815213</v>
      </c>
      <c r="G603">
        <v>0</v>
      </c>
      <c r="L603" t="s">
        <v>8</v>
      </c>
      <c r="M603" t="s">
        <v>8</v>
      </c>
      <c r="N603" t="s">
        <v>8</v>
      </c>
      <c r="P603">
        <f t="shared" si="990"/>
        <v>-0.9130434782608694</v>
      </c>
      <c r="Q603">
        <f t="shared" si="991"/>
        <v>-191570411.86956519</v>
      </c>
      <c r="R603">
        <f t="shared" si="992"/>
        <v>-700356035.53837657</v>
      </c>
      <c r="S603">
        <f t="shared" si="993"/>
        <v>-7003.5603553837655</v>
      </c>
      <c r="T603">
        <f t="shared" si="994"/>
        <v>-7.0035603553837653</v>
      </c>
    </row>
    <row r="604" spans="1:20" x14ac:dyDescent="0.25">
      <c r="A604" s="5">
        <v>43989</v>
      </c>
      <c r="B604">
        <v>2.9299999999999999E-3</v>
      </c>
      <c r="C604">
        <v>3.16E-3</v>
      </c>
      <c r="D604">
        <v>2.8900000000000002E-3</v>
      </c>
      <c r="E604">
        <v>3.1099999999999999E-3</v>
      </c>
      <c r="F604">
        <v>154269982.09999999</v>
      </c>
      <c r="G604">
        <v>0</v>
      </c>
      <c r="L604" t="s">
        <v>8</v>
      </c>
      <c r="M604" t="s">
        <v>8</v>
      </c>
      <c r="N604" t="s">
        <v>7</v>
      </c>
      <c r="P604">
        <f t="shared" si="990"/>
        <v>0.62962962962962843</v>
      </c>
      <c r="Q604">
        <f t="shared" si="991"/>
        <v>97132951.692592397</v>
      </c>
      <c r="R604">
        <f t="shared" si="992"/>
        <v>-508785623.66881132</v>
      </c>
      <c r="S604">
        <f t="shared" si="993"/>
        <v>-5087.8562366881133</v>
      </c>
      <c r="T604">
        <f t="shared" si="994"/>
        <v>-5.087856236688113</v>
      </c>
    </row>
    <row r="605" spans="1:20" x14ac:dyDescent="0.25">
      <c r="A605" s="5">
        <v>43988</v>
      </c>
      <c r="B605">
        <v>2.8600000000000001E-3</v>
      </c>
      <c r="C605">
        <v>2.9499999999999999E-3</v>
      </c>
      <c r="D605">
        <v>2.82E-3</v>
      </c>
      <c r="E605">
        <v>2.9299999999999999E-3</v>
      </c>
      <c r="F605">
        <v>62758779.399999999</v>
      </c>
      <c r="G605">
        <v>0</v>
      </c>
      <c r="L605" t="s">
        <v>8</v>
      </c>
      <c r="M605" t="s">
        <v>8</v>
      </c>
      <c r="N605" t="s">
        <v>7</v>
      </c>
      <c r="P605">
        <f t="shared" si="990"/>
        <v>0.69230769230769129</v>
      </c>
      <c r="Q605">
        <f t="shared" si="991"/>
        <v>43448385.738461472</v>
      </c>
      <c r="R605">
        <f t="shared" si="992"/>
        <v>-605918575.3614037</v>
      </c>
      <c r="S605">
        <f t="shared" si="993"/>
        <v>-6059.1857536140369</v>
      </c>
      <c r="T605">
        <f t="shared" si="994"/>
        <v>-6.0591857536140372</v>
      </c>
    </row>
    <row r="606" spans="1:20" x14ac:dyDescent="0.25">
      <c r="A606" s="5">
        <v>43987</v>
      </c>
      <c r="B606">
        <v>2.8600000000000001E-3</v>
      </c>
      <c r="C606">
        <v>2.9399999999999999E-3</v>
      </c>
      <c r="D606">
        <v>2.8E-3</v>
      </c>
      <c r="E606">
        <v>2.8700000000000002E-3</v>
      </c>
      <c r="F606">
        <v>75741046</v>
      </c>
      <c r="G606">
        <v>0</v>
      </c>
      <c r="L606" t="s">
        <v>8</v>
      </c>
      <c r="M606" t="s">
        <v>8</v>
      </c>
      <c r="N606" t="s">
        <v>7</v>
      </c>
      <c r="P606">
        <f t="shared" si="990"/>
        <v>3.0977204928157283E-15</v>
      </c>
      <c r="Q606">
        <f t="shared" si="991"/>
        <v>2.3462459034149874E-7</v>
      </c>
      <c r="R606">
        <f t="shared" si="992"/>
        <v>-649366961.0998652</v>
      </c>
      <c r="S606">
        <f t="shared" si="993"/>
        <v>-6493.6696109986524</v>
      </c>
      <c r="T606">
        <f t="shared" si="994"/>
        <v>-6.4936696109986523</v>
      </c>
    </row>
    <row r="607" spans="1:20" x14ac:dyDescent="0.25">
      <c r="A607" s="5">
        <v>43986</v>
      </c>
      <c r="B607">
        <v>2.8600000000000001E-3</v>
      </c>
      <c r="C607">
        <v>2.8900000000000002E-3</v>
      </c>
      <c r="D607">
        <v>2.7299999999999998E-3</v>
      </c>
      <c r="E607">
        <v>2.8700000000000002E-3</v>
      </c>
      <c r="F607">
        <v>81654030.799999997</v>
      </c>
      <c r="G607">
        <v>0</v>
      </c>
      <c r="L607" t="s">
        <v>7</v>
      </c>
      <c r="M607" t="s">
        <v>8</v>
      </c>
      <c r="N607" t="s">
        <v>7</v>
      </c>
      <c r="P607">
        <f t="shared" si="990"/>
        <v>0.75</v>
      </c>
      <c r="Q607">
        <f t="shared" si="991"/>
        <v>61240523.099999994</v>
      </c>
      <c r="R607">
        <f t="shared" si="992"/>
        <v>-649366961.09986544</v>
      </c>
      <c r="S607">
        <f t="shared" si="993"/>
        <v>-6493.6696109986542</v>
      </c>
      <c r="T607">
        <f t="shared" si="994"/>
        <v>-6.493669610998654</v>
      </c>
    </row>
    <row r="608" spans="1:20" x14ac:dyDescent="0.25">
      <c r="A608" s="5">
        <v>43985</v>
      </c>
      <c r="B608">
        <v>2.7799999999999999E-3</v>
      </c>
      <c r="C608">
        <v>2.9199999999999999E-3</v>
      </c>
      <c r="D608">
        <v>2.64E-3</v>
      </c>
      <c r="E608">
        <v>2.8600000000000001E-3</v>
      </c>
      <c r="F608">
        <v>121837258.90000001</v>
      </c>
      <c r="G608">
        <v>0</v>
      </c>
      <c r="L608" t="s">
        <v>8</v>
      </c>
      <c r="M608" t="s">
        <v>8</v>
      </c>
      <c r="N608" t="s">
        <v>7</v>
      </c>
      <c r="P608">
        <f t="shared" si="990"/>
        <v>0.57142857142857317</v>
      </c>
      <c r="Q608">
        <f t="shared" si="991"/>
        <v>69621290.800000221</v>
      </c>
      <c r="R608">
        <f t="shared" si="992"/>
        <v>-710607484.19986546</v>
      </c>
      <c r="S608">
        <f t="shared" si="993"/>
        <v>-7106.0748419986548</v>
      </c>
      <c r="T608">
        <f t="shared" si="994"/>
        <v>-7.1060748419986552</v>
      </c>
    </row>
    <row r="609" spans="1:20" x14ac:dyDescent="0.25">
      <c r="A609" s="5">
        <v>43984</v>
      </c>
      <c r="B609">
        <v>2.8300000000000001E-3</v>
      </c>
      <c r="C609">
        <v>2.9099999999999998E-3</v>
      </c>
      <c r="D609">
        <v>2.3600000000000001E-3</v>
      </c>
      <c r="E609">
        <v>2.7599999999999999E-3</v>
      </c>
      <c r="F609">
        <v>208645615.09999999</v>
      </c>
      <c r="G609">
        <v>0</v>
      </c>
      <c r="L609" t="s">
        <v>7</v>
      </c>
      <c r="M609" t="s">
        <v>7</v>
      </c>
      <c r="N609" t="s">
        <v>7</v>
      </c>
      <c r="P609">
        <f t="shared" si="990"/>
        <v>0.45454545454545442</v>
      </c>
      <c r="Q609">
        <f t="shared" si="991"/>
        <v>94838915.954545423</v>
      </c>
      <c r="R609">
        <f t="shared" si="992"/>
        <v>-780228774.99986565</v>
      </c>
      <c r="S609">
        <f t="shared" si="993"/>
        <v>-7802.2877499986562</v>
      </c>
      <c r="T609">
        <f t="shared" si="994"/>
        <v>-7.8022877499986558</v>
      </c>
    </row>
    <row r="610" spans="1:20" x14ac:dyDescent="0.25">
      <c r="A610" s="5">
        <v>43983</v>
      </c>
      <c r="B610">
        <v>2.81E-3</v>
      </c>
      <c r="C610">
        <v>3.0300000000000001E-3</v>
      </c>
      <c r="D610">
        <v>2.7799999999999999E-3</v>
      </c>
      <c r="E610">
        <v>2.8400000000000001E-3</v>
      </c>
      <c r="F610">
        <v>150040735.69999999</v>
      </c>
      <c r="G610">
        <v>0</v>
      </c>
      <c r="L610" t="s">
        <v>7</v>
      </c>
      <c r="M610" t="s">
        <v>7</v>
      </c>
      <c r="N610" t="s">
        <v>8</v>
      </c>
      <c r="P610">
        <f t="shared" si="990"/>
        <v>-0.51999999999999913</v>
      </c>
      <c r="Q610">
        <f t="shared" si="991"/>
        <v>-78021182.563999861</v>
      </c>
      <c r="R610">
        <f t="shared" si="992"/>
        <v>-875067690.95441103</v>
      </c>
      <c r="S610">
        <f t="shared" si="993"/>
        <v>-8750.6769095441105</v>
      </c>
      <c r="T610">
        <f t="shared" si="994"/>
        <v>-8.7506769095441097</v>
      </c>
    </row>
    <row r="611" spans="1:20" x14ac:dyDescent="0.25">
      <c r="A611" s="5">
        <v>43982</v>
      </c>
      <c r="B611">
        <v>2.9099999999999998E-3</v>
      </c>
      <c r="C611">
        <v>3.0999999999999999E-3</v>
      </c>
      <c r="D611">
        <v>2.8E-3</v>
      </c>
      <c r="E611">
        <v>2.8E-3</v>
      </c>
      <c r="F611">
        <v>195328003.69999999</v>
      </c>
      <c r="G611">
        <v>0</v>
      </c>
      <c r="L611" t="s">
        <v>8</v>
      </c>
      <c r="M611" t="s">
        <v>7</v>
      </c>
      <c r="N611" t="s">
        <v>8</v>
      </c>
      <c r="P611">
        <f t="shared" si="990"/>
        <v>-1</v>
      </c>
      <c r="Q611">
        <f t="shared" si="991"/>
        <v>-195328003.69999999</v>
      </c>
      <c r="R611">
        <f t="shared" si="992"/>
        <v>-797046508.39041114</v>
      </c>
      <c r="S611">
        <f t="shared" si="993"/>
        <v>-7970.4650839041115</v>
      </c>
      <c r="T611">
        <f t="shared" si="994"/>
        <v>-7.9704650839041111</v>
      </c>
    </row>
    <row r="612" spans="1:20" x14ac:dyDescent="0.25">
      <c r="A612" s="5">
        <v>43981</v>
      </c>
      <c r="B612">
        <v>2.8500000000000001E-3</v>
      </c>
      <c r="C612">
        <v>2.96E-3</v>
      </c>
      <c r="D612">
        <v>2.7699999999999999E-3</v>
      </c>
      <c r="E612">
        <v>2.8999999999999998E-3</v>
      </c>
      <c r="F612">
        <v>121417252.5</v>
      </c>
      <c r="G612">
        <v>0</v>
      </c>
      <c r="L612" t="s">
        <v>7</v>
      </c>
      <c r="M612" t="s">
        <v>7</v>
      </c>
      <c r="N612" t="s">
        <v>8</v>
      </c>
      <c r="P612">
        <f t="shared" si="990"/>
        <v>0.36842105263157748</v>
      </c>
      <c r="Q612">
        <f t="shared" si="991"/>
        <v>44732671.973684035</v>
      </c>
      <c r="R612">
        <f t="shared" si="992"/>
        <v>-601718504.69041109</v>
      </c>
      <c r="S612">
        <f t="shared" si="993"/>
        <v>-6017.185046904111</v>
      </c>
      <c r="T612">
        <f t="shared" si="994"/>
        <v>-6.0171850469041113</v>
      </c>
    </row>
    <row r="613" spans="1:20" x14ac:dyDescent="0.25">
      <c r="A613" s="5">
        <v>43980</v>
      </c>
      <c r="B613">
        <v>2.8700000000000002E-3</v>
      </c>
      <c r="C613">
        <v>2.9199999999999999E-3</v>
      </c>
      <c r="D613">
        <v>2.7799999999999999E-3</v>
      </c>
      <c r="E613">
        <v>2.8500000000000001E-3</v>
      </c>
      <c r="F613">
        <v>85784484.400000006</v>
      </c>
      <c r="G613">
        <v>0</v>
      </c>
      <c r="L613" t="s">
        <v>7</v>
      </c>
      <c r="M613" t="s">
        <v>7</v>
      </c>
      <c r="N613" t="s">
        <v>8</v>
      </c>
      <c r="P613">
        <f t="shared" si="990"/>
        <v>3.0977204928157283E-15</v>
      </c>
      <c r="Q613">
        <f t="shared" si="991"/>
        <v>2.6573635529151116E-7</v>
      </c>
      <c r="R613">
        <f t="shared" si="992"/>
        <v>-646451176.66409516</v>
      </c>
      <c r="S613">
        <f t="shared" si="993"/>
        <v>-6464.5117666409515</v>
      </c>
      <c r="T613">
        <f t="shared" si="994"/>
        <v>-6.4645117666409515</v>
      </c>
    </row>
    <row r="614" spans="1:20" x14ac:dyDescent="0.25">
      <c r="A614" s="5">
        <v>43979</v>
      </c>
      <c r="B614">
        <v>2.8700000000000002E-3</v>
      </c>
      <c r="C614">
        <v>3.0500000000000002E-3</v>
      </c>
      <c r="D614">
        <v>2.8E-3</v>
      </c>
      <c r="E614">
        <v>2.8900000000000002E-3</v>
      </c>
      <c r="F614">
        <v>174252211</v>
      </c>
      <c r="G614">
        <v>0</v>
      </c>
      <c r="L614" t="s">
        <v>8</v>
      </c>
      <c r="M614" t="s">
        <v>7</v>
      </c>
      <c r="N614" t="s">
        <v>8</v>
      </c>
      <c r="P614">
        <f t="shared" si="990"/>
        <v>-0.27999999999999875</v>
      </c>
      <c r="Q614">
        <f t="shared" si="991"/>
        <v>-48790619.079999782</v>
      </c>
      <c r="R614">
        <f t="shared" si="992"/>
        <v>-646451176.6640954</v>
      </c>
      <c r="S614">
        <f t="shared" si="993"/>
        <v>-6464.5117666409542</v>
      </c>
      <c r="T614">
        <f t="shared" si="994"/>
        <v>-6.4645117666409542</v>
      </c>
    </row>
    <row r="615" spans="1:20" x14ac:dyDescent="0.25">
      <c r="A615" s="5">
        <v>43978</v>
      </c>
      <c r="B615">
        <v>2.8700000000000002E-3</v>
      </c>
      <c r="C615">
        <v>3.0999999999999999E-3</v>
      </c>
      <c r="D615">
        <v>2.7699999999999999E-3</v>
      </c>
      <c r="E615">
        <v>2.8800000000000002E-3</v>
      </c>
      <c r="F615">
        <v>200270035.19999999</v>
      </c>
      <c r="G615">
        <v>0</v>
      </c>
      <c r="L615" t="s">
        <v>7</v>
      </c>
      <c r="M615" t="s">
        <v>7</v>
      </c>
      <c r="N615" t="s">
        <v>8</v>
      </c>
      <c r="P615">
        <f t="shared" si="990"/>
        <v>-0.33333333333333159</v>
      </c>
      <c r="Q615">
        <f t="shared" si="991"/>
        <v>-66756678.399999648</v>
      </c>
      <c r="R615">
        <f t="shared" si="992"/>
        <v>-597660557.5840956</v>
      </c>
      <c r="S615">
        <f t="shared" si="993"/>
        <v>-5976.6055758409557</v>
      </c>
      <c r="T615">
        <f t="shared" si="994"/>
        <v>-5.9766055758409555</v>
      </c>
    </row>
    <row r="616" spans="1:20" x14ac:dyDescent="0.25">
      <c r="A616" s="5">
        <v>43977</v>
      </c>
      <c r="B616">
        <v>3.1199999999999999E-3</v>
      </c>
      <c r="C616">
        <v>3.4299999999999999E-3</v>
      </c>
      <c r="D616">
        <v>2.8E-3</v>
      </c>
      <c r="E616">
        <v>2.8600000000000001E-3</v>
      </c>
      <c r="F616">
        <v>333424222.39999998</v>
      </c>
      <c r="G616">
        <v>0</v>
      </c>
      <c r="L616" t="s">
        <v>8</v>
      </c>
      <c r="M616" t="s">
        <v>8</v>
      </c>
      <c r="N616" t="s">
        <v>8</v>
      </c>
      <c r="P616">
        <f t="shared" si="990"/>
        <v>-0.80952380952380898</v>
      </c>
      <c r="Q616">
        <f t="shared" si="991"/>
        <v>-269914846.70476168</v>
      </c>
      <c r="R616">
        <f t="shared" si="992"/>
        <v>-530903879.18409598</v>
      </c>
      <c r="S616">
        <f t="shared" si="993"/>
        <v>-5309.0387918409597</v>
      </c>
      <c r="T616">
        <f t="shared" si="994"/>
        <v>-5.3090387918409601</v>
      </c>
    </row>
    <row r="617" spans="1:20" x14ac:dyDescent="0.25">
      <c r="A617" s="5">
        <v>43976</v>
      </c>
      <c r="B617">
        <v>2.6099999999999999E-3</v>
      </c>
      <c r="C617">
        <v>3.2200000000000002E-3</v>
      </c>
      <c r="D617">
        <v>2.5600000000000002E-3</v>
      </c>
      <c r="E617">
        <v>3.13E-3</v>
      </c>
      <c r="F617">
        <v>293112774.10000002</v>
      </c>
      <c r="G617">
        <v>0</v>
      </c>
      <c r="L617" t="s">
        <v>8</v>
      </c>
      <c r="M617" t="s">
        <v>8</v>
      </c>
      <c r="N617" t="s">
        <v>8</v>
      </c>
      <c r="P617">
        <f t="shared" si="990"/>
        <v>0.72727272727272652</v>
      </c>
      <c r="Q617">
        <f t="shared" si="991"/>
        <v>213172926.61818162</v>
      </c>
      <c r="R617">
        <f t="shared" si="992"/>
        <v>-260989032.47933432</v>
      </c>
      <c r="S617">
        <f t="shared" si="993"/>
        <v>-2609.8903247933431</v>
      </c>
      <c r="T617">
        <f t="shared" si="994"/>
        <v>-2.6098903247933429</v>
      </c>
    </row>
    <row r="618" spans="1:20" x14ac:dyDescent="0.25">
      <c r="A618" s="5">
        <v>43975</v>
      </c>
      <c r="B618">
        <v>2.5999999999999999E-3</v>
      </c>
      <c r="C618">
        <v>3.0799999999999998E-3</v>
      </c>
      <c r="D618">
        <v>2.5699999999999998E-3</v>
      </c>
      <c r="E618">
        <v>2.6099999999999999E-3</v>
      </c>
      <c r="F618">
        <v>292539491.60000002</v>
      </c>
      <c r="G618">
        <v>0</v>
      </c>
      <c r="L618" t="s">
        <v>8</v>
      </c>
      <c r="M618" t="s">
        <v>8</v>
      </c>
      <c r="N618" t="s">
        <v>8</v>
      </c>
      <c r="P618">
        <f t="shared" si="990"/>
        <v>-0.84313725490196034</v>
      </c>
      <c r="Q618">
        <f t="shared" si="991"/>
        <v>-246650943.8980391</v>
      </c>
      <c r="R618">
        <f t="shared" si="992"/>
        <v>-474161959.09751594</v>
      </c>
      <c r="S618">
        <f t="shared" si="993"/>
        <v>-4741.6195909751596</v>
      </c>
      <c r="T618">
        <f t="shared" si="994"/>
        <v>-4.7416195909751595</v>
      </c>
    </row>
    <row r="619" spans="1:20" x14ac:dyDescent="0.25">
      <c r="A619" s="5">
        <v>43974</v>
      </c>
      <c r="B619">
        <v>2.64E-3</v>
      </c>
      <c r="C619">
        <v>2.6700000000000001E-3</v>
      </c>
      <c r="D619">
        <v>2.5300000000000001E-3</v>
      </c>
      <c r="E619">
        <v>2.5999999999999999E-3</v>
      </c>
      <c r="F619">
        <v>65237829.5</v>
      </c>
      <c r="G619">
        <v>0</v>
      </c>
      <c r="L619" t="s">
        <v>7</v>
      </c>
      <c r="M619" t="s">
        <v>8</v>
      </c>
      <c r="N619" t="s">
        <v>8</v>
      </c>
      <c r="P619">
        <f t="shared" si="990"/>
        <v>-3.0977204928157283E-15</v>
      </c>
      <c r="Q619">
        <f t="shared" si="991"/>
        <v>-2.0208856134896844E-7</v>
      </c>
      <c r="R619">
        <f t="shared" si="992"/>
        <v>-227511015.19947687</v>
      </c>
      <c r="S619">
        <f t="shared" si="993"/>
        <v>-2275.1101519947688</v>
      </c>
      <c r="T619">
        <f t="shared" si="994"/>
        <v>-2.275110151994769</v>
      </c>
    </row>
    <row r="620" spans="1:20" x14ac:dyDescent="0.25">
      <c r="A620" s="5">
        <v>43973</v>
      </c>
      <c r="B620">
        <v>2.4199999999999998E-3</v>
      </c>
      <c r="C620">
        <v>2.8E-3</v>
      </c>
      <c r="D620">
        <v>2.3800000000000002E-3</v>
      </c>
      <c r="E620">
        <v>2.64E-3</v>
      </c>
      <c r="F620">
        <v>198978186.69999999</v>
      </c>
      <c r="G620">
        <v>0</v>
      </c>
      <c r="L620" t="s">
        <v>8</v>
      </c>
      <c r="M620" t="s">
        <v>8</v>
      </c>
      <c r="N620" t="s">
        <v>8</v>
      </c>
      <c r="P620">
        <f t="shared" si="990"/>
        <v>0.2380952380952378</v>
      </c>
      <c r="Q620">
        <f t="shared" si="991"/>
        <v>47375758.738095179</v>
      </c>
      <c r="R620">
        <f t="shared" si="992"/>
        <v>-227511015.19947666</v>
      </c>
      <c r="S620">
        <f t="shared" si="993"/>
        <v>-2275.1101519947665</v>
      </c>
      <c r="T620">
        <f t="shared" si="994"/>
        <v>-2.2751101519947663</v>
      </c>
    </row>
    <row r="621" spans="1:20" x14ac:dyDescent="0.25">
      <c r="A621" s="5">
        <v>43972</v>
      </c>
      <c r="B621">
        <v>2.5100000000000001E-3</v>
      </c>
      <c r="C621">
        <v>2.7399999999999998E-3</v>
      </c>
      <c r="D621">
        <v>2.33E-3</v>
      </c>
      <c r="E621">
        <v>2.4199999999999998E-3</v>
      </c>
      <c r="F621">
        <v>227264566.69999999</v>
      </c>
      <c r="G621">
        <v>0</v>
      </c>
      <c r="L621" t="s">
        <v>7</v>
      </c>
      <c r="M621" t="s">
        <v>8</v>
      </c>
      <c r="N621" t="s">
        <v>8</v>
      </c>
      <c r="P621">
        <f t="shared" si="990"/>
        <v>-0.56097560975609828</v>
      </c>
      <c r="Q621">
        <f t="shared" si="991"/>
        <v>-127489878.88048796</v>
      </c>
      <c r="R621">
        <f t="shared" si="992"/>
        <v>-274886773.93757182</v>
      </c>
      <c r="S621">
        <f t="shared" si="993"/>
        <v>-2748.8677393757184</v>
      </c>
      <c r="T621">
        <f t="shared" si="994"/>
        <v>-2.7488677393757186</v>
      </c>
    </row>
    <row r="622" spans="1:20" x14ac:dyDescent="0.25">
      <c r="A622" s="5">
        <v>43971</v>
      </c>
      <c r="B622">
        <v>2.5899999999999999E-3</v>
      </c>
      <c r="C622">
        <v>2.5999999999999999E-3</v>
      </c>
      <c r="D622">
        <v>2.3500000000000001E-3</v>
      </c>
      <c r="E622">
        <v>2.5200000000000001E-3</v>
      </c>
      <c r="F622">
        <v>116535112.3</v>
      </c>
      <c r="G622">
        <v>0</v>
      </c>
      <c r="L622" t="s">
        <v>7</v>
      </c>
      <c r="M622" t="s">
        <v>7</v>
      </c>
      <c r="N622" t="s">
        <v>8</v>
      </c>
      <c r="P622">
        <f t="shared" si="990"/>
        <v>0.36000000000000126</v>
      </c>
      <c r="Q622">
        <f t="shared" si="991"/>
        <v>41952640.428000145</v>
      </c>
      <c r="R622">
        <f t="shared" si="992"/>
        <v>-147396895.05708387</v>
      </c>
      <c r="S622">
        <f t="shared" si="993"/>
        <v>-1473.9689505708388</v>
      </c>
      <c r="T622">
        <f t="shared" si="994"/>
        <v>-1.4739689505708389</v>
      </c>
    </row>
    <row r="623" spans="1:20" x14ac:dyDescent="0.25">
      <c r="A623" s="5">
        <v>43970</v>
      </c>
      <c r="B623">
        <v>2.63E-3</v>
      </c>
      <c r="C623">
        <v>2.65E-3</v>
      </c>
      <c r="D623">
        <v>2.48E-3</v>
      </c>
      <c r="E623">
        <v>2.5899999999999999E-3</v>
      </c>
      <c r="F623">
        <v>157590375.19999999</v>
      </c>
      <c r="G623">
        <v>0</v>
      </c>
      <c r="L623" t="s">
        <v>7</v>
      </c>
      <c r="M623" t="s">
        <v>7</v>
      </c>
      <c r="N623" t="s">
        <v>8</v>
      </c>
      <c r="P623">
        <f t="shared" si="990"/>
        <v>0.29411764705882171</v>
      </c>
      <c r="Q623">
        <f t="shared" si="991"/>
        <v>46350110.352940887</v>
      </c>
      <c r="R623">
        <f t="shared" si="992"/>
        <v>-189349535.48508403</v>
      </c>
      <c r="S623">
        <f t="shared" si="993"/>
        <v>-1893.4953548508402</v>
      </c>
      <c r="T623">
        <f t="shared" si="994"/>
        <v>-1.8934953548508402</v>
      </c>
    </row>
    <row r="624" spans="1:20" x14ac:dyDescent="0.25">
      <c r="A624" s="5">
        <v>43969</v>
      </c>
      <c r="B624">
        <v>2.5899999999999999E-3</v>
      </c>
      <c r="C624">
        <v>2.6900000000000001E-3</v>
      </c>
      <c r="D624">
        <v>2.5300000000000001E-3</v>
      </c>
      <c r="E624">
        <v>2.6099999999999999E-3</v>
      </c>
      <c r="F624">
        <v>129970198.2</v>
      </c>
      <c r="G624">
        <v>0</v>
      </c>
      <c r="L624" t="s">
        <v>7</v>
      </c>
      <c r="M624" t="s">
        <v>7</v>
      </c>
      <c r="N624" t="s">
        <v>8</v>
      </c>
      <c r="P624">
        <f t="shared" si="990"/>
        <v>-2.7105054312137615E-15</v>
      </c>
      <c r="Q624">
        <f t="shared" si="991"/>
        <v>-3.5228492811702905E-7</v>
      </c>
      <c r="R624">
        <f t="shared" si="992"/>
        <v>-235699645.83802491</v>
      </c>
      <c r="S624">
        <f t="shared" si="993"/>
        <v>-2356.9964583802494</v>
      </c>
      <c r="T624">
        <f t="shared" si="994"/>
        <v>-2.3569964583802494</v>
      </c>
    </row>
    <row r="625" spans="1:20" x14ac:dyDescent="0.25">
      <c r="A625" s="5">
        <v>43968</v>
      </c>
      <c r="B625">
        <v>2.7799999999999999E-3</v>
      </c>
      <c r="C625">
        <v>2.9299999999999999E-3</v>
      </c>
      <c r="D625">
        <v>2.5400000000000002E-3</v>
      </c>
      <c r="E625">
        <v>2.5899999999999999E-3</v>
      </c>
      <c r="F625">
        <v>285700916.5</v>
      </c>
      <c r="G625">
        <v>0</v>
      </c>
      <c r="L625" t="s">
        <v>7</v>
      </c>
      <c r="M625" t="s">
        <v>7</v>
      </c>
      <c r="N625" t="s">
        <v>8</v>
      </c>
      <c r="P625">
        <f t="shared" si="990"/>
        <v>-0.74358974358974494</v>
      </c>
      <c r="Q625">
        <f t="shared" si="991"/>
        <v>-212444271.24359012</v>
      </c>
      <c r="R625">
        <f t="shared" si="992"/>
        <v>-235699645.83802456</v>
      </c>
      <c r="S625">
        <f t="shared" si="993"/>
        <v>-2356.9964583802457</v>
      </c>
      <c r="T625">
        <f t="shared" si="994"/>
        <v>-2.3569964583802459</v>
      </c>
    </row>
    <row r="626" spans="1:20" x14ac:dyDescent="0.25">
      <c r="A626" s="5">
        <v>43967</v>
      </c>
      <c r="B626">
        <v>2.4099999999999998E-3</v>
      </c>
      <c r="C626">
        <v>3.0699999999999998E-3</v>
      </c>
      <c r="D626">
        <v>2.3900000000000002E-3</v>
      </c>
      <c r="E626">
        <v>2.7899999999999999E-3</v>
      </c>
      <c r="F626">
        <v>503714793.5</v>
      </c>
      <c r="G626">
        <v>0</v>
      </c>
      <c r="L626" t="s">
        <v>8</v>
      </c>
      <c r="M626" t="s">
        <v>8</v>
      </c>
      <c r="N626" t="s">
        <v>8</v>
      </c>
      <c r="P626">
        <f t="shared" si="990"/>
        <v>0.17647058823529405</v>
      </c>
      <c r="Q626">
        <f t="shared" si="991"/>
        <v>88890845.911764666</v>
      </c>
      <c r="R626">
        <f t="shared" si="992"/>
        <v>-23255374.594434455</v>
      </c>
      <c r="S626">
        <f t="shared" si="993"/>
        <v>-232.55374594434454</v>
      </c>
      <c r="T626">
        <f t="shared" si="994"/>
        <v>-0.23255374594434455</v>
      </c>
    </row>
    <row r="627" spans="1:20" x14ac:dyDescent="0.25">
      <c r="A627" s="5">
        <v>43966</v>
      </c>
      <c r="B627">
        <v>2.3600000000000001E-3</v>
      </c>
      <c r="C627">
        <v>2.5699999999999998E-3</v>
      </c>
      <c r="D627">
        <v>2.2000000000000001E-3</v>
      </c>
      <c r="E627">
        <v>2.4099999999999998E-3</v>
      </c>
      <c r="F627">
        <v>286336328.30000001</v>
      </c>
      <c r="G627">
        <v>0</v>
      </c>
      <c r="L627" t="s">
        <v>8</v>
      </c>
      <c r="M627" t="s">
        <v>8</v>
      </c>
      <c r="N627" t="s">
        <v>8</v>
      </c>
      <c r="P627">
        <f t="shared" si="990"/>
        <v>0.13513513513513445</v>
      </c>
      <c r="Q627">
        <f t="shared" si="991"/>
        <v>38694098.418918721</v>
      </c>
      <c r="R627">
        <f t="shared" si="992"/>
        <v>-112146220.50619912</v>
      </c>
      <c r="S627">
        <f t="shared" si="993"/>
        <v>-1121.4622050619912</v>
      </c>
      <c r="T627">
        <f t="shared" si="994"/>
        <v>-1.1214622050619911</v>
      </c>
    </row>
    <row r="628" spans="1:20" x14ac:dyDescent="0.25">
      <c r="A628" s="5">
        <v>43965</v>
      </c>
      <c r="B628">
        <v>2.1099999999999999E-3</v>
      </c>
      <c r="C628">
        <v>2.3999999999999998E-3</v>
      </c>
      <c r="D628">
        <v>2.0999999999999999E-3</v>
      </c>
      <c r="E628">
        <v>2.3400000000000001E-3</v>
      </c>
      <c r="F628">
        <v>222152256.59999999</v>
      </c>
      <c r="G628">
        <v>0</v>
      </c>
      <c r="L628" t="s">
        <v>8</v>
      </c>
      <c r="M628" t="s">
        <v>8</v>
      </c>
      <c r="N628" t="s">
        <v>8</v>
      </c>
      <c r="P628">
        <f t="shared" si="990"/>
        <v>0.60000000000000175</v>
      </c>
      <c r="Q628">
        <f t="shared" si="991"/>
        <v>133291353.96000038</v>
      </c>
      <c r="R628">
        <f t="shared" si="992"/>
        <v>-150840318.92511785</v>
      </c>
      <c r="S628">
        <f t="shared" si="993"/>
        <v>-1508.4031892511784</v>
      </c>
      <c r="T628">
        <f t="shared" si="994"/>
        <v>-1.5084031892511784</v>
      </c>
    </row>
    <row r="629" spans="1:20" x14ac:dyDescent="0.25">
      <c r="A629" s="5">
        <v>43964</v>
      </c>
      <c r="B629">
        <v>1.8600000000000001E-3</v>
      </c>
      <c r="C629">
        <v>2.1299999999999999E-3</v>
      </c>
      <c r="D629">
        <v>1.8600000000000001E-3</v>
      </c>
      <c r="E629">
        <v>2.1099999999999999E-3</v>
      </c>
      <c r="F629">
        <v>79983422.700000003</v>
      </c>
      <c r="G629">
        <v>0</v>
      </c>
      <c r="L629" t="s">
        <v>8</v>
      </c>
      <c r="M629" t="s">
        <v>8</v>
      </c>
      <c r="N629" t="s">
        <v>8</v>
      </c>
      <c r="P629">
        <f t="shared" si="990"/>
        <v>0.85185185185185142</v>
      </c>
      <c r="Q629">
        <f t="shared" si="991"/>
        <v>68134026.744444415</v>
      </c>
      <c r="R629">
        <f t="shared" si="992"/>
        <v>-284131672.88511825</v>
      </c>
      <c r="S629">
        <f t="shared" si="993"/>
        <v>-2841.3167288511822</v>
      </c>
      <c r="T629">
        <f t="shared" si="994"/>
        <v>-2.841316728851182</v>
      </c>
    </row>
    <row r="630" spans="1:20" x14ac:dyDescent="0.25">
      <c r="A630" s="5">
        <v>43963</v>
      </c>
      <c r="B630">
        <v>1.82E-3</v>
      </c>
      <c r="C630">
        <v>1.92E-3</v>
      </c>
      <c r="D630">
        <v>1.8E-3</v>
      </c>
      <c r="E630">
        <v>1.8500000000000001E-3</v>
      </c>
      <c r="F630">
        <v>56988185.799999997</v>
      </c>
      <c r="G630">
        <v>0</v>
      </c>
      <c r="L630" t="s">
        <v>7</v>
      </c>
      <c r="M630" t="s">
        <v>7</v>
      </c>
      <c r="N630" t="s">
        <v>8</v>
      </c>
      <c r="P630">
        <f t="shared" si="990"/>
        <v>-0.16666666666666516</v>
      </c>
      <c r="Q630">
        <f t="shared" si="991"/>
        <v>-9498030.9666665811</v>
      </c>
      <c r="R630">
        <f t="shared" si="992"/>
        <v>-352265699.62956268</v>
      </c>
      <c r="S630">
        <f t="shared" si="993"/>
        <v>-3522.6569962956269</v>
      </c>
      <c r="T630">
        <f t="shared" si="994"/>
        <v>-3.5226569962956269</v>
      </c>
    </row>
    <row r="631" spans="1:20" x14ac:dyDescent="0.25">
      <c r="A631" s="5">
        <v>43962</v>
      </c>
      <c r="B631">
        <v>1.8400000000000001E-3</v>
      </c>
      <c r="C631">
        <v>1.97E-3</v>
      </c>
      <c r="D631">
        <v>1.7099999999999999E-3</v>
      </c>
      <c r="E631">
        <v>1.81E-3</v>
      </c>
      <c r="F631">
        <v>93803888.5</v>
      </c>
      <c r="G631">
        <v>0</v>
      </c>
      <c r="L631" t="s">
        <v>8</v>
      </c>
      <c r="M631" t="s">
        <v>7</v>
      </c>
      <c r="N631" t="s">
        <v>8</v>
      </c>
      <c r="P631">
        <f t="shared" si="990"/>
        <v>-0.2307692307692305</v>
      </c>
      <c r="Q631">
        <f t="shared" si="991"/>
        <v>-21647051.192307666</v>
      </c>
      <c r="R631">
        <f t="shared" si="992"/>
        <v>-342767668.6628961</v>
      </c>
      <c r="S631">
        <f t="shared" si="993"/>
        <v>-3427.6766866289609</v>
      </c>
      <c r="T631">
        <f t="shared" si="994"/>
        <v>-3.4276766866289607</v>
      </c>
    </row>
    <row r="632" spans="1:20" x14ac:dyDescent="0.25">
      <c r="A632" s="5">
        <v>43961</v>
      </c>
      <c r="B632">
        <v>2.0200000000000001E-3</v>
      </c>
      <c r="C632">
        <v>2.0200000000000001E-3</v>
      </c>
      <c r="D632">
        <v>1.6999999999999999E-3</v>
      </c>
      <c r="E632">
        <v>1.83E-3</v>
      </c>
      <c r="F632">
        <v>124728607.8</v>
      </c>
      <c r="G632">
        <v>0</v>
      </c>
      <c r="L632" t="s">
        <v>7</v>
      </c>
      <c r="M632" t="s">
        <v>7</v>
      </c>
      <c r="N632" t="s">
        <v>8</v>
      </c>
      <c r="P632">
        <f t="shared" si="990"/>
        <v>-0.18749999999999969</v>
      </c>
      <c r="Q632">
        <f t="shared" si="991"/>
        <v>-23386613.962499961</v>
      </c>
      <c r="R632">
        <f t="shared" si="992"/>
        <v>-321120617.47058845</v>
      </c>
      <c r="S632">
        <f t="shared" si="993"/>
        <v>-3211.2061747058847</v>
      </c>
      <c r="T632">
        <f t="shared" si="994"/>
        <v>-3.2112061747058847</v>
      </c>
    </row>
    <row r="633" spans="1:20" x14ac:dyDescent="0.25">
      <c r="A633" s="5">
        <v>43960</v>
      </c>
      <c r="B633">
        <v>2.0100000000000001E-3</v>
      </c>
      <c r="C633">
        <v>2.1099999999999999E-3</v>
      </c>
      <c r="D633">
        <v>1.99E-3</v>
      </c>
      <c r="E633">
        <v>2.0200000000000001E-3</v>
      </c>
      <c r="F633">
        <v>120688844.40000001</v>
      </c>
      <c r="G633">
        <v>0</v>
      </c>
      <c r="L633" t="s">
        <v>8</v>
      </c>
      <c r="M633" t="s">
        <v>7</v>
      </c>
      <c r="N633" t="s">
        <v>8</v>
      </c>
      <c r="P633">
        <f t="shared" si="990"/>
        <v>-0.49999999999999817</v>
      </c>
      <c r="Q633">
        <f t="shared" si="991"/>
        <v>-60344422.199999779</v>
      </c>
      <c r="R633">
        <f t="shared" si="992"/>
        <v>-297734003.50808847</v>
      </c>
      <c r="S633">
        <f t="shared" si="993"/>
        <v>-2977.3400350808847</v>
      </c>
      <c r="T633">
        <f t="shared" si="994"/>
        <v>-2.9773400350808847</v>
      </c>
    </row>
    <row r="634" spans="1:20" x14ac:dyDescent="0.25">
      <c r="A634" s="5">
        <v>43959</v>
      </c>
      <c r="B634">
        <v>1.97E-3</v>
      </c>
      <c r="C634">
        <v>2.0600000000000002E-3</v>
      </c>
      <c r="D634">
        <v>1.9499999999999999E-3</v>
      </c>
      <c r="E634">
        <v>2.0100000000000001E-3</v>
      </c>
      <c r="F634">
        <v>59804314.600000001</v>
      </c>
      <c r="G634">
        <v>0</v>
      </c>
      <c r="L634" t="s">
        <v>7</v>
      </c>
      <c r="M634" t="s">
        <v>7</v>
      </c>
      <c r="N634" t="s">
        <v>8</v>
      </c>
      <c r="P634">
        <f t="shared" si="990"/>
        <v>9.0909090909090912E-2</v>
      </c>
      <c r="Q634">
        <f t="shared" si="991"/>
        <v>5436755.872727273</v>
      </c>
      <c r="R634">
        <f t="shared" si="992"/>
        <v>-237389581.30808872</v>
      </c>
      <c r="S634">
        <f t="shared" si="993"/>
        <v>-2373.8958130808874</v>
      </c>
      <c r="T634">
        <f t="shared" si="994"/>
        <v>-2.3738958130808872</v>
      </c>
    </row>
    <row r="635" spans="1:20" x14ac:dyDescent="0.25">
      <c r="A635" s="5">
        <v>43958</v>
      </c>
      <c r="B635">
        <v>2.0300000000000001E-3</v>
      </c>
      <c r="C635">
        <v>2.0799999999999998E-3</v>
      </c>
      <c r="D635">
        <v>1.9300000000000001E-3</v>
      </c>
      <c r="E635">
        <v>1.9599999999999999E-3</v>
      </c>
      <c r="F635">
        <v>125117765.3</v>
      </c>
      <c r="G635">
        <v>0</v>
      </c>
      <c r="L635" t="s">
        <v>7</v>
      </c>
      <c r="M635" t="s">
        <v>7</v>
      </c>
      <c r="N635" t="s">
        <v>8</v>
      </c>
      <c r="P635">
        <f t="shared" si="990"/>
        <v>-0.6000000000000012</v>
      </c>
      <c r="Q635">
        <f t="shared" si="991"/>
        <v>-75070659.180000141</v>
      </c>
      <c r="R635">
        <f t="shared" si="992"/>
        <v>-242826337.18081599</v>
      </c>
      <c r="S635">
        <f t="shared" si="993"/>
        <v>-2428.2633718081602</v>
      </c>
      <c r="T635">
        <f t="shared" si="994"/>
        <v>-2.4282633718081601</v>
      </c>
    </row>
    <row r="636" spans="1:20" x14ac:dyDescent="0.25">
      <c r="A636" s="5">
        <v>43957</v>
      </c>
      <c r="B636">
        <v>2.14E-3</v>
      </c>
      <c r="C636">
        <v>2.2799999999999999E-3</v>
      </c>
      <c r="D636">
        <v>2.0200000000000001E-3</v>
      </c>
      <c r="E636">
        <v>2.0300000000000001E-3</v>
      </c>
      <c r="F636">
        <v>216034416.30000001</v>
      </c>
      <c r="G636">
        <v>0</v>
      </c>
      <c r="L636" t="s">
        <v>8</v>
      </c>
      <c r="M636" t="s">
        <v>8</v>
      </c>
      <c r="N636" t="s">
        <v>8</v>
      </c>
      <c r="P636">
        <f t="shared" si="990"/>
        <v>-0.9230769230769228</v>
      </c>
      <c r="Q636">
        <f t="shared" si="991"/>
        <v>-199416384.27692303</v>
      </c>
      <c r="R636">
        <f t="shared" si="992"/>
        <v>-167755678.00081587</v>
      </c>
      <c r="S636">
        <f t="shared" si="993"/>
        <v>-1677.5567800081587</v>
      </c>
      <c r="T636">
        <f t="shared" si="994"/>
        <v>-1.6775567800081588</v>
      </c>
    </row>
    <row r="637" spans="1:20" x14ac:dyDescent="0.25">
      <c r="A637" s="5">
        <v>43956</v>
      </c>
      <c r="B637">
        <v>1.92E-3</v>
      </c>
      <c r="C637">
        <v>2.16E-3</v>
      </c>
      <c r="D637">
        <v>1.8799999999999999E-3</v>
      </c>
      <c r="E637">
        <v>2.14E-3</v>
      </c>
      <c r="F637">
        <v>162851243.80000001</v>
      </c>
      <c r="G637">
        <v>0</v>
      </c>
      <c r="L637" t="s">
        <v>8</v>
      </c>
      <c r="M637" t="s">
        <v>8</v>
      </c>
      <c r="N637" t="s">
        <v>8</v>
      </c>
      <c r="P637">
        <f t="shared" si="990"/>
        <v>0.85714285714285676</v>
      </c>
      <c r="Q637">
        <f t="shared" si="991"/>
        <v>139586780.39999995</v>
      </c>
      <c r="R637">
        <f t="shared" si="992"/>
        <v>31660706.276107162</v>
      </c>
      <c r="S637">
        <f t="shared" si="993"/>
        <v>316.60706276107163</v>
      </c>
      <c r="T637">
        <f t="shared" si="994"/>
        <v>0.31660706276107164</v>
      </c>
    </row>
    <row r="638" spans="1:20" x14ac:dyDescent="0.25">
      <c r="A638" s="5">
        <v>43955</v>
      </c>
      <c r="B638">
        <v>1.97E-3</v>
      </c>
      <c r="C638">
        <v>1.98E-3</v>
      </c>
      <c r="D638">
        <v>1.83E-3</v>
      </c>
      <c r="E638">
        <v>1.91E-3</v>
      </c>
      <c r="F638">
        <v>84177037.299999997</v>
      </c>
      <c r="G638">
        <v>0</v>
      </c>
      <c r="L638" t="s">
        <v>7</v>
      </c>
      <c r="M638" t="s">
        <v>7</v>
      </c>
      <c r="N638" t="s">
        <v>8</v>
      </c>
      <c r="P638">
        <f t="shared" si="990"/>
        <v>6.666666666666686E-2</v>
      </c>
      <c r="Q638">
        <f t="shared" si="991"/>
        <v>5611802.4866666831</v>
      </c>
      <c r="R638">
        <f t="shared" si="992"/>
        <v>-107926074.12389278</v>
      </c>
      <c r="S638">
        <f t="shared" si="993"/>
        <v>-1079.2607412389279</v>
      </c>
      <c r="T638">
        <f t="shared" si="994"/>
        <v>-1.0792607412389279</v>
      </c>
    </row>
    <row r="639" spans="1:20" x14ac:dyDescent="0.25">
      <c r="A639" s="5">
        <v>43954</v>
      </c>
      <c r="B639">
        <v>2E-3</v>
      </c>
      <c r="C639">
        <v>2.0300000000000001E-3</v>
      </c>
      <c r="D639">
        <v>1.9300000000000001E-3</v>
      </c>
      <c r="E639">
        <v>1.9599999999999999E-3</v>
      </c>
      <c r="F639">
        <v>81203824.799999997</v>
      </c>
      <c r="G639">
        <v>0</v>
      </c>
      <c r="L639" t="s">
        <v>7</v>
      </c>
      <c r="M639" t="s">
        <v>7</v>
      </c>
      <c r="N639" t="s">
        <v>8</v>
      </c>
      <c r="P639">
        <f t="shared" si="990"/>
        <v>-0.40000000000000302</v>
      </c>
      <c r="Q639">
        <f t="shared" si="991"/>
        <v>-32481529.920000244</v>
      </c>
      <c r="R639">
        <f t="shared" si="992"/>
        <v>-113537876.61055946</v>
      </c>
      <c r="S639">
        <f t="shared" si="993"/>
        <v>-1135.3787661055947</v>
      </c>
      <c r="T639">
        <f t="shared" si="994"/>
        <v>-1.1353787661055947</v>
      </c>
    </row>
    <row r="640" spans="1:20" x14ac:dyDescent="0.25">
      <c r="A640" s="5">
        <v>43953</v>
      </c>
      <c r="B640">
        <v>1.9499999999999999E-3</v>
      </c>
      <c r="C640">
        <v>2.0200000000000001E-3</v>
      </c>
      <c r="D640">
        <v>1.9300000000000001E-3</v>
      </c>
      <c r="E640">
        <v>1.99E-3</v>
      </c>
      <c r="F640">
        <v>59965738.100000001</v>
      </c>
      <c r="G640">
        <v>0</v>
      </c>
      <c r="L640" t="s">
        <v>7</v>
      </c>
      <c r="M640" t="s">
        <v>7</v>
      </c>
      <c r="N640" t="s">
        <v>8</v>
      </c>
      <c r="P640">
        <f t="shared" si="990"/>
        <v>0.33333333333333171</v>
      </c>
      <c r="Q640">
        <f t="shared" si="991"/>
        <v>19988579.36666657</v>
      </c>
      <c r="R640">
        <f t="shared" si="992"/>
        <v>-81056346.690559223</v>
      </c>
      <c r="S640">
        <f t="shared" si="993"/>
        <v>-810.56346690559224</v>
      </c>
      <c r="T640">
        <f t="shared" si="994"/>
        <v>-0.81056346690559222</v>
      </c>
    </row>
    <row r="641" spans="1:20" x14ac:dyDescent="0.25">
      <c r="A641" s="5">
        <v>43952</v>
      </c>
      <c r="B641">
        <v>1.92E-3</v>
      </c>
      <c r="C641">
        <v>2.0200000000000001E-3</v>
      </c>
      <c r="D641">
        <v>1.9E-3</v>
      </c>
      <c r="E641">
        <v>1.9400000000000001E-3</v>
      </c>
      <c r="F641">
        <v>78562979.900000006</v>
      </c>
      <c r="G641">
        <v>0</v>
      </c>
      <c r="L641" t="s">
        <v>7</v>
      </c>
      <c r="M641" t="s">
        <v>7</v>
      </c>
      <c r="N641" t="s">
        <v>8</v>
      </c>
      <c r="P641">
        <f t="shared" si="990"/>
        <v>-0.33333333333333215</v>
      </c>
      <c r="Q641">
        <f t="shared" si="991"/>
        <v>-26187659.966666576</v>
      </c>
      <c r="R641">
        <f t="shared" si="992"/>
        <v>-101044926.05722579</v>
      </c>
      <c r="S641">
        <f t="shared" si="993"/>
        <v>-1010.4492605722579</v>
      </c>
      <c r="T641">
        <f t="shared" si="994"/>
        <v>-1.0104492605722579</v>
      </c>
    </row>
    <row r="642" spans="1:20" x14ac:dyDescent="0.25">
      <c r="A642" s="5">
        <v>43951</v>
      </c>
      <c r="B642">
        <v>1.98E-3</v>
      </c>
      <c r="C642">
        <v>2.0899999999999998E-3</v>
      </c>
      <c r="D642">
        <v>1.8500000000000001E-3</v>
      </c>
      <c r="E642">
        <v>1.92E-3</v>
      </c>
      <c r="F642">
        <v>122437794.3</v>
      </c>
      <c r="G642">
        <v>0</v>
      </c>
      <c r="L642" t="s">
        <v>8</v>
      </c>
      <c r="M642" t="s">
        <v>7</v>
      </c>
      <c r="N642" t="s">
        <v>8</v>
      </c>
      <c r="P642">
        <f t="shared" si="990"/>
        <v>-0.41666666666666635</v>
      </c>
      <c r="Q642">
        <f t="shared" si="991"/>
        <v>-51015747.624999963</v>
      </c>
      <c r="R642">
        <f t="shared" si="992"/>
        <v>-74857266.090559214</v>
      </c>
      <c r="S642">
        <f t="shared" si="993"/>
        <v>-748.5726609055921</v>
      </c>
      <c r="T642">
        <f t="shared" si="994"/>
        <v>-0.74857266090559205</v>
      </c>
    </row>
    <row r="643" spans="1:20" x14ac:dyDescent="0.25">
      <c r="A643" s="5">
        <v>43950</v>
      </c>
      <c r="B643">
        <v>1.8799999999999999E-3</v>
      </c>
      <c r="C643">
        <v>2.0300000000000001E-3</v>
      </c>
      <c r="D643">
        <v>1.8E-3</v>
      </c>
      <c r="E643">
        <v>1.97E-3</v>
      </c>
      <c r="F643">
        <v>187094923.80000001</v>
      </c>
      <c r="G643">
        <v>0</v>
      </c>
      <c r="L643" t="s">
        <v>8</v>
      </c>
      <c r="M643" t="s">
        <v>7</v>
      </c>
      <c r="N643" t="s">
        <v>8</v>
      </c>
      <c r="P643">
        <f t="shared" si="990"/>
        <v>0.47826086956521641</v>
      </c>
      <c r="Q643">
        <f t="shared" si="991"/>
        <v>89480180.947825909</v>
      </c>
      <c r="R643">
        <f t="shared" si="992"/>
        <v>-23841518.465559259</v>
      </c>
      <c r="S643">
        <f t="shared" si="993"/>
        <v>-238.41518465559258</v>
      </c>
      <c r="T643">
        <f t="shared" si="994"/>
        <v>-0.23841518465559258</v>
      </c>
    </row>
    <row r="644" spans="1:20" x14ac:dyDescent="0.25">
      <c r="A644" s="5">
        <v>43949</v>
      </c>
      <c r="B644">
        <v>1.89E-3</v>
      </c>
      <c r="C644">
        <v>1.91E-3</v>
      </c>
      <c r="D644">
        <v>1.8500000000000001E-3</v>
      </c>
      <c r="E644">
        <v>1.8799999999999999E-3</v>
      </c>
      <c r="F644">
        <v>65198667</v>
      </c>
      <c r="G644">
        <v>0</v>
      </c>
      <c r="L644" t="s">
        <v>7</v>
      </c>
      <c r="M644" t="s">
        <v>7</v>
      </c>
      <c r="N644" t="s">
        <v>8</v>
      </c>
      <c r="P644">
        <f t="shared" si="990"/>
        <v>-3.6140072416183515E-15</v>
      </c>
      <c r="Q644">
        <f t="shared" si="991"/>
        <v>-2.3562845468186343E-7</v>
      </c>
      <c r="R644">
        <f t="shared" si="992"/>
        <v>-113321699.41338517</v>
      </c>
      <c r="S644">
        <f t="shared" si="993"/>
        <v>-1133.2169941338516</v>
      </c>
      <c r="T644">
        <f t="shared" si="994"/>
        <v>-1.1332169941338517</v>
      </c>
    </row>
    <row r="645" spans="1:20" x14ac:dyDescent="0.25">
      <c r="A645" s="5">
        <v>43948</v>
      </c>
      <c r="B645">
        <v>2.0300000000000001E-3</v>
      </c>
      <c r="C645">
        <v>2.0400000000000001E-3</v>
      </c>
      <c r="D645">
        <v>1.7700000000000001E-3</v>
      </c>
      <c r="E645">
        <v>1.9E-3</v>
      </c>
      <c r="F645">
        <v>123778555.5</v>
      </c>
      <c r="G645">
        <v>0</v>
      </c>
      <c r="L645" t="s">
        <v>7</v>
      </c>
      <c r="M645" t="s">
        <v>7</v>
      </c>
      <c r="N645" t="s">
        <v>8</v>
      </c>
      <c r="P645">
        <f t="shared" si="990"/>
        <v>-3.703703703703793E-2</v>
      </c>
      <c r="Q645">
        <f t="shared" si="991"/>
        <v>-4584390.9444445549</v>
      </c>
      <c r="R645">
        <f t="shared" si="992"/>
        <v>-113321699.41338493</v>
      </c>
      <c r="S645">
        <f t="shared" si="993"/>
        <v>-1133.2169941338493</v>
      </c>
      <c r="T645">
        <f t="shared" si="994"/>
        <v>-1.1332169941338492</v>
      </c>
    </row>
    <row r="646" spans="1:20" x14ac:dyDescent="0.25">
      <c r="A646" s="5">
        <v>43947</v>
      </c>
      <c r="B646">
        <v>1.9499999999999999E-3</v>
      </c>
      <c r="C646">
        <v>2.15E-3</v>
      </c>
      <c r="D646">
        <v>1.9400000000000001E-3</v>
      </c>
      <c r="E646">
        <v>2.0300000000000001E-3</v>
      </c>
      <c r="F646">
        <v>193300374.80000001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5">IF(C646=D646,0,((E646-D646)-(C646-E646))/(C646-D646))</f>
        <v>-0.14285714285714227</v>
      </c>
      <c r="Q646">
        <f t="shared" ref="Q646:Q709" si="996">F646*P646</f>
        <v>-27614339.257142745</v>
      </c>
      <c r="R646">
        <f t="shared" ref="R646:R709" si="997">R647+Q646</f>
        <v>-108737308.46894038</v>
      </c>
      <c r="S646">
        <f t="shared" ref="S646:S709" si="998">R646/100000</f>
        <v>-1087.3730846894039</v>
      </c>
      <c r="T646">
        <f t="shared" ref="T646:T709" si="999">S646/1000</f>
        <v>-1.0873730846894039</v>
      </c>
    </row>
    <row r="647" spans="1:20" x14ac:dyDescent="0.25">
      <c r="A647" s="5">
        <v>43946</v>
      </c>
      <c r="B647">
        <v>1.92E-3</v>
      </c>
      <c r="C647">
        <v>2.0699999999999998E-3</v>
      </c>
      <c r="D647">
        <v>1.8400000000000001E-3</v>
      </c>
      <c r="E647">
        <v>1.9499999999999999E-3</v>
      </c>
      <c r="F647">
        <v>207844944.30000001</v>
      </c>
      <c r="G647">
        <v>0</v>
      </c>
      <c r="L647" t="s">
        <v>8</v>
      </c>
      <c r="M647" t="s">
        <v>8</v>
      </c>
      <c r="N647" t="s">
        <v>8</v>
      </c>
      <c r="P647">
        <f t="shared" si="995"/>
        <v>-4.3478260869565383E-2</v>
      </c>
      <c r="Q647">
        <f t="shared" si="996"/>
        <v>-9036736.7086956874</v>
      </c>
      <c r="R647">
        <f t="shared" si="997"/>
        <v>-81122969.211797625</v>
      </c>
      <c r="S647">
        <f t="shared" si="998"/>
        <v>-811.22969211797624</v>
      </c>
      <c r="T647">
        <f t="shared" si="999"/>
        <v>-0.81122969211797624</v>
      </c>
    </row>
    <row r="648" spans="1:20" x14ac:dyDescent="0.25">
      <c r="A648" s="5">
        <v>43945</v>
      </c>
      <c r="B648">
        <v>1.6900000000000001E-3</v>
      </c>
      <c r="C648">
        <v>1.9300000000000001E-3</v>
      </c>
      <c r="D648">
        <v>1.6800000000000001E-3</v>
      </c>
      <c r="E648">
        <v>1.91E-3</v>
      </c>
      <c r="F648">
        <v>229201750</v>
      </c>
      <c r="G648">
        <v>0</v>
      </c>
      <c r="L648" t="s">
        <v>8</v>
      </c>
      <c r="M648" t="s">
        <v>8</v>
      </c>
      <c r="N648" t="s">
        <v>7</v>
      </c>
      <c r="P648">
        <f t="shared" si="995"/>
        <v>0.83999999999999964</v>
      </c>
      <c r="Q648">
        <f t="shared" si="996"/>
        <v>192529469.99999991</v>
      </c>
      <c r="R648">
        <f t="shared" si="997"/>
        <v>-72086232.503101945</v>
      </c>
      <c r="S648">
        <f t="shared" si="998"/>
        <v>-720.8623250310194</v>
      </c>
      <c r="T648">
        <f t="shared" si="999"/>
        <v>-0.72086232503101944</v>
      </c>
    </row>
    <row r="649" spans="1:20" x14ac:dyDescent="0.25">
      <c r="A649" s="5">
        <v>43944</v>
      </c>
      <c r="B649">
        <v>1.6199999999999999E-3</v>
      </c>
      <c r="C649">
        <v>1.6999999999999999E-3</v>
      </c>
      <c r="D649">
        <v>1.56E-3</v>
      </c>
      <c r="E649">
        <v>1.6900000000000001E-3</v>
      </c>
      <c r="F649">
        <v>118965583.8</v>
      </c>
      <c r="G649">
        <v>0</v>
      </c>
      <c r="L649" t="s">
        <v>7</v>
      </c>
      <c r="M649" t="s">
        <v>7</v>
      </c>
      <c r="N649" t="s">
        <v>7</v>
      </c>
      <c r="P649">
        <f t="shared" si="995"/>
        <v>0.85714285714285976</v>
      </c>
      <c r="Q649">
        <f t="shared" si="996"/>
        <v>101970500.4000003</v>
      </c>
      <c r="R649">
        <f t="shared" si="997"/>
        <v>-264615702.50310186</v>
      </c>
      <c r="S649">
        <f t="shared" si="998"/>
        <v>-2646.1570250310187</v>
      </c>
      <c r="T649">
        <f t="shared" si="999"/>
        <v>-2.6461570250310187</v>
      </c>
    </row>
    <row r="650" spans="1:20" x14ac:dyDescent="0.25">
      <c r="A650" s="5">
        <v>43943</v>
      </c>
      <c r="B650">
        <v>1.5399999999999999E-3</v>
      </c>
      <c r="C650">
        <v>1.67E-3</v>
      </c>
      <c r="D650">
        <v>1.5100000000000001E-3</v>
      </c>
      <c r="E650">
        <v>1.6299999999999999E-3</v>
      </c>
      <c r="F650">
        <v>51435260.700000003</v>
      </c>
      <c r="G650">
        <v>0</v>
      </c>
      <c r="L650" t="s">
        <v>8</v>
      </c>
      <c r="M650" t="s">
        <v>7</v>
      </c>
      <c r="N650" t="s">
        <v>7</v>
      </c>
      <c r="P650">
        <f t="shared" si="995"/>
        <v>0.49999999999999867</v>
      </c>
      <c r="Q650">
        <f t="shared" si="996"/>
        <v>25717630.349999934</v>
      </c>
      <c r="R650">
        <f t="shared" si="997"/>
        <v>-366586202.90310216</v>
      </c>
      <c r="S650">
        <f t="shared" si="998"/>
        <v>-3665.8620290310214</v>
      </c>
      <c r="T650">
        <f t="shared" si="999"/>
        <v>-3.6658620290310213</v>
      </c>
    </row>
    <row r="651" spans="1:20" x14ac:dyDescent="0.25">
      <c r="A651" s="5">
        <v>43942</v>
      </c>
      <c r="B651">
        <v>1.5299999999999999E-3</v>
      </c>
      <c r="C651">
        <v>1.6100000000000001E-3</v>
      </c>
      <c r="D651">
        <v>1.5100000000000001E-3</v>
      </c>
      <c r="E651">
        <v>1.5399999999999999E-3</v>
      </c>
      <c r="F651">
        <v>67239371.799999997</v>
      </c>
      <c r="G651">
        <v>0</v>
      </c>
      <c r="L651" t="s">
        <v>8</v>
      </c>
      <c r="M651" t="s">
        <v>7</v>
      </c>
      <c r="N651" t="s">
        <v>7</v>
      </c>
      <c r="P651">
        <f t="shared" si="995"/>
        <v>-0.40000000000000302</v>
      </c>
      <c r="Q651">
        <f t="shared" si="996"/>
        <v>-26895748.720000204</v>
      </c>
      <c r="R651">
        <f t="shared" si="997"/>
        <v>-392303833.25310206</v>
      </c>
      <c r="S651">
        <f t="shared" si="998"/>
        <v>-3923.0383325310208</v>
      </c>
      <c r="T651">
        <f t="shared" si="999"/>
        <v>-3.923038332531021</v>
      </c>
    </row>
    <row r="652" spans="1:20" x14ac:dyDescent="0.25">
      <c r="A652" s="5">
        <v>43941</v>
      </c>
      <c r="B652">
        <v>1.6199999999999999E-3</v>
      </c>
      <c r="C652">
        <v>1.73E-3</v>
      </c>
      <c r="D652">
        <v>1.48E-3</v>
      </c>
      <c r="E652">
        <v>1.5299999999999999E-3</v>
      </c>
      <c r="F652">
        <v>93330734</v>
      </c>
      <c r="G652">
        <v>0</v>
      </c>
      <c r="L652" t="s">
        <v>7</v>
      </c>
      <c r="M652" t="s">
        <v>7</v>
      </c>
      <c r="N652" t="s">
        <v>7</v>
      </c>
      <c r="P652">
        <f t="shared" si="995"/>
        <v>-0.60000000000000064</v>
      </c>
      <c r="Q652">
        <f t="shared" si="996"/>
        <v>-55998440.400000058</v>
      </c>
      <c r="R652">
        <f t="shared" si="997"/>
        <v>-365408084.53310186</v>
      </c>
      <c r="S652">
        <f t="shared" si="998"/>
        <v>-3654.0808453310187</v>
      </c>
      <c r="T652">
        <f t="shared" si="999"/>
        <v>-3.654080845331019</v>
      </c>
    </row>
    <row r="653" spans="1:20" x14ac:dyDescent="0.25">
      <c r="A653" s="5">
        <v>43940</v>
      </c>
      <c r="B653">
        <v>1.6900000000000001E-3</v>
      </c>
      <c r="C653">
        <v>1.7099999999999999E-3</v>
      </c>
      <c r="D653">
        <v>1.6000000000000001E-3</v>
      </c>
      <c r="E653">
        <v>1.6199999999999999E-3</v>
      </c>
      <c r="F653">
        <v>54516374.799999997</v>
      </c>
      <c r="G653">
        <v>0</v>
      </c>
      <c r="L653" t="s">
        <v>7</v>
      </c>
      <c r="M653" t="s">
        <v>8</v>
      </c>
      <c r="N653" t="s">
        <v>7</v>
      </c>
      <c r="P653">
        <f t="shared" si="995"/>
        <v>-0.63636363636363891</v>
      </c>
      <c r="Q653">
        <f t="shared" si="996"/>
        <v>-34692238.509091049</v>
      </c>
      <c r="R653">
        <f t="shared" si="997"/>
        <v>-309409644.13310182</v>
      </c>
      <c r="S653">
        <f t="shared" si="998"/>
        <v>-3094.096441331018</v>
      </c>
      <c r="T653">
        <f t="shared" si="999"/>
        <v>-3.0940964413310179</v>
      </c>
    </row>
    <row r="654" spans="1:20" x14ac:dyDescent="0.25">
      <c r="A654" s="5">
        <v>43939</v>
      </c>
      <c r="B654">
        <v>1.5900000000000001E-3</v>
      </c>
      <c r="C654">
        <v>1.7799999999999999E-3</v>
      </c>
      <c r="D654">
        <v>1.5900000000000001E-3</v>
      </c>
      <c r="E654">
        <v>1.6900000000000001E-3</v>
      </c>
      <c r="F654">
        <v>65119944.600000001</v>
      </c>
      <c r="G654">
        <v>0</v>
      </c>
      <c r="L654" t="s">
        <v>8</v>
      </c>
      <c r="M654" t="s">
        <v>8</v>
      </c>
      <c r="N654" t="s">
        <v>7</v>
      </c>
      <c r="P654">
        <f t="shared" si="995"/>
        <v>5.2631578947369743E-2</v>
      </c>
      <c r="Q654">
        <f t="shared" si="996"/>
        <v>3427365.5052632443</v>
      </c>
      <c r="R654">
        <f t="shared" si="997"/>
        <v>-274717405.62401074</v>
      </c>
      <c r="S654">
        <f t="shared" si="998"/>
        <v>-2747.1740562401073</v>
      </c>
      <c r="T654">
        <f t="shared" si="999"/>
        <v>-2.7471740562401075</v>
      </c>
    </row>
    <row r="655" spans="1:20" x14ac:dyDescent="0.25">
      <c r="A655" s="5">
        <v>43938</v>
      </c>
      <c r="B655">
        <v>1.57E-3</v>
      </c>
      <c r="C655">
        <v>1.64E-3</v>
      </c>
      <c r="D655">
        <v>1.5399999999999999E-3</v>
      </c>
      <c r="E655">
        <v>1.5900000000000001E-3</v>
      </c>
      <c r="F655">
        <v>55252577.899999999</v>
      </c>
      <c r="G655">
        <v>0</v>
      </c>
      <c r="L655" t="s">
        <v>8</v>
      </c>
      <c r="M655" t="s">
        <v>7</v>
      </c>
      <c r="N655" t="s">
        <v>7</v>
      </c>
      <c r="P655">
        <f t="shared" si="995"/>
        <v>2.1684043449710081E-15</v>
      </c>
      <c r="Q655">
        <f t="shared" si="996"/>
        <v>1.1980992998920909E-7</v>
      </c>
      <c r="R655">
        <f t="shared" si="997"/>
        <v>-278144771.12927401</v>
      </c>
      <c r="S655">
        <f t="shared" si="998"/>
        <v>-2781.4477112927402</v>
      </c>
      <c r="T655">
        <f t="shared" si="999"/>
        <v>-2.7814477112927403</v>
      </c>
    </row>
    <row r="656" spans="1:20" x14ac:dyDescent="0.25">
      <c r="A656" s="5">
        <v>43937</v>
      </c>
      <c r="B656">
        <v>1.48E-3</v>
      </c>
      <c r="C656">
        <v>1.5900000000000001E-3</v>
      </c>
      <c r="D656">
        <v>1.42E-3</v>
      </c>
      <c r="E656">
        <v>1.57E-3</v>
      </c>
      <c r="F656">
        <v>56948315.899999999</v>
      </c>
      <c r="G656">
        <v>0</v>
      </c>
      <c r="L656" t="s">
        <v>8</v>
      </c>
      <c r="M656" t="s">
        <v>7</v>
      </c>
      <c r="N656" t="s">
        <v>7</v>
      </c>
      <c r="P656">
        <f t="shared" si="995"/>
        <v>0.76470588235294057</v>
      </c>
      <c r="Q656">
        <f t="shared" si="996"/>
        <v>43548712.15882349</v>
      </c>
      <c r="R656">
        <f t="shared" si="997"/>
        <v>-278144771.12927413</v>
      </c>
      <c r="S656">
        <f t="shared" si="998"/>
        <v>-2781.4477112927411</v>
      </c>
      <c r="T656">
        <f t="shared" si="999"/>
        <v>-2.7814477112927412</v>
      </c>
    </row>
    <row r="657" spans="1:20" x14ac:dyDescent="0.25">
      <c r="A657" s="5">
        <v>43936</v>
      </c>
      <c r="B657">
        <v>1.5200000000000001E-3</v>
      </c>
      <c r="C657">
        <v>1.5499999999999999E-3</v>
      </c>
      <c r="D657">
        <v>1.47E-3</v>
      </c>
      <c r="E657">
        <v>1.48E-3</v>
      </c>
      <c r="F657">
        <v>38554826.700000003</v>
      </c>
      <c r="G657">
        <v>0</v>
      </c>
      <c r="L657" t="s">
        <v>8</v>
      </c>
      <c r="M657" t="s">
        <v>7</v>
      </c>
      <c r="N657" t="s">
        <v>7</v>
      </c>
      <c r="P657">
        <f t="shared" si="995"/>
        <v>-0.74999999999999933</v>
      </c>
      <c r="Q657">
        <f t="shared" si="996"/>
        <v>-28916120.024999976</v>
      </c>
      <c r="R657">
        <f t="shared" si="997"/>
        <v>-321693483.28809762</v>
      </c>
      <c r="S657">
        <f t="shared" si="998"/>
        <v>-3216.934832880976</v>
      </c>
      <c r="T657">
        <f t="shared" si="999"/>
        <v>-3.2169348328809759</v>
      </c>
    </row>
    <row r="658" spans="1:20" x14ac:dyDescent="0.25">
      <c r="A658" s="5">
        <v>43935</v>
      </c>
      <c r="B658">
        <v>1.5E-3</v>
      </c>
      <c r="C658">
        <v>1.57E-3</v>
      </c>
      <c r="D658">
        <v>1.4499999999999999E-3</v>
      </c>
      <c r="E658">
        <v>1.5200000000000001E-3</v>
      </c>
      <c r="F658">
        <v>77916780.700000003</v>
      </c>
      <c r="G658">
        <v>0</v>
      </c>
      <c r="L658" t="s">
        <v>8</v>
      </c>
      <c r="M658" t="s">
        <v>7</v>
      </c>
      <c r="N658" t="s">
        <v>7</v>
      </c>
      <c r="P658">
        <f t="shared" si="995"/>
        <v>0.16666666666666877</v>
      </c>
      <c r="Q658">
        <f t="shared" si="996"/>
        <v>12986130.116666831</v>
      </c>
      <c r="R658">
        <f t="shared" si="997"/>
        <v>-292777363.26309764</v>
      </c>
      <c r="S658">
        <f t="shared" si="998"/>
        <v>-2927.7736326309764</v>
      </c>
      <c r="T658">
        <f t="shared" si="999"/>
        <v>-2.9277736326309762</v>
      </c>
    </row>
    <row r="659" spans="1:20" x14ac:dyDescent="0.25">
      <c r="A659" s="5">
        <v>43934</v>
      </c>
      <c r="B659">
        <v>1.6100000000000001E-3</v>
      </c>
      <c r="C659">
        <v>1.6199999999999999E-3</v>
      </c>
      <c r="D659">
        <v>1.42E-3</v>
      </c>
      <c r="E659">
        <v>1.5E-3</v>
      </c>
      <c r="F659">
        <v>192137953</v>
      </c>
      <c r="G659">
        <v>0</v>
      </c>
      <c r="L659" t="s">
        <v>7</v>
      </c>
      <c r="M659" t="s">
        <v>7</v>
      </c>
      <c r="N659" t="s">
        <v>7</v>
      </c>
      <c r="P659">
        <f t="shared" si="995"/>
        <v>-0.19999999999999957</v>
      </c>
      <c r="Q659">
        <f t="shared" si="996"/>
        <v>-38427590.59999992</v>
      </c>
      <c r="R659">
        <f t="shared" si="997"/>
        <v>-305763493.3797645</v>
      </c>
      <c r="S659">
        <f t="shared" si="998"/>
        <v>-3057.6349337976449</v>
      </c>
      <c r="T659">
        <f t="shared" si="999"/>
        <v>-3.0576349337976447</v>
      </c>
    </row>
    <row r="660" spans="1:20" x14ac:dyDescent="0.25">
      <c r="A660" s="5">
        <v>43933</v>
      </c>
      <c r="B660">
        <v>1.6000000000000001E-3</v>
      </c>
      <c r="C660">
        <v>1.6800000000000001E-3</v>
      </c>
      <c r="D660">
        <v>1.5499999999999999E-3</v>
      </c>
      <c r="E660">
        <v>1.6199999999999999E-3</v>
      </c>
      <c r="F660">
        <v>27436210.199999999</v>
      </c>
      <c r="G660">
        <v>0</v>
      </c>
      <c r="L660" t="s">
        <v>8</v>
      </c>
      <c r="M660" t="s">
        <v>7</v>
      </c>
      <c r="N660" t="s">
        <v>7</v>
      </c>
      <c r="P660">
        <f t="shared" si="995"/>
        <v>7.6923076923075387E-2</v>
      </c>
      <c r="Q660">
        <f t="shared" si="996"/>
        <v>2110477.7076922655</v>
      </c>
      <c r="R660">
        <f t="shared" si="997"/>
        <v>-267335902.77976459</v>
      </c>
      <c r="S660">
        <f t="shared" si="998"/>
        <v>-2673.3590277976459</v>
      </c>
      <c r="T660">
        <f t="shared" si="999"/>
        <v>-2.673359027797646</v>
      </c>
    </row>
    <row r="661" spans="1:20" x14ac:dyDescent="0.25">
      <c r="A661" s="5">
        <v>43932</v>
      </c>
      <c r="B661">
        <v>1.6100000000000001E-3</v>
      </c>
      <c r="C661">
        <v>1.64E-3</v>
      </c>
      <c r="D661">
        <v>1.5299999999999999E-3</v>
      </c>
      <c r="E661">
        <v>1.6100000000000001E-3</v>
      </c>
      <c r="F661">
        <v>46655808.600000001</v>
      </c>
      <c r="G661">
        <v>0</v>
      </c>
      <c r="L661" t="s">
        <v>7</v>
      </c>
      <c r="M661" t="s">
        <v>7</v>
      </c>
      <c r="N661" t="s">
        <v>7</v>
      </c>
      <c r="P661">
        <f t="shared" si="995"/>
        <v>0.45454545454545742</v>
      </c>
      <c r="Q661">
        <f t="shared" si="996"/>
        <v>21207185.727272861</v>
      </c>
      <c r="R661">
        <f t="shared" si="997"/>
        <v>-269446380.48745686</v>
      </c>
      <c r="S661">
        <f t="shared" si="998"/>
        <v>-2694.4638048745687</v>
      </c>
      <c r="T661">
        <f t="shared" si="999"/>
        <v>-2.6944638048745686</v>
      </c>
    </row>
    <row r="662" spans="1:20" x14ac:dyDescent="0.25">
      <c r="A662" s="5">
        <v>43931</v>
      </c>
      <c r="B662">
        <v>1.8E-3</v>
      </c>
      <c r="C662">
        <v>1.81E-3</v>
      </c>
      <c r="D662">
        <v>1.56E-3</v>
      </c>
      <c r="E662">
        <v>1.6000000000000001E-3</v>
      </c>
      <c r="F662">
        <v>64421215.399999999</v>
      </c>
      <c r="G662">
        <v>0</v>
      </c>
      <c r="L662" t="s">
        <v>7</v>
      </c>
      <c r="M662" t="s">
        <v>7</v>
      </c>
      <c r="N662" t="s">
        <v>7</v>
      </c>
      <c r="P662">
        <f t="shared" si="995"/>
        <v>-0.67999999999999916</v>
      </c>
      <c r="Q662">
        <f t="shared" si="996"/>
        <v>-43806426.471999943</v>
      </c>
      <c r="R662">
        <f t="shared" si="997"/>
        <v>-290653566.21472973</v>
      </c>
      <c r="S662">
        <f t="shared" si="998"/>
        <v>-2906.5356621472974</v>
      </c>
      <c r="T662">
        <f t="shared" si="999"/>
        <v>-2.9065356621472973</v>
      </c>
    </row>
    <row r="663" spans="1:20" x14ac:dyDescent="0.25">
      <c r="A663" s="5">
        <v>43930</v>
      </c>
      <c r="B663">
        <v>1.74E-3</v>
      </c>
      <c r="C663">
        <v>1.8600000000000001E-3</v>
      </c>
      <c r="D663">
        <v>1.6999999999999999E-3</v>
      </c>
      <c r="E663">
        <v>1.8E-3</v>
      </c>
      <c r="F663">
        <v>78242046.799999997</v>
      </c>
      <c r="G663">
        <v>0</v>
      </c>
      <c r="L663" t="s">
        <v>8</v>
      </c>
      <c r="M663" t="s">
        <v>8</v>
      </c>
      <c r="N663" t="s">
        <v>7</v>
      </c>
      <c r="P663">
        <f t="shared" si="995"/>
        <v>0.24999999999999897</v>
      </c>
      <c r="Q663">
        <f t="shared" si="996"/>
        <v>19560511.699999917</v>
      </c>
      <c r="R663">
        <f t="shared" si="997"/>
        <v>-246847139.74272978</v>
      </c>
      <c r="S663">
        <f t="shared" si="998"/>
        <v>-2468.4713974272977</v>
      </c>
      <c r="T663">
        <f t="shared" si="999"/>
        <v>-2.4684713974272978</v>
      </c>
    </row>
    <row r="664" spans="1:20" x14ac:dyDescent="0.25">
      <c r="A664" s="5">
        <v>43929</v>
      </c>
      <c r="B664">
        <v>1.73E-3</v>
      </c>
      <c r="C664">
        <v>1.81E-3</v>
      </c>
      <c r="D664">
        <v>1.72E-3</v>
      </c>
      <c r="E664">
        <v>1.75E-3</v>
      </c>
      <c r="F664">
        <v>33943673.799999997</v>
      </c>
      <c r="G664">
        <v>0</v>
      </c>
      <c r="L664" t="s">
        <v>8</v>
      </c>
      <c r="M664" t="s">
        <v>8</v>
      </c>
      <c r="N664" t="s">
        <v>7</v>
      </c>
      <c r="P664">
        <f t="shared" si="995"/>
        <v>-0.33333333333333171</v>
      </c>
      <c r="Q664">
        <f t="shared" si="996"/>
        <v>-11314557.933333278</v>
      </c>
      <c r="R664">
        <f t="shared" si="997"/>
        <v>-266407651.44272971</v>
      </c>
      <c r="S664">
        <f t="shared" si="998"/>
        <v>-2664.0765144272973</v>
      </c>
      <c r="T664">
        <f t="shared" si="999"/>
        <v>-2.6640765144272973</v>
      </c>
    </row>
    <row r="665" spans="1:20" x14ac:dyDescent="0.25">
      <c r="A665" s="5">
        <v>43928</v>
      </c>
      <c r="B665">
        <v>1.74E-3</v>
      </c>
      <c r="C665">
        <v>1.83E-3</v>
      </c>
      <c r="D665">
        <v>1.6800000000000001E-3</v>
      </c>
      <c r="E665">
        <v>1.73E-3</v>
      </c>
      <c r="F665">
        <v>112969559.3</v>
      </c>
      <c r="G665">
        <v>0</v>
      </c>
      <c r="L665" t="s">
        <v>8</v>
      </c>
      <c r="M665" t="s">
        <v>8</v>
      </c>
      <c r="N665" t="s">
        <v>7</v>
      </c>
      <c r="P665">
        <f t="shared" si="995"/>
        <v>-0.33333333333333431</v>
      </c>
      <c r="Q665">
        <f t="shared" si="996"/>
        <v>-37656519.766666777</v>
      </c>
      <c r="R665">
        <f t="shared" si="997"/>
        <v>-255093093.50939643</v>
      </c>
      <c r="S665">
        <f t="shared" si="998"/>
        <v>-2550.9309350939643</v>
      </c>
      <c r="T665">
        <f t="shared" si="999"/>
        <v>-2.5509309350939642</v>
      </c>
    </row>
    <row r="666" spans="1:20" x14ac:dyDescent="0.25">
      <c r="A666" s="5">
        <v>43927</v>
      </c>
      <c r="B666">
        <v>1.6100000000000001E-3</v>
      </c>
      <c r="C666">
        <v>1.8E-3</v>
      </c>
      <c r="D666">
        <v>1.6000000000000001E-3</v>
      </c>
      <c r="E666">
        <v>1.74E-3</v>
      </c>
      <c r="F666">
        <v>65118266.799999997</v>
      </c>
      <c r="G666">
        <v>0</v>
      </c>
      <c r="L666" t="s">
        <v>8</v>
      </c>
      <c r="M666" t="s">
        <v>8</v>
      </c>
      <c r="N666" t="s">
        <v>7</v>
      </c>
      <c r="P666">
        <f t="shared" si="995"/>
        <v>0.40000000000000024</v>
      </c>
      <c r="Q666">
        <f t="shared" si="996"/>
        <v>26047306.720000014</v>
      </c>
      <c r="R666">
        <f t="shared" si="997"/>
        <v>-217436573.74272966</v>
      </c>
      <c r="S666">
        <f t="shared" si="998"/>
        <v>-2174.3657374272966</v>
      </c>
      <c r="T666">
        <f t="shared" si="999"/>
        <v>-2.1743657374272964</v>
      </c>
    </row>
    <row r="667" spans="1:20" x14ac:dyDescent="0.25">
      <c r="A667" s="5">
        <v>43926</v>
      </c>
      <c r="B667">
        <v>1.6199999999999999E-3</v>
      </c>
      <c r="C667">
        <v>1.67E-3</v>
      </c>
      <c r="D667">
        <v>1.5900000000000001E-3</v>
      </c>
      <c r="E667">
        <v>1.6100000000000001E-3</v>
      </c>
      <c r="F667">
        <v>27803058.5</v>
      </c>
      <c r="G667">
        <v>0</v>
      </c>
      <c r="L667" t="s">
        <v>8</v>
      </c>
      <c r="M667" t="s">
        <v>8</v>
      </c>
      <c r="N667" t="s">
        <v>7</v>
      </c>
      <c r="P667">
        <f t="shared" si="995"/>
        <v>-0.49999999999999867</v>
      </c>
      <c r="Q667">
        <f t="shared" si="996"/>
        <v>-13901529.249999963</v>
      </c>
      <c r="R667">
        <f t="shared" si="997"/>
        <v>-243483880.46272969</v>
      </c>
      <c r="S667">
        <f t="shared" si="998"/>
        <v>-2434.8388046272971</v>
      </c>
      <c r="T667">
        <f t="shared" si="999"/>
        <v>-2.4348388046272973</v>
      </c>
    </row>
    <row r="668" spans="1:20" x14ac:dyDescent="0.25">
      <c r="A668" s="5">
        <v>43925</v>
      </c>
      <c r="B668">
        <v>1.6199999999999999E-3</v>
      </c>
      <c r="C668">
        <v>1.6800000000000001E-3</v>
      </c>
      <c r="D668">
        <v>1.58E-3</v>
      </c>
      <c r="E668">
        <v>1.6199999999999999E-3</v>
      </c>
      <c r="F668">
        <v>40448823.200000003</v>
      </c>
      <c r="G668">
        <v>0</v>
      </c>
      <c r="L668" t="s">
        <v>8</v>
      </c>
      <c r="M668" t="s">
        <v>8</v>
      </c>
      <c r="N668" t="s">
        <v>7</v>
      </c>
      <c r="P668">
        <f t="shared" si="995"/>
        <v>-0.20000000000000259</v>
      </c>
      <c r="Q668">
        <f t="shared" si="996"/>
        <v>-8089764.6400001058</v>
      </c>
      <c r="R668">
        <f t="shared" si="997"/>
        <v>-229582351.21272972</v>
      </c>
      <c r="S668">
        <f t="shared" si="998"/>
        <v>-2295.8235121272974</v>
      </c>
      <c r="T668">
        <f t="shared" si="999"/>
        <v>-2.2958235121272974</v>
      </c>
    </row>
    <row r="669" spans="1:20" x14ac:dyDescent="0.25">
      <c r="A669" s="5">
        <v>43924</v>
      </c>
      <c r="B669">
        <v>1.58E-3</v>
      </c>
      <c r="C669">
        <v>1.66E-3</v>
      </c>
      <c r="D669">
        <v>1.5499999999999999E-3</v>
      </c>
      <c r="E669">
        <v>1.6199999999999999E-3</v>
      </c>
      <c r="F669">
        <v>57717899</v>
      </c>
      <c r="G669">
        <v>0</v>
      </c>
      <c r="L669" t="s">
        <v>8</v>
      </c>
      <c r="M669" t="s">
        <v>7</v>
      </c>
      <c r="N669" t="s">
        <v>7</v>
      </c>
      <c r="P669">
        <f t="shared" si="995"/>
        <v>0.27272727272727132</v>
      </c>
      <c r="Q669">
        <f t="shared" si="996"/>
        <v>15741245.1818181</v>
      </c>
      <c r="R669">
        <f t="shared" si="997"/>
        <v>-221492586.57272962</v>
      </c>
      <c r="S669">
        <f t="shared" si="998"/>
        <v>-2214.9258657272962</v>
      </c>
      <c r="T669">
        <f t="shared" si="999"/>
        <v>-2.2149258657272961</v>
      </c>
    </row>
    <row r="670" spans="1:20" x14ac:dyDescent="0.25">
      <c r="A670" s="5">
        <v>43923</v>
      </c>
      <c r="B670">
        <v>1.58E-3</v>
      </c>
      <c r="C670">
        <v>1.66E-3</v>
      </c>
      <c r="D670">
        <v>1.5200000000000001E-3</v>
      </c>
      <c r="E670">
        <v>1.58E-3</v>
      </c>
      <c r="F670">
        <v>65023489.299999997</v>
      </c>
      <c r="G670">
        <v>0</v>
      </c>
      <c r="L670" t="s">
        <v>8</v>
      </c>
      <c r="M670" t="s">
        <v>7</v>
      </c>
      <c r="N670" t="s">
        <v>7</v>
      </c>
      <c r="P670">
        <f t="shared" si="995"/>
        <v>-0.14285714285714329</v>
      </c>
      <c r="Q670">
        <f t="shared" si="996"/>
        <v>-9289069.9000000283</v>
      </c>
      <c r="R670">
        <f t="shared" si="997"/>
        <v>-237233831.75454772</v>
      </c>
      <c r="S670">
        <f t="shared" si="998"/>
        <v>-2372.3383175454774</v>
      </c>
      <c r="T670">
        <f t="shared" si="999"/>
        <v>-2.3723383175454775</v>
      </c>
    </row>
    <row r="671" spans="1:20" x14ac:dyDescent="0.25">
      <c r="A671" s="5">
        <v>43922</v>
      </c>
      <c r="B671">
        <v>1.57E-3</v>
      </c>
      <c r="C671">
        <v>1.6000000000000001E-3</v>
      </c>
      <c r="D671">
        <v>1.5E-3</v>
      </c>
      <c r="E671">
        <v>1.58E-3</v>
      </c>
      <c r="F671">
        <v>31326609.199999999</v>
      </c>
      <c r="G671">
        <v>0</v>
      </c>
      <c r="L671" t="s">
        <v>7</v>
      </c>
      <c r="M671" t="s">
        <v>7</v>
      </c>
      <c r="N671" t="s">
        <v>7</v>
      </c>
      <c r="P671">
        <f t="shared" si="995"/>
        <v>0.59999999999999909</v>
      </c>
      <c r="Q671">
        <f t="shared" si="996"/>
        <v>18795965.51999997</v>
      </c>
      <c r="R671">
        <f t="shared" si="997"/>
        <v>-227944761.85454768</v>
      </c>
      <c r="S671">
        <f t="shared" si="998"/>
        <v>-2279.4476185454769</v>
      </c>
      <c r="T671">
        <f t="shared" si="999"/>
        <v>-2.2794476185454768</v>
      </c>
    </row>
    <row r="672" spans="1:20" x14ac:dyDescent="0.25">
      <c r="A672" s="5">
        <v>43921</v>
      </c>
      <c r="B672">
        <v>1.5399999999999999E-3</v>
      </c>
      <c r="C672">
        <v>1.65E-3</v>
      </c>
      <c r="D672">
        <v>1.5299999999999999E-3</v>
      </c>
      <c r="E672">
        <v>1.57E-3</v>
      </c>
      <c r="F672">
        <v>34319736.700000003</v>
      </c>
      <c r="G672">
        <v>0</v>
      </c>
      <c r="L672" t="s">
        <v>8</v>
      </c>
      <c r="M672" t="s">
        <v>7</v>
      </c>
      <c r="N672" t="s">
        <v>7</v>
      </c>
      <c r="P672">
        <f t="shared" si="995"/>
        <v>-0.33333333333333215</v>
      </c>
      <c r="Q672">
        <f t="shared" si="996"/>
        <v>-11439912.233333293</v>
      </c>
      <c r="R672">
        <f t="shared" si="997"/>
        <v>-246740727.37454766</v>
      </c>
      <c r="S672">
        <f t="shared" si="998"/>
        <v>-2467.4072737454767</v>
      </c>
      <c r="T672">
        <f t="shared" si="999"/>
        <v>-2.4674072737454766</v>
      </c>
    </row>
    <row r="673" spans="1:20" x14ac:dyDescent="0.25">
      <c r="A673" s="5">
        <v>43920</v>
      </c>
      <c r="B673">
        <v>1.4499999999999999E-3</v>
      </c>
      <c r="C673">
        <v>1.5900000000000001E-3</v>
      </c>
      <c r="D673">
        <v>1.4E-3</v>
      </c>
      <c r="E673">
        <v>1.5399999999999999E-3</v>
      </c>
      <c r="F673">
        <v>88208691.299999997</v>
      </c>
      <c r="G673">
        <v>0</v>
      </c>
      <c r="L673" t="s">
        <v>8</v>
      </c>
      <c r="M673" t="s">
        <v>7</v>
      </c>
      <c r="N673" t="s">
        <v>7</v>
      </c>
      <c r="P673">
        <f t="shared" si="995"/>
        <v>0.4736842105263146</v>
      </c>
      <c r="Q673">
        <f t="shared" si="996"/>
        <v>41783064.299999893</v>
      </c>
      <c r="R673">
        <f t="shared" si="997"/>
        <v>-235300815.14121437</v>
      </c>
      <c r="S673">
        <f t="shared" si="998"/>
        <v>-2353.0081514121439</v>
      </c>
      <c r="T673">
        <f t="shared" si="999"/>
        <v>-2.3530081514121437</v>
      </c>
    </row>
    <row r="674" spans="1:20" x14ac:dyDescent="0.25">
      <c r="A674" s="5">
        <v>43919</v>
      </c>
      <c r="B674">
        <v>1.5100000000000001E-3</v>
      </c>
      <c r="C674">
        <v>1.5399999999999999E-3</v>
      </c>
      <c r="D674">
        <v>1.4400000000000001E-3</v>
      </c>
      <c r="E674">
        <v>1.4499999999999999E-3</v>
      </c>
      <c r="F674">
        <v>17689937.699999999</v>
      </c>
      <c r="G674">
        <v>0</v>
      </c>
      <c r="L674" t="s">
        <v>8</v>
      </c>
      <c r="M674" t="s">
        <v>7</v>
      </c>
      <c r="N674" t="s">
        <v>7</v>
      </c>
      <c r="P674">
        <f t="shared" si="995"/>
        <v>-0.80000000000000349</v>
      </c>
      <c r="Q674">
        <f t="shared" si="996"/>
        <v>-14151950.160000062</v>
      </c>
      <c r="R674">
        <f t="shared" si="997"/>
        <v>-277083879.44121426</v>
      </c>
      <c r="S674">
        <f t="shared" si="998"/>
        <v>-2770.8387944121428</v>
      </c>
      <c r="T674">
        <f t="shared" si="999"/>
        <v>-2.7708387944121426</v>
      </c>
    </row>
    <row r="675" spans="1:20" x14ac:dyDescent="0.25">
      <c r="A675" s="5">
        <v>43918</v>
      </c>
      <c r="B675">
        <v>1.57E-3</v>
      </c>
      <c r="C675">
        <v>1.57E-3</v>
      </c>
      <c r="D675">
        <v>1.42E-3</v>
      </c>
      <c r="E675">
        <v>1.5100000000000001E-3</v>
      </c>
      <c r="F675">
        <v>56704004.799999997</v>
      </c>
      <c r="G675">
        <v>0</v>
      </c>
      <c r="L675" t="s">
        <v>7</v>
      </c>
      <c r="M675" t="s">
        <v>7</v>
      </c>
      <c r="N675" t="s">
        <v>7</v>
      </c>
      <c r="P675">
        <f t="shared" si="995"/>
        <v>0.20000000000000057</v>
      </c>
      <c r="Q675">
        <f t="shared" si="996"/>
        <v>11340800.960000031</v>
      </c>
      <c r="R675">
        <f t="shared" si="997"/>
        <v>-262931929.28121418</v>
      </c>
      <c r="S675">
        <f t="shared" si="998"/>
        <v>-2629.3192928121416</v>
      </c>
      <c r="T675">
        <f t="shared" si="999"/>
        <v>-2.6293192928121418</v>
      </c>
    </row>
    <row r="676" spans="1:20" x14ac:dyDescent="0.25">
      <c r="A676" s="5">
        <v>43917</v>
      </c>
      <c r="B676">
        <v>1.75E-3</v>
      </c>
      <c r="C676">
        <v>1.82E-3</v>
      </c>
      <c r="D676">
        <v>1.56E-3</v>
      </c>
      <c r="E676">
        <v>1.57E-3</v>
      </c>
      <c r="F676">
        <v>180893765.59999999</v>
      </c>
      <c r="G676">
        <v>0</v>
      </c>
      <c r="L676" t="s">
        <v>7</v>
      </c>
      <c r="M676" t="s">
        <v>7</v>
      </c>
      <c r="N676" t="s">
        <v>7</v>
      </c>
      <c r="P676">
        <f t="shared" si="995"/>
        <v>-0.92307692307692291</v>
      </c>
      <c r="Q676">
        <f t="shared" si="996"/>
        <v>-166978860.55384612</v>
      </c>
      <c r="R676">
        <f t="shared" si="997"/>
        <v>-274272730.24121422</v>
      </c>
      <c r="S676">
        <f t="shared" si="998"/>
        <v>-2742.7273024121423</v>
      </c>
      <c r="T676">
        <f t="shared" si="999"/>
        <v>-2.7427273024121424</v>
      </c>
    </row>
    <row r="677" spans="1:20" x14ac:dyDescent="0.25">
      <c r="A677" s="5">
        <v>43916</v>
      </c>
      <c r="B677">
        <v>1.49E-3</v>
      </c>
      <c r="C677">
        <v>3.46E-3</v>
      </c>
      <c r="D677">
        <v>1.47E-3</v>
      </c>
      <c r="E677">
        <v>1.75E-3</v>
      </c>
      <c r="F677">
        <v>216509768.19999999</v>
      </c>
      <c r="G677">
        <v>0</v>
      </c>
      <c r="L677" t="s">
        <v>8</v>
      </c>
      <c r="M677" t="s">
        <v>8</v>
      </c>
      <c r="N677" t="s">
        <v>8</v>
      </c>
      <c r="P677">
        <f t="shared" si="995"/>
        <v>-0.71859296482412049</v>
      </c>
      <c r="Q677">
        <f t="shared" si="996"/>
        <v>-155582396.24422106</v>
      </c>
      <c r="R677">
        <f t="shared" si="997"/>
        <v>-107293869.68736809</v>
      </c>
      <c r="S677">
        <f t="shared" si="998"/>
        <v>-1072.938696873681</v>
      </c>
      <c r="T677">
        <f t="shared" si="999"/>
        <v>-1.0729386968736809</v>
      </c>
    </row>
    <row r="678" spans="1:20" x14ac:dyDescent="0.25">
      <c r="A678" s="5">
        <v>43915</v>
      </c>
      <c r="B678">
        <v>1.49E-3</v>
      </c>
      <c r="C678">
        <v>1.5E-3</v>
      </c>
      <c r="D678">
        <v>1.4E-3</v>
      </c>
      <c r="E678">
        <v>1.48E-3</v>
      </c>
      <c r="F678">
        <v>33352676.699999999</v>
      </c>
      <c r="G678">
        <v>0</v>
      </c>
      <c r="L678" t="s">
        <v>7</v>
      </c>
      <c r="M678" t="s">
        <v>7</v>
      </c>
      <c r="N678" t="s">
        <v>8</v>
      </c>
      <c r="P678">
        <f t="shared" si="995"/>
        <v>0.59999999999999909</v>
      </c>
      <c r="Q678">
        <f t="shared" si="996"/>
        <v>20011606.01999997</v>
      </c>
      <c r="R678">
        <f t="shared" si="997"/>
        <v>48288526.556852967</v>
      </c>
      <c r="S678">
        <f t="shared" si="998"/>
        <v>482.88526556852969</v>
      </c>
      <c r="T678">
        <f t="shared" si="999"/>
        <v>0.48288526556852968</v>
      </c>
    </row>
    <row r="679" spans="1:20" x14ac:dyDescent="0.25">
      <c r="A679" s="5">
        <v>43914</v>
      </c>
      <c r="B679">
        <v>1.5200000000000001E-3</v>
      </c>
      <c r="C679">
        <v>1.5299999999999999E-3</v>
      </c>
      <c r="D679">
        <v>1.4400000000000001E-3</v>
      </c>
      <c r="E679">
        <v>1.49E-3</v>
      </c>
      <c r="F679">
        <v>33087741.699999999</v>
      </c>
      <c r="G679">
        <v>0</v>
      </c>
      <c r="L679" t="s">
        <v>8</v>
      </c>
      <c r="M679" t="s">
        <v>7</v>
      </c>
      <c r="N679" t="s">
        <v>8</v>
      </c>
      <c r="P679">
        <f t="shared" si="995"/>
        <v>0.11111111111111165</v>
      </c>
      <c r="Q679">
        <f t="shared" si="996"/>
        <v>3676415.744444462</v>
      </c>
      <c r="R679">
        <f t="shared" si="997"/>
        <v>28276920.536853001</v>
      </c>
      <c r="S679">
        <f t="shared" si="998"/>
        <v>282.76920536852998</v>
      </c>
      <c r="T679">
        <f t="shared" si="999"/>
        <v>0.28276920536853001</v>
      </c>
    </row>
    <row r="680" spans="1:20" x14ac:dyDescent="0.25">
      <c r="A680" s="5">
        <v>43913</v>
      </c>
      <c r="B680">
        <v>1.3600000000000001E-3</v>
      </c>
      <c r="C680">
        <v>1.5200000000000001E-3</v>
      </c>
      <c r="D680">
        <v>1.33E-3</v>
      </c>
      <c r="E680">
        <v>1.5200000000000001E-3</v>
      </c>
      <c r="F680">
        <v>32680840.699999999</v>
      </c>
      <c r="G680">
        <v>0</v>
      </c>
      <c r="L680" t="s">
        <v>8</v>
      </c>
      <c r="M680" t="s">
        <v>7</v>
      </c>
      <c r="N680" t="s">
        <v>8</v>
      </c>
      <c r="P680">
        <f t="shared" si="995"/>
        <v>1</v>
      </c>
      <c r="Q680">
        <f t="shared" si="996"/>
        <v>32680840.699999999</v>
      </c>
      <c r="R680">
        <f t="shared" si="997"/>
        <v>24600504.792408537</v>
      </c>
      <c r="S680">
        <f t="shared" si="998"/>
        <v>246.00504792408537</v>
      </c>
      <c r="T680">
        <f t="shared" si="999"/>
        <v>0.24600504792408537</v>
      </c>
    </row>
    <row r="681" spans="1:20" x14ac:dyDescent="0.25">
      <c r="A681" s="5">
        <v>43912</v>
      </c>
      <c r="B681">
        <v>1.5E-3</v>
      </c>
      <c r="C681">
        <v>1.5900000000000001E-3</v>
      </c>
      <c r="D681">
        <v>1.33E-3</v>
      </c>
      <c r="E681">
        <v>1.3699999999999999E-3</v>
      </c>
      <c r="F681">
        <v>101268055.40000001</v>
      </c>
      <c r="G681">
        <v>0</v>
      </c>
      <c r="L681" t="s">
        <v>7</v>
      </c>
      <c r="M681" t="s">
        <v>7</v>
      </c>
      <c r="N681" t="s">
        <v>8</v>
      </c>
      <c r="P681">
        <f t="shared" si="995"/>
        <v>-0.69230769230769318</v>
      </c>
      <c r="Q681">
        <f t="shared" si="996"/>
        <v>-70108653.738461629</v>
      </c>
      <c r="R681">
        <f t="shared" si="997"/>
        <v>-8080335.9075914621</v>
      </c>
      <c r="S681">
        <f t="shared" si="998"/>
        <v>-80.803359075914628</v>
      </c>
      <c r="T681">
        <f t="shared" si="999"/>
        <v>-8.0803359075914627E-2</v>
      </c>
    </row>
    <row r="682" spans="1:20" x14ac:dyDescent="0.25">
      <c r="A682" s="5">
        <v>43911</v>
      </c>
      <c r="B682">
        <v>1.49E-3</v>
      </c>
      <c r="C682">
        <v>1.58E-3</v>
      </c>
      <c r="D682">
        <v>1.42E-3</v>
      </c>
      <c r="E682">
        <v>1.5E-3</v>
      </c>
      <c r="F682">
        <v>61105980.399999999</v>
      </c>
      <c r="G682">
        <v>0</v>
      </c>
      <c r="L682" t="s">
        <v>7</v>
      </c>
      <c r="M682" t="s">
        <v>7</v>
      </c>
      <c r="N682" t="s">
        <v>8</v>
      </c>
      <c r="P682">
        <f t="shared" si="995"/>
        <v>0</v>
      </c>
      <c r="Q682">
        <f t="shared" si="996"/>
        <v>0</v>
      </c>
      <c r="R682">
        <f t="shared" si="997"/>
        <v>62028317.830870166</v>
      </c>
      <c r="S682">
        <f t="shared" si="998"/>
        <v>620.28317830870162</v>
      </c>
      <c r="T682">
        <f t="shared" si="999"/>
        <v>0.62028317830870161</v>
      </c>
    </row>
    <row r="683" spans="1:20" x14ac:dyDescent="0.25">
      <c r="A683" s="5">
        <v>43910</v>
      </c>
      <c r="B683">
        <v>1.6100000000000001E-3</v>
      </c>
      <c r="C683">
        <v>1.75E-3</v>
      </c>
      <c r="D683">
        <v>1.41E-3</v>
      </c>
      <c r="E683">
        <v>1.49E-3</v>
      </c>
      <c r="F683">
        <v>127340232.2</v>
      </c>
      <c r="G683">
        <v>0</v>
      </c>
      <c r="L683" t="s">
        <v>8</v>
      </c>
      <c r="M683" t="s">
        <v>8</v>
      </c>
      <c r="N683" t="s">
        <v>8</v>
      </c>
      <c r="P683">
        <f t="shared" si="995"/>
        <v>-0.52941176470588247</v>
      </c>
      <c r="Q683">
        <f t="shared" si="996"/>
        <v>-67415417.047058836</v>
      </c>
      <c r="R683">
        <f t="shared" si="997"/>
        <v>62028317.830870166</v>
      </c>
      <c r="S683">
        <f t="shared" si="998"/>
        <v>620.28317830870162</v>
      </c>
      <c r="T683">
        <f t="shared" si="999"/>
        <v>0.62028317830870161</v>
      </c>
    </row>
    <row r="684" spans="1:20" x14ac:dyDescent="0.25">
      <c r="A684" s="5">
        <v>43909</v>
      </c>
      <c r="B684">
        <v>1.25E-3</v>
      </c>
      <c r="C684">
        <v>1.6199999999999999E-3</v>
      </c>
      <c r="D684">
        <v>1.25E-3</v>
      </c>
      <c r="E684">
        <v>1.6000000000000001E-3</v>
      </c>
      <c r="F684">
        <v>106432798.59999999</v>
      </c>
      <c r="G684">
        <v>0</v>
      </c>
      <c r="L684" t="s">
        <v>8</v>
      </c>
      <c r="M684" t="s">
        <v>8</v>
      </c>
      <c r="N684" t="s">
        <v>8</v>
      </c>
      <c r="P684">
        <f t="shared" si="995"/>
        <v>0.89189189189189277</v>
      </c>
      <c r="Q684">
        <f t="shared" si="996"/>
        <v>94926550.102702796</v>
      </c>
      <c r="R684">
        <f t="shared" si="997"/>
        <v>129443734.877929</v>
      </c>
      <c r="S684">
        <f t="shared" si="998"/>
        <v>1294.43734877929</v>
      </c>
      <c r="T684">
        <f t="shared" si="999"/>
        <v>1.29443734877929</v>
      </c>
    </row>
    <row r="685" spans="1:20" x14ac:dyDescent="0.25">
      <c r="A685" s="5">
        <v>43908</v>
      </c>
      <c r="B685">
        <v>1.2800000000000001E-3</v>
      </c>
      <c r="C685">
        <v>1.3500000000000001E-3</v>
      </c>
      <c r="D685">
        <v>1.14E-3</v>
      </c>
      <c r="E685">
        <v>1.25E-3</v>
      </c>
      <c r="F685">
        <v>86253736.5</v>
      </c>
      <c r="G685">
        <v>0</v>
      </c>
      <c r="L685" t="s">
        <v>8</v>
      </c>
      <c r="M685" t="s">
        <v>8</v>
      </c>
      <c r="N685" t="s">
        <v>7</v>
      </c>
      <c r="P685">
        <f t="shared" si="995"/>
        <v>4.761904761904772E-2</v>
      </c>
      <c r="Q685">
        <f t="shared" si="996"/>
        <v>4107320.7857142943</v>
      </c>
      <c r="R685">
        <f t="shared" si="997"/>
        <v>34517184.775226198</v>
      </c>
      <c r="S685">
        <f t="shared" si="998"/>
        <v>345.17184775226195</v>
      </c>
      <c r="T685">
        <f t="shared" si="999"/>
        <v>0.34517184775226195</v>
      </c>
    </row>
    <row r="686" spans="1:20" x14ac:dyDescent="0.25">
      <c r="A686" s="5">
        <v>43907</v>
      </c>
      <c r="B686">
        <v>1.1299999999999999E-3</v>
      </c>
      <c r="C686">
        <v>1.32E-3</v>
      </c>
      <c r="D686">
        <v>1.1100000000000001E-3</v>
      </c>
      <c r="E686">
        <v>1.2700000000000001E-3</v>
      </c>
      <c r="F686">
        <v>52828914.899999999</v>
      </c>
      <c r="G686">
        <v>0</v>
      </c>
      <c r="L686" t="s">
        <v>8</v>
      </c>
      <c r="M686" t="s">
        <v>8</v>
      </c>
      <c r="N686" t="s">
        <v>7</v>
      </c>
      <c r="P686">
        <f t="shared" si="995"/>
        <v>0.52380952380952439</v>
      </c>
      <c r="Q686">
        <f t="shared" si="996"/>
        <v>27672288.757142887</v>
      </c>
      <c r="R686">
        <f t="shared" si="997"/>
        <v>30409863.989511907</v>
      </c>
      <c r="S686">
        <f t="shared" si="998"/>
        <v>304.09863989511905</v>
      </c>
      <c r="T686">
        <f t="shared" si="999"/>
        <v>0.30409863989511904</v>
      </c>
    </row>
    <row r="687" spans="1:20" x14ac:dyDescent="0.25">
      <c r="A687" s="5">
        <v>43906</v>
      </c>
      <c r="B687">
        <v>1.3699999999999999E-3</v>
      </c>
      <c r="C687">
        <v>1.3799999999999999E-3</v>
      </c>
      <c r="D687">
        <v>1E-3</v>
      </c>
      <c r="E687">
        <v>1.1100000000000001E-3</v>
      </c>
      <c r="F687">
        <v>106453170.7</v>
      </c>
      <c r="G687">
        <v>0</v>
      </c>
      <c r="L687" t="s">
        <v>7</v>
      </c>
      <c r="M687" t="s">
        <v>7</v>
      </c>
      <c r="N687" t="s">
        <v>7</v>
      </c>
      <c r="P687">
        <f t="shared" si="995"/>
        <v>-0.42105263157894685</v>
      </c>
      <c r="Q687">
        <f t="shared" si="996"/>
        <v>-44822387.663157843</v>
      </c>
      <c r="R687">
        <f t="shared" si="997"/>
        <v>2737575.2323690206</v>
      </c>
      <c r="S687">
        <f t="shared" si="998"/>
        <v>27.375752323690207</v>
      </c>
      <c r="T687">
        <f t="shared" si="999"/>
        <v>2.7375752323690206E-2</v>
      </c>
    </row>
    <row r="688" spans="1:20" x14ac:dyDescent="0.25">
      <c r="A688" s="5">
        <v>43905</v>
      </c>
      <c r="B688">
        <v>1.31E-3</v>
      </c>
      <c r="C688">
        <v>1.49E-3</v>
      </c>
      <c r="D688">
        <v>1.2999999999999999E-3</v>
      </c>
      <c r="E688">
        <v>1.3799999999999999E-3</v>
      </c>
      <c r="F688">
        <v>44358435.399999999</v>
      </c>
      <c r="G688">
        <v>0</v>
      </c>
      <c r="L688" t="s">
        <v>7</v>
      </c>
      <c r="M688" t="s">
        <v>7</v>
      </c>
      <c r="N688" t="s">
        <v>8</v>
      </c>
      <c r="P688">
        <f t="shared" si="995"/>
        <v>-0.15789473684210562</v>
      </c>
      <c r="Q688">
        <f t="shared" si="996"/>
        <v>-7003963.4842105415</v>
      </c>
      <c r="R688">
        <f t="shared" si="997"/>
        <v>47559962.895526864</v>
      </c>
      <c r="S688">
        <f t="shared" si="998"/>
        <v>475.59962895526866</v>
      </c>
      <c r="T688">
        <f t="shared" si="999"/>
        <v>0.47559962895526864</v>
      </c>
    </row>
    <row r="689" spans="1:20" x14ac:dyDescent="0.25">
      <c r="A689" s="5">
        <v>43904</v>
      </c>
      <c r="B689">
        <v>1.3600000000000001E-3</v>
      </c>
      <c r="C689">
        <v>1.5200000000000001E-3</v>
      </c>
      <c r="D689">
        <v>1.2700000000000001E-3</v>
      </c>
      <c r="E689">
        <v>1.2999999999999999E-3</v>
      </c>
      <c r="F689">
        <v>158987080.90000001</v>
      </c>
      <c r="G689">
        <v>0</v>
      </c>
      <c r="L689" t="s">
        <v>8</v>
      </c>
      <c r="M689" t="s">
        <v>8</v>
      </c>
      <c r="N689" t="s">
        <v>8</v>
      </c>
      <c r="P689">
        <f t="shared" si="995"/>
        <v>-0.76000000000000112</v>
      </c>
      <c r="Q689">
        <f t="shared" si="996"/>
        <v>-120830181.48400018</v>
      </c>
      <c r="R689">
        <f t="shared" si="997"/>
        <v>54563926.379737407</v>
      </c>
      <c r="S689">
        <f t="shared" si="998"/>
        <v>545.63926379737404</v>
      </c>
      <c r="T689">
        <f t="shared" si="999"/>
        <v>0.54563926379737404</v>
      </c>
    </row>
    <row r="690" spans="1:20" x14ac:dyDescent="0.25">
      <c r="A690" s="5">
        <v>43903</v>
      </c>
      <c r="B690">
        <v>1.2600000000000001E-3</v>
      </c>
      <c r="C690">
        <v>1.56E-3</v>
      </c>
      <c r="D690">
        <v>9.1E-4</v>
      </c>
      <c r="E690">
        <v>1.3600000000000001E-3</v>
      </c>
      <c r="F690">
        <v>296104621.19999999</v>
      </c>
      <c r="G690">
        <v>0</v>
      </c>
      <c r="L690" t="s">
        <v>7</v>
      </c>
      <c r="M690" t="s">
        <v>7</v>
      </c>
      <c r="N690" t="s">
        <v>7</v>
      </c>
      <c r="P690">
        <f t="shared" si="995"/>
        <v>0.38461538461538497</v>
      </c>
      <c r="Q690">
        <f t="shared" si="996"/>
        <v>113886392.76923087</v>
      </c>
      <c r="R690">
        <f t="shared" si="997"/>
        <v>175394107.86373758</v>
      </c>
      <c r="S690">
        <f t="shared" si="998"/>
        <v>1753.9410786373758</v>
      </c>
      <c r="T690">
        <f t="shared" si="999"/>
        <v>1.7539410786373757</v>
      </c>
    </row>
    <row r="691" spans="1:20" x14ac:dyDescent="0.25">
      <c r="A691" s="5">
        <v>43902</v>
      </c>
      <c r="B691">
        <v>2.82E-3</v>
      </c>
      <c r="C691">
        <v>3.5300000000000002E-3</v>
      </c>
      <c r="D691">
        <v>1.1900000000000001E-3</v>
      </c>
      <c r="E691">
        <v>1.2600000000000001E-3</v>
      </c>
      <c r="F691">
        <v>230172209.40000001</v>
      </c>
      <c r="G691">
        <v>0</v>
      </c>
      <c r="L691" t="s">
        <v>7</v>
      </c>
      <c r="M691" t="s">
        <v>7</v>
      </c>
      <c r="N691" t="s">
        <v>7</v>
      </c>
      <c r="P691">
        <f t="shared" si="995"/>
        <v>-0.94017094017094038</v>
      </c>
      <c r="Q691">
        <f t="shared" si="996"/>
        <v>-216401222.51282057</v>
      </c>
      <c r="R691">
        <f t="shared" si="997"/>
        <v>61507715.094506711</v>
      </c>
      <c r="S691">
        <f t="shared" si="998"/>
        <v>615.07715094506716</v>
      </c>
      <c r="T691">
        <f t="shared" si="999"/>
        <v>0.61507715094506721</v>
      </c>
    </row>
    <row r="692" spans="1:20" x14ac:dyDescent="0.25">
      <c r="A692" s="5">
        <v>43901</v>
      </c>
      <c r="B692">
        <v>2.8800000000000002E-3</v>
      </c>
      <c r="C692">
        <v>2.98E-3</v>
      </c>
      <c r="D692">
        <v>2.6700000000000001E-3</v>
      </c>
      <c r="E692">
        <v>2.8400000000000001E-3</v>
      </c>
      <c r="F692">
        <v>54477876</v>
      </c>
      <c r="G692">
        <v>0</v>
      </c>
      <c r="L692" t="s">
        <v>7</v>
      </c>
      <c r="M692" t="s">
        <v>7</v>
      </c>
      <c r="N692" t="s">
        <v>7</v>
      </c>
      <c r="P692">
        <f t="shared" si="995"/>
        <v>9.6774193548387372E-2</v>
      </c>
      <c r="Q692">
        <f t="shared" si="996"/>
        <v>5272052.5161290476</v>
      </c>
      <c r="R692">
        <f t="shared" si="997"/>
        <v>277908937.60732728</v>
      </c>
      <c r="S692">
        <f t="shared" si="998"/>
        <v>2779.0893760732729</v>
      </c>
      <c r="T692">
        <f t="shared" si="999"/>
        <v>2.7790893760732729</v>
      </c>
    </row>
    <row r="693" spans="1:20" x14ac:dyDescent="0.25">
      <c r="A693" s="5">
        <v>43900</v>
      </c>
      <c r="B693">
        <v>2.9299999999999999E-3</v>
      </c>
      <c r="C693">
        <v>3.0400000000000002E-3</v>
      </c>
      <c r="D693">
        <v>2.8500000000000001E-3</v>
      </c>
      <c r="E693">
        <v>2.8900000000000002E-3</v>
      </c>
      <c r="F693">
        <v>37272242.700000003</v>
      </c>
      <c r="G693">
        <v>0</v>
      </c>
      <c r="L693" t="s">
        <v>8</v>
      </c>
      <c r="M693" t="s">
        <v>7</v>
      </c>
      <c r="N693" t="s">
        <v>7</v>
      </c>
      <c r="P693">
        <f t="shared" si="995"/>
        <v>-0.57894736842105166</v>
      </c>
      <c r="Q693">
        <f t="shared" si="996"/>
        <v>-21578666.826315753</v>
      </c>
      <c r="R693">
        <f t="shared" si="997"/>
        <v>272636885.09119821</v>
      </c>
      <c r="S693">
        <f t="shared" si="998"/>
        <v>2726.368850911982</v>
      </c>
      <c r="T693">
        <f t="shared" si="999"/>
        <v>2.7263688509119821</v>
      </c>
    </row>
    <row r="694" spans="1:20" x14ac:dyDescent="0.25">
      <c r="A694" s="5">
        <v>43899</v>
      </c>
      <c r="B694">
        <v>2.9199999999999999E-3</v>
      </c>
      <c r="C694">
        <v>3.0599999999999998E-3</v>
      </c>
      <c r="D694">
        <v>2.7000000000000001E-3</v>
      </c>
      <c r="E694">
        <v>2.9299999999999999E-3</v>
      </c>
      <c r="F694">
        <v>58627345.100000001</v>
      </c>
      <c r="G694">
        <v>0</v>
      </c>
      <c r="L694" t="s">
        <v>7</v>
      </c>
      <c r="M694" t="s">
        <v>7</v>
      </c>
      <c r="N694" t="s">
        <v>7</v>
      </c>
      <c r="P694">
        <f t="shared" si="995"/>
        <v>0.27777777777777757</v>
      </c>
      <c r="Q694">
        <f t="shared" si="996"/>
        <v>16285373.638888877</v>
      </c>
      <c r="R694">
        <f t="shared" si="997"/>
        <v>294215551.91751397</v>
      </c>
      <c r="S694">
        <f t="shared" si="998"/>
        <v>2942.1555191751395</v>
      </c>
      <c r="T694">
        <f t="shared" si="999"/>
        <v>2.9421555191751394</v>
      </c>
    </row>
    <row r="695" spans="1:20" x14ac:dyDescent="0.25">
      <c r="A695" s="5">
        <v>43898</v>
      </c>
      <c r="B695">
        <v>3.4499999999999999E-3</v>
      </c>
      <c r="C695">
        <v>3.46E-3</v>
      </c>
      <c r="D695">
        <v>2.8700000000000002E-3</v>
      </c>
      <c r="E695">
        <v>2.8999999999999998E-3</v>
      </c>
      <c r="F695">
        <v>50099155.299999997</v>
      </c>
      <c r="G695">
        <v>0</v>
      </c>
      <c r="L695" t="s">
        <v>7</v>
      </c>
      <c r="M695" t="s">
        <v>7</v>
      </c>
      <c r="N695" t="s">
        <v>7</v>
      </c>
      <c r="P695">
        <f t="shared" si="995"/>
        <v>-0.89830508474576387</v>
      </c>
      <c r="Q695">
        <f t="shared" si="996"/>
        <v>-45004325.947457686</v>
      </c>
      <c r="R695">
        <f t="shared" si="997"/>
        <v>277930178.27862507</v>
      </c>
      <c r="S695">
        <f t="shared" si="998"/>
        <v>2779.3017827862509</v>
      </c>
      <c r="T695">
        <f t="shared" si="999"/>
        <v>2.7793017827862507</v>
      </c>
    </row>
    <row r="696" spans="1:20" x14ac:dyDescent="0.25">
      <c r="A696" s="5">
        <v>43897</v>
      </c>
      <c r="B696">
        <v>3.62E-3</v>
      </c>
      <c r="C696">
        <v>3.6900000000000001E-3</v>
      </c>
      <c r="D696">
        <v>3.3999999999999998E-3</v>
      </c>
      <c r="E696">
        <v>3.46E-3</v>
      </c>
      <c r="F696">
        <v>41140053.700000003</v>
      </c>
      <c r="G696">
        <v>0</v>
      </c>
      <c r="L696" t="s">
        <v>7</v>
      </c>
      <c r="M696" t="s">
        <v>8</v>
      </c>
      <c r="N696" t="s">
        <v>7</v>
      </c>
      <c r="P696">
        <f t="shared" si="995"/>
        <v>-0.58620689655172353</v>
      </c>
      <c r="Q696">
        <f t="shared" si="996"/>
        <v>-24116583.203448251</v>
      </c>
      <c r="R696">
        <f t="shared" si="997"/>
        <v>322934504.22608274</v>
      </c>
      <c r="S696">
        <f t="shared" si="998"/>
        <v>3229.3450422608275</v>
      </c>
      <c r="T696">
        <f t="shared" si="999"/>
        <v>3.2293450422608276</v>
      </c>
    </row>
    <row r="697" spans="1:20" x14ac:dyDescent="0.25">
      <c r="A697" s="5">
        <v>43896</v>
      </c>
      <c r="B697">
        <v>3.65E-3</v>
      </c>
      <c r="C697">
        <v>3.7100000000000002E-3</v>
      </c>
      <c r="D697">
        <v>3.5500000000000002E-3</v>
      </c>
      <c r="E697">
        <v>3.5999999999999999E-3</v>
      </c>
      <c r="F697">
        <v>27704481.5</v>
      </c>
      <c r="G697">
        <v>0</v>
      </c>
      <c r="L697" t="s">
        <v>8</v>
      </c>
      <c r="M697" t="s">
        <v>8</v>
      </c>
      <c r="N697" t="s">
        <v>7</v>
      </c>
      <c r="P697">
        <f t="shared" si="995"/>
        <v>-0.37500000000000372</v>
      </c>
      <c r="Q697">
        <f t="shared" si="996"/>
        <v>-10389180.562500102</v>
      </c>
      <c r="R697">
        <f t="shared" si="997"/>
        <v>347051087.42953098</v>
      </c>
      <c r="S697">
        <f t="shared" si="998"/>
        <v>3470.5108742953098</v>
      </c>
      <c r="T697">
        <f t="shared" si="999"/>
        <v>3.4705108742953099</v>
      </c>
    </row>
    <row r="698" spans="1:20" x14ac:dyDescent="0.25">
      <c r="A698" s="5">
        <v>43895</v>
      </c>
      <c r="B698">
        <v>3.5699999999999998E-3</v>
      </c>
      <c r="C698">
        <v>3.7399999999999998E-3</v>
      </c>
      <c r="D698">
        <v>3.5699999999999998E-3</v>
      </c>
      <c r="E698">
        <v>3.64E-3</v>
      </c>
      <c r="F698">
        <v>41765699.100000001</v>
      </c>
      <c r="G698">
        <v>0</v>
      </c>
      <c r="L698" t="s">
        <v>8</v>
      </c>
      <c r="M698" t="s">
        <v>8</v>
      </c>
      <c r="N698" t="s">
        <v>7</v>
      </c>
      <c r="P698">
        <f t="shared" si="995"/>
        <v>-0.17647058823529202</v>
      </c>
      <c r="Q698">
        <f t="shared" si="996"/>
        <v>-7370417.4882352063</v>
      </c>
      <c r="R698">
        <f t="shared" si="997"/>
        <v>357440267.9920311</v>
      </c>
      <c r="S698">
        <f t="shared" si="998"/>
        <v>3574.4026799203111</v>
      </c>
      <c r="T698">
        <f t="shared" si="999"/>
        <v>3.5744026799203112</v>
      </c>
    </row>
    <row r="699" spans="1:20" x14ac:dyDescent="0.25">
      <c r="A699" s="5">
        <v>43894</v>
      </c>
      <c r="B699">
        <v>3.5200000000000001E-3</v>
      </c>
      <c r="C699">
        <v>3.7799999999999999E-3</v>
      </c>
      <c r="D699">
        <v>3.4399999999999999E-3</v>
      </c>
      <c r="E699">
        <v>3.5799999999999998E-3</v>
      </c>
      <c r="F699">
        <v>61067461.600000001</v>
      </c>
      <c r="G699">
        <v>0</v>
      </c>
      <c r="L699" t="s">
        <v>8</v>
      </c>
      <c r="M699" t="s">
        <v>8</v>
      </c>
      <c r="N699" t="s">
        <v>7</v>
      </c>
      <c r="P699">
        <f t="shared" si="995"/>
        <v>-0.17647058823529457</v>
      </c>
      <c r="Q699">
        <f t="shared" si="996"/>
        <v>-10776610.870588263</v>
      </c>
      <c r="R699">
        <f t="shared" si="997"/>
        <v>364810685.48026633</v>
      </c>
      <c r="S699">
        <f t="shared" si="998"/>
        <v>3648.1068548026633</v>
      </c>
      <c r="T699">
        <f t="shared" si="999"/>
        <v>3.6481068548026632</v>
      </c>
    </row>
    <row r="700" spans="1:20" x14ac:dyDescent="0.25">
      <c r="A700" s="5">
        <v>43893</v>
      </c>
      <c r="B700">
        <v>3.48E-3</v>
      </c>
      <c r="C700">
        <v>3.5500000000000002E-3</v>
      </c>
      <c r="D700">
        <v>3.3500000000000001E-3</v>
      </c>
      <c r="E700">
        <v>3.5200000000000001E-3</v>
      </c>
      <c r="F700">
        <v>40446917.299999997</v>
      </c>
      <c r="G700">
        <v>0</v>
      </c>
      <c r="L700" t="s">
        <v>8</v>
      </c>
      <c r="M700" t="s">
        <v>7</v>
      </c>
      <c r="N700" t="s">
        <v>7</v>
      </c>
      <c r="P700">
        <f t="shared" si="995"/>
        <v>0.6999999999999994</v>
      </c>
      <c r="Q700">
        <f t="shared" si="996"/>
        <v>28312842.109999973</v>
      </c>
      <c r="R700">
        <f t="shared" si="997"/>
        <v>375587296.35085458</v>
      </c>
      <c r="S700">
        <f t="shared" si="998"/>
        <v>3755.8729635085456</v>
      </c>
      <c r="T700">
        <f t="shared" si="999"/>
        <v>3.7558729635085455</v>
      </c>
    </row>
    <row r="701" spans="1:20" x14ac:dyDescent="0.25">
      <c r="A701" s="5">
        <v>43892</v>
      </c>
      <c r="B701">
        <v>3.2499999999999999E-3</v>
      </c>
      <c r="C701">
        <v>3.5699999999999998E-3</v>
      </c>
      <c r="D701">
        <v>3.2200000000000002E-3</v>
      </c>
      <c r="E701">
        <v>3.48E-3</v>
      </c>
      <c r="F701">
        <v>37119130</v>
      </c>
      <c r="G701">
        <v>0</v>
      </c>
      <c r="L701" t="s">
        <v>8</v>
      </c>
      <c r="M701" t="s">
        <v>7</v>
      </c>
      <c r="N701" t="s">
        <v>7</v>
      </c>
      <c r="P701">
        <f t="shared" si="995"/>
        <v>0.48571428571428626</v>
      </c>
      <c r="Q701">
        <f t="shared" si="996"/>
        <v>18029291.714285735</v>
      </c>
      <c r="R701">
        <f t="shared" si="997"/>
        <v>347274454.24085462</v>
      </c>
      <c r="S701">
        <f t="shared" si="998"/>
        <v>3472.7445424085463</v>
      </c>
      <c r="T701">
        <f t="shared" si="999"/>
        <v>3.4727445424085461</v>
      </c>
    </row>
    <row r="702" spans="1:20" x14ac:dyDescent="0.25">
      <c r="A702" s="5">
        <v>43891</v>
      </c>
      <c r="B702">
        <v>3.29E-3</v>
      </c>
      <c r="C702">
        <v>3.4299999999999999E-3</v>
      </c>
      <c r="D702">
        <v>3.2100000000000002E-3</v>
      </c>
      <c r="E702">
        <v>3.2599999999999999E-3</v>
      </c>
      <c r="F702">
        <v>26258614.699999999</v>
      </c>
      <c r="G702">
        <v>0</v>
      </c>
      <c r="L702" t="s">
        <v>7</v>
      </c>
      <c r="M702" t="s">
        <v>7</v>
      </c>
      <c r="N702" t="s">
        <v>7</v>
      </c>
      <c r="P702">
        <f t="shared" si="995"/>
        <v>-0.54545454545454763</v>
      </c>
      <c r="Q702">
        <f t="shared" si="996"/>
        <v>-14322880.745454602</v>
      </c>
      <c r="R702">
        <f t="shared" si="997"/>
        <v>329245162.52656889</v>
      </c>
      <c r="S702">
        <f t="shared" si="998"/>
        <v>3292.451625265689</v>
      </c>
      <c r="T702">
        <f t="shared" si="999"/>
        <v>3.2924516252656888</v>
      </c>
    </row>
    <row r="703" spans="1:20" x14ac:dyDescent="0.25">
      <c r="A703" s="5">
        <v>43890</v>
      </c>
      <c r="B703">
        <v>3.46E-3</v>
      </c>
      <c r="C703">
        <v>3.5100000000000001E-3</v>
      </c>
      <c r="D703">
        <v>3.2799999999999999E-3</v>
      </c>
      <c r="E703">
        <v>3.29E-3</v>
      </c>
      <c r="F703">
        <v>36982478.100000001</v>
      </c>
      <c r="G703">
        <v>0</v>
      </c>
      <c r="L703" t="s">
        <v>7</v>
      </c>
      <c r="M703" t="s">
        <v>7</v>
      </c>
      <c r="N703" t="s">
        <v>7</v>
      </c>
      <c r="P703">
        <f t="shared" si="995"/>
        <v>-0.9130434782608694</v>
      </c>
      <c r="Q703">
        <f t="shared" si="996"/>
        <v>-33766610.439130433</v>
      </c>
      <c r="R703">
        <f t="shared" si="997"/>
        <v>343568043.2720235</v>
      </c>
      <c r="S703">
        <f t="shared" si="998"/>
        <v>3435.6804327202349</v>
      </c>
      <c r="T703">
        <f t="shared" si="999"/>
        <v>3.4356804327202348</v>
      </c>
    </row>
    <row r="704" spans="1:20" x14ac:dyDescent="0.25">
      <c r="A704" s="5">
        <v>43889</v>
      </c>
      <c r="B704">
        <v>3.32E-3</v>
      </c>
      <c r="C704">
        <v>3.5500000000000002E-3</v>
      </c>
      <c r="D704">
        <v>3.1800000000000001E-3</v>
      </c>
      <c r="E704">
        <v>3.4499999999999999E-3</v>
      </c>
      <c r="F704">
        <v>42830870.5</v>
      </c>
      <c r="G704">
        <v>0</v>
      </c>
      <c r="L704" t="s">
        <v>8</v>
      </c>
      <c r="M704" t="s">
        <v>7</v>
      </c>
      <c r="N704" t="s">
        <v>7</v>
      </c>
      <c r="P704">
        <f t="shared" si="995"/>
        <v>0.45945945945945821</v>
      </c>
      <c r="Q704">
        <f t="shared" si="996"/>
        <v>19679048.608108055</v>
      </c>
      <c r="R704">
        <f t="shared" si="997"/>
        <v>377334653.71115392</v>
      </c>
      <c r="S704">
        <f t="shared" si="998"/>
        <v>3773.3465371115394</v>
      </c>
      <c r="T704">
        <f t="shared" si="999"/>
        <v>3.7733465371115393</v>
      </c>
    </row>
    <row r="705" spans="1:20" x14ac:dyDescent="0.25">
      <c r="A705" s="5">
        <v>43888</v>
      </c>
      <c r="B705">
        <v>3.2000000000000002E-3</v>
      </c>
      <c r="C705">
        <v>3.46E-3</v>
      </c>
      <c r="D705">
        <v>3.1199999999999999E-3</v>
      </c>
      <c r="E705">
        <v>3.32E-3</v>
      </c>
      <c r="F705">
        <v>51870089.299999997</v>
      </c>
      <c r="G705">
        <v>0</v>
      </c>
      <c r="L705" t="s">
        <v>8</v>
      </c>
      <c r="M705" t="s">
        <v>7</v>
      </c>
      <c r="N705" t="s">
        <v>7</v>
      </c>
      <c r="P705">
        <f t="shared" si="995"/>
        <v>0.17647058823529457</v>
      </c>
      <c r="Q705">
        <f t="shared" si="996"/>
        <v>9153545.1705882587</v>
      </c>
      <c r="R705">
        <f t="shared" si="997"/>
        <v>357655605.10304588</v>
      </c>
      <c r="S705">
        <f t="shared" si="998"/>
        <v>3576.556051030459</v>
      </c>
      <c r="T705">
        <f t="shared" si="999"/>
        <v>3.576556051030459</v>
      </c>
    </row>
    <row r="706" spans="1:20" x14ac:dyDescent="0.25">
      <c r="A706" s="5">
        <v>43887</v>
      </c>
      <c r="B706">
        <v>3.5599999999999998E-3</v>
      </c>
      <c r="C706">
        <v>3.5899999999999999E-3</v>
      </c>
      <c r="D706">
        <v>3.1099999999999999E-3</v>
      </c>
      <c r="E706">
        <v>3.2299999999999998E-3</v>
      </c>
      <c r="F706">
        <v>77022107.799999997</v>
      </c>
      <c r="G706">
        <v>0</v>
      </c>
      <c r="L706" t="s">
        <v>7</v>
      </c>
      <c r="M706" t="s">
        <v>7</v>
      </c>
      <c r="N706" t="s">
        <v>7</v>
      </c>
      <c r="P706">
        <f t="shared" si="995"/>
        <v>-0.50000000000000044</v>
      </c>
      <c r="Q706">
        <f t="shared" si="996"/>
        <v>-38511053.900000036</v>
      </c>
      <c r="R706">
        <f t="shared" si="997"/>
        <v>348502059.93245763</v>
      </c>
      <c r="S706">
        <f t="shared" si="998"/>
        <v>3485.0205993245763</v>
      </c>
      <c r="T706">
        <f t="shared" si="999"/>
        <v>3.4850205993245762</v>
      </c>
    </row>
    <row r="707" spans="1:20" x14ac:dyDescent="0.25">
      <c r="A707" s="5">
        <v>43886</v>
      </c>
      <c r="B707">
        <v>3.9100000000000003E-3</v>
      </c>
      <c r="C707">
        <v>3.9199999999999999E-3</v>
      </c>
      <c r="D707">
        <v>3.5500000000000002E-3</v>
      </c>
      <c r="E707">
        <v>3.5599999999999998E-3</v>
      </c>
      <c r="F707">
        <v>59541842.899999999</v>
      </c>
      <c r="G707">
        <v>0</v>
      </c>
      <c r="L707" t="s">
        <v>7</v>
      </c>
      <c r="M707" t="s">
        <v>7</v>
      </c>
      <c r="N707" t="s">
        <v>7</v>
      </c>
      <c r="P707">
        <f t="shared" si="995"/>
        <v>-0.94594594594594805</v>
      </c>
      <c r="Q707">
        <f t="shared" si="996"/>
        <v>-56323364.905405529</v>
      </c>
      <c r="R707">
        <f t="shared" si="997"/>
        <v>387013113.83245766</v>
      </c>
      <c r="S707">
        <f t="shared" si="998"/>
        <v>3870.1311383245766</v>
      </c>
      <c r="T707">
        <f t="shared" si="999"/>
        <v>3.8701311383245764</v>
      </c>
    </row>
    <row r="708" spans="1:20" x14ac:dyDescent="0.25">
      <c r="A708" s="5">
        <v>43885</v>
      </c>
      <c r="B708">
        <v>4.1799999999999997E-3</v>
      </c>
      <c r="C708">
        <v>4.1999999999999997E-3</v>
      </c>
      <c r="D708">
        <v>3.7599999999999999E-3</v>
      </c>
      <c r="E708">
        <v>3.9100000000000003E-3</v>
      </c>
      <c r="F708">
        <v>66971210.200000003</v>
      </c>
      <c r="G708">
        <v>0</v>
      </c>
      <c r="L708" t="s">
        <v>7</v>
      </c>
      <c r="M708" t="s">
        <v>7</v>
      </c>
      <c r="N708" t="s">
        <v>7</v>
      </c>
      <c r="P708">
        <f t="shared" si="995"/>
        <v>-0.31818181818181618</v>
      </c>
      <c r="Q708">
        <f t="shared" si="996"/>
        <v>-21309021.427272595</v>
      </c>
      <c r="R708">
        <f t="shared" si="997"/>
        <v>443336478.73786318</v>
      </c>
      <c r="S708">
        <f t="shared" si="998"/>
        <v>4433.3647873786322</v>
      </c>
      <c r="T708">
        <f t="shared" si="999"/>
        <v>4.4333647873786326</v>
      </c>
    </row>
    <row r="709" spans="1:20" x14ac:dyDescent="0.25">
      <c r="A709" s="5">
        <v>43884</v>
      </c>
      <c r="B709">
        <v>3.9100000000000003E-3</v>
      </c>
      <c r="C709">
        <v>4.2399999999999998E-3</v>
      </c>
      <c r="D709">
        <v>3.9100000000000003E-3</v>
      </c>
      <c r="E709">
        <v>4.1900000000000001E-3</v>
      </c>
      <c r="F709">
        <v>45289958.799999997</v>
      </c>
      <c r="G709">
        <v>0</v>
      </c>
      <c r="L709" t="s">
        <v>8</v>
      </c>
      <c r="M709" t="s">
        <v>7</v>
      </c>
      <c r="N709" t="s">
        <v>7</v>
      </c>
      <c r="P709">
        <f t="shared" si="995"/>
        <v>0.69696969696969835</v>
      </c>
      <c r="Q709">
        <f t="shared" si="996"/>
        <v>31565728.860606123</v>
      </c>
      <c r="R709">
        <f t="shared" si="997"/>
        <v>464645500.1651358</v>
      </c>
      <c r="S709">
        <f t="shared" si="998"/>
        <v>4646.4550016513576</v>
      </c>
      <c r="T709">
        <f t="shared" si="999"/>
        <v>4.6464550016513577</v>
      </c>
    </row>
    <row r="710" spans="1:20" x14ac:dyDescent="0.25">
      <c r="A710" s="5">
        <v>43883</v>
      </c>
      <c r="B710">
        <v>3.9500000000000004E-3</v>
      </c>
      <c r="C710">
        <v>4.1200000000000004E-3</v>
      </c>
      <c r="D710">
        <v>3.81E-3</v>
      </c>
      <c r="E710">
        <v>3.9199999999999999E-3</v>
      </c>
      <c r="F710">
        <v>45354221.5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1000">IF(C710=D710,0,((E710-D710)-(C710-E710))/(C710-D710))</f>
        <v>-0.29032258064516309</v>
      </c>
      <c r="Q710">
        <f t="shared" ref="Q710:Q766" si="1001">F710*P710</f>
        <v>-13167354.62903234</v>
      </c>
      <c r="R710">
        <f t="shared" ref="R710:R766" si="1002">R711+Q710</f>
        <v>433079771.30452967</v>
      </c>
      <c r="S710">
        <f t="shared" ref="S710:S766" si="1003">R710/100000</f>
        <v>4330.7977130452964</v>
      </c>
      <c r="T710">
        <f t="shared" ref="T710:T766" si="1004">S710/1000</f>
        <v>4.3307977130452961</v>
      </c>
    </row>
    <row r="711" spans="1:20" x14ac:dyDescent="0.25">
      <c r="A711" s="5">
        <v>43882</v>
      </c>
      <c r="B711">
        <v>3.8600000000000001E-3</v>
      </c>
      <c r="C711">
        <v>4.1599999999999996E-3</v>
      </c>
      <c r="D711">
        <v>3.8400000000000001E-3</v>
      </c>
      <c r="E711">
        <v>3.9199999999999999E-3</v>
      </c>
      <c r="F711">
        <v>60084403</v>
      </c>
      <c r="G711">
        <v>0</v>
      </c>
      <c r="L711" t="s">
        <v>8</v>
      </c>
      <c r="M711" t="s">
        <v>7</v>
      </c>
      <c r="N711" t="s">
        <v>7</v>
      </c>
      <c r="P711">
        <f t="shared" si="1000"/>
        <v>-0.50000000000000067</v>
      </c>
      <c r="Q711">
        <f t="shared" si="1001"/>
        <v>-30042201.500000041</v>
      </c>
      <c r="R711">
        <f t="shared" si="1002"/>
        <v>446247125.93356198</v>
      </c>
      <c r="S711">
        <f t="shared" si="1003"/>
        <v>4462.4712593356198</v>
      </c>
      <c r="T711">
        <f t="shared" si="1004"/>
        <v>4.4624712593356195</v>
      </c>
    </row>
    <row r="712" spans="1:20" x14ac:dyDescent="0.25">
      <c r="A712" s="5">
        <v>43881</v>
      </c>
      <c r="B712">
        <v>4.0400000000000002E-3</v>
      </c>
      <c r="C712">
        <v>4.0800000000000003E-3</v>
      </c>
      <c r="D712">
        <v>3.7100000000000002E-3</v>
      </c>
      <c r="E712">
        <v>3.8600000000000001E-3</v>
      </c>
      <c r="F712">
        <v>87876523.799999997</v>
      </c>
      <c r="G712">
        <v>0</v>
      </c>
      <c r="L712" t="s">
        <v>7</v>
      </c>
      <c r="M712" t="s">
        <v>7</v>
      </c>
      <c r="N712" t="s">
        <v>7</v>
      </c>
      <c r="P712">
        <f t="shared" si="1000"/>
        <v>-0.18918918918918964</v>
      </c>
      <c r="Q712">
        <f t="shared" si="1001"/>
        <v>-16625288.286486525</v>
      </c>
      <c r="R712">
        <f t="shared" si="1002"/>
        <v>476289327.43356204</v>
      </c>
      <c r="S712">
        <f t="shared" si="1003"/>
        <v>4762.8932743356208</v>
      </c>
      <c r="T712">
        <f t="shared" si="1004"/>
        <v>4.7628932743356209</v>
      </c>
    </row>
    <row r="713" spans="1:20" x14ac:dyDescent="0.25">
      <c r="A713" s="5">
        <v>43880</v>
      </c>
      <c r="B713">
        <v>4.4900000000000001E-3</v>
      </c>
      <c r="C713">
        <v>4.5199999999999997E-3</v>
      </c>
      <c r="D713">
        <v>4.0099999999999997E-3</v>
      </c>
      <c r="E713">
        <v>4.0600000000000002E-3</v>
      </c>
      <c r="F713">
        <v>63276905.100000001</v>
      </c>
      <c r="G713">
        <v>0</v>
      </c>
      <c r="L713" t="s">
        <v>7</v>
      </c>
      <c r="M713" t="s">
        <v>7</v>
      </c>
      <c r="N713" t="s">
        <v>7</v>
      </c>
      <c r="P713">
        <f t="shared" si="1000"/>
        <v>-0.80392156862744879</v>
      </c>
      <c r="Q713">
        <f t="shared" si="1001"/>
        <v>-50869668.805882215</v>
      </c>
      <c r="R713">
        <f t="shared" si="1002"/>
        <v>492914615.72004855</v>
      </c>
      <c r="S713">
        <f t="shared" si="1003"/>
        <v>4929.1461572004855</v>
      </c>
      <c r="T713">
        <f t="shared" si="1004"/>
        <v>4.9291461572004858</v>
      </c>
    </row>
    <row r="714" spans="1:20" x14ac:dyDescent="0.25">
      <c r="A714" s="5">
        <v>43879</v>
      </c>
      <c r="B714">
        <v>4.1999999999999997E-3</v>
      </c>
      <c r="C714">
        <v>4.5399999999999998E-3</v>
      </c>
      <c r="D714">
        <v>4.0400000000000002E-3</v>
      </c>
      <c r="E714">
        <v>4.4999999999999997E-3</v>
      </c>
      <c r="F714">
        <v>73464213</v>
      </c>
      <c r="G714">
        <v>0</v>
      </c>
      <c r="L714" t="s">
        <v>8</v>
      </c>
      <c r="M714" t="s">
        <v>7</v>
      </c>
      <c r="N714" t="s">
        <v>7</v>
      </c>
      <c r="P714">
        <f t="shared" si="1000"/>
        <v>0.83999999999999941</v>
      </c>
      <c r="Q714">
        <f t="shared" si="1001"/>
        <v>61709938.919999957</v>
      </c>
      <c r="R714">
        <f t="shared" si="1002"/>
        <v>543784284.52593076</v>
      </c>
      <c r="S714">
        <f t="shared" si="1003"/>
        <v>5437.842845259308</v>
      </c>
      <c r="T714">
        <f t="shared" si="1004"/>
        <v>5.4378428452593077</v>
      </c>
    </row>
    <row r="715" spans="1:20" x14ac:dyDescent="0.25">
      <c r="A715" s="5">
        <v>43878</v>
      </c>
      <c r="B715">
        <v>4.28E-3</v>
      </c>
      <c r="C715">
        <v>4.3299999999999996E-3</v>
      </c>
      <c r="D715">
        <v>3.9100000000000003E-3</v>
      </c>
      <c r="E715">
        <v>4.1799999999999997E-3</v>
      </c>
      <c r="F715">
        <v>97835617.099999994</v>
      </c>
      <c r="G715">
        <v>0</v>
      </c>
      <c r="L715" t="s">
        <v>7</v>
      </c>
      <c r="M715" t="s">
        <v>7</v>
      </c>
      <c r="N715" t="s">
        <v>7</v>
      </c>
      <c r="P715">
        <f t="shared" si="1000"/>
        <v>0.28571428571428481</v>
      </c>
      <c r="Q715">
        <f t="shared" si="1001"/>
        <v>27953033.457142767</v>
      </c>
      <c r="R715">
        <f t="shared" si="1002"/>
        <v>482074345.60593081</v>
      </c>
      <c r="S715">
        <f t="shared" si="1003"/>
        <v>4820.7434560593083</v>
      </c>
      <c r="T715">
        <f t="shared" si="1004"/>
        <v>4.8207434560593079</v>
      </c>
    </row>
    <row r="716" spans="1:20" x14ac:dyDescent="0.25">
      <c r="A716" s="5">
        <v>43877</v>
      </c>
      <c r="B716">
        <v>4.79E-3</v>
      </c>
      <c r="C716">
        <v>4.9500000000000004E-3</v>
      </c>
      <c r="D716">
        <v>4.0099999999999997E-3</v>
      </c>
      <c r="E716">
        <v>4.2900000000000004E-3</v>
      </c>
      <c r="F716">
        <v>162966822.30000001</v>
      </c>
      <c r="G716">
        <v>0</v>
      </c>
      <c r="L716" t="s">
        <v>7</v>
      </c>
      <c r="M716" t="s">
        <v>7</v>
      </c>
      <c r="N716" t="s">
        <v>8</v>
      </c>
      <c r="P716">
        <f t="shared" si="1000"/>
        <v>-0.40425531914893509</v>
      </c>
      <c r="Q716">
        <f t="shared" si="1001"/>
        <v>-65880204.759574294</v>
      </c>
      <c r="R716">
        <f t="shared" si="1002"/>
        <v>454121312.14878803</v>
      </c>
      <c r="S716">
        <f t="shared" si="1003"/>
        <v>4541.21312148788</v>
      </c>
      <c r="T716">
        <f t="shared" si="1004"/>
        <v>4.5412131214878801</v>
      </c>
    </row>
    <row r="717" spans="1:20" x14ac:dyDescent="0.25">
      <c r="A717" s="5">
        <v>43876</v>
      </c>
      <c r="B717">
        <v>5.5399999999999998E-3</v>
      </c>
      <c r="C717">
        <v>5.64E-3</v>
      </c>
      <c r="D717">
        <v>4.5999999999999999E-3</v>
      </c>
      <c r="E717">
        <v>4.79E-3</v>
      </c>
      <c r="F717">
        <v>132748640.3</v>
      </c>
      <c r="G717">
        <v>0</v>
      </c>
      <c r="L717" t="s">
        <v>7</v>
      </c>
      <c r="M717" t="s">
        <v>7</v>
      </c>
      <c r="N717" t="s">
        <v>8</v>
      </c>
      <c r="P717">
        <f t="shared" si="1000"/>
        <v>-0.63461538461538458</v>
      </c>
      <c r="Q717">
        <f t="shared" si="1001"/>
        <v>-84244329.421153843</v>
      </c>
      <c r="R717">
        <f t="shared" si="1002"/>
        <v>520001516.90836233</v>
      </c>
      <c r="S717">
        <f t="shared" si="1003"/>
        <v>5200.0151690836237</v>
      </c>
      <c r="T717">
        <f t="shared" si="1004"/>
        <v>5.200015169083624</v>
      </c>
    </row>
    <row r="718" spans="1:20" x14ac:dyDescent="0.25">
      <c r="A718" s="5">
        <v>43875</v>
      </c>
      <c r="B718">
        <v>4.96E-3</v>
      </c>
      <c r="C718">
        <v>5.6600000000000001E-3</v>
      </c>
      <c r="D718">
        <v>4.96E-3</v>
      </c>
      <c r="E718">
        <v>5.5500000000000002E-3</v>
      </c>
      <c r="F718">
        <v>177857289.09999999</v>
      </c>
      <c r="G718">
        <v>0</v>
      </c>
      <c r="L718" t="s">
        <v>8</v>
      </c>
      <c r="M718" t="s">
        <v>8</v>
      </c>
      <c r="N718" t="s">
        <v>8</v>
      </c>
      <c r="P718">
        <f t="shared" si="1000"/>
        <v>0.68571428571428616</v>
      </c>
      <c r="Q718">
        <f t="shared" si="1001"/>
        <v>121959283.95428579</v>
      </c>
      <c r="R718">
        <f t="shared" si="1002"/>
        <v>604245846.32951617</v>
      </c>
      <c r="S718">
        <f t="shared" si="1003"/>
        <v>6042.4584632951619</v>
      </c>
      <c r="T718">
        <f t="shared" si="1004"/>
        <v>6.0424584632951621</v>
      </c>
    </row>
    <row r="719" spans="1:20" x14ac:dyDescent="0.25">
      <c r="A719" s="5">
        <v>43874</v>
      </c>
      <c r="B719">
        <v>4.7200000000000002E-3</v>
      </c>
      <c r="C719">
        <v>5.5700000000000003E-3</v>
      </c>
      <c r="D719">
        <v>4.5100000000000001E-3</v>
      </c>
      <c r="E719">
        <v>4.96E-3</v>
      </c>
      <c r="F719">
        <v>221696694.30000001</v>
      </c>
      <c r="G719">
        <v>0</v>
      </c>
      <c r="L719" t="s">
        <v>8</v>
      </c>
      <c r="M719" t="s">
        <v>8</v>
      </c>
      <c r="N719" t="s">
        <v>8</v>
      </c>
      <c r="P719">
        <f t="shared" si="1000"/>
        <v>-0.15094339622641548</v>
      </c>
      <c r="Q719">
        <f t="shared" si="1001"/>
        <v>-33463651.969811406</v>
      </c>
      <c r="R719">
        <f t="shared" si="1002"/>
        <v>482286562.37523037</v>
      </c>
      <c r="S719">
        <f t="shared" si="1003"/>
        <v>4822.8656237523037</v>
      </c>
      <c r="T719">
        <f t="shared" si="1004"/>
        <v>4.8228656237523033</v>
      </c>
    </row>
    <row r="720" spans="1:20" x14ac:dyDescent="0.25">
      <c r="A720" s="5">
        <v>43873</v>
      </c>
      <c r="B720">
        <v>4.5999999999999999E-3</v>
      </c>
      <c r="C720">
        <v>4.8300000000000001E-3</v>
      </c>
      <c r="D720">
        <v>4.5500000000000002E-3</v>
      </c>
      <c r="E720">
        <v>4.7400000000000003E-3</v>
      </c>
      <c r="F720">
        <v>80966928.200000003</v>
      </c>
      <c r="G720">
        <v>0</v>
      </c>
      <c r="L720" t="s">
        <v>8</v>
      </c>
      <c r="M720" t="s">
        <v>8</v>
      </c>
      <c r="N720" t="s">
        <v>8</v>
      </c>
      <c r="P720">
        <f t="shared" si="1000"/>
        <v>0.35714285714285826</v>
      </c>
      <c r="Q720">
        <f t="shared" si="1001"/>
        <v>28916760.071428664</v>
      </c>
      <c r="R720">
        <f t="shared" si="1002"/>
        <v>515750214.34504175</v>
      </c>
      <c r="S720">
        <f t="shared" si="1003"/>
        <v>5157.5021434504179</v>
      </c>
      <c r="T720">
        <f t="shared" si="1004"/>
        <v>5.1575021434504178</v>
      </c>
    </row>
    <row r="721" spans="1:20" x14ac:dyDescent="0.25">
      <c r="A721" s="5">
        <v>43872</v>
      </c>
      <c r="B721">
        <v>4.5500000000000002E-3</v>
      </c>
      <c r="C721">
        <v>4.6699999999999997E-3</v>
      </c>
      <c r="D721">
        <v>4.3200000000000001E-3</v>
      </c>
      <c r="E721">
        <v>4.5799999999999999E-3</v>
      </c>
      <c r="F721">
        <v>101932740.09999999</v>
      </c>
      <c r="G721">
        <v>0</v>
      </c>
      <c r="L721" t="s">
        <v>8</v>
      </c>
      <c r="M721" t="s">
        <v>8</v>
      </c>
      <c r="N721" t="s">
        <v>8</v>
      </c>
      <c r="P721">
        <f t="shared" si="1000"/>
        <v>0.48571428571428626</v>
      </c>
      <c r="Q721">
        <f t="shared" si="1001"/>
        <v>49510188.048571482</v>
      </c>
      <c r="R721">
        <f t="shared" si="1002"/>
        <v>486833454.2736131</v>
      </c>
      <c r="S721">
        <f t="shared" si="1003"/>
        <v>4868.334542736131</v>
      </c>
      <c r="T721">
        <f t="shared" si="1004"/>
        <v>4.8683345427361306</v>
      </c>
    </row>
    <row r="722" spans="1:20" x14ac:dyDescent="0.25">
      <c r="A722" s="5">
        <v>43871</v>
      </c>
      <c r="B722">
        <v>4.2399999999999998E-3</v>
      </c>
      <c r="C722">
        <v>4.6100000000000004E-3</v>
      </c>
      <c r="D722">
        <v>4.0200000000000001E-3</v>
      </c>
      <c r="E722">
        <v>4.5500000000000002E-3</v>
      </c>
      <c r="F722">
        <v>127292805.90000001</v>
      </c>
      <c r="G722">
        <v>0</v>
      </c>
      <c r="L722" t="s">
        <v>8</v>
      </c>
      <c r="M722" t="s">
        <v>8</v>
      </c>
      <c r="N722" t="s">
        <v>8</v>
      </c>
      <c r="P722">
        <f t="shared" si="1000"/>
        <v>0.79661016949152497</v>
      </c>
      <c r="Q722">
        <f t="shared" si="1001"/>
        <v>101402743.6830508</v>
      </c>
      <c r="R722">
        <f t="shared" si="1002"/>
        <v>437323266.22504163</v>
      </c>
      <c r="S722">
        <f t="shared" si="1003"/>
        <v>4373.2326622504161</v>
      </c>
      <c r="T722">
        <f t="shared" si="1004"/>
        <v>4.3732326622504161</v>
      </c>
    </row>
    <row r="723" spans="1:20" x14ac:dyDescent="0.25">
      <c r="A723" s="5">
        <v>43870</v>
      </c>
      <c r="B723">
        <v>4.1599999999999996E-3</v>
      </c>
      <c r="C723">
        <v>4.3600000000000002E-3</v>
      </c>
      <c r="D723">
        <v>4.1000000000000003E-3</v>
      </c>
      <c r="E723">
        <v>4.2300000000000003E-3</v>
      </c>
      <c r="F723">
        <v>62029082.899999999</v>
      </c>
      <c r="G723">
        <v>0</v>
      </c>
      <c r="L723" t="s">
        <v>8</v>
      </c>
      <c r="M723" t="s">
        <v>8</v>
      </c>
      <c r="N723" t="s">
        <v>8</v>
      </c>
      <c r="P723">
        <f t="shared" si="1000"/>
        <v>0</v>
      </c>
      <c r="Q723">
        <f t="shared" si="1001"/>
        <v>0</v>
      </c>
      <c r="R723">
        <f t="shared" si="1002"/>
        <v>335920522.54199082</v>
      </c>
      <c r="S723">
        <f t="shared" si="1003"/>
        <v>3359.2052254199079</v>
      </c>
      <c r="T723">
        <f t="shared" si="1004"/>
        <v>3.3592052254199078</v>
      </c>
    </row>
    <row r="724" spans="1:20" x14ac:dyDescent="0.25">
      <c r="A724" s="5">
        <v>43869</v>
      </c>
      <c r="B724">
        <v>4.1900000000000001E-3</v>
      </c>
      <c r="C724">
        <v>4.4000000000000003E-3</v>
      </c>
      <c r="D724">
        <v>3.8899999999999998E-3</v>
      </c>
      <c r="E724">
        <v>4.1599999999999996E-3</v>
      </c>
      <c r="F724">
        <v>112033220.40000001</v>
      </c>
      <c r="G724">
        <v>0</v>
      </c>
      <c r="L724" t="s">
        <v>8</v>
      </c>
      <c r="M724" t="s">
        <v>8</v>
      </c>
      <c r="N724" t="s">
        <v>8</v>
      </c>
      <c r="P724">
        <f t="shared" si="1000"/>
        <v>5.8823529411763102E-2</v>
      </c>
      <c r="Q724">
        <f t="shared" si="1001"/>
        <v>6590189.435293938</v>
      </c>
      <c r="R724">
        <f t="shared" si="1002"/>
        <v>335920522.54199082</v>
      </c>
      <c r="S724">
        <f t="shared" si="1003"/>
        <v>3359.2052254199079</v>
      </c>
      <c r="T724">
        <f t="shared" si="1004"/>
        <v>3.3592052254199078</v>
      </c>
    </row>
    <row r="725" spans="1:20" x14ac:dyDescent="0.25">
      <c r="A725" s="5">
        <v>43868</v>
      </c>
      <c r="B725">
        <v>4.1099999999999999E-3</v>
      </c>
      <c r="C725">
        <v>4.2300000000000003E-3</v>
      </c>
      <c r="D725">
        <v>3.96E-3</v>
      </c>
      <c r="E725">
        <v>4.1900000000000001E-3</v>
      </c>
      <c r="F725">
        <v>117102649.2</v>
      </c>
      <c r="G725">
        <v>0</v>
      </c>
      <c r="L725" t="s">
        <v>8</v>
      </c>
      <c r="M725" t="s">
        <v>8</v>
      </c>
      <c r="N725" t="s">
        <v>7</v>
      </c>
      <c r="P725">
        <f t="shared" si="1000"/>
        <v>0.70370370370370328</v>
      </c>
      <c r="Q725">
        <f t="shared" si="1001"/>
        <v>82405567.955555514</v>
      </c>
      <c r="R725">
        <f t="shared" si="1002"/>
        <v>329330333.1066969</v>
      </c>
      <c r="S725">
        <f t="shared" si="1003"/>
        <v>3293.3033310669689</v>
      </c>
      <c r="T725">
        <f t="shared" si="1004"/>
        <v>3.2933033310669688</v>
      </c>
    </row>
    <row r="726" spans="1:20" x14ac:dyDescent="0.25">
      <c r="A726" s="5">
        <v>43867</v>
      </c>
      <c r="B726">
        <v>3.62E-3</v>
      </c>
      <c r="C726">
        <v>4.1700000000000001E-3</v>
      </c>
      <c r="D726">
        <v>3.6099999999999999E-3</v>
      </c>
      <c r="E726">
        <v>4.1099999999999999E-3</v>
      </c>
      <c r="F726">
        <v>163130094.19999999</v>
      </c>
      <c r="G726">
        <v>0</v>
      </c>
      <c r="L726" t="s">
        <v>8</v>
      </c>
      <c r="M726" t="s">
        <v>8</v>
      </c>
      <c r="N726" t="s">
        <v>7</v>
      </c>
      <c r="P726">
        <f t="shared" si="1000"/>
        <v>0.78571428571428525</v>
      </c>
      <c r="Q726">
        <f t="shared" si="1001"/>
        <v>128173645.44285706</v>
      </c>
      <c r="R726">
        <f t="shared" si="1002"/>
        <v>246924765.15114138</v>
      </c>
      <c r="S726">
        <f t="shared" si="1003"/>
        <v>2469.2476515114136</v>
      </c>
      <c r="T726">
        <f t="shared" si="1004"/>
        <v>2.4692476515114135</v>
      </c>
    </row>
    <row r="727" spans="1:20" x14ac:dyDescent="0.25">
      <c r="A727" s="5">
        <v>43866</v>
      </c>
      <c r="B727">
        <v>3.7499999999999999E-3</v>
      </c>
      <c r="C727">
        <v>3.8600000000000001E-3</v>
      </c>
      <c r="D727">
        <v>3.5899999999999999E-3</v>
      </c>
      <c r="E727">
        <v>3.64E-3</v>
      </c>
      <c r="F727">
        <v>91963898.400000006</v>
      </c>
      <c r="G727">
        <v>0</v>
      </c>
      <c r="L727" t="s">
        <v>7</v>
      </c>
      <c r="M727" t="s">
        <v>8</v>
      </c>
      <c r="N727" t="s">
        <v>7</v>
      </c>
      <c r="P727">
        <f t="shared" si="1000"/>
        <v>-0.62962962962962898</v>
      </c>
      <c r="Q727">
        <f t="shared" si="1001"/>
        <v>-57903195.288888834</v>
      </c>
      <c r="R727">
        <f t="shared" si="1002"/>
        <v>118751119.70828432</v>
      </c>
      <c r="S727">
        <f t="shared" si="1003"/>
        <v>1187.5111970828432</v>
      </c>
      <c r="T727">
        <f t="shared" si="1004"/>
        <v>1.1875111970828431</v>
      </c>
    </row>
    <row r="728" spans="1:20" x14ac:dyDescent="0.25">
      <c r="A728" s="5">
        <v>43865</v>
      </c>
      <c r="B728">
        <v>3.5799999999999998E-3</v>
      </c>
      <c r="C728">
        <v>3.8400000000000001E-3</v>
      </c>
      <c r="D728">
        <v>3.5100000000000001E-3</v>
      </c>
      <c r="E728">
        <v>3.7299999999999998E-3</v>
      </c>
      <c r="F728">
        <v>136425478.19999999</v>
      </c>
      <c r="G728">
        <v>0</v>
      </c>
      <c r="L728" t="s">
        <v>8</v>
      </c>
      <c r="M728" t="s">
        <v>8</v>
      </c>
      <c r="N728" t="s">
        <v>7</v>
      </c>
      <c r="P728">
        <f t="shared" si="1000"/>
        <v>0.33333333333333159</v>
      </c>
      <c r="Q728">
        <f t="shared" si="1001"/>
        <v>45475159.39999976</v>
      </c>
      <c r="R728">
        <f t="shared" si="1002"/>
        <v>176654314.99717316</v>
      </c>
      <c r="S728">
        <f t="shared" si="1003"/>
        <v>1766.5431499717315</v>
      </c>
      <c r="T728">
        <f t="shared" si="1004"/>
        <v>1.7665431499717315</v>
      </c>
    </row>
    <row r="729" spans="1:20" x14ac:dyDescent="0.25">
      <c r="A729" s="5">
        <v>43864</v>
      </c>
      <c r="B729">
        <v>3.3999999999999998E-3</v>
      </c>
      <c r="C729">
        <v>3.65E-3</v>
      </c>
      <c r="D729">
        <v>3.3300000000000001E-3</v>
      </c>
      <c r="E729">
        <v>3.5899999999999999E-3</v>
      </c>
      <c r="F729">
        <v>83724338</v>
      </c>
      <c r="G729">
        <v>0</v>
      </c>
      <c r="L729" t="s">
        <v>8</v>
      </c>
      <c r="M729" t="s">
        <v>7</v>
      </c>
      <c r="N729" t="s">
        <v>7</v>
      </c>
      <c r="P729">
        <f t="shared" si="1000"/>
        <v>0.624999999999999</v>
      </c>
      <c r="Q729">
        <f t="shared" si="1001"/>
        <v>52327711.249999918</v>
      </c>
      <c r="R729">
        <f t="shared" si="1002"/>
        <v>131179155.59717339</v>
      </c>
      <c r="S729">
        <f t="shared" si="1003"/>
        <v>1311.7915559717339</v>
      </c>
      <c r="T729">
        <f t="shared" si="1004"/>
        <v>1.3117915559717339</v>
      </c>
    </row>
    <row r="730" spans="1:20" x14ac:dyDescent="0.25">
      <c r="A730" s="5">
        <v>43863</v>
      </c>
      <c r="B730">
        <v>3.3E-3</v>
      </c>
      <c r="C730">
        <v>3.5100000000000001E-3</v>
      </c>
      <c r="D730">
        <v>3.2200000000000002E-3</v>
      </c>
      <c r="E730">
        <v>3.3999999999999998E-3</v>
      </c>
      <c r="F730">
        <v>42082054.299999997</v>
      </c>
      <c r="G730">
        <v>0</v>
      </c>
      <c r="L730" t="s">
        <v>8</v>
      </c>
      <c r="M730" t="s">
        <v>7</v>
      </c>
      <c r="N730" t="s">
        <v>7</v>
      </c>
      <c r="P730">
        <f t="shared" si="1000"/>
        <v>0.24137931034482532</v>
      </c>
      <c r="Q730">
        <f t="shared" si="1001"/>
        <v>10157737.24482749</v>
      </c>
      <c r="R730">
        <f t="shared" si="1002"/>
        <v>78851444.347173482</v>
      </c>
      <c r="S730">
        <f t="shared" si="1003"/>
        <v>788.51444347173481</v>
      </c>
      <c r="T730">
        <f t="shared" si="1004"/>
        <v>0.78851444347173483</v>
      </c>
    </row>
    <row r="731" spans="1:20" x14ac:dyDescent="0.25">
      <c r="A731" s="5">
        <v>43862</v>
      </c>
      <c r="B731">
        <v>3.2699999999999999E-3</v>
      </c>
      <c r="C731">
        <v>3.3500000000000001E-3</v>
      </c>
      <c r="D731">
        <v>3.2499999999999999E-3</v>
      </c>
      <c r="E731">
        <v>3.31E-3</v>
      </c>
      <c r="F731">
        <v>36528670.299999997</v>
      </c>
      <c r="G731">
        <v>0</v>
      </c>
      <c r="L731" t="s">
        <v>7</v>
      </c>
      <c r="M731" t="s">
        <v>7</v>
      </c>
      <c r="N731" t="s">
        <v>7</v>
      </c>
      <c r="P731">
        <f t="shared" si="1000"/>
        <v>0.2</v>
      </c>
      <c r="Q731">
        <f t="shared" si="1001"/>
        <v>7305734.0599999996</v>
      </c>
      <c r="R731">
        <f t="shared" si="1002"/>
        <v>68693707.102345988</v>
      </c>
      <c r="S731">
        <f t="shared" si="1003"/>
        <v>686.93707102345991</v>
      </c>
      <c r="T731">
        <f t="shared" si="1004"/>
        <v>0.68693707102345991</v>
      </c>
    </row>
    <row r="732" spans="1:20" x14ac:dyDescent="0.25">
      <c r="A732" s="5">
        <v>43861</v>
      </c>
      <c r="B732">
        <v>3.2599999999999999E-3</v>
      </c>
      <c r="C732">
        <v>3.31E-3</v>
      </c>
      <c r="D732">
        <v>3.1900000000000001E-3</v>
      </c>
      <c r="E732">
        <v>3.2699999999999999E-3</v>
      </c>
      <c r="F732">
        <v>44320184.799999997</v>
      </c>
      <c r="G732">
        <v>0</v>
      </c>
      <c r="L732" t="s">
        <v>7</v>
      </c>
      <c r="M732" t="s">
        <v>7</v>
      </c>
      <c r="N732" t="s">
        <v>7</v>
      </c>
      <c r="P732">
        <f t="shared" si="1000"/>
        <v>0.33333333333333093</v>
      </c>
      <c r="Q732">
        <f t="shared" si="1001"/>
        <v>14773394.933333226</v>
      </c>
      <c r="R732">
        <f t="shared" si="1002"/>
        <v>61387973.042345993</v>
      </c>
      <c r="S732">
        <f t="shared" si="1003"/>
        <v>613.87973042345993</v>
      </c>
      <c r="T732">
        <f t="shared" si="1004"/>
        <v>0.61387973042345989</v>
      </c>
    </row>
    <row r="733" spans="1:20" x14ac:dyDescent="0.25">
      <c r="A733" s="5">
        <v>43860</v>
      </c>
      <c r="B733">
        <v>3.2100000000000002E-3</v>
      </c>
      <c r="C733">
        <v>3.32E-3</v>
      </c>
      <c r="D733">
        <v>3.1900000000000001E-3</v>
      </c>
      <c r="E733">
        <v>3.2599999999999999E-3</v>
      </c>
      <c r="F733">
        <v>40190603</v>
      </c>
      <c r="G733">
        <v>0</v>
      </c>
      <c r="L733" t="s">
        <v>7</v>
      </c>
      <c r="M733" t="s">
        <v>7</v>
      </c>
      <c r="N733" t="s">
        <v>7</v>
      </c>
      <c r="P733">
        <f t="shared" si="1000"/>
        <v>7.6923076923073846E-2</v>
      </c>
      <c r="Q733">
        <f t="shared" si="1001"/>
        <v>3091584.8461537226</v>
      </c>
      <c r="R733">
        <f t="shared" si="1002"/>
        <v>46614578.109012768</v>
      </c>
      <c r="S733">
        <f t="shared" si="1003"/>
        <v>466.14578109012768</v>
      </c>
      <c r="T733">
        <f t="shared" si="1004"/>
        <v>0.46614578109012766</v>
      </c>
    </row>
    <row r="734" spans="1:20" x14ac:dyDescent="0.25">
      <c r="A734" s="5">
        <v>43859</v>
      </c>
      <c r="B734">
        <v>3.32E-3</v>
      </c>
      <c r="C734">
        <v>3.3300000000000001E-3</v>
      </c>
      <c r="D734">
        <v>3.1800000000000001E-3</v>
      </c>
      <c r="E734">
        <v>3.2100000000000002E-3</v>
      </c>
      <c r="F734">
        <v>58445771</v>
      </c>
      <c r="G734">
        <v>0</v>
      </c>
      <c r="L734" t="s">
        <v>7</v>
      </c>
      <c r="M734" t="s">
        <v>7</v>
      </c>
      <c r="N734" t="s">
        <v>7</v>
      </c>
      <c r="P734">
        <f t="shared" si="1000"/>
        <v>-0.59999999999999887</v>
      </c>
      <c r="Q734">
        <f t="shared" si="1001"/>
        <v>-35067462.599999934</v>
      </c>
      <c r="R734">
        <f t="shared" si="1002"/>
        <v>43522993.262859046</v>
      </c>
      <c r="S734">
        <f t="shared" si="1003"/>
        <v>435.22993262859046</v>
      </c>
      <c r="T734">
        <f t="shared" si="1004"/>
        <v>0.43522993262859044</v>
      </c>
    </row>
    <row r="735" spans="1:20" x14ac:dyDescent="0.25">
      <c r="A735" s="5">
        <v>43858</v>
      </c>
      <c r="B735">
        <v>3.3300000000000001E-3</v>
      </c>
      <c r="C735">
        <v>3.3500000000000001E-3</v>
      </c>
      <c r="D735">
        <v>3.2599999999999999E-3</v>
      </c>
      <c r="E735">
        <v>3.3400000000000001E-3</v>
      </c>
      <c r="F735">
        <v>24317305.5</v>
      </c>
      <c r="G735">
        <v>0</v>
      </c>
      <c r="L735" t="s">
        <v>7</v>
      </c>
      <c r="M735" t="s">
        <v>7</v>
      </c>
      <c r="N735" t="s">
        <v>7</v>
      </c>
      <c r="P735">
        <f t="shared" si="1000"/>
        <v>0.77777777777777779</v>
      </c>
      <c r="Q735">
        <f t="shared" si="1001"/>
        <v>18913459.833333332</v>
      </c>
      <c r="R735">
        <f t="shared" si="1002"/>
        <v>78590455.862858981</v>
      </c>
      <c r="S735">
        <f t="shared" si="1003"/>
        <v>785.90455862858983</v>
      </c>
      <c r="T735">
        <f t="shared" si="1004"/>
        <v>0.78590455862858988</v>
      </c>
    </row>
    <row r="736" spans="1:20" x14ac:dyDescent="0.25">
      <c r="A736" s="5">
        <v>43857</v>
      </c>
      <c r="B736">
        <v>3.3700000000000002E-3</v>
      </c>
      <c r="C736">
        <v>3.3800000000000002E-3</v>
      </c>
      <c r="D736">
        <v>3.2799999999999999E-3</v>
      </c>
      <c r="E736">
        <v>3.31E-3</v>
      </c>
      <c r="F736">
        <v>45020630.200000003</v>
      </c>
      <c r="G736">
        <v>0</v>
      </c>
      <c r="L736" t="s">
        <v>8</v>
      </c>
      <c r="M736" t="s">
        <v>7</v>
      </c>
      <c r="N736" t="s">
        <v>7</v>
      </c>
      <c r="P736">
        <f t="shared" si="1000"/>
        <v>-0.4</v>
      </c>
      <c r="Q736">
        <f t="shared" si="1001"/>
        <v>-18008252.080000002</v>
      </c>
      <c r="R736">
        <f t="shared" si="1002"/>
        <v>59676996.029525653</v>
      </c>
      <c r="S736">
        <f t="shared" si="1003"/>
        <v>596.76996029525651</v>
      </c>
      <c r="T736">
        <f t="shared" si="1004"/>
        <v>0.59676996029525653</v>
      </c>
    </row>
    <row r="737" spans="1:20" x14ac:dyDescent="0.25">
      <c r="A737" s="5">
        <v>43856</v>
      </c>
      <c r="B737">
        <v>3.3700000000000002E-3</v>
      </c>
      <c r="C737">
        <v>3.49E-3</v>
      </c>
      <c r="D737">
        <v>3.31E-3</v>
      </c>
      <c r="E737">
        <v>3.3600000000000001E-3</v>
      </c>
      <c r="F737">
        <v>53352873.600000001</v>
      </c>
      <c r="G737">
        <v>0</v>
      </c>
      <c r="L737" t="s">
        <v>8</v>
      </c>
      <c r="M737" t="s">
        <v>7</v>
      </c>
      <c r="N737" t="s">
        <v>7</v>
      </c>
      <c r="P737">
        <f t="shared" si="1000"/>
        <v>-0.44444444444444309</v>
      </c>
      <c r="Q737">
        <f t="shared" si="1001"/>
        <v>-23712388.266666595</v>
      </c>
      <c r="R737">
        <f t="shared" si="1002"/>
        <v>77685248.109525651</v>
      </c>
      <c r="S737">
        <f t="shared" si="1003"/>
        <v>776.85248109525651</v>
      </c>
      <c r="T737">
        <f t="shared" si="1004"/>
        <v>0.77685248109525651</v>
      </c>
    </row>
    <row r="738" spans="1:20" x14ac:dyDescent="0.25">
      <c r="A738" s="5">
        <v>43855</v>
      </c>
      <c r="B738">
        <v>3.2499999999999999E-3</v>
      </c>
      <c r="C738">
        <v>3.5100000000000001E-3</v>
      </c>
      <c r="D738">
        <v>3.16E-3</v>
      </c>
      <c r="E738">
        <v>3.3800000000000002E-3</v>
      </c>
      <c r="F738">
        <v>61973879</v>
      </c>
      <c r="G738">
        <v>0</v>
      </c>
      <c r="L738" t="s">
        <v>8</v>
      </c>
      <c r="M738" t="s">
        <v>7</v>
      </c>
      <c r="N738" t="s">
        <v>7</v>
      </c>
      <c r="P738">
        <f t="shared" si="1000"/>
        <v>0.25714285714285778</v>
      </c>
      <c r="Q738">
        <f t="shared" si="1001"/>
        <v>15936140.314285753</v>
      </c>
      <c r="R738">
        <f t="shared" si="1002"/>
        <v>101397636.37619224</v>
      </c>
      <c r="S738">
        <f t="shared" si="1003"/>
        <v>1013.9763637619225</v>
      </c>
      <c r="T738">
        <f t="shared" si="1004"/>
        <v>1.0139763637619226</v>
      </c>
    </row>
    <row r="739" spans="1:20" x14ac:dyDescent="0.25">
      <c r="A739" s="5">
        <v>43854</v>
      </c>
      <c r="B739">
        <v>3.2299999999999998E-3</v>
      </c>
      <c r="C739">
        <v>3.2699999999999999E-3</v>
      </c>
      <c r="D739">
        <v>3.16E-3</v>
      </c>
      <c r="E739">
        <v>3.2299999999999998E-3</v>
      </c>
      <c r="F739">
        <v>27754009.699999999</v>
      </c>
      <c r="G739">
        <v>0</v>
      </c>
      <c r="L739" t="s">
        <v>7</v>
      </c>
      <c r="M739" t="s">
        <v>7</v>
      </c>
      <c r="N739" t="s">
        <v>7</v>
      </c>
      <c r="P739">
        <f t="shared" si="1000"/>
        <v>0.27272727272726988</v>
      </c>
      <c r="Q739">
        <f t="shared" si="1001"/>
        <v>7569275.3727271929</v>
      </c>
      <c r="R739">
        <f t="shared" si="1002"/>
        <v>85461496.061906487</v>
      </c>
      <c r="S739">
        <f t="shared" si="1003"/>
        <v>854.61496061906485</v>
      </c>
      <c r="T739">
        <f t="shared" si="1004"/>
        <v>0.85461496061906483</v>
      </c>
    </row>
    <row r="740" spans="1:20" x14ac:dyDescent="0.25">
      <c r="A740" s="5">
        <v>43853</v>
      </c>
      <c r="B740">
        <v>3.31E-3</v>
      </c>
      <c r="C740">
        <v>3.3400000000000001E-3</v>
      </c>
      <c r="D740">
        <v>3.16E-3</v>
      </c>
      <c r="E740">
        <v>3.2399999999999998E-3</v>
      </c>
      <c r="F740">
        <v>27597385</v>
      </c>
      <c r="G740">
        <v>0</v>
      </c>
      <c r="L740" t="s">
        <v>7</v>
      </c>
      <c r="M740" t="s">
        <v>7</v>
      </c>
      <c r="N740" t="s">
        <v>7</v>
      </c>
      <c r="P740">
        <f t="shared" si="1000"/>
        <v>-0.11111111111111378</v>
      </c>
      <c r="Q740">
        <f t="shared" si="1001"/>
        <v>-3066376.111111185</v>
      </c>
      <c r="R740">
        <f t="shared" si="1002"/>
        <v>77892220.689179301</v>
      </c>
      <c r="S740">
        <f t="shared" si="1003"/>
        <v>778.92220689179305</v>
      </c>
      <c r="T740">
        <f t="shared" si="1004"/>
        <v>0.77892220689179303</v>
      </c>
    </row>
    <row r="741" spans="1:20" x14ac:dyDescent="0.25">
      <c r="A741" s="5">
        <v>43852</v>
      </c>
      <c r="B741">
        <v>3.3E-3</v>
      </c>
      <c r="C741">
        <v>3.3400000000000001E-3</v>
      </c>
      <c r="D741">
        <v>3.2599999999999999E-3</v>
      </c>
      <c r="E741">
        <v>3.3E-3</v>
      </c>
      <c r="F741">
        <v>25870443.5</v>
      </c>
      <c r="G741">
        <v>0</v>
      </c>
      <c r="L741" t="s">
        <v>7</v>
      </c>
      <c r="M741" t="s">
        <v>7</v>
      </c>
      <c r="N741" t="s">
        <v>7</v>
      </c>
      <c r="P741">
        <f t="shared" si="1000"/>
        <v>0</v>
      </c>
      <c r="Q741">
        <f t="shared" si="1001"/>
        <v>0</v>
      </c>
      <c r="R741">
        <f t="shared" si="1002"/>
        <v>80958596.80029048</v>
      </c>
      <c r="S741">
        <f t="shared" si="1003"/>
        <v>809.58596800290479</v>
      </c>
      <c r="T741">
        <f t="shared" si="1004"/>
        <v>0.80958596800290483</v>
      </c>
    </row>
    <row r="742" spans="1:20" x14ac:dyDescent="0.25">
      <c r="A742" s="5">
        <v>43851</v>
      </c>
      <c r="B742">
        <v>3.2699999999999999E-3</v>
      </c>
      <c r="C742">
        <v>3.3600000000000001E-3</v>
      </c>
      <c r="D742">
        <v>3.2000000000000002E-3</v>
      </c>
      <c r="E742">
        <v>3.29E-3</v>
      </c>
      <c r="F742">
        <v>58518805.399999999</v>
      </c>
      <c r="G742">
        <v>0</v>
      </c>
      <c r="L742" t="s">
        <v>7</v>
      </c>
      <c r="M742" t="s">
        <v>7</v>
      </c>
      <c r="N742" t="s">
        <v>7</v>
      </c>
      <c r="P742">
        <f t="shared" si="1000"/>
        <v>0.12499999999999763</v>
      </c>
      <c r="Q742">
        <f t="shared" si="1001"/>
        <v>7314850.674999861</v>
      </c>
      <c r="R742">
        <f t="shared" si="1002"/>
        <v>80958596.80029048</v>
      </c>
      <c r="S742">
        <f t="shared" si="1003"/>
        <v>809.58596800290479</v>
      </c>
      <c r="T742">
        <f t="shared" si="1004"/>
        <v>0.80958596800290483</v>
      </c>
    </row>
    <row r="743" spans="1:20" x14ac:dyDescent="0.25">
      <c r="A743" s="5">
        <v>43850</v>
      </c>
      <c r="B743">
        <v>3.3800000000000002E-3</v>
      </c>
      <c r="C743">
        <v>3.46E-3</v>
      </c>
      <c r="D743">
        <v>3.15E-3</v>
      </c>
      <c r="E743">
        <v>3.2799999999999999E-3</v>
      </c>
      <c r="F743">
        <v>58789321</v>
      </c>
      <c r="G743">
        <v>0</v>
      </c>
      <c r="L743" t="s">
        <v>7</v>
      </c>
      <c r="M743" t="s">
        <v>7</v>
      </c>
      <c r="N743" t="s">
        <v>7</v>
      </c>
      <c r="P743">
        <f t="shared" si="1000"/>
        <v>-0.1612903225806456</v>
      </c>
      <c r="Q743">
        <f t="shared" si="1001"/>
        <v>-9482148.5483871233</v>
      </c>
      <c r="R743">
        <f t="shared" si="1002"/>
        <v>73643746.125290617</v>
      </c>
      <c r="S743">
        <f t="shared" si="1003"/>
        <v>736.43746125290613</v>
      </c>
      <c r="T743">
        <f t="shared" si="1004"/>
        <v>0.7364374612529061</v>
      </c>
    </row>
    <row r="744" spans="1:20" x14ac:dyDescent="0.25">
      <c r="A744" s="5">
        <v>43849</v>
      </c>
      <c r="B744">
        <v>3.6600000000000001E-3</v>
      </c>
      <c r="C744">
        <v>3.6600000000000001E-3</v>
      </c>
      <c r="D744">
        <v>3.3E-3</v>
      </c>
      <c r="E744">
        <v>3.3700000000000002E-3</v>
      </c>
      <c r="F744">
        <v>58478502.700000003</v>
      </c>
      <c r="G744">
        <v>0</v>
      </c>
      <c r="L744" t="s">
        <v>7</v>
      </c>
      <c r="M744" t="s">
        <v>8</v>
      </c>
      <c r="N744" t="s">
        <v>7</v>
      </c>
      <c r="P744">
        <f t="shared" si="1000"/>
        <v>-0.61111111111111016</v>
      </c>
      <c r="Q744">
        <f t="shared" si="1001"/>
        <v>-35736862.761111058</v>
      </c>
      <c r="R744">
        <f t="shared" si="1002"/>
        <v>83125894.673677742</v>
      </c>
      <c r="S744">
        <f t="shared" si="1003"/>
        <v>831.25894673677738</v>
      </c>
      <c r="T744">
        <f t="shared" si="1004"/>
        <v>0.83125894673677736</v>
      </c>
    </row>
    <row r="745" spans="1:20" x14ac:dyDescent="0.25">
      <c r="A745" s="5">
        <v>43848</v>
      </c>
      <c r="B745">
        <v>3.6600000000000001E-3</v>
      </c>
      <c r="C745">
        <v>3.7299999999999998E-3</v>
      </c>
      <c r="D745">
        <v>3.5100000000000001E-3</v>
      </c>
      <c r="E745">
        <v>3.6700000000000001E-3</v>
      </c>
      <c r="F745">
        <v>27162316.600000001</v>
      </c>
      <c r="G745">
        <v>0</v>
      </c>
      <c r="L745" t="s">
        <v>8</v>
      </c>
      <c r="M745" t="s">
        <v>8</v>
      </c>
      <c r="N745" t="s">
        <v>7</v>
      </c>
      <c r="P745">
        <f t="shared" si="1000"/>
        <v>0.45454545454545636</v>
      </c>
      <c r="Q745">
        <f t="shared" si="1001"/>
        <v>12346507.545454595</v>
      </c>
      <c r="R745">
        <f t="shared" si="1002"/>
        <v>118862757.43478879</v>
      </c>
      <c r="S745">
        <f t="shared" si="1003"/>
        <v>1188.627574347888</v>
      </c>
      <c r="T745">
        <f t="shared" si="1004"/>
        <v>1.188627574347888</v>
      </c>
    </row>
    <row r="746" spans="1:20" x14ac:dyDescent="0.25">
      <c r="A746" s="5">
        <v>43847</v>
      </c>
      <c r="B746">
        <v>3.5100000000000001E-3</v>
      </c>
      <c r="C746">
        <v>3.7499999999999999E-3</v>
      </c>
      <c r="D746">
        <v>3.46E-3</v>
      </c>
      <c r="E746">
        <v>3.6600000000000001E-3</v>
      </c>
      <c r="F746">
        <v>72040456.099999994</v>
      </c>
      <c r="G746">
        <v>0</v>
      </c>
      <c r="L746" t="s">
        <v>8</v>
      </c>
      <c r="M746" t="s">
        <v>8</v>
      </c>
      <c r="N746" t="s">
        <v>7</v>
      </c>
      <c r="P746">
        <f t="shared" si="1000"/>
        <v>0.37931034482758735</v>
      </c>
      <c r="Q746">
        <f t="shared" si="1001"/>
        <v>27325690.244827665</v>
      </c>
      <c r="R746">
        <f t="shared" si="1002"/>
        <v>106516249.8893342</v>
      </c>
      <c r="S746">
        <f t="shared" si="1003"/>
        <v>1065.162498893342</v>
      </c>
      <c r="T746">
        <f t="shared" si="1004"/>
        <v>1.0651624988933419</v>
      </c>
    </row>
    <row r="747" spans="1:20" x14ac:dyDescent="0.25">
      <c r="A747" s="5">
        <v>43846</v>
      </c>
      <c r="B747">
        <v>3.5899999999999999E-3</v>
      </c>
      <c r="C747">
        <v>3.64E-3</v>
      </c>
      <c r="D747">
        <v>3.3500000000000001E-3</v>
      </c>
      <c r="E747">
        <v>3.5100000000000001E-3</v>
      </c>
      <c r="F747">
        <v>38868205.399999999</v>
      </c>
      <c r="G747">
        <v>0</v>
      </c>
      <c r="L747" t="s">
        <v>7</v>
      </c>
      <c r="M747" t="s">
        <v>8</v>
      </c>
      <c r="N747" t="s">
        <v>7</v>
      </c>
      <c r="P747">
        <f t="shared" si="1000"/>
        <v>0.10344827586206927</v>
      </c>
      <c r="Q747">
        <f t="shared" si="1001"/>
        <v>4020848.8344827704</v>
      </c>
      <c r="R747">
        <f t="shared" si="1002"/>
        <v>79190559.644506529</v>
      </c>
      <c r="S747">
        <f t="shared" si="1003"/>
        <v>791.90559644506527</v>
      </c>
      <c r="T747">
        <f t="shared" si="1004"/>
        <v>0.79190559644506531</v>
      </c>
    </row>
    <row r="748" spans="1:20" x14ac:dyDescent="0.25">
      <c r="A748" s="5">
        <v>43845</v>
      </c>
      <c r="B748">
        <v>3.4199999999999999E-3</v>
      </c>
      <c r="C748">
        <v>3.7399999999999998E-3</v>
      </c>
      <c r="D748">
        <v>3.3700000000000002E-3</v>
      </c>
      <c r="E748">
        <v>3.5899999999999999E-3</v>
      </c>
      <c r="F748">
        <v>86525308.099999994</v>
      </c>
      <c r="G748">
        <v>0</v>
      </c>
      <c r="L748" t="s">
        <v>8</v>
      </c>
      <c r="M748" t="s">
        <v>8</v>
      </c>
      <c r="N748" t="s">
        <v>7</v>
      </c>
      <c r="P748">
        <f t="shared" si="1000"/>
        <v>0.18918918918918867</v>
      </c>
      <c r="Q748">
        <f t="shared" si="1001"/>
        <v>16369652.883783737</v>
      </c>
      <c r="R748">
        <f t="shared" si="1002"/>
        <v>75169710.810023755</v>
      </c>
      <c r="S748">
        <f t="shared" si="1003"/>
        <v>751.69710810023753</v>
      </c>
      <c r="T748">
        <f t="shared" si="1004"/>
        <v>0.75169710810023749</v>
      </c>
    </row>
    <row r="749" spans="1:20" x14ac:dyDescent="0.25">
      <c r="A749" s="5">
        <v>43844</v>
      </c>
      <c r="B749">
        <v>3.5200000000000001E-3</v>
      </c>
      <c r="C749">
        <v>3.5500000000000002E-3</v>
      </c>
      <c r="D749">
        <v>3.1900000000000001E-3</v>
      </c>
      <c r="E749">
        <v>3.4399999999999999E-3</v>
      </c>
      <c r="F749">
        <v>110179533.7</v>
      </c>
      <c r="G749">
        <v>0</v>
      </c>
      <c r="L749" t="s">
        <v>8</v>
      </c>
      <c r="M749" t="s">
        <v>7</v>
      </c>
      <c r="N749" t="s">
        <v>7</v>
      </c>
      <c r="P749">
        <f t="shared" si="1000"/>
        <v>0.3888888888888874</v>
      </c>
      <c r="Q749">
        <f t="shared" si="1001"/>
        <v>42847596.438888729</v>
      </c>
      <c r="R749">
        <f t="shared" si="1002"/>
        <v>58800057.926240012</v>
      </c>
      <c r="S749">
        <f t="shared" si="1003"/>
        <v>588.00057926240015</v>
      </c>
      <c r="T749">
        <f t="shared" si="1004"/>
        <v>0.58800057926240012</v>
      </c>
    </row>
    <row r="750" spans="1:20" x14ac:dyDescent="0.25">
      <c r="A750" s="5">
        <v>43843</v>
      </c>
      <c r="B750">
        <v>3.47E-3</v>
      </c>
      <c r="C750">
        <v>3.5300000000000002E-3</v>
      </c>
      <c r="D750">
        <v>3.3800000000000002E-3</v>
      </c>
      <c r="E750">
        <v>3.5200000000000001E-3</v>
      </c>
      <c r="F750">
        <v>28470659.199999999</v>
      </c>
      <c r="G750">
        <v>0</v>
      </c>
      <c r="L750" t="s">
        <v>8</v>
      </c>
      <c r="M750" t="s">
        <v>7</v>
      </c>
      <c r="N750" t="s">
        <v>7</v>
      </c>
      <c r="P750">
        <f t="shared" si="1000"/>
        <v>0.86666666666666625</v>
      </c>
      <c r="Q750">
        <f t="shared" si="1001"/>
        <v>24674571.306666654</v>
      </c>
      <c r="R750">
        <f t="shared" si="1002"/>
        <v>15952461.487351283</v>
      </c>
      <c r="S750">
        <f t="shared" si="1003"/>
        <v>159.52461487351283</v>
      </c>
      <c r="T750">
        <f t="shared" si="1004"/>
        <v>0.15952461487351283</v>
      </c>
    </row>
    <row r="751" spans="1:20" x14ac:dyDescent="0.25">
      <c r="A751" s="5">
        <v>43842</v>
      </c>
      <c r="B751">
        <v>3.3300000000000001E-3</v>
      </c>
      <c r="C751">
        <v>3.49E-3</v>
      </c>
      <c r="D751">
        <v>3.3300000000000001E-3</v>
      </c>
      <c r="E751">
        <v>3.46E-3</v>
      </c>
      <c r="F751">
        <v>22579606.5</v>
      </c>
      <c r="G751">
        <v>0</v>
      </c>
      <c r="L751" t="s">
        <v>8</v>
      </c>
      <c r="M751" t="s">
        <v>7</v>
      </c>
      <c r="N751" t="s">
        <v>7</v>
      </c>
      <c r="P751">
        <f t="shared" si="1000"/>
        <v>0.624999999999999</v>
      </c>
      <c r="Q751">
        <f t="shared" si="1001"/>
        <v>14112254.062499978</v>
      </c>
      <c r="R751">
        <f t="shared" si="1002"/>
        <v>-8722109.8193153702</v>
      </c>
      <c r="S751">
        <f t="shared" si="1003"/>
        <v>-87.221098193153708</v>
      </c>
      <c r="T751">
        <f t="shared" si="1004"/>
        <v>-8.7221098193153712E-2</v>
      </c>
    </row>
    <row r="752" spans="1:20" x14ac:dyDescent="0.25">
      <c r="A752" s="5">
        <v>43841</v>
      </c>
      <c r="B752">
        <v>3.2699999999999999E-3</v>
      </c>
      <c r="C752">
        <v>3.4199999999999999E-3</v>
      </c>
      <c r="D752">
        <v>3.2299999999999998E-3</v>
      </c>
      <c r="E752">
        <v>3.3300000000000001E-3</v>
      </c>
      <c r="F752">
        <v>35549364.100000001</v>
      </c>
      <c r="G752">
        <v>0</v>
      </c>
      <c r="L752" t="s">
        <v>8</v>
      </c>
      <c r="M752" t="s">
        <v>7</v>
      </c>
      <c r="N752" t="s">
        <v>7</v>
      </c>
      <c r="P752">
        <f t="shared" si="1000"/>
        <v>5.2631578947370826E-2</v>
      </c>
      <c r="Q752">
        <f t="shared" si="1001"/>
        <v>1871019.1631579804</v>
      </c>
      <c r="R752">
        <f t="shared" si="1002"/>
        <v>-22834363.881815348</v>
      </c>
      <c r="S752">
        <f t="shared" si="1003"/>
        <v>-228.34363881815347</v>
      </c>
      <c r="T752">
        <f t="shared" si="1004"/>
        <v>-0.22834363881815348</v>
      </c>
    </row>
    <row r="753" spans="1:20" x14ac:dyDescent="0.25">
      <c r="A753" s="5">
        <v>43840</v>
      </c>
      <c r="B753">
        <v>3.32E-3</v>
      </c>
      <c r="C753">
        <v>3.3400000000000001E-3</v>
      </c>
      <c r="D753">
        <v>3.0899999999999999E-3</v>
      </c>
      <c r="E753">
        <v>3.2699999999999999E-3</v>
      </c>
      <c r="F753">
        <v>84116116.400000006</v>
      </c>
      <c r="G753">
        <v>0</v>
      </c>
      <c r="L753" t="s">
        <v>7</v>
      </c>
      <c r="M753" t="s">
        <v>7</v>
      </c>
      <c r="N753" t="s">
        <v>7</v>
      </c>
      <c r="P753">
        <f t="shared" si="1000"/>
        <v>0.439999999999999</v>
      </c>
      <c r="Q753">
        <f t="shared" si="1001"/>
        <v>37011091.215999916</v>
      </c>
      <c r="R753">
        <f t="shared" si="1002"/>
        <v>-24705383.044973329</v>
      </c>
      <c r="S753">
        <f t="shared" si="1003"/>
        <v>-247.05383044973328</v>
      </c>
      <c r="T753">
        <f t="shared" si="1004"/>
        <v>-0.24705383044973328</v>
      </c>
    </row>
    <row r="754" spans="1:20" x14ac:dyDescent="0.25">
      <c r="A754" s="5">
        <v>43839</v>
      </c>
      <c r="B754">
        <v>3.4099999999999998E-3</v>
      </c>
      <c r="C754">
        <v>3.5200000000000001E-3</v>
      </c>
      <c r="D754">
        <v>3.2799999999999999E-3</v>
      </c>
      <c r="E754">
        <v>3.32E-3</v>
      </c>
      <c r="F754">
        <v>31352917.800000001</v>
      </c>
      <c r="G754">
        <v>0</v>
      </c>
      <c r="L754" t="s">
        <v>7</v>
      </c>
      <c r="M754" t="s">
        <v>7</v>
      </c>
      <c r="N754" t="s">
        <v>7</v>
      </c>
      <c r="P754">
        <f t="shared" si="1000"/>
        <v>-0.66666666666666607</v>
      </c>
      <c r="Q754">
        <f t="shared" si="1001"/>
        <v>-20901945.199999981</v>
      </c>
      <c r="R754">
        <f t="shared" si="1002"/>
        <v>-61716474.260973245</v>
      </c>
      <c r="S754">
        <f t="shared" si="1003"/>
        <v>-617.16474260973246</v>
      </c>
      <c r="T754">
        <f t="shared" si="1004"/>
        <v>-0.61716474260973242</v>
      </c>
    </row>
    <row r="755" spans="1:20" x14ac:dyDescent="0.25">
      <c r="A755" s="5">
        <v>43838</v>
      </c>
      <c r="B755">
        <v>3.47E-3</v>
      </c>
      <c r="C755">
        <v>3.5200000000000001E-3</v>
      </c>
      <c r="D755">
        <v>3.32E-3</v>
      </c>
      <c r="E755">
        <v>3.3899999999999998E-3</v>
      </c>
      <c r="F755">
        <v>45733830.700000003</v>
      </c>
      <c r="G755">
        <v>0</v>
      </c>
      <c r="L755" t="s">
        <v>7</v>
      </c>
      <c r="M755" t="s">
        <v>7</v>
      </c>
      <c r="N755" t="s">
        <v>7</v>
      </c>
      <c r="P755">
        <f t="shared" si="1000"/>
        <v>-0.30000000000000282</v>
      </c>
      <c r="Q755">
        <f t="shared" si="1001"/>
        <v>-13720149.210000129</v>
      </c>
      <c r="R755">
        <f t="shared" si="1002"/>
        <v>-40814529.060973264</v>
      </c>
      <c r="S755">
        <f t="shared" si="1003"/>
        <v>-408.14529060973263</v>
      </c>
      <c r="T755">
        <f t="shared" si="1004"/>
        <v>-0.40814529060973265</v>
      </c>
    </row>
    <row r="756" spans="1:20" x14ac:dyDescent="0.25">
      <c r="A756" s="5">
        <v>43837</v>
      </c>
      <c r="B756">
        <v>3.5599999999999998E-3</v>
      </c>
      <c r="C756">
        <v>3.5599999999999998E-3</v>
      </c>
      <c r="D756">
        <v>3.3800000000000002E-3</v>
      </c>
      <c r="E756">
        <v>3.47E-3</v>
      </c>
      <c r="F756">
        <v>54888078.899999999</v>
      </c>
      <c r="G756">
        <v>0</v>
      </c>
      <c r="L756" t="s">
        <v>8</v>
      </c>
      <c r="M756" t="s">
        <v>7</v>
      </c>
      <c r="N756" t="s">
        <v>7</v>
      </c>
      <c r="P756">
        <f t="shared" si="1000"/>
        <v>0</v>
      </c>
      <c r="Q756">
        <f t="shared" si="1001"/>
        <v>0</v>
      </c>
      <c r="R756">
        <f t="shared" si="1002"/>
        <v>-27094379.850973133</v>
      </c>
      <c r="S756">
        <f t="shared" si="1003"/>
        <v>-270.94379850973132</v>
      </c>
      <c r="T756">
        <f t="shared" si="1004"/>
        <v>-0.27094379850973133</v>
      </c>
    </row>
    <row r="757" spans="1:20" x14ac:dyDescent="0.25">
      <c r="A757" s="5">
        <v>43836</v>
      </c>
      <c r="B757">
        <v>3.49E-3</v>
      </c>
      <c r="C757">
        <v>3.6099999999999999E-3</v>
      </c>
      <c r="D757">
        <v>3.47E-3</v>
      </c>
      <c r="E757">
        <v>3.5599999999999998E-3</v>
      </c>
      <c r="F757">
        <v>28807076.5</v>
      </c>
      <c r="G757">
        <v>0</v>
      </c>
      <c r="L757" t="s">
        <v>8</v>
      </c>
      <c r="M757" t="s">
        <v>7</v>
      </c>
      <c r="N757" t="s">
        <v>7</v>
      </c>
      <c r="P757">
        <f t="shared" si="1000"/>
        <v>0.28571428571428348</v>
      </c>
      <c r="Q757">
        <f t="shared" si="1001"/>
        <v>8230593.2857142212</v>
      </c>
      <c r="R757">
        <f t="shared" si="1002"/>
        <v>-27094379.850973133</v>
      </c>
      <c r="S757">
        <f t="shared" si="1003"/>
        <v>-270.94379850973132</v>
      </c>
      <c r="T757">
        <f t="shared" si="1004"/>
        <v>-0.27094379850973133</v>
      </c>
    </row>
    <row r="758" spans="1:20" x14ac:dyDescent="0.25">
      <c r="A758" s="5">
        <v>43835</v>
      </c>
      <c r="B758">
        <v>3.5599999999999998E-3</v>
      </c>
      <c r="C758">
        <v>3.6099999999999999E-3</v>
      </c>
      <c r="D758">
        <v>3.46E-3</v>
      </c>
      <c r="E758">
        <v>3.49E-3</v>
      </c>
      <c r="F758">
        <v>22358722.300000001</v>
      </c>
      <c r="G758">
        <v>0</v>
      </c>
      <c r="L758" t="s">
        <v>8</v>
      </c>
      <c r="M758" t="s">
        <v>7</v>
      </c>
      <c r="N758" t="s">
        <v>7</v>
      </c>
      <c r="P758">
        <f t="shared" si="1000"/>
        <v>-0.59999999999999887</v>
      </c>
      <c r="Q758">
        <f t="shared" si="1001"/>
        <v>-13415233.379999975</v>
      </c>
      <c r="R758">
        <f t="shared" si="1002"/>
        <v>-35324973.136687353</v>
      </c>
      <c r="S758">
        <f t="shared" si="1003"/>
        <v>-353.2497313668735</v>
      </c>
      <c r="T758">
        <f t="shared" si="1004"/>
        <v>-0.35324973136687349</v>
      </c>
    </row>
    <row r="759" spans="1:20" x14ac:dyDescent="0.25">
      <c r="A759" s="5">
        <v>43834</v>
      </c>
      <c r="B759">
        <v>3.5599999999999998E-3</v>
      </c>
      <c r="C759">
        <v>3.6099999999999999E-3</v>
      </c>
      <c r="D759">
        <v>3.5200000000000001E-3</v>
      </c>
      <c r="E759">
        <v>3.5500000000000002E-3</v>
      </c>
      <c r="F759">
        <v>16452151</v>
      </c>
      <c r="G759">
        <v>0</v>
      </c>
      <c r="L759" t="s">
        <v>8</v>
      </c>
      <c r="M759" t="s">
        <v>7</v>
      </c>
      <c r="N759" t="s">
        <v>7</v>
      </c>
      <c r="P759">
        <f t="shared" si="1000"/>
        <v>-0.3333333333333301</v>
      </c>
      <c r="Q759">
        <f t="shared" si="1001"/>
        <v>-5484050.3333332799</v>
      </c>
      <c r="R759">
        <f t="shared" si="1002"/>
        <v>-21909739.75668738</v>
      </c>
      <c r="S759">
        <f t="shared" si="1003"/>
        <v>-219.09739756687381</v>
      </c>
      <c r="T759">
        <f t="shared" si="1004"/>
        <v>-0.2190973975668738</v>
      </c>
    </row>
    <row r="760" spans="1:20" x14ac:dyDescent="0.25">
      <c r="A760" s="5">
        <v>43833</v>
      </c>
      <c r="B760">
        <v>3.3999999999999998E-3</v>
      </c>
      <c r="C760">
        <v>3.6600000000000001E-3</v>
      </c>
      <c r="D760">
        <v>3.31E-3</v>
      </c>
      <c r="E760">
        <v>3.5500000000000002E-3</v>
      </c>
      <c r="F760">
        <v>35379774.299999997</v>
      </c>
      <c r="G760">
        <v>0</v>
      </c>
      <c r="L760" t="s">
        <v>7</v>
      </c>
      <c r="M760" t="s">
        <v>7</v>
      </c>
      <c r="N760" t="s">
        <v>7</v>
      </c>
      <c r="P760">
        <f t="shared" si="1000"/>
        <v>0.37142857142857233</v>
      </c>
      <c r="Q760">
        <f t="shared" si="1001"/>
        <v>13141059.025714317</v>
      </c>
      <c r="R760">
        <f t="shared" si="1002"/>
        <v>-16425689.423354102</v>
      </c>
      <c r="S760">
        <f t="shared" si="1003"/>
        <v>-164.25689423354103</v>
      </c>
      <c r="T760">
        <f t="shared" si="1004"/>
        <v>-0.16425689423354103</v>
      </c>
    </row>
    <row r="761" spans="1:20" x14ac:dyDescent="0.25">
      <c r="A761" s="5">
        <v>43832</v>
      </c>
      <c r="B761">
        <v>3.6099999999999999E-3</v>
      </c>
      <c r="C761">
        <v>3.63E-3</v>
      </c>
      <c r="D761">
        <v>3.3500000000000001E-3</v>
      </c>
      <c r="E761">
        <v>3.3999999999999998E-3</v>
      </c>
      <c r="F761">
        <v>32596167.199999999</v>
      </c>
      <c r="G761">
        <v>0</v>
      </c>
      <c r="L761" t="s">
        <v>7</v>
      </c>
      <c r="M761" t="s">
        <v>7</v>
      </c>
      <c r="N761" t="s">
        <v>7</v>
      </c>
      <c r="P761">
        <f t="shared" si="1000"/>
        <v>-0.6428571428571449</v>
      </c>
      <c r="Q761">
        <f t="shared" si="1001"/>
        <v>-20954678.914285779</v>
      </c>
      <c r="R761">
        <f t="shared" si="1002"/>
        <v>-29566748.44906842</v>
      </c>
      <c r="S761">
        <f t="shared" si="1003"/>
        <v>-295.66748449068422</v>
      </c>
      <c r="T761">
        <f t="shared" si="1004"/>
        <v>-0.2956674844906842</v>
      </c>
    </row>
    <row r="762" spans="1:20" x14ac:dyDescent="0.25">
      <c r="A762" s="5">
        <v>43831</v>
      </c>
      <c r="B762">
        <v>3.5500000000000002E-3</v>
      </c>
      <c r="C762">
        <v>3.7699999999999999E-3</v>
      </c>
      <c r="D762">
        <v>3.5400000000000002E-3</v>
      </c>
      <c r="E762">
        <v>3.62E-3</v>
      </c>
      <c r="F762">
        <v>28296799.899999999</v>
      </c>
      <c r="G762">
        <v>0</v>
      </c>
      <c r="P762">
        <f t="shared" si="1000"/>
        <v>-0.30434782608695765</v>
      </c>
      <c r="Q762">
        <f t="shared" si="1001"/>
        <v>-8612069.5347826406</v>
      </c>
      <c r="R762">
        <f t="shared" si="1002"/>
        <v>-8612069.5347826406</v>
      </c>
      <c r="S762">
        <f t="shared" si="1003"/>
        <v>-86.120695347826413</v>
      </c>
      <c r="T762">
        <f t="shared" si="1004"/>
        <v>-8.6120695347826418E-2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J739" sqref="NJ73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$A$738</v>
      </c>
      <c r="D111" s="1" t="str">
        <f>ADDRESS(C121-1,D121,1,1)</f>
        <v>$NJ$738</v>
      </c>
      <c r="E111"/>
    </row>
    <row r="112" spans="1:5" x14ac:dyDescent="0.25">
      <c r="A112" s="7">
        <v>12164.144957890772</v>
      </c>
      <c r="C112" s="1" t="str">
        <f>ADDRESS(C121,1,1,1)</f>
        <v>$A$739</v>
      </c>
      <c r="D112" s="1" t="str">
        <f>ADDRESS(C121,D121-1,1,1)</f>
        <v>$NI$739</v>
      </c>
      <c r="E112"/>
    </row>
    <row r="113" spans="1:5" x14ac:dyDescent="0.25">
      <c r="A113" s="7">
        <v>11925.63231165762</v>
      </c>
      <c r="C113" s="1" t="str">
        <f>ADDRESS(C121+1,1,1,1)</f>
        <v>$A$740</v>
      </c>
      <c r="D113" s="1" t="str">
        <f>ADDRESS(C121-1,D121+1,1,1)</f>
        <v>$NK$738</v>
      </c>
    </row>
    <row r="114" spans="1:5" x14ac:dyDescent="0.25">
      <c r="A114" s="7">
        <v>11691.796383978059</v>
      </c>
      <c r="C114" s="1" t="str">
        <f>ADDRESS(C121,D121,1,1)</f>
        <v>$NJ$739</v>
      </c>
      <c r="D114" s="1" t="str">
        <f>ADDRESS(C121+1,D121+1,1,1)</f>
        <v>$NK$740</v>
      </c>
    </row>
    <row r="115" spans="1:5" x14ac:dyDescent="0.25">
      <c r="A115" s="7">
        <v>11462.545474488292</v>
      </c>
      <c r="C115" s="1" t="str">
        <f>ADDRESS(C121+1,D121,1,1)</f>
        <v>$NJ$740</v>
      </c>
    </row>
    <row r="116" spans="1:5" x14ac:dyDescent="0.25">
      <c r="A116" s="7">
        <v>11237.789680870874</v>
      </c>
      <c r="C116" s="1">
        <f>C117-1</f>
        <v>738</v>
      </c>
    </row>
    <row r="117" spans="1:5" x14ac:dyDescent="0.25">
      <c r="A117" s="7">
        <v>11017.440863598895</v>
      </c>
      <c r="C117" s="1">
        <f>C121</f>
        <v>739</v>
      </c>
      <c r="D117" s="1">
        <f>D121</f>
        <v>374</v>
      </c>
    </row>
    <row r="118" spans="1:5" x14ac:dyDescent="0.25">
      <c r="A118" s="7">
        <v>10801.412611371465</v>
      </c>
      <c r="C118" s="1">
        <f>C117+1</f>
        <v>740</v>
      </c>
      <c r="D118" s="1">
        <f>D117+1</f>
        <v>375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739</v>
      </c>
      <c r="D121" s="19">
        <v>374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R739</v>
      </c>
      <c r="D123" s="1" t="str">
        <f>"C"&amp;D121</f>
        <v>C374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4.9291710848403378E-2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318" x14ac:dyDescent="0.25">
      <c r="A657" s="7">
        <v>0.25002761412179503</v>
      </c>
      <c r="B657"/>
      <c r="C657"/>
      <c r="D657"/>
      <c r="E657"/>
      <c r="F657" s="27" t="s">
        <v>7</v>
      </c>
    </row>
    <row r="658" spans="1:318" x14ac:dyDescent="0.25">
      <c r="A658" s="7">
        <v>0.24512511188411276</v>
      </c>
      <c r="B658"/>
      <c r="C658"/>
      <c r="D658"/>
      <c r="E658"/>
      <c r="F658" s="27" t="s">
        <v>7</v>
      </c>
    </row>
    <row r="659" spans="1:318" x14ac:dyDescent="0.25">
      <c r="A659" s="7">
        <v>0.24031873714128701</v>
      </c>
      <c r="B659"/>
      <c r="C659"/>
      <c r="D659"/>
      <c r="E659"/>
      <c r="F659" s="27" t="s">
        <v>7</v>
      </c>
    </row>
    <row r="660" spans="1:318" x14ac:dyDescent="0.25">
      <c r="A660" s="7">
        <v>0.23560660504047748</v>
      </c>
      <c r="B660"/>
      <c r="C660"/>
      <c r="D660"/>
      <c r="E660"/>
      <c r="F660" s="27" t="s">
        <v>7</v>
      </c>
    </row>
    <row r="661" spans="1:318" x14ac:dyDescent="0.25">
      <c r="A661" s="7">
        <v>0.23098686768674265</v>
      </c>
      <c r="B661"/>
      <c r="C661"/>
      <c r="D661"/>
      <c r="E661"/>
      <c r="F661" s="27" t="s">
        <v>7</v>
      </c>
    </row>
    <row r="662" spans="1:318" x14ac:dyDescent="0.25">
      <c r="A662" s="7">
        <v>0.22645771341837515</v>
      </c>
      <c r="B662"/>
      <c r="C662"/>
      <c r="D662"/>
      <c r="E662"/>
      <c r="F662" s="27" t="s">
        <v>7</v>
      </c>
    </row>
    <row r="663" spans="1:318" x14ac:dyDescent="0.25">
      <c r="A663" s="7">
        <v>0.22201736609644623</v>
      </c>
      <c r="B663"/>
      <c r="C663"/>
      <c r="D663"/>
      <c r="E663"/>
      <c r="F663" s="27" t="s">
        <v>7</v>
      </c>
    </row>
    <row r="664" spans="1:318" x14ac:dyDescent="0.25">
      <c r="A664" s="7">
        <v>0.21766408440828061</v>
      </c>
      <c r="B664"/>
      <c r="C664"/>
      <c r="D664"/>
      <c r="E664"/>
      <c r="F664" s="27" t="s">
        <v>7</v>
      </c>
    </row>
    <row r="665" spans="1:318" x14ac:dyDescent="0.25">
      <c r="A665" s="7">
        <v>0.21339616118458882</v>
      </c>
      <c r="B665"/>
      <c r="C665"/>
      <c r="D665"/>
      <c r="E665"/>
      <c r="F665" s="27" t="s">
        <v>7</v>
      </c>
    </row>
    <row r="666" spans="1:318" x14ac:dyDescent="0.25">
      <c r="A666" s="7">
        <v>0.20921192272998904</v>
      </c>
      <c r="B666"/>
      <c r="C666"/>
      <c r="D666"/>
      <c r="E666"/>
      <c r="F666" s="27" t="s">
        <v>7</v>
      </c>
    </row>
    <row r="667" spans="1:318" x14ac:dyDescent="0.25">
      <c r="A667" s="7">
        <v>0.20510972816665593</v>
      </c>
      <c r="B667"/>
      <c r="C667"/>
      <c r="D667"/>
      <c r="E667"/>
      <c r="F667" s="27" t="s">
        <v>7</v>
      </c>
    </row>
    <row r="668" spans="1:318" x14ac:dyDescent="0.25">
      <c r="A668" s="7">
        <v>0.20108796879083912</v>
      </c>
      <c r="B668"/>
      <c r="C668"/>
      <c r="D668"/>
      <c r="E668"/>
      <c r="F668" s="27" t="s">
        <v>7</v>
      </c>
    </row>
    <row r="669" spans="1:318" x14ac:dyDescent="0.25">
      <c r="A669" s="7">
        <v>0.19714506744199917</v>
      </c>
      <c r="B669"/>
      <c r="C669"/>
      <c r="D669"/>
      <c r="E669"/>
      <c r="F669" s="27" t="s">
        <v>7</v>
      </c>
    </row>
    <row r="670" spans="1:318" x14ac:dyDescent="0.25">
      <c r="A670" s="7">
        <v>0.19327947788431293</v>
      </c>
      <c r="B670"/>
      <c r="C670"/>
      <c r="D670"/>
      <c r="E670"/>
      <c r="F670" s="27" t="s">
        <v>7</v>
      </c>
      <c r="LE670" s="27" t="s">
        <v>8</v>
      </c>
    </row>
    <row r="671" spans="1:318" x14ac:dyDescent="0.25">
      <c r="A671" s="7">
        <v>0.18948968420030682</v>
      </c>
      <c r="B671"/>
      <c r="C671"/>
      <c r="D671"/>
      <c r="E671"/>
      <c r="F671" s="27" t="s">
        <v>7</v>
      </c>
      <c r="KW671" s="27" t="s">
        <v>8</v>
      </c>
      <c r="LE671" s="27" t="s">
        <v>8</v>
      </c>
      <c r="LF671" s="27" t="s">
        <v>7</v>
      </c>
    </row>
    <row r="672" spans="1:318" x14ac:dyDescent="0.25">
      <c r="A672" s="7">
        <v>0.18577420019637925</v>
      </c>
      <c r="B672"/>
      <c r="C672"/>
      <c r="D672"/>
      <c r="E672"/>
      <c r="F672" s="27" t="s">
        <v>7</v>
      </c>
      <c r="KW672" s="27" t="s">
        <v>8</v>
      </c>
      <c r="KX672" s="27" t="s">
        <v>7</v>
      </c>
      <c r="LE672" s="27" t="s">
        <v>8</v>
      </c>
      <c r="LF672" s="27" t="s">
        <v>7</v>
      </c>
    </row>
    <row r="673" spans="1:344" x14ac:dyDescent="0.25">
      <c r="A673" s="7">
        <v>0.18213156881997963</v>
      </c>
      <c r="B673"/>
      <c r="C673"/>
      <c r="D673"/>
      <c r="E673"/>
      <c r="F673" s="27" t="s">
        <v>7</v>
      </c>
      <c r="KW673" s="27" t="s">
        <v>8</v>
      </c>
      <c r="KX673" s="27" t="s">
        <v>7</v>
      </c>
      <c r="KY673" s="27" t="s">
        <v>8</v>
      </c>
      <c r="LE673" s="27" t="s">
        <v>8</v>
      </c>
      <c r="LF673" s="27" t="s">
        <v>7</v>
      </c>
    </row>
    <row r="674" spans="1:344" x14ac:dyDescent="0.25">
      <c r="A674" s="7">
        <v>0.17856036158821534</v>
      </c>
      <c r="B674"/>
      <c r="C674"/>
      <c r="D674"/>
      <c r="E674"/>
      <c r="F674" s="27" t="s">
        <v>7</v>
      </c>
      <c r="KW674" s="27" t="s">
        <v>8</v>
      </c>
      <c r="KX674" s="27" t="s">
        <v>7</v>
      </c>
      <c r="KY674" s="27" t="s">
        <v>8</v>
      </c>
      <c r="KZ674" s="27" t="s">
        <v>7</v>
      </c>
      <c r="LE674" s="27" t="s">
        <v>8</v>
      </c>
      <c r="LF674" s="27" t="s">
        <v>7</v>
      </c>
    </row>
    <row r="675" spans="1:344" x14ac:dyDescent="0.25">
      <c r="A675" s="7">
        <v>0.17505917802766208</v>
      </c>
      <c r="B675"/>
      <c r="C675"/>
      <c r="D675"/>
      <c r="E675"/>
      <c r="F675" s="27" t="s">
        <v>7</v>
      </c>
      <c r="KW675" s="27" t="s">
        <v>8</v>
      </c>
      <c r="KX675" s="27" t="s">
        <v>7</v>
      </c>
      <c r="KY675" s="27" t="s">
        <v>8</v>
      </c>
      <c r="KZ675" s="27" t="s">
        <v>7</v>
      </c>
      <c r="LE675" s="27" t="s">
        <v>8</v>
      </c>
      <c r="LF675" s="27" t="s">
        <v>7</v>
      </c>
    </row>
    <row r="676" spans="1:344" x14ac:dyDescent="0.25">
      <c r="A676" s="7">
        <v>0.17162664512515888</v>
      </c>
      <c r="B676"/>
      <c r="C676"/>
      <c r="D676"/>
      <c r="E676"/>
      <c r="F676" s="27" t="s">
        <v>7</v>
      </c>
      <c r="KW676" s="27" t="s">
        <v>8</v>
      </c>
      <c r="KX676" s="27" t="s">
        <v>7</v>
      </c>
      <c r="KY676" s="27" t="s">
        <v>8</v>
      </c>
      <c r="KZ676" s="27" t="s">
        <v>7</v>
      </c>
      <c r="LE676" s="27" t="s">
        <v>8</v>
      </c>
      <c r="LF676" s="27" t="s">
        <v>7</v>
      </c>
    </row>
    <row r="677" spans="1:344" x14ac:dyDescent="0.25">
      <c r="A677" s="7">
        <v>0.16826141678937145</v>
      </c>
      <c r="B677"/>
      <c r="C677"/>
      <c r="D677"/>
      <c r="E677"/>
      <c r="F677" s="27" t="s">
        <v>7</v>
      </c>
      <c r="KW677" s="27" t="s">
        <v>8</v>
      </c>
      <c r="KX677" s="27" t="s">
        <v>7</v>
      </c>
      <c r="KY677" s="27" t="s">
        <v>8</v>
      </c>
      <c r="KZ677" s="27" t="s">
        <v>7</v>
      </c>
      <c r="LE677" s="27" t="s">
        <v>8</v>
      </c>
      <c r="LF677" s="27" t="s">
        <v>7</v>
      </c>
      <c r="MC677" s="27" t="s">
        <v>8</v>
      </c>
    </row>
    <row r="678" spans="1:344" x14ac:dyDescent="0.25">
      <c r="A678" s="7">
        <v>0.16496217332291319</v>
      </c>
      <c r="B678"/>
      <c r="C678"/>
      <c r="D678"/>
      <c r="E678"/>
      <c r="F678" s="27" t="s">
        <v>7</v>
      </c>
      <c r="KW678" s="27" t="s">
        <v>8</v>
      </c>
      <c r="KX678" s="27" t="s">
        <v>7</v>
      </c>
      <c r="KY678" s="27" t="s">
        <v>8</v>
      </c>
      <c r="KZ678" s="27" t="s">
        <v>7</v>
      </c>
      <c r="LE678" s="27" t="s">
        <v>8</v>
      </c>
      <c r="LF678" s="27" t="s">
        <v>7</v>
      </c>
      <c r="MC678" s="27" t="s">
        <v>8</v>
      </c>
      <c r="MD678" s="27" t="s">
        <v>7</v>
      </c>
    </row>
    <row r="679" spans="1:344" x14ac:dyDescent="0.25">
      <c r="A679" s="7">
        <v>0.16172762090481685</v>
      </c>
      <c r="B679"/>
      <c r="C679"/>
      <c r="D679"/>
      <c r="E679"/>
      <c r="F679" s="27" t="s">
        <v>7</v>
      </c>
      <c r="KW679" s="27" t="s">
        <v>8</v>
      </c>
      <c r="KX679" s="27" t="s">
        <v>7</v>
      </c>
      <c r="KY679" s="27" t="s">
        <v>8</v>
      </c>
      <c r="KZ679" s="27" t="s">
        <v>7</v>
      </c>
      <c r="LE679" s="27" t="s">
        <v>8</v>
      </c>
      <c r="LF679" s="27" t="s">
        <v>7</v>
      </c>
      <c r="LO679" s="27" t="s">
        <v>8</v>
      </c>
      <c r="MC679" s="27" t="s">
        <v>8</v>
      </c>
      <c r="MD679" s="27" t="s">
        <v>7</v>
      </c>
    </row>
    <row r="680" spans="1:344" x14ac:dyDescent="0.25">
      <c r="A680" s="7">
        <v>0.15855649108315376</v>
      </c>
      <c r="B680"/>
      <c r="C680"/>
      <c r="D680"/>
      <c r="E680"/>
      <c r="F680" s="27" t="s">
        <v>7</v>
      </c>
      <c r="KW680" s="27" t="s">
        <v>8</v>
      </c>
      <c r="KX680" s="27" t="s">
        <v>7</v>
      </c>
      <c r="KY680" s="27" t="s">
        <v>8</v>
      </c>
      <c r="KZ680" s="27" t="s">
        <v>7</v>
      </c>
      <c r="LE680" s="27" t="s">
        <v>8</v>
      </c>
      <c r="LF680" s="27" t="s">
        <v>7</v>
      </c>
      <c r="LO680" s="27" t="s">
        <v>8</v>
      </c>
      <c r="LP680" s="27" t="s">
        <v>7</v>
      </c>
      <c r="MC680" s="27" t="s">
        <v>8</v>
      </c>
      <c r="MD680" s="27" t="s">
        <v>7</v>
      </c>
    </row>
    <row r="681" spans="1:344" x14ac:dyDescent="0.25">
      <c r="A681" s="7">
        <v>0.15544754027760171</v>
      </c>
      <c r="B681"/>
      <c r="C681"/>
      <c r="D681"/>
      <c r="E681"/>
      <c r="F681" s="27" t="s">
        <v>7</v>
      </c>
      <c r="KW681" s="27" t="s">
        <v>8</v>
      </c>
      <c r="KX681" s="27" t="s">
        <v>7</v>
      </c>
      <c r="KY681" s="27" t="s">
        <v>8</v>
      </c>
      <c r="KZ681" s="27" t="s">
        <v>7</v>
      </c>
      <c r="LA681" s="27" t="s">
        <v>8</v>
      </c>
      <c r="LC681" s="27" t="s">
        <v>8</v>
      </c>
      <c r="LE681" s="27" t="s">
        <v>8</v>
      </c>
      <c r="LF681" s="27" t="s">
        <v>7</v>
      </c>
      <c r="LO681" s="27" t="s">
        <v>8</v>
      </c>
      <c r="LP681" s="27" t="s">
        <v>7</v>
      </c>
      <c r="MC681" s="27" t="s">
        <v>8</v>
      </c>
      <c r="MD681" s="27" t="s">
        <v>7</v>
      </c>
    </row>
    <row r="682" spans="1:344" x14ac:dyDescent="0.25">
      <c r="A682" s="7">
        <v>0.15239954929176638</v>
      </c>
      <c r="B682"/>
      <c r="C682"/>
      <c r="D682"/>
      <c r="E682"/>
      <c r="F682" s="27" t="s">
        <v>7</v>
      </c>
      <c r="KW682" s="27" t="s">
        <v>8</v>
      </c>
      <c r="KX682" s="27" t="s">
        <v>7</v>
      </c>
      <c r="KZ682" s="27" t="s">
        <v>7</v>
      </c>
      <c r="LA682" s="27" t="s">
        <v>8</v>
      </c>
      <c r="LB682" s="27" t="s">
        <v>7</v>
      </c>
      <c r="LC682" s="27" t="s">
        <v>8</v>
      </c>
      <c r="LD682" s="27" t="s">
        <v>7</v>
      </c>
      <c r="LE682" s="27" t="s">
        <v>8</v>
      </c>
      <c r="LF682" s="27" t="s">
        <v>7</v>
      </c>
      <c r="LG682" s="27" t="s">
        <v>8</v>
      </c>
      <c r="LO682" s="27" t="s">
        <v>8</v>
      </c>
      <c r="LP682" s="27" t="s">
        <v>7</v>
      </c>
      <c r="MC682" s="27" t="s">
        <v>8</v>
      </c>
      <c r="MD682" s="27" t="s">
        <v>7</v>
      </c>
    </row>
    <row r="683" spans="1:344" x14ac:dyDescent="0.25">
      <c r="A683" s="7">
        <v>0.14941132283506509</v>
      </c>
      <c r="B683"/>
      <c r="C683"/>
      <c r="D683"/>
      <c r="E683"/>
      <c r="F683" s="27" t="s">
        <v>7</v>
      </c>
      <c r="KW683" s="27" t="s">
        <v>8</v>
      </c>
      <c r="KZ683" s="27" t="s">
        <v>7</v>
      </c>
      <c r="LA683" s="27" t="s">
        <v>8</v>
      </c>
      <c r="LB683" s="27" t="s">
        <v>7</v>
      </c>
      <c r="LC683" s="27" t="s">
        <v>8</v>
      </c>
      <c r="LD683" s="27" t="s">
        <v>7</v>
      </c>
      <c r="LE683" s="27" t="s">
        <v>8</v>
      </c>
      <c r="LF683" s="27" t="s">
        <v>7</v>
      </c>
      <c r="LG683" s="27" t="s">
        <v>8</v>
      </c>
      <c r="LH683" s="27" t="s">
        <v>7</v>
      </c>
      <c r="LM683" s="27" t="s">
        <v>8</v>
      </c>
      <c r="LO683" s="27" t="s">
        <v>8</v>
      </c>
      <c r="LP683" s="27" t="s">
        <v>7</v>
      </c>
      <c r="MC683" s="27" t="s">
        <v>8</v>
      </c>
      <c r="MD683" s="27" t="s">
        <v>7</v>
      </c>
    </row>
    <row r="684" spans="1:344" x14ac:dyDescent="0.25">
      <c r="A684" s="7">
        <v>0.14648168905398537</v>
      </c>
      <c r="B684"/>
      <c r="C684"/>
      <c r="D684"/>
      <c r="E684"/>
      <c r="F684" s="27" t="s">
        <v>7</v>
      </c>
      <c r="KW684" s="27" t="s">
        <v>8</v>
      </c>
      <c r="KZ684" s="27" t="s">
        <v>7</v>
      </c>
      <c r="LA684" s="27" t="s">
        <v>8</v>
      </c>
      <c r="LB684" s="27" t="s">
        <v>7</v>
      </c>
      <c r="LC684" s="27" t="s">
        <v>8</v>
      </c>
      <c r="LD684" s="27" t="s">
        <v>7</v>
      </c>
      <c r="LE684" s="27" t="s">
        <v>8</v>
      </c>
      <c r="LF684" s="27" t="s">
        <v>7</v>
      </c>
      <c r="LG684" s="27" t="s">
        <v>8</v>
      </c>
      <c r="LH684" s="27" t="s">
        <v>7</v>
      </c>
      <c r="LK684" s="27" t="s">
        <v>8</v>
      </c>
      <c r="LM684" s="27" t="s">
        <v>8</v>
      </c>
      <c r="LN684" s="27" t="s">
        <v>7</v>
      </c>
      <c r="LO684" s="27" t="s">
        <v>8</v>
      </c>
      <c r="LP684" s="27" t="s">
        <v>7</v>
      </c>
      <c r="MC684" s="27" t="s">
        <v>8</v>
      </c>
      <c r="MD684" s="27" t="s">
        <v>7</v>
      </c>
    </row>
    <row r="685" spans="1:344" x14ac:dyDescent="0.25">
      <c r="A685" s="7">
        <v>0.14360949907253467</v>
      </c>
      <c r="B685"/>
      <c r="C685"/>
      <c r="D685"/>
      <c r="E685"/>
      <c r="F685" s="27" t="s">
        <v>7</v>
      </c>
      <c r="KW685" s="27" t="s">
        <v>8</v>
      </c>
      <c r="KZ685" s="27" t="s">
        <v>7</v>
      </c>
      <c r="LA685" s="27" t="s">
        <v>8</v>
      </c>
      <c r="LB685" s="27" t="s">
        <v>7</v>
      </c>
      <c r="LC685" s="27" t="s">
        <v>8</v>
      </c>
      <c r="LD685" s="27" t="s">
        <v>7</v>
      </c>
      <c r="LE685" s="27" t="s">
        <v>8</v>
      </c>
      <c r="LF685" s="27" t="s">
        <v>7</v>
      </c>
      <c r="LG685" s="27" t="s">
        <v>8</v>
      </c>
      <c r="LH685" s="27" t="s">
        <v>7</v>
      </c>
      <c r="LI685" s="27" t="s">
        <v>8</v>
      </c>
      <c r="LK685" s="27" t="s">
        <v>8</v>
      </c>
      <c r="LL685" s="27" t="s">
        <v>7</v>
      </c>
      <c r="LM685" s="27" t="s">
        <v>8</v>
      </c>
      <c r="LN685" s="27" t="s">
        <v>7</v>
      </c>
      <c r="LO685" s="27" t="s">
        <v>8</v>
      </c>
      <c r="LP685" s="27" t="s">
        <v>7</v>
      </c>
      <c r="LW685" s="27" t="s">
        <v>8</v>
      </c>
      <c r="MC685" s="27" t="s">
        <v>8</v>
      </c>
      <c r="MD685" s="27" t="s">
        <v>7</v>
      </c>
    </row>
    <row r="686" spans="1:344" x14ac:dyDescent="0.25">
      <c r="A686" s="7">
        <v>0.14079362654170066</v>
      </c>
      <c r="B686"/>
      <c r="C686"/>
      <c r="D686"/>
      <c r="E686"/>
      <c r="F686" s="27" t="s">
        <v>7</v>
      </c>
      <c r="KW686" s="27" t="s">
        <v>8</v>
      </c>
      <c r="KZ686" s="27" t="s">
        <v>7</v>
      </c>
      <c r="LA686" s="27" t="s">
        <v>8</v>
      </c>
      <c r="LB686" s="27" t="s">
        <v>7</v>
      </c>
      <c r="LD686" s="27" t="s">
        <v>7</v>
      </c>
      <c r="LE686" s="27" t="s">
        <v>8</v>
      </c>
      <c r="LF686" s="27" t="s">
        <v>7</v>
      </c>
      <c r="LG686" s="27" t="s">
        <v>8</v>
      </c>
      <c r="LH686" s="27" t="s">
        <v>7</v>
      </c>
      <c r="LI686" s="27" t="s">
        <v>8</v>
      </c>
      <c r="LJ686" s="27" t="s">
        <v>7</v>
      </c>
      <c r="LK686" s="27" t="s">
        <v>8</v>
      </c>
      <c r="LL686" s="27" t="s">
        <v>7</v>
      </c>
      <c r="LM686" s="27" t="s">
        <v>8</v>
      </c>
      <c r="LN686" s="27" t="s">
        <v>7</v>
      </c>
      <c r="LO686" s="27" t="s">
        <v>8</v>
      </c>
      <c r="LP686" s="27" t="s">
        <v>7</v>
      </c>
      <c r="LW686" s="27" t="s">
        <v>8</v>
      </c>
      <c r="LX686" s="27" t="s">
        <v>7</v>
      </c>
      <c r="MC686" s="27" t="s">
        <v>8</v>
      </c>
      <c r="MD686" s="27" t="s">
        <v>7</v>
      </c>
    </row>
    <row r="687" spans="1:344" x14ac:dyDescent="0.25">
      <c r="A687" s="7">
        <v>0.13803296719774574</v>
      </c>
      <c r="B687"/>
      <c r="C687"/>
      <c r="D687"/>
      <c r="E687"/>
      <c r="F687" s="27" t="s">
        <v>7</v>
      </c>
      <c r="KW687" s="27" t="s">
        <v>8</v>
      </c>
      <c r="KZ687" s="27" t="s">
        <v>7</v>
      </c>
      <c r="LA687" s="27" t="s">
        <v>8</v>
      </c>
      <c r="LD687" s="27" t="s">
        <v>7</v>
      </c>
      <c r="LE687" s="27" t="s">
        <v>8</v>
      </c>
      <c r="LF687" s="27" t="s">
        <v>7</v>
      </c>
      <c r="LG687" s="27" t="s">
        <v>8</v>
      </c>
      <c r="LH687" s="27" t="s">
        <v>7</v>
      </c>
      <c r="LI687" s="27" t="s">
        <v>8</v>
      </c>
      <c r="LJ687" s="27" t="s">
        <v>7</v>
      </c>
      <c r="LK687" s="27" t="s">
        <v>8</v>
      </c>
      <c r="LL687" s="27" t="s">
        <v>7</v>
      </c>
      <c r="LM687" s="27" t="s">
        <v>8</v>
      </c>
      <c r="LN687" s="27" t="s">
        <v>7</v>
      </c>
      <c r="LP687" s="27" t="s">
        <v>7</v>
      </c>
      <c r="LW687" s="27" t="s">
        <v>8</v>
      </c>
      <c r="LX687" s="27" t="s">
        <v>7</v>
      </c>
      <c r="MC687" s="27" t="s">
        <v>8</v>
      </c>
      <c r="MD687" s="27" t="s">
        <v>7</v>
      </c>
      <c r="ME687" s="27" t="s">
        <v>8</v>
      </c>
    </row>
    <row r="688" spans="1:344" x14ac:dyDescent="0.25">
      <c r="A688" s="7">
        <v>0.1353264384291625</v>
      </c>
      <c r="B688"/>
      <c r="C688"/>
      <c r="D688"/>
      <c r="E688"/>
      <c r="F688" s="27" t="s">
        <v>7</v>
      </c>
      <c r="KW688" s="27" t="s">
        <v>8</v>
      </c>
      <c r="KZ688" s="27" t="s">
        <v>7</v>
      </c>
      <c r="LD688" s="27" t="s">
        <v>7</v>
      </c>
      <c r="LE688" s="27" t="s">
        <v>8</v>
      </c>
      <c r="LF688" s="27" t="s">
        <v>7</v>
      </c>
      <c r="LH688" s="27" t="s">
        <v>7</v>
      </c>
      <c r="LJ688" s="27" t="s">
        <v>7</v>
      </c>
      <c r="LK688" s="27" t="s">
        <v>8</v>
      </c>
      <c r="LL688" s="27" t="s">
        <v>7</v>
      </c>
      <c r="LM688" s="27" t="s">
        <v>8</v>
      </c>
      <c r="LP688" s="27" t="s">
        <v>7</v>
      </c>
      <c r="LW688" s="27" t="s">
        <v>8</v>
      </c>
      <c r="LX688" s="27" t="s">
        <v>7</v>
      </c>
      <c r="MC688" s="27" t="s">
        <v>8</v>
      </c>
      <c r="MD688" s="27" t="s">
        <v>7</v>
      </c>
      <c r="ME688" s="27" t="s">
        <v>8</v>
      </c>
      <c r="MF688" s="27" t="s">
        <v>7</v>
      </c>
    </row>
    <row r="689" spans="1:370" x14ac:dyDescent="0.25">
      <c r="A689" s="7">
        <v>0.13267297885212009</v>
      </c>
      <c r="B689"/>
      <c r="C689"/>
      <c r="D689"/>
      <c r="E689"/>
      <c r="F689" s="27" t="s">
        <v>7</v>
      </c>
      <c r="KW689" s="27" t="s">
        <v>8</v>
      </c>
      <c r="LD689" s="27" t="s">
        <v>7</v>
      </c>
      <c r="LE689" s="27" t="s">
        <v>8</v>
      </c>
      <c r="LJ689" s="27" t="s">
        <v>7</v>
      </c>
      <c r="LK689" s="27" t="s">
        <v>8</v>
      </c>
      <c r="LL689" s="27" t="s">
        <v>7</v>
      </c>
      <c r="LP689" s="27" t="s">
        <v>7</v>
      </c>
      <c r="LW689" s="27" t="s">
        <v>8</v>
      </c>
      <c r="LX689" s="27" t="s">
        <v>7</v>
      </c>
      <c r="MC689" s="27" t="s">
        <v>8</v>
      </c>
      <c r="MD689" s="27" t="s">
        <v>7</v>
      </c>
      <c r="ME689" s="27" t="s">
        <v>8</v>
      </c>
      <c r="MF689" s="27" t="s">
        <v>7</v>
      </c>
    </row>
    <row r="690" spans="1:370" x14ac:dyDescent="0.25">
      <c r="A690" s="7">
        <v>0.13007154789423539</v>
      </c>
      <c r="B690"/>
      <c r="C690"/>
      <c r="D690"/>
      <c r="E690"/>
      <c r="F690" s="27" t="s">
        <v>7</v>
      </c>
      <c r="KW690" s="27" t="s">
        <v>8</v>
      </c>
      <c r="LD690" s="27" t="s">
        <v>7</v>
      </c>
      <c r="LE690" s="27" t="s">
        <v>8</v>
      </c>
      <c r="LJ690" s="27" t="s">
        <v>7</v>
      </c>
      <c r="LP690" s="27" t="s">
        <v>7</v>
      </c>
      <c r="LQ690" s="27" t="s">
        <v>8</v>
      </c>
      <c r="LW690" s="27" t="s">
        <v>8</v>
      </c>
      <c r="LX690" s="27" t="s">
        <v>7</v>
      </c>
      <c r="MC690" s="27" t="s">
        <v>8</v>
      </c>
      <c r="MD690" s="27" t="s">
        <v>7</v>
      </c>
      <c r="ME690" s="27" t="s">
        <v>8</v>
      </c>
      <c r="MF690" s="27" t="s">
        <v>7</v>
      </c>
    </row>
    <row r="691" spans="1:370" x14ac:dyDescent="0.25">
      <c r="A691" s="7">
        <v>0.12752112538650529</v>
      </c>
      <c r="B691"/>
      <c r="C691"/>
      <c r="D691"/>
      <c r="E691"/>
      <c r="F691" s="27" t="s">
        <v>7</v>
      </c>
      <c r="KW691" s="27" t="s">
        <v>8</v>
      </c>
      <c r="LD691" s="27" t="s">
        <v>7</v>
      </c>
      <c r="LE691" s="27" t="s">
        <v>8</v>
      </c>
      <c r="LP691" s="27" t="s">
        <v>7</v>
      </c>
      <c r="LQ691" s="27" t="s">
        <v>8</v>
      </c>
      <c r="LR691" s="27" t="s">
        <v>7</v>
      </c>
      <c r="LW691" s="27" t="s">
        <v>8</v>
      </c>
      <c r="LX691" s="27" t="s">
        <v>7</v>
      </c>
      <c r="MA691" s="27" t="s">
        <v>8</v>
      </c>
      <c r="MC691" s="27" t="s">
        <v>8</v>
      </c>
      <c r="MD691" s="27" t="s">
        <v>7</v>
      </c>
      <c r="ME691" s="27" t="s">
        <v>8</v>
      </c>
      <c r="MF691" s="27" t="s">
        <v>7</v>
      </c>
    </row>
    <row r="692" spans="1:370" x14ac:dyDescent="0.25">
      <c r="A692" s="7">
        <v>0.12502071116324048</v>
      </c>
      <c r="B692"/>
      <c r="C692"/>
      <c r="D692"/>
      <c r="E692"/>
      <c r="F692" s="27" t="s">
        <v>7</v>
      </c>
      <c r="KU692" s="27" t="s">
        <v>8</v>
      </c>
      <c r="KW692" s="27" t="s">
        <v>8</v>
      </c>
      <c r="LD692" s="27" t="s">
        <v>7</v>
      </c>
      <c r="LP692" s="27" t="s">
        <v>7</v>
      </c>
      <c r="LQ692" s="27" t="s">
        <v>8</v>
      </c>
      <c r="LR692" s="27" t="s">
        <v>7</v>
      </c>
      <c r="LS692" s="27" t="s">
        <v>8</v>
      </c>
      <c r="LW692" s="27" t="s">
        <v>8</v>
      </c>
      <c r="LX692" s="27" t="s">
        <v>7</v>
      </c>
      <c r="LY692" s="27" t="s">
        <v>8</v>
      </c>
      <c r="MA692" s="27" t="s">
        <v>8</v>
      </c>
      <c r="MB692" s="27" t="s">
        <v>7</v>
      </c>
      <c r="MC692" s="27" t="s">
        <v>8</v>
      </c>
      <c r="MD692" s="27" t="s">
        <v>7</v>
      </c>
      <c r="ME692" s="27" t="s">
        <v>8</v>
      </c>
      <c r="MF692" s="27" t="s">
        <v>7</v>
      </c>
    </row>
    <row r="693" spans="1:370" x14ac:dyDescent="0.25">
      <c r="A693" s="7">
        <v>0.1225693246698436</v>
      </c>
      <c r="B693"/>
      <c r="C693"/>
      <c r="D693"/>
      <c r="E693"/>
      <c r="F693" s="27" t="s">
        <v>7</v>
      </c>
      <c r="KU693" s="27" t="s">
        <v>8</v>
      </c>
      <c r="KV693" s="27" t="s">
        <v>7</v>
      </c>
      <c r="KW693" s="27" t="s">
        <v>8</v>
      </c>
      <c r="LP693" s="27" t="s">
        <v>7</v>
      </c>
      <c r="LQ693" s="27" t="s">
        <v>8</v>
      </c>
      <c r="LR693" s="27" t="s">
        <v>7</v>
      </c>
      <c r="LS693" s="27" t="s">
        <v>8</v>
      </c>
      <c r="LT693" s="27" t="s">
        <v>7</v>
      </c>
      <c r="LW693" s="27" t="s">
        <v>8</v>
      </c>
      <c r="LX693" s="27" t="s">
        <v>7</v>
      </c>
      <c r="LY693" s="27" t="s">
        <v>8</v>
      </c>
      <c r="LZ693" s="27" t="s">
        <v>7</v>
      </c>
      <c r="MA693" s="27" t="s">
        <v>8</v>
      </c>
      <c r="MB693" s="27" t="s">
        <v>7</v>
      </c>
      <c r="MC693" s="27" t="s">
        <v>8</v>
      </c>
      <c r="MD693" s="27" t="s">
        <v>7</v>
      </c>
      <c r="MF693" s="27" t="s">
        <v>7</v>
      </c>
    </row>
    <row r="694" spans="1:370" x14ac:dyDescent="0.25">
      <c r="A694" s="7">
        <v>0.12016600457827803</v>
      </c>
      <c r="B694"/>
      <c r="C694"/>
      <c r="D694"/>
      <c r="E694"/>
      <c r="F694" s="27" t="s">
        <v>7</v>
      </c>
      <c r="KU694" s="27" t="s">
        <v>8</v>
      </c>
      <c r="KV694" s="27" t="s">
        <v>7</v>
      </c>
      <c r="KW694" s="27" t="s">
        <v>8</v>
      </c>
      <c r="LP694" s="27" t="s">
        <v>7</v>
      </c>
      <c r="LQ694" s="27" t="s">
        <v>8</v>
      </c>
      <c r="LR694" s="27" t="s">
        <v>7</v>
      </c>
      <c r="LS694" s="27" t="s">
        <v>8</v>
      </c>
      <c r="LT694" s="27" t="s">
        <v>7</v>
      </c>
      <c r="LW694" s="27" t="s">
        <v>8</v>
      </c>
      <c r="LX694" s="27" t="s">
        <v>7</v>
      </c>
      <c r="LY694" s="27" t="s">
        <v>8</v>
      </c>
      <c r="LZ694" s="27" t="s">
        <v>7</v>
      </c>
      <c r="MA694" s="27" t="s">
        <v>8</v>
      </c>
      <c r="MB694" s="27" t="s">
        <v>7</v>
      </c>
      <c r="MC694" s="27" t="s">
        <v>8</v>
      </c>
      <c r="MF694" s="27" t="s">
        <v>7</v>
      </c>
      <c r="MG694" s="27" t="s">
        <v>8</v>
      </c>
      <c r="MI694" s="27" t="s">
        <v>8</v>
      </c>
    </row>
    <row r="695" spans="1:370" x14ac:dyDescent="0.25">
      <c r="A695" s="7">
        <v>0.1178098084100765</v>
      </c>
      <c r="B695"/>
      <c r="C695"/>
      <c r="D695"/>
      <c r="E695"/>
      <c r="F695" s="27" t="s">
        <v>7</v>
      </c>
      <c r="KU695" s="27" t="s">
        <v>8</v>
      </c>
      <c r="KV695" s="27" t="s">
        <v>7</v>
      </c>
      <c r="KW695" s="27" t="s">
        <v>8</v>
      </c>
      <c r="LP695" s="27" t="s">
        <v>7</v>
      </c>
      <c r="LQ695" s="27" t="s">
        <v>8</v>
      </c>
      <c r="LR695" s="27" t="s">
        <v>7</v>
      </c>
      <c r="LS695" s="27" t="s">
        <v>8</v>
      </c>
      <c r="LT695" s="27" t="s">
        <v>7</v>
      </c>
      <c r="LU695" s="27" t="s">
        <v>8</v>
      </c>
      <c r="LW695" s="27" t="s">
        <v>8</v>
      </c>
      <c r="LX695" s="27" t="s">
        <v>7</v>
      </c>
      <c r="LY695" s="27" t="s">
        <v>8</v>
      </c>
      <c r="LZ695" s="27" t="s">
        <v>7</v>
      </c>
      <c r="MA695" s="27" t="s">
        <v>8</v>
      </c>
      <c r="MB695" s="27" t="s">
        <v>7</v>
      </c>
      <c r="MC695" s="27" t="s">
        <v>8</v>
      </c>
      <c r="MF695" s="27" t="s">
        <v>7</v>
      </c>
      <c r="MG695" s="27" t="s">
        <v>8</v>
      </c>
      <c r="MH695" s="27" t="s">
        <v>7</v>
      </c>
      <c r="MI695" s="27" t="s">
        <v>8</v>
      </c>
      <c r="MJ695" s="27" t="s">
        <v>7</v>
      </c>
    </row>
    <row r="696" spans="1:370" x14ac:dyDescent="0.25">
      <c r="A696" s="7">
        <v>0.11549981216674166</v>
      </c>
      <c r="B696"/>
      <c r="C696"/>
      <c r="D696"/>
      <c r="E696"/>
      <c r="F696" s="27" t="s">
        <v>7</v>
      </c>
      <c r="KU696" s="27" t="s">
        <v>8</v>
      </c>
      <c r="KV696" s="27" t="s">
        <v>7</v>
      </c>
      <c r="KW696" s="27" t="s">
        <v>8</v>
      </c>
      <c r="LP696" s="27" t="s">
        <v>7</v>
      </c>
      <c r="LR696" s="27" t="s">
        <v>7</v>
      </c>
      <c r="LS696" s="27" t="s">
        <v>8</v>
      </c>
      <c r="LT696" s="27" t="s">
        <v>7</v>
      </c>
      <c r="LU696" s="27" t="s">
        <v>8</v>
      </c>
      <c r="LV696" s="27" t="s">
        <v>7</v>
      </c>
      <c r="LW696" s="27" t="s">
        <v>8</v>
      </c>
      <c r="LX696" s="27" t="s">
        <v>7</v>
      </c>
      <c r="LZ696" s="27" t="s">
        <v>7</v>
      </c>
      <c r="MA696" s="27" t="s">
        <v>8</v>
      </c>
      <c r="MB696" s="27" t="s">
        <v>7</v>
      </c>
      <c r="MC696" s="27" t="s">
        <v>8</v>
      </c>
      <c r="MF696" s="27" t="s">
        <v>7</v>
      </c>
      <c r="MG696" s="27" t="s">
        <v>8</v>
      </c>
      <c r="MH696" s="27" t="s">
        <v>7</v>
      </c>
      <c r="MI696" s="27" t="s">
        <v>8</v>
      </c>
      <c r="MJ696" s="27" t="s">
        <v>7</v>
      </c>
    </row>
    <row r="697" spans="1:370" x14ac:dyDescent="0.25">
      <c r="A697" s="7">
        <v>0.11323510996739378</v>
      </c>
      <c r="B697"/>
      <c r="C697"/>
      <c r="D697"/>
      <c r="E697"/>
      <c r="F697" s="27" t="s">
        <v>7</v>
      </c>
      <c r="KU697" s="27" t="s">
        <v>8</v>
      </c>
      <c r="KV697" s="27" t="s">
        <v>7</v>
      </c>
      <c r="KW697" s="27" t="s">
        <v>8</v>
      </c>
      <c r="LR697" s="27" t="s">
        <v>7</v>
      </c>
      <c r="LT697" s="27" t="s">
        <v>7</v>
      </c>
      <c r="LU697" s="27" t="s">
        <v>8</v>
      </c>
      <c r="LV697" s="27" t="s">
        <v>7</v>
      </c>
      <c r="LW697" s="27" t="s">
        <v>8</v>
      </c>
      <c r="LZ697" s="27" t="s">
        <v>7</v>
      </c>
      <c r="MA697" s="27" t="s">
        <v>8</v>
      </c>
      <c r="MB697" s="27" t="s">
        <v>7</v>
      </c>
      <c r="MC697" s="27" t="s">
        <v>8</v>
      </c>
      <c r="MF697" s="27" t="s">
        <v>7</v>
      </c>
      <c r="MG697" s="27" t="s">
        <v>8</v>
      </c>
      <c r="MH697" s="27" t="s">
        <v>7</v>
      </c>
      <c r="MI697" s="27" t="s">
        <v>8</v>
      </c>
      <c r="MJ697" s="27" t="s">
        <v>7</v>
      </c>
    </row>
    <row r="698" spans="1:370" x14ac:dyDescent="0.25">
      <c r="A698" s="7">
        <v>0.11101481369352331</v>
      </c>
      <c r="B698"/>
      <c r="C698"/>
      <c r="D698"/>
      <c r="E698"/>
      <c r="F698" s="27" t="s">
        <v>7</v>
      </c>
      <c r="KU698" s="27" t="s">
        <v>8</v>
      </c>
      <c r="KV698" s="27" t="s">
        <v>7</v>
      </c>
      <c r="KW698" s="27" t="s">
        <v>8</v>
      </c>
      <c r="LT698" s="27" t="s">
        <v>7</v>
      </c>
      <c r="LU698" s="27" t="s">
        <v>8</v>
      </c>
      <c r="LV698" s="27" t="s">
        <v>7</v>
      </c>
      <c r="LZ698" s="27" t="s">
        <v>7</v>
      </c>
      <c r="MA698" s="27" t="s">
        <v>8</v>
      </c>
      <c r="MB698" s="27" t="s">
        <v>7</v>
      </c>
      <c r="MC698" s="27" t="s">
        <v>8</v>
      </c>
      <c r="MF698" s="27" t="s">
        <v>7</v>
      </c>
      <c r="MG698" s="27" t="s">
        <v>8</v>
      </c>
      <c r="MH698" s="27" t="s">
        <v>7</v>
      </c>
      <c r="MI698" s="27" t="s">
        <v>8</v>
      </c>
      <c r="MJ698" s="27" t="s">
        <v>7</v>
      </c>
    </row>
    <row r="699" spans="1:370" x14ac:dyDescent="0.25">
      <c r="A699" s="7">
        <v>0.10883805264070913</v>
      </c>
      <c r="B699"/>
      <c r="C699"/>
      <c r="D699"/>
      <c r="E699"/>
      <c r="F699" s="27" t="s">
        <v>7</v>
      </c>
      <c r="KU699" s="27" t="s">
        <v>8</v>
      </c>
      <c r="KV699" s="27" t="s">
        <v>7</v>
      </c>
      <c r="KW699" s="27" t="s">
        <v>8</v>
      </c>
      <c r="LT699" s="27" t="s">
        <v>7</v>
      </c>
      <c r="LZ699" s="27" t="s">
        <v>7</v>
      </c>
      <c r="MA699" s="27" t="s">
        <v>8</v>
      </c>
      <c r="MB699" s="27" t="s">
        <v>7</v>
      </c>
      <c r="MC699" s="27" t="s">
        <v>8</v>
      </c>
      <c r="MF699" s="27" t="s">
        <v>7</v>
      </c>
      <c r="MG699" s="27" t="s">
        <v>8</v>
      </c>
      <c r="MH699" s="27" t="s">
        <v>7</v>
      </c>
      <c r="MI699" s="27" t="s">
        <v>8</v>
      </c>
      <c r="MJ699" s="27" t="s">
        <v>7</v>
      </c>
    </row>
    <row r="700" spans="1:370" x14ac:dyDescent="0.25">
      <c r="A700" s="7">
        <v>0.10670397317716582</v>
      </c>
      <c r="B700"/>
      <c r="C700"/>
      <c r="D700"/>
      <c r="E700"/>
      <c r="F700" s="27" t="s">
        <v>7</v>
      </c>
      <c r="KU700" s="27" t="s">
        <v>8</v>
      </c>
      <c r="KV700" s="27" t="s">
        <v>7</v>
      </c>
      <c r="KW700" s="27" t="s">
        <v>8</v>
      </c>
      <c r="LZ700" s="27" t="s">
        <v>7</v>
      </c>
      <c r="MA700" s="27" t="s">
        <v>8</v>
      </c>
      <c r="MB700" s="27" t="s">
        <v>7</v>
      </c>
      <c r="MC700" s="27" t="s">
        <v>8</v>
      </c>
      <c r="MF700" s="27" t="s">
        <v>7</v>
      </c>
      <c r="MG700" s="27" t="s">
        <v>8</v>
      </c>
      <c r="MH700" s="27" t="s">
        <v>7</v>
      </c>
      <c r="MI700" s="27" t="s">
        <v>8</v>
      </c>
      <c r="MJ700" s="27" t="s">
        <v>7</v>
      </c>
    </row>
    <row r="701" spans="1:370" x14ac:dyDescent="0.25">
      <c r="A701" s="7">
        <v>0.1046117384089861</v>
      </c>
      <c r="B701"/>
      <c r="C701"/>
      <c r="D701"/>
      <c r="E701"/>
      <c r="F701" s="27" t="s">
        <v>7</v>
      </c>
      <c r="KU701" s="27" t="s">
        <v>8</v>
      </c>
      <c r="KV701" s="27" t="s">
        <v>7</v>
      </c>
      <c r="KW701" s="27" t="s">
        <v>8</v>
      </c>
      <c r="LZ701" s="27" t="s">
        <v>7</v>
      </c>
      <c r="MA701" s="27" t="s">
        <v>8</v>
      </c>
      <c r="MB701" s="27" t="s">
        <v>7</v>
      </c>
      <c r="MF701" s="27" t="s">
        <v>7</v>
      </c>
      <c r="MG701" s="27" t="s">
        <v>8</v>
      </c>
      <c r="MH701" s="27" t="s">
        <v>7</v>
      </c>
      <c r="MI701" s="27" t="s">
        <v>8</v>
      </c>
      <c r="MJ701" s="27" t="s">
        <v>7</v>
      </c>
    </row>
    <row r="702" spans="1:370" x14ac:dyDescent="0.25">
      <c r="A702" s="7">
        <v>0.10256052785194716</v>
      </c>
      <c r="B702"/>
      <c r="C702"/>
      <c r="D702"/>
      <c r="E702"/>
      <c r="F702" s="27" t="s">
        <v>7</v>
      </c>
      <c r="HG702" s="27" t="s">
        <v>8</v>
      </c>
      <c r="KU702" s="27" t="s">
        <v>8</v>
      </c>
      <c r="KV702" s="27" t="s">
        <v>7</v>
      </c>
      <c r="KW702" s="27" t="s">
        <v>8</v>
      </c>
      <c r="LZ702" s="27" t="s">
        <v>7</v>
      </c>
      <c r="MA702" s="27" t="s">
        <v>8</v>
      </c>
      <c r="MF702" s="27" t="s">
        <v>7</v>
      </c>
      <c r="MH702" s="27" t="s">
        <v>7</v>
      </c>
      <c r="MJ702" s="27" t="s">
        <v>7</v>
      </c>
    </row>
    <row r="703" spans="1:370" x14ac:dyDescent="0.25">
      <c r="A703" s="7">
        <v>0.10054953710975212</v>
      </c>
      <c r="B703"/>
      <c r="C703"/>
      <c r="D703"/>
      <c r="E703"/>
      <c r="F703" s="27" t="s">
        <v>7</v>
      </c>
      <c r="HG703" s="27" t="s">
        <v>8</v>
      </c>
      <c r="HH703" s="27" t="s">
        <v>7</v>
      </c>
      <c r="KU703" s="27" t="s">
        <v>8</v>
      </c>
      <c r="KV703" s="27" t="s">
        <v>7</v>
      </c>
      <c r="KW703" s="27" t="s">
        <v>8</v>
      </c>
      <c r="LZ703" s="27" t="s">
        <v>7</v>
      </c>
      <c r="MA703" s="27" t="s">
        <v>8</v>
      </c>
      <c r="MJ703" s="27" t="s">
        <v>7</v>
      </c>
      <c r="NE703" s="27" t="s">
        <v>8</v>
      </c>
    </row>
    <row r="704" spans="1:370" x14ac:dyDescent="0.25">
      <c r="A704" s="7">
        <v>9.8577977558580512E-2</v>
      </c>
      <c r="B704"/>
      <c r="C704"/>
      <c r="D704"/>
      <c r="E704"/>
      <c r="F704" s="27" t="s">
        <v>7</v>
      </c>
      <c r="HG704" s="27" t="s">
        <v>8</v>
      </c>
      <c r="HH704" s="27" t="s">
        <v>7</v>
      </c>
      <c r="KU704" s="27" t="s">
        <v>8</v>
      </c>
      <c r="KV704" s="27" t="s">
        <v>7</v>
      </c>
      <c r="KW704" s="27" t="s">
        <v>8</v>
      </c>
      <c r="LZ704" s="27" t="s">
        <v>7</v>
      </c>
      <c r="MA704" s="27" t="s">
        <v>8</v>
      </c>
      <c r="MJ704" s="27" t="s">
        <v>7</v>
      </c>
      <c r="NE704" s="27" t="s">
        <v>8</v>
      </c>
      <c r="NF704" s="27" t="s">
        <v>7</v>
      </c>
    </row>
    <row r="705" spans="1:370" x14ac:dyDescent="0.25">
      <c r="A705" s="7">
        <v>9.6645076037824032E-2</v>
      </c>
      <c r="B705"/>
      <c r="C705"/>
      <c r="D705"/>
      <c r="E705"/>
      <c r="F705" s="27" t="s">
        <v>7</v>
      </c>
      <c r="HC705" s="27" t="s">
        <v>8</v>
      </c>
      <c r="HG705" s="27" t="s">
        <v>8</v>
      </c>
      <c r="HH705" s="27" t="s">
        <v>7</v>
      </c>
      <c r="KU705" s="27" t="s">
        <v>8</v>
      </c>
      <c r="KV705" s="27" t="s">
        <v>7</v>
      </c>
      <c r="KW705" s="27" t="s">
        <v>8</v>
      </c>
      <c r="LZ705" s="27" t="s">
        <v>7</v>
      </c>
      <c r="MJ705" s="27" t="s">
        <v>7</v>
      </c>
      <c r="NE705" s="27" t="s">
        <v>8</v>
      </c>
      <c r="NF705" s="27" t="s">
        <v>7</v>
      </c>
    </row>
    <row r="706" spans="1:370" x14ac:dyDescent="0.25">
      <c r="A706" s="7">
        <v>9.4750074546886304E-2</v>
      </c>
      <c r="B706"/>
      <c r="C706"/>
      <c r="D706"/>
      <c r="E706"/>
      <c r="F706" s="27" t="s">
        <v>7</v>
      </c>
      <c r="HC706" s="27" t="s">
        <v>8</v>
      </c>
      <c r="HD706" s="27" t="s">
        <v>7</v>
      </c>
      <c r="HG706" s="27" t="s">
        <v>8</v>
      </c>
      <c r="HH706" s="27" t="s">
        <v>7</v>
      </c>
      <c r="HI706" s="27" t="s">
        <v>8</v>
      </c>
      <c r="KS706" s="27" t="s">
        <v>8</v>
      </c>
      <c r="KU706" s="27" t="s">
        <v>8</v>
      </c>
      <c r="KV706" s="27" t="s">
        <v>7</v>
      </c>
      <c r="KW706" s="27" t="s">
        <v>8</v>
      </c>
      <c r="MJ706" s="27" t="s">
        <v>7</v>
      </c>
      <c r="NE706" s="27" t="s">
        <v>8</v>
      </c>
      <c r="NF706" s="27" t="s">
        <v>7</v>
      </c>
    </row>
    <row r="707" spans="1:370" x14ac:dyDescent="0.25">
      <c r="A707" s="7">
        <v>9.2892229947927743E-2</v>
      </c>
      <c r="B707"/>
      <c r="C707"/>
      <c r="D707"/>
      <c r="E707"/>
      <c r="F707" s="27" t="s">
        <v>7</v>
      </c>
      <c r="HC707" s="27" t="s">
        <v>8</v>
      </c>
      <c r="HD707" s="27" t="s">
        <v>7</v>
      </c>
      <c r="HG707" s="27" t="s">
        <v>8</v>
      </c>
      <c r="HH707" s="27" t="s">
        <v>7</v>
      </c>
      <c r="HI707" s="27" t="s">
        <v>8</v>
      </c>
      <c r="HJ707" s="27" t="s">
        <v>7</v>
      </c>
      <c r="KS707" s="27" t="s">
        <v>8</v>
      </c>
      <c r="KT707" s="27" t="s">
        <v>7</v>
      </c>
      <c r="KU707" s="27" t="s">
        <v>8</v>
      </c>
      <c r="KV707" s="27" t="s">
        <v>7</v>
      </c>
      <c r="KW707" s="27" t="s">
        <v>8</v>
      </c>
      <c r="MJ707" s="27" t="s">
        <v>7</v>
      </c>
      <c r="MW707" s="27" t="s">
        <v>8</v>
      </c>
      <c r="NE707" s="27" t="s">
        <v>8</v>
      </c>
      <c r="NF707" s="27" t="s">
        <v>7</v>
      </c>
    </row>
    <row r="708" spans="1:370" x14ac:dyDescent="0.25">
      <c r="A708" s="7">
        <v>9.1070813674438963E-2</v>
      </c>
      <c r="B708"/>
      <c r="C708"/>
      <c r="D708"/>
      <c r="E708"/>
      <c r="F708" s="27" t="s">
        <v>7</v>
      </c>
      <c r="HC708" s="27" t="s">
        <v>8</v>
      </c>
      <c r="HD708" s="27" t="s">
        <v>7</v>
      </c>
      <c r="HG708" s="27" t="s">
        <v>8</v>
      </c>
      <c r="HH708" s="27" t="s">
        <v>7</v>
      </c>
      <c r="HI708" s="27" t="s">
        <v>8</v>
      </c>
      <c r="HJ708" s="27" t="s">
        <v>7</v>
      </c>
      <c r="KS708" s="27" t="s">
        <v>8</v>
      </c>
      <c r="KT708" s="27" t="s">
        <v>7</v>
      </c>
      <c r="KU708" s="27" t="s">
        <v>8</v>
      </c>
      <c r="KV708" s="27" t="s">
        <v>7</v>
      </c>
      <c r="KW708" s="27" t="s">
        <v>8</v>
      </c>
      <c r="MJ708" s="27" t="s">
        <v>7</v>
      </c>
      <c r="MU708" s="27" t="s">
        <v>8</v>
      </c>
      <c r="MW708" s="27" t="s">
        <v>8</v>
      </c>
      <c r="MX708" s="27" t="s">
        <v>7</v>
      </c>
      <c r="NE708" s="27" t="s">
        <v>8</v>
      </c>
      <c r="NF708" s="27" t="s">
        <v>7</v>
      </c>
    </row>
    <row r="709" spans="1:370" x14ac:dyDescent="0.25">
      <c r="A709" s="7">
        <v>8.9285111445528392E-2</v>
      </c>
      <c r="B709"/>
      <c r="C709"/>
      <c r="D709"/>
      <c r="E709"/>
      <c r="F709" s="27" t="s">
        <v>7</v>
      </c>
      <c r="HC709" s="27" t="s">
        <v>8</v>
      </c>
      <c r="HD709" s="27" t="s">
        <v>7</v>
      </c>
      <c r="HE709" s="27" t="s">
        <v>8</v>
      </c>
      <c r="HG709" s="27" t="s">
        <v>8</v>
      </c>
      <c r="HH709" s="27" t="s">
        <v>7</v>
      </c>
      <c r="HI709" s="27" t="s">
        <v>8</v>
      </c>
      <c r="HJ709" s="27" t="s">
        <v>7</v>
      </c>
      <c r="KS709" s="27" t="s">
        <v>8</v>
      </c>
      <c r="KT709" s="27" t="s">
        <v>7</v>
      </c>
      <c r="KU709" s="27" t="s">
        <v>8</v>
      </c>
      <c r="KV709" s="27" t="s">
        <v>7</v>
      </c>
      <c r="KW709" s="27" t="s">
        <v>8</v>
      </c>
      <c r="MJ709" s="27" t="s">
        <v>7</v>
      </c>
      <c r="MU709" s="27" t="s">
        <v>8</v>
      </c>
      <c r="MV709" s="27" t="s">
        <v>7</v>
      </c>
      <c r="MW709" s="27" t="s">
        <v>8</v>
      </c>
      <c r="MX709" s="27" t="s">
        <v>7</v>
      </c>
      <c r="NA709" s="27" t="s">
        <v>8</v>
      </c>
      <c r="NE709" s="27" t="s">
        <v>8</v>
      </c>
      <c r="NF709" s="27" t="s">
        <v>7</v>
      </c>
    </row>
    <row r="710" spans="1:370" x14ac:dyDescent="0.25">
      <c r="A710" s="7">
        <v>8.7534422985812155E-2</v>
      </c>
      <c r="B710"/>
      <c r="C710"/>
      <c r="D710"/>
      <c r="E710"/>
      <c r="F710" s="27" t="s">
        <v>7</v>
      </c>
      <c r="HC710" s="27" t="s">
        <v>8</v>
      </c>
      <c r="HD710" s="27" t="s">
        <v>7</v>
      </c>
      <c r="HE710" s="27" t="s">
        <v>8</v>
      </c>
      <c r="HF710" s="27" t="s">
        <v>7</v>
      </c>
      <c r="HG710" s="27" t="s">
        <v>8</v>
      </c>
      <c r="HH710" s="27" t="s">
        <v>7</v>
      </c>
      <c r="HI710" s="27" t="s">
        <v>8</v>
      </c>
      <c r="HJ710" s="27" t="s">
        <v>7</v>
      </c>
      <c r="HK710" s="27" t="s">
        <v>8</v>
      </c>
      <c r="KS710" s="27" t="s">
        <v>8</v>
      </c>
      <c r="KT710" s="27" t="s">
        <v>7</v>
      </c>
      <c r="KU710" s="27" t="s">
        <v>8</v>
      </c>
      <c r="KV710" s="27" t="s">
        <v>7</v>
      </c>
      <c r="KW710" s="27" t="s">
        <v>8</v>
      </c>
      <c r="MJ710" s="27" t="s">
        <v>7</v>
      </c>
      <c r="MQ710" s="27" t="s">
        <v>8</v>
      </c>
      <c r="MU710" s="27" t="s">
        <v>8</v>
      </c>
      <c r="MV710" s="27" t="s">
        <v>7</v>
      </c>
      <c r="MW710" s="27" t="s">
        <v>8</v>
      </c>
      <c r="MX710" s="27" t="s">
        <v>7</v>
      </c>
      <c r="NA710" s="27" t="s">
        <v>8</v>
      </c>
      <c r="NB710" s="27" t="s">
        <v>7</v>
      </c>
      <c r="NE710" s="27" t="s">
        <v>8</v>
      </c>
      <c r="NF710" s="27" t="s">
        <v>7</v>
      </c>
    </row>
    <row r="711" spans="1:370" x14ac:dyDescent="0.25">
      <c r="A711" s="7">
        <v>8.5818061750796232E-2</v>
      </c>
      <c r="B711"/>
      <c r="C711"/>
      <c r="D711"/>
      <c r="E711"/>
      <c r="F711" s="27" t="s">
        <v>7</v>
      </c>
      <c r="HC711" s="27" t="s">
        <v>8</v>
      </c>
      <c r="HD711" s="27" t="s">
        <v>7</v>
      </c>
      <c r="HE711" s="27" t="s">
        <v>8</v>
      </c>
      <c r="HF711" s="27" t="s">
        <v>7</v>
      </c>
      <c r="HG711" s="27" t="s">
        <v>8</v>
      </c>
      <c r="HH711" s="27" t="s">
        <v>7</v>
      </c>
      <c r="HI711" s="27" t="s">
        <v>8</v>
      </c>
      <c r="HJ711" s="27" t="s">
        <v>7</v>
      </c>
      <c r="HK711" s="27" t="s">
        <v>8</v>
      </c>
      <c r="HL711" s="27" t="s">
        <v>7</v>
      </c>
      <c r="HM711" s="27" t="s">
        <v>8</v>
      </c>
      <c r="KS711" s="27" t="s">
        <v>8</v>
      </c>
      <c r="KT711" s="27" t="s">
        <v>7</v>
      </c>
      <c r="KU711" s="27" t="s">
        <v>8</v>
      </c>
      <c r="KV711" s="27" t="s">
        <v>7</v>
      </c>
      <c r="KW711" s="27" t="s">
        <v>8</v>
      </c>
      <c r="MJ711" s="27" t="s">
        <v>7</v>
      </c>
      <c r="MK711" s="27" t="s">
        <v>8</v>
      </c>
      <c r="MM711" s="27" t="s">
        <v>8</v>
      </c>
      <c r="MQ711" s="27" t="s">
        <v>8</v>
      </c>
      <c r="MR711" s="27" t="s">
        <v>7</v>
      </c>
      <c r="MU711" s="27" t="s">
        <v>8</v>
      </c>
      <c r="MV711" s="27" t="s">
        <v>7</v>
      </c>
      <c r="MX711" s="27" t="s">
        <v>7</v>
      </c>
      <c r="NA711" s="27" t="s">
        <v>8</v>
      </c>
      <c r="NB711" s="27" t="s">
        <v>7</v>
      </c>
      <c r="NE711" s="27" t="s">
        <v>8</v>
      </c>
      <c r="NF711" s="27" t="s">
        <v>7</v>
      </c>
    </row>
    <row r="712" spans="1:370" x14ac:dyDescent="0.25">
      <c r="A712" s="7">
        <v>8.4135354657643366E-2</v>
      </c>
      <c r="B712"/>
      <c r="C712"/>
      <c r="D712"/>
      <c r="E712"/>
      <c r="F712" s="27" t="s">
        <v>7</v>
      </c>
      <c r="HC712" s="27" t="s">
        <v>8</v>
      </c>
      <c r="HD712" s="27" t="s">
        <v>7</v>
      </c>
      <c r="HE712" s="27" t="s">
        <v>8</v>
      </c>
      <c r="HF712" s="27" t="s">
        <v>7</v>
      </c>
      <c r="HG712" s="27" t="s">
        <v>8</v>
      </c>
      <c r="HH712" s="27" t="s">
        <v>7</v>
      </c>
      <c r="HI712" s="27" t="s">
        <v>8</v>
      </c>
      <c r="HJ712" s="27" t="s">
        <v>7</v>
      </c>
      <c r="HK712" s="27" t="s">
        <v>8</v>
      </c>
      <c r="HL712" s="27" t="s">
        <v>7</v>
      </c>
      <c r="HM712" s="27" t="s">
        <v>8</v>
      </c>
      <c r="HN712" s="27" t="s">
        <v>7</v>
      </c>
      <c r="HQ712" s="27" t="s">
        <v>8</v>
      </c>
      <c r="KS712" s="27" t="s">
        <v>8</v>
      </c>
      <c r="KT712" s="27" t="s">
        <v>7</v>
      </c>
      <c r="KU712" s="27" t="s">
        <v>8</v>
      </c>
      <c r="KV712" s="27" t="s">
        <v>7</v>
      </c>
      <c r="KW712" s="27" t="s">
        <v>8</v>
      </c>
      <c r="MJ712" s="27" t="s">
        <v>7</v>
      </c>
      <c r="MK712" s="27" t="s">
        <v>8</v>
      </c>
      <c r="ML712" s="27" t="s">
        <v>7</v>
      </c>
      <c r="MM712" s="27" t="s">
        <v>8</v>
      </c>
      <c r="MN712" s="27" t="s">
        <v>7</v>
      </c>
      <c r="MQ712" s="27" t="s">
        <v>8</v>
      </c>
      <c r="MR712" s="27" t="s">
        <v>7</v>
      </c>
      <c r="MU712" s="27" t="s">
        <v>8</v>
      </c>
      <c r="MX712" s="27" t="s">
        <v>7</v>
      </c>
      <c r="NA712" s="27" t="s">
        <v>8</v>
      </c>
      <c r="NB712" s="27" t="s">
        <v>7</v>
      </c>
      <c r="NE712" s="27" t="s">
        <v>8</v>
      </c>
      <c r="NF712" s="27" t="s">
        <v>7</v>
      </c>
    </row>
    <row r="713" spans="1:370" x14ac:dyDescent="0.25">
      <c r="A713" s="7">
        <v>8.248564182121898E-2</v>
      </c>
      <c r="B713"/>
      <c r="C713"/>
      <c r="D713"/>
      <c r="E713"/>
      <c r="F713" s="27" t="s">
        <v>7</v>
      </c>
      <c r="HC713" s="27" t="s">
        <v>8</v>
      </c>
      <c r="HD713" s="27" t="s">
        <v>7</v>
      </c>
      <c r="HE713" s="27" t="s">
        <v>8</v>
      </c>
      <c r="HF713" s="27" t="s">
        <v>7</v>
      </c>
      <c r="HG713" s="27" t="s">
        <v>8</v>
      </c>
      <c r="HH713" s="27" t="s">
        <v>7</v>
      </c>
      <c r="HJ713" s="27" t="s">
        <v>7</v>
      </c>
      <c r="HK713" s="27" t="s">
        <v>8</v>
      </c>
      <c r="HL713" s="27" t="s">
        <v>7</v>
      </c>
      <c r="HM713" s="27" t="s">
        <v>8</v>
      </c>
      <c r="HN713" s="27" t="s">
        <v>7</v>
      </c>
      <c r="HQ713" s="27" t="s">
        <v>8</v>
      </c>
      <c r="HR713" s="27" t="s">
        <v>7</v>
      </c>
      <c r="KS713" s="27" t="s">
        <v>8</v>
      </c>
      <c r="KT713" s="27" t="s">
        <v>7</v>
      </c>
      <c r="KU713" s="27" t="s">
        <v>8</v>
      </c>
      <c r="KV713" s="27" t="s">
        <v>7</v>
      </c>
      <c r="KW713" s="27" t="s">
        <v>8</v>
      </c>
      <c r="MJ713" s="27" t="s">
        <v>7</v>
      </c>
      <c r="MK713" s="27" t="s">
        <v>8</v>
      </c>
      <c r="ML713" s="27" t="s">
        <v>7</v>
      </c>
      <c r="MM713" s="27" t="s">
        <v>8</v>
      </c>
      <c r="MN713" s="27" t="s">
        <v>7</v>
      </c>
      <c r="MQ713" s="27" t="s">
        <v>8</v>
      </c>
      <c r="MR713" s="27" t="s">
        <v>7</v>
      </c>
      <c r="MU713" s="27" t="s">
        <v>8</v>
      </c>
      <c r="MX713" s="27" t="s">
        <v>7</v>
      </c>
      <c r="NA713" s="27" t="s">
        <v>8</v>
      </c>
      <c r="NB713" s="27" t="s">
        <v>7</v>
      </c>
      <c r="NE713" s="27" t="s">
        <v>8</v>
      </c>
      <c r="NF713" s="27" t="s">
        <v>7</v>
      </c>
    </row>
    <row r="714" spans="1:370" x14ac:dyDescent="0.25">
      <c r="A714" s="7">
        <v>8.0868276295312735E-2</v>
      </c>
      <c r="B714"/>
      <c r="C714"/>
      <c r="D714"/>
      <c r="E714"/>
      <c r="F714" s="27" t="s">
        <v>7</v>
      </c>
      <c r="HC714" s="27" t="s">
        <v>8</v>
      </c>
      <c r="HD714" s="27" t="s">
        <v>7</v>
      </c>
      <c r="HE714" s="27" t="s">
        <v>8</v>
      </c>
      <c r="HF714" s="27" t="s">
        <v>7</v>
      </c>
      <c r="HG714" s="27" t="s">
        <v>8</v>
      </c>
      <c r="HJ714" s="27" t="s">
        <v>7</v>
      </c>
      <c r="HK714" s="27" t="s">
        <v>8</v>
      </c>
      <c r="HL714" s="27" t="s">
        <v>7</v>
      </c>
      <c r="HM714" s="27" t="s">
        <v>8</v>
      </c>
      <c r="HN714" s="27" t="s">
        <v>7</v>
      </c>
      <c r="HQ714" s="27" t="s">
        <v>8</v>
      </c>
      <c r="HR714" s="27" t="s">
        <v>7</v>
      </c>
      <c r="IM714" s="27" t="s">
        <v>8</v>
      </c>
      <c r="KS714" s="27" t="s">
        <v>8</v>
      </c>
      <c r="KT714" s="27" t="s">
        <v>7</v>
      </c>
      <c r="KU714" s="27" t="s">
        <v>8</v>
      </c>
      <c r="KV714" s="27" t="s">
        <v>7</v>
      </c>
      <c r="MJ714" s="27" t="s">
        <v>7</v>
      </c>
      <c r="MK714" s="27" t="s">
        <v>8</v>
      </c>
      <c r="ML714" s="27" t="s">
        <v>7</v>
      </c>
      <c r="MM714" s="27" t="s">
        <v>8</v>
      </c>
      <c r="MN714" s="27" t="s">
        <v>7</v>
      </c>
      <c r="MQ714" s="27" t="s">
        <v>8</v>
      </c>
      <c r="MR714" s="27" t="s">
        <v>7</v>
      </c>
      <c r="MU714" s="27" t="s">
        <v>8</v>
      </c>
      <c r="MX714" s="27" t="s">
        <v>7</v>
      </c>
      <c r="NA714" s="27" t="s">
        <v>8</v>
      </c>
      <c r="NB714" s="27" t="s">
        <v>7</v>
      </c>
      <c r="NE714" s="27" t="s">
        <v>8</v>
      </c>
      <c r="NF714" s="27" t="s">
        <v>7</v>
      </c>
    </row>
    <row r="715" spans="1:370" x14ac:dyDescent="0.25">
      <c r="A715" s="7">
        <v>7.9282623818934056E-2</v>
      </c>
      <c r="B715"/>
      <c r="C715"/>
      <c r="D715"/>
      <c r="E715"/>
      <c r="F715" s="27" t="s">
        <v>7</v>
      </c>
      <c r="HC715" s="27" t="s">
        <v>8</v>
      </c>
      <c r="HD715" s="27" t="s">
        <v>7</v>
      </c>
      <c r="HE715" s="27" t="s">
        <v>8</v>
      </c>
      <c r="HF715" s="27" t="s">
        <v>7</v>
      </c>
      <c r="HG715" s="27" t="s">
        <v>8</v>
      </c>
      <c r="HJ715" s="27" t="s">
        <v>7</v>
      </c>
      <c r="HL715" s="27" t="s">
        <v>7</v>
      </c>
      <c r="HM715" s="27" t="s">
        <v>8</v>
      </c>
      <c r="HN715" s="27" t="s">
        <v>7</v>
      </c>
      <c r="HQ715" s="27" t="s">
        <v>8</v>
      </c>
      <c r="HR715" s="27" t="s">
        <v>7</v>
      </c>
      <c r="HS715" s="27" t="s">
        <v>8</v>
      </c>
      <c r="IM715" s="27" t="s">
        <v>8</v>
      </c>
      <c r="IN715" s="27" t="s">
        <v>7</v>
      </c>
      <c r="KS715" s="27" t="s">
        <v>8</v>
      </c>
      <c r="KT715" s="27" t="s">
        <v>7</v>
      </c>
      <c r="KU715" s="27" t="s">
        <v>8</v>
      </c>
      <c r="MJ715" s="27" t="s">
        <v>7</v>
      </c>
      <c r="MK715" s="27" t="s">
        <v>8</v>
      </c>
      <c r="ML715" s="27" t="s">
        <v>7</v>
      </c>
      <c r="MM715" s="27" t="s">
        <v>8</v>
      </c>
      <c r="MN715" s="27" t="s">
        <v>7</v>
      </c>
      <c r="MQ715" s="27" t="s">
        <v>8</v>
      </c>
      <c r="MR715" s="27" t="s">
        <v>7</v>
      </c>
      <c r="MU715" s="27" t="s">
        <v>8</v>
      </c>
      <c r="MX715" s="27" t="s">
        <v>7</v>
      </c>
      <c r="NA715" s="27" t="s">
        <v>8</v>
      </c>
      <c r="NB715" s="27" t="s">
        <v>7</v>
      </c>
      <c r="NE715" s="27" t="s">
        <v>8</v>
      </c>
      <c r="NF715" s="27" t="s">
        <v>7</v>
      </c>
    </row>
    <row r="716" spans="1:370" x14ac:dyDescent="0.25">
      <c r="A716" s="7">
        <v>7.7728062567582412E-2</v>
      </c>
      <c r="B716"/>
      <c r="C716"/>
      <c r="D716"/>
      <c r="E716"/>
      <c r="F716" s="27" t="s">
        <v>7</v>
      </c>
      <c r="HC716" s="27" t="s">
        <v>8</v>
      </c>
      <c r="HD716" s="27" t="s">
        <v>7</v>
      </c>
      <c r="HE716" s="27" t="s">
        <v>8</v>
      </c>
      <c r="HF716" s="27" t="s">
        <v>7</v>
      </c>
      <c r="HG716" s="27" t="s">
        <v>8</v>
      </c>
      <c r="HL716" s="27" t="s">
        <v>7</v>
      </c>
      <c r="HM716" s="27" t="s">
        <v>8</v>
      </c>
      <c r="HN716" s="27" t="s">
        <v>7</v>
      </c>
      <c r="HQ716" s="27" t="s">
        <v>8</v>
      </c>
      <c r="HR716" s="27" t="s">
        <v>7</v>
      </c>
      <c r="HS716" s="27" t="s">
        <v>8</v>
      </c>
      <c r="HT716" s="27" t="s">
        <v>7</v>
      </c>
      <c r="IM716" s="27" t="s">
        <v>8</v>
      </c>
      <c r="IN716" s="27" t="s">
        <v>7</v>
      </c>
      <c r="KS716" s="27" t="s">
        <v>8</v>
      </c>
      <c r="KT716" s="27" t="s">
        <v>7</v>
      </c>
      <c r="KU716" s="27" t="s">
        <v>8</v>
      </c>
      <c r="MJ716" s="27" t="s">
        <v>7</v>
      </c>
      <c r="MK716" s="27" t="s">
        <v>8</v>
      </c>
      <c r="ML716" s="27" t="s">
        <v>7</v>
      </c>
      <c r="MM716" s="27" t="s">
        <v>8</v>
      </c>
      <c r="MN716" s="27" t="s">
        <v>7</v>
      </c>
      <c r="MQ716" s="27" t="s">
        <v>8</v>
      </c>
      <c r="MR716" s="27" t="s">
        <v>7</v>
      </c>
      <c r="MU716" s="27" t="s">
        <v>8</v>
      </c>
      <c r="MX716" s="27" t="s">
        <v>7</v>
      </c>
      <c r="MY716" s="27" t="s">
        <v>8</v>
      </c>
      <c r="NA716" s="27" t="s">
        <v>8</v>
      </c>
      <c r="NB716" s="27" t="s">
        <v>7</v>
      </c>
      <c r="NE716" s="27" t="s">
        <v>8</v>
      </c>
      <c r="NF716" s="27" t="s">
        <v>7</v>
      </c>
    </row>
    <row r="717" spans="1:370" x14ac:dyDescent="0.25">
      <c r="A717" s="7">
        <v>7.6203982909394521E-2</v>
      </c>
      <c r="B717"/>
      <c r="C717"/>
      <c r="D717"/>
      <c r="E717"/>
      <c r="F717" s="27" t="s">
        <v>7</v>
      </c>
      <c r="HC717" s="27" t="s">
        <v>8</v>
      </c>
      <c r="HD717" s="27" t="s">
        <v>7</v>
      </c>
      <c r="HE717" s="27" t="s">
        <v>8</v>
      </c>
      <c r="HF717" s="27" t="s">
        <v>7</v>
      </c>
      <c r="HG717" s="27" t="s">
        <v>8</v>
      </c>
      <c r="HL717" s="27" t="s">
        <v>7</v>
      </c>
      <c r="HN717" s="27" t="s">
        <v>7</v>
      </c>
      <c r="HQ717" s="27" t="s">
        <v>8</v>
      </c>
      <c r="HR717" s="27" t="s">
        <v>7</v>
      </c>
      <c r="HS717" s="27" t="s">
        <v>8</v>
      </c>
      <c r="HT717" s="27" t="s">
        <v>7</v>
      </c>
      <c r="IA717" s="27" t="s">
        <v>8</v>
      </c>
      <c r="IM717" s="27" t="s">
        <v>8</v>
      </c>
      <c r="IN717" s="27" t="s">
        <v>7</v>
      </c>
      <c r="KS717" s="27" t="s">
        <v>8</v>
      </c>
      <c r="KT717" s="27" t="s">
        <v>7</v>
      </c>
      <c r="KU717" s="27" t="s">
        <v>8</v>
      </c>
      <c r="MJ717" s="27" t="s">
        <v>7</v>
      </c>
      <c r="MK717" s="27" t="s">
        <v>8</v>
      </c>
      <c r="ML717" s="27" t="s">
        <v>7</v>
      </c>
      <c r="MM717" s="27" t="s">
        <v>8</v>
      </c>
      <c r="MN717" s="27" t="s">
        <v>7</v>
      </c>
      <c r="MQ717" s="27" t="s">
        <v>8</v>
      </c>
      <c r="MR717" s="27" t="s">
        <v>7</v>
      </c>
      <c r="MS717" s="27" t="s">
        <v>8</v>
      </c>
      <c r="MU717" s="27" t="s">
        <v>8</v>
      </c>
      <c r="MX717" s="27" t="s">
        <v>7</v>
      </c>
      <c r="MY717" s="27" t="s">
        <v>8</v>
      </c>
      <c r="MZ717" s="27" t="s">
        <v>7</v>
      </c>
      <c r="NA717" s="27" t="s">
        <v>8</v>
      </c>
      <c r="NB717" s="27" t="s">
        <v>7</v>
      </c>
      <c r="NE717" s="27" t="s">
        <v>8</v>
      </c>
      <c r="NF717" s="27" t="s">
        <v>7</v>
      </c>
    </row>
    <row r="718" spans="1:370" x14ac:dyDescent="0.25">
      <c r="A718" s="7">
        <v>7.4709787166073058E-2</v>
      </c>
      <c r="B718"/>
      <c r="C718"/>
      <c r="D718"/>
      <c r="E718"/>
      <c r="F718" s="27" t="s">
        <v>7</v>
      </c>
      <c r="HC718" s="27" t="s">
        <v>8</v>
      </c>
      <c r="HD718" s="27" t="s">
        <v>7</v>
      </c>
      <c r="HE718" s="27" t="s">
        <v>8</v>
      </c>
      <c r="HF718" s="27" t="s">
        <v>7</v>
      </c>
      <c r="HG718" s="27" t="s">
        <v>8</v>
      </c>
      <c r="HN718" s="27" t="s">
        <v>7</v>
      </c>
      <c r="HO718" s="27" t="s">
        <v>8</v>
      </c>
      <c r="HQ718" s="27" t="s">
        <v>8</v>
      </c>
      <c r="HR718" s="27" t="s">
        <v>7</v>
      </c>
      <c r="HS718" s="27" t="s">
        <v>8</v>
      </c>
      <c r="HT718" s="27" t="s">
        <v>7</v>
      </c>
      <c r="IA718" s="27" t="s">
        <v>8</v>
      </c>
      <c r="IB718" s="27" t="s">
        <v>7</v>
      </c>
      <c r="IM718" s="27" t="s">
        <v>8</v>
      </c>
      <c r="IN718" s="27" t="s">
        <v>7</v>
      </c>
      <c r="KS718" s="27" t="s">
        <v>8</v>
      </c>
      <c r="KT718" s="27" t="s">
        <v>7</v>
      </c>
      <c r="KU718" s="27" t="s">
        <v>8</v>
      </c>
      <c r="MJ718" s="27" t="s">
        <v>7</v>
      </c>
      <c r="MK718" s="27" t="s">
        <v>8</v>
      </c>
      <c r="ML718" s="27" t="s">
        <v>7</v>
      </c>
      <c r="MM718" s="27" t="s">
        <v>8</v>
      </c>
      <c r="MN718" s="27" t="s">
        <v>7</v>
      </c>
      <c r="MQ718" s="27" t="s">
        <v>8</v>
      </c>
      <c r="MR718" s="27" t="s">
        <v>7</v>
      </c>
      <c r="MS718" s="27" t="s">
        <v>8</v>
      </c>
      <c r="MT718" s="27" t="s">
        <v>7</v>
      </c>
      <c r="MU718" s="27" t="s">
        <v>8</v>
      </c>
      <c r="MX718" s="27" t="s">
        <v>7</v>
      </c>
      <c r="MY718" s="27" t="s">
        <v>8</v>
      </c>
      <c r="MZ718" s="27" t="s">
        <v>7</v>
      </c>
      <c r="NA718" s="27" t="s">
        <v>8</v>
      </c>
      <c r="NB718" s="27" t="s">
        <v>7</v>
      </c>
      <c r="NE718" s="27" t="s">
        <v>8</v>
      </c>
      <c r="NF718" s="27" t="s">
        <v>7</v>
      </c>
    </row>
    <row r="719" spans="1:370" x14ac:dyDescent="0.25">
      <c r="A719" s="7">
        <v>7.3244889378503E-2</v>
      </c>
      <c r="B719"/>
      <c r="C719"/>
      <c r="D719"/>
      <c r="E719"/>
      <c r="F719" s="27" t="s">
        <v>7</v>
      </c>
      <c r="HC719" s="27" t="s">
        <v>8</v>
      </c>
      <c r="HD719" s="27" t="s">
        <v>7</v>
      </c>
      <c r="HE719" s="27" t="s">
        <v>8</v>
      </c>
      <c r="HF719" s="27" t="s">
        <v>7</v>
      </c>
      <c r="HG719" s="27" t="s">
        <v>8</v>
      </c>
      <c r="HN719" s="27" t="s">
        <v>7</v>
      </c>
      <c r="HO719" s="27" t="s">
        <v>8</v>
      </c>
      <c r="HP719" s="27" t="s">
        <v>7</v>
      </c>
      <c r="HQ719" s="27" t="s">
        <v>8</v>
      </c>
      <c r="HR719" s="27" t="s">
        <v>7</v>
      </c>
      <c r="HS719" s="27" t="s">
        <v>8</v>
      </c>
      <c r="HT719" s="27" t="s">
        <v>7</v>
      </c>
      <c r="IA719" s="27" t="s">
        <v>8</v>
      </c>
      <c r="IB719" s="27" t="s">
        <v>7</v>
      </c>
      <c r="IC719" s="27" t="s">
        <v>8</v>
      </c>
      <c r="IM719" s="27" t="s">
        <v>8</v>
      </c>
      <c r="IN719" s="27" t="s">
        <v>7</v>
      </c>
      <c r="KS719" s="27" t="s">
        <v>8</v>
      </c>
      <c r="KT719" s="27" t="s">
        <v>7</v>
      </c>
      <c r="KU719" s="27" t="s">
        <v>8</v>
      </c>
      <c r="MJ719" s="27" t="s">
        <v>7</v>
      </c>
      <c r="MK719" s="27" t="s">
        <v>8</v>
      </c>
      <c r="ML719" s="27" t="s">
        <v>7</v>
      </c>
      <c r="MM719" s="27" t="s">
        <v>8</v>
      </c>
      <c r="MN719" s="27" t="s">
        <v>7</v>
      </c>
      <c r="MQ719" s="27" t="s">
        <v>8</v>
      </c>
      <c r="MR719" s="27" t="s">
        <v>7</v>
      </c>
      <c r="MS719" s="27" t="s">
        <v>8</v>
      </c>
      <c r="MT719" s="27" t="s">
        <v>7</v>
      </c>
      <c r="MU719" s="27" t="s">
        <v>8</v>
      </c>
      <c r="MX719" s="27" t="s">
        <v>7</v>
      </c>
      <c r="MY719" s="27" t="s">
        <v>8</v>
      </c>
      <c r="MZ719" s="27" t="s">
        <v>7</v>
      </c>
      <c r="NB719" s="27" t="s">
        <v>7</v>
      </c>
      <c r="NE719" s="27" t="s">
        <v>8</v>
      </c>
      <c r="NF719" s="27" t="s">
        <v>7</v>
      </c>
    </row>
    <row r="720" spans="1:370" x14ac:dyDescent="0.25">
      <c r="A720" s="7">
        <v>7.1808715076963722E-2</v>
      </c>
      <c r="B720"/>
      <c r="C720"/>
      <c r="D720"/>
      <c r="E720"/>
      <c r="F720" s="27" t="s">
        <v>7</v>
      </c>
      <c r="HC720" s="27" t="s">
        <v>8</v>
      </c>
      <c r="HD720" s="27" t="s">
        <v>7</v>
      </c>
      <c r="HE720" s="27" t="s">
        <v>8</v>
      </c>
      <c r="HF720" s="27" t="s">
        <v>7</v>
      </c>
      <c r="HG720" s="27" t="s">
        <v>8</v>
      </c>
      <c r="HN720" s="27" t="s">
        <v>7</v>
      </c>
      <c r="HO720" s="27" t="s">
        <v>8</v>
      </c>
      <c r="HP720" s="27" t="s">
        <v>7</v>
      </c>
      <c r="HQ720" s="27" t="s">
        <v>8</v>
      </c>
      <c r="HR720" s="27" t="s">
        <v>7</v>
      </c>
      <c r="HS720" s="27" t="s">
        <v>8</v>
      </c>
      <c r="HT720" s="27" t="s">
        <v>7</v>
      </c>
      <c r="IA720" s="27" t="s">
        <v>8</v>
      </c>
      <c r="IB720" s="27" t="s">
        <v>7</v>
      </c>
      <c r="IC720" s="27" t="s">
        <v>8</v>
      </c>
      <c r="ID720" s="27" t="s">
        <v>7</v>
      </c>
      <c r="IM720" s="27" t="s">
        <v>8</v>
      </c>
      <c r="IN720" s="27" t="s">
        <v>7</v>
      </c>
      <c r="KS720" s="27" t="s">
        <v>8</v>
      </c>
      <c r="KT720" s="27" t="s">
        <v>7</v>
      </c>
      <c r="KU720" s="27" t="s">
        <v>8</v>
      </c>
      <c r="MJ720" s="27" t="s">
        <v>7</v>
      </c>
      <c r="MK720" s="27" t="s">
        <v>8</v>
      </c>
      <c r="ML720" s="27" t="s">
        <v>7</v>
      </c>
      <c r="MM720" s="27" t="s">
        <v>8</v>
      </c>
      <c r="MN720" s="27" t="s">
        <v>7</v>
      </c>
      <c r="MO720" s="27" t="s">
        <v>8</v>
      </c>
      <c r="MQ720" s="27" t="s">
        <v>8</v>
      </c>
      <c r="MR720" s="27" t="s">
        <v>7</v>
      </c>
      <c r="MS720" s="27" t="s">
        <v>8</v>
      </c>
      <c r="MT720" s="27" t="s">
        <v>7</v>
      </c>
      <c r="MU720" s="27" t="s">
        <v>8</v>
      </c>
      <c r="MX720" s="27" t="s">
        <v>7</v>
      </c>
      <c r="MY720" s="27" t="s">
        <v>8</v>
      </c>
      <c r="NB720" s="27" t="s">
        <v>7</v>
      </c>
      <c r="NE720" s="27" t="s">
        <v>8</v>
      </c>
      <c r="NF720" s="27" t="s">
        <v>7</v>
      </c>
    </row>
    <row r="721" spans="1:374" x14ac:dyDescent="0.25">
      <c r="A721" s="7">
        <v>7.0400701055846782E-2</v>
      </c>
      <c r="B721"/>
      <c r="C721"/>
      <c r="D721"/>
      <c r="E721"/>
      <c r="F721" s="27" t="s">
        <v>7</v>
      </c>
      <c r="HC721" s="27" t="s">
        <v>8</v>
      </c>
      <c r="HD721" s="27" t="s">
        <v>7</v>
      </c>
      <c r="HE721" s="27" t="s">
        <v>8</v>
      </c>
      <c r="HF721" s="27" t="s">
        <v>7</v>
      </c>
      <c r="HG721" s="27" t="s">
        <v>8</v>
      </c>
      <c r="HN721" s="27" t="s">
        <v>7</v>
      </c>
      <c r="HO721" s="27" t="s">
        <v>8</v>
      </c>
      <c r="HP721" s="27" t="s">
        <v>7</v>
      </c>
      <c r="HQ721" s="27" t="s">
        <v>8</v>
      </c>
      <c r="HR721" s="27" t="s">
        <v>7</v>
      </c>
      <c r="HS721" s="27" t="s">
        <v>8</v>
      </c>
      <c r="HT721" s="27" t="s">
        <v>7</v>
      </c>
      <c r="HY721" s="27" t="s">
        <v>8</v>
      </c>
      <c r="IA721" s="27" t="s">
        <v>8</v>
      </c>
      <c r="IB721" s="27" t="s">
        <v>7</v>
      </c>
      <c r="IC721" s="27" t="s">
        <v>8</v>
      </c>
      <c r="ID721" s="27" t="s">
        <v>7</v>
      </c>
      <c r="IM721" s="27" t="s">
        <v>8</v>
      </c>
      <c r="IN721" s="27" t="s">
        <v>7</v>
      </c>
      <c r="KQ721" s="27" t="s">
        <v>8</v>
      </c>
      <c r="KS721" s="27" t="s">
        <v>8</v>
      </c>
      <c r="KT721" s="27" t="s">
        <v>7</v>
      </c>
      <c r="MJ721" s="27" t="s">
        <v>7</v>
      </c>
      <c r="MK721" s="27" t="s">
        <v>8</v>
      </c>
      <c r="ML721" s="27" t="s">
        <v>7</v>
      </c>
      <c r="MM721" s="27" t="s">
        <v>8</v>
      </c>
      <c r="MN721" s="27" t="s">
        <v>7</v>
      </c>
      <c r="MO721" s="27" t="s">
        <v>8</v>
      </c>
      <c r="MP721" s="27" t="s">
        <v>7</v>
      </c>
      <c r="MQ721" s="27" t="s">
        <v>8</v>
      </c>
      <c r="MR721" s="27" t="s">
        <v>7</v>
      </c>
      <c r="MS721" s="27" t="s">
        <v>8</v>
      </c>
      <c r="MT721" s="27" t="s">
        <v>7</v>
      </c>
      <c r="MX721" s="27" t="s">
        <v>7</v>
      </c>
      <c r="NB721" s="27" t="s">
        <v>7</v>
      </c>
      <c r="NE721" s="27" t="s">
        <v>8</v>
      </c>
      <c r="NF721" s="27" t="s">
        <v>7</v>
      </c>
    </row>
    <row r="722" spans="1:374" x14ac:dyDescent="0.25">
      <c r="A722" s="7">
        <v>6.9020295152790956E-2</v>
      </c>
      <c r="B722"/>
      <c r="C722"/>
      <c r="D722"/>
      <c r="E722"/>
      <c r="F722" s="27" t="s">
        <v>7</v>
      </c>
      <c r="HC722" s="27" t="s">
        <v>8</v>
      </c>
      <c r="HD722" s="27" t="s">
        <v>7</v>
      </c>
      <c r="HE722" s="27" t="s">
        <v>8</v>
      </c>
      <c r="HF722" s="27" t="s">
        <v>7</v>
      </c>
      <c r="HG722" s="27" t="s">
        <v>8</v>
      </c>
      <c r="HN722" s="27" t="s">
        <v>7</v>
      </c>
      <c r="HO722" s="27" t="s">
        <v>8</v>
      </c>
      <c r="HP722" s="27" t="s">
        <v>7</v>
      </c>
      <c r="HQ722" s="27" t="s">
        <v>8</v>
      </c>
      <c r="HR722" s="27" t="s">
        <v>7</v>
      </c>
      <c r="HS722" s="27" t="s">
        <v>8</v>
      </c>
      <c r="HT722" s="27" t="s">
        <v>7</v>
      </c>
      <c r="HY722" s="27" t="s">
        <v>8</v>
      </c>
      <c r="HZ722" s="27" t="s">
        <v>7</v>
      </c>
      <c r="IA722" s="27" t="s">
        <v>8</v>
      </c>
      <c r="IB722" s="27" t="s">
        <v>7</v>
      </c>
      <c r="IC722" s="27" t="s">
        <v>8</v>
      </c>
      <c r="ID722" s="27" t="s">
        <v>7</v>
      </c>
      <c r="IM722" s="27" t="s">
        <v>8</v>
      </c>
      <c r="IN722" s="27" t="s">
        <v>7</v>
      </c>
      <c r="KQ722" s="27" t="s">
        <v>8</v>
      </c>
      <c r="KR722" s="27" t="s">
        <v>7</v>
      </c>
      <c r="KS722" s="27" t="s">
        <v>8</v>
      </c>
      <c r="MJ722" s="27" t="s">
        <v>7</v>
      </c>
      <c r="MK722" s="27" t="s">
        <v>8</v>
      </c>
      <c r="ML722" s="27" t="s">
        <v>7</v>
      </c>
      <c r="MM722" s="27" t="s">
        <v>8</v>
      </c>
      <c r="MN722" s="27" t="s">
        <v>7</v>
      </c>
      <c r="MO722" s="27" t="s">
        <v>8</v>
      </c>
      <c r="MP722" s="27" t="s">
        <v>7</v>
      </c>
      <c r="MQ722" s="27" t="s">
        <v>8</v>
      </c>
      <c r="MR722" s="27" t="s">
        <v>7</v>
      </c>
      <c r="MS722" s="27" t="s">
        <v>8</v>
      </c>
      <c r="NB722" s="27" t="s">
        <v>7</v>
      </c>
      <c r="NC722" s="27" t="s">
        <v>8</v>
      </c>
      <c r="NE722" s="27" t="s">
        <v>8</v>
      </c>
      <c r="NF722" s="27" t="s">
        <v>7</v>
      </c>
    </row>
    <row r="723" spans="1:374" x14ac:dyDescent="0.25">
      <c r="A723" s="7">
        <v>6.7666956032147993E-2</v>
      </c>
      <c r="B723"/>
      <c r="C723"/>
      <c r="D723"/>
      <c r="E723"/>
      <c r="F723" s="27" t="s">
        <v>7</v>
      </c>
      <c r="HC723" s="27" t="s">
        <v>8</v>
      </c>
      <c r="HD723" s="27" t="s">
        <v>7</v>
      </c>
      <c r="HE723" s="27" t="s">
        <v>8</v>
      </c>
      <c r="HF723" s="27" t="s">
        <v>7</v>
      </c>
      <c r="HG723" s="27" t="s">
        <v>8</v>
      </c>
      <c r="HN723" s="27" t="s">
        <v>7</v>
      </c>
      <c r="HO723" s="27" t="s">
        <v>8</v>
      </c>
      <c r="HP723" s="27" t="s">
        <v>7</v>
      </c>
      <c r="HQ723" s="27" t="s">
        <v>8</v>
      </c>
      <c r="HR723" s="27" t="s">
        <v>7</v>
      </c>
      <c r="HS723" s="27" t="s">
        <v>8</v>
      </c>
      <c r="HT723" s="27" t="s">
        <v>7</v>
      </c>
      <c r="HY723" s="27" t="s">
        <v>8</v>
      </c>
      <c r="HZ723" s="27" t="s">
        <v>7</v>
      </c>
      <c r="IA723" s="27" t="s">
        <v>8</v>
      </c>
      <c r="IB723" s="27" t="s">
        <v>7</v>
      </c>
      <c r="ID723" s="27" t="s">
        <v>7</v>
      </c>
      <c r="IM723" s="27" t="s">
        <v>8</v>
      </c>
      <c r="IN723" s="27" t="s">
        <v>7</v>
      </c>
      <c r="KQ723" s="27" t="s">
        <v>8</v>
      </c>
      <c r="KR723" s="27" t="s">
        <v>7</v>
      </c>
      <c r="KS723" s="27" t="s">
        <v>8</v>
      </c>
      <c r="MJ723" s="27" t="s">
        <v>7</v>
      </c>
      <c r="MK723" s="27" t="s">
        <v>8</v>
      </c>
      <c r="ML723" s="27" t="s">
        <v>7</v>
      </c>
      <c r="MM723" s="27" t="s">
        <v>8</v>
      </c>
      <c r="MN723" s="27" t="s">
        <v>7</v>
      </c>
      <c r="MO723" s="27" t="s">
        <v>8</v>
      </c>
      <c r="MP723" s="27" t="s">
        <v>7</v>
      </c>
      <c r="MQ723" s="27" t="s">
        <v>8</v>
      </c>
      <c r="MR723" s="27" t="s">
        <v>7</v>
      </c>
      <c r="NB723" s="27" t="s">
        <v>7</v>
      </c>
      <c r="NC723" s="27" t="s">
        <v>8</v>
      </c>
      <c r="ND723" s="27" t="s">
        <v>7</v>
      </c>
      <c r="NE723" s="27" t="s">
        <v>8</v>
      </c>
      <c r="NF723" s="27" t="s">
        <v>7</v>
      </c>
    </row>
    <row r="724" spans="1:374" x14ac:dyDescent="0.25">
      <c r="A724" s="7">
        <v>6.6340152972694105E-2</v>
      </c>
      <c r="B724"/>
      <c r="C724"/>
      <c r="D724"/>
      <c r="E724"/>
      <c r="F724" s="27" t="s">
        <v>7</v>
      </c>
      <c r="HA724" s="27" t="s">
        <v>8</v>
      </c>
      <c r="HC724" s="27" t="s">
        <v>8</v>
      </c>
      <c r="HD724" s="27" t="s">
        <v>7</v>
      </c>
      <c r="HF724" s="27" t="s">
        <v>7</v>
      </c>
      <c r="HN724" s="27" t="s">
        <v>7</v>
      </c>
      <c r="HO724" s="27" t="s">
        <v>8</v>
      </c>
      <c r="HP724" s="27" t="s">
        <v>7</v>
      </c>
      <c r="HQ724" s="27" t="s">
        <v>8</v>
      </c>
      <c r="HR724" s="27" t="s">
        <v>7</v>
      </c>
      <c r="HS724" s="27" t="s">
        <v>8</v>
      </c>
      <c r="HT724" s="27" t="s">
        <v>7</v>
      </c>
      <c r="HY724" s="27" t="s">
        <v>8</v>
      </c>
      <c r="HZ724" s="27" t="s">
        <v>7</v>
      </c>
      <c r="IA724" s="27" t="s">
        <v>8</v>
      </c>
      <c r="ID724" s="27" t="s">
        <v>7</v>
      </c>
      <c r="IM724" s="27" t="s">
        <v>8</v>
      </c>
      <c r="IN724" s="27" t="s">
        <v>7</v>
      </c>
      <c r="KQ724" s="27" t="s">
        <v>8</v>
      </c>
      <c r="KR724" s="27" t="s">
        <v>7</v>
      </c>
      <c r="KS724" s="27" t="s">
        <v>8</v>
      </c>
      <c r="MJ724" s="27" t="s">
        <v>7</v>
      </c>
      <c r="MK724" s="27" t="s">
        <v>8</v>
      </c>
      <c r="ML724" s="27" t="s">
        <v>7</v>
      </c>
      <c r="MM724" s="27" t="s">
        <v>8</v>
      </c>
      <c r="MN724" s="27" t="s">
        <v>7</v>
      </c>
      <c r="MO724" s="27" t="s">
        <v>8</v>
      </c>
      <c r="MP724" s="27" t="s">
        <v>7</v>
      </c>
      <c r="MQ724" s="27" t="s">
        <v>8</v>
      </c>
      <c r="NB724" s="27" t="s">
        <v>7</v>
      </c>
      <c r="NC724" s="27" t="s">
        <v>8</v>
      </c>
      <c r="ND724" s="27" t="s">
        <v>7</v>
      </c>
      <c r="NE724" s="27" t="s">
        <v>8</v>
      </c>
      <c r="NF724" s="27" t="s">
        <v>7</v>
      </c>
    </row>
    <row r="725" spans="1:374" x14ac:dyDescent="0.25">
      <c r="A725" s="7">
        <v>6.5039365659504023E-2</v>
      </c>
      <c r="B725"/>
      <c r="C725"/>
      <c r="D725"/>
      <c r="E725"/>
      <c r="F725" s="27" t="s">
        <v>7</v>
      </c>
      <c r="HA725" s="27" t="s">
        <v>8</v>
      </c>
      <c r="HB725" s="27" t="s">
        <v>7</v>
      </c>
      <c r="HC725" s="27" t="s">
        <v>8</v>
      </c>
      <c r="HN725" s="27" t="s">
        <v>7</v>
      </c>
      <c r="HO725" s="27" t="s">
        <v>8</v>
      </c>
      <c r="HP725" s="27" t="s">
        <v>7</v>
      </c>
      <c r="HQ725" s="27" t="s">
        <v>8</v>
      </c>
      <c r="HR725" s="27" t="s">
        <v>7</v>
      </c>
      <c r="HT725" s="27" t="s">
        <v>7</v>
      </c>
      <c r="HY725" s="27" t="s">
        <v>8</v>
      </c>
      <c r="HZ725" s="27" t="s">
        <v>7</v>
      </c>
      <c r="IA725" s="27" t="s">
        <v>8</v>
      </c>
      <c r="ID725" s="27" t="s">
        <v>7</v>
      </c>
      <c r="IE725" s="27" t="s">
        <v>8</v>
      </c>
      <c r="IM725" s="27" t="s">
        <v>8</v>
      </c>
      <c r="IN725" s="27" t="s">
        <v>7</v>
      </c>
      <c r="KQ725" s="27" t="s">
        <v>8</v>
      </c>
      <c r="KR725" s="27" t="s">
        <v>7</v>
      </c>
      <c r="KS725" s="27" t="s">
        <v>8</v>
      </c>
      <c r="MJ725" s="27" t="s">
        <v>7</v>
      </c>
      <c r="MK725" s="27" t="s">
        <v>8</v>
      </c>
      <c r="ML725" s="27" t="s">
        <v>7</v>
      </c>
      <c r="MM725" s="27" t="s">
        <v>8</v>
      </c>
      <c r="MN725" s="27" t="s">
        <v>7</v>
      </c>
      <c r="MP725" s="27" t="s">
        <v>7</v>
      </c>
      <c r="MQ725" s="27" t="s">
        <v>8</v>
      </c>
      <c r="NB725" s="27" t="s">
        <v>7</v>
      </c>
      <c r="NC725" s="27" t="s">
        <v>8</v>
      </c>
      <c r="ND725" s="27" t="s">
        <v>7</v>
      </c>
      <c r="NE725" s="27" t="s">
        <v>8</v>
      </c>
      <c r="NF725" s="27" t="s">
        <v>7</v>
      </c>
    </row>
    <row r="726" spans="1:374" x14ac:dyDescent="0.25">
      <c r="A726" s="7">
        <v>6.3764083979905906E-2</v>
      </c>
      <c r="B726"/>
      <c r="C726"/>
      <c r="D726"/>
      <c r="E726"/>
      <c r="F726" s="27" t="s">
        <v>7</v>
      </c>
      <c r="HA726" s="27" t="s">
        <v>8</v>
      </c>
      <c r="HB726" s="27" t="s">
        <v>7</v>
      </c>
      <c r="HC726" s="27" t="s">
        <v>8</v>
      </c>
      <c r="HN726" s="27" t="s">
        <v>7</v>
      </c>
      <c r="HO726" s="27" t="s">
        <v>8</v>
      </c>
      <c r="HP726" s="27" t="s">
        <v>7</v>
      </c>
      <c r="HQ726" s="27" t="s">
        <v>8</v>
      </c>
      <c r="HT726" s="27" t="s">
        <v>7</v>
      </c>
      <c r="HY726" s="27" t="s">
        <v>8</v>
      </c>
      <c r="HZ726" s="27" t="s">
        <v>7</v>
      </c>
      <c r="IA726" s="27" t="s">
        <v>8</v>
      </c>
      <c r="ID726" s="27" t="s">
        <v>7</v>
      </c>
      <c r="IE726" s="27" t="s">
        <v>8</v>
      </c>
      <c r="IF726" s="27" t="s">
        <v>7</v>
      </c>
      <c r="IM726" s="27" t="s">
        <v>8</v>
      </c>
      <c r="IN726" s="27" t="s">
        <v>7</v>
      </c>
      <c r="KQ726" s="27" t="s">
        <v>8</v>
      </c>
      <c r="KR726" s="27" t="s">
        <v>7</v>
      </c>
      <c r="KS726" s="27" t="s">
        <v>8</v>
      </c>
      <c r="MJ726" s="27" t="s">
        <v>7</v>
      </c>
      <c r="MK726" s="27" t="s">
        <v>8</v>
      </c>
      <c r="ML726" s="27" t="s">
        <v>7</v>
      </c>
      <c r="MP726" s="27" t="s">
        <v>7</v>
      </c>
      <c r="MQ726" s="27" t="s">
        <v>8</v>
      </c>
      <c r="NB726" s="27" t="s">
        <v>7</v>
      </c>
      <c r="NC726" s="27" t="s">
        <v>8</v>
      </c>
      <c r="ND726" s="27" t="s">
        <v>7</v>
      </c>
      <c r="NE726" s="27" t="s">
        <v>8</v>
      </c>
      <c r="NF726" s="27" t="s">
        <v>7</v>
      </c>
    </row>
    <row r="727" spans="1:374" x14ac:dyDescent="0.25">
      <c r="A727" s="7">
        <v>6.251380782343717E-2</v>
      </c>
      <c r="B727"/>
      <c r="C727"/>
      <c r="D727"/>
      <c r="E727"/>
      <c r="F727" s="27" t="s">
        <v>7</v>
      </c>
      <c r="HA727" s="27" t="s">
        <v>8</v>
      </c>
      <c r="HB727" s="27" t="s">
        <v>7</v>
      </c>
      <c r="HC727" s="27" t="s">
        <v>8</v>
      </c>
      <c r="HN727" s="27" t="s">
        <v>7</v>
      </c>
      <c r="HO727" s="27" t="s">
        <v>8</v>
      </c>
      <c r="HP727" s="27" t="s">
        <v>7</v>
      </c>
      <c r="HQ727" s="27" t="s">
        <v>8</v>
      </c>
      <c r="HT727" s="27" t="s">
        <v>7</v>
      </c>
      <c r="HU727" s="27" t="s">
        <v>8</v>
      </c>
      <c r="HY727" s="27" t="s">
        <v>8</v>
      </c>
      <c r="HZ727" s="27" t="s">
        <v>7</v>
      </c>
      <c r="IA727" s="27" t="s">
        <v>8</v>
      </c>
      <c r="ID727" s="27" t="s">
        <v>7</v>
      </c>
      <c r="IE727" s="27" t="s">
        <v>8</v>
      </c>
      <c r="IF727" s="27" t="s">
        <v>7</v>
      </c>
      <c r="IK727" s="27" t="s">
        <v>8</v>
      </c>
      <c r="IM727" s="27" t="s">
        <v>8</v>
      </c>
      <c r="IN727" s="27" t="s">
        <v>7</v>
      </c>
      <c r="KO727" s="27" t="s">
        <v>8</v>
      </c>
      <c r="KQ727" s="27" t="s">
        <v>8</v>
      </c>
      <c r="KR727" s="27" t="s">
        <v>7</v>
      </c>
      <c r="KS727" s="27" t="s">
        <v>8</v>
      </c>
      <c r="MJ727" s="27" t="s">
        <v>7</v>
      </c>
      <c r="MK727" s="27" t="s">
        <v>8</v>
      </c>
      <c r="MP727" s="27" t="s">
        <v>7</v>
      </c>
      <c r="MQ727" s="27" t="s">
        <v>8</v>
      </c>
      <c r="NB727" s="27" t="s">
        <v>7</v>
      </c>
      <c r="ND727" s="27" t="s">
        <v>7</v>
      </c>
      <c r="NE727" s="27" t="s">
        <v>8</v>
      </c>
      <c r="NF727" s="27" t="s">
        <v>7</v>
      </c>
    </row>
    <row r="728" spans="1:374" x14ac:dyDescent="0.25">
      <c r="A728" s="7">
        <v>6.1288046885722716E-2</v>
      </c>
      <c r="B728"/>
      <c r="C728"/>
      <c r="D728"/>
      <c r="E728"/>
      <c r="F728" s="27" t="s">
        <v>7</v>
      </c>
      <c r="HA728" s="27" t="s">
        <v>8</v>
      </c>
      <c r="HB728" s="27" t="s">
        <v>7</v>
      </c>
      <c r="HC728" s="27" t="s">
        <v>8</v>
      </c>
      <c r="HN728" s="27" t="s">
        <v>7</v>
      </c>
      <c r="HO728" s="27" t="s">
        <v>8</v>
      </c>
      <c r="HP728" s="27" t="s">
        <v>7</v>
      </c>
      <c r="HQ728" s="27" t="s">
        <v>8</v>
      </c>
      <c r="HT728" s="27" t="s">
        <v>7</v>
      </c>
      <c r="HU728" s="27" t="s">
        <v>8</v>
      </c>
      <c r="HV728" s="27" t="s">
        <v>7</v>
      </c>
      <c r="HY728" s="27" t="s">
        <v>8</v>
      </c>
      <c r="HZ728" s="27" t="s">
        <v>7</v>
      </c>
      <c r="IA728" s="27" t="s">
        <v>8</v>
      </c>
      <c r="ID728" s="27" t="s">
        <v>7</v>
      </c>
      <c r="IE728" s="27" t="s">
        <v>8</v>
      </c>
      <c r="IF728" s="27" t="s">
        <v>7</v>
      </c>
      <c r="IG728" s="27" t="s">
        <v>8</v>
      </c>
      <c r="IK728" s="27" t="s">
        <v>8</v>
      </c>
      <c r="IL728" s="27" t="s">
        <v>7</v>
      </c>
      <c r="IM728" s="27" t="s">
        <v>8</v>
      </c>
      <c r="IN728" s="27" t="s">
        <v>7</v>
      </c>
      <c r="IQ728" s="27" t="s">
        <v>8</v>
      </c>
      <c r="KO728" s="27" t="s">
        <v>8</v>
      </c>
      <c r="KP728" s="27" t="s">
        <v>7</v>
      </c>
      <c r="KQ728" s="27" t="s">
        <v>8</v>
      </c>
      <c r="KR728" s="27" t="s">
        <v>7</v>
      </c>
      <c r="KS728" s="27" t="s">
        <v>8</v>
      </c>
      <c r="MJ728" s="27" t="s">
        <v>7</v>
      </c>
      <c r="MK728" s="27" t="s">
        <v>8</v>
      </c>
      <c r="MP728" s="27" t="s">
        <v>7</v>
      </c>
      <c r="MQ728" s="27" t="s">
        <v>8</v>
      </c>
      <c r="ND728" s="27" t="s">
        <v>7</v>
      </c>
      <c r="NE728" s="27" t="s">
        <v>8</v>
      </c>
      <c r="NF728" s="27" t="s">
        <v>7</v>
      </c>
    </row>
    <row r="729" spans="1:374" x14ac:dyDescent="0.25">
      <c r="A729" s="7">
        <v>6.0086320476198739E-2</v>
      </c>
      <c r="B729"/>
      <c r="C729"/>
      <c r="D729"/>
      <c r="E729"/>
      <c r="F729" s="27" t="s">
        <v>7</v>
      </c>
      <c r="HA729" s="27" t="s">
        <v>8</v>
      </c>
      <c r="HB729" s="27" t="s">
        <v>7</v>
      </c>
      <c r="HC729" s="27" t="s">
        <v>8</v>
      </c>
      <c r="HN729" s="27" t="s">
        <v>7</v>
      </c>
      <c r="HO729" s="27" t="s">
        <v>8</v>
      </c>
      <c r="HP729" s="27" t="s">
        <v>7</v>
      </c>
      <c r="HQ729" s="27" t="s">
        <v>8</v>
      </c>
      <c r="HT729" s="27" t="s">
        <v>7</v>
      </c>
      <c r="HU729" s="27" t="s">
        <v>8</v>
      </c>
      <c r="HV729" s="27" t="s">
        <v>7</v>
      </c>
      <c r="HY729" s="27" t="s">
        <v>8</v>
      </c>
      <c r="HZ729" s="27" t="s">
        <v>7</v>
      </c>
      <c r="IA729" s="27" t="s">
        <v>8</v>
      </c>
      <c r="ID729" s="27" t="s">
        <v>7</v>
      </c>
      <c r="IE729" s="27" t="s">
        <v>8</v>
      </c>
      <c r="IF729" s="27" t="s">
        <v>7</v>
      </c>
      <c r="IG729" s="27" t="s">
        <v>8</v>
      </c>
      <c r="IH729" s="27" t="s">
        <v>7</v>
      </c>
      <c r="IK729" s="27" t="s">
        <v>8</v>
      </c>
      <c r="IL729" s="27" t="s">
        <v>7</v>
      </c>
      <c r="IM729" s="27" t="s">
        <v>8</v>
      </c>
      <c r="IN729" s="27" t="s">
        <v>7</v>
      </c>
      <c r="IQ729" s="27" t="s">
        <v>8</v>
      </c>
      <c r="IR729" s="27" t="s">
        <v>7</v>
      </c>
      <c r="KO729" s="27" t="s">
        <v>8</v>
      </c>
      <c r="KP729" s="27" t="s">
        <v>7</v>
      </c>
      <c r="KQ729" s="27" t="s">
        <v>8</v>
      </c>
      <c r="KR729" s="27" t="s">
        <v>7</v>
      </c>
      <c r="KS729" s="27" t="s">
        <v>8</v>
      </c>
      <c r="MJ729" s="27" t="s">
        <v>7</v>
      </c>
      <c r="MK729" s="27" t="s">
        <v>8</v>
      </c>
      <c r="MP729" s="27" t="s">
        <v>7</v>
      </c>
      <c r="MQ729" s="27" t="s">
        <v>8</v>
      </c>
      <c r="ND729" s="27" t="s">
        <v>7</v>
      </c>
      <c r="NF729" s="27" t="s">
        <v>7</v>
      </c>
    </row>
    <row r="730" spans="1:374" x14ac:dyDescent="0.25">
      <c r="A730" s="7">
        <v>5.8908157329606609E-2</v>
      </c>
      <c r="B730"/>
      <c r="C730"/>
      <c r="D730"/>
      <c r="E730"/>
      <c r="F730" s="27" t="s">
        <v>7</v>
      </c>
      <c r="GY730" s="27" t="s">
        <v>8</v>
      </c>
      <c r="HA730" s="27" t="s">
        <v>8</v>
      </c>
      <c r="HB730" s="27" t="s">
        <v>7</v>
      </c>
      <c r="HC730" s="27" t="s">
        <v>8</v>
      </c>
      <c r="HN730" s="27" t="s">
        <v>7</v>
      </c>
      <c r="HO730" s="27" t="s">
        <v>8</v>
      </c>
      <c r="HP730" s="27" t="s">
        <v>7</v>
      </c>
      <c r="HT730" s="27" t="s">
        <v>7</v>
      </c>
      <c r="HU730" s="27" t="s">
        <v>8</v>
      </c>
      <c r="HV730" s="27" t="s">
        <v>7</v>
      </c>
      <c r="HY730" s="27" t="s">
        <v>8</v>
      </c>
      <c r="HZ730" s="27" t="s">
        <v>7</v>
      </c>
      <c r="ID730" s="27" t="s">
        <v>7</v>
      </c>
      <c r="IE730" s="27" t="s">
        <v>8</v>
      </c>
      <c r="IF730" s="27" t="s">
        <v>7</v>
      </c>
      <c r="IG730" s="27" t="s">
        <v>8</v>
      </c>
      <c r="IH730" s="27" t="s">
        <v>7</v>
      </c>
      <c r="IK730" s="27" t="s">
        <v>8</v>
      </c>
      <c r="IL730" s="27" t="s">
        <v>7</v>
      </c>
      <c r="IM730" s="27" t="s">
        <v>8</v>
      </c>
      <c r="IN730" s="27" t="s">
        <v>7</v>
      </c>
      <c r="IQ730" s="27" t="s">
        <v>8</v>
      </c>
      <c r="IR730" s="27" t="s">
        <v>7</v>
      </c>
      <c r="KK730" s="27" t="s">
        <v>8</v>
      </c>
      <c r="KO730" s="27" t="s">
        <v>8</v>
      </c>
      <c r="KP730" s="27" t="s">
        <v>7</v>
      </c>
      <c r="KQ730" s="27" t="s">
        <v>8</v>
      </c>
      <c r="KR730" s="27" t="s">
        <v>7</v>
      </c>
      <c r="KS730" s="27" t="s">
        <v>8</v>
      </c>
      <c r="MJ730" s="27" t="s">
        <v>7</v>
      </c>
      <c r="MP730" s="27" t="s">
        <v>7</v>
      </c>
      <c r="NF730" s="27" t="s">
        <v>7</v>
      </c>
    </row>
    <row r="731" spans="1:374" x14ac:dyDescent="0.25">
      <c r="A731" s="7">
        <v>5.7753095421182947E-2</v>
      </c>
      <c r="B731"/>
      <c r="C731"/>
      <c r="D731"/>
      <c r="E731"/>
      <c r="F731" s="27" t="s">
        <v>7</v>
      </c>
      <c r="GY731" s="27" t="s">
        <v>8</v>
      </c>
      <c r="GZ731" s="27" t="s">
        <v>7</v>
      </c>
      <c r="HA731" s="27" t="s">
        <v>8</v>
      </c>
      <c r="HB731" s="27" t="s">
        <v>7</v>
      </c>
      <c r="HC731" s="27" t="s">
        <v>8</v>
      </c>
      <c r="HN731" s="27" t="s">
        <v>7</v>
      </c>
      <c r="HO731" s="27" t="s">
        <v>8</v>
      </c>
      <c r="HT731" s="27" t="s">
        <v>7</v>
      </c>
      <c r="HU731" s="27" t="s">
        <v>8</v>
      </c>
      <c r="HV731" s="27" t="s">
        <v>7</v>
      </c>
      <c r="HY731" s="27" t="s">
        <v>8</v>
      </c>
      <c r="ID731" s="27" t="s">
        <v>7</v>
      </c>
      <c r="IF731" s="27" t="s">
        <v>7</v>
      </c>
      <c r="IG731" s="27" t="s">
        <v>8</v>
      </c>
      <c r="IH731" s="27" t="s">
        <v>7</v>
      </c>
      <c r="IK731" s="27" t="s">
        <v>8</v>
      </c>
      <c r="IL731" s="27" t="s">
        <v>7</v>
      </c>
      <c r="IM731" s="27" t="s">
        <v>8</v>
      </c>
      <c r="IN731" s="27" t="s">
        <v>7</v>
      </c>
      <c r="IQ731" s="27" t="s">
        <v>8</v>
      </c>
      <c r="IR731" s="27" t="s">
        <v>7</v>
      </c>
      <c r="KK731" s="27" t="s">
        <v>8</v>
      </c>
      <c r="KL731" s="27" t="s">
        <v>7</v>
      </c>
      <c r="KO731" s="27" t="s">
        <v>8</v>
      </c>
      <c r="KP731" s="27" t="s">
        <v>7</v>
      </c>
      <c r="KQ731" s="27" t="s">
        <v>8</v>
      </c>
      <c r="KR731" s="27" t="s">
        <v>7</v>
      </c>
      <c r="KS731" s="27" t="s">
        <v>8</v>
      </c>
      <c r="NF731" s="27" t="s">
        <v>7</v>
      </c>
    </row>
    <row r="732" spans="1:374" x14ac:dyDescent="0.25">
      <c r="A732" s="7">
        <v>5.6620681785473484E-2</v>
      </c>
      <c r="B732"/>
      <c r="C732"/>
      <c r="D732"/>
      <c r="E732"/>
      <c r="F732" s="27" t="s">
        <v>7</v>
      </c>
      <c r="GY732" s="27" t="s">
        <v>8</v>
      </c>
      <c r="GZ732" s="27" t="s">
        <v>7</v>
      </c>
      <c r="HA732" s="27" t="s">
        <v>8</v>
      </c>
      <c r="HB732" s="27" t="s">
        <v>7</v>
      </c>
      <c r="HC732" s="27" t="s">
        <v>8</v>
      </c>
      <c r="HN732" s="27" t="s">
        <v>7</v>
      </c>
      <c r="HO732" s="27" t="s">
        <v>8</v>
      </c>
      <c r="HT732" s="27" t="s">
        <v>7</v>
      </c>
      <c r="HU732" s="27" t="s">
        <v>8</v>
      </c>
      <c r="HV732" s="27" t="s">
        <v>7</v>
      </c>
      <c r="HW732" s="27" t="s">
        <v>8</v>
      </c>
      <c r="HY732" s="27" t="s">
        <v>8</v>
      </c>
      <c r="IF732" s="27" t="s">
        <v>7</v>
      </c>
      <c r="IH732" s="27" t="s">
        <v>7</v>
      </c>
      <c r="IK732" s="27" t="s">
        <v>8</v>
      </c>
      <c r="IL732" s="27" t="s">
        <v>7</v>
      </c>
      <c r="IM732" s="27" t="s">
        <v>8</v>
      </c>
      <c r="IN732" s="27" t="s">
        <v>7</v>
      </c>
      <c r="IQ732" s="27" t="s">
        <v>8</v>
      </c>
      <c r="IR732" s="27" t="s">
        <v>7</v>
      </c>
      <c r="KK732" s="27" t="s">
        <v>8</v>
      </c>
      <c r="KL732" s="27" t="s">
        <v>7</v>
      </c>
      <c r="KM732" s="27" t="s">
        <v>8</v>
      </c>
      <c r="KO732" s="27" t="s">
        <v>8</v>
      </c>
      <c r="KP732" s="27" t="s">
        <v>7</v>
      </c>
      <c r="KQ732" s="27" t="s">
        <v>8</v>
      </c>
      <c r="KR732" s="27" t="s">
        <v>7</v>
      </c>
      <c r="NF732" s="27" t="s">
        <v>7</v>
      </c>
      <c r="NG732" s="27" t="s">
        <v>8</v>
      </c>
      <c r="NI732" s="27" t="s">
        <v>8</v>
      </c>
    </row>
    <row r="733" spans="1:374" x14ac:dyDescent="0.25">
      <c r="A733" s="7">
        <v>5.5510472338699497E-2</v>
      </c>
      <c r="B733"/>
      <c r="C733"/>
      <c r="D733"/>
      <c r="E733"/>
      <c r="F733" s="27" t="s">
        <v>7</v>
      </c>
      <c r="GY733" s="27" t="s">
        <v>8</v>
      </c>
      <c r="GZ733" s="27" t="s">
        <v>7</v>
      </c>
      <c r="HA733" s="27" t="s">
        <v>8</v>
      </c>
      <c r="HB733" s="27" t="s">
        <v>7</v>
      </c>
      <c r="HC733" s="27" t="s">
        <v>8</v>
      </c>
      <c r="HN733" s="27" t="s">
        <v>7</v>
      </c>
      <c r="HO733" s="27" t="s">
        <v>8</v>
      </c>
      <c r="HT733" s="27" t="s">
        <v>7</v>
      </c>
      <c r="HU733" s="27" t="s">
        <v>8</v>
      </c>
      <c r="HV733" s="27" t="s">
        <v>7</v>
      </c>
      <c r="HW733" s="27" t="s">
        <v>8</v>
      </c>
      <c r="HX733" s="27" t="s">
        <v>7</v>
      </c>
      <c r="HY733" s="27" t="s">
        <v>8</v>
      </c>
      <c r="IH733" s="27" t="s">
        <v>7</v>
      </c>
      <c r="II733" s="27" t="s">
        <v>8</v>
      </c>
      <c r="IK733" s="27" t="s">
        <v>8</v>
      </c>
      <c r="IL733" s="27" t="s">
        <v>7</v>
      </c>
      <c r="IM733" s="27" t="s">
        <v>8</v>
      </c>
      <c r="IN733" s="27" t="s">
        <v>7</v>
      </c>
      <c r="IQ733" s="27" t="s">
        <v>8</v>
      </c>
      <c r="IR733" s="27" t="s">
        <v>7</v>
      </c>
      <c r="KK733" s="27" t="s">
        <v>8</v>
      </c>
      <c r="KL733" s="27" t="s">
        <v>7</v>
      </c>
      <c r="KM733" s="27" t="s">
        <v>8</v>
      </c>
      <c r="KN733" s="27" t="s">
        <v>7</v>
      </c>
      <c r="KO733" s="27" t="s">
        <v>8</v>
      </c>
      <c r="KP733" s="27" t="s">
        <v>7</v>
      </c>
      <c r="KQ733" s="27" t="s">
        <v>8</v>
      </c>
      <c r="NF733" s="27" t="s">
        <v>7</v>
      </c>
      <c r="NG733" s="27" t="s">
        <v>8</v>
      </c>
      <c r="NH733" s="27" t="s">
        <v>7</v>
      </c>
      <c r="NI733" s="27" t="s">
        <v>8</v>
      </c>
      <c r="NJ733" s="27" t="s">
        <v>7</v>
      </c>
    </row>
    <row r="734" spans="1:374" x14ac:dyDescent="0.25">
      <c r="A734" s="7">
        <v>5.4422031704607354E-2</v>
      </c>
      <c r="B734"/>
      <c r="C734"/>
      <c r="D734"/>
      <c r="E734"/>
      <c r="F734" s="27" t="s">
        <v>7</v>
      </c>
      <c r="GY734" s="27" t="s">
        <v>8</v>
      </c>
      <c r="GZ734" s="27" t="s">
        <v>7</v>
      </c>
      <c r="HA734" s="27" t="s">
        <v>8</v>
      </c>
      <c r="HB734" s="27" t="s">
        <v>7</v>
      </c>
      <c r="HC734" s="27" t="s">
        <v>8</v>
      </c>
      <c r="HN734" s="27" t="s">
        <v>7</v>
      </c>
      <c r="HO734" s="27" t="s">
        <v>8</v>
      </c>
      <c r="HT734" s="27" t="s">
        <v>7</v>
      </c>
      <c r="HU734" s="27" t="s">
        <v>8</v>
      </c>
      <c r="HV734" s="27" t="s">
        <v>7</v>
      </c>
      <c r="HW734" s="27" t="s">
        <v>8</v>
      </c>
      <c r="HX734" s="27" t="s">
        <v>7</v>
      </c>
      <c r="HY734" s="27" t="s">
        <v>8</v>
      </c>
      <c r="IH734" s="27" t="s">
        <v>7</v>
      </c>
      <c r="II734" s="27" t="s">
        <v>8</v>
      </c>
      <c r="IJ734" s="27" t="s">
        <v>7</v>
      </c>
      <c r="IK734" s="27" t="s">
        <v>8</v>
      </c>
      <c r="IL734" s="27" t="s">
        <v>7</v>
      </c>
      <c r="IM734" s="27" t="s">
        <v>8</v>
      </c>
      <c r="IN734" s="27" t="s">
        <v>7</v>
      </c>
      <c r="IQ734" s="27" t="s">
        <v>8</v>
      </c>
      <c r="IR734" s="27" t="s">
        <v>7</v>
      </c>
      <c r="KK734" s="27" t="s">
        <v>8</v>
      </c>
      <c r="KL734" s="27" t="s">
        <v>7</v>
      </c>
      <c r="KM734" s="27" t="s">
        <v>8</v>
      </c>
      <c r="KN734" s="27" t="s">
        <v>7</v>
      </c>
      <c r="KO734" s="27" t="s">
        <v>8</v>
      </c>
      <c r="KP734" s="27" t="s">
        <v>7</v>
      </c>
      <c r="KQ734" s="27" t="s">
        <v>8</v>
      </c>
      <c r="NF734" s="27" t="s">
        <v>7</v>
      </c>
      <c r="NG734" s="27" t="s">
        <v>8</v>
      </c>
      <c r="NH734" s="27" t="s">
        <v>7</v>
      </c>
      <c r="NI734" s="27" t="s">
        <v>8</v>
      </c>
      <c r="NJ734" s="27" t="s">
        <v>7</v>
      </c>
    </row>
    <row r="735" spans="1:374" x14ac:dyDescent="0.25">
      <c r="A735" s="7">
        <v>5.3354933043732705E-2</v>
      </c>
      <c r="B735"/>
      <c r="C735"/>
      <c r="D735"/>
      <c r="E735"/>
      <c r="F735" s="27" t="s">
        <v>7</v>
      </c>
      <c r="GY735" s="27" t="s">
        <v>8</v>
      </c>
      <c r="GZ735" s="27" t="s">
        <v>7</v>
      </c>
      <c r="HA735" s="27" t="s">
        <v>8</v>
      </c>
      <c r="HB735" s="27" t="s">
        <v>7</v>
      </c>
      <c r="HC735" s="27" t="s">
        <v>8</v>
      </c>
      <c r="HN735" s="27" t="s">
        <v>7</v>
      </c>
      <c r="HT735" s="27" t="s">
        <v>7</v>
      </c>
      <c r="HU735" s="27" t="s">
        <v>8</v>
      </c>
      <c r="HV735" s="27" t="s">
        <v>7</v>
      </c>
      <c r="HW735" s="27" t="s">
        <v>8</v>
      </c>
      <c r="HX735" s="27" t="s">
        <v>7</v>
      </c>
      <c r="HY735" s="27" t="s">
        <v>8</v>
      </c>
      <c r="IH735" s="27" t="s">
        <v>7</v>
      </c>
      <c r="II735" s="27" t="s">
        <v>8</v>
      </c>
      <c r="IJ735" s="27" t="s">
        <v>7</v>
      </c>
      <c r="IK735" s="27" t="s">
        <v>8</v>
      </c>
      <c r="IL735" s="27" t="s">
        <v>7</v>
      </c>
      <c r="IM735" s="27" t="s">
        <v>8</v>
      </c>
      <c r="IN735" s="27" t="s">
        <v>7</v>
      </c>
      <c r="IQ735" s="27" t="s">
        <v>8</v>
      </c>
      <c r="IR735" s="27" t="s">
        <v>7</v>
      </c>
      <c r="KG735" s="27" t="s">
        <v>8</v>
      </c>
      <c r="KK735" s="27" t="s">
        <v>8</v>
      </c>
      <c r="KL735" s="27" t="s">
        <v>7</v>
      </c>
      <c r="KM735" s="27" t="s">
        <v>8</v>
      </c>
      <c r="KN735" s="27" t="s">
        <v>7</v>
      </c>
      <c r="KO735" s="27" t="s">
        <v>8</v>
      </c>
      <c r="KP735" s="27" t="s">
        <v>7</v>
      </c>
      <c r="KQ735" s="27" t="s">
        <v>8</v>
      </c>
      <c r="NF735" s="27" t="s">
        <v>7</v>
      </c>
      <c r="NG735" s="27" t="s">
        <v>8</v>
      </c>
      <c r="NH735" s="27" t="s">
        <v>7</v>
      </c>
      <c r="NI735" s="27" t="s">
        <v>8</v>
      </c>
      <c r="NJ735" s="27" t="s">
        <v>7</v>
      </c>
    </row>
    <row r="736" spans="1:374" x14ac:dyDescent="0.25">
      <c r="A736" s="7">
        <v>5.2308757886012455E-2</v>
      </c>
      <c r="B736"/>
      <c r="C736"/>
      <c r="D736"/>
      <c r="E736"/>
      <c r="F736" s="27" t="s">
        <v>7</v>
      </c>
      <c r="GY736" s="27" t="s">
        <v>8</v>
      </c>
      <c r="GZ736" s="27" t="s">
        <v>7</v>
      </c>
      <c r="HA736" s="27" t="s">
        <v>8</v>
      </c>
      <c r="HB736" s="27" t="s">
        <v>7</v>
      </c>
      <c r="HC736" s="27" t="s">
        <v>8</v>
      </c>
      <c r="HT736" s="27" t="s">
        <v>7</v>
      </c>
      <c r="HU736" s="27" t="s">
        <v>8</v>
      </c>
      <c r="HV736" s="27" t="s">
        <v>7</v>
      </c>
      <c r="HW736" s="27" t="s">
        <v>8</v>
      </c>
      <c r="HX736" s="27" t="s">
        <v>7</v>
      </c>
      <c r="HY736" s="27" t="s">
        <v>8</v>
      </c>
      <c r="IH736" s="27" t="s">
        <v>7</v>
      </c>
      <c r="II736" s="27" t="s">
        <v>8</v>
      </c>
      <c r="IJ736" s="27" t="s">
        <v>7</v>
      </c>
      <c r="IK736" s="27" t="s">
        <v>8</v>
      </c>
      <c r="IL736" s="27" t="s">
        <v>7</v>
      </c>
      <c r="IM736" s="27" t="s">
        <v>8</v>
      </c>
      <c r="IN736" s="27" t="s">
        <v>7</v>
      </c>
      <c r="IQ736" s="27" t="s">
        <v>8</v>
      </c>
      <c r="IR736" s="27" t="s">
        <v>7</v>
      </c>
      <c r="KC736" s="27" t="s">
        <v>8</v>
      </c>
      <c r="KG736" s="27" t="s">
        <v>8</v>
      </c>
      <c r="KH736" s="27" t="s">
        <v>7</v>
      </c>
      <c r="KK736" s="27" t="s">
        <v>8</v>
      </c>
      <c r="KL736" s="27" t="s">
        <v>7</v>
      </c>
      <c r="KN736" s="27" t="s">
        <v>7</v>
      </c>
      <c r="KP736" s="27" t="s">
        <v>7</v>
      </c>
      <c r="KQ736" s="27" t="s">
        <v>8</v>
      </c>
      <c r="NF736" s="27" t="s">
        <v>7</v>
      </c>
      <c r="NG736" s="27" t="s">
        <v>8</v>
      </c>
      <c r="NH736" s="27" t="s">
        <v>7</v>
      </c>
      <c r="NI736" s="27" t="s">
        <v>8</v>
      </c>
      <c r="NJ736" s="27" t="s">
        <v>7</v>
      </c>
    </row>
    <row r="737" spans="1:374" x14ac:dyDescent="0.25">
      <c r="A737" s="7">
        <v>5.1283095966678877E-2</v>
      </c>
      <c r="B737"/>
      <c r="C737"/>
      <c r="D737"/>
      <c r="E737"/>
      <c r="F737" s="27" t="s">
        <v>7</v>
      </c>
      <c r="GY737" s="27" t="s">
        <v>8</v>
      </c>
      <c r="GZ737" s="27" t="s">
        <v>7</v>
      </c>
      <c r="HA737" s="27" t="s">
        <v>8</v>
      </c>
      <c r="HB737" s="27" t="s">
        <v>7</v>
      </c>
      <c r="HC737" s="27" t="s">
        <v>8</v>
      </c>
      <c r="HT737" s="27" t="s">
        <v>7</v>
      </c>
      <c r="HU737" s="27" t="s">
        <v>8</v>
      </c>
      <c r="HV737" s="27" t="s">
        <v>7</v>
      </c>
      <c r="HW737" s="27" t="s">
        <v>8</v>
      </c>
      <c r="HX737" s="27" t="s">
        <v>7</v>
      </c>
      <c r="HY737" s="27" t="s">
        <v>8</v>
      </c>
      <c r="IH737" s="27" t="s">
        <v>7</v>
      </c>
      <c r="II737" s="27" t="s">
        <v>8</v>
      </c>
      <c r="IJ737" s="27" t="s">
        <v>7</v>
      </c>
      <c r="IK737" s="27" t="s">
        <v>8</v>
      </c>
      <c r="IL737" s="27" t="s">
        <v>7</v>
      </c>
      <c r="IM737" s="27" t="s">
        <v>8</v>
      </c>
      <c r="IN737" s="27" t="s">
        <v>7</v>
      </c>
      <c r="IQ737" s="27" t="s">
        <v>8</v>
      </c>
      <c r="IR737" s="27" t="s">
        <v>7</v>
      </c>
      <c r="KC737" s="27" t="s">
        <v>8</v>
      </c>
      <c r="KD737" s="27" t="s">
        <v>7</v>
      </c>
      <c r="KG737" s="27" t="s">
        <v>8</v>
      </c>
      <c r="KH737" s="27" t="s">
        <v>7</v>
      </c>
      <c r="KK737" s="27" t="s">
        <v>8</v>
      </c>
      <c r="KP737" s="27" t="s">
        <v>7</v>
      </c>
      <c r="KQ737" s="27" t="s">
        <v>8</v>
      </c>
      <c r="NF737" s="27" t="s">
        <v>7</v>
      </c>
      <c r="NG737" s="27" t="s">
        <v>8</v>
      </c>
      <c r="NH737" s="27" t="s">
        <v>7</v>
      </c>
      <c r="NI737" s="27" t="s">
        <v>8</v>
      </c>
      <c r="NJ737" s="27" t="s">
        <v>7</v>
      </c>
    </row>
    <row r="738" spans="1:374" x14ac:dyDescent="0.25">
      <c r="A738" s="7">
        <v>5.0277545065371444E-2</v>
      </c>
      <c r="B738"/>
      <c r="C738"/>
      <c r="D738"/>
      <c r="E738"/>
      <c r="F738" s="27" t="s">
        <v>7</v>
      </c>
      <c r="GY738" s="27" t="s">
        <v>8</v>
      </c>
      <c r="GZ738" s="27" t="s">
        <v>7</v>
      </c>
      <c r="HA738" s="27" t="s">
        <v>8</v>
      </c>
      <c r="HB738" s="27" t="s">
        <v>7</v>
      </c>
      <c r="HC738" s="27" t="s">
        <v>8</v>
      </c>
      <c r="HT738" s="27" t="s">
        <v>7</v>
      </c>
      <c r="HU738" s="27" t="s">
        <v>8</v>
      </c>
      <c r="HV738" s="27" t="s">
        <v>7</v>
      </c>
      <c r="HW738" s="27" t="s">
        <v>8</v>
      </c>
      <c r="HX738" s="27" t="s">
        <v>7</v>
      </c>
      <c r="HY738" s="27" t="s">
        <v>8</v>
      </c>
      <c r="IH738" s="27" t="s">
        <v>7</v>
      </c>
      <c r="II738" s="27" t="s">
        <v>8</v>
      </c>
      <c r="IJ738" s="27" t="s">
        <v>7</v>
      </c>
      <c r="IK738" s="27" t="s">
        <v>8</v>
      </c>
      <c r="IL738" s="27" t="s">
        <v>7</v>
      </c>
      <c r="IM738" s="27" t="s">
        <v>8</v>
      </c>
      <c r="IN738" s="27" t="s">
        <v>7</v>
      </c>
      <c r="IQ738" s="27" t="s">
        <v>8</v>
      </c>
      <c r="IR738" s="27" t="s">
        <v>7</v>
      </c>
      <c r="KC738" s="27" t="s">
        <v>8</v>
      </c>
      <c r="KD738" s="27" t="s">
        <v>7</v>
      </c>
      <c r="KG738" s="27" t="s">
        <v>8</v>
      </c>
      <c r="KH738" s="27" t="s">
        <v>7</v>
      </c>
      <c r="KK738" s="27" t="s">
        <v>8</v>
      </c>
      <c r="KP738" s="27" t="s">
        <v>7</v>
      </c>
      <c r="KQ738" s="27" t="s">
        <v>8</v>
      </c>
      <c r="NF738" s="27" t="s">
        <v>7</v>
      </c>
      <c r="NG738" s="27" t="s">
        <v>8</v>
      </c>
      <c r="NH738" s="27" t="s">
        <v>7</v>
      </c>
      <c r="NI738" s="27" t="s">
        <v>8</v>
      </c>
      <c r="NJ738" s="27" t="s">
        <v>7</v>
      </c>
    </row>
    <row r="739" spans="1:374" x14ac:dyDescent="0.25">
      <c r="A739" s="7">
        <v>4.9291710848403378E-2</v>
      </c>
      <c r="B739"/>
      <c r="C739"/>
      <c r="D739"/>
      <c r="E739"/>
      <c r="F739" s="27" t="s">
        <v>7</v>
      </c>
      <c r="GY739" s="27" t="s">
        <v>8</v>
      </c>
      <c r="GZ739" s="27" t="s">
        <v>7</v>
      </c>
      <c r="HA739" s="27" t="s">
        <v>8</v>
      </c>
      <c r="HB739" s="27" t="s">
        <v>7</v>
      </c>
      <c r="HC739" s="27" t="s">
        <v>8</v>
      </c>
      <c r="HT739" s="27" t="s">
        <v>7</v>
      </c>
      <c r="HU739" s="27" t="s">
        <v>8</v>
      </c>
      <c r="HV739" s="27" t="s">
        <v>7</v>
      </c>
      <c r="HW739" s="27" t="s">
        <v>8</v>
      </c>
      <c r="HX739" s="27" t="s">
        <v>7</v>
      </c>
      <c r="HY739" s="27" t="s">
        <v>8</v>
      </c>
      <c r="IH739" s="27" t="s">
        <v>7</v>
      </c>
      <c r="II739" s="27" t="s">
        <v>8</v>
      </c>
      <c r="IJ739" s="27" t="s">
        <v>7</v>
      </c>
      <c r="IK739" s="27" t="s">
        <v>8</v>
      </c>
      <c r="IL739" s="27" t="s">
        <v>7</v>
      </c>
      <c r="IM739" s="27" t="s">
        <v>8</v>
      </c>
      <c r="IN739" s="27" t="s">
        <v>7</v>
      </c>
      <c r="IQ739" s="27" t="s">
        <v>8</v>
      </c>
      <c r="IR739" s="27" t="s">
        <v>7</v>
      </c>
      <c r="IU739" s="27" t="s">
        <v>8</v>
      </c>
      <c r="KC739" s="27" t="s">
        <v>8</v>
      </c>
      <c r="KD739" s="27" t="s">
        <v>7</v>
      </c>
      <c r="KG739" s="27" t="s">
        <v>8</v>
      </c>
      <c r="KH739" s="27" t="s">
        <v>7</v>
      </c>
      <c r="KK739" s="27" t="s">
        <v>8</v>
      </c>
      <c r="KP739" s="27" t="s">
        <v>7</v>
      </c>
      <c r="KQ739" s="27" t="s">
        <v>8</v>
      </c>
      <c r="NF739" s="27" t="s">
        <v>7</v>
      </c>
      <c r="NH739" s="27" t="s">
        <v>7</v>
      </c>
      <c r="NI739" s="27" t="s">
        <v>8</v>
      </c>
      <c r="NJ739" s="27" t="s">
        <v>7</v>
      </c>
    </row>
    <row r="740" spans="1:374" x14ac:dyDescent="0.25">
      <c r="A740" s="7">
        <v>4.8325206714120959E-2</v>
      </c>
      <c r="B740"/>
      <c r="C740"/>
      <c r="D740"/>
      <c r="E740"/>
      <c r="F740" s="27" t="s">
        <v>7</v>
      </c>
      <c r="GY740" s="27" t="s">
        <v>8</v>
      </c>
      <c r="GZ740" s="27" t="s">
        <v>7</v>
      </c>
      <c r="HA740" s="27" t="s">
        <v>8</v>
      </c>
      <c r="HB740" s="27" t="s">
        <v>7</v>
      </c>
      <c r="HC740" s="27" t="s">
        <v>8</v>
      </c>
      <c r="HT740" s="27" t="s">
        <v>7</v>
      </c>
      <c r="HV740" s="27" t="s">
        <v>7</v>
      </c>
      <c r="HW740" s="27" t="s">
        <v>8</v>
      </c>
      <c r="HX740" s="27" t="s">
        <v>7</v>
      </c>
      <c r="HY740" s="27" t="s">
        <v>8</v>
      </c>
      <c r="IH740" s="27" t="s">
        <v>7</v>
      </c>
      <c r="II740" s="27" t="s">
        <v>8</v>
      </c>
      <c r="IJ740" s="27" t="s">
        <v>7</v>
      </c>
      <c r="IK740" s="27" t="s">
        <v>8</v>
      </c>
      <c r="IL740" s="27" t="s">
        <v>7</v>
      </c>
      <c r="IM740" s="27" t="s">
        <v>8</v>
      </c>
      <c r="IN740" s="27" t="s">
        <v>7</v>
      </c>
      <c r="IQ740" s="27" t="s">
        <v>8</v>
      </c>
      <c r="IR740" s="27" t="s">
        <v>7</v>
      </c>
      <c r="IU740" s="27" t="s">
        <v>8</v>
      </c>
      <c r="IV740" s="27" t="s">
        <v>7</v>
      </c>
      <c r="KA740" s="27" t="s">
        <v>8</v>
      </c>
      <c r="KC740" s="27" t="s">
        <v>8</v>
      </c>
      <c r="KD740" s="27" t="s">
        <v>7</v>
      </c>
      <c r="KE740" s="27" t="s">
        <v>8</v>
      </c>
      <c r="KG740" s="27" t="s">
        <v>8</v>
      </c>
      <c r="KH740" s="27" t="s">
        <v>7</v>
      </c>
      <c r="KK740" s="27" t="s">
        <v>8</v>
      </c>
      <c r="KP740" s="27" t="s">
        <v>7</v>
      </c>
      <c r="KQ740" s="27" t="s">
        <v>8</v>
      </c>
      <c r="NH740" s="27" t="s">
        <v>7</v>
      </c>
      <c r="NI740" s="27" t="s">
        <v>8</v>
      </c>
    </row>
    <row r="741" spans="1:374" x14ac:dyDescent="0.25">
      <c r="A741" s="7">
        <v>4.7377653641295057E-2</v>
      </c>
      <c r="B741"/>
      <c r="C741"/>
      <c r="D741"/>
      <c r="E741"/>
      <c r="F741" s="27" t="s">
        <v>7</v>
      </c>
      <c r="GY741" s="27" t="s">
        <v>8</v>
      </c>
      <c r="GZ741" s="27" t="s">
        <v>7</v>
      </c>
      <c r="HA741" s="27" t="s">
        <v>8</v>
      </c>
      <c r="HB741" s="27" t="s">
        <v>7</v>
      </c>
      <c r="HC741" s="27" t="s">
        <v>8</v>
      </c>
      <c r="HV741" s="27" t="s">
        <v>7</v>
      </c>
      <c r="HW741" s="27" t="s">
        <v>8</v>
      </c>
      <c r="HX741" s="27" t="s">
        <v>7</v>
      </c>
      <c r="HY741" s="27" t="s">
        <v>8</v>
      </c>
      <c r="IH741" s="27" t="s">
        <v>7</v>
      </c>
      <c r="II741" s="27" t="s">
        <v>8</v>
      </c>
      <c r="IJ741" s="27" t="s">
        <v>7</v>
      </c>
      <c r="IK741" s="27" t="s">
        <v>8</v>
      </c>
      <c r="IL741" s="27" t="s">
        <v>7</v>
      </c>
      <c r="IM741" s="27" t="s">
        <v>8</v>
      </c>
      <c r="IN741" s="27" t="s">
        <v>7</v>
      </c>
      <c r="IQ741" s="27" t="s">
        <v>8</v>
      </c>
      <c r="IR741" s="27" t="s">
        <v>7</v>
      </c>
      <c r="IS741" s="27" t="s">
        <v>8</v>
      </c>
      <c r="IU741" s="27" t="s">
        <v>8</v>
      </c>
      <c r="IV741" s="27" t="s">
        <v>7</v>
      </c>
      <c r="KA741" s="27" t="s">
        <v>8</v>
      </c>
      <c r="KB741" s="27" t="s">
        <v>7</v>
      </c>
      <c r="KC741" s="27" t="s">
        <v>8</v>
      </c>
      <c r="KD741" s="27" t="s">
        <v>7</v>
      </c>
      <c r="KE741" s="27" t="s">
        <v>8</v>
      </c>
      <c r="KF741" s="27" t="s">
        <v>7</v>
      </c>
      <c r="KG741" s="27" t="s">
        <v>8</v>
      </c>
      <c r="KH741" s="27" t="s">
        <v>7</v>
      </c>
      <c r="KI741" s="27" t="s">
        <v>8</v>
      </c>
      <c r="KK741" s="27" t="s">
        <v>8</v>
      </c>
      <c r="KP741" s="27" t="s">
        <v>7</v>
      </c>
      <c r="KQ741" s="27" t="s">
        <v>8</v>
      </c>
      <c r="NH741" s="27" t="s">
        <v>7</v>
      </c>
      <c r="NI741" s="27" t="s">
        <v>8</v>
      </c>
    </row>
    <row r="742" spans="1:374" x14ac:dyDescent="0.25">
      <c r="A742" s="7">
        <v>4.644868004048535E-2</v>
      </c>
      <c r="B742"/>
      <c r="C742"/>
      <c r="D742"/>
      <c r="E742"/>
      <c r="F742" s="27" t="s">
        <v>7</v>
      </c>
      <c r="GY742" s="27" t="s">
        <v>8</v>
      </c>
      <c r="GZ742" s="27" t="s">
        <v>7</v>
      </c>
      <c r="HA742" s="27" t="s">
        <v>8</v>
      </c>
      <c r="HB742" s="27" t="s">
        <v>7</v>
      </c>
      <c r="HV742" s="27" t="s">
        <v>7</v>
      </c>
      <c r="HW742" s="27" t="s">
        <v>8</v>
      </c>
      <c r="HX742" s="27" t="s">
        <v>7</v>
      </c>
      <c r="HY742" s="27" t="s">
        <v>8</v>
      </c>
      <c r="IH742" s="27" t="s">
        <v>7</v>
      </c>
      <c r="II742" s="27" t="s">
        <v>8</v>
      </c>
      <c r="IJ742" s="27" t="s">
        <v>7</v>
      </c>
      <c r="IK742" s="27" t="s">
        <v>8</v>
      </c>
      <c r="IL742" s="27" t="s">
        <v>7</v>
      </c>
      <c r="IM742" s="27" t="s">
        <v>8</v>
      </c>
      <c r="IN742" s="27" t="s">
        <v>7</v>
      </c>
      <c r="IQ742" s="27" t="s">
        <v>8</v>
      </c>
      <c r="IR742" s="27" t="s">
        <v>7</v>
      </c>
      <c r="IS742" s="27" t="s">
        <v>8</v>
      </c>
      <c r="IT742" s="27" t="s">
        <v>7</v>
      </c>
      <c r="IU742" s="27" t="s">
        <v>8</v>
      </c>
      <c r="IV742" s="27" t="s">
        <v>7</v>
      </c>
      <c r="KA742" s="27" t="s">
        <v>8</v>
      </c>
      <c r="KB742" s="27" t="s">
        <v>7</v>
      </c>
      <c r="KC742" s="27" t="s">
        <v>8</v>
      </c>
      <c r="KD742" s="27" t="s">
        <v>7</v>
      </c>
      <c r="KE742" s="27" t="s">
        <v>8</v>
      </c>
      <c r="KF742" s="27" t="s">
        <v>7</v>
      </c>
      <c r="KG742" s="27" t="s">
        <v>8</v>
      </c>
      <c r="KH742" s="27" t="s">
        <v>7</v>
      </c>
      <c r="KI742" s="27" t="s">
        <v>8</v>
      </c>
      <c r="KJ742" s="27" t="s">
        <v>7</v>
      </c>
      <c r="KK742" s="27" t="s">
        <v>8</v>
      </c>
      <c r="KP742" s="27" t="s">
        <v>7</v>
      </c>
      <c r="KQ742" s="27" t="s">
        <v>8</v>
      </c>
      <c r="NH742" s="27" t="s">
        <v>7</v>
      </c>
      <c r="NI742" s="27" t="s">
        <v>8</v>
      </c>
    </row>
    <row r="743" spans="1:374" x14ac:dyDescent="0.25">
      <c r="A743" s="7">
        <v>4.5537921608318974E-2</v>
      </c>
      <c r="B743"/>
      <c r="C743"/>
      <c r="D743"/>
      <c r="E743"/>
      <c r="F743" s="27" t="s">
        <v>7</v>
      </c>
      <c r="GY743" s="27" t="s">
        <v>8</v>
      </c>
      <c r="GZ743" s="27" t="s">
        <v>7</v>
      </c>
      <c r="HA743" s="27" t="s">
        <v>8</v>
      </c>
      <c r="HV743" s="27" t="s">
        <v>7</v>
      </c>
      <c r="HW743" s="27" t="s">
        <v>8</v>
      </c>
      <c r="HX743" s="27" t="s">
        <v>7</v>
      </c>
      <c r="HY743" s="27" t="s">
        <v>8</v>
      </c>
      <c r="IH743" s="27" t="s">
        <v>7</v>
      </c>
      <c r="II743" s="27" t="s">
        <v>8</v>
      </c>
      <c r="IJ743" s="27" t="s">
        <v>7</v>
      </c>
      <c r="IK743" s="27" t="s">
        <v>8</v>
      </c>
      <c r="IL743" s="27" t="s">
        <v>7</v>
      </c>
      <c r="IN743" s="27" t="s">
        <v>7</v>
      </c>
      <c r="IQ743" s="27" t="s">
        <v>8</v>
      </c>
      <c r="IR743" s="27" t="s">
        <v>7</v>
      </c>
      <c r="IS743" s="27" t="s">
        <v>8</v>
      </c>
      <c r="IT743" s="27" t="s">
        <v>7</v>
      </c>
      <c r="IU743" s="27" t="s">
        <v>8</v>
      </c>
      <c r="IV743" s="27" t="s">
        <v>7</v>
      </c>
      <c r="KA743" s="27" t="s">
        <v>8</v>
      </c>
      <c r="KB743" s="27" t="s">
        <v>7</v>
      </c>
      <c r="KC743" s="27" t="s">
        <v>8</v>
      </c>
      <c r="KD743" s="27" t="s">
        <v>7</v>
      </c>
      <c r="KE743" s="27" t="s">
        <v>8</v>
      </c>
      <c r="KF743" s="27" t="s">
        <v>7</v>
      </c>
      <c r="KG743" s="27" t="s">
        <v>8</v>
      </c>
      <c r="KH743" s="27" t="s">
        <v>7</v>
      </c>
      <c r="KI743" s="27" t="s">
        <v>8</v>
      </c>
      <c r="KJ743" s="27" t="s">
        <v>7</v>
      </c>
      <c r="KK743" s="27" t="s">
        <v>8</v>
      </c>
      <c r="KP743" s="27" t="s">
        <v>7</v>
      </c>
      <c r="KQ743" s="27" t="s">
        <v>8</v>
      </c>
      <c r="NH743" s="27" t="s">
        <v>7</v>
      </c>
      <c r="NI743" s="27" t="s">
        <v>8</v>
      </c>
    </row>
    <row r="744" spans="1:374" x14ac:dyDescent="0.25">
      <c r="A744" s="7">
        <v>4.4645021184626446E-2</v>
      </c>
      <c r="B744"/>
      <c r="C744"/>
      <c r="D744"/>
      <c r="E744"/>
      <c r="F744" s="27" t="s">
        <v>7</v>
      </c>
      <c r="GY744" s="27" t="s">
        <v>8</v>
      </c>
      <c r="GZ744" s="27" t="s">
        <v>7</v>
      </c>
      <c r="HV744" s="27" t="s">
        <v>7</v>
      </c>
      <c r="HW744" s="27" t="s">
        <v>8</v>
      </c>
      <c r="HX744" s="27" t="s">
        <v>7</v>
      </c>
      <c r="HY744" s="27" t="s">
        <v>8</v>
      </c>
      <c r="IH744" s="27" t="s">
        <v>7</v>
      </c>
      <c r="II744" s="27" t="s">
        <v>8</v>
      </c>
      <c r="IJ744" s="27" t="s">
        <v>7</v>
      </c>
      <c r="IK744" s="27" t="s">
        <v>8</v>
      </c>
      <c r="IN744" s="27" t="s">
        <v>7</v>
      </c>
      <c r="IQ744" s="27" t="s">
        <v>8</v>
      </c>
      <c r="IR744" s="27" t="s">
        <v>7</v>
      </c>
      <c r="IS744" s="27" t="s">
        <v>8</v>
      </c>
      <c r="IT744" s="27" t="s">
        <v>7</v>
      </c>
      <c r="IU744" s="27" t="s">
        <v>8</v>
      </c>
      <c r="IV744" s="27" t="s">
        <v>7</v>
      </c>
      <c r="KA744" s="27" t="s">
        <v>8</v>
      </c>
      <c r="KB744" s="27" t="s">
        <v>7</v>
      </c>
      <c r="KC744" s="27" t="s">
        <v>8</v>
      </c>
      <c r="KD744" s="27" t="s">
        <v>7</v>
      </c>
      <c r="KE744" s="27" t="s">
        <v>8</v>
      </c>
      <c r="KF744" s="27" t="s">
        <v>7</v>
      </c>
      <c r="KH744" s="27" t="s">
        <v>7</v>
      </c>
      <c r="KI744" s="27" t="s">
        <v>8</v>
      </c>
      <c r="KJ744" s="27" t="s">
        <v>7</v>
      </c>
      <c r="KK744" s="27" t="s">
        <v>8</v>
      </c>
      <c r="KP744" s="27" t="s">
        <v>7</v>
      </c>
      <c r="KQ744" s="27" t="s">
        <v>8</v>
      </c>
      <c r="NH744" s="27" t="s">
        <v>7</v>
      </c>
    </row>
    <row r="745" spans="1:374" x14ac:dyDescent="0.25">
      <c r="A745" s="7">
        <v>4.3769628612378868E-2</v>
      </c>
      <c r="B745"/>
      <c r="C745"/>
      <c r="D745"/>
      <c r="E745"/>
      <c r="F745" s="27" t="s">
        <v>7</v>
      </c>
      <c r="GY745" s="27" t="s">
        <v>8</v>
      </c>
      <c r="HV745" s="27" t="s">
        <v>7</v>
      </c>
      <c r="HX745" s="27" t="s">
        <v>7</v>
      </c>
      <c r="HY745" s="27" t="s">
        <v>8</v>
      </c>
      <c r="IH745" s="27" t="s">
        <v>7</v>
      </c>
      <c r="II745" s="27" t="s">
        <v>8</v>
      </c>
      <c r="IJ745" s="27" t="s">
        <v>7</v>
      </c>
      <c r="IK745" s="27" t="s">
        <v>8</v>
      </c>
      <c r="IN745" s="27" t="s">
        <v>7</v>
      </c>
      <c r="IQ745" s="27" t="s">
        <v>8</v>
      </c>
      <c r="IR745" s="27" t="s">
        <v>7</v>
      </c>
      <c r="IS745" s="27" t="s">
        <v>8</v>
      </c>
      <c r="IT745" s="27" t="s">
        <v>7</v>
      </c>
      <c r="IU745" s="27" t="s">
        <v>8</v>
      </c>
      <c r="IV745" s="27" t="s">
        <v>7</v>
      </c>
      <c r="IW745" s="27" t="s">
        <v>8</v>
      </c>
      <c r="KA745" s="27" t="s">
        <v>8</v>
      </c>
      <c r="KB745" s="27" t="s">
        <v>7</v>
      </c>
      <c r="KC745" s="27" t="s">
        <v>8</v>
      </c>
      <c r="KD745" s="27" t="s">
        <v>7</v>
      </c>
      <c r="KE745" s="27" t="s">
        <v>8</v>
      </c>
      <c r="KH745" s="27" t="s">
        <v>7</v>
      </c>
      <c r="KI745" s="27" t="s">
        <v>8</v>
      </c>
      <c r="KJ745" s="27" t="s">
        <v>7</v>
      </c>
      <c r="KK745" s="27" t="s">
        <v>8</v>
      </c>
      <c r="KP745" s="27" t="s">
        <v>7</v>
      </c>
      <c r="KQ745" s="27" t="s">
        <v>8</v>
      </c>
    </row>
    <row r="746" spans="1:374" x14ac:dyDescent="0.25">
      <c r="A746" s="7">
        <v>4.2911400600371442E-2</v>
      </c>
      <c r="B746"/>
      <c r="C746"/>
      <c r="D746"/>
      <c r="E746"/>
      <c r="F746" s="27" t="s">
        <v>7</v>
      </c>
      <c r="GY746" s="27" t="s">
        <v>8</v>
      </c>
      <c r="HX746" s="27" t="s">
        <v>7</v>
      </c>
      <c r="HY746" s="27" t="s">
        <v>8</v>
      </c>
      <c r="IH746" s="27" t="s">
        <v>7</v>
      </c>
      <c r="IJ746" s="27" t="s">
        <v>7</v>
      </c>
      <c r="IK746" s="27" t="s">
        <v>8</v>
      </c>
      <c r="IN746" s="27" t="s">
        <v>7</v>
      </c>
      <c r="IQ746" s="27" t="s">
        <v>8</v>
      </c>
      <c r="IR746" s="27" t="s">
        <v>7</v>
      </c>
      <c r="IS746" s="27" t="s">
        <v>8</v>
      </c>
      <c r="IT746" s="27" t="s">
        <v>7</v>
      </c>
      <c r="IU746" s="27" t="s">
        <v>8</v>
      </c>
      <c r="IV746" s="27" t="s">
        <v>7</v>
      </c>
      <c r="IW746" s="27" t="s">
        <v>8</v>
      </c>
      <c r="IX746" s="27" t="s">
        <v>7</v>
      </c>
      <c r="KA746" s="27" t="s">
        <v>8</v>
      </c>
      <c r="KB746" s="27" t="s">
        <v>7</v>
      </c>
      <c r="KC746" s="27" t="s">
        <v>8</v>
      </c>
      <c r="KD746" s="27" t="s">
        <v>7</v>
      </c>
      <c r="KE746" s="27" t="s">
        <v>8</v>
      </c>
      <c r="KH746" s="27" t="s">
        <v>7</v>
      </c>
      <c r="KI746" s="27" t="s">
        <v>8</v>
      </c>
      <c r="KJ746" s="27" t="s">
        <v>7</v>
      </c>
      <c r="KP746" s="27" t="s">
        <v>7</v>
      </c>
      <c r="KQ746" s="27" t="s">
        <v>8</v>
      </c>
    </row>
    <row r="747" spans="1:374" x14ac:dyDescent="0.25">
      <c r="A747" s="7">
        <v>4.2070000588599457E-2</v>
      </c>
      <c r="B747"/>
      <c r="C747"/>
      <c r="D747"/>
      <c r="E747"/>
      <c r="F747" s="27" t="s">
        <v>7</v>
      </c>
      <c r="GY747" s="27" t="s">
        <v>8</v>
      </c>
      <c r="HX747" s="27" t="s">
        <v>7</v>
      </c>
      <c r="HY747" s="27" t="s">
        <v>8</v>
      </c>
      <c r="IJ747" s="27" t="s">
        <v>7</v>
      </c>
      <c r="IK747" s="27" t="s">
        <v>8</v>
      </c>
      <c r="IN747" s="27" t="s">
        <v>7</v>
      </c>
      <c r="IQ747" s="27" t="s">
        <v>8</v>
      </c>
      <c r="IR747" s="27" t="s">
        <v>7</v>
      </c>
      <c r="IS747" s="27" t="s">
        <v>8</v>
      </c>
      <c r="IT747" s="27" t="s">
        <v>7</v>
      </c>
      <c r="IV747" s="27" t="s">
        <v>7</v>
      </c>
      <c r="IW747" s="27" t="s">
        <v>8</v>
      </c>
      <c r="IX747" s="27" t="s">
        <v>7</v>
      </c>
      <c r="JA747" s="27" t="s">
        <v>8</v>
      </c>
      <c r="KA747" s="27" t="s">
        <v>8</v>
      </c>
      <c r="KB747" s="27" t="s">
        <v>7</v>
      </c>
      <c r="KC747" s="27" t="s">
        <v>8</v>
      </c>
      <c r="KD747" s="27" t="s">
        <v>7</v>
      </c>
      <c r="KE747" s="27" t="s">
        <v>8</v>
      </c>
      <c r="KH747" s="27" t="s">
        <v>7</v>
      </c>
      <c r="KI747" s="27" t="s">
        <v>8</v>
      </c>
      <c r="KP747" s="27" t="s">
        <v>7</v>
      </c>
      <c r="KQ747" s="27" t="s">
        <v>8</v>
      </c>
    </row>
    <row r="748" spans="1:374" x14ac:dyDescent="0.25">
      <c r="A748" s="7">
        <v>4.1245098616273977E-2</v>
      </c>
      <c r="B748"/>
      <c r="C748"/>
      <c r="D748"/>
      <c r="E748"/>
      <c r="F748" s="27" t="s">
        <v>7</v>
      </c>
      <c r="GY748" s="27" t="s">
        <v>8</v>
      </c>
      <c r="HX748" s="27" t="s">
        <v>7</v>
      </c>
      <c r="IJ748" s="27" t="s">
        <v>7</v>
      </c>
      <c r="IK748" s="27" t="s">
        <v>8</v>
      </c>
      <c r="IN748" s="27" t="s">
        <v>7</v>
      </c>
      <c r="IQ748" s="27" t="s">
        <v>8</v>
      </c>
      <c r="IR748" s="27" t="s">
        <v>7</v>
      </c>
      <c r="IS748" s="27" t="s">
        <v>8</v>
      </c>
      <c r="IV748" s="27" t="s">
        <v>7</v>
      </c>
      <c r="IW748" s="27" t="s">
        <v>8</v>
      </c>
      <c r="IX748" s="27" t="s">
        <v>7</v>
      </c>
      <c r="JA748" s="27" t="s">
        <v>8</v>
      </c>
      <c r="JB748" s="27" t="s">
        <v>7</v>
      </c>
      <c r="KA748" s="27" t="s">
        <v>8</v>
      </c>
      <c r="KB748" s="27" t="s">
        <v>7</v>
      </c>
      <c r="KD748" s="27" t="s">
        <v>7</v>
      </c>
      <c r="KE748" s="27" t="s">
        <v>8</v>
      </c>
      <c r="KH748" s="27" t="s">
        <v>7</v>
      </c>
      <c r="KI748" s="27" t="s">
        <v>8</v>
      </c>
      <c r="KP748" s="27" t="s">
        <v>7</v>
      </c>
    </row>
    <row r="749" spans="1:374" x14ac:dyDescent="0.25">
      <c r="A749" s="7">
        <v>4.043637119242547E-2</v>
      </c>
      <c r="B749"/>
      <c r="C749"/>
      <c r="D749"/>
      <c r="E749"/>
      <c r="F749" s="27" t="s">
        <v>7</v>
      </c>
      <c r="GY749" s="27" t="s">
        <v>8</v>
      </c>
      <c r="IJ749" s="27" t="s">
        <v>7</v>
      </c>
      <c r="IK749" s="27" t="s">
        <v>8</v>
      </c>
      <c r="IN749" s="27" t="s">
        <v>7</v>
      </c>
      <c r="IQ749" s="27" t="s">
        <v>8</v>
      </c>
      <c r="IR749" s="27" t="s">
        <v>7</v>
      </c>
      <c r="IV749" s="27" t="s">
        <v>7</v>
      </c>
      <c r="IW749" s="27" t="s">
        <v>8</v>
      </c>
      <c r="IX749" s="27" t="s">
        <v>7</v>
      </c>
      <c r="JA749" s="27" t="s">
        <v>8</v>
      </c>
      <c r="JB749" s="27" t="s">
        <v>7</v>
      </c>
      <c r="KA749" s="27" t="s">
        <v>8</v>
      </c>
      <c r="KD749" s="27" t="s">
        <v>7</v>
      </c>
      <c r="KE749" s="27" t="s">
        <v>8</v>
      </c>
      <c r="KH749" s="27" t="s">
        <v>7</v>
      </c>
    </row>
    <row r="750" spans="1:374" x14ac:dyDescent="0.25">
      <c r="A750" s="7">
        <v>3.9643501169044582E-2</v>
      </c>
      <c r="B750"/>
      <c r="C750"/>
      <c r="D750"/>
      <c r="E750"/>
      <c r="F750" s="27" t="s">
        <v>7</v>
      </c>
      <c r="GY750" s="27" t="s">
        <v>8</v>
      </c>
      <c r="IJ750" s="27" t="s">
        <v>7</v>
      </c>
      <c r="IK750" s="27" t="s">
        <v>8</v>
      </c>
      <c r="IN750" s="27" t="s">
        <v>7</v>
      </c>
      <c r="IO750" s="27" t="s">
        <v>8</v>
      </c>
      <c r="IQ750" s="27" t="s">
        <v>8</v>
      </c>
      <c r="IV750" s="27" t="s">
        <v>7</v>
      </c>
      <c r="IW750" s="27" t="s">
        <v>8</v>
      </c>
      <c r="IX750" s="27" t="s">
        <v>7</v>
      </c>
      <c r="IY750" s="27" t="s">
        <v>8</v>
      </c>
      <c r="JA750" s="27" t="s">
        <v>8</v>
      </c>
      <c r="JB750" s="27" t="s">
        <v>7</v>
      </c>
      <c r="JC750" s="27" t="s">
        <v>8</v>
      </c>
      <c r="KA750" s="27" t="s">
        <v>8</v>
      </c>
      <c r="KD750" s="27" t="s">
        <v>7</v>
      </c>
    </row>
    <row r="751" spans="1:374" x14ac:dyDescent="0.25">
      <c r="A751" s="7">
        <v>3.8866177616710372E-2</v>
      </c>
      <c r="B751"/>
      <c r="C751"/>
      <c r="D751"/>
      <c r="E751"/>
      <c r="F751" s="27" t="s">
        <v>7</v>
      </c>
      <c r="GY751" s="27" t="s">
        <v>8</v>
      </c>
      <c r="IJ751" s="27" t="s">
        <v>7</v>
      </c>
      <c r="IK751" s="27" t="s">
        <v>8</v>
      </c>
      <c r="IN751" s="27" t="s">
        <v>7</v>
      </c>
      <c r="IO751" s="27" t="s">
        <v>8</v>
      </c>
      <c r="IP751" s="27" t="s">
        <v>7</v>
      </c>
      <c r="IQ751" s="27" t="s">
        <v>8</v>
      </c>
      <c r="IV751" s="27" t="s">
        <v>7</v>
      </c>
      <c r="IX751" s="27" t="s">
        <v>7</v>
      </c>
      <c r="IY751" s="27" t="s">
        <v>8</v>
      </c>
      <c r="IZ751" s="27" t="s">
        <v>7</v>
      </c>
      <c r="JA751" s="27" t="s">
        <v>8</v>
      </c>
      <c r="JB751" s="27" t="s">
        <v>7</v>
      </c>
      <c r="JC751" s="27" t="s">
        <v>8</v>
      </c>
      <c r="JD751" s="27" t="s">
        <v>7</v>
      </c>
      <c r="JY751" s="27" t="s">
        <v>8</v>
      </c>
      <c r="KA751" s="27" t="s">
        <v>8</v>
      </c>
    </row>
    <row r="752" spans="1:374" x14ac:dyDescent="0.25">
      <c r="A752" s="7">
        <v>3.8104095702657229E-2</v>
      </c>
      <c r="B752"/>
      <c r="C752"/>
      <c r="D752"/>
      <c r="E752"/>
      <c r="F752" s="27" t="s">
        <v>7</v>
      </c>
      <c r="GY752" s="27" t="s">
        <v>8</v>
      </c>
      <c r="IJ752" s="27" t="s">
        <v>7</v>
      </c>
      <c r="IN752" s="27" t="s">
        <v>7</v>
      </c>
      <c r="IO752" s="27" t="s">
        <v>8</v>
      </c>
      <c r="IP752" s="27" t="s">
        <v>7</v>
      </c>
      <c r="IQ752" s="27" t="s">
        <v>8</v>
      </c>
      <c r="IX752" s="27" t="s">
        <v>7</v>
      </c>
      <c r="IY752" s="27" t="s">
        <v>8</v>
      </c>
      <c r="IZ752" s="27" t="s">
        <v>7</v>
      </c>
      <c r="JA752" s="27" t="s">
        <v>8</v>
      </c>
      <c r="JB752" s="27" t="s">
        <v>7</v>
      </c>
      <c r="JC752" s="27" t="s">
        <v>8</v>
      </c>
      <c r="JD752" s="27" t="s">
        <v>7</v>
      </c>
      <c r="JY752" s="27" t="s">
        <v>8</v>
      </c>
      <c r="JZ752" s="27" t="s">
        <v>7</v>
      </c>
      <c r="KA752" s="27" t="s">
        <v>8</v>
      </c>
    </row>
    <row r="753" spans="1:287" x14ac:dyDescent="0.25">
      <c r="A753" s="7">
        <v>3.7356956571232579E-2</v>
      </c>
      <c r="B753"/>
      <c r="C753"/>
      <c r="D753"/>
      <c r="E753"/>
      <c r="F753" s="27" t="s">
        <v>7</v>
      </c>
      <c r="GY753" s="27" t="s">
        <v>8</v>
      </c>
      <c r="IN753" s="27" t="s">
        <v>7</v>
      </c>
      <c r="IO753" s="27" t="s">
        <v>8</v>
      </c>
      <c r="IP753" s="27" t="s">
        <v>7</v>
      </c>
      <c r="IQ753" s="27" t="s">
        <v>8</v>
      </c>
      <c r="IX753" s="27" t="s">
        <v>7</v>
      </c>
      <c r="IY753" s="27" t="s">
        <v>8</v>
      </c>
      <c r="IZ753" s="27" t="s">
        <v>7</v>
      </c>
      <c r="JA753" s="27" t="s">
        <v>8</v>
      </c>
      <c r="JB753" s="27" t="s">
        <v>7</v>
      </c>
      <c r="JC753" s="27" t="s">
        <v>8</v>
      </c>
      <c r="JD753" s="27" t="s">
        <v>7</v>
      </c>
      <c r="JE753" s="27" t="s">
        <v>8</v>
      </c>
      <c r="JY753" s="27" t="s">
        <v>8</v>
      </c>
      <c r="JZ753" s="27" t="s">
        <v>7</v>
      </c>
      <c r="KA753" s="27" t="s">
        <v>8</v>
      </c>
    </row>
    <row r="754" spans="1:287" x14ac:dyDescent="0.25">
      <c r="A754" s="7">
        <v>3.6624467226698605E-2</v>
      </c>
      <c r="B754"/>
      <c r="C754"/>
      <c r="D754"/>
      <c r="E754"/>
      <c r="F754" s="27" t="s">
        <v>7</v>
      </c>
      <c r="GY754" s="27" t="s">
        <v>8</v>
      </c>
      <c r="IN754" s="27" t="s">
        <v>7</v>
      </c>
      <c r="IO754" s="27" t="s">
        <v>8</v>
      </c>
      <c r="IP754" s="27" t="s">
        <v>7</v>
      </c>
      <c r="IQ754" s="27" t="s">
        <v>8</v>
      </c>
      <c r="IX754" s="27" t="s">
        <v>7</v>
      </c>
      <c r="IY754" s="27" t="s">
        <v>8</v>
      </c>
      <c r="IZ754" s="27" t="s">
        <v>7</v>
      </c>
      <c r="JA754" s="27" t="s">
        <v>8</v>
      </c>
      <c r="JB754" s="27" t="s">
        <v>7</v>
      </c>
      <c r="JD754" s="27" t="s">
        <v>7</v>
      </c>
      <c r="JE754" s="27" t="s">
        <v>8</v>
      </c>
      <c r="JF754" s="27" t="s">
        <v>7</v>
      </c>
      <c r="JY754" s="27" t="s">
        <v>8</v>
      </c>
      <c r="JZ754" s="27" t="s">
        <v>7</v>
      </c>
      <c r="KA754" s="27" t="s">
        <v>8</v>
      </c>
    </row>
    <row r="755" spans="1:287" x14ac:dyDescent="0.25">
      <c r="A755" s="7">
        <v>3.5906340418331961E-2</v>
      </c>
      <c r="B755"/>
      <c r="C755"/>
      <c r="D755"/>
      <c r="E755"/>
      <c r="F755" s="27" t="s">
        <v>7</v>
      </c>
      <c r="GY755" s="27" t="s">
        <v>8</v>
      </c>
      <c r="IN755" s="27" t="s">
        <v>7</v>
      </c>
      <c r="IO755" s="27" t="s">
        <v>8</v>
      </c>
      <c r="IP755" s="27" t="s">
        <v>7</v>
      </c>
      <c r="IQ755" s="27" t="s">
        <v>8</v>
      </c>
      <c r="IX755" s="27" t="s">
        <v>7</v>
      </c>
      <c r="IY755" s="27" t="s">
        <v>8</v>
      </c>
      <c r="IZ755" s="27" t="s">
        <v>7</v>
      </c>
      <c r="JA755" s="27" t="s">
        <v>8</v>
      </c>
      <c r="JD755" s="27" t="s">
        <v>7</v>
      </c>
      <c r="JE755" s="27" t="s">
        <v>8</v>
      </c>
      <c r="JF755" s="27" t="s">
        <v>7</v>
      </c>
      <c r="JY755" s="27" t="s">
        <v>8</v>
      </c>
      <c r="JZ755" s="27" t="s">
        <v>7</v>
      </c>
      <c r="KA755" s="27" t="s">
        <v>8</v>
      </c>
    </row>
    <row r="756" spans="1:287" x14ac:dyDescent="0.25">
      <c r="A756" s="7">
        <v>3.5202294527776436E-2</v>
      </c>
      <c r="B756"/>
      <c r="C756"/>
      <c r="D756"/>
      <c r="E756"/>
      <c r="F756" s="27" t="s">
        <v>7</v>
      </c>
      <c r="GW756" s="27" t="s">
        <v>8</v>
      </c>
      <c r="GY756" s="27" t="s">
        <v>8</v>
      </c>
      <c r="IN756" s="27" t="s">
        <v>7</v>
      </c>
      <c r="IO756" s="27" t="s">
        <v>8</v>
      </c>
      <c r="IP756" s="27" t="s">
        <v>7</v>
      </c>
      <c r="IQ756" s="27" t="s">
        <v>8</v>
      </c>
      <c r="IX756" s="27" t="s">
        <v>7</v>
      </c>
      <c r="IY756" s="27" t="s">
        <v>8</v>
      </c>
      <c r="IZ756" s="27" t="s">
        <v>7</v>
      </c>
      <c r="JA756" s="27" t="s">
        <v>8</v>
      </c>
      <c r="JD756" s="27" t="s">
        <v>7</v>
      </c>
      <c r="JE756" s="27" t="s">
        <v>8</v>
      </c>
      <c r="JF756" s="27" t="s">
        <v>7</v>
      </c>
      <c r="JY756" s="27" t="s">
        <v>8</v>
      </c>
      <c r="JZ756" s="27" t="s">
        <v>7</v>
      </c>
      <c r="KA756" s="27" t="s">
        <v>8</v>
      </c>
    </row>
    <row r="757" spans="1:287" x14ac:dyDescent="0.25">
      <c r="A757" s="7">
        <v>3.451205345860435E-2</v>
      </c>
      <c r="B757"/>
      <c r="C757"/>
      <c r="D757"/>
      <c r="E757"/>
      <c r="F757" s="27" t="s">
        <v>7</v>
      </c>
      <c r="GW757" s="27" t="s">
        <v>8</v>
      </c>
      <c r="GX757" s="27" t="s">
        <v>7</v>
      </c>
      <c r="GY757" s="27" t="s">
        <v>8</v>
      </c>
      <c r="IN757" s="27" t="s">
        <v>7</v>
      </c>
      <c r="IO757" s="27" t="s">
        <v>8</v>
      </c>
      <c r="IP757" s="27" t="s">
        <v>7</v>
      </c>
      <c r="IQ757" s="27" t="s">
        <v>8</v>
      </c>
      <c r="IX757" s="27" t="s">
        <v>7</v>
      </c>
      <c r="IY757" s="27" t="s">
        <v>8</v>
      </c>
      <c r="IZ757" s="27" t="s">
        <v>7</v>
      </c>
      <c r="JA757" s="27" t="s">
        <v>8</v>
      </c>
      <c r="JD757" s="27" t="s">
        <v>7</v>
      </c>
      <c r="JE757" s="27" t="s">
        <v>8</v>
      </c>
      <c r="JF757" s="27" t="s">
        <v>7</v>
      </c>
      <c r="JW757" s="27" t="s">
        <v>8</v>
      </c>
      <c r="JY757" s="27" t="s">
        <v>8</v>
      </c>
      <c r="JZ757" s="27" t="s">
        <v>7</v>
      </c>
    </row>
    <row r="758" spans="1:287" x14ac:dyDescent="0.25">
      <c r="A758" s="7">
        <v>3.3835346528043479E-2</v>
      </c>
      <c r="B758"/>
      <c r="C758"/>
      <c r="D758"/>
      <c r="E758"/>
      <c r="F758" s="27" t="s">
        <v>7</v>
      </c>
      <c r="GW758" s="27" t="s">
        <v>8</v>
      </c>
      <c r="GX758" s="27" t="s">
        <v>7</v>
      </c>
      <c r="GY758" s="27" t="s">
        <v>8</v>
      </c>
      <c r="IN758" s="27" t="s">
        <v>7</v>
      </c>
      <c r="IO758" s="27" t="s">
        <v>8</v>
      </c>
      <c r="IP758" s="27" t="s">
        <v>7</v>
      </c>
      <c r="IQ758" s="27" t="s">
        <v>8</v>
      </c>
      <c r="IX758" s="27" t="s">
        <v>7</v>
      </c>
      <c r="IY758" s="27" t="s">
        <v>8</v>
      </c>
      <c r="IZ758" s="27" t="s">
        <v>7</v>
      </c>
      <c r="JA758" s="27" t="s">
        <v>8</v>
      </c>
      <c r="JD758" s="27" t="s">
        <v>7</v>
      </c>
      <c r="JF758" s="27" t="s">
        <v>7</v>
      </c>
      <c r="JM758" s="27" t="s">
        <v>8</v>
      </c>
      <c r="JW758" s="27" t="s">
        <v>8</v>
      </c>
      <c r="JX758" s="27" t="s">
        <v>7</v>
      </c>
      <c r="JY758" s="27" t="s">
        <v>8</v>
      </c>
    </row>
    <row r="759" spans="1:287" x14ac:dyDescent="0.25">
      <c r="A759" s="7">
        <v>3.3171908360826938E-2</v>
      </c>
      <c r="B759"/>
      <c r="C759"/>
      <c r="D759"/>
      <c r="E759"/>
      <c r="F759" s="27" t="s">
        <v>7</v>
      </c>
      <c r="GW759" s="27" t="s">
        <v>8</v>
      </c>
      <c r="GX759" s="27" t="s">
        <v>7</v>
      </c>
      <c r="GY759" s="27" t="s">
        <v>8</v>
      </c>
      <c r="IN759" s="27" t="s">
        <v>7</v>
      </c>
      <c r="IO759" s="27" t="s">
        <v>8</v>
      </c>
      <c r="IP759" s="27" t="s">
        <v>7</v>
      </c>
      <c r="IQ759" s="27" t="s">
        <v>8</v>
      </c>
      <c r="IX759" s="27" t="s">
        <v>7</v>
      </c>
      <c r="IZ759" s="27" t="s">
        <v>7</v>
      </c>
      <c r="JA759" s="27" t="s">
        <v>8</v>
      </c>
      <c r="JF759" s="27" t="s">
        <v>7</v>
      </c>
      <c r="JM759" s="27" t="s">
        <v>8</v>
      </c>
      <c r="JN759" s="27" t="s">
        <v>7</v>
      </c>
      <c r="JW759" s="27" t="s">
        <v>8</v>
      </c>
      <c r="JX759" s="27" t="s">
        <v>7</v>
      </c>
      <c r="JY759" s="27" t="s">
        <v>8</v>
      </c>
    </row>
    <row r="760" spans="1:287" x14ac:dyDescent="0.25">
      <c r="A760" s="7">
        <v>3.2521478785124451E-2</v>
      </c>
      <c r="B760"/>
      <c r="C760"/>
      <c r="D760"/>
      <c r="E760"/>
      <c r="F760" s="27" t="s">
        <v>7</v>
      </c>
      <c r="GW760" s="27" t="s">
        <v>8</v>
      </c>
      <c r="GX760" s="27" t="s">
        <v>7</v>
      </c>
      <c r="GY760" s="27" t="s">
        <v>8</v>
      </c>
      <c r="IN760" s="27" t="s">
        <v>7</v>
      </c>
      <c r="IO760" s="27" t="s">
        <v>8</v>
      </c>
      <c r="IP760" s="27" t="s">
        <v>7</v>
      </c>
      <c r="IZ760" s="27" t="s">
        <v>7</v>
      </c>
      <c r="JA760" s="27" t="s">
        <v>8</v>
      </c>
      <c r="JF760" s="27" t="s">
        <v>7</v>
      </c>
      <c r="JM760" s="27" t="s">
        <v>8</v>
      </c>
      <c r="JN760" s="27" t="s">
        <v>7</v>
      </c>
      <c r="JW760" s="27" t="s">
        <v>8</v>
      </c>
      <c r="JX760" s="27" t="s">
        <v>7</v>
      </c>
      <c r="JY760" s="27" t="s">
        <v>8</v>
      </c>
    </row>
    <row r="761" spans="1:287" x14ac:dyDescent="0.25">
      <c r="A761" s="7">
        <v>3.1883802730514173E-2</v>
      </c>
      <c r="B761"/>
      <c r="C761"/>
      <c r="D761"/>
      <c r="E761"/>
      <c r="F761" s="27" t="s">
        <v>7</v>
      </c>
      <c r="GU761" s="27" t="s">
        <v>8</v>
      </c>
      <c r="GW761" s="27" t="s">
        <v>8</v>
      </c>
      <c r="GX761" s="27" t="s">
        <v>7</v>
      </c>
      <c r="IN761" s="27" t="s">
        <v>7</v>
      </c>
      <c r="IO761" s="27" t="s">
        <v>8</v>
      </c>
      <c r="IZ761" s="27" t="s">
        <v>7</v>
      </c>
      <c r="JA761" s="27" t="s">
        <v>8</v>
      </c>
      <c r="JF761" s="27" t="s">
        <v>7</v>
      </c>
      <c r="JI761" s="27" t="s">
        <v>8</v>
      </c>
      <c r="JM761" s="27" t="s">
        <v>8</v>
      </c>
      <c r="JN761" s="27" t="s">
        <v>7</v>
      </c>
      <c r="JW761" s="27" t="s">
        <v>8</v>
      </c>
      <c r="JX761" s="27" t="s">
        <v>7</v>
      </c>
      <c r="JY761" s="27" t="s">
        <v>8</v>
      </c>
    </row>
    <row r="762" spans="1:287" x14ac:dyDescent="0.25">
      <c r="A762" s="7">
        <v>3.1258630127955073E-2</v>
      </c>
      <c r="B762"/>
      <c r="C762"/>
      <c r="D762"/>
      <c r="E762"/>
      <c r="F762" s="27" t="s">
        <v>7</v>
      </c>
      <c r="GU762" s="27" t="s">
        <v>8</v>
      </c>
      <c r="GV762" s="27" t="s">
        <v>7</v>
      </c>
      <c r="GW762" s="27" t="s">
        <v>8</v>
      </c>
      <c r="IN762" s="27" t="s">
        <v>7</v>
      </c>
      <c r="IO762" s="27" t="s">
        <v>8</v>
      </c>
      <c r="IZ762" s="27" t="s">
        <v>7</v>
      </c>
      <c r="JA762" s="27" t="s">
        <v>8</v>
      </c>
      <c r="JF762" s="27" t="s">
        <v>7</v>
      </c>
      <c r="JI762" s="27" t="s">
        <v>8</v>
      </c>
      <c r="JJ762" s="27" t="s">
        <v>7</v>
      </c>
      <c r="JM762" s="27" t="s">
        <v>8</v>
      </c>
      <c r="JN762" s="27" t="s">
        <v>7</v>
      </c>
      <c r="JO762" s="27" t="s">
        <v>8</v>
      </c>
      <c r="JW762" s="27" t="s">
        <v>8</v>
      </c>
      <c r="JX762" s="27" t="s">
        <v>7</v>
      </c>
      <c r="JY762" s="27" t="s">
        <v>8</v>
      </c>
    </row>
    <row r="763" spans="1:287" x14ac:dyDescent="0.25">
      <c r="A763" s="7">
        <v>3.064571581172066E-2</v>
      </c>
      <c r="B763"/>
      <c r="C763"/>
      <c r="D763"/>
      <c r="E763"/>
      <c r="F763" s="27" t="s">
        <v>7</v>
      </c>
      <c r="GU763" s="27" t="s">
        <v>8</v>
      </c>
      <c r="GV763" s="27" t="s">
        <v>7</v>
      </c>
      <c r="GW763" s="27" t="s">
        <v>8</v>
      </c>
      <c r="IN763" s="27" t="s">
        <v>7</v>
      </c>
      <c r="IO763" s="27" t="s">
        <v>8</v>
      </c>
      <c r="IZ763" s="27" t="s">
        <v>7</v>
      </c>
      <c r="JF763" s="27" t="s">
        <v>7</v>
      </c>
      <c r="JI763" s="27" t="s">
        <v>8</v>
      </c>
      <c r="JJ763" s="27" t="s">
        <v>7</v>
      </c>
      <c r="JM763" s="27" t="s">
        <v>8</v>
      </c>
      <c r="JN763" s="27" t="s">
        <v>7</v>
      </c>
      <c r="JO763" s="27" t="s">
        <v>8</v>
      </c>
      <c r="JP763" s="27" t="s">
        <v>7</v>
      </c>
      <c r="JS763" s="27" t="s">
        <v>8</v>
      </c>
      <c r="JW763" s="27" t="s">
        <v>8</v>
      </c>
      <c r="JX763" s="27" t="s">
        <v>7</v>
      </c>
      <c r="JY763" s="27" t="s">
        <v>8</v>
      </c>
    </row>
    <row r="764" spans="1:287" x14ac:dyDescent="0.25">
      <c r="A764" s="7">
        <v>3.0044819423255549E-2</v>
      </c>
      <c r="B764"/>
      <c r="C764"/>
      <c r="D764"/>
      <c r="E764"/>
      <c r="F764" s="27" t="s">
        <v>7</v>
      </c>
      <c r="GU764" s="27" t="s">
        <v>8</v>
      </c>
      <c r="GV764" s="27" t="s">
        <v>7</v>
      </c>
      <c r="GW764" s="27" t="s">
        <v>8</v>
      </c>
      <c r="IN764" s="27" t="s">
        <v>7</v>
      </c>
      <c r="IO764" s="27" t="s">
        <v>8</v>
      </c>
      <c r="JF764" s="27" t="s">
        <v>7</v>
      </c>
      <c r="JG764" s="27" t="s">
        <v>8</v>
      </c>
      <c r="JI764" s="27" t="s">
        <v>8</v>
      </c>
      <c r="JJ764" s="27" t="s">
        <v>7</v>
      </c>
      <c r="JM764" s="27" t="s">
        <v>8</v>
      </c>
      <c r="JN764" s="27" t="s">
        <v>7</v>
      </c>
      <c r="JO764" s="27" t="s">
        <v>8</v>
      </c>
      <c r="JP764" s="27" t="s">
        <v>7</v>
      </c>
      <c r="JS764" s="27" t="s">
        <v>8</v>
      </c>
      <c r="JT764" s="27" t="s">
        <v>7</v>
      </c>
      <c r="JU764" s="27" t="s">
        <v>8</v>
      </c>
      <c r="JW764" s="27" t="s">
        <v>8</v>
      </c>
      <c r="JX764" s="27" t="s">
        <v>7</v>
      </c>
      <c r="JY764" s="27" t="s">
        <v>8</v>
      </c>
    </row>
    <row r="765" spans="1:287" x14ac:dyDescent="0.25">
      <c r="A765" s="7">
        <v>2.9455705316917203E-2</v>
      </c>
      <c r="B765"/>
      <c r="C765"/>
      <c r="D765"/>
      <c r="E765"/>
      <c r="F765" s="27" t="s">
        <v>7</v>
      </c>
      <c r="GU765" s="27" t="s">
        <v>8</v>
      </c>
      <c r="GV765" s="27" t="s">
        <v>7</v>
      </c>
      <c r="GW765" s="27" t="s">
        <v>8</v>
      </c>
      <c r="IN765" s="27" t="s">
        <v>7</v>
      </c>
      <c r="IO765" s="27" t="s">
        <v>8</v>
      </c>
      <c r="JF765" s="27" t="s">
        <v>7</v>
      </c>
      <c r="JG765" s="27" t="s">
        <v>8</v>
      </c>
      <c r="JH765" s="27" t="s">
        <v>7</v>
      </c>
      <c r="JI765" s="27" t="s">
        <v>8</v>
      </c>
      <c r="JJ765" s="27" t="s">
        <v>7</v>
      </c>
      <c r="JK765" s="27" t="s">
        <v>8</v>
      </c>
      <c r="JM765" s="27" t="s">
        <v>8</v>
      </c>
      <c r="JN765" s="27" t="s">
        <v>7</v>
      </c>
      <c r="JO765" s="27" t="s">
        <v>8</v>
      </c>
      <c r="JP765" s="27" t="s">
        <v>7</v>
      </c>
      <c r="JS765" s="27" t="s">
        <v>8</v>
      </c>
      <c r="JT765" s="27" t="s">
        <v>7</v>
      </c>
      <c r="JU765" s="27" t="s">
        <v>8</v>
      </c>
      <c r="JV765" s="27" t="s">
        <v>7</v>
      </c>
      <c r="JW765" s="27" t="s">
        <v>8</v>
      </c>
      <c r="JX765" s="27" t="s">
        <v>7</v>
      </c>
    </row>
    <row r="766" spans="1:287" x14ac:dyDescent="0.25">
      <c r="A766" s="7">
        <v>2.8878142467565884E-2</v>
      </c>
      <c r="B766"/>
      <c r="C766"/>
      <c r="D766"/>
      <c r="E766"/>
      <c r="F766" s="27" t="s">
        <v>7</v>
      </c>
      <c r="GU766" s="27" t="s">
        <v>8</v>
      </c>
      <c r="GV766" s="27" t="s">
        <v>7</v>
      </c>
      <c r="GW766" s="27" t="s">
        <v>8</v>
      </c>
      <c r="IN766" s="27" t="s">
        <v>7</v>
      </c>
      <c r="IO766" s="27" t="s">
        <v>8</v>
      </c>
      <c r="JF766" s="27" t="s">
        <v>7</v>
      </c>
      <c r="JG766" s="27" t="s">
        <v>8</v>
      </c>
      <c r="JH766" s="27" t="s">
        <v>7</v>
      </c>
      <c r="JI766" s="27" t="s">
        <v>8</v>
      </c>
      <c r="JJ766" s="27" t="s">
        <v>7</v>
      </c>
      <c r="JK766" s="27" t="s">
        <v>8</v>
      </c>
      <c r="JL766" s="27" t="s">
        <v>7</v>
      </c>
      <c r="JM766" s="27" t="s">
        <v>8</v>
      </c>
      <c r="JN766" s="27" t="s">
        <v>7</v>
      </c>
      <c r="JO766" s="27" t="s">
        <v>8</v>
      </c>
      <c r="JP766" s="27" t="s">
        <v>7</v>
      </c>
      <c r="JS766" s="27" t="s">
        <v>8</v>
      </c>
      <c r="JT766" s="27" t="s">
        <v>7</v>
      </c>
      <c r="JU766" s="27" t="s">
        <v>8</v>
      </c>
      <c r="JV766" s="27" t="s">
        <v>7</v>
      </c>
      <c r="JW766" s="27" t="s">
        <v>8</v>
      </c>
    </row>
    <row r="767" spans="1:287" x14ac:dyDescent="0.25">
      <c r="A767" s="7">
        <v>2.8311904379966554E-2</v>
      </c>
      <c r="B767"/>
      <c r="C767"/>
      <c r="D767"/>
      <c r="E767"/>
      <c r="F767" s="27" t="s">
        <v>7</v>
      </c>
      <c r="GU767" s="27" t="s">
        <v>8</v>
      </c>
      <c r="GV767" s="27" t="s">
        <v>7</v>
      </c>
      <c r="GW767" s="27" t="s">
        <v>8</v>
      </c>
      <c r="IN767" s="27" t="s">
        <v>7</v>
      </c>
      <c r="IO767" s="27" t="s">
        <v>8</v>
      </c>
      <c r="JF767" s="27" t="s">
        <v>7</v>
      </c>
      <c r="JG767" s="27" t="s">
        <v>8</v>
      </c>
      <c r="JH767" s="27" t="s">
        <v>7</v>
      </c>
      <c r="JI767" s="27" t="s">
        <v>8</v>
      </c>
      <c r="JJ767" s="27" t="s">
        <v>7</v>
      </c>
      <c r="JK767" s="27" t="s">
        <v>8</v>
      </c>
      <c r="JL767" s="27" t="s">
        <v>7</v>
      </c>
      <c r="JM767" s="27" t="s">
        <v>8</v>
      </c>
      <c r="JN767" s="27" t="s">
        <v>7</v>
      </c>
      <c r="JO767" s="27" t="s">
        <v>8</v>
      </c>
      <c r="JP767" s="27" t="s">
        <v>7</v>
      </c>
      <c r="JS767" s="27" t="s">
        <v>8</v>
      </c>
      <c r="JT767" s="27" t="s">
        <v>7</v>
      </c>
      <c r="JU767" s="27" t="s">
        <v>8</v>
      </c>
      <c r="JV767" s="27" t="s">
        <v>7</v>
      </c>
      <c r="JW767" s="27" t="s">
        <v>8</v>
      </c>
    </row>
    <row r="768" spans="1:287" x14ac:dyDescent="0.25">
      <c r="A768" s="7">
        <v>2.7756768999967207E-2</v>
      </c>
      <c r="B768"/>
      <c r="C768"/>
      <c r="D768"/>
      <c r="E768"/>
      <c r="F768" s="27" t="s">
        <v>7</v>
      </c>
      <c r="GU768" s="27" t="s">
        <v>8</v>
      </c>
      <c r="GV768" s="27" t="s">
        <v>7</v>
      </c>
      <c r="GW768" s="27" t="s">
        <v>8</v>
      </c>
      <c r="IN768" s="27" t="s">
        <v>7</v>
      </c>
      <c r="IO768" s="27" t="s">
        <v>8</v>
      </c>
      <c r="JF768" s="27" t="s">
        <v>7</v>
      </c>
      <c r="JG768" s="27" t="s">
        <v>8</v>
      </c>
      <c r="JH768" s="27" t="s">
        <v>7</v>
      </c>
      <c r="JI768" s="27" t="s">
        <v>8</v>
      </c>
      <c r="JJ768" s="27" t="s">
        <v>7</v>
      </c>
      <c r="JK768" s="27" t="s">
        <v>8</v>
      </c>
      <c r="JL768" s="27" t="s">
        <v>7</v>
      </c>
      <c r="JM768" s="27" t="s">
        <v>8</v>
      </c>
      <c r="JN768" s="27" t="s">
        <v>7</v>
      </c>
      <c r="JO768" s="27" t="s">
        <v>8</v>
      </c>
      <c r="JP768" s="27" t="s">
        <v>7</v>
      </c>
      <c r="JS768" s="27" t="s">
        <v>8</v>
      </c>
      <c r="JT768" s="27" t="s">
        <v>7</v>
      </c>
      <c r="JU768" s="27" t="s">
        <v>8</v>
      </c>
      <c r="JV768" s="27" t="s">
        <v>7</v>
      </c>
    </row>
    <row r="769" spans="1:281" x14ac:dyDescent="0.25">
      <c r="A769" s="7">
        <v>2.7212518627418834E-2</v>
      </c>
      <c r="B769"/>
      <c r="C769"/>
      <c r="D769"/>
      <c r="E769"/>
      <c r="F769" s="27" t="s">
        <v>7</v>
      </c>
      <c r="GU769" s="27" t="s">
        <v>8</v>
      </c>
      <c r="GV769" s="27" t="s">
        <v>7</v>
      </c>
      <c r="GW769" s="27" t="s">
        <v>8</v>
      </c>
      <c r="IN769" s="27" t="s">
        <v>7</v>
      </c>
      <c r="IO769" s="27" t="s">
        <v>8</v>
      </c>
      <c r="JF769" s="27" t="s">
        <v>7</v>
      </c>
      <c r="JG769" s="27" t="s">
        <v>8</v>
      </c>
      <c r="JH769" s="27" t="s">
        <v>7</v>
      </c>
      <c r="JI769" s="27" t="s">
        <v>8</v>
      </c>
      <c r="JJ769" s="27" t="s">
        <v>7</v>
      </c>
      <c r="JK769" s="27" t="s">
        <v>8</v>
      </c>
      <c r="JL769" s="27" t="s">
        <v>7</v>
      </c>
      <c r="JM769" s="27" t="s">
        <v>8</v>
      </c>
      <c r="JN769" s="27" t="s">
        <v>7</v>
      </c>
      <c r="JO769" s="27" t="s">
        <v>8</v>
      </c>
      <c r="JP769" s="27" t="s">
        <v>7</v>
      </c>
      <c r="JS769" s="27" t="s">
        <v>8</v>
      </c>
      <c r="JT769" s="27" t="s">
        <v>7</v>
      </c>
      <c r="JU769" s="27" t="s">
        <v>8</v>
      </c>
    </row>
    <row r="770" spans="1:281" x14ac:dyDescent="0.25">
      <c r="A770" s="7">
        <v>2.6678939830802779E-2</v>
      </c>
      <c r="B770"/>
      <c r="C770"/>
      <c r="D770"/>
      <c r="E770"/>
      <c r="F770" s="27" t="s">
        <v>7</v>
      </c>
      <c r="GU770" s="27" t="s">
        <v>8</v>
      </c>
      <c r="GV770" s="27" t="s">
        <v>7</v>
      </c>
      <c r="IN770" s="27" t="s">
        <v>7</v>
      </c>
      <c r="IO770" s="27" t="s">
        <v>8</v>
      </c>
      <c r="JF770" s="27" t="s">
        <v>7</v>
      </c>
      <c r="JG770" s="27" t="s">
        <v>8</v>
      </c>
      <c r="JH770" s="27" t="s">
        <v>7</v>
      </c>
      <c r="JI770" s="27" t="s">
        <v>8</v>
      </c>
      <c r="JJ770" s="27" t="s">
        <v>7</v>
      </c>
      <c r="JK770" s="27" t="s">
        <v>8</v>
      </c>
      <c r="JL770" s="27" t="s">
        <v>7</v>
      </c>
      <c r="JM770" s="27" t="s">
        <v>8</v>
      </c>
      <c r="JN770" s="27" t="s">
        <v>7</v>
      </c>
      <c r="JP770" s="27" t="s">
        <v>7</v>
      </c>
      <c r="JQ770" s="27" t="s">
        <v>8</v>
      </c>
      <c r="JS770" s="27" t="s">
        <v>8</v>
      </c>
      <c r="JT770" s="27" t="s">
        <v>7</v>
      </c>
      <c r="JU770" s="27" t="s">
        <v>8</v>
      </c>
    </row>
    <row r="771" spans="1:281" x14ac:dyDescent="0.25">
      <c r="A771" s="7">
        <v>2.615582336353214E-2</v>
      </c>
      <c r="B771"/>
      <c r="C771"/>
      <c r="D771"/>
      <c r="E771"/>
      <c r="F771" s="27" t="s">
        <v>7</v>
      </c>
      <c r="GO771" s="27" t="s">
        <v>8</v>
      </c>
      <c r="GU771" s="27" t="s">
        <v>8</v>
      </c>
      <c r="IN771" s="27" t="s">
        <v>7</v>
      </c>
      <c r="IO771" s="27" t="s">
        <v>8</v>
      </c>
      <c r="JF771" s="27" t="s">
        <v>7</v>
      </c>
      <c r="JG771" s="27" t="s">
        <v>8</v>
      </c>
      <c r="JH771" s="27" t="s">
        <v>7</v>
      </c>
      <c r="JI771" s="27" t="s">
        <v>8</v>
      </c>
      <c r="JJ771" s="27" t="s">
        <v>7</v>
      </c>
      <c r="JK771" s="27" t="s">
        <v>8</v>
      </c>
      <c r="JL771" s="27" t="s">
        <v>7</v>
      </c>
      <c r="JP771" s="27" t="s">
        <v>7</v>
      </c>
      <c r="JQ771" s="27" t="s">
        <v>8</v>
      </c>
      <c r="JR771" s="27" t="s">
        <v>7</v>
      </c>
      <c r="JS771" s="27" t="s">
        <v>8</v>
      </c>
      <c r="JT771" s="27" t="s">
        <v>7</v>
      </c>
      <c r="JU771" s="27" t="s">
        <v>8</v>
      </c>
    </row>
    <row r="772" spans="1:281" x14ac:dyDescent="0.25">
      <c r="A772" s="7">
        <v>2.5642964081894253E-2</v>
      </c>
      <c r="B772"/>
      <c r="C772"/>
      <c r="D772"/>
      <c r="E772"/>
      <c r="F772" s="27" t="s">
        <v>7</v>
      </c>
      <c r="GO772" s="27" t="s">
        <v>8</v>
      </c>
      <c r="GP772" s="27" t="s">
        <v>7</v>
      </c>
      <c r="GS772" s="27" t="s">
        <v>8</v>
      </c>
      <c r="GU772" s="27" t="s">
        <v>8</v>
      </c>
      <c r="IN772" s="27" t="s">
        <v>7</v>
      </c>
      <c r="IO772" s="27" t="s">
        <v>8</v>
      </c>
      <c r="JF772" s="27" t="s">
        <v>7</v>
      </c>
      <c r="JG772" s="27" t="s">
        <v>8</v>
      </c>
      <c r="JH772" s="27" t="s">
        <v>7</v>
      </c>
      <c r="JI772" s="27" t="s">
        <v>8</v>
      </c>
      <c r="JJ772" s="27" t="s">
        <v>7</v>
      </c>
      <c r="JP772" s="27" t="s">
        <v>7</v>
      </c>
      <c r="JQ772" s="27" t="s">
        <v>8</v>
      </c>
      <c r="JR772" s="27" t="s">
        <v>7</v>
      </c>
      <c r="JS772" s="27" t="s">
        <v>8</v>
      </c>
      <c r="JT772" s="27" t="s">
        <v>7</v>
      </c>
    </row>
    <row r="773" spans="1:281" x14ac:dyDescent="0.25">
      <c r="A773" s="7">
        <v>2.5140160864602207E-2</v>
      </c>
      <c r="B773"/>
      <c r="C773"/>
      <c r="D773"/>
      <c r="E773"/>
      <c r="F773" s="27" t="s">
        <v>7</v>
      </c>
      <c r="GO773" s="27" t="s">
        <v>8</v>
      </c>
      <c r="GP773" s="27" t="s">
        <v>7</v>
      </c>
      <c r="GS773" s="27" t="s">
        <v>8</v>
      </c>
      <c r="GT773" s="27" t="s">
        <v>7</v>
      </c>
      <c r="GU773" s="27" t="s">
        <v>8</v>
      </c>
      <c r="IN773" s="27" t="s">
        <v>7</v>
      </c>
      <c r="IO773" s="27" t="s">
        <v>8</v>
      </c>
      <c r="JF773" s="27" t="s">
        <v>7</v>
      </c>
      <c r="JG773" s="27" t="s">
        <v>8</v>
      </c>
      <c r="JH773" s="27" t="s">
        <v>7</v>
      </c>
      <c r="JI773" s="27" t="s">
        <v>8</v>
      </c>
      <c r="JP773" s="27" t="s">
        <v>7</v>
      </c>
      <c r="JQ773" s="27" t="s">
        <v>8</v>
      </c>
      <c r="JR773" s="27" t="s">
        <v>7</v>
      </c>
      <c r="JS773" s="27" t="s">
        <v>8</v>
      </c>
    </row>
    <row r="774" spans="1:281" x14ac:dyDescent="0.25">
      <c r="A774" s="7">
        <v>2.4647216533923735E-2</v>
      </c>
      <c r="B774"/>
      <c r="C774"/>
      <c r="D774"/>
      <c r="E774"/>
      <c r="F774" s="27" t="s">
        <v>7</v>
      </c>
      <c r="GK774" s="27" t="s">
        <v>8</v>
      </c>
      <c r="GO774" s="27" t="s">
        <v>8</v>
      </c>
      <c r="GP774" s="27" t="s">
        <v>7</v>
      </c>
      <c r="GS774" s="27" t="s">
        <v>8</v>
      </c>
      <c r="GT774" s="27" t="s">
        <v>7</v>
      </c>
      <c r="GU774" s="27" t="s">
        <v>8</v>
      </c>
      <c r="IN774" s="27" t="s">
        <v>7</v>
      </c>
      <c r="IO774" s="27" t="s">
        <v>8</v>
      </c>
      <c r="JF774" s="27" t="s">
        <v>7</v>
      </c>
      <c r="JG774" s="27" t="s">
        <v>8</v>
      </c>
      <c r="JH774" s="27" t="s">
        <v>7</v>
      </c>
      <c r="JI774" s="27" t="s">
        <v>8</v>
      </c>
      <c r="JP774" s="27" t="s">
        <v>7</v>
      </c>
      <c r="JQ774" s="27" t="s">
        <v>8</v>
      </c>
      <c r="JR774" s="27" t="s">
        <v>7</v>
      </c>
      <c r="JS774" s="27" t="s">
        <v>8</v>
      </c>
    </row>
    <row r="775" spans="1:281" x14ac:dyDescent="0.25">
      <c r="A775" s="7">
        <v>2.4163937778356601E-2</v>
      </c>
      <c r="B775"/>
      <c r="C775"/>
      <c r="D775"/>
      <c r="E775"/>
      <c r="F775" s="27" t="s">
        <v>7</v>
      </c>
      <c r="GK775" s="27" t="s">
        <v>8</v>
      </c>
      <c r="GL775" s="27" t="s">
        <v>7</v>
      </c>
      <c r="GO775" s="27" t="s">
        <v>8</v>
      </c>
      <c r="GP775" s="27" t="s">
        <v>7</v>
      </c>
      <c r="GS775" s="27" t="s">
        <v>8</v>
      </c>
      <c r="GT775" s="27" t="s">
        <v>7</v>
      </c>
      <c r="GU775" s="27" t="s">
        <v>8</v>
      </c>
      <c r="IN775" s="27" t="s">
        <v>7</v>
      </c>
      <c r="IO775" s="27" t="s">
        <v>8</v>
      </c>
      <c r="JF775" s="27" t="s">
        <v>7</v>
      </c>
      <c r="JG775" s="27" t="s">
        <v>8</v>
      </c>
      <c r="JH775" s="27" t="s">
        <v>7</v>
      </c>
      <c r="JI775" s="27" t="s">
        <v>8</v>
      </c>
      <c r="JP775" s="27" t="s">
        <v>7</v>
      </c>
      <c r="JQ775" s="27" t="s">
        <v>8</v>
      </c>
      <c r="JR775" s="27" t="s">
        <v>7</v>
      </c>
      <c r="JS775" s="27" t="s">
        <v>8</v>
      </c>
    </row>
    <row r="776" spans="1:281" x14ac:dyDescent="0.25">
      <c r="A776" s="7">
        <v>2.3690135076820197E-2</v>
      </c>
      <c r="B776"/>
      <c r="C776"/>
      <c r="D776"/>
      <c r="E776"/>
      <c r="F776" s="27" t="s">
        <v>7</v>
      </c>
      <c r="GK776" s="27" t="s">
        <v>8</v>
      </c>
      <c r="GL776" s="27" t="s">
        <v>7</v>
      </c>
      <c r="GO776" s="27" t="s">
        <v>8</v>
      </c>
      <c r="GP776" s="27" t="s">
        <v>7</v>
      </c>
      <c r="GS776" s="27" t="s">
        <v>8</v>
      </c>
      <c r="GT776" s="27" t="s">
        <v>7</v>
      </c>
      <c r="GU776" s="27" t="s">
        <v>8</v>
      </c>
      <c r="IN776" s="27" t="s">
        <v>7</v>
      </c>
      <c r="IO776" s="27" t="s">
        <v>8</v>
      </c>
      <c r="JF776" s="27" t="s">
        <v>7</v>
      </c>
      <c r="JG776" s="27" t="s">
        <v>8</v>
      </c>
      <c r="JH776" s="27" t="s">
        <v>7</v>
      </c>
      <c r="JP776" s="27" t="s">
        <v>7</v>
      </c>
      <c r="JQ776" s="27" t="s">
        <v>8</v>
      </c>
      <c r="JR776" s="27" t="s">
        <v>7</v>
      </c>
      <c r="JS776" s="27" t="s">
        <v>8</v>
      </c>
    </row>
    <row r="777" spans="1:281" x14ac:dyDescent="0.25">
      <c r="A777" s="7">
        <v>2.3225622624333527E-2</v>
      </c>
      <c r="B777"/>
      <c r="C777"/>
      <c r="D777"/>
      <c r="E777"/>
      <c r="F777" s="27" t="s">
        <v>7</v>
      </c>
      <c r="GK777" s="27" t="s">
        <v>8</v>
      </c>
      <c r="GL777" s="27" t="s">
        <v>7</v>
      </c>
      <c r="GO777" s="27" t="s">
        <v>8</v>
      </c>
      <c r="GP777" s="27" t="s">
        <v>7</v>
      </c>
      <c r="GS777" s="27" t="s">
        <v>8</v>
      </c>
      <c r="GT777" s="27" t="s">
        <v>7</v>
      </c>
      <c r="GU777" s="27" t="s">
        <v>8</v>
      </c>
      <c r="IN777" s="27" t="s">
        <v>7</v>
      </c>
      <c r="IO777" s="27" t="s">
        <v>8</v>
      </c>
      <c r="JF777" s="27" t="s">
        <v>7</v>
      </c>
      <c r="JG777" s="27" t="s">
        <v>8</v>
      </c>
      <c r="JP777" s="27" t="s">
        <v>7</v>
      </c>
      <c r="JQ777" s="27" t="s">
        <v>8</v>
      </c>
      <c r="JR777" s="27" t="s">
        <v>7</v>
      </c>
      <c r="JS777" s="27" t="s">
        <v>8</v>
      </c>
    </row>
    <row r="778" spans="1:281" x14ac:dyDescent="0.25">
      <c r="A778" s="7">
        <v>2.2770218259150519E-2</v>
      </c>
      <c r="B778"/>
      <c r="C778"/>
      <c r="D778"/>
      <c r="E778"/>
      <c r="F778" s="27" t="s">
        <v>7</v>
      </c>
      <c r="GK778" s="27" t="s">
        <v>8</v>
      </c>
      <c r="GL778" s="27" t="s">
        <v>7</v>
      </c>
      <c r="GO778" s="27" t="s">
        <v>8</v>
      </c>
      <c r="GP778" s="27" t="s">
        <v>7</v>
      </c>
      <c r="GS778" s="27" t="s">
        <v>8</v>
      </c>
      <c r="GT778" s="27" t="s">
        <v>7</v>
      </c>
      <c r="GU778" s="27" t="s">
        <v>8</v>
      </c>
      <c r="IN778" s="27" t="s">
        <v>7</v>
      </c>
      <c r="IO778" s="27" t="s">
        <v>8</v>
      </c>
      <c r="JF778" s="27" t="s">
        <v>7</v>
      </c>
      <c r="JG778" s="27" t="s">
        <v>8</v>
      </c>
      <c r="JP778" s="27" t="s">
        <v>7</v>
      </c>
      <c r="JQ778" s="27" t="s">
        <v>8</v>
      </c>
      <c r="JR778" s="27" t="s">
        <v>7</v>
      </c>
      <c r="JS778" s="27" t="s">
        <v>8</v>
      </c>
    </row>
    <row r="779" spans="1:281" x14ac:dyDescent="0.25">
      <c r="A779" s="7">
        <v>2.2323743391324039E-2</v>
      </c>
      <c r="B779"/>
      <c r="C779"/>
      <c r="D779"/>
      <c r="E779"/>
      <c r="F779" s="27" t="s">
        <v>7</v>
      </c>
      <c r="GK779" s="27" t="s">
        <v>8</v>
      </c>
      <c r="GL779" s="27" t="s">
        <v>7</v>
      </c>
      <c r="GO779" s="27" t="s">
        <v>8</v>
      </c>
      <c r="GP779" s="27" t="s">
        <v>7</v>
      </c>
      <c r="GS779" s="27" t="s">
        <v>8</v>
      </c>
      <c r="GT779" s="27" t="s">
        <v>7</v>
      </c>
      <c r="GU779" s="27" t="s">
        <v>8</v>
      </c>
      <c r="IN779" s="27" t="s">
        <v>7</v>
      </c>
      <c r="IO779" s="27" t="s">
        <v>8</v>
      </c>
      <c r="JF779" s="27" t="s">
        <v>7</v>
      </c>
      <c r="JG779" s="27" t="s">
        <v>8</v>
      </c>
      <c r="JP779" s="27" t="s">
        <v>7</v>
      </c>
      <c r="JR779" s="18" t="s">
        <v>7</v>
      </c>
      <c r="JS779" s="27" t="s">
        <v>8</v>
      </c>
    </row>
    <row r="780" spans="1:281" x14ac:dyDescent="0.25">
      <c r="A780" s="7">
        <v>2.188602293267063E-2</v>
      </c>
      <c r="B780"/>
      <c r="C780"/>
      <c r="D780"/>
      <c r="E780"/>
      <c r="F780" s="27" t="s">
        <v>7</v>
      </c>
      <c r="GK780" s="27" t="s">
        <v>8</v>
      </c>
      <c r="GL780" s="27" t="s">
        <v>7</v>
      </c>
      <c r="GO780" s="27" t="s">
        <v>8</v>
      </c>
      <c r="GP780" s="27" t="s">
        <v>7</v>
      </c>
      <c r="GS780" s="27" t="s">
        <v>8</v>
      </c>
      <c r="GT780" s="27" t="s">
        <v>7</v>
      </c>
      <c r="IN780" s="27" t="s">
        <v>7</v>
      </c>
      <c r="IO780" s="27" t="s">
        <v>8</v>
      </c>
      <c r="JF780" s="27" t="s">
        <v>7</v>
      </c>
      <c r="JR780" s="27" t="s">
        <v>7</v>
      </c>
      <c r="JS780" s="27" t="s">
        <v>8</v>
      </c>
    </row>
    <row r="781" spans="1:281" x14ac:dyDescent="0.25">
      <c r="A781" s="7">
        <v>2.1456885228108461E-2</v>
      </c>
      <c r="B781"/>
      <c r="C781"/>
      <c r="D781"/>
      <c r="E781"/>
      <c r="F781" s="27" t="s">
        <v>7</v>
      </c>
      <c r="GK781" s="27" t="s">
        <v>8</v>
      </c>
      <c r="GL781" s="27" t="s">
        <v>7</v>
      </c>
      <c r="GO781" s="27" t="s">
        <v>8</v>
      </c>
      <c r="GP781" s="27" t="s">
        <v>7</v>
      </c>
      <c r="GS781" s="27" t="s">
        <v>8</v>
      </c>
      <c r="IN781" s="27" t="s">
        <v>7</v>
      </c>
      <c r="JR781" s="27" t="s">
        <v>7</v>
      </c>
      <c r="JS781" s="27" t="s">
        <v>8</v>
      </c>
    </row>
    <row r="782" spans="1:281" x14ac:dyDescent="0.25">
      <c r="A782" s="7">
        <v>2.1036161988341632E-2</v>
      </c>
      <c r="B782"/>
      <c r="C782"/>
      <c r="D782"/>
      <c r="E782"/>
      <c r="F782" s="27" t="s">
        <v>7</v>
      </c>
      <c r="GK782" s="27" t="s">
        <v>8</v>
      </c>
      <c r="GL782" s="27" t="s">
        <v>7</v>
      </c>
      <c r="GO782" s="27" t="s">
        <v>8</v>
      </c>
      <c r="GP782" s="27" t="s">
        <v>7</v>
      </c>
      <c r="GS782" s="27" t="s">
        <v>8</v>
      </c>
      <c r="JR782" s="27" t="s">
        <v>7</v>
      </c>
      <c r="JS782" s="27" t="s">
        <v>8</v>
      </c>
    </row>
    <row r="783" spans="1:281" x14ac:dyDescent="0.25">
      <c r="A783" s="7">
        <v>2.0623688223864345E-2</v>
      </c>
      <c r="B783"/>
      <c r="C783"/>
      <c r="D783"/>
      <c r="E783"/>
      <c r="F783" s="27" t="s">
        <v>7</v>
      </c>
      <c r="GK783" s="27" t="s">
        <v>8</v>
      </c>
      <c r="GL783" s="27" t="s">
        <v>7</v>
      </c>
      <c r="GM783" s="27" t="s">
        <v>8</v>
      </c>
      <c r="GO783" s="27" t="s">
        <v>8</v>
      </c>
      <c r="GP783" s="27" t="s">
        <v>7</v>
      </c>
      <c r="GQ783" s="27" t="s">
        <v>8</v>
      </c>
      <c r="GS783" s="27" t="s">
        <v>8</v>
      </c>
      <c r="JR783" s="27" t="s">
        <v>7</v>
      </c>
      <c r="JS783" s="27" t="s">
        <v>8</v>
      </c>
    </row>
    <row r="784" spans="1:281" x14ac:dyDescent="0.25">
      <c r="A784" s="7">
        <v>2.021930218025916E-2</v>
      </c>
      <c r="B784"/>
      <c r="C784"/>
      <c r="D784"/>
      <c r="E784"/>
      <c r="F784" s="27" t="s">
        <v>7</v>
      </c>
      <c r="GK784" s="27" t="s">
        <v>8</v>
      </c>
      <c r="GL784" s="27" t="s">
        <v>7</v>
      </c>
      <c r="GM784" s="27" t="s">
        <v>8</v>
      </c>
      <c r="GN784" s="27" t="s">
        <v>7</v>
      </c>
      <c r="GO784" s="27" t="s">
        <v>8</v>
      </c>
      <c r="GP784" s="27" t="s">
        <v>7</v>
      </c>
      <c r="GQ784" s="27" t="s">
        <v>8</v>
      </c>
      <c r="GR784" s="27" t="s">
        <v>7</v>
      </c>
      <c r="GS784" s="27" t="s">
        <v>8</v>
      </c>
      <c r="JR784" s="27" t="s">
        <v>7</v>
      </c>
      <c r="JS784" s="27" t="s">
        <v>8</v>
      </c>
    </row>
    <row r="785" spans="1:278" x14ac:dyDescent="0.25">
      <c r="A785" s="7">
        <v>1.9822845274763884E-2</v>
      </c>
      <c r="B785"/>
      <c r="C785"/>
      <c r="D785"/>
      <c r="E785"/>
      <c r="F785" s="27" t="s">
        <v>7</v>
      </c>
      <c r="GK785" s="27" t="s">
        <v>8</v>
      </c>
      <c r="GL785" s="27" t="s">
        <v>7</v>
      </c>
      <c r="GM785" s="27" t="s">
        <v>8</v>
      </c>
      <c r="GN785" s="27" t="s">
        <v>7</v>
      </c>
      <c r="GO785" s="27" t="s">
        <v>8</v>
      </c>
      <c r="GP785" s="27" t="s">
        <v>7</v>
      </c>
      <c r="GQ785" s="27" t="s">
        <v>8</v>
      </c>
      <c r="GR785" s="27" t="s">
        <v>7</v>
      </c>
      <c r="GS785" s="27" t="s">
        <v>8</v>
      </c>
      <c r="JR785" s="27" t="s">
        <v>7</v>
      </c>
    </row>
    <row r="786" spans="1:278" x14ac:dyDescent="0.25">
      <c r="A786" s="7">
        <v>1.9434162034082238E-2</v>
      </c>
      <c r="B786"/>
      <c r="C786"/>
      <c r="D786"/>
      <c r="E786"/>
      <c r="F786" s="27" t="s">
        <v>7</v>
      </c>
      <c r="GK786" s="27" t="s">
        <v>8</v>
      </c>
      <c r="GL786" s="27" t="s">
        <v>7</v>
      </c>
      <c r="GM786" s="27" t="s">
        <v>8</v>
      </c>
      <c r="GN786" s="27" t="s">
        <v>7</v>
      </c>
      <c r="GO786" s="27" t="s">
        <v>8</v>
      </c>
      <c r="GP786" s="27" t="s">
        <v>7</v>
      </c>
      <c r="GQ786" s="27" t="s">
        <v>8</v>
      </c>
      <c r="GR786" s="27" t="s">
        <v>7</v>
      </c>
      <c r="GS786" s="27" t="s">
        <v>8</v>
      </c>
    </row>
    <row r="787" spans="1:278" x14ac:dyDescent="0.25">
      <c r="A787" s="7">
        <v>1.9053100033413959E-2</v>
      </c>
      <c r="B787"/>
      <c r="C787"/>
      <c r="D787"/>
      <c r="E787"/>
      <c r="F787" s="27" t="s">
        <v>7</v>
      </c>
      <c r="GK787" s="27" t="s">
        <v>8</v>
      </c>
      <c r="GL787" s="27" t="s">
        <v>7</v>
      </c>
      <c r="GM787" s="27" t="s">
        <v>8</v>
      </c>
      <c r="GN787" s="27" t="s">
        <v>7</v>
      </c>
      <c r="GO787" s="27" t="s">
        <v>8</v>
      </c>
      <c r="GP787" s="27" t="s">
        <v>7</v>
      </c>
      <c r="GQ787" s="27" t="s">
        <v>8</v>
      </c>
      <c r="GR787" s="27" t="s">
        <v>7</v>
      </c>
      <c r="GS787" s="27" t="s">
        <v>8</v>
      </c>
    </row>
    <row r="788" spans="1:278" x14ac:dyDescent="0.25">
      <c r="A788" s="7">
        <v>1.867950983668035E-2</v>
      </c>
      <c r="B788"/>
      <c r="C788"/>
      <c r="D788"/>
      <c r="E788"/>
      <c r="F788" s="27" t="s">
        <v>7</v>
      </c>
      <c r="GI788" s="27" t="s">
        <v>8</v>
      </c>
      <c r="GK788" s="27" t="s">
        <v>8</v>
      </c>
      <c r="GL788" s="27" t="s">
        <v>7</v>
      </c>
      <c r="GM788" s="27" t="s">
        <v>8</v>
      </c>
      <c r="GN788" s="27" t="s">
        <v>7</v>
      </c>
      <c r="GO788" s="27" t="s">
        <v>8</v>
      </c>
      <c r="GP788" s="27" t="s">
        <v>7</v>
      </c>
      <c r="GQ788" s="27" t="s">
        <v>8</v>
      </c>
      <c r="GR788" s="27" t="s">
        <v>7</v>
      </c>
      <c r="GS788" s="27" t="s">
        <v>8</v>
      </c>
    </row>
    <row r="789" spans="1:278" x14ac:dyDescent="0.25">
      <c r="A789" s="7">
        <v>1.8313244937921913E-2</v>
      </c>
      <c r="B789"/>
      <c r="C789"/>
      <c r="D789"/>
      <c r="E789"/>
      <c r="F789" s="27" t="s">
        <v>7</v>
      </c>
      <c r="GI789" s="27" t="s">
        <v>8</v>
      </c>
      <c r="GJ789" s="27" t="s">
        <v>7</v>
      </c>
      <c r="GK789" s="27" t="s">
        <v>8</v>
      </c>
      <c r="GL789" s="27" t="s">
        <v>7</v>
      </c>
      <c r="GM789" s="27" t="s">
        <v>8</v>
      </c>
      <c r="GN789" s="27" t="s">
        <v>7</v>
      </c>
      <c r="GO789" s="27" t="s">
        <v>8</v>
      </c>
      <c r="GP789" s="27" t="s">
        <v>7</v>
      </c>
      <c r="GQ789" s="27" t="s">
        <v>8</v>
      </c>
      <c r="GR789" s="27" t="s">
        <v>7</v>
      </c>
      <c r="GS789" s="27" t="s">
        <v>8</v>
      </c>
    </row>
    <row r="790" spans="1:278" x14ac:dyDescent="0.25">
      <c r="A790" s="7">
        <v>1.7954161703845013E-2</v>
      </c>
      <c r="B790"/>
      <c r="C790"/>
      <c r="D790"/>
      <c r="E790"/>
      <c r="F790" s="27" t="s">
        <v>7</v>
      </c>
      <c r="GI790" s="27" t="s">
        <v>8</v>
      </c>
      <c r="GJ790" s="27" t="s">
        <v>7</v>
      </c>
      <c r="GK790" s="27" t="s">
        <v>8</v>
      </c>
      <c r="GL790" s="27" t="s">
        <v>7</v>
      </c>
      <c r="GM790" s="27" t="s">
        <v>8</v>
      </c>
      <c r="GN790" s="27" t="s">
        <v>7</v>
      </c>
      <c r="GO790" s="27" t="s">
        <v>8</v>
      </c>
      <c r="GP790" s="27" t="s">
        <v>7</v>
      </c>
      <c r="GQ790" s="27" t="s">
        <v>8</v>
      </c>
      <c r="GR790" s="27" t="s">
        <v>7</v>
      </c>
      <c r="GS790" s="27" t="s">
        <v>8</v>
      </c>
    </row>
    <row r="791" spans="1:278" x14ac:dyDescent="0.25">
      <c r="A791" s="7">
        <v>1.7602119317495109E-2</v>
      </c>
      <c r="B791"/>
      <c r="C791"/>
      <c r="D791"/>
      <c r="E791"/>
      <c r="F791" s="27" t="s">
        <v>7</v>
      </c>
      <c r="GI791" s="27" t="s">
        <v>8</v>
      </c>
      <c r="GJ791" s="27" t="s">
        <v>7</v>
      </c>
      <c r="GK791" s="27" t="s">
        <v>8</v>
      </c>
      <c r="GL791" s="27" t="s">
        <v>7</v>
      </c>
      <c r="GM791" s="27" t="s">
        <v>8</v>
      </c>
      <c r="GN791" s="27" t="s">
        <v>7</v>
      </c>
      <c r="GO791" s="27" t="s">
        <v>8</v>
      </c>
      <c r="GP791" s="27" t="s">
        <v>7</v>
      </c>
      <c r="GQ791" s="27" t="s">
        <v>8</v>
      </c>
      <c r="GR791" s="27" t="s">
        <v>7</v>
      </c>
      <c r="GS791" s="27" t="s">
        <v>8</v>
      </c>
    </row>
    <row r="792" spans="1:278" x14ac:dyDescent="0.25">
      <c r="A792" s="7">
        <v>1.7256979723034419E-2</v>
      </c>
      <c r="B792"/>
      <c r="C792"/>
      <c r="D792"/>
      <c r="E792"/>
      <c r="F792" s="27" t="s">
        <v>7</v>
      </c>
      <c r="GI792" s="27" t="s">
        <v>8</v>
      </c>
      <c r="GJ792" s="27" t="s">
        <v>7</v>
      </c>
      <c r="GK792" s="27" t="s">
        <v>8</v>
      </c>
      <c r="GL792" s="27" t="s">
        <v>7</v>
      </c>
      <c r="GN792" s="27" t="s">
        <v>7</v>
      </c>
      <c r="GO792" s="27" t="s">
        <v>8</v>
      </c>
      <c r="GP792" s="27" t="s">
        <v>7</v>
      </c>
      <c r="GQ792" s="27" t="s">
        <v>8</v>
      </c>
      <c r="GR792" s="27" t="s">
        <v>7</v>
      </c>
      <c r="GS792" s="27" t="s">
        <v>8</v>
      </c>
    </row>
    <row r="793" spans="1:278" x14ac:dyDescent="0.25">
      <c r="A793" s="7">
        <v>1.6918607571602372E-2</v>
      </c>
      <c r="B793"/>
      <c r="C793"/>
      <c r="D793"/>
      <c r="E793"/>
      <c r="F793" s="27" t="s">
        <v>7</v>
      </c>
      <c r="GI793" s="27" t="s">
        <v>8</v>
      </c>
      <c r="GJ793" s="27" t="s">
        <v>7</v>
      </c>
      <c r="GK793" s="27" t="s">
        <v>8</v>
      </c>
      <c r="GN793" s="27" t="s">
        <v>7</v>
      </c>
      <c r="GP793" s="27" t="s">
        <v>7</v>
      </c>
      <c r="GQ793" s="27" t="s">
        <v>8</v>
      </c>
      <c r="GR793" s="27" t="s">
        <v>7</v>
      </c>
      <c r="GS793" s="27" t="s">
        <v>8</v>
      </c>
    </row>
    <row r="794" spans="1:278" x14ac:dyDescent="0.25">
      <c r="A794" s="7">
        <v>1.6586870168237622E-2</v>
      </c>
      <c r="B794"/>
      <c r="C794"/>
      <c r="D794"/>
      <c r="E794"/>
      <c r="F794" s="27" t="s">
        <v>7</v>
      </c>
      <c r="GI794" s="27" t="s">
        <v>8</v>
      </c>
      <c r="GJ794" s="27" t="s">
        <v>7</v>
      </c>
      <c r="GK794" s="27" t="s">
        <v>8</v>
      </c>
      <c r="GP794" s="27" t="s">
        <v>7</v>
      </c>
      <c r="GQ794" s="27" t="s">
        <v>8</v>
      </c>
      <c r="GR794" s="27" t="s">
        <v>7</v>
      </c>
      <c r="GS794" s="27" t="s">
        <v>8</v>
      </c>
    </row>
    <row r="795" spans="1:278" x14ac:dyDescent="0.25">
      <c r="A795" s="7">
        <v>1.6261637419840807E-2</v>
      </c>
      <c r="B795"/>
      <c r="C795"/>
      <c r="D795"/>
      <c r="E795"/>
      <c r="F795" s="27" t="s">
        <v>7</v>
      </c>
      <c r="GI795" s="27" t="s">
        <v>8</v>
      </c>
      <c r="GJ795" s="27" t="s">
        <v>7</v>
      </c>
      <c r="GK795" s="27" t="s">
        <v>8</v>
      </c>
      <c r="GP795" s="27" t="s">
        <v>7</v>
      </c>
      <c r="GQ795" s="27" t="s">
        <v>8</v>
      </c>
      <c r="GR795" s="27" t="s">
        <v>7</v>
      </c>
      <c r="GS795" s="27" t="s">
        <v>8</v>
      </c>
    </row>
    <row r="796" spans="1:278" x14ac:dyDescent="0.25">
      <c r="A796" s="7">
        <v>1.5942781784157655E-2</v>
      </c>
      <c r="B796"/>
      <c r="C796"/>
      <c r="D796"/>
      <c r="E796"/>
      <c r="F796" s="27" t="s">
        <v>7</v>
      </c>
      <c r="GI796" s="27" t="s">
        <v>8</v>
      </c>
      <c r="GJ796" s="27" t="s">
        <v>7</v>
      </c>
      <c r="GK796" s="27" t="s">
        <v>8</v>
      </c>
      <c r="GP796" s="27" t="s">
        <v>7</v>
      </c>
      <c r="GQ796" s="27" t="s">
        <v>8</v>
      </c>
      <c r="GR796" s="27" t="s">
        <v>7</v>
      </c>
    </row>
    <row r="797" spans="1:278" x14ac:dyDescent="0.25">
      <c r="A797" s="7">
        <v>1.5630178219762408E-2</v>
      </c>
      <c r="B797"/>
      <c r="C797"/>
      <c r="D797"/>
      <c r="E797"/>
      <c r="F797" s="27" t="s">
        <v>7</v>
      </c>
      <c r="GI797" s="27" t="s">
        <v>8</v>
      </c>
      <c r="GJ797" s="27" t="s">
        <v>7</v>
      </c>
      <c r="GK797" s="27" t="s">
        <v>8</v>
      </c>
      <c r="GP797" s="27" t="s">
        <v>7</v>
      </c>
      <c r="GQ797" s="27" t="s">
        <v>8</v>
      </c>
    </row>
    <row r="798" spans="1:278" x14ac:dyDescent="0.25">
      <c r="A798" s="7">
        <v>1.5323704137021967E-2</v>
      </c>
      <c r="B798"/>
      <c r="C798"/>
      <c r="D798"/>
      <c r="E798"/>
      <c r="F798" s="27" t="s">
        <v>7</v>
      </c>
      <c r="GI798" s="27" t="s">
        <v>8</v>
      </c>
      <c r="GJ798" s="27" t="s">
        <v>7</v>
      </c>
      <c r="GK798" s="27" t="s">
        <v>8</v>
      </c>
      <c r="GP798" s="27" t="s">
        <v>7</v>
      </c>
      <c r="GQ798" s="27" t="s">
        <v>8</v>
      </c>
    </row>
    <row r="799" spans="1:278" x14ac:dyDescent="0.25">
      <c r="A799" s="7">
        <v>1.5023239350021535E-2</v>
      </c>
      <c r="B799"/>
      <c r="C799"/>
      <c r="D799"/>
      <c r="E799"/>
      <c r="F799" s="27" t="s">
        <v>7</v>
      </c>
      <c r="GI799" s="27" t="s">
        <v>8</v>
      </c>
      <c r="GJ799" s="27" t="s">
        <v>7</v>
      </c>
      <c r="GK799" s="27" t="s">
        <v>8</v>
      </c>
      <c r="GP799" s="27" t="s">
        <v>7</v>
      </c>
      <c r="GQ799" s="27" t="s">
        <v>8</v>
      </c>
    </row>
    <row r="800" spans="1:278" x14ac:dyDescent="0.25">
      <c r="A800" s="7">
        <v>1.4728666029432878E-2</v>
      </c>
      <c r="B800"/>
      <c r="C800"/>
      <c r="D800"/>
      <c r="E800"/>
      <c r="F800" s="27" t="s">
        <v>7</v>
      </c>
      <c r="GI800" s="27" t="s">
        <v>8</v>
      </c>
      <c r="GJ800" s="27" t="s">
        <v>7</v>
      </c>
      <c r="GK800" s="27" t="s">
        <v>8</v>
      </c>
      <c r="GP800" s="27" t="s">
        <v>7</v>
      </c>
      <c r="GQ800" s="27" t="s">
        <v>8</v>
      </c>
    </row>
    <row r="801" spans="1:199" x14ac:dyDescent="0.25">
      <c r="A801" s="7">
        <v>1.4439868656306743E-2</v>
      </c>
      <c r="B801"/>
      <c r="C801"/>
      <c r="D801"/>
      <c r="E801"/>
      <c r="F801" s="27" t="s">
        <v>7</v>
      </c>
      <c r="GI801" s="27" t="s">
        <v>8</v>
      </c>
      <c r="GJ801" s="27" t="s">
        <v>7</v>
      </c>
      <c r="GK801" s="27" t="s">
        <v>8</v>
      </c>
      <c r="GP801" s="27" t="s">
        <v>7</v>
      </c>
      <c r="GQ801" s="27" t="s">
        <v>8</v>
      </c>
    </row>
    <row r="802" spans="1:199" x14ac:dyDescent="0.25">
      <c r="A802" s="7">
        <v>1.4156733976771318E-2</v>
      </c>
      <c r="B802"/>
      <c r="C802"/>
      <c r="D802"/>
      <c r="E802"/>
      <c r="F802" s="27" t="s">
        <v>7</v>
      </c>
      <c r="GI802" s="27" t="s">
        <v>8</v>
      </c>
      <c r="GJ802" s="27" t="s">
        <v>7</v>
      </c>
      <c r="GP802" s="27" t="s">
        <v>7</v>
      </c>
      <c r="GQ802" s="27" t="s">
        <v>8</v>
      </c>
    </row>
    <row r="803" spans="1:199" x14ac:dyDescent="0.25">
      <c r="A803" s="7">
        <v>1.3879150957618939E-2</v>
      </c>
      <c r="B803"/>
      <c r="C803"/>
      <c r="D803"/>
      <c r="E803"/>
      <c r="F803" s="27" t="s">
        <v>7</v>
      </c>
      <c r="GI803" s="27" t="s">
        <v>8</v>
      </c>
      <c r="GP803" s="27" t="s">
        <v>7</v>
      </c>
      <c r="GQ803" s="27" t="s">
        <v>8</v>
      </c>
    </row>
    <row r="804" spans="1:199" x14ac:dyDescent="0.25">
      <c r="A804" s="7">
        <v>1.3607010742763666E-2</v>
      </c>
      <c r="B804"/>
      <c r="C804"/>
      <c r="D804"/>
      <c r="E804"/>
      <c r="F804" s="27" t="s">
        <v>7</v>
      </c>
      <c r="CY804" s="27" t="s">
        <v>8</v>
      </c>
      <c r="DG804" s="27" t="s">
        <v>8</v>
      </c>
      <c r="GI804" s="27" t="s">
        <v>8</v>
      </c>
      <c r="GP804" s="27" t="s">
        <v>7</v>
      </c>
      <c r="GQ804" s="27" t="s">
        <v>8</v>
      </c>
    </row>
    <row r="805" spans="1:199" x14ac:dyDescent="0.25">
      <c r="A805" s="7">
        <v>1.3340206610552614E-2</v>
      </c>
      <c r="B805"/>
      <c r="C805"/>
      <c r="D805"/>
      <c r="E805"/>
      <c r="F805" s="27" t="s">
        <v>7</v>
      </c>
      <c r="CY805" s="27" t="s">
        <v>8</v>
      </c>
      <c r="CZ805" s="27" t="s">
        <v>7</v>
      </c>
      <c r="DG805" s="27" t="s">
        <v>8</v>
      </c>
      <c r="DH805" s="27" t="s">
        <v>7</v>
      </c>
      <c r="GI805" s="27" t="s">
        <v>8</v>
      </c>
      <c r="GP805" s="27" t="s">
        <v>7</v>
      </c>
    </row>
    <row r="806" spans="1:199" x14ac:dyDescent="0.25">
      <c r="A806" s="7">
        <v>1.3078633931914328E-2</v>
      </c>
      <c r="B806"/>
      <c r="C806"/>
      <c r="D806"/>
      <c r="E806"/>
      <c r="F806" s="27" t="s">
        <v>7</v>
      </c>
      <c r="CY806" s="27" t="s">
        <v>8</v>
      </c>
      <c r="CZ806" s="27" t="s">
        <v>7</v>
      </c>
      <c r="DA806" s="27" t="s">
        <v>8</v>
      </c>
      <c r="DG806" s="27" t="s">
        <v>8</v>
      </c>
      <c r="DH806" s="27" t="s">
        <v>7</v>
      </c>
      <c r="GI806" s="27" t="s">
        <v>8</v>
      </c>
    </row>
    <row r="807" spans="1:199" x14ac:dyDescent="0.25">
      <c r="A807" s="7">
        <v>1.2822190129327771E-2</v>
      </c>
      <c r="B807"/>
      <c r="C807"/>
      <c r="D807"/>
      <c r="E807"/>
      <c r="F807" s="27" t="s">
        <v>7</v>
      </c>
      <c r="CY807" s="27" t="s">
        <v>8</v>
      </c>
      <c r="CZ807" s="27" t="s">
        <v>7</v>
      </c>
      <c r="DA807" s="27" t="s">
        <v>8</v>
      </c>
      <c r="DB807" s="27" t="s">
        <v>7</v>
      </c>
      <c r="DE807" s="27" t="s">
        <v>8</v>
      </c>
      <c r="DG807" s="27" t="s">
        <v>8</v>
      </c>
      <c r="DH807" s="27" t="s">
        <v>7</v>
      </c>
      <c r="GI807" s="27" t="s">
        <v>8</v>
      </c>
    </row>
    <row r="808" spans="1:199" x14ac:dyDescent="0.25">
      <c r="A808" s="7">
        <v>1.2570774636595854E-2</v>
      </c>
      <c r="B808"/>
      <c r="C808"/>
      <c r="D808"/>
      <c r="E808"/>
      <c r="F808" s="27" t="s">
        <v>7</v>
      </c>
      <c r="CY808" s="27" t="s">
        <v>8</v>
      </c>
      <c r="CZ808" s="27" t="s">
        <v>7</v>
      </c>
      <c r="DA808" s="27" t="s">
        <v>8</v>
      </c>
      <c r="DB808" s="27" t="s">
        <v>7</v>
      </c>
      <c r="DE808" s="27" t="s">
        <v>8</v>
      </c>
      <c r="DF808" s="27" t="s">
        <v>7</v>
      </c>
      <c r="DG808" s="27" t="s">
        <v>8</v>
      </c>
      <c r="DH808" s="27" t="s">
        <v>7</v>
      </c>
      <c r="GI808" s="27" t="s">
        <v>8</v>
      </c>
    </row>
    <row r="809" spans="1:199" x14ac:dyDescent="0.25">
      <c r="A809" s="7">
        <v>1.23242888594077E-2</v>
      </c>
      <c r="B809"/>
      <c r="C809"/>
      <c r="D809"/>
      <c r="E809"/>
      <c r="F809" s="27" t="s">
        <v>7</v>
      </c>
      <c r="CU809" s="27" t="s">
        <v>8</v>
      </c>
      <c r="CY809" s="27" t="s">
        <v>8</v>
      </c>
      <c r="CZ809" s="27" t="s">
        <v>7</v>
      </c>
      <c r="DA809" s="27" t="s">
        <v>8</v>
      </c>
      <c r="DB809" s="27" t="s">
        <v>7</v>
      </c>
      <c r="DC809" s="27" t="s">
        <v>8</v>
      </c>
      <c r="DE809" s="27" t="s">
        <v>8</v>
      </c>
      <c r="DF809" s="27" t="s">
        <v>7</v>
      </c>
      <c r="DG809" s="27" t="s">
        <v>8</v>
      </c>
      <c r="DH809" s="27" t="s">
        <v>7</v>
      </c>
      <c r="GI809" s="27" t="s">
        <v>8</v>
      </c>
    </row>
    <row r="810" spans="1:199" x14ac:dyDescent="0.25">
      <c r="A810" s="7">
        <v>1.2082636136674216E-2</v>
      </c>
      <c r="B810"/>
      <c r="C810"/>
      <c r="D810"/>
      <c r="E810"/>
      <c r="F810" s="27" t="s">
        <v>7</v>
      </c>
      <c r="CU810" s="27" t="s">
        <v>8</v>
      </c>
      <c r="CV810" s="27" t="s">
        <v>7</v>
      </c>
      <c r="CY810" s="27" t="s">
        <v>8</v>
      </c>
      <c r="CZ810" s="27" t="s">
        <v>7</v>
      </c>
      <c r="DB810" s="27" t="s">
        <v>7</v>
      </c>
      <c r="DC810" s="27" t="s">
        <v>8</v>
      </c>
      <c r="DD810" s="27" t="s">
        <v>7</v>
      </c>
      <c r="DE810" s="27" t="s">
        <v>8</v>
      </c>
      <c r="DF810" s="27" t="s">
        <v>7</v>
      </c>
      <c r="DG810" s="27" t="s">
        <v>8</v>
      </c>
      <c r="DH810" s="27" t="s">
        <v>7</v>
      </c>
      <c r="GI810" s="27" t="s">
        <v>8</v>
      </c>
    </row>
    <row r="811" spans="1:199" x14ac:dyDescent="0.25">
      <c r="A811" s="7">
        <v>1.184572170262178E-2</v>
      </c>
      <c r="B811"/>
      <c r="C811"/>
      <c r="D811"/>
      <c r="E811"/>
      <c r="F811" s="27" t="s">
        <v>7</v>
      </c>
      <c r="CU811" s="27" t="s">
        <v>8</v>
      </c>
      <c r="CV811" s="27" t="s">
        <v>7</v>
      </c>
      <c r="CY811" s="27" t="s">
        <v>8</v>
      </c>
      <c r="DB811" s="27" t="s">
        <v>7</v>
      </c>
      <c r="DC811" s="27" t="s">
        <v>8</v>
      </c>
      <c r="DD811" s="27" t="s">
        <v>7</v>
      </c>
      <c r="DE811" s="27" t="s">
        <v>8</v>
      </c>
      <c r="DF811" s="27" t="s">
        <v>7</v>
      </c>
      <c r="DG811" s="27" t="s">
        <v>8</v>
      </c>
      <c r="DH811" s="27" t="s">
        <v>7</v>
      </c>
      <c r="GI811" s="27" t="s">
        <v>8</v>
      </c>
    </row>
    <row r="812" spans="1:199" x14ac:dyDescent="0.25">
      <c r="A812" s="7">
        <v>1.1613452649629196E-2</v>
      </c>
      <c r="B812"/>
      <c r="C812"/>
      <c r="D812"/>
      <c r="E812"/>
      <c r="F812" s="27" t="s">
        <v>7</v>
      </c>
      <c r="CU812" s="27" t="s">
        <v>8</v>
      </c>
      <c r="CV812" s="27" t="s">
        <v>7</v>
      </c>
      <c r="CY812" s="27" t="s">
        <v>8</v>
      </c>
      <c r="DB812" s="27" t="s">
        <v>7</v>
      </c>
      <c r="DC812" s="27" t="s">
        <v>8</v>
      </c>
      <c r="DD812" s="27" t="s">
        <v>7</v>
      </c>
      <c r="DE812" s="27" t="s">
        <v>8</v>
      </c>
      <c r="DF812" s="27" t="s">
        <v>7</v>
      </c>
      <c r="DG812" s="27" t="s">
        <v>8</v>
      </c>
      <c r="DH812" s="27" t="s">
        <v>7</v>
      </c>
      <c r="GG812" s="27" t="s">
        <v>8</v>
      </c>
      <c r="GI812" s="27" t="s">
        <v>8</v>
      </c>
    </row>
    <row r="813" spans="1:199" x14ac:dyDescent="0.25">
      <c r="A813" s="7">
        <v>1.138573789179333E-2</v>
      </c>
      <c r="B813"/>
      <c r="C813"/>
      <c r="D813"/>
      <c r="E813"/>
      <c r="F813" s="27" t="s">
        <v>7</v>
      </c>
      <c r="CU813" s="27" t="s">
        <v>8</v>
      </c>
      <c r="CV813" s="27" t="s">
        <v>7</v>
      </c>
      <c r="CW813" s="27" t="s">
        <v>8</v>
      </c>
      <c r="CY813" s="27" t="s">
        <v>8</v>
      </c>
      <c r="DB813" s="27" t="s">
        <v>7</v>
      </c>
      <c r="DC813" s="27" t="s">
        <v>8</v>
      </c>
      <c r="DD813" s="27" t="s">
        <v>7</v>
      </c>
      <c r="DE813" s="27" t="s">
        <v>8</v>
      </c>
      <c r="DF813" s="27" t="s">
        <v>7</v>
      </c>
      <c r="DG813" s="27" t="s">
        <v>8</v>
      </c>
      <c r="DH813" s="27" t="s">
        <v>7</v>
      </c>
      <c r="GG813" s="27" t="s">
        <v>8</v>
      </c>
      <c r="GH813" s="27" t="s">
        <v>7</v>
      </c>
      <c r="GI813" s="27" t="s">
        <v>8</v>
      </c>
    </row>
    <row r="814" spans="1:199" x14ac:dyDescent="0.25">
      <c r="A814" s="7">
        <v>1.1162488129209149E-2</v>
      </c>
      <c r="B814"/>
      <c r="C814"/>
      <c r="D814"/>
      <c r="E814"/>
      <c r="F814" s="27" t="s">
        <v>7</v>
      </c>
      <c r="CU814" s="27" t="s">
        <v>8</v>
      </c>
      <c r="CV814" s="27" t="s">
        <v>7</v>
      </c>
      <c r="CW814" s="27" t="s">
        <v>8</v>
      </c>
      <c r="CX814" s="27" t="s">
        <v>7</v>
      </c>
      <c r="CY814" s="27" t="s">
        <v>8</v>
      </c>
      <c r="DB814" s="27" t="s">
        <v>7</v>
      </c>
      <c r="DC814" s="27" t="s">
        <v>8</v>
      </c>
      <c r="DD814" s="27" t="s">
        <v>7</v>
      </c>
      <c r="DE814" s="27" t="s">
        <v>8</v>
      </c>
      <c r="DF814" s="27" t="s">
        <v>7</v>
      </c>
      <c r="DG814" s="27" t="s">
        <v>8</v>
      </c>
      <c r="DH814" s="27" t="s">
        <v>7</v>
      </c>
      <c r="GG814" s="27" t="s">
        <v>8</v>
      </c>
      <c r="GH814" s="27" t="s">
        <v>7</v>
      </c>
      <c r="GI814" s="27" t="s">
        <v>8</v>
      </c>
    </row>
    <row r="815" spans="1:199" x14ac:dyDescent="0.25">
      <c r="A815" s="7">
        <v>1.0943615812950145E-2</v>
      </c>
      <c r="B815"/>
      <c r="C815"/>
      <c r="D815"/>
      <c r="E815"/>
      <c r="F815" s="27" t="s">
        <v>7</v>
      </c>
      <c r="CU815" s="27" t="s">
        <v>8</v>
      </c>
      <c r="CV815" s="27" t="s">
        <v>7</v>
      </c>
      <c r="CW815" s="27" t="s">
        <v>8</v>
      </c>
      <c r="CX815" s="27" t="s">
        <v>7</v>
      </c>
      <c r="CY815" s="27" t="s">
        <v>8</v>
      </c>
      <c r="DB815" s="27" t="s">
        <v>7</v>
      </c>
      <c r="DC815" s="27" t="s">
        <v>8</v>
      </c>
      <c r="DD815" s="27" t="s">
        <v>7</v>
      </c>
      <c r="DE815" s="27" t="s">
        <v>8</v>
      </c>
      <c r="DF815" s="27" t="s">
        <v>7</v>
      </c>
      <c r="DG815" s="27" t="s">
        <v>8</v>
      </c>
      <c r="DH815" s="27" t="s">
        <v>7</v>
      </c>
      <c r="GG815" s="27" t="s">
        <v>8</v>
      </c>
      <c r="GH815" s="27" t="s">
        <v>7</v>
      </c>
      <c r="GI815" s="27" t="s">
        <v>8</v>
      </c>
    </row>
    <row r="816" spans="1:199" x14ac:dyDescent="0.25">
      <c r="A816" s="7">
        <v>1.0729035110735436E-2</v>
      </c>
      <c r="B816"/>
      <c r="C816"/>
      <c r="D816"/>
      <c r="E816"/>
      <c r="F816" s="27" t="s">
        <v>7</v>
      </c>
      <c r="CU816" s="27" t="s">
        <v>8</v>
      </c>
      <c r="CV816" s="27" t="s">
        <v>7</v>
      </c>
      <c r="CW816" s="27" t="s">
        <v>8</v>
      </c>
      <c r="CX816" s="27" t="s">
        <v>7</v>
      </c>
      <c r="CY816" s="27" t="s">
        <v>8</v>
      </c>
      <c r="DB816" s="27" t="s">
        <v>7</v>
      </c>
      <c r="DC816" s="27" t="s">
        <v>8</v>
      </c>
      <c r="DD816" s="27" t="s">
        <v>7</v>
      </c>
      <c r="DE816" s="27" t="s">
        <v>8</v>
      </c>
      <c r="DF816" s="27" t="s">
        <v>7</v>
      </c>
      <c r="DH816" s="27" t="s">
        <v>7</v>
      </c>
      <c r="GG816" s="27" t="s">
        <v>8</v>
      </c>
      <c r="GH816" s="27" t="s">
        <v>7</v>
      </c>
      <c r="GI816" s="27" t="s">
        <v>8</v>
      </c>
    </row>
    <row r="817" spans="1:191" x14ac:dyDescent="0.25">
      <c r="A817" s="7">
        <v>1.0518661873270036E-2</v>
      </c>
      <c r="B817"/>
      <c r="C817"/>
      <c r="D817"/>
      <c r="E817"/>
      <c r="F817" s="27" t="s">
        <v>7</v>
      </c>
      <c r="CU817" s="27" t="s">
        <v>8</v>
      </c>
      <c r="CV817" s="27" t="s">
        <v>7</v>
      </c>
      <c r="CW817" s="27" t="s">
        <v>8</v>
      </c>
      <c r="CX817" s="27" t="s">
        <v>7</v>
      </c>
      <c r="CY817" s="27" t="s">
        <v>8</v>
      </c>
      <c r="DB817" s="27" t="s">
        <v>7</v>
      </c>
      <c r="DC817" s="27" t="s">
        <v>8</v>
      </c>
      <c r="DD817" s="27" t="s">
        <v>7</v>
      </c>
      <c r="DE817" s="27" t="s">
        <v>8</v>
      </c>
      <c r="DH817" s="27" t="s">
        <v>7</v>
      </c>
      <c r="GG817" s="27" t="s">
        <v>8</v>
      </c>
      <c r="GH817" s="27" t="s">
        <v>7</v>
      </c>
      <c r="GI817" s="27" t="s">
        <v>8</v>
      </c>
    </row>
    <row r="818" spans="1:191" x14ac:dyDescent="0.25">
      <c r="A818" s="7">
        <v>1.0312413601245135E-2</v>
      </c>
      <c r="B818"/>
      <c r="C818"/>
      <c r="D818"/>
      <c r="E818"/>
      <c r="F818" s="27" t="s">
        <v>7</v>
      </c>
      <c r="CU818" s="27" t="s">
        <v>8</v>
      </c>
      <c r="CV818" s="27" t="s">
        <v>7</v>
      </c>
      <c r="CW818" s="27" t="s">
        <v>8</v>
      </c>
      <c r="CX818" s="27" t="s">
        <v>7</v>
      </c>
      <c r="CY818" s="27" t="s">
        <v>8</v>
      </c>
      <c r="DB818" s="27" t="s">
        <v>7</v>
      </c>
      <c r="DC818" s="27" t="s">
        <v>8</v>
      </c>
      <c r="DD818" s="27" t="s">
        <v>7</v>
      </c>
      <c r="DE818" s="27" t="s">
        <v>8</v>
      </c>
      <c r="DH818" s="27" t="s">
        <v>7</v>
      </c>
      <c r="GG818" s="27" t="s">
        <v>8</v>
      </c>
      <c r="GH818" s="27" t="s">
        <v>7</v>
      </c>
      <c r="GI818" s="27" t="s">
        <v>8</v>
      </c>
    </row>
    <row r="819" spans="1:191" x14ac:dyDescent="0.25">
      <c r="A819" s="7">
        <v>1.0110209412985426E-2</v>
      </c>
      <c r="B819"/>
      <c r="C819"/>
      <c r="D819"/>
      <c r="E819"/>
      <c r="F819" s="27" t="s">
        <v>7</v>
      </c>
      <c r="CU819" s="27" t="s">
        <v>8</v>
      </c>
      <c r="CV819" s="27" t="s">
        <v>7</v>
      </c>
      <c r="CW819" s="27" t="s">
        <v>8</v>
      </c>
      <c r="CX819" s="27" t="s">
        <v>7</v>
      </c>
      <c r="CY819" s="27" t="s">
        <v>8</v>
      </c>
      <c r="DB819" s="27" t="s">
        <v>7</v>
      </c>
      <c r="DC819" s="27" t="s">
        <v>8</v>
      </c>
      <c r="DD819" s="27" t="s">
        <v>7</v>
      </c>
      <c r="DE819" s="27" t="s">
        <v>8</v>
      </c>
      <c r="DH819" s="27" t="s">
        <v>7</v>
      </c>
      <c r="GG819" s="27" t="s">
        <v>8</v>
      </c>
      <c r="GH819" s="27" t="s">
        <v>7</v>
      </c>
      <c r="GI819" s="27" t="s">
        <v>8</v>
      </c>
    </row>
    <row r="820" spans="1:191" x14ac:dyDescent="0.25">
      <c r="A820" s="7">
        <v>9.9119700127308103E-3</v>
      </c>
      <c r="B820"/>
      <c r="C820"/>
      <c r="D820"/>
      <c r="E820"/>
      <c r="F820" s="27" t="s">
        <v>7</v>
      </c>
      <c r="CU820" s="27" t="s">
        <v>8</v>
      </c>
      <c r="CV820" s="27" t="s">
        <v>7</v>
      </c>
      <c r="CW820" s="27" t="s">
        <v>8</v>
      </c>
      <c r="CX820" s="27" t="s">
        <v>7</v>
      </c>
      <c r="CY820" s="27" t="s">
        <v>8</v>
      </c>
      <c r="DB820" s="27" t="s">
        <v>7</v>
      </c>
      <c r="DD820" s="27" t="s">
        <v>7</v>
      </c>
      <c r="DE820" s="27" t="s">
        <v>8</v>
      </c>
      <c r="DH820" s="27" t="s">
        <v>7</v>
      </c>
      <c r="GG820" s="27" t="s">
        <v>8</v>
      </c>
      <c r="GH820" s="27" t="s">
        <v>7</v>
      </c>
      <c r="GI820" s="27" t="s">
        <v>8</v>
      </c>
    </row>
    <row r="821" spans="1:191" x14ac:dyDescent="0.25">
      <c r="A821" s="7">
        <v>9.717617659540009E-3</v>
      </c>
      <c r="B821"/>
      <c r="C821"/>
      <c r="D821"/>
      <c r="E821"/>
      <c r="F821" s="27" t="s">
        <v>7</v>
      </c>
      <c r="CU821" s="27" t="s">
        <v>8</v>
      </c>
      <c r="CV821" s="27" t="s">
        <v>7</v>
      </c>
      <c r="CW821" s="27" t="s">
        <v>8</v>
      </c>
      <c r="CX821" s="27" t="s">
        <v>7</v>
      </c>
      <c r="CY821" s="27" t="s">
        <v>8</v>
      </c>
      <c r="DD821" s="27" t="s">
        <v>7</v>
      </c>
      <c r="DH821" s="27" t="s">
        <v>7</v>
      </c>
      <c r="GG821" s="27" t="s">
        <v>8</v>
      </c>
      <c r="GH821" s="27" t="s">
        <v>7</v>
      </c>
    </row>
    <row r="822" spans="1:191" x14ac:dyDescent="0.25">
      <c r="A822" s="7">
        <v>9.5270761368039299E-3</v>
      </c>
      <c r="B822"/>
      <c r="C822"/>
      <c r="D822"/>
      <c r="E822"/>
      <c r="F822" s="27" t="s">
        <v>7</v>
      </c>
      <c r="CU822" s="27" t="s">
        <v>8</v>
      </c>
      <c r="CV822" s="27" t="s">
        <v>7</v>
      </c>
      <c r="CX822" s="27" t="s">
        <v>7</v>
      </c>
      <c r="DH822" s="27" t="s">
        <v>7</v>
      </c>
      <c r="GG822" s="27" t="s">
        <v>8</v>
      </c>
    </row>
    <row r="823" spans="1:191" x14ac:dyDescent="0.25">
      <c r="A823" s="7">
        <v>9.3402707223567936E-3</v>
      </c>
      <c r="B823"/>
      <c r="C823"/>
      <c r="D823"/>
      <c r="E823"/>
      <c r="F823" s="27" t="s">
        <v>7</v>
      </c>
      <c r="CU823" s="27" t="s">
        <v>8</v>
      </c>
      <c r="DH823" s="27" t="s">
        <v>7</v>
      </c>
      <c r="GE823" s="27" t="s">
        <v>8</v>
      </c>
      <c r="GG823" s="27" t="s">
        <v>8</v>
      </c>
    </row>
    <row r="824" spans="1:191" x14ac:dyDescent="0.25">
      <c r="A824" s="7">
        <v>9.1571281591733261E-3</v>
      </c>
      <c r="B824"/>
      <c r="C824"/>
      <c r="D824"/>
      <c r="E824"/>
      <c r="F824" s="27" t="s">
        <v>7</v>
      </c>
      <c r="CU824" s="27" t="s">
        <v>8</v>
      </c>
      <c r="DH824" s="27" t="s">
        <v>7</v>
      </c>
      <c r="GE824" s="27" t="s">
        <v>8</v>
      </c>
      <c r="GF824" s="27" t="s">
        <v>7</v>
      </c>
      <c r="GG824" s="27" t="s">
        <v>8</v>
      </c>
    </row>
    <row r="825" spans="1:191" x14ac:dyDescent="0.25">
      <c r="A825" s="7">
        <v>8.9775766266405148E-3</v>
      </c>
      <c r="B825"/>
      <c r="C825"/>
      <c r="D825"/>
      <c r="E825"/>
      <c r="F825" s="27" t="s">
        <v>7</v>
      </c>
      <c r="CO825" s="27" t="s">
        <v>8</v>
      </c>
      <c r="CU825" s="27" t="s">
        <v>8</v>
      </c>
      <c r="DH825" s="27" t="s">
        <v>7</v>
      </c>
      <c r="GE825" s="27" t="s">
        <v>8</v>
      </c>
      <c r="GF825" s="27" t="s">
        <v>7</v>
      </c>
      <c r="GG825" s="27" t="s">
        <v>8</v>
      </c>
    </row>
    <row r="826" spans="1:191" x14ac:dyDescent="0.25">
      <c r="A826" s="7">
        <v>8.8015457123926614E-3</v>
      </c>
      <c r="B826"/>
      <c r="C826"/>
      <c r="D826"/>
      <c r="E826"/>
      <c r="F826" s="27" t="s">
        <v>7</v>
      </c>
      <c r="CO826" s="27" t="s">
        <v>8</v>
      </c>
      <c r="CP826" s="27" t="s">
        <v>7</v>
      </c>
      <c r="CU826" s="27" t="s">
        <v>8</v>
      </c>
      <c r="DH826" s="27" t="s">
        <v>7</v>
      </c>
      <c r="GE826" s="27" t="s">
        <v>8</v>
      </c>
      <c r="GF826" s="27" t="s">
        <v>7</v>
      </c>
      <c r="GG826" s="27" t="s">
        <v>8</v>
      </c>
    </row>
    <row r="827" spans="1:191" x14ac:dyDescent="0.25">
      <c r="A827" s="7">
        <v>8.6289663846986879E-3</v>
      </c>
      <c r="B827"/>
      <c r="C827"/>
      <c r="D827"/>
      <c r="E827"/>
      <c r="F827" s="27" t="s">
        <v>7</v>
      </c>
      <c r="CO827" s="27" t="s">
        <v>8</v>
      </c>
      <c r="CP827" s="27" t="s">
        <v>7</v>
      </c>
      <c r="CU827" s="27" t="s">
        <v>8</v>
      </c>
      <c r="DH827" s="27" t="s">
        <v>7</v>
      </c>
      <c r="GE827" s="27" t="s">
        <v>8</v>
      </c>
      <c r="GF827" s="27" t="s">
        <v>7</v>
      </c>
      <c r="GG827" s="27" t="s">
        <v>8</v>
      </c>
    </row>
    <row r="828" spans="1:191" x14ac:dyDescent="0.25">
      <c r="A828" s="7">
        <v>8.4597709653908715E-3</v>
      </c>
      <c r="B828"/>
      <c r="C828"/>
      <c r="D828"/>
      <c r="E828"/>
      <c r="F828" s="27" t="s">
        <v>7</v>
      </c>
      <c r="CO828" s="27" t="s">
        <v>8</v>
      </c>
      <c r="CP828" s="27" t="s">
        <v>7</v>
      </c>
      <c r="CU828" s="27" t="s">
        <v>8</v>
      </c>
      <c r="DH828" s="27" t="s">
        <v>7</v>
      </c>
      <c r="FW828" s="27" t="s">
        <v>8</v>
      </c>
      <c r="GE828" s="27" t="s">
        <v>8</v>
      </c>
      <c r="GF828" s="27" t="s">
        <v>7</v>
      </c>
      <c r="GG828" s="27" t="s">
        <v>8</v>
      </c>
    </row>
    <row r="829" spans="1:191" x14ac:dyDescent="0.25">
      <c r="A829" s="7">
        <v>8.2938931033243839E-3</v>
      </c>
      <c r="B829"/>
      <c r="C829"/>
      <c r="D829"/>
      <c r="E829"/>
      <c r="F829" s="27" t="s">
        <v>7</v>
      </c>
      <c r="CO829" s="27" t="s">
        <v>8</v>
      </c>
      <c r="CP829" s="27" t="s">
        <v>7</v>
      </c>
      <c r="CU829" s="27" t="s">
        <v>8</v>
      </c>
      <c r="DH829" s="27" t="s">
        <v>7</v>
      </c>
      <c r="FW829" s="27" t="s">
        <v>8</v>
      </c>
      <c r="FX829" s="27" t="s">
        <v>7</v>
      </c>
      <c r="GA829" s="27" t="s">
        <v>8</v>
      </c>
      <c r="GE829" s="27" t="s">
        <v>8</v>
      </c>
      <c r="GF829" s="27" t="s">
        <v>7</v>
      </c>
      <c r="GG829" s="27" t="s">
        <v>8</v>
      </c>
    </row>
    <row r="830" spans="1:191" x14ac:dyDescent="0.25">
      <c r="A830" s="7">
        <v>8.1312677483572383E-3</v>
      </c>
      <c r="B830"/>
      <c r="C830"/>
      <c r="D830"/>
      <c r="E830"/>
      <c r="F830" s="27" t="s">
        <v>7</v>
      </c>
      <c r="CO830" s="27" t="s">
        <v>8</v>
      </c>
      <c r="CP830" s="27" t="s">
        <v>7</v>
      </c>
      <c r="CU830" s="27" t="s">
        <v>8</v>
      </c>
      <c r="DH830" s="27" t="s">
        <v>7</v>
      </c>
      <c r="FW830" s="27" t="s">
        <v>8</v>
      </c>
      <c r="FX830" s="27" t="s">
        <v>7</v>
      </c>
      <c r="GA830" s="27" t="s">
        <v>8</v>
      </c>
      <c r="GB830" s="27" t="s">
        <v>7</v>
      </c>
      <c r="GE830" s="27" t="s">
        <v>8</v>
      </c>
      <c r="GF830" s="27" t="s">
        <v>7</v>
      </c>
      <c r="GG830" s="27" t="s">
        <v>8</v>
      </c>
    </row>
    <row r="831" spans="1:191" x14ac:dyDescent="0.25">
      <c r="A831" s="7">
        <v>7.9718311258404305E-3</v>
      </c>
      <c r="B831"/>
      <c r="C831"/>
      <c r="D831"/>
      <c r="E831"/>
      <c r="F831" s="27" t="s">
        <v>7</v>
      </c>
      <c r="CO831" s="27" t="s">
        <v>8</v>
      </c>
      <c r="CP831" s="27" t="s">
        <v>7</v>
      </c>
      <c r="CU831" s="27" t="s">
        <v>8</v>
      </c>
      <c r="DH831" s="27" t="s">
        <v>7</v>
      </c>
      <c r="FW831" s="27" t="s">
        <v>8</v>
      </c>
      <c r="FX831" s="27" t="s">
        <v>7</v>
      </c>
      <c r="GA831" s="27" t="s">
        <v>8</v>
      </c>
      <c r="GB831" s="27" t="s">
        <v>7</v>
      </c>
      <c r="GE831" s="27" t="s">
        <v>8</v>
      </c>
      <c r="GF831" s="27" t="s">
        <v>7</v>
      </c>
    </row>
    <row r="832" spans="1:191" x14ac:dyDescent="0.25">
      <c r="A832" s="7">
        <v>7.8155207116082648E-3</v>
      </c>
      <c r="B832"/>
      <c r="C832"/>
      <c r="D832"/>
      <c r="E832"/>
      <c r="F832" s="27" t="s">
        <v>7</v>
      </c>
      <c r="CO832" s="27" t="s">
        <v>8</v>
      </c>
      <c r="CP832" s="27" t="s">
        <v>7</v>
      </c>
      <c r="CU832" s="27" t="s">
        <v>8</v>
      </c>
      <c r="DH832" s="27" t="s">
        <v>7</v>
      </c>
      <c r="FW832" s="27" t="s">
        <v>8</v>
      </c>
      <c r="FX832" s="27" t="s">
        <v>7</v>
      </c>
      <c r="GA832" s="27" t="s">
        <v>8</v>
      </c>
      <c r="GB832" s="27" t="s">
        <v>7</v>
      </c>
      <c r="GC832" s="27" t="s">
        <v>8</v>
      </c>
      <c r="GE832" s="27" t="s">
        <v>8</v>
      </c>
    </row>
    <row r="833" spans="1:187" x14ac:dyDescent="0.25">
      <c r="A833" s="7">
        <v>7.6622752074590825E-3</v>
      </c>
      <c r="B833"/>
      <c r="C833"/>
      <c r="D833"/>
      <c r="E833"/>
      <c r="F833" s="27" t="s">
        <v>7</v>
      </c>
      <c r="CO833" s="27" t="s">
        <v>8</v>
      </c>
      <c r="CP833" s="27" t="s">
        <v>7</v>
      </c>
      <c r="CQ833" s="27" t="s">
        <v>8</v>
      </c>
      <c r="CU833" s="27" t="s">
        <v>8</v>
      </c>
      <c r="DH833" s="27" t="s">
        <v>7</v>
      </c>
      <c r="FW833" s="27" t="s">
        <v>8</v>
      </c>
      <c r="FX833" s="27" t="s">
        <v>7</v>
      </c>
      <c r="GA833" s="27" t="s">
        <v>8</v>
      </c>
      <c r="GB833" s="27" t="s">
        <v>7</v>
      </c>
      <c r="GC833" s="27" t="s">
        <v>8</v>
      </c>
      <c r="GD833" s="27" t="s">
        <v>7</v>
      </c>
      <c r="GE833" s="27" t="s">
        <v>8</v>
      </c>
    </row>
    <row r="834" spans="1:187" x14ac:dyDescent="0.25">
      <c r="A834" s="7">
        <v>7.5120345171167469E-3</v>
      </c>
      <c r="B834"/>
      <c r="C834"/>
      <c r="D834"/>
      <c r="E834"/>
      <c r="F834" s="27" t="s">
        <v>7</v>
      </c>
      <c r="CO834" s="27" t="s">
        <v>8</v>
      </c>
      <c r="CP834" s="27" t="s">
        <v>7</v>
      </c>
      <c r="CQ834" s="27" t="s">
        <v>8</v>
      </c>
      <c r="CR834" s="27" t="s">
        <v>7</v>
      </c>
      <c r="CU834" s="27" t="s">
        <v>8</v>
      </c>
      <c r="DH834" s="27" t="s">
        <v>7</v>
      </c>
      <c r="DM834" s="27" t="s">
        <v>8</v>
      </c>
      <c r="FU834" s="27" t="s">
        <v>8</v>
      </c>
      <c r="FW834" s="27" t="s">
        <v>8</v>
      </c>
      <c r="FX834" s="27" t="s">
        <v>7</v>
      </c>
      <c r="GA834" s="27" t="s">
        <v>8</v>
      </c>
      <c r="GB834" s="27" t="s">
        <v>7</v>
      </c>
      <c r="GC834" s="27" t="s">
        <v>8</v>
      </c>
      <c r="GD834" s="27" t="s">
        <v>7</v>
      </c>
      <c r="GE834" s="27" t="s">
        <v>8</v>
      </c>
    </row>
    <row r="835" spans="1:187" x14ac:dyDescent="0.25">
      <c r="A835" s="7">
        <v>7.3647397226634772E-3</v>
      </c>
      <c r="B835"/>
      <c r="C835"/>
      <c r="D835"/>
      <c r="E835"/>
      <c r="F835" s="27" t="s">
        <v>7</v>
      </c>
      <c r="CM835" s="27" t="s">
        <v>8</v>
      </c>
      <c r="CO835" s="27" t="s">
        <v>8</v>
      </c>
      <c r="CP835" s="27" t="s">
        <v>7</v>
      </c>
      <c r="CQ835" s="27" t="s">
        <v>8</v>
      </c>
      <c r="CR835" s="27" t="s">
        <v>7</v>
      </c>
      <c r="CU835" s="27" t="s">
        <v>8</v>
      </c>
      <c r="DH835" s="27" t="s">
        <v>7</v>
      </c>
      <c r="DK835" s="27" t="s">
        <v>8</v>
      </c>
      <c r="DM835" s="27" t="s">
        <v>8</v>
      </c>
      <c r="DN835" s="27" t="s">
        <v>7</v>
      </c>
      <c r="FU835" s="27" t="s">
        <v>8</v>
      </c>
      <c r="FV835" s="27" t="s">
        <v>7</v>
      </c>
      <c r="FW835" s="27" t="s">
        <v>8</v>
      </c>
      <c r="FX835" s="27" t="s">
        <v>7</v>
      </c>
      <c r="GA835" s="27" t="s">
        <v>8</v>
      </c>
      <c r="GB835" s="27" t="s">
        <v>7</v>
      </c>
      <c r="GC835" s="27" t="s">
        <v>8</v>
      </c>
      <c r="GD835" s="27" t="s">
        <v>7</v>
      </c>
      <c r="GE835" s="27" t="s">
        <v>8</v>
      </c>
    </row>
    <row r="836" spans="1:187" x14ac:dyDescent="0.25">
      <c r="A836" s="7">
        <v>7.2203330614347815E-3</v>
      </c>
      <c r="B836"/>
      <c r="C836"/>
      <c r="D836"/>
      <c r="E836"/>
      <c r="F836" s="27" t="s">
        <v>7</v>
      </c>
      <c r="CM836" s="27" t="s">
        <v>8</v>
      </c>
      <c r="CN836" s="27" t="s">
        <v>7</v>
      </c>
      <c r="CO836" s="27" t="s">
        <v>8</v>
      </c>
      <c r="CP836" s="27" t="s">
        <v>7</v>
      </c>
      <c r="CQ836" s="27" t="s">
        <v>8</v>
      </c>
      <c r="CR836" s="27" t="s">
        <v>7</v>
      </c>
      <c r="CU836" s="27" t="s">
        <v>8</v>
      </c>
      <c r="DH836" s="27" t="s">
        <v>7</v>
      </c>
      <c r="DK836" s="27" t="s">
        <v>8</v>
      </c>
      <c r="DL836" s="27" t="s">
        <v>7</v>
      </c>
      <c r="DM836" s="27" t="s">
        <v>8</v>
      </c>
      <c r="DN836" s="27" t="s">
        <v>7</v>
      </c>
      <c r="EY836" s="27" t="s">
        <v>8</v>
      </c>
      <c r="FU836" s="27" t="s">
        <v>8</v>
      </c>
      <c r="FV836" s="27" t="s">
        <v>7</v>
      </c>
      <c r="FW836" s="27" t="s">
        <v>8</v>
      </c>
      <c r="FX836" s="27" t="s">
        <v>7</v>
      </c>
      <c r="GA836" s="27" t="s">
        <v>8</v>
      </c>
      <c r="GB836" s="27" t="s">
        <v>7</v>
      </c>
      <c r="GC836" s="27" t="s">
        <v>8</v>
      </c>
      <c r="GD836" s="27" t="s">
        <v>7</v>
      </c>
      <c r="GE836" s="27" t="s">
        <v>8</v>
      </c>
    </row>
    <row r="837" spans="1:187" x14ac:dyDescent="0.25">
      <c r="A837" s="7">
        <v>7.0787579033674327E-3</v>
      </c>
      <c r="B837"/>
      <c r="C837"/>
      <c r="D837"/>
      <c r="E837"/>
      <c r="F837" s="27" t="s">
        <v>7</v>
      </c>
      <c r="CM837" s="27" t="s">
        <v>8</v>
      </c>
      <c r="CN837" s="27" t="s">
        <v>7</v>
      </c>
      <c r="CO837" s="27" t="s">
        <v>8</v>
      </c>
      <c r="CP837" s="27" t="s">
        <v>7</v>
      </c>
      <c r="CQ837" s="27" t="s">
        <v>8</v>
      </c>
      <c r="CR837" s="27" t="s">
        <v>7</v>
      </c>
      <c r="CS837" s="27" t="s">
        <v>8</v>
      </c>
      <c r="CU837" s="27" t="s">
        <v>8</v>
      </c>
      <c r="DH837" s="27" t="s">
        <v>7</v>
      </c>
      <c r="DK837" s="27" t="s">
        <v>8</v>
      </c>
      <c r="DL837" s="27" t="s">
        <v>7</v>
      </c>
      <c r="DM837" s="27" t="s">
        <v>8</v>
      </c>
      <c r="DN837" s="27" t="s">
        <v>7</v>
      </c>
      <c r="DO837" s="27" t="s">
        <v>8</v>
      </c>
      <c r="EY837" s="27" t="s">
        <v>8</v>
      </c>
      <c r="EZ837" s="27" t="s">
        <v>7</v>
      </c>
      <c r="FU837" s="27" t="s">
        <v>8</v>
      </c>
      <c r="FV837" s="27" t="s">
        <v>7</v>
      </c>
      <c r="FW837" s="27" t="s">
        <v>8</v>
      </c>
      <c r="FX837" s="27" t="s">
        <v>7</v>
      </c>
      <c r="GA837" s="27" t="s">
        <v>8</v>
      </c>
      <c r="GB837" s="27" t="s">
        <v>7</v>
      </c>
      <c r="GC837" s="27" t="s">
        <v>8</v>
      </c>
      <c r="GD837" s="27" t="s">
        <v>7</v>
      </c>
      <c r="GE837" s="27" t="s">
        <v>8</v>
      </c>
    </row>
    <row r="838" spans="1:187" x14ac:dyDescent="0.25">
      <c r="A838" s="7">
        <v>6.9399587287916013E-3</v>
      </c>
      <c r="B838"/>
      <c r="C838"/>
      <c r="D838"/>
      <c r="E838"/>
      <c r="F838" s="27" t="s">
        <v>7</v>
      </c>
      <c r="CM838" s="27" t="s">
        <v>8</v>
      </c>
      <c r="CN838" s="27" t="s">
        <v>7</v>
      </c>
      <c r="CO838" s="27" t="s">
        <v>8</v>
      </c>
      <c r="CP838" s="27" t="s">
        <v>7</v>
      </c>
      <c r="CR838" s="27" t="s">
        <v>7</v>
      </c>
      <c r="CS838" s="27" t="s">
        <v>8</v>
      </c>
      <c r="CT838" s="27" t="s">
        <v>7</v>
      </c>
      <c r="CU838" s="27" t="s">
        <v>8</v>
      </c>
      <c r="DH838" s="27" t="s">
        <v>7</v>
      </c>
      <c r="DK838" s="27" t="s">
        <v>8</v>
      </c>
      <c r="DL838" s="27" t="s">
        <v>7</v>
      </c>
      <c r="DM838" s="27" t="s">
        <v>8</v>
      </c>
      <c r="DN838" s="27" t="s">
        <v>7</v>
      </c>
      <c r="DO838" s="27" t="s">
        <v>8</v>
      </c>
      <c r="DP838" s="27" t="s">
        <v>7</v>
      </c>
      <c r="EY838" s="27" t="s">
        <v>8</v>
      </c>
      <c r="EZ838" s="27" t="s">
        <v>7</v>
      </c>
      <c r="FU838" s="27" t="s">
        <v>8</v>
      </c>
      <c r="FV838" s="27" t="s">
        <v>7</v>
      </c>
      <c r="FW838" s="27" t="s">
        <v>8</v>
      </c>
      <c r="FX838" s="27" t="s">
        <v>7</v>
      </c>
      <c r="FY838" s="27" t="s">
        <v>8</v>
      </c>
      <c r="GA838" s="27" t="s">
        <v>8</v>
      </c>
      <c r="GB838" s="27" t="s">
        <v>7</v>
      </c>
      <c r="GC838" s="27" t="s">
        <v>8</v>
      </c>
      <c r="GD838" s="27" t="s">
        <v>7</v>
      </c>
      <c r="GE838" s="27" t="s">
        <v>8</v>
      </c>
    </row>
    <row r="839" spans="1:187" x14ac:dyDescent="0.25">
      <c r="A839" s="7">
        <v>6.8038811066584333E-3</v>
      </c>
      <c r="B839"/>
      <c r="C839"/>
      <c r="D839"/>
      <c r="E839"/>
      <c r="F839" s="27" t="s">
        <v>7</v>
      </c>
      <c r="CM839" s="27" t="s">
        <v>8</v>
      </c>
      <c r="CN839" s="27" t="s">
        <v>7</v>
      </c>
      <c r="CO839" s="27" t="s">
        <v>8</v>
      </c>
      <c r="CR839" s="27" t="s">
        <v>7</v>
      </c>
      <c r="CS839" s="27" t="s">
        <v>8</v>
      </c>
      <c r="CT839" s="27" t="s">
        <v>7</v>
      </c>
      <c r="CU839" s="27" t="s">
        <v>8</v>
      </c>
      <c r="DH839" s="27" t="s">
        <v>7</v>
      </c>
      <c r="DK839" s="27" t="s">
        <v>8</v>
      </c>
      <c r="DL839" s="27" t="s">
        <v>7</v>
      </c>
      <c r="DM839" s="27" t="s">
        <v>8</v>
      </c>
      <c r="DN839" s="27" t="s">
        <v>7</v>
      </c>
      <c r="DO839" s="27" t="s">
        <v>8</v>
      </c>
      <c r="DP839" s="27" t="s">
        <v>7</v>
      </c>
      <c r="EY839" s="27" t="s">
        <v>8</v>
      </c>
      <c r="EZ839" s="27" t="s">
        <v>7</v>
      </c>
      <c r="FU839" s="27" t="s">
        <v>8</v>
      </c>
      <c r="FV839" s="27" t="s">
        <v>7</v>
      </c>
      <c r="FW839" s="27" t="s">
        <v>8</v>
      </c>
      <c r="FX839" s="27" t="s">
        <v>7</v>
      </c>
      <c r="FY839" s="27" t="s">
        <v>8</v>
      </c>
      <c r="FZ839" s="27" t="s">
        <v>7</v>
      </c>
      <c r="GA839" s="27" t="s">
        <v>8</v>
      </c>
      <c r="GB839" s="27" t="s">
        <v>7</v>
      </c>
      <c r="GC839" s="27" t="s">
        <v>8</v>
      </c>
      <c r="GD839" s="27" t="s">
        <v>7</v>
      </c>
      <c r="GE839" s="27" t="s">
        <v>8</v>
      </c>
    </row>
    <row r="840" spans="1:187" x14ac:dyDescent="0.25">
      <c r="A840" s="7">
        <v>6.6704716731945425E-3</v>
      </c>
      <c r="B840"/>
      <c r="C840"/>
      <c r="D840"/>
      <c r="E840"/>
      <c r="F840" s="27" t="s">
        <v>7</v>
      </c>
      <c r="CM840" s="27" t="s">
        <v>8</v>
      </c>
      <c r="CN840" s="27" t="s">
        <v>7</v>
      </c>
      <c r="CO840" s="27" t="s">
        <v>8</v>
      </c>
      <c r="CR840" s="27" t="s">
        <v>7</v>
      </c>
      <c r="CS840" s="27" t="s">
        <v>8</v>
      </c>
      <c r="CT840" s="27" t="s">
        <v>7</v>
      </c>
      <c r="DH840" s="27" t="s">
        <v>7</v>
      </c>
      <c r="DI840" s="27" t="s">
        <v>8</v>
      </c>
      <c r="DK840" s="27" t="s">
        <v>8</v>
      </c>
      <c r="DL840" s="27" t="s">
        <v>7</v>
      </c>
      <c r="DN840" s="27" t="s">
        <v>7</v>
      </c>
      <c r="DP840" s="27" t="s">
        <v>7</v>
      </c>
      <c r="EY840" s="27" t="s">
        <v>8</v>
      </c>
      <c r="EZ840" s="27" t="s">
        <v>7</v>
      </c>
      <c r="FU840" s="27" t="s">
        <v>8</v>
      </c>
      <c r="FV840" s="27" t="s">
        <v>7</v>
      </c>
      <c r="FW840" s="27" t="s">
        <v>8</v>
      </c>
      <c r="FX840" s="27" t="s">
        <v>7</v>
      </c>
      <c r="FY840" s="27" t="s">
        <v>8</v>
      </c>
      <c r="FZ840" s="27" t="s">
        <v>7</v>
      </c>
      <c r="GA840" s="27" t="s">
        <v>8</v>
      </c>
      <c r="GB840" s="27" t="s">
        <v>7</v>
      </c>
      <c r="GC840" s="27" t="s">
        <v>8</v>
      </c>
      <c r="GD840" s="27" t="s">
        <v>7</v>
      </c>
      <c r="GE840" s="27" t="s">
        <v>8</v>
      </c>
    </row>
    <row r="841" spans="1:187" x14ac:dyDescent="0.25">
      <c r="A841" s="7">
        <v>6.5396781109750427E-3</v>
      </c>
      <c r="B841"/>
      <c r="C841"/>
      <c r="D841"/>
      <c r="E841"/>
      <c r="F841" s="27" t="s">
        <v>7</v>
      </c>
      <c r="CM841" s="27" t="s">
        <v>8</v>
      </c>
      <c r="CN841" s="27" t="s">
        <v>7</v>
      </c>
      <c r="CO841" s="27" t="s">
        <v>8</v>
      </c>
      <c r="CR841" s="27" t="s">
        <v>7</v>
      </c>
      <c r="CS841" s="27" t="s">
        <v>8</v>
      </c>
      <c r="DH841" s="27" t="s">
        <v>7</v>
      </c>
      <c r="DI841" s="27" t="s">
        <v>8</v>
      </c>
      <c r="DJ841" s="27" t="s">
        <v>7</v>
      </c>
      <c r="DK841" s="27" t="s">
        <v>8</v>
      </c>
      <c r="DP841" s="27" t="s">
        <v>7</v>
      </c>
      <c r="EY841" s="27" t="s">
        <v>8</v>
      </c>
      <c r="EZ841" s="27" t="s">
        <v>7</v>
      </c>
      <c r="FU841" s="27" t="s">
        <v>8</v>
      </c>
      <c r="FV841" s="27" t="s">
        <v>7</v>
      </c>
      <c r="FW841" s="27" t="s">
        <v>8</v>
      </c>
      <c r="FX841" s="27" t="s">
        <v>7</v>
      </c>
      <c r="FY841" s="27" t="s">
        <v>8</v>
      </c>
      <c r="FZ841" s="27" t="s">
        <v>7</v>
      </c>
      <c r="GA841" s="27" t="s">
        <v>8</v>
      </c>
      <c r="GB841" s="27" t="s">
        <v>7</v>
      </c>
      <c r="GC841" s="27" t="s">
        <v>8</v>
      </c>
      <c r="GD841" s="27" t="s">
        <v>7</v>
      </c>
      <c r="GE841" s="27" t="s">
        <v>8</v>
      </c>
    </row>
    <row r="842" spans="1:187" x14ac:dyDescent="0.25">
      <c r="A842" s="7">
        <v>6.4114491284069045E-3</v>
      </c>
      <c r="B842"/>
      <c r="C842"/>
      <c r="D842"/>
      <c r="E842"/>
      <c r="F842" s="27" t="s">
        <v>7</v>
      </c>
      <c r="CM842" s="27" t="s">
        <v>8</v>
      </c>
      <c r="CN842" s="27" t="s">
        <v>7</v>
      </c>
      <c r="CO842" s="27" t="s">
        <v>8</v>
      </c>
      <c r="CR842" s="27" t="s">
        <v>7</v>
      </c>
      <c r="CS842" s="27" t="s">
        <v>8</v>
      </c>
      <c r="DH842" s="27" t="s">
        <v>7</v>
      </c>
      <c r="DI842" s="27" t="s">
        <v>8</v>
      </c>
      <c r="DJ842" s="27" t="s">
        <v>7</v>
      </c>
      <c r="DK842" s="27" t="s">
        <v>8</v>
      </c>
      <c r="DP842" s="27" t="s">
        <v>7</v>
      </c>
      <c r="EY842" s="27" t="s">
        <v>8</v>
      </c>
      <c r="EZ842" s="27" t="s">
        <v>7</v>
      </c>
      <c r="FU842" s="27" t="s">
        <v>8</v>
      </c>
      <c r="FV842" s="27" t="s">
        <v>7</v>
      </c>
      <c r="FW842" s="27" t="s">
        <v>8</v>
      </c>
      <c r="FX842" s="27" t="s">
        <v>7</v>
      </c>
      <c r="FY842" s="27" t="s">
        <v>8</v>
      </c>
      <c r="FZ842" s="27" t="s">
        <v>7</v>
      </c>
      <c r="GA842" s="27" t="s">
        <v>8</v>
      </c>
      <c r="GB842" s="27" t="s">
        <v>7</v>
      </c>
      <c r="GC842" s="27" t="s">
        <v>8</v>
      </c>
      <c r="GD842" s="27" t="s">
        <v>7</v>
      </c>
      <c r="GE842" s="27" t="s">
        <v>8</v>
      </c>
    </row>
    <row r="843" spans="1:187" x14ac:dyDescent="0.25">
      <c r="A843" s="7">
        <v>6.2857344396146115E-3</v>
      </c>
      <c r="B843"/>
      <c r="C843"/>
      <c r="D843"/>
      <c r="E843"/>
      <c r="F843" s="27" t="s">
        <v>7</v>
      </c>
      <c r="CM843" s="27" t="s">
        <v>8</v>
      </c>
      <c r="CN843" s="27" t="s">
        <v>7</v>
      </c>
      <c r="CO843" s="27" t="s">
        <v>8</v>
      </c>
      <c r="CR843" s="27" t="s">
        <v>7</v>
      </c>
      <c r="CS843" s="27" t="s">
        <v>8</v>
      </c>
      <c r="DH843" s="27" t="s">
        <v>7</v>
      </c>
      <c r="DI843" s="27" t="s">
        <v>8</v>
      </c>
      <c r="DJ843" s="27" t="s">
        <v>7</v>
      </c>
      <c r="DK843" s="27" t="s">
        <v>8</v>
      </c>
      <c r="DP843" s="27" t="s">
        <v>7</v>
      </c>
      <c r="EY843" s="27" t="s">
        <v>8</v>
      </c>
      <c r="EZ843" s="27" t="s">
        <v>7</v>
      </c>
      <c r="FU843" s="27" t="s">
        <v>8</v>
      </c>
      <c r="FV843" s="27" t="s">
        <v>7</v>
      </c>
      <c r="FX843" s="27" t="s">
        <v>7</v>
      </c>
      <c r="FY843" s="27" t="s">
        <v>8</v>
      </c>
      <c r="FZ843" s="27" t="s">
        <v>7</v>
      </c>
      <c r="GA843" s="27" t="s">
        <v>8</v>
      </c>
      <c r="GB843" s="27" t="s">
        <v>7</v>
      </c>
      <c r="GC843" s="27" t="s">
        <v>8</v>
      </c>
      <c r="GD843" s="27" t="s">
        <v>7</v>
      </c>
      <c r="GE843" s="27" t="s">
        <v>8</v>
      </c>
    </row>
    <row r="844" spans="1:187" x14ac:dyDescent="0.25">
      <c r="A844" s="7">
        <v>6.1624847447202076E-3</v>
      </c>
      <c r="B844"/>
      <c r="C844"/>
      <c r="D844"/>
      <c r="E844"/>
      <c r="F844" s="27" t="s">
        <v>7</v>
      </c>
      <c r="CM844" s="27" t="s">
        <v>8</v>
      </c>
      <c r="CN844" s="27" t="s">
        <v>7</v>
      </c>
      <c r="CO844" s="27" t="s">
        <v>8</v>
      </c>
      <c r="CR844" s="27" t="s">
        <v>7</v>
      </c>
      <c r="CS844" s="27" t="s">
        <v>8</v>
      </c>
      <c r="DH844" s="27" t="s">
        <v>7</v>
      </c>
      <c r="DI844" s="27" t="s">
        <v>8</v>
      </c>
      <c r="DJ844" s="27" t="s">
        <v>7</v>
      </c>
      <c r="DK844" s="27" t="s">
        <v>8</v>
      </c>
      <c r="DP844" s="27" t="s">
        <v>7</v>
      </c>
      <c r="EY844" s="27" t="s">
        <v>8</v>
      </c>
      <c r="EZ844" s="27" t="s">
        <v>7</v>
      </c>
      <c r="FU844" s="27" t="s">
        <v>8</v>
      </c>
      <c r="FX844" s="27" t="s">
        <v>7</v>
      </c>
      <c r="FY844" s="27" t="s">
        <v>8</v>
      </c>
      <c r="FZ844" s="27" t="s">
        <v>7</v>
      </c>
      <c r="GA844" s="27" t="s">
        <v>8</v>
      </c>
      <c r="GB844" s="27" t="s">
        <v>7</v>
      </c>
      <c r="GC844" s="27" t="s">
        <v>8</v>
      </c>
      <c r="GD844" s="27" t="s">
        <v>7</v>
      </c>
    </row>
    <row r="845" spans="1:187" x14ac:dyDescent="0.25">
      <c r="A845" s="7">
        <v>6.0416517105100079E-3</v>
      </c>
      <c r="B845"/>
      <c r="C845"/>
      <c r="D845"/>
      <c r="E845"/>
      <c r="F845" s="27" t="s">
        <v>7</v>
      </c>
      <c r="CM845" s="27" t="s">
        <v>8</v>
      </c>
      <c r="CN845" s="27" t="s">
        <v>7</v>
      </c>
      <c r="CO845" s="27" t="s">
        <v>8</v>
      </c>
      <c r="CR845" s="27" t="s">
        <v>7</v>
      </c>
      <c r="CS845" s="27" t="s">
        <v>8</v>
      </c>
      <c r="DH845" s="27" t="s">
        <v>7</v>
      </c>
      <c r="DI845" s="27" t="s">
        <v>8</v>
      </c>
      <c r="DJ845" s="27" t="s">
        <v>7</v>
      </c>
      <c r="DK845" s="27" t="s">
        <v>8</v>
      </c>
      <c r="DP845" s="27" t="s">
        <v>7</v>
      </c>
      <c r="DQ845" s="27" t="s">
        <v>8</v>
      </c>
      <c r="EY845" s="27" t="s">
        <v>8</v>
      </c>
      <c r="EZ845" s="27" t="s">
        <v>7</v>
      </c>
      <c r="FA845" s="27" t="s">
        <v>8</v>
      </c>
      <c r="FU845" s="27" t="s">
        <v>8</v>
      </c>
      <c r="FX845" s="27" t="s">
        <v>7</v>
      </c>
      <c r="FY845" s="27" t="s">
        <v>8</v>
      </c>
      <c r="FZ845" s="27" t="s">
        <v>7</v>
      </c>
      <c r="GA845" s="27" t="s">
        <v>8</v>
      </c>
      <c r="GB845" s="27" t="s">
        <v>7</v>
      </c>
    </row>
    <row r="846" spans="1:187" x14ac:dyDescent="0.25">
      <c r="A846" s="7">
        <v>5.9231879514803996E-3</v>
      </c>
      <c r="B846"/>
      <c r="C846"/>
      <c r="D846"/>
      <c r="E846"/>
      <c r="F846" s="27" t="s">
        <v>7</v>
      </c>
      <c r="CM846" s="27" t="s">
        <v>8</v>
      </c>
      <c r="CN846" s="27" t="s">
        <v>7</v>
      </c>
      <c r="CR846" s="27" t="s">
        <v>7</v>
      </c>
      <c r="DH846" s="27" t="s">
        <v>7</v>
      </c>
      <c r="DI846" s="27" t="s">
        <v>8</v>
      </c>
      <c r="DJ846" s="27" t="s">
        <v>7</v>
      </c>
      <c r="DP846" s="27" t="s">
        <v>7</v>
      </c>
      <c r="DQ846" s="27" t="s">
        <v>8</v>
      </c>
      <c r="DR846" s="27" t="s">
        <v>7</v>
      </c>
      <c r="EY846" s="27" t="s">
        <v>8</v>
      </c>
      <c r="EZ846" s="27" t="s">
        <v>7</v>
      </c>
      <c r="FA846" s="27" t="s">
        <v>8</v>
      </c>
      <c r="FB846" s="27" t="s">
        <v>7</v>
      </c>
      <c r="FM846" s="27" t="s">
        <v>8</v>
      </c>
      <c r="FU846" s="27" t="s">
        <v>8</v>
      </c>
      <c r="FX846" s="27" t="s">
        <v>7</v>
      </c>
      <c r="FY846" s="27" t="s">
        <v>8</v>
      </c>
      <c r="FZ846" s="27" t="s">
        <v>7</v>
      </c>
      <c r="GA846" s="27" t="s">
        <v>8</v>
      </c>
    </row>
    <row r="847" spans="1:187" x14ac:dyDescent="0.25">
      <c r="A847" s="7">
        <v>5.8070470112552936E-3</v>
      </c>
      <c r="B847"/>
      <c r="C847"/>
      <c r="D847"/>
      <c r="E847"/>
      <c r="F847" s="27" t="s">
        <v>7</v>
      </c>
      <c r="CM847" s="27" t="s">
        <v>8</v>
      </c>
      <c r="DH847" s="27" t="s">
        <v>7</v>
      </c>
      <c r="DI847" s="27" t="s">
        <v>8</v>
      </c>
      <c r="DP847" s="27" t="s">
        <v>7</v>
      </c>
      <c r="DQ847" s="27" t="s">
        <v>8</v>
      </c>
      <c r="DR847" s="27" t="s">
        <v>7</v>
      </c>
      <c r="EY847" s="27" t="s">
        <v>8</v>
      </c>
      <c r="EZ847" s="27" t="s">
        <v>7</v>
      </c>
      <c r="FA847" s="27" t="s">
        <v>8</v>
      </c>
      <c r="FB847" s="27" t="s">
        <v>7</v>
      </c>
      <c r="FC847" s="27" t="s">
        <v>8</v>
      </c>
      <c r="FM847" s="27" t="s">
        <v>8</v>
      </c>
      <c r="FN847" s="27" t="s">
        <v>7</v>
      </c>
      <c r="FS847" s="27" t="s">
        <v>8</v>
      </c>
      <c r="FU847" s="27" t="s">
        <v>8</v>
      </c>
      <c r="FX847" s="27" t="s">
        <v>7</v>
      </c>
      <c r="FY847" s="27" t="s">
        <v>8</v>
      </c>
      <c r="FZ847" s="27" t="s">
        <v>7</v>
      </c>
    </row>
    <row r="848" spans="1:187" x14ac:dyDescent="0.25">
      <c r="A848" s="7">
        <v>5.6931833443679353E-3</v>
      </c>
      <c r="B848"/>
      <c r="C848"/>
      <c r="D848"/>
      <c r="E848"/>
      <c r="F848" s="27" t="s">
        <v>7</v>
      </c>
      <c r="CM848" s="27" t="s">
        <v>8</v>
      </c>
      <c r="DH848" s="27" t="s">
        <v>7</v>
      </c>
      <c r="DI848" s="27" t="s">
        <v>8</v>
      </c>
      <c r="DP848" s="27" t="s">
        <v>7</v>
      </c>
      <c r="DQ848" s="27" t="s">
        <v>8</v>
      </c>
      <c r="DR848" s="27" t="s">
        <v>7</v>
      </c>
      <c r="EY848" s="27" t="s">
        <v>8</v>
      </c>
      <c r="EZ848" s="27" t="s">
        <v>7</v>
      </c>
      <c r="FA848" s="27" t="s">
        <v>8</v>
      </c>
      <c r="FB848" s="27" t="s">
        <v>7</v>
      </c>
      <c r="FC848" s="27" t="s">
        <v>8</v>
      </c>
      <c r="FD848" s="27" t="s">
        <v>7</v>
      </c>
      <c r="FK848" s="27" t="s">
        <v>8</v>
      </c>
      <c r="FM848" s="27" t="s">
        <v>8</v>
      </c>
      <c r="FN848" s="27" t="s">
        <v>7</v>
      </c>
      <c r="FS848" s="27" t="s">
        <v>8</v>
      </c>
      <c r="FT848" s="27" t="s">
        <v>7</v>
      </c>
      <c r="FU848" s="27" t="s">
        <v>8</v>
      </c>
      <c r="FX848" s="27" t="s">
        <v>7</v>
      </c>
      <c r="FY848" s="27" t="s">
        <v>8</v>
      </c>
    </row>
    <row r="849" spans="1:181" x14ac:dyDescent="0.25">
      <c r="A849" s="7">
        <v>5.5815522983999367E-3</v>
      </c>
      <c r="B849"/>
      <c r="C849"/>
      <c r="D849"/>
      <c r="E849"/>
      <c r="F849" s="27" t="s">
        <v>7</v>
      </c>
      <c r="Q849" s="27" t="s">
        <v>8</v>
      </c>
      <c r="CM849" s="27" t="s">
        <v>8</v>
      </c>
      <c r="DH849" s="27" t="s">
        <v>7</v>
      </c>
      <c r="DP849" s="27" t="s">
        <v>7</v>
      </c>
      <c r="DR849" s="27" t="s">
        <v>7</v>
      </c>
      <c r="EY849" s="27" t="s">
        <v>8</v>
      </c>
      <c r="EZ849" s="27" t="s">
        <v>7</v>
      </c>
      <c r="FA849" s="27" t="s">
        <v>8</v>
      </c>
      <c r="FB849" s="27" t="s">
        <v>7</v>
      </c>
      <c r="FC849" s="27" t="s">
        <v>8</v>
      </c>
      <c r="FD849" s="27" t="s">
        <v>7</v>
      </c>
      <c r="FE849" s="27" t="s">
        <v>8</v>
      </c>
      <c r="FK849" s="27" t="s">
        <v>8</v>
      </c>
      <c r="FL849" s="27" t="s">
        <v>7</v>
      </c>
      <c r="FM849" s="27" t="s">
        <v>8</v>
      </c>
      <c r="FN849" s="27" t="s">
        <v>7</v>
      </c>
      <c r="FS849" s="27" t="s">
        <v>8</v>
      </c>
      <c r="FT849" s="27" t="s">
        <v>7</v>
      </c>
      <c r="FU849" s="27" t="s">
        <v>8</v>
      </c>
      <c r="FX849" s="27" t="s">
        <v>7</v>
      </c>
      <c r="FY849" s="27" t="s">
        <v>8</v>
      </c>
    </row>
    <row r="850" spans="1:181" x14ac:dyDescent="0.25">
      <c r="A850" s="7">
        <v>5.4721100964705257E-3</v>
      </c>
      <c r="B850"/>
      <c r="C850"/>
      <c r="D850"/>
      <c r="E850"/>
      <c r="F850" s="27" t="s">
        <v>7</v>
      </c>
      <c r="Q850" s="27" t="s">
        <v>8</v>
      </c>
      <c r="R850" s="27" t="s">
        <v>7</v>
      </c>
      <c r="CM850" s="27" t="s">
        <v>8</v>
      </c>
      <c r="DR850" s="27" t="s">
        <v>7</v>
      </c>
      <c r="DU850" s="27" t="s">
        <v>8</v>
      </c>
      <c r="DW850" s="27" t="s">
        <v>8</v>
      </c>
      <c r="EY850" s="27" t="s">
        <v>8</v>
      </c>
      <c r="EZ850" s="27" t="s">
        <v>7</v>
      </c>
      <c r="FA850" s="27" t="s">
        <v>8</v>
      </c>
      <c r="FB850" s="27" t="s">
        <v>7</v>
      </c>
      <c r="FC850" s="27" t="s">
        <v>8</v>
      </c>
      <c r="FD850" s="27" t="s">
        <v>7</v>
      </c>
      <c r="FE850" s="27" t="s">
        <v>8</v>
      </c>
      <c r="FF850" s="27" t="s">
        <v>7</v>
      </c>
      <c r="FK850" s="27" t="s">
        <v>8</v>
      </c>
      <c r="FL850" s="27" t="s">
        <v>7</v>
      </c>
      <c r="FM850" s="27" t="s">
        <v>8</v>
      </c>
      <c r="FN850" s="27" t="s">
        <v>7</v>
      </c>
      <c r="FS850" s="27" t="s">
        <v>8</v>
      </c>
      <c r="FT850" s="27" t="s">
        <v>7</v>
      </c>
      <c r="FU850" s="27" t="s">
        <v>8</v>
      </c>
      <c r="FX850" s="27" t="s">
        <v>7</v>
      </c>
      <c r="FY850" s="27" t="s">
        <v>8</v>
      </c>
    </row>
    <row r="851" spans="1:181" x14ac:dyDescent="0.25">
      <c r="A851" s="7">
        <v>5.3648138200691423E-3</v>
      </c>
      <c r="B851"/>
      <c r="C851"/>
      <c r="D851"/>
      <c r="E851"/>
      <c r="F851" s="27" t="s">
        <v>7</v>
      </c>
      <c r="Q851" s="27" t="s">
        <v>8</v>
      </c>
      <c r="R851" s="27" t="s">
        <v>7</v>
      </c>
      <c r="CM851" s="27" t="s">
        <v>8</v>
      </c>
      <c r="DR851" s="27" t="s">
        <v>7</v>
      </c>
      <c r="DU851" s="27" t="s">
        <v>8</v>
      </c>
      <c r="DV851" s="27" t="s">
        <v>7</v>
      </c>
      <c r="DW851" s="27" t="s">
        <v>8</v>
      </c>
      <c r="DX851" s="27" t="s">
        <v>7</v>
      </c>
      <c r="EY851" s="27" t="s">
        <v>8</v>
      </c>
      <c r="EZ851" s="27" t="s">
        <v>7</v>
      </c>
      <c r="FA851" s="27" t="s">
        <v>8</v>
      </c>
      <c r="FB851" s="27" t="s">
        <v>7</v>
      </c>
      <c r="FC851" s="27" t="s">
        <v>8</v>
      </c>
      <c r="FD851" s="27" t="s">
        <v>7</v>
      </c>
      <c r="FE851" s="27" t="s">
        <v>8</v>
      </c>
      <c r="FF851" s="27" t="s">
        <v>7</v>
      </c>
      <c r="FI851" s="27" t="s">
        <v>8</v>
      </c>
      <c r="FK851" s="27" t="s">
        <v>8</v>
      </c>
      <c r="FL851" s="27" t="s">
        <v>7</v>
      </c>
      <c r="FM851" s="27" t="s">
        <v>8</v>
      </c>
      <c r="FN851" s="27" t="s">
        <v>7</v>
      </c>
      <c r="FS851" s="27" t="s">
        <v>8</v>
      </c>
      <c r="FT851" s="27" t="s">
        <v>7</v>
      </c>
      <c r="FU851" s="27" t="s">
        <v>8</v>
      </c>
      <c r="FX851" s="27" t="s">
        <v>7</v>
      </c>
      <c r="FY851" s="27" t="s">
        <v>8</v>
      </c>
    </row>
    <row r="852" spans="1:181" x14ac:dyDescent="0.25">
      <c r="A852" s="7">
        <v>5.2596213922246494E-3</v>
      </c>
      <c r="B852"/>
      <c r="C852"/>
      <c r="D852"/>
      <c r="E852"/>
      <c r="F852" s="27" t="s">
        <v>7</v>
      </c>
      <c r="Q852" s="27" t="s">
        <v>8</v>
      </c>
      <c r="R852" s="27" t="s">
        <v>7</v>
      </c>
      <c r="CI852" s="27" t="s">
        <v>8</v>
      </c>
      <c r="CK852" s="27" t="s">
        <v>8</v>
      </c>
      <c r="CM852" s="27" t="s">
        <v>8</v>
      </c>
      <c r="DR852" s="27" t="s">
        <v>7</v>
      </c>
      <c r="DU852" s="27" t="s">
        <v>8</v>
      </c>
      <c r="DV852" s="27" t="s">
        <v>7</v>
      </c>
      <c r="DW852" s="27" t="s">
        <v>8</v>
      </c>
      <c r="DX852" s="27" t="s">
        <v>7</v>
      </c>
      <c r="EY852" s="27" t="s">
        <v>8</v>
      </c>
      <c r="EZ852" s="27" t="s">
        <v>7</v>
      </c>
      <c r="FA852" s="27" t="s">
        <v>8</v>
      </c>
      <c r="FB852" s="27" t="s">
        <v>7</v>
      </c>
      <c r="FC852" s="27" t="s">
        <v>8</v>
      </c>
      <c r="FD852" s="27" t="s">
        <v>7</v>
      </c>
      <c r="FE852" s="27" t="s">
        <v>8</v>
      </c>
      <c r="FF852" s="27" t="s">
        <v>7</v>
      </c>
      <c r="FI852" s="27" t="s">
        <v>8</v>
      </c>
      <c r="FJ852" s="27" t="s">
        <v>7</v>
      </c>
      <c r="FK852" s="27" t="s">
        <v>8</v>
      </c>
      <c r="FL852" s="27" t="s">
        <v>7</v>
      </c>
      <c r="FN852" s="27" t="s">
        <v>7</v>
      </c>
      <c r="FO852" s="27" t="s">
        <v>8</v>
      </c>
      <c r="FS852" s="27" t="s">
        <v>8</v>
      </c>
      <c r="FT852" s="27" t="s">
        <v>7</v>
      </c>
      <c r="FU852" s="27" t="s">
        <v>8</v>
      </c>
      <c r="FX852" s="27" t="s">
        <v>7</v>
      </c>
    </row>
    <row r="853" spans="1:181" x14ac:dyDescent="0.25">
      <c r="A853" s="7">
        <v>5.1564915610045588E-3</v>
      </c>
      <c r="B853"/>
      <c r="C853"/>
      <c r="D853"/>
      <c r="E853"/>
      <c r="F853" s="27" t="s">
        <v>7</v>
      </c>
      <c r="Q853" s="27" t="s">
        <v>8</v>
      </c>
      <c r="R853" s="27" t="s">
        <v>7</v>
      </c>
      <c r="CI853" s="27" t="s">
        <v>8</v>
      </c>
      <c r="CJ853" s="27" t="s">
        <v>7</v>
      </c>
      <c r="CK853" s="27" t="s">
        <v>8</v>
      </c>
      <c r="CL853" s="27" t="s">
        <v>7</v>
      </c>
      <c r="CM853" s="27" t="s">
        <v>8</v>
      </c>
      <c r="DR853" s="27" t="s">
        <v>7</v>
      </c>
      <c r="DU853" s="27" t="s">
        <v>8</v>
      </c>
      <c r="DV853" s="27" t="s">
        <v>7</v>
      </c>
      <c r="DW853" s="27" t="s">
        <v>8</v>
      </c>
      <c r="DX853" s="27" t="s">
        <v>7</v>
      </c>
      <c r="EE853" s="27" t="s">
        <v>8</v>
      </c>
      <c r="EQ853" s="27" t="s">
        <v>8</v>
      </c>
      <c r="EY853" s="27" t="s">
        <v>8</v>
      </c>
      <c r="EZ853" s="27" t="s">
        <v>7</v>
      </c>
      <c r="FA853" s="27" t="s">
        <v>8</v>
      </c>
      <c r="FB853" s="27" t="s">
        <v>7</v>
      </c>
      <c r="FC853" s="27" t="s">
        <v>8</v>
      </c>
      <c r="FD853" s="27" t="s">
        <v>7</v>
      </c>
      <c r="FE853" s="27" t="s">
        <v>8</v>
      </c>
      <c r="FF853" s="27" t="s">
        <v>7</v>
      </c>
      <c r="FI853" s="27" t="s">
        <v>8</v>
      </c>
      <c r="FJ853" s="27" t="s">
        <v>7</v>
      </c>
      <c r="FK853" s="27" t="s">
        <v>8</v>
      </c>
      <c r="FN853" s="27" t="s">
        <v>7</v>
      </c>
      <c r="FO853" s="27" t="s">
        <v>8</v>
      </c>
      <c r="FP853" s="27" t="s">
        <v>7</v>
      </c>
      <c r="FQ853" s="27" t="s">
        <v>8</v>
      </c>
      <c r="FS853" s="27" t="s">
        <v>8</v>
      </c>
      <c r="FT853" s="27" t="s">
        <v>7</v>
      </c>
      <c r="FU853" s="27" t="s">
        <v>8</v>
      </c>
    </row>
    <row r="854" spans="1:181" x14ac:dyDescent="0.25">
      <c r="A854" s="7">
        <v>5.0553838833378023E-3</v>
      </c>
      <c r="B854"/>
      <c r="C854"/>
      <c r="D854"/>
      <c r="E854"/>
      <c r="F854" s="27" t="s">
        <v>7</v>
      </c>
      <c r="Q854" s="27" t="s">
        <v>8</v>
      </c>
      <c r="R854" s="27" t="s">
        <v>7</v>
      </c>
      <c r="CI854" s="27" t="s">
        <v>8</v>
      </c>
      <c r="CJ854" s="27" t="s">
        <v>7</v>
      </c>
      <c r="CK854" s="27" t="s">
        <v>8</v>
      </c>
      <c r="CL854" s="27" t="s">
        <v>7</v>
      </c>
      <c r="CM854" s="27" t="s">
        <v>8</v>
      </c>
      <c r="DR854" s="27" t="s">
        <v>7</v>
      </c>
      <c r="DU854" s="27" t="s">
        <v>8</v>
      </c>
      <c r="DV854" s="27" t="s">
        <v>7</v>
      </c>
      <c r="DW854" s="27" t="s">
        <v>8</v>
      </c>
      <c r="DX854" s="27" t="s">
        <v>7</v>
      </c>
      <c r="EE854" s="27" t="s">
        <v>8</v>
      </c>
      <c r="EF854" s="27" t="s">
        <v>7</v>
      </c>
      <c r="EQ854" s="27" t="s">
        <v>8</v>
      </c>
      <c r="ER854" s="27" t="s">
        <v>7</v>
      </c>
      <c r="EY854" s="27" t="s">
        <v>8</v>
      </c>
      <c r="EZ854" s="27" t="s">
        <v>7</v>
      </c>
      <c r="FA854" s="27" t="s">
        <v>8</v>
      </c>
      <c r="FB854" s="27" t="s">
        <v>7</v>
      </c>
      <c r="FD854" s="27" t="s">
        <v>7</v>
      </c>
      <c r="FF854" s="27" t="s">
        <v>7</v>
      </c>
      <c r="FG854" s="27" t="s">
        <v>8</v>
      </c>
      <c r="FI854" s="27" t="s">
        <v>8</v>
      </c>
      <c r="FJ854" s="27" t="s">
        <v>7</v>
      </c>
      <c r="FN854" s="27" t="s">
        <v>7</v>
      </c>
      <c r="FO854" s="27" t="s">
        <v>8</v>
      </c>
      <c r="FP854" s="27" t="s">
        <v>7</v>
      </c>
      <c r="FQ854" s="27" t="s">
        <v>8</v>
      </c>
      <c r="FR854" s="27" t="s">
        <v>7</v>
      </c>
      <c r="FS854" s="27" t="s">
        <v>8</v>
      </c>
      <c r="FT854" s="27" t="s">
        <v>7</v>
      </c>
      <c r="FU854" s="27" t="s">
        <v>8</v>
      </c>
    </row>
    <row r="855" spans="1:181" x14ac:dyDescent="0.25">
      <c r="A855" s="7">
        <v>4.9562587091547079E-3</v>
      </c>
      <c r="B855"/>
      <c r="C855"/>
      <c r="D855"/>
      <c r="E855"/>
      <c r="F855" s="27" t="s">
        <v>7</v>
      </c>
      <c r="Q855" s="27" t="s">
        <v>8</v>
      </c>
      <c r="R855" s="27" t="s">
        <v>7</v>
      </c>
      <c r="CI855" s="27" t="s">
        <v>8</v>
      </c>
      <c r="CJ855" s="27" t="s">
        <v>7</v>
      </c>
      <c r="CK855" s="27" t="s">
        <v>8</v>
      </c>
      <c r="CL855" s="27" t="s">
        <v>7</v>
      </c>
      <c r="CM855" s="27" t="s">
        <v>8</v>
      </c>
      <c r="DR855" s="27" t="s">
        <v>7</v>
      </c>
      <c r="DU855" s="27" t="s">
        <v>8</v>
      </c>
      <c r="DV855" s="27" t="s">
        <v>7</v>
      </c>
      <c r="DW855" s="27" t="s">
        <v>8</v>
      </c>
      <c r="DX855" s="27" t="s">
        <v>7</v>
      </c>
      <c r="EE855" s="27" t="s">
        <v>8</v>
      </c>
      <c r="EF855" s="27" t="s">
        <v>7</v>
      </c>
      <c r="EQ855" s="27" t="s">
        <v>8</v>
      </c>
      <c r="ER855" s="27" t="s">
        <v>7</v>
      </c>
      <c r="EY855" s="27" t="s">
        <v>8</v>
      </c>
      <c r="EZ855" s="27" t="s">
        <v>7</v>
      </c>
      <c r="FA855" s="27" t="s">
        <v>8</v>
      </c>
      <c r="FF855" s="27" t="s">
        <v>7</v>
      </c>
      <c r="FG855" s="27" t="s">
        <v>8</v>
      </c>
      <c r="FH855" s="27" t="s">
        <v>7</v>
      </c>
      <c r="FI855" s="27" t="s">
        <v>8</v>
      </c>
      <c r="FN855" s="27" t="s">
        <v>7</v>
      </c>
      <c r="FO855" s="27" t="s">
        <v>8</v>
      </c>
      <c r="FP855" s="27" t="s">
        <v>7</v>
      </c>
      <c r="FQ855" s="27" t="s">
        <v>8</v>
      </c>
      <c r="FR855" s="27" t="s">
        <v>7</v>
      </c>
      <c r="FS855" s="27" t="s">
        <v>8</v>
      </c>
      <c r="FT855" s="27" t="s">
        <v>7</v>
      </c>
    </row>
    <row r="856" spans="1:181" x14ac:dyDescent="0.25">
      <c r="A856" s="7">
        <v>4.8590771658379491E-3</v>
      </c>
      <c r="B856"/>
      <c r="C856"/>
      <c r="D856"/>
      <c r="E856"/>
      <c r="F856" s="27" t="s">
        <v>7</v>
      </c>
      <c r="Q856" s="27" t="s">
        <v>8</v>
      </c>
      <c r="R856" s="27" t="s">
        <v>7</v>
      </c>
      <c r="CI856" s="27" t="s">
        <v>8</v>
      </c>
      <c r="CJ856" s="27" t="s">
        <v>7</v>
      </c>
      <c r="CK856" s="27" t="s">
        <v>8</v>
      </c>
      <c r="CL856" s="27" t="s">
        <v>7</v>
      </c>
      <c r="CM856" s="27" t="s">
        <v>8</v>
      </c>
      <c r="DR856" s="27" t="s">
        <v>7</v>
      </c>
      <c r="DU856" s="27" t="s">
        <v>8</v>
      </c>
      <c r="DV856" s="27" t="s">
        <v>7</v>
      </c>
      <c r="DX856" s="27" t="s">
        <v>7</v>
      </c>
      <c r="DY856" s="27" t="s">
        <v>8</v>
      </c>
      <c r="EE856" s="27" t="s">
        <v>8</v>
      </c>
      <c r="EF856" s="27" t="s">
        <v>7</v>
      </c>
      <c r="EQ856" s="27" t="s">
        <v>8</v>
      </c>
      <c r="ER856" s="27" t="s">
        <v>7</v>
      </c>
      <c r="EY856" s="27" t="s">
        <v>8</v>
      </c>
      <c r="EZ856" s="27" t="s">
        <v>7</v>
      </c>
      <c r="FF856" s="27" t="s">
        <v>7</v>
      </c>
      <c r="FG856" s="27" t="s">
        <v>8</v>
      </c>
      <c r="FH856" s="27" t="s">
        <v>7</v>
      </c>
      <c r="FI856" s="27" t="s">
        <v>8</v>
      </c>
      <c r="FN856" s="27" t="s">
        <v>7</v>
      </c>
      <c r="FO856" s="27" t="s">
        <v>8</v>
      </c>
      <c r="FP856" s="27" t="s">
        <v>7</v>
      </c>
      <c r="FQ856" s="27" t="s">
        <v>8</v>
      </c>
      <c r="FR856" s="27" t="s">
        <v>7</v>
      </c>
      <c r="FS856" s="27" t="s">
        <v>8</v>
      </c>
    </row>
    <row r="857" spans="1:181" x14ac:dyDescent="0.25">
      <c r="A857" s="7">
        <v>4.7638011429783815E-3</v>
      </c>
      <c r="B857"/>
      <c r="C857"/>
      <c r="D857"/>
      <c r="E857"/>
      <c r="F857" s="27" t="s">
        <v>7</v>
      </c>
      <c r="Q857" s="27" t="s">
        <v>8</v>
      </c>
      <c r="R857" s="27" t="s">
        <v>7</v>
      </c>
      <c r="CI857" s="27" t="s">
        <v>8</v>
      </c>
      <c r="CJ857" s="27" t="s">
        <v>7</v>
      </c>
      <c r="CL857" s="27" t="s">
        <v>7</v>
      </c>
      <c r="CM857" s="27" t="s">
        <v>8</v>
      </c>
      <c r="DR857" s="27" t="s">
        <v>7</v>
      </c>
      <c r="DU857" s="27" t="s">
        <v>8</v>
      </c>
      <c r="DX857" s="27" t="s">
        <v>7</v>
      </c>
      <c r="DY857" s="27" t="s">
        <v>8</v>
      </c>
      <c r="DZ857" s="27" t="s">
        <v>7</v>
      </c>
      <c r="EE857" s="27" t="s">
        <v>8</v>
      </c>
      <c r="EF857" s="27" t="s">
        <v>7</v>
      </c>
      <c r="EQ857" s="27" t="s">
        <v>8</v>
      </c>
      <c r="ER857" s="27" t="s">
        <v>7</v>
      </c>
      <c r="ES857" s="27" t="s">
        <v>8</v>
      </c>
      <c r="EW857" s="27" t="s">
        <v>8</v>
      </c>
      <c r="EY857" s="27" t="s">
        <v>8</v>
      </c>
      <c r="FF857" s="27" t="s">
        <v>7</v>
      </c>
      <c r="FG857" s="27" t="s">
        <v>8</v>
      </c>
      <c r="FH857" s="27" t="s">
        <v>7</v>
      </c>
      <c r="FI857" s="27" t="s">
        <v>8</v>
      </c>
      <c r="FN857" s="27" t="s">
        <v>7</v>
      </c>
      <c r="FO857" s="27" t="s">
        <v>8</v>
      </c>
      <c r="FP857" s="27" t="s">
        <v>7</v>
      </c>
      <c r="FQ857" s="27" t="s">
        <v>8</v>
      </c>
      <c r="FR857" s="27" t="s">
        <v>7</v>
      </c>
      <c r="FS857" s="27" t="s">
        <v>8</v>
      </c>
    </row>
    <row r="858" spans="1:181" x14ac:dyDescent="0.25">
      <c r="A858" s="7">
        <v>4.6703932774297859E-3</v>
      </c>
      <c r="B858"/>
      <c r="C858"/>
      <c r="D858"/>
      <c r="E858"/>
      <c r="F858" s="27" t="s">
        <v>7</v>
      </c>
      <c r="Q858" s="27" t="s">
        <v>8</v>
      </c>
      <c r="R858" s="27" t="s">
        <v>7</v>
      </c>
      <c r="CA858" s="27" t="s">
        <v>8</v>
      </c>
      <c r="CI858" s="27" t="s">
        <v>8</v>
      </c>
      <c r="CL858" s="27" t="s">
        <v>7</v>
      </c>
      <c r="CM858" s="27" t="s">
        <v>8</v>
      </c>
      <c r="DR858" s="27" t="s">
        <v>7</v>
      </c>
      <c r="DS858" s="27" t="s">
        <v>8</v>
      </c>
      <c r="DU858" s="27" t="s">
        <v>8</v>
      </c>
      <c r="DX858" s="27" t="s">
        <v>7</v>
      </c>
      <c r="DY858" s="27" t="s">
        <v>8</v>
      </c>
      <c r="DZ858" s="27" t="s">
        <v>7</v>
      </c>
      <c r="EA858" s="27" t="s">
        <v>8</v>
      </c>
      <c r="EC858" s="27" t="s">
        <v>8</v>
      </c>
      <c r="EE858" s="27" t="s">
        <v>8</v>
      </c>
      <c r="EF858" s="27" t="s">
        <v>7</v>
      </c>
      <c r="EG858" s="27" t="s">
        <v>8</v>
      </c>
      <c r="EQ858" s="27" t="s">
        <v>8</v>
      </c>
      <c r="ER858" s="27" t="s">
        <v>7</v>
      </c>
      <c r="ES858" s="27" t="s">
        <v>8</v>
      </c>
      <c r="ET858" s="27" t="s">
        <v>7</v>
      </c>
      <c r="EW858" s="27" t="s">
        <v>8</v>
      </c>
      <c r="EX858" s="27" t="s">
        <v>7</v>
      </c>
      <c r="EY858" s="27" t="s">
        <v>8</v>
      </c>
      <c r="FF858" s="27" t="s">
        <v>7</v>
      </c>
      <c r="FH858" s="27" t="s">
        <v>7</v>
      </c>
      <c r="FN858" s="27" t="s">
        <v>7</v>
      </c>
      <c r="FO858" s="27" t="s">
        <v>8</v>
      </c>
      <c r="FP858" s="27" t="s">
        <v>7</v>
      </c>
      <c r="FQ858" s="27" t="s">
        <v>8</v>
      </c>
      <c r="FR858" s="27" t="s">
        <v>7</v>
      </c>
      <c r="FS858" s="27" t="s">
        <v>8</v>
      </c>
    </row>
    <row r="859" spans="1:181" x14ac:dyDescent="0.25">
      <c r="A859" s="7">
        <v>4.5788169386566527E-3</v>
      </c>
      <c r="B859"/>
      <c r="C859"/>
      <c r="D859"/>
      <c r="E859"/>
      <c r="F859" s="27" t="s">
        <v>7</v>
      </c>
      <c r="Q859" s="27" t="s">
        <v>8</v>
      </c>
      <c r="R859" s="27" t="s">
        <v>7</v>
      </c>
      <c r="CA859" s="27" t="s">
        <v>8</v>
      </c>
      <c r="CB859" s="27" t="s">
        <v>7</v>
      </c>
      <c r="CI859" s="27" t="s">
        <v>8</v>
      </c>
      <c r="CL859" s="27" t="s">
        <v>7</v>
      </c>
      <c r="CM859" s="27" t="s">
        <v>8</v>
      </c>
      <c r="DR859" s="27" t="s">
        <v>7</v>
      </c>
      <c r="DS859" s="27" t="s">
        <v>8</v>
      </c>
      <c r="DT859" s="27" t="s">
        <v>7</v>
      </c>
      <c r="DU859" s="27" t="s">
        <v>8</v>
      </c>
      <c r="DX859" s="27" t="s">
        <v>7</v>
      </c>
      <c r="DY859" s="27" t="s">
        <v>8</v>
      </c>
      <c r="DZ859" s="27" t="s">
        <v>7</v>
      </c>
      <c r="EA859" s="27" t="s">
        <v>8</v>
      </c>
      <c r="EB859" s="27" t="s">
        <v>7</v>
      </c>
      <c r="EC859" s="27" t="s">
        <v>8</v>
      </c>
      <c r="ED859" s="27" t="s">
        <v>7</v>
      </c>
      <c r="EE859" s="27" t="s">
        <v>8</v>
      </c>
      <c r="EF859" s="27" t="s">
        <v>7</v>
      </c>
      <c r="EG859" s="27" t="s">
        <v>8</v>
      </c>
      <c r="EH859" s="27" t="s">
        <v>7</v>
      </c>
      <c r="EI859" s="27" t="s">
        <v>8</v>
      </c>
      <c r="EQ859" s="27" t="s">
        <v>8</v>
      </c>
      <c r="ER859" s="27" t="s">
        <v>7</v>
      </c>
      <c r="ES859" s="27" t="s">
        <v>8</v>
      </c>
      <c r="ET859" s="27" t="s">
        <v>7</v>
      </c>
      <c r="EU859" s="27" t="s">
        <v>8</v>
      </c>
      <c r="EW859" s="27" t="s">
        <v>8</v>
      </c>
      <c r="EX859" s="27" t="s">
        <v>7</v>
      </c>
      <c r="EY859" s="27" t="s">
        <v>8</v>
      </c>
      <c r="FN859" s="27" t="s">
        <v>7</v>
      </c>
      <c r="FO859" s="27" t="s">
        <v>8</v>
      </c>
      <c r="FP859" s="27" t="s">
        <v>7</v>
      </c>
      <c r="FR859" s="27" t="s">
        <v>7</v>
      </c>
      <c r="FS859" s="27" t="s">
        <v>8</v>
      </c>
    </row>
    <row r="860" spans="1:181" x14ac:dyDescent="0.25">
      <c r="A860" s="7">
        <v>4.4890362143692672E-3</v>
      </c>
      <c r="B860"/>
      <c r="C860"/>
      <c r="D860"/>
      <c r="E860"/>
      <c r="F860" s="27" t="s">
        <v>7</v>
      </c>
      <c r="Q860" s="27" t="s">
        <v>8</v>
      </c>
      <c r="R860" s="27" t="s">
        <v>7</v>
      </c>
      <c r="S860" s="27" t="s">
        <v>8</v>
      </c>
      <c r="CA860" s="27" t="s">
        <v>8</v>
      </c>
      <c r="CB860" s="27" t="s">
        <v>7</v>
      </c>
      <c r="CI860" s="27" t="s">
        <v>8</v>
      </c>
      <c r="CL860" s="27" t="s">
        <v>7</v>
      </c>
      <c r="CM860" s="27" t="s">
        <v>8</v>
      </c>
      <c r="DR860" s="27" t="s">
        <v>7</v>
      </c>
      <c r="DS860" s="27" t="s">
        <v>8</v>
      </c>
      <c r="DT860" s="27" t="s">
        <v>7</v>
      </c>
      <c r="DU860" s="27" t="s">
        <v>8</v>
      </c>
      <c r="DX860" s="27" t="s">
        <v>7</v>
      </c>
      <c r="DZ860" s="27" t="s">
        <v>7</v>
      </c>
      <c r="EA860" s="27" t="s">
        <v>8</v>
      </c>
      <c r="EB860" s="27" t="s">
        <v>7</v>
      </c>
      <c r="EC860" s="27" t="s">
        <v>8</v>
      </c>
      <c r="ED860" s="27" t="s">
        <v>7</v>
      </c>
      <c r="EE860" s="27" t="s">
        <v>8</v>
      </c>
      <c r="EF860" s="27" t="s">
        <v>7</v>
      </c>
      <c r="EG860" s="27" t="s">
        <v>8</v>
      </c>
      <c r="EH860" s="27" t="s">
        <v>7</v>
      </c>
      <c r="EI860" s="27" t="s">
        <v>8</v>
      </c>
      <c r="EJ860" s="27" t="s">
        <v>7</v>
      </c>
      <c r="EQ860" s="27" t="s">
        <v>8</v>
      </c>
      <c r="ER860" s="27" t="s">
        <v>7</v>
      </c>
      <c r="ET860" s="27" t="s">
        <v>7</v>
      </c>
      <c r="EU860" s="27" t="s">
        <v>8</v>
      </c>
      <c r="EV860" s="27" t="s">
        <v>7</v>
      </c>
      <c r="EW860" s="27" t="s">
        <v>8</v>
      </c>
      <c r="EX860" s="27" t="s">
        <v>7</v>
      </c>
      <c r="EY860" s="27" t="s">
        <v>8</v>
      </c>
      <c r="FN860" s="27" t="s">
        <v>7</v>
      </c>
      <c r="FO860" s="27" t="s">
        <v>8</v>
      </c>
      <c r="FR860" s="27" t="s">
        <v>7</v>
      </c>
      <c r="FS860" s="27" t="s">
        <v>8</v>
      </c>
    </row>
    <row r="861" spans="1:181" x14ac:dyDescent="0.25">
      <c r="A861" s="7">
        <v>4.4010158964404578E-3</v>
      </c>
      <c r="B861"/>
      <c r="C861"/>
      <c r="D861"/>
      <c r="E861"/>
      <c r="F861" s="27" t="s">
        <v>7</v>
      </c>
      <c r="Q861" s="27" t="s">
        <v>8</v>
      </c>
      <c r="R861" s="27" t="s">
        <v>7</v>
      </c>
      <c r="S861" s="27" t="s">
        <v>8</v>
      </c>
      <c r="T861" s="27" t="s">
        <v>7</v>
      </c>
      <c r="CA861" s="27" t="s">
        <v>8</v>
      </c>
      <c r="CB861" s="27" t="s">
        <v>7</v>
      </c>
      <c r="CI861" s="27" t="s">
        <v>8</v>
      </c>
      <c r="CL861" s="27" t="s">
        <v>7</v>
      </c>
      <c r="CM861" s="27" t="s">
        <v>8</v>
      </c>
      <c r="DR861" s="27" t="s">
        <v>7</v>
      </c>
      <c r="DS861" s="27" t="s">
        <v>8</v>
      </c>
      <c r="DT861" s="27" t="s">
        <v>7</v>
      </c>
      <c r="DU861" s="27" t="s">
        <v>8</v>
      </c>
      <c r="DZ861" s="27" t="s">
        <v>7</v>
      </c>
      <c r="EB861" s="27" t="s">
        <v>7</v>
      </c>
      <c r="EC861" s="27" t="s">
        <v>8</v>
      </c>
      <c r="ED861" s="27" t="s">
        <v>7</v>
      </c>
      <c r="EF861" s="27" t="s">
        <v>7</v>
      </c>
      <c r="EG861" s="27" t="s">
        <v>8</v>
      </c>
      <c r="EH861" s="27" t="s">
        <v>7</v>
      </c>
      <c r="EI861" s="27" t="s">
        <v>8</v>
      </c>
      <c r="EJ861" s="27" t="s">
        <v>7</v>
      </c>
      <c r="EQ861" s="27" t="s">
        <v>8</v>
      </c>
      <c r="ET861" s="27" t="s">
        <v>7</v>
      </c>
      <c r="EU861" s="27" t="s">
        <v>8</v>
      </c>
      <c r="EV861" s="27" t="s">
        <v>7</v>
      </c>
      <c r="EW861" s="27" t="s">
        <v>8</v>
      </c>
      <c r="EX861" s="27" t="s">
        <v>7</v>
      </c>
      <c r="EY861" s="27" t="s">
        <v>8</v>
      </c>
      <c r="FN861" s="27" t="s">
        <v>7</v>
      </c>
      <c r="FO861" s="27" t="s">
        <v>8</v>
      </c>
      <c r="FR861" s="27" t="s">
        <v>7</v>
      </c>
      <c r="FS861" s="27" t="s">
        <v>8</v>
      </c>
    </row>
    <row r="862" spans="1:181" x14ac:dyDescent="0.25">
      <c r="A862" s="7">
        <v>4.314721467098488E-3</v>
      </c>
      <c r="B862"/>
      <c r="C862"/>
      <c r="D862"/>
      <c r="E862"/>
      <c r="F862" s="27" t="s">
        <v>7</v>
      </c>
      <c r="Q862" s="27" t="s">
        <v>8</v>
      </c>
      <c r="R862" s="27" t="s">
        <v>7</v>
      </c>
      <c r="S862" s="27" t="s">
        <v>8</v>
      </c>
      <c r="T862" s="27" t="s">
        <v>7</v>
      </c>
      <c r="BW862" s="27" t="s">
        <v>8</v>
      </c>
      <c r="CA862" s="27" t="s">
        <v>8</v>
      </c>
      <c r="CB862" s="27" t="s">
        <v>7</v>
      </c>
      <c r="CG862" s="27" t="s">
        <v>8</v>
      </c>
      <c r="CI862" s="27" t="s">
        <v>8</v>
      </c>
      <c r="CL862" s="27" t="s">
        <v>7</v>
      </c>
      <c r="CM862" s="27" t="s">
        <v>8</v>
      </c>
      <c r="DR862" s="27" t="s">
        <v>7</v>
      </c>
      <c r="DT862" s="27" t="s">
        <v>7</v>
      </c>
      <c r="DU862" s="27" t="s">
        <v>8</v>
      </c>
      <c r="EB862" s="27" t="s">
        <v>7</v>
      </c>
      <c r="EC862" s="27" t="s">
        <v>8</v>
      </c>
      <c r="EF862" s="27" t="s">
        <v>7</v>
      </c>
      <c r="EG862" s="27" t="s">
        <v>8</v>
      </c>
      <c r="EH862" s="27" t="s">
        <v>7</v>
      </c>
      <c r="EI862" s="27" t="s">
        <v>8</v>
      </c>
      <c r="EJ862" s="27" t="s">
        <v>7</v>
      </c>
      <c r="EO862" s="27" t="s">
        <v>8</v>
      </c>
      <c r="EQ862" s="27" t="s">
        <v>8</v>
      </c>
      <c r="ET862" s="27" t="s">
        <v>7</v>
      </c>
      <c r="EU862" s="27" t="s">
        <v>8</v>
      </c>
      <c r="EV862" s="27" t="s">
        <v>7</v>
      </c>
      <c r="EW862" s="27" t="s">
        <v>8</v>
      </c>
      <c r="EX862" s="27" t="s">
        <v>7</v>
      </c>
      <c r="FN862" s="27" t="s">
        <v>7</v>
      </c>
      <c r="FO862" s="27" t="s">
        <v>8</v>
      </c>
      <c r="FR862" s="27" t="s">
        <v>7</v>
      </c>
      <c r="FS862" s="27" t="s">
        <v>8</v>
      </c>
    </row>
    <row r="863" spans="1:181" x14ac:dyDescent="0.25">
      <c r="A863" s="7">
        <v>4.2301190853906746E-3</v>
      </c>
      <c r="B863"/>
      <c r="C863"/>
      <c r="D863"/>
      <c r="E863"/>
      <c r="F863" s="27" t="s">
        <v>7</v>
      </c>
      <c r="Q863" s="27" t="s">
        <v>8</v>
      </c>
      <c r="R863" s="27" t="s">
        <v>7</v>
      </c>
      <c r="S863" s="27" t="s">
        <v>8</v>
      </c>
      <c r="T863" s="27" t="s">
        <v>7</v>
      </c>
      <c r="W863" s="27" t="s">
        <v>8</v>
      </c>
      <c r="BW863" s="27" t="s">
        <v>8</v>
      </c>
      <c r="BX863" s="27" t="s">
        <v>7</v>
      </c>
      <c r="CA863" s="27" t="s">
        <v>8</v>
      </c>
      <c r="CB863" s="27" t="s">
        <v>7</v>
      </c>
      <c r="CG863" s="27" t="s">
        <v>8</v>
      </c>
      <c r="CH863" s="27" t="s">
        <v>7</v>
      </c>
      <c r="CI863" s="27" t="s">
        <v>8</v>
      </c>
      <c r="CL863" s="27" t="s">
        <v>7</v>
      </c>
      <c r="DT863" s="27" t="s">
        <v>7</v>
      </c>
      <c r="DU863" s="27" t="s">
        <v>8</v>
      </c>
      <c r="EB863" s="27" t="s">
        <v>7</v>
      </c>
      <c r="EC863" s="27" t="s">
        <v>8</v>
      </c>
      <c r="EF863" s="27" t="s">
        <v>7</v>
      </c>
      <c r="EG863" s="27" t="s">
        <v>8</v>
      </c>
      <c r="EH863" s="27" t="s">
        <v>7</v>
      </c>
      <c r="EI863" s="27" t="s">
        <v>8</v>
      </c>
      <c r="EJ863" s="27" t="s">
        <v>7</v>
      </c>
      <c r="EK863" s="27" t="s">
        <v>8</v>
      </c>
      <c r="EO863" s="27" t="s">
        <v>8</v>
      </c>
      <c r="EP863" s="27" t="s">
        <v>7</v>
      </c>
      <c r="EQ863" s="27" t="s">
        <v>8</v>
      </c>
      <c r="ET863" s="27" t="s">
        <v>7</v>
      </c>
      <c r="EU863" s="27" t="s">
        <v>8</v>
      </c>
      <c r="EV863" s="27" t="s">
        <v>7</v>
      </c>
      <c r="EW863" s="27" t="s">
        <v>8</v>
      </c>
      <c r="FN863" s="27" t="s">
        <v>7</v>
      </c>
      <c r="FO863" s="27" t="s">
        <v>8</v>
      </c>
      <c r="FR863" s="27" t="s">
        <v>7</v>
      </c>
      <c r="FS863" s="27" t="s">
        <v>8</v>
      </c>
    </row>
    <row r="864" spans="1:181" x14ac:dyDescent="0.25">
      <c r="A864" s="7">
        <v>4.1471755739124266E-3</v>
      </c>
      <c r="B864"/>
      <c r="C864"/>
      <c r="D864"/>
      <c r="E864"/>
      <c r="F864" s="27" t="s">
        <v>7</v>
      </c>
      <c r="Q864" s="27" t="s">
        <v>8</v>
      </c>
      <c r="R864" s="27" t="s">
        <v>7</v>
      </c>
      <c r="S864" s="27" t="s">
        <v>8</v>
      </c>
      <c r="T864" s="27" t="s">
        <v>7</v>
      </c>
      <c r="U864" s="27" t="s">
        <v>8</v>
      </c>
      <c r="W864" s="27" t="s">
        <v>8</v>
      </c>
      <c r="X864" s="27" t="s">
        <v>7</v>
      </c>
      <c r="BW864" s="27" t="s">
        <v>8</v>
      </c>
      <c r="BX864" s="27" t="s">
        <v>7</v>
      </c>
      <c r="CA864" s="27" t="s">
        <v>8</v>
      </c>
      <c r="CB864" s="27" t="s">
        <v>7</v>
      </c>
      <c r="CG864" s="27" t="s">
        <v>8</v>
      </c>
      <c r="CH864" s="27" t="s">
        <v>7</v>
      </c>
      <c r="CI864" s="27" t="s">
        <v>8</v>
      </c>
      <c r="DT864" s="27" t="s">
        <v>7</v>
      </c>
      <c r="DU864" s="27" t="s">
        <v>8</v>
      </c>
      <c r="EB864" s="27" t="s">
        <v>7</v>
      </c>
      <c r="EC864" s="27" t="s">
        <v>8</v>
      </c>
      <c r="EF864" s="27" t="s">
        <v>7</v>
      </c>
      <c r="EH864" s="27" t="s">
        <v>7</v>
      </c>
      <c r="EI864" s="27" t="s">
        <v>8</v>
      </c>
      <c r="EJ864" s="27" t="s">
        <v>7</v>
      </c>
      <c r="EK864" s="27" t="s">
        <v>8</v>
      </c>
      <c r="EL864" s="27" t="s">
        <v>7</v>
      </c>
      <c r="EO864" s="27" t="s">
        <v>8</v>
      </c>
      <c r="EP864" s="27" t="s">
        <v>7</v>
      </c>
      <c r="EQ864" s="27" t="s">
        <v>8</v>
      </c>
      <c r="ET864" s="27" t="s">
        <v>7</v>
      </c>
      <c r="EV864" s="27" t="s">
        <v>7</v>
      </c>
      <c r="FN864" s="27" t="s">
        <v>7</v>
      </c>
      <c r="FR864" s="27" t="s">
        <v>7</v>
      </c>
    </row>
    <row r="865" spans="1:147" x14ac:dyDescent="0.25">
      <c r="A865" s="7">
        <v>4.0658584057964966E-3</v>
      </c>
      <c r="B865"/>
      <c r="C865"/>
      <c r="D865"/>
      <c r="E865"/>
      <c r="F865" s="27" t="s">
        <v>7</v>
      </c>
      <c r="Q865" s="27" t="s">
        <v>8</v>
      </c>
      <c r="R865" s="27" t="s">
        <v>7</v>
      </c>
      <c r="S865" s="27" t="s">
        <v>8</v>
      </c>
      <c r="T865" s="27" t="s">
        <v>7</v>
      </c>
      <c r="U865" s="27" t="s">
        <v>8</v>
      </c>
      <c r="V865" s="27" t="s">
        <v>7</v>
      </c>
      <c r="W865" s="27" t="s">
        <v>8</v>
      </c>
      <c r="X865" s="27" t="s">
        <v>7</v>
      </c>
      <c r="BW865" s="27" t="s">
        <v>8</v>
      </c>
      <c r="BX865" s="27" t="s">
        <v>7</v>
      </c>
      <c r="BY865" s="27" t="s">
        <v>8</v>
      </c>
      <c r="CA865" s="27" t="s">
        <v>8</v>
      </c>
      <c r="CB865" s="27" t="s">
        <v>7</v>
      </c>
      <c r="CC865" s="27" t="s">
        <v>8</v>
      </c>
      <c r="CG865" s="27" t="s">
        <v>8</v>
      </c>
      <c r="CH865" s="27" t="s">
        <v>7</v>
      </c>
      <c r="CI865" s="27" t="s">
        <v>8</v>
      </c>
      <c r="DT865" s="27" t="s">
        <v>7</v>
      </c>
      <c r="EB865" s="27" t="s">
        <v>7</v>
      </c>
      <c r="EC865" s="27" t="s">
        <v>8</v>
      </c>
      <c r="EH865" s="27" t="s">
        <v>7</v>
      </c>
      <c r="EJ865" s="27" t="s">
        <v>7</v>
      </c>
      <c r="EK865" s="27" t="s">
        <v>8</v>
      </c>
      <c r="EL865" s="27" t="s">
        <v>7</v>
      </c>
      <c r="EO865" s="27" t="s">
        <v>8</v>
      </c>
      <c r="EP865" s="27" t="s">
        <v>7</v>
      </c>
      <c r="EQ865" s="27" t="s">
        <v>8</v>
      </c>
    </row>
    <row r="866" spans="1:147" x14ac:dyDescent="0.25">
      <c r="A866" s="7">
        <v>3.9861356919573491E-3</v>
      </c>
      <c r="B866"/>
      <c r="C866"/>
      <c r="D866"/>
      <c r="E866"/>
      <c r="F866" s="27" t="s">
        <v>7</v>
      </c>
      <c r="Q866" s="27" t="s">
        <v>8</v>
      </c>
      <c r="R866" s="27" t="s">
        <v>7</v>
      </c>
      <c r="T866" s="27" t="s">
        <v>7</v>
      </c>
      <c r="U866" s="27" t="s">
        <v>8</v>
      </c>
      <c r="V866" s="27" t="s">
        <v>7</v>
      </c>
      <c r="W866" s="27" t="s">
        <v>8</v>
      </c>
      <c r="X866" s="27" t="s">
        <v>7</v>
      </c>
      <c r="BW866" s="27" t="s">
        <v>8</v>
      </c>
      <c r="BX866" s="27" t="s">
        <v>7</v>
      </c>
      <c r="BY866" s="27" t="s">
        <v>8</v>
      </c>
      <c r="BZ866" s="27" t="s">
        <v>7</v>
      </c>
      <c r="CA866" s="27" t="s">
        <v>8</v>
      </c>
      <c r="CB866" s="27" t="s">
        <v>7</v>
      </c>
      <c r="CC866" s="27" t="s">
        <v>8</v>
      </c>
      <c r="CD866" s="27" t="s">
        <v>7</v>
      </c>
      <c r="CE866" s="27" t="s">
        <v>8</v>
      </c>
      <c r="CG866" s="27" t="s">
        <v>8</v>
      </c>
      <c r="CH866" s="27" t="s">
        <v>7</v>
      </c>
      <c r="CI866" s="27" t="s">
        <v>8</v>
      </c>
      <c r="EB866" s="27" t="s">
        <v>7</v>
      </c>
      <c r="EC866" s="27" t="s">
        <v>8</v>
      </c>
      <c r="EJ866" s="27" t="s">
        <v>7</v>
      </c>
      <c r="EK866" s="27" t="s">
        <v>8</v>
      </c>
      <c r="EL866" s="27" t="s">
        <v>7</v>
      </c>
      <c r="EO866" s="27" t="s">
        <v>8</v>
      </c>
      <c r="EP866" s="27" t="s">
        <v>7</v>
      </c>
      <c r="EQ866" s="27" t="s">
        <v>8</v>
      </c>
    </row>
    <row r="867" spans="1:147" x14ac:dyDescent="0.25">
      <c r="A867" s="7">
        <v>3.9079761685856364E-3</v>
      </c>
      <c r="B867"/>
      <c r="C867"/>
      <c r="D867"/>
      <c r="E867"/>
      <c r="F867" s="27" t="s">
        <v>7</v>
      </c>
      <c r="Q867" s="27" t="s">
        <v>8</v>
      </c>
      <c r="T867" s="27" t="s">
        <v>7</v>
      </c>
      <c r="U867" s="27" t="s">
        <v>8</v>
      </c>
      <c r="V867" s="27" t="s">
        <v>7</v>
      </c>
      <c r="W867" s="27" t="s">
        <v>8</v>
      </c>
      <c r="X867" s="27" t="s">
        <v>7</v>
      </c>
      <c r="BW867" s="27" t="s">
        <v>8</v>
      </c>
      <c r="BX867" s="27" t="s">
        <v>7</v>
      </c>
      <c r="BY867" s="27" t="s">
        <v>8</v>
      </c>
      <c r="BZ867" s="27" t="s">
        <v>7</v>
      </c>
      <c r="CA867" s="27" t="s">
        <v>8</v>
      </c>
      <c r="CB867" s="27" t="s">
        <v>7</v>
      </c>
      <c r="CC867" s="27" t="s">
        <v>8</v>
      </c>
      <c r="CD867" s="27" t="s">
        <v>7</v>
      </c>
      <c r="CE867" s="27" t="s">
        <v>8</v>
      </c>
      <c r="CF867" s="27" t="s">
        <v>7</v>
      </c>
      <c r="CG867" s="27" t="s">
        <v>8</v>
      </c>
      <c r="CH867" s="27" t="s">
        <v>7</v>
      </c>
      <c r="CI867" s="27" t="s">
        <v>8</v>
      </c>
      <c r="EB867" s="27" t="s">
        <v>7</v>
      </c>
      <c r="EC867" s="27" t="s">
        <v>8</v>
      </c>
      <c r="EJ867" s="27" t="s">
        <v>7</v>
      </c>
      <c r="EK867" s="27" t="s">
        <v>8</v>
      </c>
      <c r="EL867" s="27" t="s">
        <v>7</v>
      </c>
      <c r="EO867" s="27" t="s">
        <v>8</v>
      </c>
      <c r="EP867" s="27" t="s">
        <v>7</v>
      </c>
      <c r="EQ867" s="27" t="s">
        <v>8</v>
      </c>
    </row>
    <row r="868" spans="1:147" x14ac:dyDescent="0.25">
      <c r="A868" s="7">
        <v>3.8313491848878793E-3</v>
      </c>
      <c r="B868"/>
      <c r="C868"/>
      <c r="D868"/>
      <c r="E868"/>
      <c r="F868" s="27" t="s">
        <v>7</v>
      </c>
      <c r="O868" s="27" t="s">
        <v>8</v>
      </c>
      <c r="Q868" s="27" t="s">
        <v>8</v>
      </c>
      <c r="T868" s="27" t="s">
        <v>7</v>
      </c>
      <c r="U868" s="27" t="s">
        <v>8</v>
      </c>
      <c r="V868" s="27" t="s">
        <v>7</v>
      </c>
      <c r="X868" s="27" t="s">
        <v>7</v>
      </c>
      <c r="BW868" s="27" t="s">
        <v>8</v>
      </c>
      <c r="BX868" s="27" t="s">
        <v>7</v>
      </c>
      <c r="BY868" s="27" t="s">
        <v>8</v>
      </c>
      <c r="BZ868" s="27" t="s">
        <v>7</v>
      </c>
      <c r="CA868" s="27" t="s">
        <v>8</v>
      </c>
      <c r="CB868" s="27" t="s">
        <v>7</v>
      </c>
      <c r="CD868" s="27" t="s">
        <v>7</v>
      </c>
      <c r="CE868" s="27" t="s">
        <v>8</v>
      </c>
      <c r="CF868" s="27" t="s">
        <v>7</v>
      </c>
      <c r="CG868" s="27" t="s">
        <v>8</v>
      </c>
      <c r="CH868" s="27" t="s">
        <v>7</v>
      </c>
      <c r="CI868" s="27" t="s">
        <v>8</v>
      </c>
      <c r="EB868" s="27" t="s">
        <v>7</v>
      </c>
      <c r="EJ868" s="27" t="s">
        <v>7</v>
      </c>
      <c r="EK868" s="27" t="s">
        <v>8</v>
      </c>
      <c r="EL868" s="27" t="s">
        <v>7</v>
      </c>
      <c r="EO868" s="27" t="s">
        <v>8</v>
      </c>
      <c r="EP868" s="27" t="s">
        <v>7</v>
      </c>
      <c r="EQ868" s="27" t="s">
        <v>8</v>
      </c>
    </row>
    <row r="869" spans="1:147" x14ac:dyDescent="0.25">
      <c r="A869" s="7">
        <v>3.7562246910665485E-3</v>
      </c>
      <c r="B869"/>
      <c r="C869"/>
      <c r="D869"/>
      <c r="E869"/>
      <c r="F869" s="27" t="s">
        <v>7</v>
      </c>
      <c r="O869" s="27" t="s">
        <v>8</v>
      </c>
      <c r="P869" s="27" t="s">
        <v>7</v>
      </c>
      <c r="Q869" s="27" t="s">
        <v>8</v>
      </c>
      <c r="T869" s="27" t="s">
        <v>7</v>
      </c>
      <c r="X869" s="27" t="s">
        <v>7</v>
      </c>
      <c r="AA869" s="27" t="s">
        <v>8</v>
      </c>
      <c r="BW869" s="27" t="s">
        <v>8</v>
      </c>
      <c r="BX869" s="27" t="s">
        <v>7</v>
      </c>
      <c r="BY869" s="27" t="s">
        <v>8</v>
      </c>
      <c r="BZ869" s="27" t="s">
        <v>7</v>
      </c>
      <c r="CD869" s="27" t="s">
        <v>7</v>
      </c>
      <c r="CE869" s="27" t="s">
        <v>8</v>
      </c>
      <c r="CF869" s="27" t="s">
        <v>7</v>
      </c>
      <c r="CG869" s="27" t="s">
        <v>8</v>
      </c>
      <c r="CH869" s="27" t="s">
        <v>7</v>
      </c>
      <c r="EJ869" s="27" t="s">
        <v>7</v>
      </c>
      <c r="EK869" s="27" t="s">
        <v>8</v>
      </c>
      <c r="EL869" s="27" t="s">
        <v>7</v>
      </c>
      <c r="EO869" s="27" t="s">
        <v>8</v>
      </c>
      <c r="EP869" s="27" t="s">
        <v>7</v>
      </c>
    </row>
    <row r="870" spans="1:147" x14ac:dyDescent="0.25">
      <c r="A870" s="7">
        <v>3.6825732265358315E-3</v>
      </c>
      <c r="B870"/>
      <c r="C870"/>
      <c r="D870"/>
      <c r="E870"/>
      <c r="F870" s="27" t="s">
        <v>7</v>
      </c>
      <c r="I870" s="27" t="s">
        <v>8</v>
      </c>
      <c r="K870" s="27" t="s">
        <v>8</v>
      </c>
      <c r="O870" s="27" t="s">
        <v>8</v>
      </c>
      <c r="P870" s="27" t="s">
        <v>7</v>
      </c>
      <c r="Q870" s="27" t="s">
        <v>8</v>
      </c>
      <c r="X870" s="27" t="s">
        <v>7</v>
      </c>
      <c r="AA870" s="27" t="s">
        <v>8</v>
      </c>
      <c r="AB870" s="27" t="s">
        <v>7</v>
      </c>
      <c r="BW870" s="27" t="s">
        <v>8</v>
      </c>
      <c r="BX870" s="27" t="s">
        <v>7</v>
      </c>
      <c r="BY870" s="27" t="s">
        <v>8</v>
      </c>
      <c r="CD870" s="27" t="s">
        <v>7</v>
      </c>
      <c r="CE870" s="27" t="s">
        <v>8</v>
      </c>
      <c r="CF870" s="27" t="s">
        <v>7</v>
      </c>
      <c r="CG870" s="27" t="s">
        <v>8</v>
      </c>
      <c r="EJ870" s="27" t="s">
        <v>7</v>
      </c>
      <c r="EK870" s="27" t="s">
        <v>8</v>
      </c>
      <c r="EL870" s="27" t="s">
        <v>7</v>
      </c>
      <c r="EM870" s="27" t="s">
        <v>8</v>
      </c>
      <c r="EO870" s="27" t="s">
        <v>8</v>
      </c>
    </row>
    <row r="871" spans="1:147" x14ac:dyDescent="0.25">
      <c r="A871" s="7">
        <v>3.6103659083684624E-3</v>
      </c>
      <c r="B871"/>
      <c r="C871"/>
      <c r="D871"/>
      <c r="E871"/>
      <c r="F871" s="27" t="s">
        <v>7</v>
      </c>
      <c r="I871" s="27" t="s">
        <v>8</v>
      </c>
      <c r="J871" s="27" t="s">
        <v>7</v>
      </c>
      <c r="K871" s="27" t="s">
        <v>8</v>
      </c>
      <c r="L871" s="27" t="s">
        <v>7</v>
      </c>
      <c r="O871" s="27" t="s">
        <v>8</v>
      </c>
      <c r="P871" s="27" t="s">
        <v>7</v>
      </c>
      <c r="X871" s="27" t="s">
        <v>7</v>
      </c>
      <c r="AA871" s="27" t="s">
        <v>8</v>
      </c>
      <c r="AB871" s="27" t="s">
        <v>7</v>
      </c>
      <c r="BW871" s="27" t="s">
        <v>8</v>
      </c>
      <c r="BX871" s="27" t="s">
        <v>7</v>
      </c>
      <c r="BY871" s="27" t="s">
        <v>8</v>
      </c>
      <c r="CD871" s="27" t="s">
        <v>7</v>
      </c>
      <c r="CE871" s="27" t="s">
        <v>8</v>
      </c>
      <c r="CF871" s="27" t="s">
        <v>7</v>
      </c>
      <c r="CG871" s="27" t="s">
        <v>8</v>
      </c>
      <c r="EJ871" s="27" t="s">
        <v>7</v>
      </c>
      <c r="EK871" s="27" t="s">
        <v>8</v>
      </c>
      <c r="EL871" s="27" t="s">
        <v>7</v>
      </c>
      <c r="EM871" s="27" t="s">
        <v>8</v>
      </c>
      <c r="EN871" s="27" t="s">
        <v>7</v>
      </c>
      <c r="EO871" s="27" t="s">
        <v>8</v>
      </c>
    </row>
    <row r="872" spans="1:147" x14ac:dyDescent="0.25">
      <c r="A872" s="7">
        <v>3.539574419969081E-3</v>
      </c>
      <c r="B872"/>
      <c r="C872"/>
      <c r="D872"/>
      <c r="E872"/>
      <c r="F872" s="27" t="s">
        <v>7</v>
      </c>
      <c r="G872" s="27" t="s">
        <v>8</v>
      </c>
      <c r="I872" s="27" t="s">
        <v>8</v>
      </c>
      <c r="J872" s="27" t="s">
        <v>7</v>
      </c>
      <c r="K872" s="27" t="s">
        <v>8</v>
      </c>
      <c r="L872" s="27" t="s">
        <v>7</v>
      </c>
      <c r="O872" s="27" t="s">
        <v>8</v>
      </c>
      <c r="X872" s="27" t="s">
        <v>7</v>
      </c>
      <c r="Y872" s="27" t="s">
        <v>8</v>
      </c>
      <c r="AA872" s="27" t="s">
        <v>8</v>
      </c>
      <c r="AB872" s="27" t="s">
        <v>7</v>
      </c>
      <c r="BS872" s="27" t="s">
        <v>8</v>
      </c>
      <c r="BW872" s="27" t="s">
        <v>8</v>
      </c>
      <c r="BX872" s="27" t="s">
        <v>7</v>
      </c>
      <c r="BY872" s="27" t="s">
        <v>8</v>
      </c>
      <c r="CD872" s="27" t="s">
        <v>7</v>
      </c>
      <c r="CE872" s="27" t="s">
        <v>8</v>
      </c>
      <c r="CF872" s="27" t="s">
        <v>7</v>
      </c>
      <c r="CG872" s="27" t="s">
        <v>8</v>
      </c>
      <c r="EJ872" s="27" t="s">
        <v>7</v>
      </c>
      <c r="EK872" s="27" t="s">
        <v>8</v>
      </c>
      <c r="EL872" s="27" t="s">
        <v>7</v>
      </c>
      <c r="EM872" s="27" t="s">
        <v>8</v>
      </c>
      <c r="EN872" s="27" t="s">
        <v>7</v>
      </c>
      <c r="EO872" s="27" t="s">
        <v>8</v>
      </c>
    </row>
    <row r="873" spans="1:147" x14ac:dyDescent="0.25">
      <c r="A873" s="7">
        <v>3.4701709999696872E-3</v>
      </c>
      <c r="B873"/>
      <c r="C873"/>
      <c r="D873"/>
      <c r="E873"/>
      <c r="F873" s="27" t="s">
        <v>7</v>
      </c>
      <c r="G873" s="27" t="s">
        <v>8</v>
      </c>
      <c r="H873" s="27" t="s">
        <v>7</v>
      </c>
      <c r="I873" s="27" t="s">
        <v>8</v>
      </c>
      <c r="J873" s="27" t="s">
        <v>7</v>
      </c>
      <c r="K873" s="27" t="s">
        <v>8</v>
      </c>
      <c r="L873" s="27" t="s">
        <v>7</v>
      </c>
      <c r="M873" s="27" t="s">
        <v>8</v>
      </c>
      <c r="O873" s="27" t="s">
        <v>8</v>
      </c>
      <c r="X873" s="27" t="s">
        <v>7</v>
      </c>
      <c r="Y873" s="27" t="s">
        <v>8</v>
      </c>
      <c r="Z873" s="27" t="s">
        <v>7</v>
      </c>
      <c r="AA873" s="27" t="s">
        <v>8</v>
      </c>
      <c r="AB873" s="27" t="s">
        <v>7</v>
      </c>
      <c r="BS873" s="27" t="s">
        <v>8</v>
      </c>
      <c r="BT873" s="27" t="s">
        <v>7</v>
      </c>
      <c r="BU873" s="27" t="s">
        <v>8</v>
      </c>
      <c r="BW873" s="27" t="s">
        <v>8</v>
      </c>
      <c r="BX873" s="27" t="s">
        <v>7</v>
      </c>
      <c r="BY873" s="27" t="s">
        <v>8</v>
      </c>
      <c r="CD873" s="27" t="s">
        <v>7</v>
      </c>
      <c r="CE873" s="27" t="s">
        <v>8</v>
      </c>
      <c r="CF873" s="27" t="s">
        <v>7</v>
      </c>
      <c r="CG873" s="27" t="s">
        <v>8</v>
      </c>
      <c r="EJ873" s="27" t="s">
        <v>7</v>
      </c>
      <c r="EK873" s="27" t="s">
        <v>8</v>
      </c>
      <c r="EL873" s="27" t="s">
        <v>7</v>
      </c>
      <c r="EM873" s="27" t="s">
        <v>8</v>
      </c>
      <c r="EN873" s="27" t="s">
        <v>7</v>
      </c>
      <c r="EO873" s="27" t="s">
        <v>8</v>
      </c>
    </row>
    <row r="874" spans="1:147" x14ac:dyDescent="0.25">
      <c r="A874" s="7">
        <v>3.4021284313428307E-3</v>
      </c>
      <c r="B874"/>
      <c r="C874"/>
      <c r="D874"/>
      <c r="E874"/>
      <c r="F874" s="27" t="s">
        <v>7</v>
      </c>
      <c r="G874" s="27" t="s">
        <v>8</v>
      </c>
      <c r="H874" s="27" t="s">
        <v>7</v>
      </c>
      <c r="I874" s="27" t="s">
        <v>8</v>
      </c>
      <c r="J874" s="27" t="s">
        <v>7</v>
      </c>
      <c r="L874" s="27" t="s">
        <v>7</v>
      </c>
      <c r="M874" s="27" t="s">
        <v>8</v>
      </c>
      <c r="N874" s="27" t="s">
        <v>7</v>
      </c>
      <c r="O874" s="27" t="s">
        <v>8</v>
      </c>
      <c r="X874" s="27" t="s">
        <v>7</v>
      </c>
      <c r="Y874" s="27" t="s">
        <v>8</v>
      </c>
      <c r="Z874" s="27" t="s">
        <v>7</v>
      </c>
      <c r="AA874" s="27" t="s">
        <v>8</v>
      </c>
      <c r="AB874" s="27" t="s">
        <v>7</v>
      </c>
      <c r="AK874" s="27" t="s">
        <v>8</v>
      </c>
      <c r="BK874" s="27" t="s">
        <v>8</v>
      </c>
      <c r="BS874" s="27" t="s">
        <v>8</v>
      </c>
      <c r="BT874" s="27" t="s">
        <v>7</v>
      </c>
      <c r="BU874" s="27" t="s">
        <v>8</v>
      </c>
      <c r="BV874" s="27" t="s">
        <v>7</v>
      </c>
      <c r="BW874" s="27" t="s">
        <v>8</v>
      </c>
      <c r="BX874" s="27" t="s">
        <v>7</v>
      </c>
      <c r="CD874" s="27" t="s">
        <v>7</v>
      </c>
      <c r="CE874" s="27" t="s">
        <v>8</v>
      </c>
      <c r="CF874" s="27" t="s">
        <v>7</v>
      </c>
      <c r="EJ874" s="27" t="s">
        <v>7</v>
      </c>
      <c r="EK874" s="27" t="s">
        <v>8</v>
      </c>
      <c r="EL874" s="27" t="s">
        <v>7</v>
      </c>
      <c r="EN874" s="27" t="s">
        <v>7</v>
      </c>
    </row>
    <row r="875" spans="1:147" x14ac:dyDescent="0.25">
      <c r="A875" s="7">
        <v>3.3354200307282654E-3</v>
      </c>
      <c r="B875"/>
      <c r="C875"/>
      <c r="D875"/>
      <c r="E875"/>
      <c r="F875" s="27" t="s">
        <v>7</v>
      </c>
      <c r="H875" s="27" t="s">
        <v>7</v>
      </c>
      <c r="I875" s="27" t="s">
        <v>8</v>
      </c>
      <c r="L875" s="27" t="s">
        <v>7</v>
      </c>
      <c r="M875" s="27" t="s">
        <v>8</v>
      </c>
      <c r="N875" s="27" t="s">
        <v>7</v>
      </c>
      <c r="O875" s="27" t="s">
        <v>8</v>
      </c>
      <c r="X875" s="27" t="s">
        <v>7</v>
      </c>
      <c r="Y875" s="27" t="s">
        <v>8</v>
      </c>
      <c r="Z875" s="27" t="s">
        <v>7</v>
      </c>
      <c r="AA875" s="27" t="s">
        <v>8</v>
      </c>
      <c r="AB875" s="27" t="s">
        <v>7</v>
      </c>
      <c r="AK875" s="27" t="s">
        <v>8</v>
      </c>
      <c r="AL875" s="27" t="s">
        <v>7</v>
      </c>
      <c r="BK875" s="27" t="s">
        <v>8</v>
      </c>
      <c r="BL875" s="27" t="s">
        <v>7</v>
      </c>
      <c r="BS875" s="27" t="s">
        <v>8</v>
      </c>
      <c r="BT875" s="27" t="s">
        <v>7</v>
      </c>
      <c r="BU875" s="27" t="s">
        <v>8</v>
      </c>
      <c r="BV875" s="27" t="s">
        <v>7</v>
      </c>
      <c r="BW875" s="27" t="s">
        <v>8</v>
      </c>
      <c r="CD875" s="27" t="s">
        <v>7</v>
      </c>
      <c r="EJ875" s="27" t="s">
        <v>7</v>
      </c>
      <c r="EK875" s="27" t="s">
        <v>8</v>
      </c>
    </row>
    <row r="876" spans="1:147" x14ac:dyDescent="0.25">
      <c r="A876" s="7">
        <v>3.2700196379688881E-3</v>
      </c>
      <c r="B876"/>
      <c r="C876"/>
      <c r="D876"/>
      <c r="E876"/>
      <c r="H876" s="27" t="s">
        <v>7</v>
      </c>
      <c r="I876" s="27" t="s">
        <v>8</v>
      </c>
      <c r="L876" s="27" t="s">
        <v>7</v>
      </c>
      <c r="M876" s="27" t="s">
        <v>8</v>
      </c>
      <c r="N876" s="27" t="s">
        <v>7</v>
      </c>
      <c r="O876" s="27" t="s">
        <v>8</v>
      </c>
      <c r="X876" s="27" t="s">
        <v>7</v>
      </c>
      <c r="Y876" s="27" t="s">
        <v>8</v>
      </c>
      <c r="Z876" s="27" t="s">
        <v>7</v>
      </c>
      <c r="AB876" s="27" t="s">
        <v>7</v>
      </c>
      <c r="AK876" s="27" t="s">
        <v>8</v>
      </c>
      <c r="AL876" s="27" t="s">
        <v>7</v>
      </c>
      <c r="BK876" s="27" t="s">
        <v>8</v>
      </c>
      <c r="BL876" s="27" t="s">
        <v>7</v>
      </c>
      <c r="BS876" s="27" t="s">
        <v>8</v>
      </c>
      <c r="BT876" s="27" t="s">
        <v>7</v>
      </c>
      <c r="BU876" s="27" t="s">
        <v>8</v>
      </c>
      <c r="BV876" s="27" t="s">
        <v>7</v>
      </c>
      <c r="BW876" s="27" t="s">
        <v>8</v>
      </c>
      <c r="EJ876" s="27" t="s">
        <v>7</v>
      </c>
    </row>
    <row r="877" spans="1:147" x14ac:dyDescent="0.25">
      <c r="A877" s="7">
        <v>3.205901605851851E-3</v>
      </c>
      <c r="B877"/>
      <c r="C877"/>
      <c r="D877"/>
      <c r="E877"/>
      <c r="H877" s="27" t="s">
        <v>7</v>
      </c>
      <c r="I877" s="27" t="s">
        <v>8</v>
      </c>
      <c r="L877" s="27" t="s">
        <v>7</v>
      </c>
      <c r="N877" s="27" t="s">
        <v>7</v>
      </c>
      <c r="X877" s="27" t="s">
        <v>7</v>
      </c>
      <c r="Y877" s="27" t="s">
        <v>8</v>
      </c>
      <c r="AB877" s="27" t="s">
        <v>7</v>
      </c>
      <c r="AK877" s="27" t="s">
        <v>8</v>
      </c>
      <c r="AL877" s="27" t="s">
        <v>7</v>
      </c>
      <c r="BK877" s="27" t="s">
        <v>8</v>
      </c>
      <c r="BL877" s="27" t="s">
        <v>7</v>
      </c>
      <c r="BS877" s="27" t="s">
        <v>8</v>
      </c>
      <c r="BT877" s="27" t="s">
        <v>7</v>
      </c>
      <c r="BU877" s="27" t="s">
        <v>8</v>
      </c>
      <c r="BV877" s="27" t="s">
        <v>7</v>
      </c>
      <c r="BW877" s="27" t="s">
        <v>8</v>
      </c>
    </row>
    <row r="878" spans="1:147" x14ac:dyDescent="0.25">
      <c r="A878" s="7">
        <v>3.1430407900508344E-3</v>
      </c>
      <c r="B878"/>
      <c r="C878"/>
      <c r="D878"/>
      <c r="E878"/>
      <c r="H878" s="27" t="s">
        <v>7</v>
      </c>
      <c r="X878" s="27" t="s">
        <v>7</v>
      </c>
      <c r="AB878" s="27" t="s">
        <v>7</v>
      </c>
      <c r="AK878" s="27" t="s">
        <v>8</v>
      </c>
      <c r="AL878" s="27" t="s">
        <v>7</v>
      </c>
      <c r="BK878" s="27" t="s">
        <v>8</v>
      </c>
      <c r="BL878" s="27" t="s">
        <v>7</v>
      </c>
      <c r="BS878" s="27" t="s">
        <v>8</v>
      </c>
      <c r="BT878" s="27" t="s">
        <v>7</v>
      </c>
      <c r="BU878" s="27" t="s">
        <v>8</v>
      </c>
      <c r="BV878" s="27" t="s">
        <v>7</v>
      </c>
      <c r="BW878" s="27" t="s">
        <v>8</v>
      </c>
    </row>
    <row r="879" spans="1:147" x14ac:dyDescent="0.25">
      <c r="A879" s="7">
        <v>3.0814125392655241E-3</v>
      </c>
      <c r="B879"/>
      <c r="C879"/>
      <c r="D879"/>
      <c r="E879"/>
      <c r="AB879" s="27" t="s">
        <v>7</v>
      </c>
      <c r="AK879" s="27" t="s">
        <v>8</v>
      </c>
      <c r="AL879" s="27" t="s">
        <v>7</v>
      </c>
      <c r="BK879" s="27" t="s">
        <v>8</v>
      </c>
      <c r="BL879" s="27" t="s">
        <v>7</v>
      </c>
      <c r="BO879" s="27" t="s">
        <v>8</v>
      </c>
      <c r="BS879" s="27" t="s">
        <v>8</v>
      </c>
      <c r="BT879" s="27" t="s">
        <v>7</v>
      </c>
      <c r="BV879" s="27" t="s">
        <v>7</v>
      </c>
      <c r="BW879" s="27" t="s">
        <v>8</v>
      </c>
    </row>
    <row r="880" spans="1:147" x14ac:dyDescent="0.25">
      <c r="A880" s="7">
        <v>3.0209926855544354E-3</v>
      </c>
      <c r="B880"/>
      <c r="C880"/>
      <c r="D880"/>
      <c r="E880"/>
      <c r="AB880" s="27" t="s">
        <v>7</v>
      </c>
      <c r="AC880" s="27" t="s">
        <v>8</v>
      </c>
      <c r="AK880" s="27" t="s">
        <v>8</v>
      </c>
      <c r="AL880" s="27" t="s">
        <v>7</v>
      </c>
      <c r="BG880" s="27" t="s">
        <v>8</v>
      </c>
      <c r="BK880" s="27" t="s">
        <v>8</v>
      </c>
      <c r="BL880" s="27" t="s">
        <v>7</v>
      </c>
      <c r="BM880" s="27" t="s">
        <v>8</v>
      </c>
      <c r="BO880" s="27" t="s">
        <v>8</v>
      </c>
      <c r="BP880" s="27" t="s">
        <v>7</v>
      </c>
      <c r="BS880" s="27" t="s">
        <v>8</v>
      </c>
      <c r="BV880" s="27" t="s">
        <v>7</v>
      </c>
      <c r="BW880" s="27" t="s">
        <v>8</v>
      </c>
    </row>
    <row r="881" spans="1:75" x14ac:dyDescent="0.25">
      <c r="A881" s="7">
        <v>2.9617575348572897E-3</v>
      </c>
      <c r="B881"/>
      <c r="C881"/>
      <c r="D881"/>
      <c r="E881"/>
      <c r="AB881" s="27" t="s">
        <v>7</v>
      </c>
      <c r="AC881" s="27" t="s">
        <v>8</v>
      </c>
      <c r="AD881" s="27" t="s">
        <v>7</v>
      </c>
      <c r="AK881" s="27" t="s">
        <v>8</v>
      </c>
      <c r="AL881" s="27" t="s">
        <v>7</v>
      </c>
      <c r="BG881" s="27" t="s">
        <v>8</v>
      </c>
      <c r="BH881" s="27" t="s">
        <v>7</v>
      </c>
      <c r="BK881" s="27" t="s">
        <v>8</v>
      </c>
      <c r="BL881" s="27" t="s">
        <v>7</v>
      </c>
      <c r="BM881" s="27" t="s">
        <v>8</v>
      </c>
      <c r="BN881" s="27" t="s">
        <v>7</v>
      </c>
      <c r="BO881" s="27" t="s">
        <v>8</v>
      </c>
      <c r="BP881" s="27" t="s">
        <v>7</v>
      </c>
      <c r="BS881" s="27" t="s">
        <v>8</v>
      </c>
      <c r="BV881" s="27" t="s">
        <v>7</v>
      </c>
      <c r="BW881" s="27" t="s">
        <v>8</v>
      </c>
    </row>
    <row r="882" spans="1:75" x14ac:dyDescent="0.25">
      <c r="A882" s="7">
        <v>2.9036838577032251E-3</v>
      </c>
      <c r="B882"/>
      <c r="C882"/>
      <c r="D882"/>
      <c r="E882"/>
      <c r="AB882" s="27" t="s">
        <v>7</v>
      </c>
      <c r="AC882" s="27" t="s">
        <v>8</v>
      </c>
      <c r="AD882" s="27" t="s">
        <v>7</v>
      </c>
      <c r="AK882" s="27" t="s">
        <v>8</v>
      </c>
      <c r="AL882" s="27" t="s">
        <v>7</v>
      </c>
      <c r="BG882" s="27" t="s">
        <v>8</v>
      </c>
      <c r="BH882" s="27" t="s">
        <v>7</v>
      </c>
      <c r="BK882" s="27" t="s">
        <v>8</v>
      </c>
      <c r="BL882" s="27" t="s">
        <v>7</v>
      </c>
      <c r="BM882" s="27" t="s">
        <v>8</v>
      </c>
      <c r="BN882" s="27" t="s">
        <v>7</v>
      </c>
      <c r="BO882" s="27" t="s">
        <v>8</v>
      </c>
      <c r="BP882" s="27" t="s">
        <v>7</v>
      </c>
      <c r="BQ882" s="27" t="s">
        <v>8</v>
      </c>
      <c r="BS882" s="27" t="s">
        <v>8</v>
      </c>
      <c r="BV882" s="27" t="s">
        <v>7</v>
      </c>
    </row>
    <row r="883" spans="1:75" x14ac:dyDescent="0.25">
      <c r="A883" s="7">
        <v>2.8467488801012012E-3</v>
      </c>
      <c r="B883"/>
      <c r="C883"/>
      <c r="D883"/>
      <c r="E883"/>
      <c r="AB883" s="27" t="s">
        <v>7</v>
      </c>
      <c r="AC883" s="27" t="s">
        <v>8</v>
      </c>
      <c r="AD883" s="27" t="s">
        <v>7</v>
      </c>
      <c r="AK883" s="27" t="s">
        <v>8</v>
      </c>
      <c r="AL883" s="27" t="s">
        <v>7</v>
      </c>
      <c r="BG883" s="27" t="s">
        <v>8</v>
      </c>
      <c r="BH883" s="27" t="s">
        <v>7</v>
      </c>
      <c r="BK883" s="27" t="s">
        <v>8</v>
      </c>
      <c r="BL883" s="27" t="s">
        <v>7</v>
      </c>
      <c r="BM883" s="27" t="s">
        <v>8</v>
      </c>
      <c r="BN883" s="27" t="s">
        <v>7</v>
      </c>
      <c r="BO883" s="27" t="s">
        <v>8</v>
      </c>
      <c r="BP883" s="27" t="s">
        <v>7</v>
      </c>
      <c r="BQ883" s="27" t="s">
        <v>8</v>
      </c>
      <c r="BR883" s="27" t="s">
        <v>7</v>
      </c>
      <c r="BS883" s="27" t="s">
        <v>8</v>
      </c>
    </row>
    <row r="884" spans="1:75" x14ac:dyDescent="0.25">
      <c r="A884" s="7">
        <v>2.7909302746090209E-3</v>
      </c>
      <c r="B884"/>
      <c r="C884"/>
      <c r="D884"/>
      <c r="E884"/>
      <c r="AB884" s="27" t="s">
        <v>7</v>
      </c>
      <c r="AC884" s="27" t="s">
        <v>8</v>
      </c>
      <c r="AD884" s="27" t="s">
        <v>7</v>
      </c>
      <c r="AK884" s="27" t="s">
        <v>8</v>
      </c>
      <c r="AL884" s="27" t="s">
        <v>7</v>
      </c>
      <c r="BG884" s="27" t="s">
        <v>8</v>
      </c>
      <c r="BH884" s="27" t="s">
        <v>7</v>
      </c>
      <c r="BI884" s="27" t="s">
        <v>8</v>
      </c>
      <c r="BK884" s="27" t="s">
        <v>8</v>
      </c>
      <c r="BL884" s="27" t="s">
        <v>7</v>
      </c>
      <c r="BN884" s="27" t="s">
        <v>7</v>
      </c>
      <c r="BP884" s="27" t="s">
        <v>7</v>
      </c>
      <c r="BQ884" s="27" t="s">
        <v>8</v>
      </c>
      <c r="BR884" s="27" t="s">
        <v>7</v>
      </c>
      <c r="BS884" s="27" t="s">
        <v>8</v>
      </c>
    </row>
    <row r="885" spans="1:75" x14ac:dyDescent="0.25">
      <c r="A885" s="7">
        <v>2.7362061515774716E-3</v>
      </c>
      <c r="B885"/>
      <c r="C885"/>
      <c r="D885"/>
      <c r="E885"/>
      <c r="AB885" s="27" t="s">
        <v>7</v>
      </c>
      <c r="AD885" s="27" t="s">
        <v>7</v>
      </c>
      <c r="AK885" s="27" t="s">
        <v>8</v>
      </c>
      <c r="AL885" s="27" t="s">
        <v>7</v>
      </c>
      <c r="BG885" s="27" t="s">
        <v>8</v>
      </c>
      <c r="BH885" s="27" t="s">
        <v>7</v>
      </c>
      <c r="BI885" s="27" t="s">
        <v>8</v>
      </c>
      <c r="BJ885" s="27" t="s">
        <v>7</v>
      </c>
      <c r="BK885" s="27" t="s">
        <v>8</v>
      </c>
      <c r="BP885" s="27" t="s">
        <v>7</v>
      </c>
      <c r="BQ885" s="27" t="s">
        <v>8</v>
      </c>
      <c r="BR885" s="27" t="s">
        <v>7</v>
      </c>
    </row>
    <row r="886" spans="1:75" x14ac:dyDescent="0.25">
      <c r="A886" s="7">
        <v>2.6825550505661486E-3</v>
      </c>
      <c r="B886"/>
      <c r="C886"/>
      <c r="D886"/>
      <c r="E886"/>
      <c r="AD886" s="27" t="s">
        <v>7</v>
      </c>
      <c r="AK886" s="27" t="s">
        <v>8</v>
      </c>
      <c r="AL886" s="27" t="s">
        <v>7</v>
      </c>
      <c r="BG886" s="27" t="s">
        <v>8</v>
      </c>
      <c r="BH886" s="27" t="s">
        <v>7</v>
      </c>
      <c r="BI886" s="27" t="s">
        <v>8</v>
      </c>
      <c r="BJ886" s="27" t="s">
        <v>7</v>
      </c>
      <c r="BK886" s="27" t="s">
        <v>8</v>
      </c>
      <c r="BP886" s="27" t="s">
        <v>7</v>
      </c>
      <c r="BQ886" s="27" t="s">
        <v>8</v>
      </c>
    </row>
    <row r="887" spans="1:75" x14ac:dyDescent="0.25">
      <c r="A887" s="7">
        <v>2.6299559319275965E-3</v>
      </c>
      <c r="B887"/>
      <c r="C887"/>
      <c r="D887"/>
      <c r="E887"/>
      <c r="AD887" s="27" t="s">
        <v>7</v>
      </c>
      <c r="AK887" s="27" t="s">
        <v>8</v>
      </c>
      <c r="AL887" s="27" t="s">
        <v>7</v>
      </c>
      <c r="BG887" s="27" t="s">
        <v>8</v>
      </c>
      <c r="BH887" s="27" t="s">
        <v>7</v>
      </c>
      <c r="BI887" s="27" t="s">
        <v>8</v>
      </c>
      <c r="BJ887" s="27" t="s">
        <v>7</v>
      </c>
      <c r="BK887" s="27" t="s">
        <v>8</v>
      </c>
      <c r="BP887" s="27" t="s">
        <v>7</v>
      </c>
      <c r="BQ887" s="27" t="s">
        <v>8</v>
      </c>
    </row>
    <row r="888" spans="1:75" x14ac:dyDescent="0.25">
      <c r="A888" s="7">
        <v>2.578388168556467E-3</v>
      </c>
      <c r="B888"/>
      <c r="C888"/>
      <c r="D888"/>
      <c r="E888"/>
      <c r="AD888" s="27" t="s">
        <v>7</v>
      </c>
      <c r="AK888" s="27" t="s">
        <v>8</v>
      </c>
      <c r="AL888" s="27" t="s">
        <v>7</v>
      </c>
      <c r="BG888" s="27" t="s">
        <v>8</v>
      </c>
      <c r="BH888" s="27" t="s">
        <v>7</v>
      </c>
      <c r="BI888" s="27" t="s">
        <v>8</v>
      </c>
      <c r="BJ888" s="27" t="s">
        <v>7</v>
      </c>
      <c r="BP888" s="27" t="s">
        <v>7</v>
      </c>
      <c r="BQ888" s="27" t="s">
        <v>8</v>
      </c>
    </row>
    <row r="889" spans="1:75" x14ac:dyDescent="0.25">
      <c r="A889" s="7">
        <v>2.5278315378004577E-3</v>
      </c>
      <c r="B889"/>
      <c r="C889"/>
      <c r="D889"/>
      <c r="E889"/>
      <c r="AD889" s="27" t="s">
        <v>7</v>
      </c>
      <c r="AK889" s="27" t="s">
        <v>8</v>
      </c>
      <c r="AL889" s="27" t="s">
        <v>7</v>
      </c>
      <c r="BG889" s="27" t="s">
        <v>8</v>
      </c>
      <c r="BH889" s="27" t="s">
        <v>7</v>
      </c>
      <c r="BI889" s="27" t="s">
        <v>8</v>
      </c>
      <c r="BP889" s="27" t="s">
        <v>7</v>
      </c>
      <c r="BQ889" s="27" t="s">
        <v>8</v>
      </c>
    </row>
    <row r="890" spans="1:75" x14ac:dyDescent="0.25">
      <c r="A890" s="7">
        <v>2.4782662135298603E-3</v>
      </c>
      <c r="B890"/>
      <c r="C890"/>
      <c r="D890"/>
      <c r="E890"/>
      <c r="AD890" s="27" t="s">
        <v>7</v>
      </c>
      <c r="AK890" s="27" t="s">
        <v>8</v>
      </c>
      <c r="AL890" s="27" t="s">
        <v>7</v>
      </c>
      <c r="BG890" s="27" t="s">
        <v>8</v>
      </c>
      <c r="BH890" s="27" t="s">
        <v>7</v>
      </c>
      <c r="BI890" s="27" t="s">
        <v>8</v>
      </c>
      <c r="BP890" s="27" t="s">
        <v>7</v>
      </c>
      <c r="BQ890" s="27" t="s">
        <v>8</v>
      </c>
    </row>
    <row r="891" spans="1:75" x14ac:dyDescent="0.25">
      <c r="A891" s="7">
        <v>2.4296727583626083E-3</v>
      </c>
      <c r="B891"/>
      <c r="C891"/>
      <c r="D891"/>
      <c r="E891"/>
      <c r="AD891" s="27" t="s">
        <v>7</v>
      </c>
      <c r="AK891" s="27" t="s">
        <v>8</v>
      </c>
      <c r="AL891" s="27" t="s">
        <v>7</v>
      </c>
      <c r="BG891" s="27" t="s">
        <v>8</v>
      </c>
      <c r="BH891" s="27" t="s">
        <v>7</v>
      </c>
      <c r="BI891" s="27" t="s">
        <v>8</v>
      </c>
      <c r="BP891" s="27" t="s">
        <v>7</v>
      </c>
      <c r="BQ891" s="27" t="s">
        <v>8</v>
      </c>
    </row>
    <row r="892" spans="1:75" x14ac:dyDescent="0.25">
      <c r="A892" s="7">
        <v>2.3820321160417726E-3</v>
      </c>
      <c r="B892"/>
      <c r="C892"/>
      <c r="D892"/>
      <c r="E892"/>
      <c r="AD892" s="27" t="s">
        <v>7</v>
      </c>
      <c r="AK892" s="27" t="s">
        <v>8</v>
      </c>
      <c r="AL892" s="27" t="s">
        <v>7</v>
      </c>
      <c r="BG892" s="27" t="s">
        <v>8</v>
      </c>
      <c r="BH892" s="27" t="s">
        <v>7</v>
      </c>
      <c r="BI892" s="27" t="s">
        <v>8</v>
      </c>
      <c r="BP892" s="27" t="s">
        <v>7</v>
      </c>
    </row>
    <row r="893" spans="1:75" x14ac:dyDescent="0.25">
      <c r="A893" s="7">
        <v>2.3353256039625224E-3</v>
      </c>
      <c r="B893"/>
      <c r="C893"/>
      <c r="D893"/>
      <c r="E893"/>
      <c r="AD893" s="27" t="s">
        <v>7</v>
      </c>
      <c r="AK893" s="27" t="s">
        <v>8</v>
      </c>
      <c r="AL893" s="27" t="s">
        <v>7</v>
      </c>
      <c r="BG893" s="27" t="s">
        <v>8</v>
      </c>
      <c r="BH893" s="27" t="s">
        <v>7</v>
      </c>
    </row>
    <row r="894" spans="1:75" x14ac:dyDescent="0.25">
      <c r="A894" s="7">
        <v>2.2895349058456101E-3</v>
      </c>
      <c r="B894"/>
      <c r="C894"/>
      <c r="D894"/>
      <c r="E894"/>
      <c r="AD894" s="27" t="s">
        <v>7</v>
      </c>
      <c r="AK894" s="27" t="s">
        <v>8</v>
      </c>
      <c r="AL894" s="27" t="s">
        <v>7</v>
      </c>
      <c r="BG894" s="27" t="s">
        <v>8</v>
      </c>
    </row>
    <row r="895" spans="1:75" x14ac:dyDescent="0.25">
      <c r="A895" s="7">
        <v>2.24464206455452E-3</v>
      </c>
      <c r="B895"/>
      <c r="C895"/>
      <c r="D895"/>
      <c r="E895"/>
      <c r="AD895" s="27" t="s">
        <v>7</v>
      </c>
      <c r="AK895" s="27" t="s">
        <v>8</v>
      </c>
      <c r="AL895" s="27" t="s">
        <v>7</v>
      </c>
      <c r="BA895" s="27" t="s">
        <v>8</v>
      </c>
      <c r="BG895" s="27" t="s">
        <v>8</v>
      </c>
    </row>
    <row r="896" spans="1:75" x14ac:dyDescent="0.25">
      <c r="A896" s="7">
        <v>2.200629475053451E-3</v>
      </c>
      <c r="B896"/>
      <c r="C896"/>
      <c r="D896"/>
      <c r="E896"/>
      <c r="AD896" s="27" t="s">
        <v>7</v>
      </c>
      <c r="AK896" s="27" t="s">
        <v>8</v>
      </c>
      <c r="AL896" s="27" t="s">
        <v>7</v>
      </c>
      <c r="BA896" s="27" t="s">
        <v>8</v>
      </c>
      <c r="BB896" s="27" t="s">
        <v>7</v>
      </c>
      <c r="BG896" s="27" t="s">
        <v>8</v>
      </c>
    </row>
    <row r="897" spans="1:59" x14ac:dyDescent="0.25">
      <c r="A897" s="7">
        <v>2.1574798775033832E-3</v>
      </c>
      <c r="B897"/>
      <c r="C897"/>
      <c r="D897"/>
      <c r="E897"/>
      <c r="AD897" s="27" t="s">
        <v>7</v>
      </c>
      <c r="AK897" s="27" t="s">
        <v>8</v>
      </c>
      <c r="AL897" s="27" t="s">
        <v>7</v>
      </c>
      <c r="BA897" s="27" t="s">
        <v>8</v>
      </c>
      <c r="BB897" s="27" t="s">
        <v>7</v>
      </c>
      <c r="BG897" s="27" t="s">
        <v>8</v>
      </c>
    </row>
    <row r="898" spans="1:59" x14ac:dyDescent="0.25">
      <c r="A898" s="7">
        <v>2.115176350493513E-3</v>
      </c>
      <c r="B898"/>
      <c r="C898"/>
      <c r="D898"/>
      <c r="E898"/>
      <c r="AD898" s="27" t="s">
        <v>7</v>
      </c>
      <c r="AK898" s="27" t="s">
        <v>8</v>
      </c>
      <c r="AL898" s="27" t="s">
        <v>7</v>
      </c>
      <c r="AW898" s="27" t="s">
        <v>8</v>
      </c>
      <c r="BA898" s="27" t="s">
        <v>8</v>
      </c>
      <c r="BB898" s="27" t="s">
        <v>7</v>
      </c>
      <c r="BG898" s="27" t="s">
        <v>8</v>
      </c>
    </row>
    <row r="899" spans="1:59" x14ac:dyDescent="0.25">
      <c r="A899" s="7">
        <v>2.0737023044054047E-3</v>
      </c>
      <c r="B899"/>
      <c r="C899"/>
      <c r="D899"/>
      <c r="E899"/>
      <c r="AD899" s="27" t="s">
        <v>7</v>
      </c>
      <c r="AK899" s="27" t="s">
        <v>8</v>
      </c>
      <c r="AL899" s="27" t="s">
        <v>7</v>
      </c>
      <c r="AW899" s="27" t="s">
        <v>8</v>
      </c>
      <c r="AX899" s="27" t="s">
        <v>7</v>
      </c>
      <c r="AY899" s="27" t="s">
        <v>8</v>
      </c>
      <c r="BA899" s="27" t="s">
        <v>8</v>
      </c>
      <c r="BB899" s="27" t="s">
        <v>7</v>
      </c>
      <c r="BC899" s="27" t="s">
        <v>8</v>
      </c>
      <c r="BG899" s="27" t="s">
        <v>8</v>
      </c>
    </row>
    <row r="900" spans="1:59" x14ac:dyDescent="0.25">
      <c r="A900" s="7">
        <v>2.0330414749072595E-3</v>
      </c>
      <c r="B900"/>
      <c r="C900"/>
      <c r="D900"/>
      <c r="E900"/>
      <c r="AD900" s="27" t="s">
        <v>7</v>
      </c>
      <c r="AK900" s="27" t="s">
        <v>8</v>
      </c>
      <c r="AL900" s="27" t="s">
        <v>7</v>
      </c>
      <c r="AW900" s="27" t="s">
        <v>8</v>
      </c>
      <c r="AX900" s="27" t="s">
        <v>7</v>
      </c>
      <c r="AY900" s="27" t="s">
        <v>8</v>
      </c>
      <c r="AZ900" s="27" t="s">
        <v>7</v>
      </c>
      <c r="BA900" s="27" t="s">
        <v>8</v>
      </c>
      <c r="BB900" s="27" t="s">
        <v>7</v>
      </c>
      <c r="BC900" s="27" t="s">
        <v>8</v>
      </c>
      <c r="BD900" s="27" t="s">
        <v>7</v>
      </c>
      <c r="BG900" s="27" t="s">
        <v>8</v>
      </c>
    </row>
    <row r="901" spans="1:59" x14ac:dyDescent="0.25">
      <c r="A901" s="7">
        <v>1.9931779165757446E-3</v>
      </c>
      <c r="B901"/>
      <c r="C901"/>
      <c r="D901"/>
      <c r="E901"/>
      <c r="AD901" s="27" t="s">
        <v>7</v>
      </c>
      <c r="AK901" s="27" t="s">
        <v>8</v>
      </c>
      <c r="AL901" s="27" t="s">
        <v>7</v>
      </c>
      <c r="AW901" s="27" t="s">
        <v>8</v>
      </c>
      <c r="AX901" s="27" t="s">
        <v>7</v>
      </c>
      <c r="AY901" s="27" t="s">
        <v>8</v>
      </c>
      <c r="AZ901" s="27" t="s">
        <v>7</v>
      </c>
      <c r="BA901" s="27" t="s">
        <v>8</v>
      </c>
      <c r="BB901" s="27" t="s">
        <v>7</v>
      </c>
      <c r="BC901" s="27" t="s">
        <v>8</v>
      </c>
      <c r="BD901" s="27" t="s">
        <v>7</v>
      </c>
      <c r="BG901" s="27" t="s">
        <v>8</v>
      </c>
    </row>
    <row r="902" spans="1:59" x14ac:dyDescent="0.25">
      <c r="A902" s="7">
        <v>1.954095996642887E-3</v>
      </c>
      <c r="B902"/>
      <c r="C902"/>
      <c r="D902"/>
      <c r="E902"/>
      <c r="AD902" s="27" t="s">
        <v>7</v>
      </c>
      <c r="AK902" s="27" t="s">
        <v>8</v>
      </c>
      <c r="AL902" s="27" t="s">
        <v>7</v>
      </c>
      <c r="AW902" s="27" t="s">
        <v>8</v>
      </c>
      <c r="AX902" s="27" t="s">
        <v>7</v>
      </c>
      <c r="AY902" s="27" t="s">
        <v>8</v>
      </c>
      <c r="AZ902" s="27" t="s">
        <v>7</v>
      </c>
      <c r="BA902" s="27" t="s">
        <v>8</v>
      </c>
      <c r="BB902" s="27" t="s">
        <v>7</v>
      </c>
      <c r="BD902" s="27" t="s">
        <v>7</v>
      </c>
      <c r="BE902" s="27" t="s">
        <v>8</v>
      </c>
      <c r="BG902" s="27" t="s">
        <v>8</v>
      </c>
    </row>
    <row r="903" spans="1:59" x14ac:dyDescent="0.25">
      <c r="A903" s="7">
        <v>1.9157803888655755E-3</v>
      </c>
      <c r="B903"/>
      <c r="C903"/>
      <c r="D903"/>
      <c r="E903"/>
      <c r="AD903" s="27" t="s">
        <v>7</v>
      </c>
      <c r="AK903" s="27" t="s">
        <v>8</v>
      </c>
      <c r="AL903" s="27" t="s">
        <v>7</v>
      </c>
      <c r="AW903" s="27" t="s">
        <v>8</v>
      </c>
      <c r="AX903" s="27" t="s">
        <v>7</v>
      </c>
      <c r="AY903" s="27" t="s">
        <v>8</v>
      </c>
      <c r="AZ903" s="27" t="s">
        <v>7</v>
      </c>
      <c r="BA903" s="27" t="s">
        <v>8</v>
      </c>
      <c r="BD903" s="27" t="s">
        <v>7</v>
      </c>
      <c r="BE903" s="27" t="s">
        <v>8</v>
      </c>
      <c r="BF903" s="27" t="s">
        <v>7</v>
      </c>
      <c r="BG903" s="27" t="s">
        <v>8</v>
      </c>
    </row>
    <row r="904" spans="1:59" x14ac:dyDescent="0.25">
      <c r="A904" s="7">
        <v>1.8782160675152703E-3</v>
      </c>
      <c r="B904"/>
      <c r="C904"/>
      <c r="D904"/>
      <c r="E904"/>
      <c r="AD904" s="27" t="s">
        <v>7</v>
      </c>
      <c r="AK904" s="27" t="s">
        <v>8</v>
      </c>
      <c r="AL904" s="27" t="s">
        <v>7</v>
      </c>
      <c r="AW904" s="27" t="s">
        <v>8</v>
      </c>
      <c r="AX904" s="27" t="s">
        <v>7</v>
      </c>
      <c r="AY904" s="27" t="s">
        <v>8</v>
      </c>
      <c r="AZ904" s="27" t="s">
        <v>7</v>
      </c>
      <c r="BA904" s="27" t="s">
        <v>8</v>
      </c>
      <c r="BD904" s="27" t="s">
        <v>7</v>
      </c>
      <c r="BE904" s="27" t="s">
        <v>8</v>
      </c>
      <c r="BF904" s="27" t="s">
        <v>7</v>
      </c>
      <c r="BG904" s="27" t="s">
        <v>8</v>
      </c>
    </row>
    <row r="905" spans="1:59" x14ac:dyDescent="0.25">
      <c r="A905" s="7">
        <v>1.8413883014855592E-3</v>
      </c>
      <c r="B905"/>
      <c r="C905"/>
      <c r="D905"/>
      <c r="E905"/>
      <c r="AD905" s="27" t="s">
        <v>7</v>
      </c>
      <c r="AK905" s="27" t="s">
        <v>8</v>
      </c>
      <c r="AL905" s="27" t="s">
        <v>7</v>
      </c>
      <c r="AO905" s="27" t="s">
        <v>8</v>
      </c>
      <c r="AW905" s="27" t="s">
        <v>8</v>
      </c>
      <c r="AX905" s="27" t="s">
        <v>7</v>
      </c>
      <c r="AY905" s="27" t="s">
        <v>8</v>
      </c>
      <c r="AZ905" s="27" t="s">
        <v>7</v>
      </c>
      <c r="BD905" s="27" t="s">
        <v>7</v>
      </c>
      <c r="BE905" s="27" t="s">
        <v>8</v>
      </c>
      <c r="BF905" s="27" t="s">
        <v>7</v>
      </c>
      <c r="BG905" s="27" t="s">
        <v>8</v>
      </c>
    </row>
    <row r="906" spans="1:59" x14ac:dyDescent="0.25">
      <c r="A906" s="7">
        <v>1.8052826485152542E-3</v>
      </c>
      <c r="B906"/>
      <c r="C906"/>
      <c r="D906"/>
      <c r="E906"/>
      <c r="AD906" s="27" t="s">
        <v>7</v>
      </c>
      <c r="AK906" s="27" t="s">
        <v>8</v>
      </c>
      <c r="AL906" s="27" t="s">
        <v>7</v>
      </c>
      <c r="AO906" s="27" t="s">
        <v>8</v>
      </c>
      <c r="AP906" s="27" t="s">
        <v>7</v>
      </c>
      <c r="AW906" s="27" t="s">
        <v>8</v>
      </c>
      <c r="AX906" s="27" t="s">
        <v>7</v>
      </c>
      <c r="BD906" s="27" t="s">
        <v>7</v>
      </c>
      <c r="BE906" s="27" t="s">
        <v>8</v>
      </c>
      <c r="BF906" s="27" t="s">
        <v>7</v>
      </c>
    </row>
    <row r="907" spans="1:59" x14ac:dyDescent="0.25">
      <c r="A907" s="7">
        <v>1.7698849495247592E-3</v>
      </c>
      <c r="B907"/>
      <c r="C907"/>
      <c r="D907"/>
      <c r="E907"/>
      <c r="AD907" s="27" t="s">
        <v>7</v>
      </c>
      <c r="AK907" s="27" t="s">
        <v>8</v>
      </c>
      <c r="AL907" s="27" t="s">
        <v>7</v>
      </c>
      <c r="AO907" s="27" t="s">
        <v>8</v>
      </c>
      <c r="AP907" s="27" t="s">
        <v>7</v>
      </c>
      <c r="AS907" s="27" t="s">
        <v>8</v>
      </c>
      <c r="AW907" s="27" t="s">
        <v>8</v>
      </c>
      <c r="BD907" s="27" t="s">
        <v>7</v>
      </c>
      <c r="BE907" s="27" t="s">
        <v>8</v>
      </c>
    </row>
    <row r="908" spans="1:59" x14ac:dyDescent="0.25">
      <c r="A908" s="7">
        <v>1.7351813230634893E-3</v>
      </c>
      <c r="B908"/>
      <c r="C908"/>
      <c r="D908"/>
      <c r="E908"/>
      <c r="AD908" s="27" t="s">
        <v>7</v>
      </c>
      <c r="AG908" s="27" t="s">
        <v>8</v>
      </c>
      <c r="AK908" s="27" t="s">
        <v>8</v>
      </c>
      <c r="AL908" s="27" t="s">
        <v>7</v>
      </c>
      <c r="AO908" s="27" t="s">
        <v>8</v>
      </c>
      <c r="AP908" s="27" t="s">
        <v>7</v>
      </c>
      <c r="AS908" s="27" t="s">
        <v>8</v>
      </c>
      <c r="AT908" s="27" t="s">
        <v>7</v>
      </c>
      <c r="AW908" s="27" t="s">
        <v>8</v>
      </c>
      <c r="BD908" s="27" t="s">
        <v>7</v>
      </c>
      <c r="BE908" s="27" t="s">
        <v>8</v>
      </c>
    </row>
    <row r="909" spans="1:59" x14ac:dyDescent="0.25">
      <c r="A909" s="7">
        <v>1.701158159866166E-3</v>
      </c>
      <c r="B909"/>
      <c r="C909"/>
      <c r="D909"/>
      <c r="E909"/>
      <c r="AD909" s="27" t="s">
        <v>7</v>
      </c>
      <c r="AG909" s="27" t="s">
        <v>8</v>
      </c>
      <c r="AH909" s="27" t="s">
        <v>7</v>
      </c>
      <c r="AK909" s="27" t="s">
        <v>8</v>
      </c>
      <c r="AL909" s="27" t="s">
        <v>7</v>
      </c>
      <c r="AO909" s="27" t="s">
        <v>8</v>
      </c>
      <c r="AP909" s="27" t="s">
        <v>7</v>
      </c>
      <c r="AS909" s="27" t="s">
        <v>8</v>
      </c>
      <c r="AT909" s="27" t="s">
        <v>7</v>
      </c>
      <c r="AW909" s="27" t="s">
        <v>8</v>
      </c>
      <c r="BD909" s="27" t="s">
        <v>7</v>
      </c>
    </row>
    <row r="910" spans="1:59" x14ac:dyDescent="0.25">
      <c r="A910" s="7">
        <v>1.6678021175158492E-3</v>
      </c>
      <c r="B910"/>
      <c r="C910"/>
      <c r="D910"/>
      <c r="E910"/>
      <c r="AD910" s="27" t="s">
        <v>7</v>
      </c>
      <c r="AG910" s="27" t="s">
        <v>8</v>
      </c>
      <c r="AH910" s="27" t="s">
        <v>7</v>
      </c>
      <c r="AK910" s="27" t="s">
        <v>8</v>
      </c>
      <c r="AL910" s="27" t="s">
        <v>7</v>
      </c>
      <c r="AO910" s="27" t="s">
        <v>8</v>
      </c>
      <c r="AP910" s="27" t="s">
        <v>7</v>
      </c>
      <c r="AQ910" s="27" t="s">
        <v>8</v>
      </c>
      <c r="AS910" s="27" t="s">
        <v>8</v>
      </c>
      <c r="AT910" s="27" t="s">
        <v>7</v>
      </c>
      <c r="AU910" s="27" t="s">
        <v>8</v>
      </c>
      <c r="AW910" s="27" t="s">
        <v>8</v>
      </c>
    </row>
    <row r="911" spans="1:59" x14ac:dyDescent="0.25">
      <c r="A911" s="7">
        <v>1.6351001152116167E-3</v>
      </c>
      <c r="B911"/>
      <c r="C911"/>
      <c r="D911"/>
      <c r="E911"/>
      <c r="AD911" s="27" t="s">
        <v>7</v>
      </c>
      <c r="AG911" s="27" t="s">
        <v>8</v>
      </c>
      <c r="AH911" s="27" t="s">
        <v>7</v>
      </c>
      <c r="AK911" s="27" t="s">
        <v>8</v>
      </c>
      <c r="AL911" s="27" t="s">
        <v>7</v>
      </c>
      <c r="AM911" s="27" t="s">
        <v>8</v>
      </c>
      <c r="AO911" s="27" t="s">
        <v>8</v>
      </c>
      <c r="AP911" s="27" t="s">
        <v>7</v>
      </c>
      <c r="AQ911" s="27" t="s">
        <v>8</v>
      </c>
      <c r="AR911" s="27" t="s">
        <v>7</v>
      </c>
      <c r="AS911" s="27" t="s">
        <v>8</v>
      </c>
      <c r="AT911" s="27" t="s">
        <v>7</v>
      </c>
      <c r="AU911" s="27" t="s">
        <v>8</v>
      </c>
      <c r="AV911" s="27" t="s">
        <v>7</v>
      </c>
      <c r="AW911" s="27" t="s">
        <v>8</v>
      </c>
    </row>
    <row r="912" spans="1:59" x14ac:dyDescent="0.25">
      <c r="A912" s="7">
        <v>1.60303932863884E-3</v>
      </c>
      <c r="B912"/>
      <c r="C912"/>
      <c r="D912"/>
      <c r="E912"/>
      <c r="AD912" s="27" t="s">
        <v>7</v>
      </c>
      <c r="AG912" s="27" t="s">
        <v>8</v>
      </c>
      <c r="AH912" s="27" t="s">
        <v>7</v>
      </c>
      <c r="AK912" s="27" t="s">
        <v>8</v>
      </c>
      <c r="AL912" s="27" t="s">
        <v>7</v>
      </c>
      <c r="AM912" s="27" t="s">
        <v>8</v>
      </c>
      <c r="AN912" s="27" t="s">
        <v>7</v>
      </c>
      <c r="AO912" s="27" t="s">
        <v>8</v>
      </c>
      <c r="AP912" s="27" t="s">
        <v>7</v>
      </c>
      <c r="AQ912" s="27" t="s">
        <v>8</v>
      </c>
      <c r="AR912" s="27" t="s">
        <v>7</v>
      </c>
      <c r="AS912" s="27" t="s">
        <v>8</v>
      </c>
      <c r="AT912" s="27" t="s">
        <v>7</v>
      </c>
      <c r="AU912" s="27" t="s">
        <v>8</v>
      </c>
      <c r="AV912" s="27" t="s">
        <v>7</v>
      </c>
      <c r="AW912" s="27" t="s">
        <v>8</v>
      </c>
    </row>
    <row r="913" spans="1:48" x14ac:dyDescent="0.25">
      <c r="A913" s="7">
        <v>1.5716071849400392E-3</v>
      </c>
      <c r="B913"/>
      <c r="C913"/>
      <c r="D913"/>
      <c r="E913"/>
      <c r="AD913" s="27" t="s">
        <v>7</v>
      </c>
      <c r="AG913" s="27" t="s">
        <v>8</v>
      </c>
      <c r="AH913" s="27" t="s">
        <v>7</v>
      </c>
      <c r="AK913" s="27" t="s">
        <v>8</v>
      </c>
      <c r="AL913" s="27" t="s">
        <v>7</v>
      </c>
      <c r="AM913" s="27" t="s">
        <v>8</v>
      </c>
      <c r="AN913" s="27" t="s">
        <v>7</v>
      </c>
      <c r="AO913" s="27" t="s">
        <v>8</v>
      </c>
      <c r="AP913" s="27" t="s">
        <v>7</v>
      </c>
      <c r="AQ913" s="27" t="s">
        <v>8</v>
      </c>
      <c r="AR913" s="27" t="s">
        <v>7</v>
      </c>
      <c r="AS913" s="27" t="s">
        <v>8</v>
      </c>
      <c r="AT913" s="27" t="s">
        <v>7</v>
      </c>
      <c r="AU913" s="27" t="s">
        <v>8</v>
      </c>
      <c r="AV913" s="27" t="s">
        <v>7</v>
      </c>
    </row>
    <row r="914" spans="1:48" x14ac:dyDescent="0.25">
      <c r="A914" s="7">
        <v>1.5407913577843522E-3</v>
      </c>
      <c r="B914"/>
      <c r="C914"/>
      <c r="D914"/>
      <c r="E914"/>
      <c r="AD914" s="27" t="s">
        <v>7</v>
      </c>
      <c r="AG914" s="27" t="s">
        <v>8</v>
      </c>
      <c r="AH914" s="27" t="s">
        <v>7</v>
      </c>
      <c r="AK914" s="27" t="s">
        <v>8</v>
      </c>
      <c r="AL914" s="27" t="s">
        <v>7</v>
      </c>
      <c r="AM914" s="27" t="s">
        <v>8</v>
      </c>
      <c r="AN914" s="27" t="s">
        <v>7</v>
      </c>
      <c r="AO914" s="27" t="s">
        <v>8</v>
      </c>
      <c r="AP914" s="27" t="s">
        <v>7</v>
      </c>
      <c r="AR914" s="27" t="s">
        <v>7</v>
      </c>
      <c r="AS914" s="27" t="s">
        <v>8</v>
      </c>
      <c r="AT914" s="27" t="s">
        <v>7</v>
      </c>
      <c r="AU914" s="27" t="s">
        <v>8</v>
      </c>
    </row>
    <row r="915" spans="1:48" x14ac:dyDescent="0.25">
      <c r="A915" s="7">
        <v>1.5105797625336785E-3</v>
      </c>
      <c r="B915"/>
      <c r="C915"/>
      <c r="D915"/>
      <c r="E915"/>
      <c r="AD915" s="27" t="s">
        <v>7</v>
      </c>
      <c r="AE915" s="27" t="s">
        <v>8</v>
      </c>
      <c r="AG915" s="27" t="s">
        <v>8</v>
      </c>
      <c r="AH915" s="27" t="s">
        <v>7</v>
      </c>
      <c r="AI915" s="27" t="s">
        <v>8</v>
      </c>
      <c r="AK915" s="27" t="s">
        <v>8</v>
      </c>
      <c r="AL915" s="27" t="s">
        <v>7</v>
      </c>
      <c r="AM915" s="27" t="s">
        <v>8</v>
      </c>
      <c r="AN915" s="27" t="s">
        <v>7</v>
      </c>
      <c r="AR915" s="27" t="s">
        <v>7</v>
      </c>
      <c r="AS915" s="27" t="s">
        <v>8</v>
      </c>
      <c r="AT915" s="27" t="s">
        <v>7</v>
      </c>
      <c r="AU915" s="27" t="s">
        <v>8</v>
      </c>
    </row>
    <row r="916" spans="1:48" x14ac:dyDescent="0.25">
      <c r="A916" s="7">
        <v>1.4809605515036064E-3</v>
      </c>
      <c r="B916"/>
      <c r="C916"/>
      <c r="D916"/>
      <c r="E916"/>
      <c r="AD916" s="27" t="s">
        <v>7</v>
      </c>
      <c r="AE916" s="27" t="s">
        <v>8</v>
      </c>
      <c r="AF916" s="27" t="s">
        <v>7</v>
      </c>
      <c r="AG916" s="27" t="s">
        <v>8</v>
      </c>
      <c r="AH916" s="27" t="s">
        <v>7</v>
      </c>
      <c r="AI916" s="27" t="s">
        <v>8</v>
      </c>
      <c r="AJ916" s="27" t="s">
        <v>7</v>
      </c>
      <c r="AK916" s="27" t="s">
        <v>8</v>
      </c>
      <c r="AL916" s="27" t="s">
        <v>7</v>
      </c>
      <c r="AM916" s="27" t="s">
        <v>8</v>
      </c>
      <c r="AR916" s="27" t="s">
        <v>7</v>
      </c>
      <c r="AS916" s="27" t="s">
        <v>8</v>
      </c>
      <c r="AT916" s="27" t="s">
        <v>7</v>
      </c>
    </row>
    <row r="917" spans="1:48" x14ac:dyDescent="0.25">
      <c r="A917" s="7">
        <v>1.4519221093172612E-3</v>
      </c>
      <c r="B917"/>
      <c r="C917"/>
      <c r="D917"/>
      <c r="E917"/>
      <c r="AD917" s="27" t="s">
        <v>7</v>
      </c>
      <c r="AE917" s="27" t="s">
        <v>8</v>
      </c>
      <c r="AF917" s="27" t="s">
        <v>7</v>
      </c>
      <c r="AG917" s="27" t="s">
        <v>8</v>
      </c>
      <c r="AH917" s="27" t="s">
        <v>7</v>
      </c>
      <c r="AI917" s="27" t="s">
        <v>8</v>
      </c>
      <c r="AJ917" s="27" t="s">
        <v>7</v>
      </c>
      <c r="AK917" s="27" t="s">
        <v>8</v>
      </c>
      <c r="AL917" s="27" t="s">
        <v>7</v>
      </c>
      <c r="AM917" s="27" t="s">
        <v>8</v>
      </c>
      <c r="AR917" s="27" t="s">
        <v>7</v>
      </c>
      <c r="AS917" s="27" t="s">
        <v>8</v>
      </c>
    </row>
    <row r="918" spans="1:48" x14ac:dyDescent="0.25">
      <c r="A918" s="7">
        <v>1.423453048350256E-3</v>
      </c>
      <c r="B918"/>
      <c r="C918"/>
      <c r="D918"/>
      <c r="E918"/>
      <c r="AD918" s="27" t="s">
        <v>7</v>
      </c>
      <c r="AE918" s="27" t="s">
        <v>8</v>
      </c>
      <c r="AF918" s="27" t="s">
        <v>7</v>
      </c>
      <c r="AG918" s="27" t="s">
        <v>8</v>
      </c>
      <c r="AH918" s="27" t="s">
        <v>7</v>
      </c>
      <c r="AI918" s="27" t="s">
        <v>8</v>
      </c>
      <c r="AJ918" s="27" t="s">
        <v>7</v>
      </c>
      <c r="AL918" s="27" t="s">
        <v>7</v>
      </c>
      <c r="AR918" s="27" t="s">
        <v>7</v>
      </c>
    </row>
    <row r="919" spans="1:48" x14ac:dyDescent="0.25">
      <c r="A919" s="7">
        <v>1.3955422042649568E-3</v>
      </c>
      <c r="B919"/>
      <c r="C919"/>
      <c r="D919"/>
      <c r="E919"/>
      <c r="AD919" s="27" t="s">
        <v>7</v>
      </c>
      <c r="AE919" s="27" t="s">
        <v>8</v>
      </c>
      <c r="AF919" s="27" t="s">
        <v>7</v>
      </c>
      <c r="AG919" s="27" t="s">
        <v>8</v>
      </c>
      <c r="AH919" s="27" t="s">
        <v>7</v>
      </c>
      <c r="AI919" s="27" t="s">
        <v>8</v>
      </c>
    </row>
    <row r="920" spans="1:48" x14ac:dyDescent="0.25">
      <c r="A920" s="7">
        <v>1.3681786316323105E-3</v>
      </c>
      <c r="B920"/>
      <c r="C920"/>
      <c r="D920"/>
      <c r="E920"/>
      <c r="AD920" s="27" t="s">
        <v>7</v>
      </c>
      <c r="AE920" s="27" t="s">
        <v>8</v>
      </c>
      <c r="AF920" s="27" t="s">
        <v>7</v>
      </c>
      <c r="AG920" s="27" t="s">
        <v>8</v>
      </c>
      <c r="AH920" s="27" t="s">
        <v>7</v>
      </c>
      <c r="AI920" s="27" t="s">
        <v>8</v>
      </c>
    </row>
    <row r="921" spans="1:48" x14ac:dyDescent="0.25">
      <c r="A921" s="7">
        <v>1.3413515996395203E-3</v>
      </c>
      <c r="B921"/>
      <c r="C921"/>
      <c r="D921"/>
      <c r="E921"/>
      <c r="AD921" s="27" t="s">
        <v>7</v>
      </c>
      <c r="AE921" s="27" t="s">
        <v>8</v>
      </c>
      <c r="AF921" s="27" t="s">
        <v>7</v>
      </c>
      <c r="AG921" s="27" t="s">
        <v>8</v>
      </c>
      <c r="AH921" s="27" t="s">
        <v>7</v>
      </c>
    </row>
    <row r="922" spans="1:48" x14ac:dyDescent="0.25">
      <c r="A922" s="7">
        <v>1.3150505878818826E-3</v>
      </c>
      <c r="B922"/>
      <c r="C922"/>
      <c r="D922"/>
      <c r="E922"/>
      <c r="AD922" s="27" t="s">
        <v>7</v>
      </c>
      <c r="AE922" s="27" t="s">
        <v>8</v>
      </c>
      <c r="AF922" s="27" t="s">
        <v>7</v>
      </c>
      <c r="AG922" s="27" t="s">
        <v>8</v>
      </c>
    </row>
    <row r="923" spans="1:48" x14ac:dyDescent="0.25">
      <c r="A923" s="7">
        <v>1.2892652822371396E-3</v>
      </c>
      <c r="B923"/>
      <c r="C923"/>
      <c r="D923"/>
      <c r="E923"/>
      <c r="AD923" s="27" t="s">
        <v>7</v>
      </c>
      <c r="AE923" s="27" t="s">
        <v>8</v>
      </c>
      <c r="AF923" s="27" t="s">
        <v>7</v>
      </c>
      <c r="AG923" s="27" t="s">
        <v>8</v>
      </c>
    </row>
    <row r="924" spans="1:48" x14ac:dyDescent="0.25">
      <c r="A924" s="7">
        <v>1.2639855708207251E-3</v>
      </c>
      <c r="B924"/>
      <c r="C924"/>
      <c r="D924"/>
      <c r="E924"/>
      <c r="AD924" s="27" t="s">
        <v>7</v>
      </c>
      <c r="AE924" s="27" t="s">
        <v>8</v>
      </c>
      <c r="AF924" s="27" t="s">
        <v>7</v>
      </c>
      <c r="AG924" s="27" t="s">
        <v>8</v>
      </c>
    </row>
    <row r="925" spans="1:48" x14ac:dyDescent="0.25">
      <c r="A925" s="7">
        <v>1.2392015400203187E-3</v>
      </c>
      <c r="B925"/>
      <c r="C925"/>
      <c r="D925"/>
      <c r="E925"/>
      <c r="AD925" s="27" t="s">
        <v>7</v>
      </c>
      <c r="AE925" s="27" t="s">
        <v>8</v>
      </c>
      <c r="AF925" s="27" t="s">
        <v>7</v>
      </c>
      <c r="AG925" s="27" t="s">
        <v>8</v>
      </c>
    </row>
    <row r="926" spans="1:48" x14ac:dyDescent="0.25">
      <c r="A926" s="7">
        <v>1.2149034706081556E-3</v>
      </c>
      <c r="B926"/>
      <c r="C926"/>
      <c r="D926"/>
      <c r="E926"/>
      <c r="AD926" s="27" t="s">
        <v>7</v>
      </c>
      <c r="AE926" s="27" t="s">
        <v>8</v>
      </c>
      <c r="AF926" s="27" t="s">
        <v>7</v>
      </c>
      <c r="AG926" s="27" t="s">
        <v>8</v>
      </c>
    </row>
    <row r="927" spans="1:48" x14ac:dyDescent="0.25">
      <c r="A927" s="7">
        <v>1.1910818339295644E-3</v>
      </c>
      <c r="B927"/>
      <c r="C927"/>
      <c r="D927"/>
      <c r="E927"/>
      <c r="AD927" s="27" t="s">
        <v>7</v>
      </c>
      <c r="AE927" s="27" t="s">
        <v>8</v>
      </c>
      <c r="AF927" s="27" t="s">
        <v>7</v>
      </c>
      <c r="AG927" s="27" t="s">
        <v>8</v>
      </c>
    </row>
    <row r="928" spans="1:48" x14ac:dyDescent="0.25">
      <c r="A928" s="7">
        <v>1.1677272881662395E-3</v>
      </c>
      <c r="B928"/>
      <c r="C928"/>
      <c r="D928"/>
      <c r="E928"/>
      <c r="AD928" s="27" t="s">
        <v>7</v>
      </c>
      <c r="AE928" s="27" t="s">
        <v>8</v>
      </c>
      <c r="AF928" s="27" t="s">
        <v>7</v>
      </c>
      <c r="AG928" s="27" t="s">
        <v>8</v>
      </c>
    </row>
    <row r="929" spans="1:33" x14ac:dyDescent="0.25">
      <c r="A929" s="7">
        <v>1.1448306746727837E-3</v>
      </c>
      <c r="B929"/>
      <c r="C929"/>
      <c r="D929"/>
      <c r="E929"/>
      <c r="AD929" s="27" t="s">
        <v>7</v>
      </c>
      <c r="AE929" s="27" t="s">
        <v>8</v>
      </c>
      <c r="AF929" s="27" t="s">
        <v>7</v>
      </c>
      <c r="AG929" s="27" t="s">
        <v>8</v>
      </c>
    </row>
    <row r="930" spans="1:33" x14ac:dyDescent="0.25">
      <c r="A930" s="7">
        <v>1.1223830143850821E-3</v>
      </c>
      <c r="B930"/>
      <c r="C930"/>
      <c r="D930"/>
      <c r="E930"/>
      <c r="AD930" s="27" t="s">
        <v>7</v>
      </c>
      <c r="AE930" s="27" t="s">
        <v>8</v>
      </c>
      <c r="AF930" s="27" t="s">
        <v>7</v>
      </c>
      <c r="AG930" s="27" t="s">
        <v>8</v>
      </c>
    </row>
    <row r="931" spans="1:33" x14ac:dyDescent="0.25">
      <c r="A931" s="7">
        <v>1.1003755042991001E-3</v>
      </c>
      <c r="B931"/>
      <c r="C931"/>
      <c r="D931"/>
      <c r="E931"/>
      <c r="AD931" s="27" t="s">
        <v>7</v>
      </c>
      <c r="AE931" s="27" t="s">
        <v>8</v>
      </c>
      <c r="AF931" s="27" t="s">
        <v>7</v>
      </c>
      <c r="AG931" s="27" t="s">
        <v>8</v>
      </c>
    </row>
    <row r="932" spans="1:33" x14ac:dyDescent="0.25">
      <c r="A932" s="7">
        <v>1.0787995140187257E-3</v>
      </c>
      <c r="B932"/>
      <c r="C932"/>
      <c r="D932"/>
      <c r="E932"/>
      <c r="AD932" s="27" t="s">
        <v>7</v>
      </c>
      <c r="AE932" s="27" t="s">
        <v>8</v>
      </c>
      <c r="AF932" s="27" t="s">
        <v>7</v>
      </c>
      <c r="AG932" s="27" t="s">
        <v>8</v>
      </c>
    </row>
    <row r="933" spans="1:33" x14ac:dyDescent="0.25">
      <c r="A933" s="7">
        <v>1.0576465823712996E-3</v>
      </c>
      <c r="B933"/>
      <c r="C933"/>
      <c r="D933"/>
      <c r="E933"/>
      <c r="AD933" s="27" t="s">
        <v>7</v>
      </c>
      <c r="AE933" s="27" t="s">
        <v>8</v>
      </c>
      <c r="AF933" s="27" t="s">
        <v>7</v>
      </c>
      <c r="AG933" s="27" t="s">
        <v>8</v>
      </c>
    </row>
    <row r="934" spans="1:33" x14ac:dyDescent="0.25">
      <c r="A934" s="7">
        <v>1.0369084140895094E-3</v>
      </c>
      <c r="B934"/>
      <c r="C934"/>
      <c r="D934"/>
      <c r="E934"/>
      <c r="AD934" s="27" t="s">
        <v>7</v>
      </c>
      <c r="AE934" s="27" t="s">
        <v>8</v>
      </c>
      <c r="AF934" s="27" t="s">
        <v>7</v>
      </c>
      <c r="AG934" s="27" t="s">
        <v>8</v>
      </c>
    </row>
    <row r="935" spans="1:33" x14ac:dyDescent="0.25">
      <c r="A935" s="7">
        <v>1.0165768765583426E-3</v>
      </c>
      <c r="B935"/>
      <c r="C935"/>
      <c r="D935"/>
      <c r="E935"/>
      <c r="AD935" s="27" t="s">
        <v>7</v>
      </c>
      <c r="AE935" s="27" t="s">
        <v>8</v>
      </c>
      <c r="AF935" s="27" t="s">
        <v>7</v>
      </c>
    </row>
    <row r="936" spans="1:33" x14ac:dyDescent="0.25">
      <c r="A936" s="7">
        <v>9.966439966258261E-4</v>
      </c>
      <c r="B936"/>
      <c r="C936"/>
      <c r="D936"/>
      <c r="E936"/>
      <c r="AD936" s="27" t="s">
        <v>7</v>
      </c>
      <c r="AE936" s="27" t="s">
        <v>8</v>
      </c>
    </row>
    <row r="937" spans="1:33" x14ac:dyDescent="0.25">
      <c r="AD937" s="27" t="s">
        <v>7</v>
      </c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92" zoomScale="90" zoomScaleNormal="90" workbookViewId="0">
      <pane xSplit="4" topLeftCell="DZ1" activePane="topRight" state="frozen"/>
      <selection activeCell="A109" sqref="A109"/>
      <selection pane="topRight" activeCell="GW299" sqref="GW29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$A$298</v>
      </c>
      <c r="D111" s="1" t="str">
        <f>ADDRESS(C121-1,D121,1,1)</f>
        <v>$GW$298</v>
      </c>
      <c r="E111"/>
    </row>
    <row r="112" spans="1:5" x14ac:dyDescent="0.25">
      <c r="A112" s="30">
        <v>515.50191262726139</v>
      </c>
      <c r="C112" s="1" t="str">
        <f>ADDRESS(C121,1,1,1)</f>
        <v>$A$299</v>
      </c>
      <c r="D112" s="1" t="str">
        <f>ADDRESS(C121,D121-1,1,1)</f>
        <v>$GV$299</v>
      </c>
      <c r="E112"/>
    </row>
    <row r="113" spans="1:5" x14ac:dyDescent="0.25">
      <c r="A113" s="30">
        <v>490.95420250215363</v>
      </c>
      <c r="C113" s="1" t="str">
        <f>ADDRESS(C121+1,1,1,1)</f>
        <v>$A$300</v>
      </c>
      <c r="D113" s="1" t="str">
        <f>ADDRESS(C121-1,D121+1,1,1)</f>
        <v>$GX$298</v>
      </c>
    </row>
    <row r="114" spans="1:5" x14ac:dyDescent="0.25">
      <c r="A114" s="30">
        <v>467.57543095443202</v>
      </c>
      <c r="C114" s="1" t="str">
        <f>ADDRESS(C121,D121,1,1)</f>
        <v>$GW$299</v>
      </c>
      <c r="D114" s="1" t="str">
        <f>ADDRESS(C121+1,D121+1,1,1)</f>
        <v>$GX$300</v>
      </c>
    </row>
    <row r="115" spans="1:5" x14ac:dyDescent="0.25">
      <c r="A115" s="30">
        <v>445.30993424231622</v>
      </c>
      <c r="C115" s="1" t="str">
        <f>ADDRESS(C121+1,D121,1,1)</f>
        <v>$GW$300</v>
      </c>
    </row>
    <row r="116" spans="1:5" x14ac:dyDescent="0.25">
      <c r="A116" s="30">
        <v>424.10469927839637</v>
      </c>
      <c r="C116" s="1">
        <f>C117-1</f>
        <v>298</v>
      </c>
    </row>
    <row r="117" spans="1:5" x14ac:dyDescent="0.25">
      <c r="A117" s="30">
        <v>403.9092374079965</v>
      </c>
      <c r="C117" s="1">
        <f>C121</f>
        <v>299</v>
      </c>
      <c r="D117" s="1">
        <f>D121</f>
        <v>205</v>
      </c>
    </row>
    <row r="118" spans="1:5" x14ac:dyDescent="0.25">
      <c r="A118" s="30">
        <v>384.6754641980919</v>
      </c>
      <c r="C118" s="1">
        <f>C117+1</f>
        <v>300</v>
      </c>
      <c r="D118" s="1">
        <f>D117+1</f>
        <v>206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299</v>
      </c>
      <c r="D121" s="19">
        <v>205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R299</v>
      </c>
      <c r="D123" s="1" t="str">
        <f>"C"&amp;D121</f>
        <v>C205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5.6212299933817669E-2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202" x14ac:dyDescent="0.25">
      <c r="A273" s="30">
        <v>0.19987253960121379</v>
      </c>
      <c r="B273"/>
      <c r="C273"/>
      <c r="D273"/>
      <c r="E273"/>
      <c r="F273" s="27" t="s">
        <v>7</v>
      </c>
    </row>
    <row r="274" spans="1:202" x14ac:dyDescent="0.25">
      <c r="A274" s="30">
        <v>0.19035479962020352</v>
      </c>
      <c r="B274"/>
      <c r="C274"/>
      <c r="D274"/>
      <c r="E274"/>
      <c r="F274" s="27" t="s">
        <v>7</v>
      </c>
      <c r="FQ274" s="27" t="s">
        <v>8</v>
      </c>
      <c r="FS274" s="27" t="s">
        <v>8</v>
      </c>
      <c r="FW274" s="27" t="s">
        <v>8</v>
      </c>
    </row>
    <row r="275" spans="1:202" x14ac:dyDescent="0.25">
      <c r="A275" s="30">
        <v>0.18129028535257471</v>
      </c>
      <c r="B275"/>
      <c r="C275"/>
      <c r="D275"/>
      <c r="E275"/>
      <c r="F275" s="27" t="s">
        <v>7</v>
      </c>
      <c r="FQ275" s="27" t="s">
        <v>8</v>
      </c>
      <c r="FR275" s="27" t="s">
        <v>7</v>
      </c>
      <c r="FS275" s="27" t="s">
        <v>8</v>
      </c>
      <c r="FT275" s="27" t="s">
        <v>7</v>
      </c>
      <c r="FW275" s="27" t="s">
        <v>8</v>
      </c>
      <c r="FX275" s="27" t="s">
        <v>7</v>
      </c>
    </row>
    <row r="276" spans="1:202" x14ac:dyDescent="0.25">
      <c r="A276" s="30">
        <v>0.17265741462149967</v>
      </c>
      <c r="B276"/>
      <c r="C276"/>
      <c r="D276"/>
      <c r="E276"/>
      <c r="F276" s="27" t="s">
        <v>7</v>
      </c>
      <c r="FQ276" s="27" t="s">
        <v>8</v>
      </c>
      <c r="FR276" s="27" t="s">
        <v>7</v>
      </c>
      <c r="FS276" s="27" t="s">
        <v>8</v>
      </c>
      <c r="FT276" s="27" t="s">
        <v>7</v>
      </c>
      <c r="FW276" s="27" t="s">
        <v>8</v>
      </c>
      <c r="FX276" s="27" t="s">
        <v>7</v>
      </c>
    </row>
    <row r="277" spans="1:202" x14ac:dyDescent="0.25">
      <c r="A277" s="30">
        <v>0.16443563297285677</v>
      </c>
      <c r="B277"/>
      <c r="C277"/>
      <c r="D277"/>
      <c r="E277"/>
      <c r="F277" s="27" t="s">
        <v>7</v>
      </c>
      <c r="FQ277" s="27" t="s">
        <v>8</v>
      </c>
      <c r="FR277" s="27" t="s">
        <v>7</v>
      </c>
      <c r="FS277" s="27" t="s">
        <v>8</v>
      </c>
      <c r="FT277" s="27" t="s">
        <v>7</v>
      </c>
      <c r="FW277" s="27" t="s">
        <v>8</v>
      </c>
      <c r="FX277" s="27" t="s">
        <v>7</v>
      </c>
      <c r="GE277" s="27" t="s">
        <v>8</v>
      </c>
    </row>
    <row r="278" spans="1:202" x14ac:dyDescent="0.25">
      <c r="A278" s="30">
        <v>0.15660536473605399</v>
      </c>
      <c r="B278"/>
      <c r="C278"/>
      <c r="D278"/>
      <c r="E278"/>
      <c r="F278" s="27" t="s">
        <v>7</v>
      </c>
      <c r="FQ278" s="27" t="s">
        <v>8</v>
      </c>
      <c r="FR278" s="27" t="s">
        <v>7</v>
      </c>
      <c r="FT278" s="27" t="s">
        <v>7</v>
      </c>
      <c r="FU278" s="27" t="s">
        <v>8</v>
      </c>
      <c r="FW278" s="27" t="s">
        <v>8</v>
      </c>
      <c r="FX278" s="27" t="s">
        <v>7</v>
      </c>
      <c r="FY278" s="27" t="s">
        <v>8</v>
      </c>
      <c r="GE278" s="27" t="s">
        <v>8</v>
      </c>
      <c r="GF278" s="27" t="s">
        <v>7</v>
      </c>
    </row>
    <row r="279" spans="1:202" x14ac:dyDescent="0.25">
      <c r="A279" s="30">
        <v>0.14914796641528946</v>
      </c>
      <c r="B279"/>
      <c r="C279"/>
      <c r="D279"/>
      <c r="E279"/>
      <c r="F279" s="27" t="s">
        <v>7</v>
      </c>
      <c r="FQ279" s="27" t="s">
        <v>8</v>
      </c>
      <c r="FT279" s="27" t="s">
        <v>7</v>
      </c>
      <c r="FU279" s="27" t="s">
        <v>8</v>
      </c>
      <c r="FV279" s="27" t="s">
        <v>7</v>
      </c>
      <c r="FW279" s="27" t="s">
        <v>8</v>
      </c>
      <c r="FX279" s="27" t="s">
        <v>7</v>
      </c>
      <c r="FY279" s="27" t="s">
        <v>8</v>
      </c>
      <c r="FZ279" s="27" t="s">
        <v>7</v>
      </c>
      <c r="GE279" s="27" t="s">
        <v>8</v>
      </c>
      <c r="GF279" s="27" t="s">
        <v>7</v>
      </c>
    </row>
    <row r="280" spans="1:202" x14ac:dyDescent="0.25">
      <c r="A280" s="30">
        <v>0.14204568230027562</v>
      </c>
      <c r="B280"/>
      <c r="C280"/>
      <c r="D280"/>
      <c r="E280"/>
      <c r="F280" s="27" t="s">
        <v>7</v>
      </c>
      <c r="FQ280" s="27" t="s">
        <v>8</v>
      </c>
      <c r="FT280" s="27" t="s">
        <v>7</v>
      </c>
      <c r="FU280" s="27" t="s">
        <v>8</v>
      </c>
      <c r="FV280" s="27" t="s">
        <v>7</v>
      </c>
      <c r="FW280" s="27" t="s">
        <v>8</v>
      </c>
      <c r="FX280" s="27" t="s">
        <v>7</v>
      </c>
      <c r="FY280" s="27" t="s">
        <v>8</v>
      </c>
      <c r="FZ280" s="27" t="s">
        <v>7</v>
      </c>
      <c r="GA280" s="27" t="s">
        <v>8</v>
      </c>
      <c r="GE280" s="27" t="s">
        <v>8</v>
      </c>
      <c r="GF280" s="27" t="s">
        <v>7</v>
      </c>
    </row>
    <row r="281" spans="1:202" x14ac:dyDescent="0.25">
      <c r="A281" s="30">
        <v>0.13528160219073862</v>
      </c>
      <c r="B281"/>
      <c r="C281"/>
      <c r="D281"/>
      <c r="E281"/>
      <c r="F281" s="27" t="s">
        <v>7</v>
      </c>
      <c r="FQ281" s="27" t="s">
        <v>8</v>
      </c>
      <c r="FT281" s="27" t="s">
        <v>7</v>
      </c>
      <c r="FV281" s="27" t="s">
        <v>7</v>
      </c>
      <c r="FW281" s="27" t="s">
        <v>8</v>
      </c>
      <c r="FX281" s="27" t="s">
        <v>7</v>
      </c>
      <c r="FY281" s="27" t="s">
        <v>8</v>
      </c>
      <c r="FZ281" s="27" t="s">
        <v>7</v>
      </c>
      <c r="GA281" s="27" t="s">
        <v>8</v>
      </c>
      <c r="GB281" s="27" t="s">
        <v>7</v>
      </c>
      <c r="GE281" s="27" t="s">
        <v>8</v>
      </c>
      <c r="GF281" s="27" t="s">
        <v>7</v>
      </c>
    </row>
    <row r="282" spans="1:202" x14ac:dyDescent="0.25">
      <c r="A282" s="30">
        <v>0.12883962113403674</v>
      </c>
      <c r="B282"/>
      <c r="C282"/>
      <c r="D282"/>
      <c r="E282"/>
      <c r="F282" s="27" t="s">
        <v>7</v>
      </c>
      <c r="FQ282" s="27" t="s">
        <v>8</v>
      </c>
      <c r="FV282" s="27" t="s">
        <v>7</v>
      </c>
      <c r="FX282" s="27" t="s">
        <v>7</v>
      </c>
      <c r="FZ282" s="27" t="s">
        <v>7</v>
      </c>
      <c r="GA282" s="27" t="s">
        <v>8</v>
      </c>
      <c r="GB282" s="27" t="s">
        <v>7</v>
      </c>
      <c r="GC282" s="27" t="s">
        <v>8</v>
      </c>
      <c r="GE282" s="27" t="s">
        <v>8</v>
      </c>
      <c r="GF282" s="27" t="s">
        <v>7</v>
      </c>
    </row>
    <row r="283" spans="1:202" x14ac:dyDescent="0.25">
      <c r="A283" s="30">
        <v>0.12270440108003494</v>
      </c>
      <c r="B283"/>
      <c r="C283"/>
      <c r="D283"/>
      <c r="E283"/>
      <c r="F283" s="27" t="s">
        <v>7</v>
      </c>
      <c r="FO283" s="27" t="s">
        <v>8</v>
      </c>
      <c r="FQ283" s="27" t="s">
        <v>8</v>
      </c>
      <c r="FZ283" s="27" t="s">
        <v>7</v>
      </c>
      <c r="GA283" s="27" t="s">
        <v>8</v>
      </c>
      <c r="GB283" s="27" t="s">
        <v>7</v>
      </c>
      <c r="GC283" s="27" t="s">
        <v>8</v>
      </c>
      <c r="GD283" s="27" t="s">
        <v>7</v>
      </c>
      <c r="GE283" s="27" t="s">
        <v>8</v>
      </c>
      <c r="GF283" s="27" t="s">
        <v>7</v>
      </c>
    </row>
    <row r="284" spans="1:202" x14ac:dyDescent="0.25">
      <c r="A284" s="30">
        <v>0.11686133436193799</v>
      </c>
      <c r="B284"/>
      <c r="C284"/>
      <c r="D284"/>
      <c r="E284"/>
      <c r="F284" s="27" t="s">
        <v>7</v>
      </c>
      <c r="FO284" s="27" t="s">
        <v>8</v>
      </c>
      <c r="FP284" s="27" t="s">
        <v>7</v>
      </c>
      <c r="FQ284" s="27" t="s">
        <v>8</v>
      </c>
      <c r="FZ284" s="27" t="s">
        <v>7</v>
      </c>
      <c r="GA284" s="27" t="s">
        <v>8</v>
      </c>
      <c r="GB284" s="27" t="s">
        <v>7</v>
      </c>
      <c r="GC284" s="27" t="s">
        <v>8</v>
      </c>
      <c r="GD284" s="27" t="s">
        <v>7</v>
      </c>
      <c r="GE284" s="27" t="s">
        <v>8</v>
      </c>
      <c r="GF284" s="27" t="s">
        <v>7</v>
      </c>
      <c r="GG284" s="27" t="s">
        <v>8</v>
      </c>
    </row>
    <row r="285" spans="1:202" x14ac:dyDescent="0.25">
      <c r="A285" s="30">
        <v>0.11129650891613138</v>
      </c>
      <c r="B285"/>
      <c r="C285"/>
      <c r="D285"/>
      <c r="E285"/>
      <c r="F285" s="27" t="s">
        <v>7</v>
      </c>
      <c r="FO285" s="27" t="s">
        <v>8</v>
      </c>
      <c r="FP285" s="27" t="s">
        <v>7</v>
      </c>
      <c r="FQ285" s="27" t="s">
        <v>8</v>
      </c>
      <c r="FZ285" s="27" t="s">
        <v>7</v>
      </c>
      <c r="GB285" s="27" t="s">
        <v>7</v>
      </c>
      <c r="GC285" s="27" t="s">
        <v>8</v>
      </c>
      <c r="GD285" s="27" t="s">
        <v>7</v>
      </c>
      <c r="GE285" s="27" t="s">
        <v>8</v>
      </c>
      <c r="GF285" s="27" t="s">
        <v>7</v>
      </c>
      <c r="GG285" s="27" t="s">
        <v>8</v>
      </c>
      <c r="GH285" s="27" t="s">
        <v>7</v>
      </c>
    </row>
    <row r="286" spans="1:202" x14ac:dyDescent="0.25">
      <c r="A286" s="30">
        <v>0.10599667515822032</v>
      </c>
      <c r="B286"/>
      <c r="C286"/>
      <c r="D286"/>
      <c r="E286"/>
      <c r="F286" s="27" t="s">
        <v>7</v>
      </c>
      <c r="FO286" s="27" t="s">
        <v>8</v>
      </c>
      <c r="FP286" s="27" t="s">
        <v>7</v>
      </c>
      <c r="FQ286" s="27" t="s">
        <v>8</v>
      </c>
      <c r="GB286" s="27" t="s">
        <v>7</v>
      </c>
      <c r="GC286" s="27" t="s">
        <v>8</v>
      </c>
      <c r="GD286" s="27" t="s">
        <v>7</v>
      </c>
      <c r="GF286" s="27" t="s">
        <v>7</v>
      </c>
      <c r="GG286" s="27" t="s">
        <v>8</v>
      </c>
      <c r="GH286" s="27" t="s">
        <v>7</v>
      </c>
    </row>
    <row r="287" spans="1:202" x14ac:dyDescent="0.25">
      <c r="A287" s="30">
        <v>0.10094921443640027</v>
      </c>
      <c r="B287"/>
      <c r="C287"/>
      <c r="D287"/>
      <c r="E287"/>
      <c r="F287" s="27" t="s">
        <v>7</v>
      </c>
      <c r="DK287" s="27" t="s">
        <v>8</v>
      </c>
      <c r="FO287" s="27" t="s">
        <v>8</v>
      </c>
      <c r="FP287" s="27" t="s">
        <v>7</v>
      </c>
      <c r="FQ287" s="27" t="s">
        <v>8</v>
      </c>
      <c r="GB287" s="27" t="s">
        <v>7</v>
      </c>
      <c r="GF287" s="27" t="s">
        <v>7</v>
      </c>
      <c r="GH287" s="27" t="s">
        <v>7</v>
      </c>
      <c r="GS287" s="27" t="s">
        <v>8</v>
      </c>
    </row>
    <row r="288" spans="1:202" x14ac:dyDescent="0.25">
      <c r="A288" s="30">
        <v>9.6142108987047836E-2</v>
      </c>
      <c r="B288"/>
      <c r="C288"/>
      <c r="D288"/>
      <c r="E288"/>
      <c r="F288" s="27" t="s">
        <v>7</v>
      </c>
      <c r="DG288" s="27" t="s">
        <v>8</v>
      </c>
      <c r="DK288" s="27" t="s">
        <v>8</v>
      </c>
      <c r="DL288" s="27" t="s">
        <v>7</v>
      </c>
      <c r="FO288" s="27" t="s">
        <v>8</v>
      </c>
      <c r="FP288" s="27" t="s">
        <v>7</v>
      </c>
      <c r="FQ288" s="27" t="s">
        <v>8</v>
      </c>
      <c r="GH288" s="27" t="s">
        <v>7</v>
      </c>
      <c r="GS288" s="27" t="s">
        <v>8</v>
      </c>
      <c r="GT288" s="27" t="s">
        <v>7</v>
      </c>
    </row>
    <row r="289" spans="1:205" x14ac:dyDescent="0.25">
      <c r="A289" s="30">
        <v>9.1563913320997906E-2</v>
      </c>
      <c r="B289"/>
      <c r="C289"/>
      <c r="D289"/>
      <c r="E289"/>
      <c r="F289" s="27" t="s">
        <v>7</v>
      </c>
      <c r="DG289" s="27" t="s">
        <v>8</v>
      </c>
      <c r="DH289" s="27" t="s">
        <v>7</v>
      </c>
      <c r="DK289" s="27" t="s">
        <v>8</v>
      </c>
      <c r="DL289" s="27" t="s">
        <v>7</v>
      </c>
      <c r="FM289" s="27" t="s">
        <v>8</v>
      </c>
      <c r="FO289" s="27" t="s">
        <v>8</v>
      </c>
      <c r="FP289" s="27" t="s">
        <v>7</v>
      </c>
      <c r="FQ289" s="27" t="s">
        <v>8</v>
      </c>
      <c r="GH289" s="27" t="s">
        <v>7</v>
      </c>
      <c r="GO289" s="27" t="s">
        <v>8</v>
      </c>
      <c r="GS289" s="27" t="s">
        <v>8</v>
      </c>
      <c r="GT289" s="27" t="s">
        <v>7</v>
      </c>
    </row>
    <row r="290" spans="1:205" x14ac:dyDescent="0.25">
      <c r="A290" s="30">
        <v>8.7203726972378923E-2</v>
      </c>
      <c r="B290"/>
      <c r="C290"/>
      <c r="D290"/>
      <c r="E290"/>
      <c r="F290" s="27" t="s">
        <v>7</v>
      </c>
      <c r="DG290" s="27" t="s">
        <v>8</v>
      </c>
      <c r="DH290" s="27" t="s">
        <v>7</v>
      </c>
      <c r="DI290" s="27" t="s">
        <v>8</v>
      </c>
      <c r="DK290" s="27" t="s">
        <v>8</v>
      </c>
      <c r="DL290" s="27" t="s">
        <v>7</v>
      </c>
      <c r="FM290" s="27" t="s">
        <v>8</v>
      </c>
      <c r="FN290" s="27" t="s">
        <v>7</v>
      </c>
      <c r="FO290" s="27" t="s">
        <v>8</v>
      </c>
      <c r="FP290" s="27" t="s">
        <v>7</v>
      </c>
      <c r="FQ290" s="27" t="s">
        <v>8</v>
      </c>
      <c r="GH290" s="27" t="s">
        <v>7</v>
      </c>
      <c r="GM290" s="27" t="s">
        <v>8</v>
      </c>
      <c r="GO290" s="27" t="s">
        <v>8</v>
      </c>
      <c r="GP290" s="27" t="s">
        <v>7</v>
      </c>
      <c r="GQ290" s="27" t="s">
        <v>8</v>
      </c>
      <c r="GS290" s="27" t="s">
        <v>8</v>
      </c>
      <c r="GT290" s="27" t="s">
        <v>7</v>
      </c>
    </row>
    <row r="291" spans="1:205" x14ac:dyDescent="0.25">
      <c r="A291" s="30">
        <v>8.3051168545122747E-2</v>
      </c>
      <c r="B291"/>
      <c r="C291"/>
      <c r="D291"/>
      <c r="E291"/>
      <c r="F291" s="27" t="s">
        <v>7</v>
      </c>
      <c r="DG291" s="27" t="s">
        <v>8</v>
      </c>
      <c r="DH291" s="27" t="s">
        <v>7</v>
      </c>
      <c r="DI291" s="27" t="s">
        <v>8</v>
      </c>
      <c r="DJ291" s="27" t="s">
        <v>7</v>
      </c>
      <c r="DK291" s="27" t="s">
        <v>8</v>
      </c>
      <c r="DL291" s="27" t="s">
        <v>7</v>
      </c>
      <c r="DO291" s="27" t="s">
        <v>8</v>
      </c>
      <c r="FM291" s="27" t="s">
        <v>8</v>
      </c>
      <c r="FN291" s="27" t="s">
        <v>7</v>
      </c>
      <c r="FO291" s="27" t="s">
        <v>8</v>
      </c>
      <c r="FP291" s="27" t="s">
        <v>7</v>
      </c>
      <c r="GH291" s="27" t="s">
        <v>7</v>
      </c>
      <c r="GI291" s="27" t="s">
        <v>8</v>
      </c>
      <c r="GK291" s="27" t="s">
        <v>8</v>
      </c>
      <c r="GM291" s="27" t="s">
        <v>8</v>
      </c>
      <c r="GN291" s="27" t="s">
        <v>7</v>
      </c>
      <c r="GO291" s="27" t="s">
        <v>8</v>
      </c>
      <c r="GP291" s="27" t="s">
        <v>7</v>
      </c>
      <c r="GQ291" s="27" t="s">
        <v>8</v>
      </c>
      <c r="GR291" s="27" t="s">
        <v>7</v>
      </c>
      <c r="GS291" s="27" t="s">
        <v>8</v>
      </c>
      <c r="GT291" s="27" t="s">
        <v>7</v>
      </c>
    </row>
    <row r="292" spans="1:205" x14ac:dyDescent="0.25">
      <c r="A292" s="30">
        <v>7.9096350995354961E-2</v>
      </c>
      <c r="B292"/>
      <c r="C292"/>
      <c r="D292"/>
      <c r="E292"/>
      <c r="F292" s="27" t="s">
        <v>7</v>
      </c>
      <c r="DG292" s="27" t="s">
        <v>8</v>
      </c>
      <c r="DH292" s="27" t="s">
        <v>7</v>
      </c>
      <c r="DI292" s="27" t="s">
        <v>8</v>
      </c>
      <c r="DJ292" s="27" t="s">
        <v>7</v>
      </c>
      <c r="DK292" s="27" t="s">
        <v>8</v>
      </c>
      <c r="DL292" s="27" t="s">
        <v>7</v>
      </c>
      <c r="DO292" s="27" t="s">
        <v>8</v>
      </c>
      <c r="DP292" s="27" t="s">
        <v>7</v>
      </c>
      <c r="DQ292" s="27" t="s">
        <v>8</v>
      </c>
      <c r="EG292" s="31" t="s">
        <v>8</v>
      </c>
      <c r="FM292" s="27" t="s">
        <v>8</v>
      </c>
      <c r="FN292" s="27" t="s">
        <v>7</v>
      </c>
      <c r="FO292" s="27" t="s">
        <v>8</v>
      </c>
      <c r="GH292" s="27" t="s">
        <v>7</v>
      </c>
      <c r="GI292" s="27" t="s">
        <v>8</v>
      </c>
      <c r="GJ292" s="27" t="s">
        <v>7</v>
      </c>
      <c r="GK292" s="27" t="s">
        <v>8</v>
      </c>
      <c r="GL292" s="27" t="s">
        <v>7</v>
      </c>
      <c r="GM292" s="27" t="s">
        <v>8</v>
      </c>
      <c r="GN292" s="27" t="s">
        <v>7</v>
      </c>
      <c r="GO292" s="27" t="s">
        <v>8</v>
      </c>
      <c r="GP292" s="27" t="s">
        <v>7</v>
      </c>
      <c r="GQ292" s="27" t="s">
        <v>8</v>
      </c>
      <c r="GR292" s="27" t="s">
        <v>7</v>
      </c>
      <c r="GS292" s="27" t="s">
        <v>8</v>
      </c>
      <c r="GT292" s="27" t="s">
        <v>7</v>
      </c>
    </row>
    <row r="293" spans="1:205" x14ac:dyDescent="0.25">
      <c r="A293" s="30">
        <v>7.5329858090814217E-2</v>
      </c>
      <c r="B293"/>
      <c r="C293"/>
      <c r="D293"/>
      <c r="E293"/>
      <c r="F293" s="27" t="s">
        <v>7</v>
      </c>
      <c r="DG293" s="27" t="s">
        <v>8</v>
      </c>
      <c r="DH293" s="27" t="s">
        <v>7</v>
      </c>
      <c r="DI293" s="27" t="s">
        <v>8</v>
      </c>
      <c r="DJ293" s="27" t="s">
        <v>7</v>
      </c>
      <c r="DK293" s="27" t="s">
        <v>8</v>
      </c>
      <c r="DL293" s="27" t="s">
        <v>7</v>
      </c>
      <c r="DO293" s="27" t="s">
        <v>8</v>
      </c>
      <c r="DP293" s="27" t="s">
        <v>7</v>
      </c>
      <c r="DQ293" s="27" t="s">
        <v>8</v>
      </c>
      <c r="DR293" s="27" t="s">
        <v>7</v>
      </c>
      <c r="EA293" s="27" t="s">
        <v>8</v>
      </c>
      <c r="EG293" s="27" t="s">
        <v>8</v>
      </c>
      <c r="EH293" s="31" t="s">
        <v>7</v>
      </c>
      <c r="FM293" s="27" t="s">
        <v>8</v>
      </c>
      <c r="FN293" s="27" t="s">
        <v>7</v>
      </c>
      <c r="FO293" s="27" t="s">
        <v>8</v>
      </c>
      <c r="GH293" s="27" t="s">
        <v>7</v>
      </c>
      <c r="GI293" s="27" t="s">
        <v>8</v>
      </c>
      <c r="GJ293" s="27" t="s">
        <v>7</v>
      </c>
      <c r="GK293" s="27" t="s">
        <v>8</v>
      </c>
      <c r="GL293" s="27" t="s">
        <v>7</v>
      </c>
      <c r="GM293" s="27" t="s">
        <v>8</v>
      </c>
      <c r="GN293" s="27" t="s">
        <v>7</v>
      </c>
      <c r="GO293" s="27" t="s">
        <v>8</v>
      </c>
      <c r="GP293" s="27" t="s">
        <v>7</v>
      </c>
      <c r="GQ293" s="27" t="s">
        <v>8</v>
      </c>
      <c r="GR293" s="27" t="s">
        <v>7</v>
      </c>
      <c r="GS293" s="27" t="s">
        <v>8</v>
      </c>
      <c r="GT293" s="27" t="s">
        <v>7</v>
      </c>
    </row>
    <row r="294" spans="1:205" x14ac:dyDescent="0.25">
      <c r="A294" s="30">
        <v>7.1742721991251604E-2</v>
      </c>
      <c r="B294"/>
      <c r="C294"/>
      <c r="D294"/>
      <c r="E294"/>
      <c r="F294" s="27" t="s">
        <v>7</v>
      </c>
      <c r="DG294" s="27" t="s">
        <v>8</v>
      </c>
      <c r="DH294" s="27" t="s">
        <v>7</v>
      </c>
      <c r="DI294" s="27" t="s">
        <v>8</v>
      </c>
      <c r="DJ294" s="27" t="s">
        <v>7</v>
      </c>
      <c r="DK294" s="27" t="s">
        <v>8</v>
      </c>
      <c r="DL294" s="27" t="s">
        <v>7</v>
      </c>
      <c r="DM294" s="27" t="s">
        <v>8</v>
      </c>
      <c r="DO294" s="27" t="s">
        <v>8</v>
      </c>
      <c r="DP294" s="27" t="s">
        <v>7</v>
      </c>
      <c r="DQ294" s="27" t="s">
        <v>8</v>
      </c>
      <c r="DR294" s="27" t="s">
        <v>7</v>
      </c>
      <c r="EA294" s="27" t="s">
        <v>8</v>
      </c>
      <c r="EB294" s="27" t="s">
        <v>7</v>
      </c>
      <c r="EG294" s="27" t="s">
        <v>8</v>
      </c>
      <c r="EH294" s="27" t="s">
        <v>7</v>
      </c>
      <c r="EI294" s="31"/>
      <c r="FM294" s="27" t="s">
        <v>8</v>
      </c>
      <c r="FN294" s="27" t="s">
        <v>7</v>
      </c>
      <c r="GH294" s="27" t="s">
        <v>7</v>
      </c>
      <c r="GI294" s="27" t="s">
        <v>8</v>
      </c>
      <c r="GJ294" s="27" t="s">
        <v>7</v>
      </c>
      <c r="GK294" s="27" t="s">
        <v>8</v>
      </c>
      <c r="GL294" s="27" t="s">
        <v>7</v>
      </c>
      <c r="GM294" s="27" t="s">
        <v>8</v>
      </c>
      <c r="GN294" s="27" t="s">
        <v>7</v>
      </c>
      <c r="GO294" s="27" t="s">
        <v>8</v>
      </c>
      <c r="GP294" s="27" t="s">
        <v>7</v>
      </c>
      <c r="GR294" s="27" t="s">
        <v>7</v>
      </c>
      <c r="GS294" s="27" t="s">
        <v>8</v>
      </c>
      <c r="GT294" s="27" t="s">
        <v>7</v>
      </c>
    </row>
    <row r="295" spans="1:205" x14ac:dyDescent="0.25">
      <c r="A295" s="30">
        <v>6.8326401896430078E-2</v>
      </c>
      <c r="B295"/>
      <c r="C295"/>
      <c r="D295"/>
      <c r="E295"/>
      <c r="F295" s="27" t="s">
        <v>7</v>
      </c>
      <c r="DG295" s="27" t="s">
        <v>8</v>
      </c>
      <c r="DH295" s="27" t="s">
        <v>7</v>
      </c>
      <c r="DJ295" s="27" t="s">
        <v>7</v>
      </c>
      <c r="DL295" s="27" t="s">
        <v>7</v>
      </c>
      <c r="DM295" s="27" t="s">
        <v>8</v>
      </c>
      <c r="DN295" s="27" t="s">
        <v>7</v>
      </c>
      <c r="DO295" s="27" t="s">
        <v>8</v>
      </c>
      <c r="DP295" s="27" t="s">
        <v>7</v>
      </c>
      <c r="DQ295" s="27" t="s">
        <v>8</v>
      </c>
      <c r="DR295" s="27" t="s">
        <v>7</v>
      </c>
      <c r="DY295" s="27" t="s">
        <v>8</v>
      </c>
      <c r="EA295" s="27" t="s">
        <v>8</v>
      </c>
      <c r="EB295" s="27" t="s">
        <v>7</v>
      </c>
      <c r="EG295" s="27" t="s">
        <v>8</v>
      </c>
      <c r="EH295" s="27" t="s">
        <v>7</v>
      </c>
      <c r="EJ295" s="31"/>
      <c r="FK295" s="27" t="s">
        <v>8</v>
      </c>
      <c r="FM295" s="27" t="s">
        <v>8</v>
      </c>
      <c r="GH295" s="27" t="s">
        <v>7</v>
      </c>
      <c r="GI295" s="27" t="s">
        <v>8</v>
      </c>
      <c r="GJ295" s="27" t="s">
        <v>7</v>
      </c>
      <c r="GK295" s="27" t="s">
        <v>8</v>
      </c>
      <c r="GL295" s="27" t="s">
        <v>7</v>
      </c>
      <c r="GM295" s="27" t="s">
        <v>8</v>
      </c>
      <c r="GN295" s="27" t="s">
        <v>7</v>
      </c>
      <c r="GR295" s="27" t="s">
        <v>7</v>
      </c>
      <c r="GS295" s="27" t="s">
        <v>8</v>
      </c>
      <c r="GT295" s="27" t="s">
        <v>7</v>
      </c>
    </row>
    <row r="296" spans="1:205" x14ac:dyDescent="0.25">
      <c r="A296" s="30">
        <v>6.5072763710885759E-2</v>
      </c>
      <c r="B296"/>
      <c r="C296"/>
      <c r="D296"/>
      <c r="E296"/>
      <c r="F296" s="27" t="s">
        <v>7</v>
      </c>
      <c r="DE296" s="27" t="s">
        <v>8</v>
      </c>
      <c r="DG296" s="27" t="s">
        <v>8</v>
      </c>
      <c r="DL296" s="27" t="s">
        <v>7</v>
      </c>
      <c r="DM296" s="27" t="s">
        <v>8</v>
      </c>
      <c r="DN296" s="27" t="s">
        <v>7</v>
      </c>
      <c r="DO296" s="27" t="s">
        <v>8</v>
      </c>
      <c r="DP296" s="27" t="s">
        <v>7</v>
      </c>
      <c r="DR296" s="27" t="s">
        <v>7</v>
      </c>
      <c r="DY296" s="27" t="s">
        <v>8</v>
      </c>
      <c r="DZ296" s="27" t="s">
        <v>7</v>
      </c>
      <c r="EA296" s="27" t="s">
        <v>8</v>
      </c>
      <c r="EB296" s="27" t="s">
        <v>7</v>
      </c>
      <c r="EG296" s="27" t="s">
        <v>8</v>
      </c>
      <c r="EH296" s="27" t="s">
        <v>7</v>
      </c>
      <c r="EK296" s="31"/>
      <c r="FK296" s="27" t="s">
        <v>8</v>
      </c>
      <c r="FL296" s="27" t="s">
        <v>7</v>
      </c>
      <c r="FM296" s="27" t="s">
        <v>8</v>
      </c>
      <c r="GH296" s="27" t="s">
        <v>7</v>
      </c>
      <c r="GI296" s="27" t="s">
        <v>8</v>
      </c>
      <c r="GJ296" s="27" t="s">
        <v>7</v>
      </c>
      <c r="GL296" s="27" t="s">
        <v>7</v>
      </c>
      <c r="GM296" s="27" t="s">
        <v>8</v>
      </c>
      <c r="GR296" s="27" t="s">
        <v>7</v>
      </c>
      <c r="GS296" s="27" t="s">
        <v>8</v>
      </c>
      <c r="GT296" s="27" t="s">
        <v>7</v>
      </c>
    </row>
    <row r="297" spans="1:205" x14ac:dyDescent="0.25">
      <c r="A297" s="30">
        <v>6.197406067703403E-2</v>
      </c>
      <c r="B297"/>
      <c r="C297"/>
      <c r="D297"/>
      <c r="E297"/>
      <c r="F297" s="27" t="s">
        <v>7</v>
      </c>
      <c r="DE297" s="27" t="s">
        <v>8</v>
      </c>
      <c r="DF297" s="27" t="s">
        <v>7</v>
      </c>
      <c r="DG297" s="27" t="s">
        <v>8</v>
      </c>
      <c r="DL297" s="27" t="s">
        <v>7</v>
      </c>
      <c r="DM297" s="27" t="s">
        <v>8</v>
      </c>
      <c r="DN297" s="27" t="s">
        <v>7</v>
      </c>
      <c r="DO297" s="27" t="s">
        <v>8</v>
      </c>
      <c r="DR297" s="27" t="s">
        <v>7</v>
      </c>
      <c r="DS297" s="27" t="s">
        <v>8</v>
      </c>
      <c r="DY297" s="27" t="s">
        <v>8</v>
      </c>
      <c r="DZ297" s="27" t="s">
        <v>7</v>
      </c>
      <c r="EA297" s="27" t="s">
        <v>8</v>
      </c>
      <c r="EB297" s="27" t="s">
        <v>7</v>
      </c>
      <c r="EE297" s="27" t="s">
        <v>8</v>
      </c>
      <c r="EG297" s="27" t="s">
        <v>8</v>
      </c>
      <c r="EH297" s="27" t="s">
        <v>7</v>
      </c>
      <c r="EL297" s="31"/>
      <c r="FI297" s="27" t="s">
        <v>8</v>
      </c>
      <c r="FK297" s="27" t="s">
        <v>8</v>
      </c>
      <c r="FL297" s="27" t="s">
        <v>7</v>
      </c>
      <c r="FM297" s="27" t="s">
        <v>8</v>
      </c>
      <c r="GH297" s="27" t="s">
        <v>7</v>
      </c>
      <c r="GI297" s="27" t="s">
        <v>8</v>
      </c>
      <c r="GL297" s="27" t="s">
        <v>7</v>
      </c>
      <c r="GM297" s="27" t="s">
        <v>8</v>
      </c>
      <c r="GR297" s="27" t="s">
        <v>7</v>
      </c>
      <c r="GT297" s="27" t="s">
        <v>7</v>
      </c>
    </row>
    <row r="298" spans="1:205" x14ac:dyDescent="0.25">
      <c r="A298" s="30">
        <v>5.9022914930508576E-2</v>
      </c>
      <c r="B298"/>
      <c r="C298"/>
      <c r="D298"/>
      <c r="E298"/>
      <c r="F298" s="27" t="s">
        <v>7</v>
      </c>
      <c r="DC298" s="27" t="s">
        <v>8</v>
      </c>
      <c r="DE298" s="27" t="s">
        <v>8</v>
      </c>
      <c r="DF298" s="27" t="s">
        <v>7</v>
      </c>
      <c r="DG298" s="27" t="s">
        <v>8</v>
      </c>
      <c r="DL298" s="27" t="s">
        <v>7</v>
      </c>
      <c r="DM298" s="27" t="s">
        <v>8</v>
      </c>
      <c r="DN298" s="27" t="s">
        <v>7</v>
      </c>
      <c r="DR298" s="27" t="s">
        <v>7</v>
      </c>
      <c r="DS298" s="27" t="s">
        <v>8</v>
      </c>
      <c r="DT298" s="27" t="s">
        <v>7</v>
      </c>
      <c r="DY298" s="27" t="s">
        <v>8</v>
      </c>
      <c r="DZ298" s="27" t="s">
        <v>7</v>
      </c>
      <c r="EB298" s="27" t="s">
        <v>7</v>
      </c>
      <c r="EE298" s="27" t="s">
        <v>8</v>
      </c>
      <c r="EF298" s="27" t="s">
        <v>7</v>
      </c>
      <c r="EG298" s="27" t="s">
        <v>8</v>
      </c>
      <c r="EH298" s="27" t="s">
        <v>7</v>
      </c>
      <c r="EM298" s="31" t="s">
        <v>8</v>
      </c>
      <c r="FI298" s="27" t="s">
        <v>8</v>
      </c>
      <c r="FJ298" s="27" t="s">
        <v>7</v>
      </c>
      <c r="FK298" s="27" t="s">
        <v>8</v>
      </c>
      <c r="FL298" s="27" t="s">
        <v>7</v>
      </c>
      <c r="FM298" s="27" t="s">
        <v>8</v>
      </c>
      <c r="GH298" s="27" t="s">
        <v>7</v>
      </c>
      <c r="GL298" s="27" t="s">
        <v>7</v>
      </c>
      <c r="GT298" s="27" t="s">
        <v>7</v>
      </c>
    </row>
    <row r="299" spans="1:205" x14ac:dyDescent="0.25">
      <c r="A299" s="30">
        <v>5.6212299933817669E-2</v>
      </c>
      <c r="B299"/>
      <c r="C299"/>
      <c r="D299"/>
      <c r="E299"/>
      <c r="F299" s="27" t="s">
        <v>7</v>
      </c>
      <c r="DC299" s="27" t="s">
        <v>8</v>
      </c>
      <c r="DD299" s="27" t="s">
        <v>7</v>
      </c>
      <c r="DE299" s="27" t="s">
        <v>8</v>
      </c>
      <c r="DF299" s="27" t="s">
        <v>7</v>
      </c>
      <c r="DG299" s="27" t="s">
        <v>8</v>
      </c>
      <c r="DL299" s="27" t="s">
        <v>7</v>
      </c>
      <c r="DM299" s="27" t="s">
        <v>8</v>
      </c>
      <c r="DR299" s="27" t="s">
        <v>7</v>
      </c>
      <c r="DS299" s="27" t="s">
        <v>8</v>
      </c>
      <c r="DT299" s="27" t="s">
        <v>7</v>
      </c>
      <c r="DU299" s="27" t="s">
        <v>8</v>
      </c>
      <c r="DY299" s="27" t="s">
        <v>8</v>
      </c>
      <c r="EB299" s="27" t="s">
        <v>7</v>
      </c>
      <c r="EE299" s="27" t="s">
        <v>8</v>
      </c>
      <c r="EF299" s="27" t="s">
        <v>7</v>
      </c>
      <c r="EG299" s="27" t="s">
        <v>8</v>
      </c>
      <c r="EH299" s="27" t="s">
        <v>7</v>
      </c>
      <c r="EM299" s="27" t="s">
        <v>8</v>
      </c>
      <c r="EN299" s="31" t="s">
        <v>7</v>
      </c>
      <c r="FI299" s="27" t="s">
        <v>8</v>
      </c>
      <c r="FJ299" s="27" t="s">
        <v>7</v>
      </c>
      <c r="FK299" s="27" t="s">
        <v>8</v>
      </c>
      <c r="FL299" s="27" t="s">
        <v>7</v>
      </c>
      <c r="GT299" s="27" t="s">
        <v>7</v>
      </c>
      <c r="GU299" s="27" t="s">
        <v>8</v>
      </c>
      <c r="GW299" s="27" t="s">
        <v>8</v>
      </c>
    </row>
    <row r="300" spans="1:205" x14ac:dyDescent="0.25">
      <c r="A300" s="30">
        <v>5.3535523746492994E-2</v>
      </c>
      <c r="B300"/>
      <c r="C300"/>
      <c r="D300"/>
      <c r="E300"/>
      <c r="F300" s="27" t="s">
        <v>7</v>
      </c>
      <c r="DC300" s="27" t="s">
        <v>8</v>
      </c>
      <c r="DD300" s="27" t="s">
        <v>7</v>
      </c>
      <c r="DE300" s="27" t="s">
        <v>8</v>
      </c>
      <c r="DF300" s="27" t="s">
        <v>7</v>
      </c>
      <c r="DG300" s="27" t="s">
        <v>8</v>
      </c>
      <c r="DL300" s="27" t="s">
        <v>7</v>
      </c>
      <c r="DR300" s="27" t="s">
        <v>7</v>
      </c>
      <c r="DS300" s="27" t="s">
        <v>8</v>
      </c>
      <c r="DT300" s="27" t="s">
        <v>7</v>
      </c>
      <c r="DU300" s="27" t="s">
        <v>8</v>
      </c>
      <c r="DV300" s="27" t="s">
        <v>7</v>
      </c>
      <c r="DY300" s="27" t="s">
        <v>8</v>
      </c>
      <c r="EB300" s="27" t="s">
        <v>7</v>
      </c>
      <c r="EC300" s="27" t="s">
        <v>8</v>
      </c>
      <c r="EE300" s="27" t="s">
        <v>8</v>
      </c>
      <c r="EF300" s="27" t="s">
        <v>7</v>
      </c>
      <c r="EG300" s="27" t="s">
        <v>8</v>
      </c>
      <c r="EH300" s="27" t="s">
        <v>7</v>
      </c>
      <c r="EM300" s="27" t="s">
        <v>8</v>
      </c>
      <c r="EN300" s="27" t="s">
        <v>7</v>
      </c>
      <c r="EO300" s="31"/>
      <c r="FG300" s="27" t="s">
        <v>8</v>
      </c>
      <c r="FI300" s="27" t="s">
        <v>8</v>
      </c>
      <c r="FJ300" s="27" t="s">
        <v>7</v>
      </c>
      <c r="FK300" s="27" t="s">
        <v>8</v>
      </c>
      <c r="GT300" s="27" t="s">
        <v>7</v>
      </c>
      <c r="GU300" s="27" t="s">
        <v>8</v>
      </c>
      <c r="GV300" s="27" t="s">
        <v>7</v>
      </c>
      <c r="GW300" s="27" t="s">
        <v>8</v>
      </c>
    </row>
    <row r="301" spans="1:205" x14ac:dyDescent="0.25">
      <c r="A301" s="30">
        <v>5.0986213091898068E-2</v>
      </c>
      <c r="B301"/>
      <c r="C301"/>
      <c r="D301"/>
      <c r="E301"/>
      <c r="F301" s="27" t="s">
        <v>7</v>
      </c>
      <c r="DC301" s="27" t="s">
        <v>8</v>
      </c>
      <c r="DD301" s="27" t="s">
        <v>7</v>
      </c>
      <c r="DE301" s="27" t="s">
        <v>8</v>
      </c>
      <c r="DF301" s="27" t="s">
        <v>7</v>
      </c>
      <c r="DG301" s="27" t="s">
        <v>8</v>
      </c>
      <c r="DR301" s="27" t="s">
        <v>7</v>
      </c>
      <c r="DS301" s="27" t="s">
        <v>8</v>
      </c>
      <c r="DT301" s="27" t="s">
        <v>7</v>
      </c>
      <c r="DU301" s="27" t="s">
        <v>8</v>
      </c>
      <c r="DV301" s="27" t="s">
        <v>7</v>
      </c>
      <c r="DY301" s="27" t="s">
        <v>8</v>
      </c>
      <c r="EB301" s="27" t="s">
        <v>7</v>
      </c>
      <c r="EC301" s="27" t="s">
        <v>8</v>
      </c>
      <c r="ED301" s="27" t="s">
        <v>7</v>
      </c>
      <c r="EE301" s="27" t="s">
        <v>8</v>
      </c>
      <c r="EF301" s="27" t="s">
        <v>7</v>
      </c>
      <c r="EG301" s="27" t="s">
        <v>8</v>
      </c>
      <c r="EH301" s="27" t="s">
        <v>7</v>
      </c>
      <c r="EM301" s="27" t="s">
        <v>8</v>
      </c>
      <c r="EN301" s="27" t="s">
        <v>7</v>
      </c>
      <c r="EP301" s="31"/>
      <c r="FE301" s="27" t="s">
        <v>8</v>
      </c>
      <c r="FG301" s="27" t="s">
        <v>8</v>
      </c>
      <c r="FH301" s="27" t="s">
        <v>7</v>
      </c>
      <c r="FI301" s="27" t="s">
        <v>8</v>
      </c>
      <c r="FJ301" s="27" t="s">
        <v>7</v>
      </c>
      <c r="FK301" s="27" t="s">
        <v>8</v>
      </c>
      <c r="GT301" s="27" t="s">
        <v>7</v>
      </c>
      <c r="GU301" s="27" t="s">
        <v>8</v>
      </c>
      <c r="GV301" s="27" t="s">
        <v>7</v>
      </c>
      <c r="GW301" s="27" t="s">
        <v>8</v>
      </c>
    </row>
    <row r="302" spans="1:205" x14ac:dyDescent="0.25">
      <c r="A302" s="30">
        <v>4.8558298182760043E-2</v>
      </c>
      <c r="B302"/>
      <c r="C302"/>
      <c r="D302"/>
      <c r="E302"/>
      <c r="F302" s="27" t="s">
        <v>7</v>
      </c>
      <c r="DC302" s="27" t="s">
        <v>8</v>
      </c>
      <c r="DD302" s="27" t="s">
        <v>7</v>
      </c>
      <c r="DE302" s="27" t="s">
        <v>8</v>
      </c>
      <c r="DF302" s="27" t="s">
        <v>7</v>
      </c>
      <c r="DG302" s="27" t="s">
        <v>8</v>
      </c>
      <c r="DR302" s="27" t="s">
        <v>7</v>
      </c>
      <c r="DT302" s="27" t="s">
        <v>7</v>
      </c>
      <c r="DU302" s="27" t="s">
        <v>8</v>
      </c>
      <c r="DV302" s="27" t="s">
        <v>7</v>
      </c>
      <c r="DW302" s="27" t="s">
        <v>8</v>
      </c>
      <c r="DY302" s="27" t="s">
        <v>8</v>
      </c>
      <c r="EB302" s="27" t="s">
        <v>7</v>
      </c>
      <c r="EC302" s="27" t="s">
        <v>8</v>
      </c>
      <c r="ED302" s="27" t="s">
        <v>7</v>
      </c>
      <c r="EE302" s="27" t="s">
        <v>8</v>
      </c>
      <c r="EF302" s="27" t="s">
        <v>7</v>
      </c>
      <c r="EG302" s="27" t="s">
        <v>8</v>
      </c>
      <c r="EH302" s="27" t="s">
        <v>7</v>
      </c>
      <c r="EM302" s="27" t="s">
        <v>8</v>
      </c>
      <c r="EN302" s="27" t="s">
        <v>7</v>
      </c>
      <c r="EO302" s="27" t="s">
        <v>8</v>
      </c>
      <c r="EQ302" s="31"/>
      <c r="FC302" s="27" t="s">
        <v>8</v>
      </c>
      <c r="FE302" s="27" t="s">
        <v>8</v>
      </c>
      <c r="FF302" s="27" t="s">
        <v>7</v>
      </c>
      <c r="FG302" s="27" t="s">
        <v>8</v>
      </c>
      <c r="FH302" s="27" t="s">
        <v>7</v>
      </c>
      <c r="FI302" s="27" t="s">
        <v>8</v>
      </c>
      <c r="FJ302" s="27" t="s">
        <v>7</v>
      </c>
      <c r="FK302" s="27" t="s">
        <v>8</v>
      </c>
      <c r="GT302" s="27" t="s">
        <v>7</v>
      </c>
      <c r="GV302" s="27" t="s">
        <v>7</v>
      </c>
      <c r="GW302" s="27" t="s">
        <v>8</v>
      </c>
    </row>
    <row r="303" spans="1:205" x14ac:dyDescent="0.25">
      <c r="A303" s="30">
        <v>4.6245998269295263E-2</v>
      </c>
      <c r="B303"/>
      <c r="C303"/>
      <c r="D303"/>
      <c r="E303"/>
      <c r="F303" s="27" t="s">
        <v>7</v>
      </c>
      <c r="DC303" s="27" t="s">
        <v>8</v>
      </c>
      <c r="DD303" s="27" t="s">
        <v>7</v>
      </c>
      <c r="DE303" s="27" t="s">
        <v>8</v>
      </c>
      <c r="DF303" s="27" t="s">
        <v>7</v>
      </c>
      <c r="DT303" s="27" t="s">
        <v>7</v>
      </c>
      <c r="DU303" s="27" t="s">
        <v>8</v>
      </c>
      <c r="DV303" s="27" t="s">
        <v>7</v>
      </c>
      <c r="DW303" s="27" t="s">
        <v>8</v>
      </c>
      <c r="DX303" s="27" t="s">
        <v>7</v>
      </c>
      <c r="DY303" s="27" t="s">
        <v>8</v>
      </c>
      <c r="EB303" s="27" t="s">
        <v>7</v>
      </c>
      <c r="EC303" s="27" t="s">
        <v>8</v>
      </c>
      <c r="ED303" s="27" t="s">
        <v>7</v>
      </c>
      <c r="EE303" s="27" t="s">
        <v>8</v>
      </c>
      <c r="EF303" s="27" t="s">
        <v>7</v>
      </c>
      <c r="EH303" s="27" t="s">
        <v>7</v>
      </c>
      <c r="EM303" s="27" t="s">
        <v>8</v>
      </c>
      <c r="EN303" s="27" t="s">
        <v>7</v>
      </c>
      <c r="EO303" s="27" t="s">
        <v>8</v>
      </c>
      <c r="EP303" s="27" t="s">
        <v>7</v>
      </c>
      <c r="ER303" s="31"/>
      <c r="FC303" s="27" t="s">
        <v>8</v>
      </c>
      <c r="FD303" s="27" t="s">
        <v>7</v>
      </c>
      <c r="FE303" s="27" t="s">
        <v>8</v>
      </c>
      <c r="FF303" s="27" t="s">
        <v>7</v>
      </c>
      <c r="FG303" s="27" t="s">
        <v>8</v>
      </c>
      <c r="FH303" s="27" t="s">
        <v>7</v>
      </c>
      <c r="FI303" s="27" t="s">
        <v>8</v>
      </c>
      <c r="FJ303" s="27" t="s">
        <v>7</v>
      </c>
      <c r="FK303" s="27" t="s">
        <v>8</v>
      </c>
      <c r="GV303" s="27" t="s">
        <v>7</v>
      </c>
    </row>
    <row r="304" spans="1:205" x14ac:dyDescent="0.25">
      <c r="A304" s="30">
        <v>4.4043807875519279E-2</v>
      </c>
      <c r="B304"/>
      <c r="C304"/>
      <c r="D304"/>
      <c r="E304"/>
      <c r="F304" s="27" t="s">
        <v>7</v>
      </c>
      <c r="DC304" s="27" t="s">
        <v>8</v>
      </c>
      <c r="DD304" s="27" t="s">
        <v>7</v>
      </c>
      <c r="DT304" s="27" t="s">
        <v>7</v>
      </c>
      <c r="DV304" s="27" t="s">
        <v>7</v>
      </c>
      <c r="DW304" s="27" t="s">
        <v>8</v>
      </c>
      <c r="DX304" s="27" t="s">
        <v>7</v>
      </c>
      <c r="DY304" s="27" t="s">
        <v>8</v>
      </c>
      <c r="EB304" s="27" t="s">
        <v>7</v>
      </c>
      <c r="ED304" s="27" t="s">
        <v>7</v>
      </c>
      <c r="EE304" s="27" t="s">
        <v>8</v>
      </c>
      <c r="EH304" s="27" t="s">
        <v>7</v>
      </c>
      <c r="EM304" s="27" t="s">
        <v>8</v>
      </c>
      <c r="EN304" s="27" t="s">
        <v>7</v>
      </c>
      <c r="EO304" s="27" t="s">
        <v>8</v>
      </c>
      <c r="EP304" s="27" t="s">
        <v>7</v>
      </c>
      <c r="ES304" s="31"/>
      <c r="FC304" s="27" t="s">
        <v>8</v>
      </c>
      <c r="FD304" s="27" t="s">
        <v>7</v>
      </c>
      <c r="FE304" s="27" t="s">
        <v>8</v>
      </c>
      <c r="FF304" s="27" t="s">
        <v>7</v>
      </c>
      <c r="FG304" s="27" t="s">
        <v>8</v>
      </c>
      <c r="FH304" s="27" t="s">
        <v>7</v>
      </c>
      <c r="FI304" s="27" t="s">
        <v>8</v>
      </c>
      <c r="FJ304" s="27" t="s">
        <v>7</v>
      </c>
      <c r="FK304" s="27" t="s">
        <v>8</v>
      </c>
    </row>
    <row r="305" spans="1:169" x14ac:dyDescent="0.25">
      <c r="A305" s="30">
        <v>4.1946483690970725E-2</v>
      </c>
      <c r="B305"/>
      <c r="C305"/>
      <c r="D305"/>
      <c r="E305"/>
      <c r="F305" s="27" t="s">
        <v>7</v>
      </c>
      <c r="DC305" s="27" t="s">
        <v>8</v>
      </c>
      <c r="DV305" s="27" t="s">
        <v>7</v>
      </c>
      <c r="DX305" s="27" t="s">
        <v>7</v>
      </c>
      <c r="ED305" s="27" t="s">
        <v>7</v>
      </c>
      <c r="EE305" s="27" t="s">
        <v>8</v>
      </c>
      <c r="EH305" s="27" t="s">
        <v>7</v>
      </c>
      <c r="EM305" s="27" t="s">
        <v>8</v>
      </c>
      <c r="EN305" s="27" t="s">
        <v>7</v>
      </c>
      <c r="EO305" s="27" t="s">
        <v>8</v>
      </c>
      <c r="EP305" s="27" t="s">
        <v>7</v>
      </c>
      <c r="EQ305" s="27" t="s">
        <v>8</v>
      </c>
      <c r="ET305" s="31"/>
      <c r="FC305" s="27" t="s">
        <v>8</v>
      </c>
      <c r="FD305" s="27" t="s">
        <v>7</v>
      </c>
      <c r="FF305" s="27" t="s">
        <v>7</v>
      </c>
      <c r="FG305" s="27" t="s">
        <v>8</v>
      </c>
      <c r="FH305" s="27" t="s">
        <v>7</v>
      </c>
      <c r="FJ305" s="27" t="s">
        <v>7</v>
      </c>
      <c r="FM305" s="31"/>
    </row>
    <row r="306" spans="1:169" x14ac:dyDescent="0.25">
      <c r="A306" s="30">
        <v>3.9949032086638768E-2</v>
      </c>
      <c r="B306"/>
      <c r="C306"/>
      <c r="D306"/>
      <c r="E306"/>
      <c r="F306" s="27" t="s">
        <v>7</v>
      </c>
      <c r="DC306" s="27" t="s">
        <v>8</v>
      </c>
      <c r="ED306" s="27" t="s">
        <v>7</v>
      </c>
      <c r="EE306" s="27" t="s">
        <v>8</v>
      </c>
      <c r="EH306" s="27" t="s">
        <v>7</v>
      </c>
      <c r="EK306" s="27" t="s">
        <v>8</v>
      </c>
      <c r="EM306" s="27" t="s">
        <v>8</v>
      </c>
      <c r="EN306" s="27" t="s">
        <v>7</v>
      </c>
      <c r="EP306" s="27" t="s">
        <v>7</v>
      </c>
      <c r="EQ306" s="27" t="s">
        <v>8</v>
      </c>
      <c r="ER306" s="27" t="s">
        <v>7</v>
      </c>
      <c r="EU306" s="31"/>
      <c r="FC306" s="27" t="s">
        <v>8</v>
      </c>
      <c r="FF306" s="27" t="s">
        <v>7</v>
      </c>
      <c r="FL306" s="31"/>
    </row>
    <row r="307" spans="1:169" x14ac:dyDescent="0.25">
      <c r="A307" s="30">
        <v>3.8046697225370241E-2</v>
      </c>
      <c r="B307"/>
      <c r="C307"/>
      <c r="D307"/>
      <c r="E307"/>
      <c r="F307" s="27" t="s">
        <v>7</v>
      </c>
      <c r="DC307" s="27" t="s">
        <v>8</v>
      </c>
      <c r="ED307" s="27" t="s">
        <v>7</v>
      </c>
      <c r="EH307" s="27" t="s">
        <v>7</v>
      </c>
      <c r="EI307" s="27" t="s">
        <v>8</v>
      </c>
      <c r="EK307" s="27" t="s">
        <v>8</v>
      </c>
      <c r="EL307" s="27" t="s">
        <v>7</v>
      </c>
      <c r="EM307" s="27" t="s">
        <v>8</v>
      </c>
      <c r="EP307" s="27" t="s">
        <v>7</v>
      </c>
      <c r="EQ307" s="27" t="s">
        <v>8</v>
      </c>
      <c r="ER307" s="27" t="s">
        <v>7</v>
      </c>
      <c r="EV307" s="31"/>
      <c r="FC307" s="27" t="s">
        <v>8</v>
      </c>
      <c r="FK307" s="31"/>
    </row>
    <row r="308" spans="1:169" x14ac:dyDescent="0.25">
      <c r="A308" s="30">
        <v>3.6234949738447833E-2</v>
      </c>
      <c r="B308"/>
      <c r="C308"/>
      <c r="D308"/>
      <c r="E308"/>
      <c r="F308" s="27" t="s">
        <v>7</v>
      </c>
      <c r="DC308" s="27" t="s">
        <v>8</v>
      </c>
      <c r="EH308" s="27" t="s">
        <v>7</v>
      </c>
      <c r="EI308" s="27" t="s">
        <v>8</v>
      </c>
      <c r="EJ308" s="27" t="s">
        <v>7</v>
      </c>
      <c r="EK308" s="27" t="s">
        <v>8</v>
      </c>
      <c r="EL308" s="27" t="s">
        <v>7</v>
      </c>
      <c r="EM308" s="27" t="s">
        <v>8</v>
      </c>
      <c r="EP308" s="27" t="s">
        <v>7</v>
      </c>
      <c r="EQ308" s="27" t="s">
        <v>8</v>
      </c>
      <c r="ER308" s="27" t="s">
        <v>7</v>
      </c>
      <c r="EW308" s="31"/>
      <c r="FC308" s="27" t="s">
        <v>8</v>
      </c>
      <c r="FJ308" s="31"/>
    </row>
    <row r="309" spans="1:169" x14ac:dyDescent="0.25">
      <c r="A309" s="30">
        <v>3.4509475941378875E-2</v>
      </c>
      <c r="B309"/>
      <c r="C309"/>
      <c r="D309"/>
      <c r="E309"/>
      <c r="F309" s="27" t="s">
        <v>7</v>
      </c>
      <c r="DC309" s="27" t="s">
        <v>8</v>
      </c>
      <c r="EH309" s="27" t="s">
        <v>7</v>
      </c>
      <c r="EI309" s="27" t="s">
        <v>8</v>
      </c>
      <c r="EJ309" s="27" t="s">
        <v>7</v>
      </c>
      <c r="EK309" s="27" t="s">
        <v>8</v>
      </c>
      <c r="EL309" s="27" t="s">
        <v>7</v>
      </c>
      <c r="EM309" s="27" t="s">
        <v>8</v>
      </c>
      <c r="EP309" s="27" t="s">
        <v>7</v>
      </c>
      <c r="EQ309" s="27" t="s">
        <v>8</v>
      </c>
      <c r="ER309" s="27" t="s">
        <v>7</v>
      </c>
      <c r="EX309" s="31"/>
      <c r="FA309" s="27" t="s">
        <v>8</v>
      </c>
      <c r="FC309" s="27" t="s">
        <v>8</v>
      </c>
      <c r="FI309" s="31"/>
    </row>
    <row r="310" spans="1:169" x14ac:dyDescent="0.25">
      <c r="A310" s="30">
        <v>3.286616756321796E-2</v>
      </c>
      <c r="B310"/>
      <c r="C310"/>
      <c r="D310"/>
      <c r="E310"/>
      <c r="F310" s="27" t="s">
        <v>7</v>
      </c>
      <c r="DC310" s="27" t="s">
        <v>8</v>
      </c>
      <c r="EH310" s="27" t="s">
        <v>7</v>
      </c>
      <c r="EJ310" s="27" t="s">
        <v>7</v>
      </c>
      <c r="EK310" s="27" t="s">
        <v>8</v>
      </c>
      <c r="EL310" s="27" t="s">
        <v>7</v>
      </c>
      <c r="EP310" s="27" t="s">
        <v>7</v>
      </c>
      <c r="EQ310" s="27" t="s">
        <v>8</v>
      </c>
      <c r="ER310" s="27" t="s">
        <v>7</v>
      </c>
      <c r="EW310" s="27" t="s">
        <v>8</v>
      </c>
      <c r="EY310" s="31"/>
      <c r="FA310" s="27" t="s">
        <v>8</v>
      </c>
      <c r="FB310" s="27" t="s">
        <v>7</v>
      </c>
      <c r="FC310" s="27" t="s">
        <v>8</v>
      </c>
      <c r="FH310" s="31"/>
    </row>
    <row r="311" spans="1:169" x14ac:dyDescent="0.25">
      <c r="A311" s="30">
        <v>3.1301111964969472E-2</v>
      </c>
      <c r="B311"/>
      <c r="C311"/>
      <c r="D311"/>
      <c r="E311"/>
      <c r="F311" s="27" t="s">
        <v>7</v>
      </c>
      <c r="DA311" s="27" t="s">
        <v>8</v>
      </c>
      <c r="DC311" s="27" t="s">
        <v>8</v>
      </c>
      <c r="EJ311" s="27" t="s">
        <v>7</v>
      </c>
      <c r="EK311" s="27" t="s">
        <v>8</v>
      </c>
      <c r="EP311" s="27" t="s">
        <v>7</v>
      </c>
      <c r="ER311" s="27" t="s">
        <v>7</v>
      </c>
      <c r="EU311" s="27" t="s">
        <v>8</v>
      </c>
      <c r="EW311" s="27" t="s">
        <v>8</v>
      </c>
      <c r="EX311" s="27" t="s">
        <v>7</v>
      </c>
      <c r="EZ311" s="31"/>
      <c r="FA311" s="33" t="s">
        <v>8</v>
      </c>
      <c r="FB311" s="27" t="s">
        <v>7</v>
      </c>
      <c r="FC311" s="27" t="s">
        <v>8</v>
      </c>
      <c r="FG311" s="31"/>
    </row>
    <row r="312" spans="1:169" x14ac:dyDescent="0.25">
      <c r="A312" s="30">
        <v>2.9810582823780438E-2</v>
      </c>
      <c r="B312"/>
      <c r="C312"/>
      <c r="D312"/>
      <c r="E312"/>
      <c r="F312" s="27" t="s">
        <v>7</v>
      </c>
      <c r="DA312" s="27" t="s">
        <v>8</v>
      </c>
      <c r="DB312" s="27" t="s">
        <v>7</v>
      </c>
      <c r="DC312" s="27" t="s">
        <v>8</v>
      </c>
      <c r="EJ312" s="27" t="s">
        <v>7</v>
      </c>
      <c r="EK312" s="27" t="s">
        <v>8</v>
      </c>
      <c r="ER312" s="27" t="s">
        <v>7</v>
      </c>
      <c r="ES312" s="27" t="s">
        <v>8</v>
      </c>
      <c r="EU312" s="27" t="s">
        <v>8</v>
      </c>
      <c r="EV312" s="27" t="s">
        <v>7</v>
      </c>
      <c r="EW312" s="27" t="s">
        <v>8</v>
      </c>
      <c r="EX312" s="27" t="s">
        <v>7</v>
      </c>
      <c r="EY312" s="27" t="s">
        <v>8</v>
      </c>
      <c r="FA312" s="31" t="s">
        <v>8</v>
      </c>
      <c r="FB312" s="27" t="s">
        <v>7</v>
      </c>
      <c r="FF312" s="31"/>
    </row>
    <row r="313" spans="1:169" x14ac:dyDescent="0.25">
      <c r="A313" s="30">
        <v>2.8391031260743264E-2</v>
      </c>
      <c r="B313"/>
      <c r="C313"/>
      <c r="D313"/>
      <c r="E313"/>
      <c r="F313" s="27" t="s">
        <v>7</v>
      </c>
      <c r="DA313" s="27" t="s">
        <v>8</v>
      </c>
      <c r="DB313" s="27" t="s">
        <v>7</v>
      </c>
      <c r="DC313" s="27" t="s">
        <v>8</v>
      </c>
      <c r="EJ313" s="27" t="s">
        <v>7</v>
      </c>
      <c r="EK313" s="27" t="s">
        <v>8</v>
      </c>
      <c r="ER313" s="27" t="s">
        <v>7</v>
      </c>
      <c r="ES313" s="27" t="s">
        <v>8</v>
      </c>
      <c r="ET313" s="27" t="s">
        <v>7</v>
      </c>
      <c r="EU313" s="27" t="s">
        <v>8</v>
      </c>
      <c r="EV313" s="27" t="s">
        <v>7</v>
      </c>
      <c r="EW313" s="27" t="s">
        <v>8</v>
      </c>
      <c r="EX313" s="27" t="s">
        <v>7</v>
      </c>
      <c r="EY313" s="27" t="s">
        <v>8</v>
      </c>
      <c r="EZ313" s="27" t="s">
        <v>7</v>
      </c>
      <c r="FA313" s="27" t="s">
        <v>8</v>
      </c>
      <c r="FB313" s="31"/>
      <c r="FE313" s="31"/>
    </row>
    <row r="314" spans="1:169" x14ac:dyDescent="0.25">
      <c r="A314" s="30">
        <v>2.7039077391184052E-2</v>
      </c>
      <c r="B314"/>
      <c r="C314"/>
      <c r="D314"/>
      <c r="E314"/>
      <c r="F314" s="27" t="s">
        <v>7</v>
      </c>
      <c r="DA314" s="27" t="s">
        <v>8</v>
      </c>
      <c r="DB314" s="27" t="s">
        <v>7</v>
      </c>
      <c r="EJ314" s="27" t="s">
        <v>7</v>
      </c>
      <c r="EK314" s="27" t="s">
        <v>8</v>
      </c>
      <c r="ER314" s="27" t="s">
        <v>7</v>
      </c>
      <c r="ES314" s="27" t="s">
        <v>8</v>
      </c>
      <c r="ET314" s="27" t="s">
        <v>7</v>
      </c>
      <c r="EU314" s="27" t="s">
        <v>8</v>
      </c>
      <c r="EV314" s="27" t="s">
        <v>7</v>
      </c>
      <c r="EW314" s="27" t="s">
        <v>8</v>
      </c>
      <c r="EX314" s="27" t="s">
        <v>7</v>
      </c>
      <c r="EY314" s="27" t="s">
        <v>8</v>
      </c>
      <c r="EZ314" s="27" t="s">
        <v>7</v>
      </c>
      <c r="FA314" s="27" t="s">
        <v>8</v>
      </c>
      <c r="FD314" s="31"/>
    </row>
    <row r="315" spans="1:169" x14ac:dyDescent="0.25">
      <c r="A315" s="30">
        <v>2.5751502277318133E-2</v>
      </c>
      <c r="B315"/>
      <c r="C315"/>
      <c r="D315"/>
      <c r="E315"/>
      <c r="F315" s="27" t="s">
        <v>7</v>
      </c>
      <c r="CU315" s="27" t="s">
        <v>8</v>
      </c>
      <c r="CY315" s="27" t="s">
        <v>8</v>
      </c>
      <c r="DA315" s="27" t="s">
        <v>8</v>
      </c>
      <c r="EJ315" s="27" t="s">
        <v>7</v>
      </c>
      <c r="EK315" s="27" t="s">
        <v>8</v>
      </c>
      <c r="ER315" s="27" t="s">
        <v>7</v>
      </c>
      <c r="ES315" s="27" t="s">
        <v>8</v>
      </c>
      <c r="ET315" s="27" t="s">
        <v>7</v>
      </c>
      <c r="EU315" s="27" t="s">
        <v>8</v>
      </c>
      <c r="EV315" s="27" t="s">
        <v>7</v>
      </c>
      <c r="EX315" s="27" t="s">
        <v>7</v>
      </c>
      <c r="EY315" s="27" t="s">
        <v>8</v>
      </c>
      <c r="EZ315" s="27" t="s">
        <v>7</v>
      </c>
      <c r="FC315" s="31"/>
    </row>
    <row r="316" spans="1:169" x14ac:dyDescent="0.25">
      <c r="A316" s="30">
        <v>2.4525240264112496E-2</v>
      </c>
      <c r="B316"/>
      <c r="C316"/>
      <c r="D316"/>
      <c r="E316"/>
      <c r="F316" s="27" t="s">
        <v>7</v>
      </c>
      <c r="CQ316" s="27" t="s">
        <v>8</v>
      </c>
      <c r="CU316" s="27" t="s">
        <v>8</v>
      </c>
      <c r="CV316" s="27" t="s">
        <v>7</v>
      </c>
      <c r="CY316" s="27" t="s">
        <v>8</v>
      </c>
      <c r="CZ316" s="27" t="s">
        <v>7</v>
      </c>
      <c r="DA316" s="27" t="s">
        <v>8</v>
      </c>
      <c r="EJ316" s="27" t="s">
        <v>7</v>
      </c>
      <c r="EK316" s="27" t="s">
        <v>8</v>
      </c>
      <c r="ER316" s="27" t="s">
        <v>7</v>
      </c>
      <c r="ES316" s="27" t="s">
        <v>8</v>
      </c>
      <c r="ET316" s="27" t="s">
        <v>7</v>
      </c>
      <c r="EX316" s="32" t="s">
        <v>7</v>
      </c>
      <c r="EY316" s="27" t="s">
        <v>8</v>
      </c>
      <c r="FB316" s="31"/>
    </row>
    <row r="317" spans="1:169" x14ac:dyDescent="0.25">
      <c r="A317" s="30">
        <v>2.3357371680107129E-2</v>
      </c>
      <c r="B317"/>
      <c r="C317"/>
      <c r="D317"/>
      <c r="E317"/>
      <c r="F317" s="27" t="s">
        <v>7</v>
      </c>
      <c r="CQ317" s="27" t="s">
        <v>8</v>
      </c>
      <c r="CR317" s="27" t="s">
        <v>7</v>
      </c>
      <c r="CU317" s="27" t="s">
        <v>8</v>
      </c>
      <c r="CV317" s="27" t="s">
        <v>7</v>
      </c>
      <c r="CY317" s="27" t="s">
        <v>8</v>
      </c>
      <c r="CZ317" s="27" t="s">
        <v>7</v>
      </c>
      <c r="DA317" s="27" t="s">
        <v>8</v>
      </c>
      <c r="EJ317" s="27" t="s">
        <v>7</v>
      </c>
      <c r="EK317" s="27" t="s">
        <v>8</v>
      </c>
      <c r="ER317" s="27" t="s">
        <v>7</v>
      </c>
      <c r="ES317" s="27" t="s">
        <v>8</v>
      </c>
      <c r="EX317" s="27" t="s">
        <v>7</v>
      </c>
      <c r="EY317" s="27" t="s">
        <v>8</v>
      </c>
      <c r="FA317" s="31"/>
    </row>
    <row r="318" spans="1:169" x14ac:dyDescent="0.25">
      <c r="A318" s="30">
        <v>2.2245115885816305E-2</v>
      </c>
      <c r="B318"/>
      <c r="C318"/>
      <c r="D318"/>
      <c r="E318"/>
      <c r="F318" s="27" t="s">
        <v>7</v>
      </c>
      <c r="CQ318" s="27" t="s">
        <v>8</v>
      </c>
      <c r="CR318" s="27" t="s">
        <v>7</v>
      </c>
      <c r="CU318" s="27" t="s">
        <v>8</v>
      </c>
      <c r="CV318" s="27" t="s">
        <v>7</v>
      </c>
      <c r="CY318" s="27" t="s">
        <v>8</v>
      </c>
      <c r="CZ318" s="27" t="s">
        <v>7</v>
      </c>
      <c r="EJ318" s="27" t="s">
        <v>7</v>
      </c>
      <c r="EK318" s="27" t="s">
        <v>8</v>
      </c>
      <c r="ER318" s="27" t="s">
        <v>7</v>
      </c>
      <c r="EX318" s="18" t="s">
        <v>7</v>
      </c>
      <c r="EY318" s="27" t="s">
        <v>8</v>
      </c>
      <c r="EZ318" s="31"/>
    </row>
    <row r="319" spans="1:169" x14ac:dyDescent="0.25">
      <c r="A319" s="30">
        <v>2.1185824653158377E-2</v>
      </c>
      <c r="B319"/>
      <c r="C319"/>
      <c r="D319"/>
      <c r="E319"/>
      <c r="F319" s="27" t="s">
        <v>7</v>
      </c>
      <c r="CQ319" s="27" t="s">
        <v>8</v>
      </c>
      <c r="CR319" s="27" t="s">
        <v>7</v>
      </c>
      <c r="CU319" s="27" t="s">
        <v>8</v>
      </c>
      <c r="CV319" s="27" t="s">
        <v>7</v>
      </c>
      <c r="CY319" s="27" t="s">
        <v>8</v>
      </c>
      <c r="EJ319" s="27" t="s">
        <v>7</v>
      </c>
      <c r="EX319" s="27" t="s">
        <v>7</v>
      </c>
      <c r="EY319" s="31" t="s">
        <v>8</v>
      </c>
    </row>
    <row r="320" spans="1:169" x14ac:dyDescent="0.25">
      <c r="A320" s="30">
        <v>2.0176975860150829E-2</v>
      </c>
      <c r="B320"/>
      <c r="C320"/>
      <c r="D320"/>
      <c r="E320"/>
      <c r="F320" s="27" t="s">
        <v>7</v>
      </c>
      <c r="CQ320" s="27" t="s">
        <v>8</v>
      </c>
      <c r="CR320" s="27" t="s">
        <v>7</v>
      </c>
      <c r="CS320" s="27" t="s">
        <v>8</v>
      </c>
      <c r="CU320" s="27" t="s">
        <v>8</v>
      </c>
      <c r="CV320" s="27" t="s">
        <v>7</v>
      </c>
      <c r="CW320" s="27" t="s">
        <v>8</v>
      </c>
      <c r="CY320" s="27" t="s">
        <v>8</v>
      </c>
      <c r="EX320" s="31" t="s">
        <v>7</v>
      </c>
    </row>
    <row r="321" spans="1:103" x14ac:dyDescent="0.25">
      <c r="A321" s="30">
        <v>1.9216167485857926E-2</v>
      </c>
      <c r="B321"/>
      <c r="C321"/>
      <c r="D321"/>
      <c r="E321"/>
      <c r="F321" s="27" t="s">
        <v>7</v>
      </c>
      <c r="CQ321" s="27" t="s">
        <v>8</v>
      </c>
      <c r="CR321" s="27" t="s">
        <v>7</v>
      </c>
      <c r="CS321" s="27" t="s">
        <v>8</v>
      </c>
      <c r="CT321" s="27" t="s">
        <v>7</v>
      </c>
      <c r="CU321" s="27" t="s">
        <v>8</v>
      </c>
      <c r="CV321" s="27" t="s">
        <v>7</v>
      </c>
      <c r="CW321" s="27" t="s">
        <v>8</v>
      </c>
      <c r="CX321" s="27" t="s">
        <v>7</v>
      </c>
      <c r="CY321" s="27" t="s">
        <v>8</v>
      </c>
    </row>
    <row r="322" spans="1:103" x14ac:dyDescent="0.25">
      <c r="A322" s="30">
        <v>1.8301111891293256E-2</v>
      </c>
      <c r="B322"/>
      <c r="C322"/>
      <c r="D322"/>
      <c r="E322"/>
      <c r="F322" s="27" t="s">
        <v>7</v>
      </c>
      <c r="CO322" s="27" t="s">
        <v>8</v>
      </c>
      <c r="CQ322" s="27" t="s">
        <v>8</v>
      </c>
      <c r="CR322" s="27" t="s">
        <v>7</v>
      </c>
      <c r="CS322" s="27" t="s">
        <v>8</v>
      </c>
      <c r="CT322" s="27" t="s">
        <v>7</v>
      </c>
      <c r="CU322" s="27" t="s">
        <v>8</v>
      </c>
      <c r="CV322" s="27" t="s">
        <v>7</v>
      </c>
      <c r="CW322" s="27" t="s">
        <v>8</v>
      </c>
      <c r="CX322" s="27" t="s">
        <v>7</v>
      </c>
      <c r="CY322" s="27" t="s">
        <v>8</v>
      </c>
    </row>
    <row r="323" spans="1:103" x14ac:dyDescent="0.25">
      <c r="A323" s="30">
        <v>1.7429630372660238E-2</v>
      </c>
      <c r="B323"/>
      <c r="C323"/>
      <c r="D323"/>
      <c r="E323"/>
      <c r="F323" s="27" t="s">
        <v>7</v>
      </c>
      <c r="CO323" s="27" t="s">
        <v>8</v>
      </c>
      <c r="CP323" s="27" t="s">
        <v>7</v>
      </c>
      <c r="CQ323" s="27" t="s">
        <v>8</v>
      </c>
      <c r="CR323" s="27" t="s">
        <v>7</v>
      </c>
      <c r="CT323" s="27" t="s">
        <v>7</v>
      </c>
      <c r="CV323" s="27" t="s">
        <v>7</v>
      </c>
      <c r="CW323" s="27" t="s">
        <v>8</v>
      </c>
      <c r="CX323" s="27" t="s">
        <v>7</v>
      </c>
      <c r="CY323" s="27" t="s">
        <v>8</v>
      </c>
    </row>
    <row r="324" spans="1:103" x14ac:dyDescent="0.25">
      <c r="A324" s="30">
        <v>1.6599647973962125E-2</v>
      </c>
      <c r="B324"/>
      <c r="C324"/>
      <c r="D324"/>
      <c r="E324"/>
      <c r="F324" s="27" t="s">
        <v>7</v>
      </c>
      <c r="CO324" s="27" t="s">
        <v>8</v>
      </c>
      <c r="CP324" s="27" t="s">
        <v>7</v>
      </c>
      <c r="CQ324" s="27" t="s">
        <v>8</v>
      </c>
      <c r="CV324" s="27" t="s">
        <v>7</v>
      </c>
      <c r="CW324" s="27" t="s">
        <v>8</v>
      </c>
      <c r="CX324" s="27" t="s">
        <v>7</v>
      </c>
      <c r="CY324" s="27" t="s">
        <v>8</v>
      </c>
    </row>
    <row r="325" spans="1:103" x14ac:dyDescent="0.25">
      <c r="A325" s="30">
        <v>1.580918854663059E-2</v>
      </c>
      <c r="B325"/>
      <c r="C325"/>
      <c r="D325"/>
      <c r="E325"/>
      <c r="F325" s="27" t="s">
        <v>7</v>
      </c>
      <c r="CO325" s="27" t="s">
        <v>8</v>
      </c>
      <c r="CP325" s="27" t="s">
        <v>7</v>
      </c>
      <c r="CQ325" s="27" t="s">
        <v>8</v>
      </c>
      <c r="CV325" s="27" t="s">
        <v>7</v>
      </c>
      <c r="CW325" s="27" t="s">
        <v>8</v>
      </c>
      <c r="CX325" s="27" t="s">
        <v>7</v>
      </c>
    </row>
    <row r="326" spans="1:103" x14ac:dyDescent="0.25">
      <c r="A326" s="30">
        <v>1.5056370044410079E-2</v>
      </c>
      <c r="B326"/>
      <c r="C326"/>
      <c r="D326"/>
      <c r="E326"/>
      <c r="F326" s="27" t="s">
        <v>7</v>
      </c>
      <c r="CO326" s="27" t="s">
        <v>8</v>
      </c>
      <c r="CP326" s="27" t="s">
        <v>7</v>
      </c>
      <c r="CQ326" s="27" t="s">
        <v>8</v>
      </c>
      <c r="CV326" s="27" t="s">
        <v>7</v>
      </c>
      <c r="CW326" s="27" t="s">
        <v>8</v>
      </c>
    </row>
    <row r="327" spans="1:103" x14ac:dyDescent="0.25">
      <c r="A327" s="30">
        <v>1.4339400042295308E-2</v>
      </c>
      <c r="B327"/>
      <c r="C327"/>
      <c r="D327"/>
      <c r="E327"/>
      <c r="F327" s="27" t="s">
        <v>7</v>
      </c>
      <c r="CO327" s="27" t="s">
        <v>8</v>
      </c>
      <c r="CP327" s="27" t="s">
        <v>7</v>
      </c>
      <c r="CV327" s="27" t="s">
        <v>7</v>
      </c>
      <c r="CW327" s="27" t="s">
        <v>8</v>
      </c>
    </row>
    <row r="328" spans="1:103" x14ac:dyDescent="0.25">
      <c r="A328" s="30">
        <v>1.365657146885267E-2</v>
      </c>
      <c r="B328"/>
      <c r="C328"/>
      <c r="D328"/>
      <c r="E328"/>
      <c r="F328" s="27" t="s">
        <v>7</v>
      </c>
      <c r="AW328" s="27" t="s">
        <v>8</v>
      </c>
      <c r="BC328" s="27" t="s">
        <v>8</v>
      </c>
      <c r="CO328" s="27" t="s">
        <v>8</v>
      </c>
      <c r="CV328" s="27" t="s">
        <v>7</v>
      </c>
    </row>
    <row r="329" spans="1:103" x14ac:dyDescent="0.25">
      <c r="A329" s="30">
        <v>1.3006258541764442E-2</v>
      </c>
      <c r="B329"/>
      <c r="C329"/>
      <c r="D329"/>
      <c r="E329"/>
      <c r="F329" s="27" t="s">
        <v>7</v>
      </c>
      <c r="AW329" s="27" t="s">
        <v>8</v>
      </c>
      <c r="AX329" s="27" t="s">
        <v>7</v>
      </c>
      <c r="BA329" s="27" t="s">
        <v>8</v>
      </c>
      <c r="BC329" s="27" t="s">
        <v>8</v>
      </c>
      <c r="BD329" s="27" t="s">
        <v>7</v>
      </c>
      <c r="CO329" s="27" t="s">
        <v>8</v>
      </c>
    </row>
    <row r="330" spans="1:103" x14ac:dyDescent="0.25">
      <c r="A330" s="30">
        <v>1.2386912896918512E-2</v>
      </c>
      <c r="B330"/>
      <c r="C330"/>
      <c r="D330"/>
      <c r="E330"/>
      <c r="F330" s="27" t="s">
        <v>7</v>
      </c>
      <c r="AS330" s="27" t="s">
        <v>8</v>
      </c>
      <c r="AW330" s="27" t="s">
        <v>8</v>
      </c>
      <c r="AX330" s="27" t="s">
        <v>7</v>
      </c>
      <c r="AY330" s="27" t="s">
        <v>8</v>
      </c>
      <c r="BA330" s="27" t="s">
        <v>8</v>
      </c>
      <c r="BB330" s="27" t="s">
        <v>7</v>
      </c>
      <c r="BC330" s="27" t="s">
        <v>8</v>
      </c>
      <c r="BD330" s="27" t="s">
        <v>7</v>
      </c>
      <c r="CO330" s="27" t="s">
        <v>8</v>
      </c>
    </row>
    <row r="331" spans="1:103" x14ac:dyDescent="0.25">
      <c r="A331" s="30">
        <v>1.179705990182715E-2</v>
      </c>
      <c r="B331"/>
      <c r="C331"/>
      <c r="D331"/>
      <c r="E331"/>
      <c r="F331" s="27" t="s">
        <v>7</v>
      </c>
      <c r="AS331" s="27" t="s">
        <v>8</v>
      </c>
      <c r="AT331" s="27" t="s">
        <v>7</v>
      </c>
      <c r="AW331" s="27" t="s">
        <v>8</v>
      </c>
      <c r="AX331" s="27" t="s">
        <v>7</v>
      </c>
      <c r="AY331" s="27" t="s">
        <v>8</v>
      </c>
      <c r="AZ331" s="27" t="s">
        <v>7</v>
      </c>
      <c r="BA331" s="27" t="s">
        <v>8</v>
      </c>
      <c r="BB331" s="27" t="s">
        <v>7</v>
      </c>
      <c r="BC331" s="27" t="s">
        <v>8</v>
      </c>
      <c r="BD331" s="27" t="s">
        <v>7</v>
      </c>
      <c r="CO331" s="27" t="s">
        <v>8</v>
      </c>
    </row>
    <row r="332" spans="1:103" x14ac:dyDescent="0.25">
      <c r="A332" s="30">
        <v>1.1235295144597281E-2</v>
      </c>
      <c r="B332"/>
      <c r="C332"/>
      <c r="D332"/>
      <c r="E332"/>
      <c r="F332" s="27" t="s">
        <v>7</v>
      </c>
      <c r="AS332" s="27" t="s">
        <v>8</v>
      </c>
      <c r="AT332" s="27" t="s">
        <v>7</v>
      </c>
      <c r="AU332" s="27" t="s">
        <v>8</v>
      </c>
      <c r="AW332" s="27" t="s">
        <v>8</v>
      </c>
      <c r="AX332" s="27" t="s">
        <v>7</v>
      </c>
      <c r="AY332" s="27" t="s">
        <v>8</v>
      </c>
      <c r="AZ332" s="27" t="s">
        <v>7</v>
      </c>
      <c r="BA332" s="27" t="s">
        <v>8</v>
      </c>
      <c r="BB332" s="27" t="s">
        <v>7</v>
      </c>
      <c r="BC332" s="27" t="s">
        <v>8</v>
      </c>
      <c r="BD332" s="27" t="s">
        <v>7</v>
      </c>
      <c r="CO332" s="27" t="s">
        <v>8</v>
      </c>
    </row>
    <row r="333" spans="1:103" x14ac:dyDescent="0.25">
      <c r="A333" s="30">
        <v>1.0700281090092644E-2</v>
      </c>
      <c r="B333"/>
      <c r="C333"/>
      <c r="D333"/>
      <c r="E333"/>
      <c r="F333" s="27" t="s">
        <v>7</v>
      </c>
      <c r="AS333" s="27" t="s">
        <v>8</v>
      </c>
      <c r="AT333" s="27" t="s">
        <v>7</v>
      </c>
      <c r="AU333" s="27" t="s">
        <v>8</v>
      </c>
      <c r="AV333" s="27" t="s">
        <v>7</v>
      </c>
      <c r="AW333" s="27" t="s">
        <v>8</v>
      </c>
      <c r="AX333" s="27" t="s">
        <v>7</v>
      </c>
      <c r="AY333" s="27" t="s">
        <v>8</v>
      </c>
      <c r="AZ333" s="27" t="s">
        <v>7</v>
      </c>
      <c r="BA333" s="27" t="s">
        <v>8</v>
      </c>
      <c r="BB333" s="27" t="s">
        <v>7</v>
      </c>
      <c r="BD333" s="27" t="s">
        <v>7</v>
      </c>
      <c r="CO333" s="27" t="s">
        <v>8</v>
      </c>
    </row>
    <row r="334" spans="1:103" x14ac:dyDescent="0.25">
      <c r="A334" s="30">
        <v>1.0190743895326324E-2</v>
      </c>
      <c r="B334"/>
      <c r="C334"/>
      <c r="D334"/>
      <c r="E334"/>
      <c r="F334" s="27" t="s">
        <v>7</v>
      </c>
      <c r="AS334" s="27" t="s">
        <v>8</v>
      </c>
      <c r="AT334" s="27" t="s">
        <v>7</v>
      </c>
      <c r="AU334" s="27" t="s">
        <v>8</v>
      </c>
      <c r="AV334" s="27" t="s">
        <v>7</v>
      </c>
      <c r="AW334" s="27" t="s">
        <v>8</v>
      </c>
      <c r="AX334" s="27" t="s">
        <v>7</v>
      </c>
      <c r="AZ334" s="27" t="s">
        <v>7</v>
      </c>
      <c r="BA334" s="27" t="s">
        <v>8</v>
      </c>
      <c r="BD334" s="27" t="s">
        <v>7</v>
      </c>
      <c r="CO334" s="27" t="s">
        <v>8</v>
      </c>
    </row>
    <row r="335" spans="1:103" x14ac:dyDescent="0.25">
      <c r="A335" s="30">
        <v>9.7054703765012563E-3</v>
      </c>
      <c r="B335"/>
      <c r="C335"/>
      <c r="D335"/>
      <c r="E335"/>
      <c r="F335" s="27" t="s">
        <v>7</v>
      </c>
      <c r="AS335" s="27" t="s">
        <v>8</v>
      </c>
      <c r="AT335" s="27" t="s">
        <v>7</v>
      </c>
      <c r="AV335" s="27" t="s">
        <v>7</v>
      </c>
      <c r="AZ335" s="27" t="s">
        <v>7</v>
      </c>
      <c r="BD335" s="27" t="s">
        <v>7</v>
      </c>
      <c r="CO335" s="27" t="s">
        <v>8</v>
      </c>
    </row>
    <row r="336" spans="1:103" x14ac:dyDescent="0.25">
      <c r="A336" s="30">
        <v>9.2433051204773835E-3</v>
      </c>
      <c r="B336"/>
      <c r="C336"/>
      <c r="D336"/>
      <c r="E336"/>
      <c r="F336" s="27" t="s">
        <v>7</v>
      </c>
      <c r="AS336" s="27" t="s">
        <v>8</v>
      </c>
      <c r="BD336" s="27" t="s">
        <v>7</v>
      </c>
      <c r="CM336" s="27" t="s">
        <v>8</v>
      </c>
      <c r="CO336" s="27" t="s">
        <v>8</v>
      </c>
    </row>
    <row r="337" spans="1:93" x14ac:dyDescent="0.25">
      <c r="A337" s="30">
        <v>8.8031477337879808E-3</v>
      </c>
      <c r="B337"/>
      <c r="C337"/>
      <c r="D337"/>
      <c r="E337"/>
      <c r="F337" s="27" t="s">
        <v>7</v>
      </c>
      <c r="AQ337" s="27" t="s">
        <v>8</v>
      </c>
      <c r="AS337" s="27" t="s">
        <v>8</v>
      </c>
      <c r="BD337" s="27" t="s">
        <v>7</v>
      </c>
      <c r="CM337" s="27" t="s">
        <v>8</v>
      </c>
      <c r="CN337" s="27" t="s">
        <v>7</v>
      </c>
      <c r="CO337" s="27" t="s">
        <v>8</v>
      </c>
    </row>
    <row r="338" spans="1:93" x14ac:dyDescent="0.25">
      <c r="A338" s="30">
        <v>8.3839502226552166E-3</v>
      </c>
      <c r="B338"/>
      <c r="C338"/>
      <c r="D338"/>
      <c r="E338"/>
      <c r="F338" s="27" t="s">
        <v>7</v>
      </c>
      <c r="AQ338" s="27" t="s">
        <v>8</v>
      </c>
      <c r="AR338" s="27" t="s">
        <v>7</v>
      </c>
      <c r="AS338" s="27" t="s">
        <v>8</v>
      </c>
      <c r="BD338" s="27" t="s">
        <v>7</v>
      </c>
      <c r="CA338" s="27" t="s">
        <v>8</v>
      </c>
      <c r="CM338" s="27" t="s">
        <v>8</v>
      </c>
      <c r="CN338" s="27" t="s">
        <v>7</v>
      </c>
      <c r="CO338" s="27" t="s">
        <v>8</v>
      </c>
    </row>
    <row r="339" spans="1:93" x14ac:dyDescent="0.25">
      <c r="A339" s="30">
        <v>7.9847144977668698E-3</v>
      </c>
      <c r="B339"/>
      <c r="C339"/>
      <c r="D339"/>
      <c r="E339"/>
      <c r="F339" s="27" t="s">
        <v>7</v>
      </c>
      <c r="AQ339" s="27" t="s">
        <v>8</v>
      </c>
      <c r="AR339" s="27" t="s">
        <v>7</v>
      </c>
      <c r="AS339" s="27" t="s">
        <v>8</v>
      </c>
      <c r="BD339" s="27" t="s">
        <v>7</v>
      </c>
      <c r="CA339" s="27" t="s">
        <v>8</v>
      </c>
      <c r="CB339" s="27" t="s">
        <v>7</v>
      </c>
      <c r="CG339" s="27" t="s">
        <v>8</v>
      </c>
      <c r="CI339" s="27" t="s">
        <v>8</v>
      </c>
      <c r="CM339" s="27" t="s">
        <v>8</v>
      </c>
      <c r="CN339" s="27" t="s">
        <v>7</v>
      </c>
    </row>
    <row r="340" spans="1:93" x14ac:dyDescent="0.25">
      <c r="A340" s="30">
        <v>7.6044899978732058E-3</v>
      </c>
      <c r="B340"/>
      <c r="C340"/>
      <c r="D340"/>
      <c r="E340"/>
      <c r="F340" s="27" t="s">
        <v>7</v>
      </c>
      <c r="AQ340" s="27" t="s">
        <v>8</v>
      </c>
      <c r="AR340" s="27" t="s">
        <v>7</v>
      </c>
      <c r="AS340" s="27" t="s">
        <v>8</v>
      </c>
      <c r="BD340" s="27" t="s">
        <v>7</v>
      </c>
      <c r="CA340" s="27" t="s">
        <v>8</v>
      </c>
      <c r="CB340" s="27" t="s">
        <v>7</v>
      </c>
      <c r="CG340" s="27" t="s">
        <v>8</v>
      </c>
      <c r="CH340" s="27" t="s">
        <v>7</v>
      </c>
      <c r="CI340" s="27" t="s">
        <v>8</v>
      </c>
      <c r="CJ340" s="27" t="s">
        <v>7</v>
      </c>
      <c r="CK340" s="27" t="s">
        <v>8</v>
      </c>
      <c r="CM340" s="27" t="s">
        <v>8</v>
      </c>
    </row>
    <row r="341" spans="1:93" x14ac:dyDescent="0.25">
      <c r="A341" s="30">
        <v>7.2423714265459072E-3</v>
      </c>
      <c r="B341"/>
      <c r="C341"/>
      <c r="D341"/>
      <c r="E341"/>
      <c r="F341" s="27" t="s">
        <v>7</v>
      </c>
      <c r="AO341" s="27" t="s">
        <v>8</v>
      </c>
      <c r="AQ341" s="27" t="s">
        <v>8</v>
      </c>
      <c r="AR341" s="27" t="s">
        <v>7</v>
      </c>
      <c r="AS341" s="27" t="s">
        <v>8</v>
      </c>
      <c r="BD341" s="27" t="s">
        <v>7</v>
      </c>
      <c r="BG341" s="27" t="s">
        <v>8</v>
      </c>
      <c r="BQ341" s="27" t="s">
        <v>8</v>
      </c>
      <c r="BY341" s="27" t="s">
        <v>8</v>
      </c>
      <c r="CA341" s="27" t="s">
        <v>8</v>
      </c>
      <c r="CB341" s="27" t="s">
        <v>7</v>
      </c>
      <c r="CE341" s="27" t="s">
        <v>8</v>
      </c>
      <c r="CG341" s="27" t="s">
        <v>8</v>
      </c>
      <c r="CH341" s="27" t="s">
        <v>7</v>
      </c>
      <c r="CI341" s="27" t="s">
        <v>8</v>
      </c>
      <c r="CJ341" s="27" t="s">
        <v>7</v>
      </c>
      <c r="CK341" s="27" t="s">
        <v>8</v>
      </c>
      <c r="CL341" s="27" t="s">
        <v>7</v>
      </c>
      <c r="CM341" s="27" t="s">
        <v>8</v>
      </c>
    </row>
    <row r="342" spans="1:93" x14ac:dyDescent="0.25">
      <c r="A342" s="30">
        <v>6.8974965967103846E-3</v>
      </c>
      <c r="B342"/>
      <c r="C342"/>
      <c r="D342"/>
      <c r="E342"/>
      <c r="F342" s="27" t="s">
        <v>7</v>
      </c>
      <c r="AO342" s="27" t="s">
        <v>8</v>
      </c>
      <c r="AP342" s="27" t="s">
        <v>7</v>
      </c>
      <c r="AQ342" s="27" t="s">
        <v>8</v>
      </c>
      <c r="AR342" s="27" t="s">
        <v>7</v>
      </c>
      <c r="AS342" s="27" t="s">
        <v>8</v>
      </c>
      <c r="BD342" s="27" t="s">
        <v>7</v>
      </c>
      <c r="BE342" s="27" t="s">
        <v>8</v>
      </c>
      <c r="BG342" s="27" t="s">
        <v>8</v>
      </c>
      <c r="BH342" s="27" t="s">
        <v>7</v>
      </c>
      <c r="BQ342" s="27" t="s">
        <v>8</v>
      </c>
      <c r="BR342" s="27" t="s">
        <v>7</v>
      </c>
      <c r="BY342" s="27" t="s">
        <v>8</v>
      </c>
      <c r="BZ342" s="27" t="s">
        <v>7</v>
      </c>
      <c r="CA342" s="27" t="s">
        <v>8</v>
      </c>
      <c r="CB342" s="27" t="s">
        <v>7</v>
      </c>
      <c r="CC342" s="27" t="s">
        <v>8</v>
      </c>
      <c r="CE342" s="27" t="s">
        <v>8</v>
      </c>
      <c r="CF342" s="27" t="s">
        <v>7</v>
      </c>
      <c r="CG342" s="27" t="s">
        <v>8</v>
      </c>
      <c r="CH342" s="27" t="s">
        <v>7</v>
      </c>
      <c r="CJ342" s="27" t="s">
        <v>7</v>
      </c>
      <c r="CK342" s="27" t="s">
        <v>8</v>
      </c>
      <c r="CL342" s="27" t="s">
        <v>7</v>
      </c>
      <c r="CM342" s="27" t="s">
        <v>8</v>
      </c>
    </row>
    <row r="343" spans="1:93" x14ac:dyDescent="0.25">
      <c r="A343" s="30">
        <v>6.5690443778194116E-3</v>
      </c>
      <c r="B343"/>
      <c r="C343"/>
      <c r="D343"/>
      <c r="E343"/>
      <c r="F343" s="27" t="s">
        <v>7</v>
      </c>
      <c r="AO343" s="27" t="s">
        <v>8</v>
      </c>
      <c r="AP343" s="27" t="s">
        <v>7</v>
      </c>
      <c r="AQ343" s="27" t="s">
        <v>8</v>
      </c>
      <c r="AR343" s="27" t="s">
        <v>7</v>
      </c>
      <c r="AS343" s="27" t="s">
        <v>8</v>
      </c>
      <c r="BD343" s="27" t="s">
        <v>7</v>
      </c>
      <c r="BE343" s="27" t="s">
        <v>8</v>
      </c>
      <c r="BF343" s="27" t="s">
        <v>7</v>
      </c>
      <c r="BG343" s="27" t="s">
        <v>8</v>
      </c>
      <c r="BH343" s="27" t="s">
        <v>7</v>
      </c>
      <c r="BQ343" s="27" t="s">
        <v>8</v>
      </c>
      <c r="BR343" s="27" t="s">
        <v>7</v>
      </c>
      <c r="BY343" s="27" t="s">
        <v>8</v>
      </c>
      <c r="BZ343" s="27" t="s">
        <v>7</v>
      </c>
      <c r="CA343" s="27" t="s">
        <v>8</v>
      </c>
      <c r="CB343" s="27" t="s">
        <v>7</v>
      </c>
      <c r="CC343" s="27" t="s">
        <v>8</v>
      </c>
      <c r="CD343" s="27" t="s">
        <v>7</v>
      </c>
      <c r="CE343" s="27" t="s">
        <v>8</v>
      </c>
      <c r="CF343" s="27" t="s">
        <v>7</v>
      </c>
      <c r="CG343" s="27" t="s">
        <v>8</v>
      </c>
      <c r="CJ343" s="27" t="s">
        <v>7</v>
      </c>
      <c r="CK343" s="27" t="s">
        <v>8</v>
      </c>
      <c r="CL343" s="27" t="s">
        <v>7</v>
      </c>
      <c r="CM343" s="27" t="s">
        <v>8</v>
      </c>
    </row>
    <row r="344" spans="1:93" x14ac:dyDescent="0.25">
      <c r="A344" s="30">
        <v>6.2562327407803897E-3</v>
      </c>
      <c r="B344"/>
      <c r="C344"/>
      <c r="D344"/>
      <c r="E344"/>
      <c r="F344" s="27" t="s">
        <v>7</v>
      </c>
      <c r="AO344" s="27" t="s">
        <v>8</v>
      </c>
      <c r="AP344" s="27" t="s">
        <v>7</v>
      </c>
      <c r="AQ344" s="27" t="s">
        <v>8</v>
      </c>
      <c r="AR344" s="27" t="s">
        <v>7</v>
      </c>
      <c r="AS344" s="27" t="s">
        <v>8</v>
      </c>
      <c r="BD344" s="27" t="s">
        <v>7</v>
      </c>
      <c r="BE344" s="27" t="s">
        <v>8</v>
      </c>
      <c r="BF344" s="27" t="s">
        <v>7</v>
      </c>
      <c r="BG344" s="27" t="s">
        <v>8</v>
      </c>
      <c r="BH344" s="27" t="s">
        <v>7</v>
      </c>
      <c r="BQ344" s="27" t="s">
        <v>8</v>
      </c>
      <c r="BR344" s="27" t="s">
        <v>7</v>
      </c>
      <c r="BY344" s="27" t="s">
        <v>8</v>
      </c>
      <c r="BZ344" s="27" t="s">
        <v>7</v>
      </c>
      <c r="CB344" s="27" t="s">
        <v>7</v>
      </c>
      <c r="CC344" s="27" t="s">
        <v>8</v>
      </c>
      <c r="CD344" s="27" t="s">
        <v>7</v>
      </c>
      <c r="CE344" s="27" t="s">
        <v>8</v>
      </c>
      <c r="CF344" s="27" t="s">
        <v>7</v>
      </c>
      <c r="CJ344" s="27" t="s">
        <v>7</v>
      </c>
      <c r="CK344" s="27" t="s">
        <v>8</v>
      </c>
      <c r="CL344" s="27" t="s">
        <v>7</v>
      </c>
    </row>
    <row r="345" spans="1:93" x14ac:dyDescent="0.25">
      <c r="A345" s="30">
        <v>5.9583168959813212E-3</v>
      </c>
      <c r="B345"/>
      <c r="C345"/>
      <c r="D345"/>
      <c r="E345"/>
      <c r="F345" s="27" t="s">
        <v>7</v>
      </c>
      <c r="AO345" s="27" t="s">
        <v>8</v>
      </c>
      <c r="AP345" s="27" t="s">
        <v>7</v>
      </c>
      <c r="AR345" s="27" t="s">
        <v>7</v>
      </c>
      <c r="BD345" s="27" t="s">
        <v>7</v>
      </c>
      <c r="BE345" s="27" t="s">
        <v>8</v>
      </c>
      <c r="BF345" s="27" t="s">
        <v>7</v>
      </c>
      <c r="BG345" s="27" t="s">
        <v>8</v>
      </c>
      <c r="BH345" s="27" t="s">
        <v>7</v>
      </c>
      <c r="BQ345" s="27" t="s">
        <v>8</v>
      </c>
      <c r="BR345" s="27" t="s">
        <v>7</v>
      </c>
      <c r="BS345" s="27" t="s">
        <v>8</v>
      </c>
      <c r="BU345" s="27" t="s">
        <v>8</v>
      </c>
      <c r="BY345" s="27" t="s">
        <v>8</v>
      </c>
      <c r="CB345" s="27" t="s">
        <v>7</v>
      </c>
      <c r="CC345" s="27" t="s">
        <v>8</v>
      </c>
      <c r="CD345" s="27" t="s">
        <v>7</v>
      </c>
      <c r="CJ345" s="27" t="s">
        <v>7</v>
      </c>
    </row>
    <row r="346" spans="1:93" x14ac:dyDescent="0.25">
      <c r="A346" s="30">
        <v>5.6745875199822084E-3</v>
      </c>
      <c r="B346"/>
      <c r="C346"/>
      <c r="D346"/>
      <c r="E346"/>
      <c r="F346" s="27" t="s">
        <v>7</v>
      </c>
      <c r="AO346" s="27" t="s">
        <v>8</v>
      </c>
      <c r="BD346" s="27" t="s">
        <v>7</v>
      </c>
      <c r="BF346" s="27" t="s">
        <v>7</v>
      </c>
      <c r="BH346" s="27" t="s">
        <v>7</v>
      </c>
      <c r="BQ346" s="27" t="s">
        <v>8</v>
      </c>
      <c r="BR346" s="27" t="s">
        <v>7</v>
      </c>
      <c r="BS346" s="27" t="s">
        <v>8</v>
      </c>
      <c r="BT346" s="27" t="s">
        <v>7</v>
      </c>
      <c r="BU346" s="27" t="s">
        <v>8</v>
      </c>
      <c r="BV346" s="27" t="s">
        <v>7</v>
      </c>
      <c r="BY346" s="27" t="s">
        <v>8</v>
      </c>
      <c r="CB346" s="27" t="s">
        <v>7</v>
      </c>
      <c r="CC346" s="27" t="s">
        <v>8</v>
      </c>
    </row>
    <row r="347" spans="1:93" x14ac:dyDescent="0.25">
      <c r="A347" s="30">
        <v>5.4043690666497205E-3</v>
      </c>
      <c r="B347"/>
      <c r="C347"/>
      <c r="D347"/>
      <c r="E347"/>
      <c r="F347" s="27" t="s">
        <v>7</v>
      </c>
      <c r="I347" s="27" t="s">
        <v>8</v>
      </c>
      <c r="AO347" s="27" t="s">
        <v>8</v>
      </c>
      <c r="BH347" s="27" t="s">
        <v>7</v>
      </c>
      <c r="BI347" s="27" t="s">
        <v>8</v>
      </c>
      <c r="BQ347" s="27" t="s">
        <v>8</v>
      </c>
      <c r="BR347" s="27" t="s">
        <v>7</v>
      </c>
      <c r="BS347" s="27" t="s">
        <v>8</v>
      </c>
      <c r="BT347" s="27" t="s">
        <v>7</v>
      </c>
      <c r="BU347" s="27" t="s">
        <v>8</v>
      </c>
      <c r="BV347" s="27" t="s">
        <v>7</v>
      </c>
      <c r="BY347" s="27" t="s">
        <v>8</v>
      </c>
      <c r="CB347" s="27" t="s">
        <v>7</v>
      </c>
    </row>
    <row r="348" spans="1:93" x14ac:dyDescent="0.25">
      <c r="A348" s="30">
        <v>5.1470181587140174E-3</v>
      </c>
      <c r="B348"/>
      <c r="C348"/>
      <c r="D348"/>
      <c r="E348"/>
      <c r="F348" s="27" t="s">
        <v>7</v>
      </c>
      <c r="I348" s="27" t="s">
        <v>8</v>
      </c>
      <c r="J348" s="27" t="s">
        <v>7</v>
      </c>
      <c r="AM348" s="27" t="s">
        <v>8</v>
      </c>
      <c r="AO348" s="27" t="s">
        <v>8</v>
      </c>
      <c r="BH348" s="27" t="s">
        <v>7</v>
      </c>
      <c r="BI348" s="27" t="s">
        <v>8</v>
      </c>
      <c r="BJ348" s="27" t="s">
        <v>7</v>
      </c>
      <c r="BK348" s="27" t="s">
        <v>8</v>
      </c>
      <c r="BO348" s="27" t="s">
        <v>8</v>
      </c>
      <c r="BQ348" s="27" t="s">
        <v>8</v>
      </c>
      <c r="BR348" s="27" t="s">
        <v>7</v>
      </c>
      <c r="BS348" s="27" t="s">
        <v>8</v>
      </c>
      <c r="BT348" s="27" t="s">
        <v>7</v>
      </c>
      <c r="BU348" s="27" t="s">
        <v>8</v>
      </c>
      <c r="BV348" s="27" t="s">
        <v>7</v>
      </c>
      <c r="BW348" s="27" t="s">
        <v>8</v>
      </c>
      <c r="BY348" s="27" t="s">
        <v>8</v>
      </c>
    </row>
    <row r="349" spans="1:93" x14ac:dyDescent="0.25">
      <c r="A349" s="30">
        <v>4.9019220559181099E-3</v>
      </c>
      <c r="B349"/>
      <c r="C349"/>
      <c r="D349"/>
      <c r="E349"/>
      <c r="F349" s="27" t="s">
        <v>7</v>
      </c>
      <c r="I349" s="27" t="s">
        <v>8</v>
      </c>
      <c r="J349" s="27" t="s">
        <v>7</v>
      </c>
      <c r="AM349" s="27" t="s">
        <v>8</v>
      </c>
      <c r="AN349" s="27" t="s">
        <v>7</v>
      </c>
      <c r="AO349" s="27" t="s">
        <v>8</v>
      </c>
      <c r="BH349" s="27" t="s">
        <v>7</v>
      </c>
      <c r="BI349" s="27" t="s">
        <v>8</v>
      </c>
      <c r="BJ349" s="27" t="s">
        <v>7</v>
      </c>
      <c r="BK349" s="27" t="s">
        <v>8</v>
      </c>
      <c r="BL349" s="27" t="s">
        <v>7</v>
      </c>
      <c r="BO349" s="27" t="s">
        <v>8</v>
      </c>
      <c r="BP349" s="27" t="s">
        <v>7</v>
      </c>
      <c r="BQ349" s="27" t="s">
        <v>8</v>
      </c>
      <c r="BR349" s="27" t="s">
        <v>7</v>
      </c>
      <c r="BT349" s="27" t="s">
        <v>7</v>
      </c>
      <c r="BU349" s="27" t="s">
        <v>8</v>
      </c>
      <c r="BV349" s="27" t="s">
        <v>7</v>
      </c>
      <c r="BW349" s="27" t="s">
        <v>8</v>
      </c>
      <c r="BX349" s="27" t="s">
        <v>7</v>
      </c>
      <c r="BY349" s="27" t="s">
        <v>8</v>
      </c>
    </row>
    <row r="350" spans="1:93" x14ac:dyDescent="0.25">
      <c r="A350" s="30">
        <v>4.6684971961124836E-3</v>
      </c>
      <c r="B350"/>
      <c r="C350"/>
      <c r="D350"/>
      <c r="E350"/>
      <c r="F350" s="27" t="s">
        <v>7</v>
      </c>
      <c r="I350" s="27" t="s">
        <v>8</v>
      </c>
      <c r="J350" s="27" t="s">
        <v>7</v>
      </c>
      <c r="AI350" s="27" t="s">
        <v>8</v>
      </c>
      <c r="AM350" s="27" t="s">
        <v>8</v>
      </c>
      <c r="AN350" s="27" t="s">
        <v>7</v>
      </c>
      <c r="AO350" s="27" t="s">
        <v>8</v>
      </c>
      <c r="BH350" s="27" t="s">
        <v>7</v>
      </c>
      <c r="BI350" s="27" t="s">
        <v>8</v>
      </c>
      <c r="BJ350" s="27" t="s">
        <v>7</v>
      </c>
      <c r="BK350" s="27" t="s">
        <v>8</v>
      </c>
      <c r="BL350" s="27" t="s">
        <v>7</v>
      </c>
      <c r="BO350" s="27" t="s">
        <v>8</v>
      </c>
      <c r="BP350" s="27" t="s">
        <v>7</v>
      </c>
      <c r="BQ350" s="27" t="s">
        <v>8</v>
      </c>
      <c r="BT350" s="27" t="s">
        <v>7</v>
      </c>
      <c r="BV350" s="27" t="s">
        <v>7</v>
      </c>
      <c r="BW350" s="27" t="s">
        <v>8</v>
      </c>
      <c r="BX350" s="27" t="s">
        <v>7</v>
      </c>
      <c r="BY350" s="27" t="s">
        <v>8</v>
      </c>
    </row>
    <row r="351" spans="1:93" x14ac:dyDescent="0.25">
      <c r="A351" s="30">
        <v>4.4461878058214112E-3</v>
      </c>
      <c r="B351"/>
      <c r="C351"/>
      <c r="D351"/>
      <c r="E351"/>
      <c r="F351" s="27" t="s">
        <v>7</v>
      </c>
      <c r="I351" s="27" t="s">
        <v>8</v>
      </c>
      <c r="J351" s="27" t="s">
        <v>7</v>
      </c>
      <c r="AI351" s="27" t="s">
        <v>8</v>
      </c>
      <c r="AJ351" s="27" t="s">
        <v>7</v>
      </c>
      <c r="AM351" s="27" t="s">
        <v>8</v>
      </c>
      <c r="AN351" s="27" t="s">
        <v>7</v>
      </c>
      <c r="AO351" s="27" t="s">
        <v>8</v>
      </c>
      <c r="BH351" s="27" t="s">
        <v>7</v>
      </c>
      <c r="BI351" s="27" t="s">
        <v>8</v>
      </c>
      <c r="BJ351" s="27" t="s">
        <v>7</v>
      </c>
      <c r="BK351" s="27" t="s">
        <v>8</v>
      </c>
      <c r="BL351" s="27" t="s">
        <v>7</v>
      </c>
      <c r="BO351" s="27" t="s">
        <v>8</v>
      </c>
      <c r="BP351" s="27" t="s">
        <v>7</v>
      </c>
      <c r="BQ351" s="27" t="s">
        <v>8</v>
      </c>
      <c r="BV351" s="27" t="s">
        <v>7</v>
      </c>
      <c r="BW351" s="27" t="s">
        <v>8</v>
      </c>
      <c r="BX351" s="27" t="s">
        <v>7</v>
      </c>
      <c r="BY351" s="27" t="s">
        <v>8</v>
      </c>
    </row>
    <row r="352" spans="1:93" x14ac:dyDescent="0.25">
      <c r="A352" s="30">
        <v>4.2344645769727711E-3</v>
      </c>
      <c r="B352"/>
      <c r="C352"/>
      <c r="D352"/>
      <c r="E352"/>
      <c r="F352" s="27" t="s">
        <v>7</v>
      </c>
      <c r="I352" s="27" t="s">
        <v>8</v>
      </c>
      <c r="J352" s="27" t="s">
        <v>7</v>
      </c>
      <c r="AG352" s="27" t="s">
        <v>8</v>
      </c>
      <c r="AI352" s="27" t="s">
        <v>8</v>
      </c>
      <c r="AJ352" s="27" t="s">
        <v>7</v>
      </c>
      <c r="AM352" s="27" t="s">
        <v>8</v>
      </c>
      <c r="AN352" s="27" t="s">
        <v>7</v>
      </c>
      <c r="BH352" s="27" t="s">
        <v>7</v>
      </c>
      <c r="BI352" s="27" t="s">
        <v>8</v>
      </c>
      <c r="BJ352" s="27" t="s">
        <v>7</v>
      </c>
      <c r="BK352" s="27" t="s">
        <v>8</v>
      </c>
      <c r="BL352" s="27" t="s">
        <v>7</v>
      </c>
      <c r="BM352" s="27" t="s">
        <v>8</v>
      </c>
      <c r="BO352" s="27" t="s">
        <v>8</v>
      </c>
      <c r="BP352" s="27" t="s">
        <v>7</v>
      </c>
      <c r="BV352" s="27" t="s">
        <v>7</v>
      </c>
      <c r="BX352" s="27" t="s">
        <v>7</v>
      </c>
    </row>
    <row r="353" spans="1:67" x14ac:dyDescent="0.25">
      <c r="A353" s="30">
        <v>4.0328234066407329E-3</v>
      </c>
      <c r="B353"/>
      <c r="C353"/>
      <c r="D353"/>
      <c r="E353"/>
      <c r="F353" s="27" t="s">
        <v>7</v>
      </c>
      <c r="I353" s="27" t="s">
        <v>8</v>
      </c>
      <c r="J353" s="27" t="s">
        <v>7</v>
      </c>
      <c r="AG353" s="27" t="s">
        <v>8</v>
      </c>
      <c r="AH353" s="27" t="s">
        <v>7</v>
      </c>
      <c r="AI353" s="27" t="s">
        <v>8</v>
      </c>
      <c r="AJ353" s="27" t="s">
        <v>7</v>
      </c>
      <c r="AK353" s="27" t="s">
        <v>8</v>
      </c>
      <c r="AM353" s="27" t="s">
        <v>8</v>
      </c>
      <c r="BH353" s="27" t="s">
        <v>7</v>
      </c>
      <c r="BJ353" s="27" t="s">
        <v>7</v>
      </c>
      <c r="BK353" s="27" t="s">
        <v>8</v>
      </c>
      <c r="BL353" s="27" t="s">
        <v>7</v>
      </c>
      <c r="BM353" s="27" t="s">
        <v>8</v>
      </c>
      <c r="BN353" s="27" t="s">
        <v>7</v>
      </c>
      <c r="BO353" s="27" t="s">
        <v>8</v>
      </c>
    </row>
    <row r="354" spans="1:67" x14ac:dyDescent="0.25">
      <c r="A354" s="30">
        <v>3.8407841968006963E-3</v>
      </c>
      <c r="B354"/>
      <c r="C354"/>
      <c r="D354"/>
      <c r="E354"/>
      <c r="F354" s="27" t="s">
        <v>7</v>
      </c>
      <c r="I354" s="27" t="s">
        <v>8</v>
      </c>
      <c r="J354" s="27" t="s">
        <v>7</v>
      </c>
      <c r="AG354" s="27" t="s">
        <v>8</v>
      </c>
      <c r="AH354" s="27" t="s">
        <v>7</v>
      </c>
      <c r="AI354" s="27" t="s">
        <v>8</v>
      </c>
      <c r="AJ354" s="27" t="s">
        <v>7</v>
      </c>
      <c r="AK354" s="27" t="s">
        <v>8</v>
      </c>
      <c r="AL354" s="27" t="s">
        <v>7</v>
      </c>
      <c r="AM354" s="27" t="s">
        <v>8</v>
      </c>
      <c r="BJ354" s="27" t="s">
        <v>7</v>
      </c>
      <c r="BL354" s="27" t="s">
        <v>7</v>
      </c>
      <c r="BM354" s="27" t="s">
        <v>8</v>
      </c>
      <c r="BN354" s="27" t="s">
        <v>7</v>
      </c>
      <c r="BO354" s="27" t="s">
        <v>8</v>
      </c>
    </row>
    <row r="355" spans="1:67" x14ac:dyDescent="0.25">
      <c r="A355" s="30">
        <v>3.6578897112387568E-3</v>
      </c>
      <c r="B355"/>
      <c r="C355"/>
      <c r="D355"/>
      <c r="E355"/>
      <c r="F355" s="27" t="s">
        <v>7</v>
      </c>
      <c r="G355" s="27" t="s">
        <v>8</v>
      </c>
      <c r="I355" s="27" t="s">
        <v>8</v>
      </c>
      <c r="J355" s="27" t="s">
        <v>7</v>
      </c>
      <c r="K355" s="27" t="s">
        <v>8</v>
      </c>
      <c r="AG355" s="27" t="s">
        <v>8</v>
      </c>
      <c r="AH355" s="27" t="s">
        <v>7</v>
      </c>
      <c r="AI355" s="27" t="s">
        <v>8</v>
      </c>
      <c r="AJ355" s="27" t="s">
        <v>7</v>
      </c>
      <c r="AK355" s="27" t="s">
        <v>8</v>
      </c>
      <c r="AL355" s="27" t="s">
        <v>7</v>
      </c>
      <c r="AM355" s="27" t="s">
        <v>8</v>
      </c>
      <c r="BL355" s="27" t="s">
        <v>7</v>
      </c>
      <c r="BM355" s="27" t="s">
        <v>8</v>
      </c>
      <c r="BN355" s="27" t="s">
        <v>7</v>
      </c>
      <c r="BO355" s="27" t="s">
        <v>8</v>
      </c>
    </row>
    <row r="356" spans="1:67" x14ac:dyDescent="0.25">
      <c r="A356" s="30">
        <v>3.4837044868940526E-3</v>
      </c>
      <c r="B356"/>
      <c r="C356"/>
      <c r="D356"/>
      <c r="E356"/>
      <c r="F356" s="27" t="s">
        <v>7</v>
      </c>
      <c r="G356" s="27" t="s">
        <v>8</v>
      </c>
      <c r="H356" s="27" t="s">
        <v>7</v>
      </c>
      <c r="I356" s="27" t="s">
        <v>8</v>
      </c>
      <c r="J356" s="27" t="s">
        <v>7</v>
      </c>
      <c r="K356" s="27" t="s">
        <v>8</v>
      </c>
      <c r="L356" s="27" t="s">
        <v>7</v>
      </c>
      <c r="AE356" s="27" t="s">
        <v>8</v>
      </c>
      <c r="AG356" s="27" t="s">
        <v>8</v>
      </c>
      <c r="AH356" s="27" t="s">
        <v>7</v>
      </c>
      <c r="AJ356" s="27" t="s">
        <v>7</v>
      </c>
      <c r="AK356" s="27" t="s">
        <v>8</v>
      </c>
      <c r="AL356" s="27" t="s">
        <v>7</v>
      </c>
      <c r="BL356" s="27" t="s">
        <v>7</v>
      </c>
      <c r="BM356" s="27" t="s">
        <v>8</v>
      </c>
      <c r="BN356" s="27" t="s">
        <v>7</v>
      </c>
    </row>
    <row r="357" spans="1:67" x14ac:dyDescent="0.25">
      <c r="A357" s="30">
        <v>3.3178137970419535E-3</v>
      </c>
      <c r="B357"/>
      <c r="C357"/>
      <c r="D357"/>
      <c r="E357"/>
      <c r="F357" s="27" t="s">
        <v>7</v>
      </c>
      <c r="G357" s="27" t="s">
        <v>8</v>
      </c>
      <c r="H357" s="27" t="s">
        <v>7</v>
      </c>
      <c r="I357" s="27" t="s">
        <v>8</v>
      </c>
      <c r="J357" s="27" t="s">
        <v>7</v>
      </c>
      <c r="K357" s="27" t="s">
        <v>8</v>
      </c>
      <c r="L357" s="27" t="s">
        <v>7</v>
      </c>
      <c r="Q357" s="27" t="s">
        <v>8</v>
      </c>
      <c r="AC357" s="27" t="s">
        <v>8</v>
      </c>
      <c r="AE357" s="27" t="s">
        <v>8</v>
      </c>
      <c r="AF357" s="27" t="s">
        <v>7</v>
      </c>
      <c r="AG357" s="27" t="s">
        <v>8</v>
      </c>
      <c r="AJ357" s="27" t="s">
        <v>7</v>
      </c>
      <c r="BL357" s="27" t="s">
        <v>7</v>
      </c>
    </row>
    <row r="358" spans="1:67" x14ac:dyDescent="0.25">
      <c r="A358" s="30">
        <v>3.1598226638494781E-3</v>
      </c>
      <c r="B358"/>
      <c r="C358"/>
      <c r="D358"/>
      <c r="E358"/>
      <c r="F358" s="27" t="s">
        <v>7</v>
      </c>
      <c r="H358" s="27" t="s">
        <v>7</v>
      </c>
      <c r="J358" s="27" t="s">
        <v>7</v>
      </c>
      <c r="L358" s="27" t="s">
        <v>7</v>
      </c>
      <c r="Q358" s="27" t="s">
        <v>8</v>
      </c>
      <c r="R358" s="27" t="s">
        <v>7</v>
      </c>
      <c r="AC358" s="27" t="s">
        <v>8</v>
      </c>
      <c r="AD358" s="27" t="s">
        <v>7</v>
      </c>
      <c r="AE358" s="27" t="s">
        <v>8</v>
      </c>
      <c r="AF358" s="27" t="s">
        <v>7</v>
      </c>
      <c r="AG358" s="27" t="s">
        <v>8</v>
      </c>
    </row>
    <row r="359" spans="1:67" x14ac:dyDescent="0.25">
      <c r="A359" s="30">
        <v>3.0093549179518826E-3</v>
      </c>
      <c r="B359"/>
      <c r="C359"/>
      <c r="D359"/>
      <c r="E359"/>
      <c r="L359" s="27" t="s">
        <v>7</v>
      </c>
      <c r="Q359" s="27" t="s">
        <v>8</v>
      </c>
      <c r="R359" s="27" t="s">
        <v>7</v>
      </c>
      <c r="AA359" s="27" t="s">
        <v>8</v>
      </c>
      <c r="AC359" s="27" t="s">
        <v>8</v>
      </c>
      <c r="AD359" s="27" t="s">
        <v>7</v>
      </c>
      <c r="AE359" s="27" t="s">
        <v>8</v>
      </c>
      <c r="AF359" s="27" t="s">
        <v>7</v>
      </c>
    </row>
    <row r="360" spans="1:67" x14ac:dyDescent="0.25">
      <c r="A360" s="30">
        <v>2.8660523028113155E-3</v>
      </c>
      <c r="B360"/>
      <c r="C360"/>
      <c r="D360"/>
      <c r="E360"/>
      <c r="L360" s="27" t="s">
        <v>7</v>
      </c>
      <c r="Q360" s="27" t="s">
        <v>8</v>
      </c>
      <c r="R360" s="27" t="s">
        <v>7</v>
      </c>
      <c r="AA360" s="27" t="s">
        <v>8</v>
      </c>
      <c r="AB360" s="27" t="s">
        <v>7</v>
      </c>
      <c r="AC360" s="27" t="s">
        <v>8</v>
      </c>
      <c r="AD360" s="27" t="s">
        <v>7</v>
      </c>
      <c r="AE360" s="27" t="s">
        <v>8</v>
      </c>
    </row>
    <row r="361" spans="1:67" x14ac:dyDescent="0.25">
      <c r="A361" s="30">
        <v>2.7295736217250611E-3</v>
      </c>
      <c r="B361"/>
      <c r="C361"/>
      <c r="D361"/>
      <c r="E361"/>
      <c r="L361" s="27" t="s">
        <v>7</v>
      </c>
      <c r="Q361" s="27" t="s">
        <v>8</v>
      </c>
      <c r="R361" s="27" t="s">
        <v>7</v>
      </c>
      <c r="AA361" s="27" t="s">
        <v>8</v>
      </c>
      <c r="AB361" s="27" t="s">
        <v>7</v>
      </c>
      <c r="AC361" s="27" t="s">
        <v>8</v>
      </c>
      <c r="AD361" s="27" t="s">
        <v>7</v>
      </c>
      <c r="AE361" s="27" t="s">
        <v>8</v>
      </c>
    </row>
    <row r="362" spans="1:67" x14ac:dyDescent="0.25">
      <c r="A362" s="30">
        <v>2.5995939254524381E-3</v>
      </c>
      <c r="B362"/>
      <c r="C362"/>
      <c r="D362"/>
      <c r="E362"/>
      <c r="L362" s="27" t="s">
        <v>7</v>
      </c>
      <c r="Q362" s="27" t="s">
        <v>8</v>
      </c>
      <c r="R362" s="27" t="s">
        <v>7</v>
      </c>
      <c r="AA362" s="27" t="s">
        <v>8</v>
      </c>
      <c r="AB362" s="27" t="s">
        <v>7</v>
      </c>
      <c r="AC362" s="27" t="s">
        <v>8</v>
      </c>
      <c r="AD362" s="27" t="s">
        <v>7</v>
      </c>
      <c r="AE362" s="27" t="s">
        <v>8</v>
      </c>
    </row>
    <row r="363" spans="1:67" x14ac:dyDescent="0.25">
      <c r="A363" s="30">
        <v>2.4758037385261304E-3</v>
      </c>
      <c r="B363"/>
      <c r="C363"/>
      <c r="D363"/>
      <c r="E363"/>
      <c r="L363" s="27" t="s">
        <v>7</v>
      </c>
      <c r="Q363" s="27" t="s">
        <v>8</v>
      </c>
      <c r="R363" s="27" t="s">
        <v>7</v>
      </c>
      <c r="AA363" s="27" t="s">
        <v>8</v>
      </c>
      <c r="AB363" s="27" t="s">
        <v>7</v>
      </c>
      <c r="AC363" s="27" t="s">
        <v>8</v>
      </c>
      <c r="AD363" s="27" t="s">
        <v>7</v>
      </c>
    </row>
    <row r="364" spans="1:67" x14ac:dyDescent="0.25">
      <c r="A364" s="30">
        <v>2.3579083224058374E-3</v>
      </c>
      <c r="B364"/>
      <c r="C364"/>
      <c r="D364"/>
      <c r="E364"/>
      <c r="L364" s="27" t="s">
        <v>7</v>
      </c>
      <c r="Q364" s="27" t="s">
        <v>8</v>
      </c>
      <c r="R364" s="27" t="s">
        <v>7</v>
      </c>
      <c r="AA364" s="27" t="s">
        <v>8</v>
      </c>
      <c r="AB364" s="27" t="s">
        <v>7</v>
      </c>
    </row>
    <row r="365" spans="1:67" x14ac:dyDescent="0.25">
      <c r="A365" s="30">
        <v>2.245626973719844E-3</v>
      </c>
      <c r="B365"/>
      <c r="C365"/>
      <c r="D365"/>
      <c r="E365"/>
      <c r="L365" s="27" t="s">
        <v>7</v>
      </c>
      <c r="Q365" s="27" t="s">
        <v>8</v>
      </c>
      <c r="R365" s="27" t="s">
        <v>7</v>
      </c>
      <c r="Y365" s="27" t="s">
        <v>8</v>
      </c>
      <c r="AA365" s="27" t="s">
        <v>8</v>
      </c>
    </row>
    <row r="366" spans="1:67" x14ac:dyDescent="0.25">
      <c r="A366" s="30">
        <v>2.1386923559236601E-3</v>
      </c>
      <c r="B366"/>
      <c r="C366"/>
      <c r="D366"/>
      <c r="E366"/>
      <c r="L366" s="27" t="s">
        <v>7</v>
      </c>
      <c r="Q366" s="27" t="s">
        <v>8</v>
      </c>
      <c r="R366" s="27" t="s">
        <v>7</v>
      </c>
      <c r="W366" s="27" t="s">
        <v>8</v>
      </c>
      <c r="Y366" s="27" t="s">
        <v>8</v>
      </c>
      <c r="Z366" s="27" t="s">
        <v>7</v>
      </c>
      <c r="AA366" s="27" t="s">
        <v>8</v>
      </c>
    </row>
    <row r="367" spans="1:67" x14ac:dyDescent="0.25">
      <c r="A367" s="30">
        <v>2.0368498627844375E-3</v>
      </c>
      <c r="B367"/>
      <c r="C367"/>
      <c r="D367"/>
      <c r="E367"/>
      <c r="L367" s="27" t="s">
        <v>7</v>
      </c>
      <c r="Q367" s="27" t="s">
        <v>8</v>
      </c>
      <c r="R367" s="27" t="s">
        <v>7</v>
      </c>
      <c r="W367" s="27" t="s">
        <v>8</v>
      </c>
      <c r="X367" s="27" t="s">
        <v>7</v>
      </c>
      <c r="Y367" s="27" t="s">
        <v>8</v>
      </c>
      <c r="Z367" s="27" t="s">
        <v>7</v>
      </c>
      <c r="AA367" s="27" t="s">
        <v>8</v>
      </c>
    </row>
    <row r="368" spans="1:67" x14ac:dyDescent="0.25">
      <c r="A368" s="30">
        <v>1.9398570121756541E-3</v>
      </c>
      <c r="B368"/>
      <c r="C368"/>
      <c r="D368"/>
      <c r="E368"/>
      <c r="L368" s="27" t="s">
        <v>7</v>
      </c>
      <c r="Q368" s="27" t="s">
        <v>8</v>
      </c>
      <c r="R368" s="27" t="s">
        <v>7</v>
      </c>
      <c r="W368" s="27" t="s">
        <v>8</v>
      </c>
      <c r="X368" s="27" t="s">
        <v>7</v>
      </c>
      <c r="Y368" s="27" t="s">
        <v>8</v>
      </c>
      <c r="Z368" s="27" t="s">
        <v>7</v>
      </c>
      <c r="AA368" s="27" t="s">
        <v>8</v>
      </c>
    </row>
    <row r="369" spans="1:27" x14ac:dyDescent="0.25">
      <c r="A369" s="30">
        <v>1.8474828687387174E-3</v>
      </c>
      <c r="B369"/>
      <c r="C369"/>
      <c r="D369"/>
      <c r="E369"/>
      <c r="L369" s="27" t="s">
        <v>7</v>
      </c>
      <c r="Q369" s="27" t="s">
        <v>8</v>
      </c>
      <c r="R369" s="27" t="s">
        <v>7</v>
      </c>
      <c r="S369" s="27" t="s">
        <v>8</v>
      </c>
      <c r="W369" s="27" t="s">
        <v>8</v>
      </c>
      <c r="X369" s="27" t="s">
        <v>7</v>
      </c>
      <c r="Z369" s="27" t="s">
        <v>7</v>
      </c>
      <c r="AA369" s="27" t="s">
        <v>8</v>
      </c>
    </row>
    <row r="370" spans="1:27" x14ac:dyDescent="0.25">
      <c r="A370" s="30">
        <v>1.759507494036873E-3</v>
      </c>
      <c r="B370"/>
      <c r="C370"/>
      <c r="D370"/>
      <c r="E370"/>
      <c r="L370" s="27" t="s">
        <v>7</v>
      </c>
      <c r="Q370" s="27" t="s">
        <v>8</v>
      </c>
      <c r="R370" s="27" t="s">
        <v>7</v>
      </c>
      <c r="S370" s="27" t="s">
        <v>8</v>
      </c>
      <c r="T370" s="27" t="s">
        <v>7</v>
      </c>
      <c r="U370" s="27" t="s">
        <v>8</v>
      </c>
      <c r="W370" s="27" t="s">
        <v>8</v>
      </c>
      <c r="Z370" s="27" t="s">
        <v>7</v>
      </c>
    </row>
    <row r="371" spans="1:27" x14ac:dyDescent="0.25">
      <c r="A371" s="30">
        <v>1.6757214228922594E-3</v>
      </c>
      <c r="B371"/>
      <c r="C371"/>
      <c r="D371"/>
      <c r="E371"/>
      <c r="L371" s="27" t="s">
        <v>7</v>
      </c>
      <c r="O371" s="27" t="s">
        <v>8</v>
      </c>
      <c r="Q371" s="27" t="s">
        <v>8</v>
      </c>
      <c r="R371" s="27" t="s">
        <v>7</v>
      </c>
      <c r="S371" s="27" t="s">
        <v>8</v>
      </c>
      <c r="T371" s="27" t="s">
        <v>7</v>
      </c>
      <c r="U371" s="27" t="s">
        <v>8</v>
      </c>
      <c r="V371" s="27" t="s">
        <v>7</v>
      </c>
      <c r="W371" s="27" t="s">
        <v>8</v>
      </c>
    </row>
    <row r="372" spans="1:27" x14ac:dyDescent="0.25">
      <c r="A372" s="30">
        <v>1.595925164659294E-3</v>
      </c>
      <c r="B372"/>
      <c r="C372"/>
      <c r="D372"/>
      <c r="E372"/>
      <c r="L372" s="27" t="s">
        <v>7</v>
      </c>
      <c r="O372" s="27" t="s">
        <v>8</v>
      </c>
      <c r="P372" s="27" t="s">
        <v>7</v>
      </c>
      <c r="Q372" s="27" t="s">
        <v>8</v>
      </c>
      <c r="R372" s="27" t="s">
        <v>7</v>
      </c>
      <c r="S372" s="27" t="s">
        <v>8</v>
      </c>
      <c r="T372" s="27" t="s">
        <v>7</v>
      </c>
      <c r="U372" s="27" t="s">
        <v>8</v>
      </c>
      <c r="V372" s="27" t="s">
        <v>7</v>
      </c>
      <c r="W372" s="27" t="s">
        <v>8</v>
      </c>
    </row>
    <row r="373" spans="1:27" x14ac:dyDescent="0.25">
      <c r="A373" s="30">
        <v>1.5199287282469461E-3</v>
      </c>
      <c r="B373"/>
      <c r="C373"/>
      <c r="D373"/>
      <c r="E373"/>
      <c r="L373" s="27" t="s">
        <v>7</v>
      </c>
      <c r="M373" s="27" t="s">
        <v>8</v>
      </c>
      <c r="O373" s="27" t="s">
        <v>8</v>
      </c>
      <c r="P373" s="27" t="s">
        <v>7</v>
      </c>
      <c r="Q373" s="27" t="s">
        <v>8</v>
      </c>
      <c r="R373" s="27" t="s">
        <v>7</v>
      </c>
      <c r="S373" s="27" t="s">
        <v>8</v>
      </c>
      <c r="T373" s="27" t="s">
        <v>7</v>
      </c>
      <c r="U373" s="27" t="s">
        <v>8</v>
      </c>
      <c r="V373" s="27" t="s">
        <v>7</v>
      </c>
    </row>
    <row r="374" spans="1:27" x14ac:dyDescent="0.25">
      <c r="A374" s="30">
        <v>1.4475511697589958E-3</v>
      </c>
      <c r="B374"/>
      <c r="C374"/>
      <c r="D374"/>
      <c r="E374"/>
      <c r="L374" s="27" t="s">
        <v>7</v>
      </c>
      <c r="M374" s="27" t="s">
        <v>8</v>
      </c>
      <c r="N374" s="27" t="s">
        <v>7</v>
      </c>
      <c r="O374" s="27" t="s">
        <v>8</v>
      </c>
      <c r="P374" s="27" t="s">
        <v>7</v>
      </c>
      <c r="Q374" s="27" t="s">
        <v>8</v>
      </c>
      <c r="R374" s="27" t="s">
        <v>7</v>
      </c>
      <c r="T374" s="27" t="s">
        <v>7</v>
      </c>
    </row>
    <row r="375" spans="1:27" x14ac:dyDescent="0.25">
      <c r="A375" s="30">
        <v>1.3786201616752334E-3</v>
      </c>
      <c r="B375"/>
      <c r="C375"/>
      <c r="D375"/>
      <c r="E375"/>
      <c r="L375" s="27" t="s">
        <v>7</v>
      </c>
      <c r="M375" s="27" t="s">
        <v>8</v>
      </c>
      <c r="N375" s="27" t="s">
        <v>7</v>
      </c>
      <c r="O375" s="27" t="s">
        <v>8</v>
      </c>
      <c r="P375" s="27" t="s">
        <v>7</v>
      </c>
    </row>
    <row r="376" spans="1:27" x14ac:dyDescent="0.25">
      <c r="A376" s="30">
        <v>1.3129715825478407E-3</v>
      </c>
      <c r="B376"/>
      <c r="C376"/>
      <c r="D376"/>
      <c r="E376"/>
      <c r="L376" s="27" t="s">
        <v>7</v>
      </c>
      <c r="M376" s="27" t="s">
        <v>8</v>
      </c>
      <c r="N376" s="27" t="s">
        <v>7</v>
      </c>
      <c r="O376" s="27" t="s">
        <v>8</v>
      </c>
    </row>
    <row r="377" spans="1:27" x14ac:dyDescent="0.25">
      <c r="A377" s="30">
        <v>1.2504491262360382E-3</v>
      </c>
      <c r="B377"/>
      <c r="C377"/>
      <c r="D377"/>
      <c r="E377"/>
      <c r="L377" s="27" t="s">
        <v>7</v>
      </c>
      <c r="M377" s="27" t="s">
        <v>8</v>
      </c>
      <c r="N377" s="27" t="s">
        <v>7</v>
      </c>
      <c r="O377" s="27" t="s">
        <v>8</v>
      </c>
    </row>
    <row r="378" spans="1:27" x14ac:dyDescent="0.25">
      <c r="A378" s="30">
        <v>1.1909039297486072E-3</v>
      </c>
      <c r="B378"/>
      <c r="C378"/>
      <c r="D378"/>
      <c r="E378"/>
      <c r="L378" s="27" t="s">
        <v>7</v>
      </c>
      <c r="M378" s="27" t="s">
        <v>8</v>
      </c>
      <c r="N378" s="27" t="s">
        <v>7</v>
      </c>
      <c r="O378" s="27" t="s">
        <v>8</v>
      </c>
    </row>
    <row r="379" spans="1:27" x14ac:dyDescent="0.25">
      <c r="A379" s="30">
        <v>1.1341942188081969E-3</v>
      </c>
      <c r="B379"/>
      <c r="C379"/>
      <c r="D379"/>
      <c r="E379"/>
      <c r="L379" s="27" t="s">
        <v>7</v>
      </c>
      <c r="M379" s="27" t="s">
        <v>8</v>
      </c>
      <c r="N379" s="27" t="s">
        <v>7</v>
      </c>
      <c r="O379" s="27" t="s">
        <v>8</v>
      </c>
    </row>
    <row r="380" spans="1:27" x14ac:dyDescent="0.25">
      <c r="A380" s="30">
        <v>1.0801849702935203E-3</v>
      </c>
      <c r="B380"/>
      <c r="C380"/>
      <c r="D380"/>
      <c r="E380"/>
      <c r="L380" s="27" t="s">
        <v>7</v>
      </c>
      <c r="M380" s="27" t="s">
        <v>8</v>
      </c>
      <c r="N380" s="27" t="s">
        <v>7</v>
      </c>
      <c r="O380" s="27" t="s">
        <v>8</v>
      </c>
    </row>
    <row r="381" spans="1:27" x14ac:dyDescent="0.25">
      <c r="A381" s="30">
        <v>1.0287475907557332E-3</v>
      </c>
      <c r="B381"/>
      <c r="C381"/>
      <c r="D381"/>
      <c r="E381"/>
      <c r="L381" s="27" t="s">
        <v>7</v>
      </c>
      <c r="M381" s="27" t="s">
        <v>8</v>
      </c>
      <c r="N381" s="27" t="s">
        <v>7</v>
      </c>
    </row>
    <row r="382" spans="1:27" x14ac:dyDescent="0.25">
      <c r="A382" s="30">
        <v>9.7731021121794646E-4</v>
      </c>
      <c r="L382" s="27" t="s">
        <v>7</v>
      </c>
      <c r="M382" s="27" t="s">
        <v>8</v>
      </c>
    </row>
    <row r="383" spans="1:27" x14ac:dyDescent="0.25">
      <c r="A383" s="30">
        <v>9.2844470065704904E-4</v>
      </c>
      <c r="L383" s="27" t="s">
        <v>7</v>
      </c>
    </row>
    <row r="384" spans="1:27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L153" sqref="BL15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$A$152</v>
      </c>
      <c r="D111" s="1" t="str">
        <f>ADDRESS(C121-1,D121,1,1)</f>
        <v>$BL$152</v>
      </c>
      <c r="E111"/>
    </row>
    <row r="112" spans="1:5" x14ac:dyDescent="0.25">
      <c r="A112" s="30">
        <v>2.3579476910000019</v>
      </c>
      <c r="C112" s="1" t="str">
        <f>ADDRESS(C121,1,1,1)</f>
        <v>$A$153</v>
      </c>
      <c r="D112" s="1" t="str">
        <f>ADDRESS(C121,D121-1,1,1)</f>
        <v>$BK$153</v>
      </c>
      <c r="E112"/>
    </row>
    <row r="113" spans="1:6" x14ac:dyDescent="0.25">
      <c r="A113" s="30">
        <v>2.1435888100000016</v>
      </c>
      <c r="C113" s="1" t="str">
        <f>ADDRESS(C121+1,1,1,1)</f>
        <v>$A$154</v>
      </c>
      <c r="D113" s="1" t="str">
        <f>ADDRESS(C121-1,D121+1,1,1)</f>
        <v>$BM$152</v>
      </c>
    </row>
    <row r="114" spans="1:6" x14ac:dyDescent="0.25">
      <c r="A114" s="30">
        <v>1.9487171000000014</v>
      </c>
      <c r="C114" s="1" t="str">
        <f>ADDRESS(C121,D121,1,1)</f>
        <v>$BL$153</v>
      </c>
      <c r="D114" s="1" t="str">
        <f>ADDRESS(C121+1,D121+1,1,1)</f>
        <v>$BM$154</v>
      </c>
    </row>
    <row r="115" spans="1:6" x14ac:dyDescent="0.25">
      <c r="A115" s="30">
        <v>1.7715610000000011</v>
      </c>
      <c r="C115" s="1" t="str">
        <f>ADDRESS(C121+1,D121,1,1)</f>
        <v>$BL$154</v>
      </c>
    </row>
    <row r="116" spans="1:6" x14ac:dyDescent="0.25">
      <c r="A116" s="30">
        <v>1.6105100000000008</v>
      </c>
      <c r="C116" s="1">
        <f>C117-1</f>
        <v>152</v>
      </c>
    </row>
    <row r="117" spans="1:6" x14ac:dyDescent="0.25">
      <c r="A117" s="30">
        <v>1.4641000000000006</v>
      </c>
      <c r="C117" s="1">
        <f>C121</f>
        <v>153</v>
      </c>
      <c r="D117" s="1">
        <f>D121</f>
        <v>64</v>
      </c>
    </row>
    <row r="118" spans="1:6" x14ac:dyDescent="0.25">
      <c r="A118" s="30">
        <v>1.3310000000000004</v>
      </c>
      <c r="C118" s="1">
        <f>C117+1</f>
        <v>154</v>
      </c>
      <c r="D118" s="1">
        <f>D117+1</f>
        <v>65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153</v>
      </c>
      <c r="D121" s="19">
        <v>64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R153</v>
      </c>
      <c r="D123" s="1" t="str">
        <f>"C"&amp;D121</f>
        <v>C64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4.7362440744766775E-2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58" x14ac:dyDescent="0.25">
      <c r="A130" s="30">
        <v>0.42409761837248428</v>
      </c>
      <c r="C130" s="6"/>
      <c r="D130" s="6"/>
      <c r="E130"/>
      <c r="F130" s="27" t="s">
        <v>7</v>
      </c>
    </row>
    <row r="131" spans="1:58" x14ac:dyDescent="0.25">
      <c r="A131" s="30">
        <v>0.38554328942953109</v>
      </c>
      <c r="E131"/>
      <c r="F131" s="27" t="s">
        <v>7</v>
      </c>
    </row>
    <row r="132" spans="1:58" x14ac:dyDescent="0.25">
      <c r="A132" s="30">
        <v>0.35049389948139187</v>
      </c>
      <c r="C132" s="1" t="s">
        <v>13</v>
      </c>
      <c r="E132"/>
      <c r="F132" s="27" t="s">
        <v>7</v>
      </c>
    </row>
    <row r="133" spans="1:58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58" x14ac:dyDescent="0.25">
      <c r="A134" s="30">
        <v>0.28966437973668741</v>
      </c>
      <c r="C134"/>
      <c r="D134"/>
      <c r="E134"/>
      <c r="F134" s="27" t="s">
        <v>7</v>
      </c>
    </row>
    <row r="135" spans="1:58" x14ac:dyDescent="0.25">
      <c r="A135" s="30">
        <v>0.2633312543060794</v>
      </c>
      <c r="C135" s="1" t="s">
        <v>14</v>
      </c>
      <c r="E135"/>
      <c r="F135" s="27" t="s">
        <v>7</v>
      </c>
    </row>
    <row r="136" spans="1:5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58" x14ac:dyDescent="0.25">
      <c r="A137" s="30">
        <v>0.2176291357901482</v>
      </c>
      <c r="E137"/>
      <c r="F137" s="27" t="s">
        <v>7</v>
      </c>
    </row>
    <row r="138" spans="1:5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BA138" s="27" t="s">
        <v>8</v>
      </c>
    </row>
    <row r="139" spans="1:58" x14ac:dyDescent="0.25">
      <c r="A139" s="30">
        <v>0.17985878990921333</v>
      </c>
      <c r="E139"/>
      <c r="F139" s="27" t="s">
        <v>7</v>
      </c>
      <c r="BA139" s="27" t="s">
        <v>8</v>
      </c>
      <c r="BB139" s="27" t="s">
        <v>7</v>
      </c>
      <c r="BC139" s="27" t="s">
        <v>8</v>
      </c>
    </row>
    <row r="140" spans="1:58" x14ac:dyDescent="0.25">
      <c r="A140" s="30">
        <v>0.16350799082655756</v>
      </c>
      <c r="C140" s="1">
        <v>0</v>
      </c>
      <c r="E140"/>
      <c r="F140" s="27" t="s">
        <v>7</v>
      </c>
      <c r="BA140" s="27" t="s">
        <v>8</v>
      </c>
      <c r="BB140" s="27" t="s">
        <v>7</v>
      </c>
      <c r="BC140" s="27" t="s">
        <v>8</v>
      </c>
      <c r="BD140" s="27" t="s">
        <v>7</v>
      </c>
      <c r="BE140" s="27" t="s">
        <v>8</v>
      </c>
    </row>
    <row r="141" spans="1:58" x14ac:dyDescent="0.25">
      <c r="A141" s="30">
        <v>0.14864362802414322</v>
      </c>
      <c r="C141" s="1">
        <v>1</v>
      </c>
      <c r="E141"/>
      <c r="F141" s="27" t="s">
        <v>7</v>
      </c>
      <c r="BA141" s="27" t="s">
        <v>8</v>
      </c>
      <c r="BB141" s="27" t="s">
        <v>7</v>
      </c>
      <c r="BC141" s="27" t="s">
        <v>8</v>
      </c>
      <c r="BD141" s="27" t="s">
        <v>7</v>
      </c>
      <c r="BE141" s="27" t="s">
        <v>8</v>
      </c>
      <c r="BF141" s="27" t="s">
        <v>7</v>
      </c>
    </row>
    <row r="142" spans="1:58" x14ac:dyDescent="0.25">
      <c r="A142" s="30">
        <v>0.13513057093103928</v>
      </c>
      <c r="C142" s="1">
        <v>2</v>
      </c>
      <c r="E142"/>
      <c r="F142" s="27" t="s">
        <v>7</v>
      </c>
      <c r="BA142" s="27" t="s">
        <v>8</v>
      </c>
      <c r="BB142" s="27" t="s">
        <v>7</v>
      </c>
      <c r="BD142" s="27" t="s">
        <v>7</v>
      </c>
      <c r="BE142" s="27" t="s">
        <v>8</v>
      </c>
      <c r="BF142" s="27" t="s">
        <v>7</v>
      </c>
    </row>
    <row r="143" spans="1:58" x14ac:dyDescent="0.25">
      <c r="A143" s="30">
        <v>0.12284597357367205</v>
      </c>
      <c r="C143" s="1">
        <v>3</v>
      </c>
      <c r="E143"/>
      <c r="F143" s="27" t="s">
        <v>7</v>
      </c>
      <c r="AY143" s="27" t="s">
        <v>8</v>
      </c>
      <c r="BA143" s="27" t="s">
        <v>8</v>
      </c>
      <c r="BD143" s="27" t="s">
        <v>7</v>
      </c>
      <c r="BE143" s="27" t="s">
        <v>8</v>
      </c>
      <c r="BF143" s="27" t="s">
        <v>7</v>
      </c>
    </row>
    <row r="144" spans="1:58" x14ac:dyDescent="0.25">
      <c r="A144" s="30">
        <v>0.11167815779424731</v>
      </c>
      <c r="C144" s="1">
        <v>4</v>
      </c>
      <c r="E144"/>
      <c r="F144" s="27" t="s">
        <v>7</v>
      </c>
      <c r="AY144" s="27" t="s">
        <v>8</v>
      </c>
      <c r="AZ144" s="27" t="s">
        <v>7</v>
      </c>
      <c r="BA144" s="27" t="s">
        <v>8</v>
      </c>
      <c r="BD144" s="27" t="s">
        <v>7</v>
      </c>
      <c r="BE144" s="27" t="s">
        <v>8</v>
      </c>
      <c r="BF144" s="27" t="s">
        <v>7</v>
      </c>
    </row>
    <row r="145" spans="1:64" x14ac:dyDescent="0.25">
      <c r="A145" s="30">
        <v>0.10152559799477026</v>
      </c>
      <c r="B145"/>
      <c r="C145"/>
      <c r="D145"/>
      <c r="E145"/>
      <c r="F145" s="27" t="s">
        <v>7</v>
      </c>
      <c r="AG145" s="27" t="s">
        <v>8</v>
      </c>
      <c r="AY145" s="27" t="s">
        <v>8</v>
      </c>
      <c r="AZ145" s="27" t="s">
        <v>7</v>
      </c>
      <c r="BA145" s="27" t="s">
        <v>8</v>
      </c>
      <c r="BD145" s="27" t="s">
        <v>7</v>
      </c>
      <c r="BF145" s="27" t="s">
        <v>7</v>
      </c>
      <c r="BK145" s="27" t="s">
        <v>8</v>
      </c>
    </row>
    <row r="146" spans="1:64" x14ac:dyDescent="0.25">
      <c r="A146" s="30">
        <v>9.2295998177063854E-2</v>
      </c>
      <c r="B146"/>
      <c r="C146"/>
      <c r="D146"/>
      <c r="E146"/>
      <c r="F146" s="27" t="s">
        <v>7</v>
      </c>
      <c r="AE146" s="27" t="s">
        <v>8</v>
      </c>
      <c r="AG146" s="27" t="s">
        <v>8</v>
      </c>
      <c r="AH146" s="27" t="s">
        <v>7</v>
      </c>
      <c r="AY146" s="27" t="s">
        <v>8</v>
      </c>
      <c r="AZ146" s="27" t="s">
        <v>7</v>
      </c>
      <c r="BA146" s="27" t="s">
        <v>8</v>
      </c>
      <c r="BF146" s="27" t="s">
        <v>7</v>
      </c>
      <c r="BI146" s="27" t="s">
        <v>8</v>
      </c>
      <c r="BK146" s="27" t="s">
        <v>8</v>
      </c>
      <c r="BL146" s="27" t="s">
        <v>7</v>
      </c>
    </row>
    <row r="147" spans="1:64" x14ac:dyDescent="0.25">
      <c r="A147" s="30">
        <v>8.3905452888239848E-2</v>
      </c>
      <c r="B147"/>
      <c r="C147"/>
      <c r="D147"/>
      <c r="E147"/>
      <c r="F147" s="27" t="s">
        <v>7</v>
      </c>
      <c r="AE147" s="27" t="s">
        <v>8</v>
      </c>
      <c r="AF147" s="27" t="s">
        <v>7</v>
      </c>
      <c r="AG147" s="27" t="s">
        <v>8</v>
      </c>
      <c r="AH147" s="27" t="s">
        <v>7</v>
      </c>
      <c r="AI147" s="27" t="s">
        <v>8</v>
      </c>
      <c r="AY147" s="27" t="s">
        <v>8</v>
      </c>
      <c r="AZ147" s="27" t="s">
        <v>7</v>
      </c>
      <c r="BF147" s="27" t="s">
        <v>7</v>
      </c>
      <c r="BG147" s="27" t="s">
        <v>8</v>
      </c>
      <c r="BI147" s="27" t="s">
        <v>8</v>
      </c>
      <c r="BJ147" s="27" t="s">
        <v>7</v>
      </c>
      <c r="BK147" s="27" t="s">
        <v>8</v>
      </c>
      <c r="BL147" s="27" t="s">
        <v>7</v>
      </c>
    </row>
    <row r="148" spans="1:64" x14ac:dyDescent="0.25">
      <c r="A148" s="30">
        <v>7.6277684443854396E-2</v>
      </c>
      <c r="B148"/>
      <c r="C148"/>
      <c r="D148"/>
      <c r="E148"/>
      <c r="F148" s="27" t="s">
        <v>7</v>
      </c>
      <c r="AE148" s="27" t="s">
        <v>8</v>
      </c>
      <c r="AF148" s="27" t="s">
        <v>7</v>
      </c>
      <c r="AG148" s="27" t="s">
        <v>8</v>
      </c>
      <c r="AH148" s="27" t="s">
        <v>7</v>
      </c>
      <c r="AI148" s="27" t="s">
        <v>8</v>
      </c>
      <c r="AJ148" s="27" t="s">
        <v>7</v>
      </c>
      <c r="AK148" s="27" t="s">
        <v>8</v>
      </c>
      <c r="AO148" s="27" t="s">
        <v>8</v>
      </c>
      <c r="AY148" s="27" t="s">
        <v>8</v>
      </c>
      <c r="BF148" s="27" t="s">
        <v>7</v>
      </c>
      <c r="BG148" s="27" t="s">
        <v>8</v>
      </c>
      <c r="BH148" s="27" t="s">
        <v>7</v>
      </c>
      <c r="BI148" s="27" t="s">
        <v>8</v>
      </c>
      <c r="BJ148" s="27" t="s">
        <v>7</v>
      </c>
      <c r="BK148" s="27" t="s">
        <v>8</v>
      </c>
      <c r="BL148" s="27" t="s">
        <v>7</v>
      </c>
    </row>
    <row r="149" spans="1:64" x14ac:dyDescent="0.25">
      <c r="A149" s="30">
        <v>6.9343349494413078E-2</v>
      </c>
      <c r="B149"/>
      <c r="C149"/>
      <c r="D149"/>
      <c r="E149"/>
      <c r="F149" s="27" t="s">
        <v>7</v>
      </c>
      <c r="AE149" s="27" t="s">
        <v>8</v>
      </c>
      <c r="AF149" s="27" t="s">
        <v>7</v>
      </c>
      <c r="AH149" s="27" t="s">
        <v>7</v>
      </c>
      <c r="AI149" s="27" t="s">
        <v>8</v>
      </c>
      <c r="AJ149" s="27" t="s">
        <v>7</v>
      </c>
      <c r="AK149" s="27" t="s">
        <v>8</v>
      </c>
      <c r="AL149" s="27" t="s">
        <v>7</v>
      </c>
      <c r="AO149" s="27" t="s">
        <v>8</v>
      </c>
      <c r="AP149" s="27" t="s">
        <v>7</v>
      </c>
      <c r="AY149" s="27" t="s">
        <v>8</v>
      </c>
      <c r="BF149" s="27" t="s">
        <v>7</v>
      </c>
      <c r="BG149" s="27" t="s">
        <v>8</v>
      </c>
      <c r="BH149" s="27" t="s">
        <v>7</v>
      </c>
      <c r="BI149" s="27" t="s">
        <v>8</v>
      </c>
      <c r="BJ149" s="27" t="s">
        <v>7</v>
      </c>
      <c r="BK149" s="27" t="s">
        <v>8</v>
      </c>
      <c r="BL149" s="27" t="s">
        <v>7</v>
      </c>
    </row>
    <row r="150" spans="1:64" x14ac:dyDescent="0.25">
      <c r="A150" s="30">
        <v>6.3039408631284613E-2</v>
      </c>
      <c r="B150"/>
      <c r="C150"/>
      <c r="D150"/>
      <c r="E150"/>
      <c r="F150" s="27" t="s">
        <v>7</v>
      </c>
      <c r="AC150" s="27" t="s">
        <v>8</v>
      </c>
      <c r="AE150" s="27" t="s">
        <v>8</v>
      </c>
      <c r="AH150" s="27" t="s">
        <v>7</v>
      </c>
      <c r="AI150" s="27" t="s">
        <v>8</v>
      </c>
      <c r="AJ150" s="27" t="s">
        <v>7</v>
      </c>
      <c r="AK150" s="27" t="s">
        <v>8</v>
      </c>
      <c r="AL150" s="27" t="s">
        <v>7</v>
      </c>
      <c r="AM150" s="27" t="s">
        <v>8</v>
      </c>
      <c r="AO150" s="27" t="s">
        <v>8</v>
      </c>
      <c r="AP150" s="27" t="s">
        <v>7</v>
      </c>
      <c r="AW150" s="27" t="s">
        <v>8</v>
      </c>
      <c r="AY150" s="27" t="s">
        <v>8</v>
      </c>
      <c r="BF150" s="27" t="s">
        <v>7</v>
      </c>
      <c r="BH150" s="27" t="s">
        <v>7</v>
      </c>
      <c r="BJ150" s="27" t="s">
        <v>7</v>
      </c>
      <c r="BL150" s="27" t="s">
        <v>7</v>
      </c>
    </row>
    <row r="151" spans="1:64" x14ac:dyDescent="0.25">
      <c r="A151" s="30">
        <v>5.7308553301167818E-2</v>
      </c>
      <c r="B151"/>
      <c r="C151"/>
      <c r="D151"/>
      <c r="E151"/>
      <c r="F151" s="27" t="s">
        <v>7</v>
      </c>
      <c r="AC151" s="27" t="s">
        <v>8</v>
      </c>
      <c r="AD151" s="27" t="s">
        <v>7</v>
      </c>
      <c r="AE151" s="27" t="s">
        <v>8</v>
      </c>
      <c r="AH151" s="27" t="s">
        <v>7</v>
      </c>
      <c r="AJ151" s="27" t="s">
        <v>7</v>
      </c>
      <c r="AK151" s="27" t="s">
        <v>8</v>
      </c>
      <c r="AL151" s="27" t="s">
        <v>7</v>
      </c>
      <c r="AM151" s="27" t="s">
        <v>8</v>
      </c>
      <c r="AN151" s="27" t="s">
        <v>7</v>
      </c>
      <c r="AO151" s="27" t="s">
        <v>8</v>
      </c>
      <c r="AP151" s="27" t="s">
        <v>7</v>
      </c>
      <c r="AQ151" s="27" t="s">
        <v>8</v>
      </c>
      <c r="AS151" s="27" t="s">
        <v>8</v>
      </c>
      <c r="AW151" s="27" t="s">
        <v>8</v>
      </c>
      <c r="AX151" s="27" t="s">
        <v>7</v>
      </c>
      <c r="AY151" s="27" t="s">
        <v>8</v>
      </c>
      <c r="BL151" s="27" t="s">
        <v>7</v>
      </c>
    </row>
    <row r="152" spans="1:64" x14ac:dyDescent="0.25">
      <c r="A152" s="30">
        <v>5.2098684819243464E-2</v>
      </c>
      <c r="B152"/>
      <c r="C152"/>
      <c r="D152"/>
      <c r="E152"/>
      <c r="F152" s="27" t="s">
        <v>7</v>
      </c>
      <c r="AC152" s="27" t="s">
        <v>8</v>
      </c>
      <c r="AD152" s="27" t="s">
        <v>7</v>
      </c>
      <c r="AE152" s="27" t="s">
        <v>8</v>
      </c>
      <c r="AJ152" s="27" t="s">
        <v>7</v>
      </c>
      <c r="AK152" s="27" t="s">
        <v>8</v>
      </c>
      <c r="AL152" s="27" t="s">
        <v>7</v>
      </c>
      <c r="AM152" s="27" t="s">
        <v>8</v>
      </c>
      <c r="AN152" s="27" t="s">
        <v>7</v>
      </c>
      <c r="AO152" s="27" t="s">
        <v>8</v>
      </c>
      <c r="AP152" s="27" t="s">
        <v>7</v>
      </c>
      <c r="AQ152" s="27" t="s">
        <v>8</v>
      </c>
      <c r="AR152" s="27" t="s">
        <v>7</v>
      </c>
      <c r="AS152" s="27" t="s">
        <v>8</v>
      </c>
      <c r="AT152" s="27" t="s">
        <v>7</v>
      </c>
      <c r="AW152" s="27" t="s">
        <v>8</v>
      </c>
      <c r="AX152" s="27" t="s">
        <v>7</v>
      </c>
      <c r="AY152" s="27" t="s">
        <v>8</v>
      </c>
      <c r="BL152" s="27" t="s">
        <v>7</v>
      </c>
    </row>
    <row r="153" spans="1:64" x14ac:dyDescent="0.25">
      <c r="A153" s="30">
        <v>4.7362440744766775E-2</v>
      </c>
      <c r="B153"/>
      <c r="C153"/>
      <c r="D153"/>
      <c r="E153"/>
      <c r="F153" s="27" t="s">
        <v>7</v>
      </c>
      <c r="AC153" s="27" t="s">
        <v>8</v>
      </c>
      <c r="AD153" s="27" t="s">
        <v>7</v>
      </c>
      <c r="AJ153" s="27" t="s">
        <v>7</v>
      </c>
      <c r="AK153" s="27" t="s">
        <v>8</v>
      </c>
      <c r="AL153" s="27" t="s">
        <v>7</v>
      </c>
      <c r="AM153" s="27" t="s">
        <v>8</v>
      </c>
      <c r="AN153" s="27" t="s">
        <v>7</v>
      </c>
      <c r="AP153" s="27" t="s">
        <v>7</v>
      </c>
      <c r="AQ153" s="27" t="s">
        <v>8</v>
      </c>
      <c r="AR153" s="27" t="s">
        <v>7</v>
      </c>
      <c r="AS153" s="27" t="s">
        <v>8</v>
      </c>
      <c r="AT153" s="27" t="s">
        <v>7</v>
      </c>
      <c r="AW153" s="27" t="s">
        <v>8</v>
      </c>
      <c r="AX153" s="27" t="s">
        <v>7</v>
      </c>
      <c r="AY153" s="27" t="s">
        <v>8</v>
      </c>
      <c r="BL153" s="27" t="s">
        <v>7</v>
      </c>
    </row>
    <row r="154" spans="1:64" x14ac:dyDescent="0.25">
      <c r="A154" s="30">
        <v>4.3056764313424332E-2</v>
      </c>
      <c r="B154"/>
      <c r="C154"/>
      <c r="D154"/>
      <c r="E154"/>
      <c r="F154" s="27" t="s">
        <v>7</v>
      </c>
      <c r="AC154" s="27" t="s">
        <v>8</v>
      </c>
      <c r="AJ154" s="27" t="s">
        <v>7</v>
      </c>
      <c r="AL154" s="27" t="s">
        <v>7</v>
      </c>
      <c r="AM154" s="27" t="s">
        <v>8</v>
      </c>
      <c r="AP154" s="27" t="s">
        <v>7</v>
      </c>
      <c r="AQ154" s="27" t="s">
        <v>8</v>
      </c>
      <c r="AR154" s="27" t="s">
        <v>7</v>
      </c>
      <c r="AS154" s="27" t="s">
        <v>8</v>
      </c>
      <c r="AT154" s="27" t="s">
        <v>7</v>
      </c>
      <c r="AW154" s="27" t="s">
        <v>8</v>
      </c>
      <c r="AX154" s="27" t="s">
        <v>7</v>
      </c>
    </row>
    <row r="155" spans="1:64" x14ac:dyDescent="0.25">
      <c r="A155" s="30">
        <v>3.9142513012203929E-2</v>
      </c>
      <c r="B155"/>
      <c r="C155"/>
      <c r="D155"/>
      <c r="E155"/>
      <c r="F155" s="27" t="s">
        <v>7</v>
      </c>
      <c r="AC155" s="27" t="s">
        <v>8</v>
      </c>
      <c r="AL155" s="27" t="s">
        <v>7</v>
      </c>
      <c r="AP155" s="27" t="s">
        <v>7</v>
      </c>
      <c r="AR155" s="27" t="s">
        <v>7</v>
      </c>
      <c r="AS155" s="27" t="s">
        <v>8</v>
      </c>
      <c r="AT155" s="27" t="s">
        <v>7</v>
      </c>
      <c r="AW155" s="27" t="s">
        <v>8</v>
      </c>
    </row>
    <row r="156" spans="1:64" x14ac:dyDescent="0.25">
      <c r="A156" s="30">
        <v>3.55841027383672E-2</v>
      </c>
      <c r="B156"/>
      <c r="C156"/>
      <c r="D156"/>
      <c r="E156"/>
      <c r="F156" s="27" t="s">
        <v>7</v>
      </c>
      <c r="AC156" s="27" t="s">
        <v>8</v>
      </c>
      <c r="AR156" s="27" t="s">
        <v>7</v>
      </c>
      <c r="AS156" s="27" t="s">
        <v>8</v>
      </c>
      <c r="AT156" s="27" t="s">
        <v>7</v>
      </c>
      <c r="AW156" s="27" t="s">
        <v>8</v>
      </c>
    </row>
    <row r="157" spans="1:64" x14ac:dyDescent="0.25">
      <c r="A157" s="30">
        <v>3.2349184307606541E-2</v>
      </c>
      <c r="B157"/>
      <c r="C157"/>
      <c r="D157"/>
      <c r="E157"/>
      <c r="F157" s="27" t="s">
        <v>7</v>
      </c>
      <c r="AC157" s="27" t="s">
        <v>8</v>
      </c>
      <c r="AR157" s="27" t="s">
        <v>7</v>
      </c>
      <c r="AS157" s="27" t="s">
        <v>8</v>
      </c>
      <c r="AT157" s="27" t="s">
        <v>7</v>
      </c>
      <c r="AU157" s="27" t="s">
        <v>8</v>
      </c>
      <c r="AW157" s="27" t="s">
        <v>8</v>
      </c>
    </row>
    <row r="158" spans="1:64" x14ac:dyDescent="0.25">
      <c r="A158" s="30">
        <v>2.9408349370551395E-2</v>
      </c>
      <c r="B158"/>
      <c r="C158"/>
      <c r="D158"/>
      <c r="E158"/>
      <c r="F158" s="27" t="s">
        <v>7</v>
      </c>
      <c r="AC158" s="27" t="s">
        <v>8</v>
      </c>
      <c r="AR158" s="27" t="s">
        <v>7</v>
      </c>
      <c r="AS158" s="27" t="s">
        <v>8</v>
      </c>
      <c r="AT158" s="27" t="s">
        <v>7</v>
      </c>
      <c r="AU158" s="27" t="s">
        <v>8</v>
      </c>
      <c r="AV158" s="27" t="s">
        <v>7</v>
      </c>
      <c r="AW158" s="27" t="s">
        <v>8</v>
      </c>
    </row>
    <row r="159" spans="1:64" x14ac:dyDescent="0.25">
      <c r="A159" s="30">
        <v>2.6734863064137627E-2</v>
      </c>
      <c r="B159"/>
      <c r="C159"/>
      <c r="D159"/>
      <c r="E159"/>
      <c r="F159" s="27" t="s">
        <v>7</v>
      </c>
      <c r="AC159" s="27" t="s">
        <v>8</v>
      </c>
      <c r="AR159" s="27" t="s">
        <v>7</v>
      </c>
      <c r="AS159" s="27" t="s">
        <v>8</v>
      </c>
      <c r="AT159" s="27" t="s">
        <v>7</v>
      </c>
      <c r="AU159" s="27" t="s">
        <v>8</v>
      </c>
      <c r="AV159" s="27" t="s">
        <v>7</v>
      </c>
      <c r="AW159" s="27" t="s">
        <v>8</v>
      </c>
    </row>
    <row r="160" spans="1:64" x14ac:dyDescent="0.25">
      <c r="A160" s="30">
        <v>2.4304420967397839E-2</v>
      </c>
      <c r="B160"/>
      <c r="C160"/>
      <c r="D160"/>
      <c r="E160"/>
      <c r="F160" s="27" t="s">
        <v>7</v>
      </c>
      <c r="Y160" s="27" t="s">
        <v>8</v>
      </c>
      <c r="AA160" s="27" t="s">
        <v>8</v>
      </c>
      <c r="AC160" s="27" t="s">
        <v>8</v>
      </c>
      <c r="AR160" s="27" t="s">
        <v>7</v>
      </c>
      <c r="AS160" s="27" t="s">
        <v>8</v>
      </c>
      <c r="AT160" s="27" t="s">
        <v>7</v>
      </c>
      <c r="AU160" s="27" t="s">
        <v>8</v>
      </c>
      <c r="AV160" s="27" t="s">
        <v>7</v>
      </c>
      <c r="AW160" s="27" t="s">
        <v>8</v>
      </c>
    </row>
    <row r="161" spans="1:49" x14ac:dyDescent="0.25">
      <c r="A161" s="30">
        <v>2.2094928152179852E-2</v>
      </c>
      <c r="B161"/>
      <c r="C161"/>
      <c r="D161"/>
      <c r="E161"/>
      <c r="F161" s="27" t="s">
        <v>7</v>
      </c>
      <c r="Y161" s="27" t="s">
        <v>8</v>
      </c>
      <c r="Z161" s="27" t="s">
        <v>7</v>
      </c>
      <c r="AA161" s="27" t="s">
        <v>8</v>
      </c>
      <c r="AB161" s="27" t="s">
        <v>7</v>
      </c>
      <c r="AC161" s="27" t="s">
        <v>8</v>
      </c>
      <c r="AR161" s="27" t="s">
        <v>7</v>
      </c>
      <c r="AT161" s="27" t="s">
        <v>7</v>
      </c>
      <c r="AV161" s="18" t="s">
        <v>7</v>
      </c>
      <c r="AW161" s="27" t="s">
        <v>8</v>
      </c>
    </row>
    <row r="162" spans="1:49" x14ac:dyDescent="0.25">
      <c r="A162" s="30">
        <v>2.0086298320163499E-2</v>
      </c>
      <c r="B162"/>
      <c r="C162"/>
      <c r="D162"/>
      <c r="E162"/>
      <c r="F162" s="27" t="s">
        <v>7</v>
      </c>
      <c r="Y162" s="27" t="s">
        <v>8</v>
      </c>
      <c r="Z162" s="27" t="s">
        <v>7</v>
      </c>
      <c r="AA162" s="27" t="s">
        <v>8</v>
      </c>
      <c r="AB162" s="27" t="s">
        <v>7</v>
      </c>
      <c r="AC162" s="27" t="s">
        <v>8</v>
      </c>
      <c r="AV162" s="27" t="s">
        <v>7</v>
      </c>
    </row>
    <row r="163" spans="1:49" x14ac:dyDescent="0.25">
      <c r="A163" s="30">
        <v>1.8260271200148632E-2</v>
      </c>
      <c r="B163"/>
      <c r="C163"/>
      <c r="D163"/>
      <c r="E163"/>
      <c r="F163" s="27" t="s">
        <v>7</v>
      </c>
      <c r="Y163" s="27" t="s">
        <v>8</v>
      </c>
      <c r="Z163" s="27" t="s">
        <v>7</v>
      </c>
      <c r="AB163" s="27" t="s">
        <v>7</v>
      </c>
      <c r="AC163" s="27" t="s">
        <v>8</v>
      </c>
    </row>
    <row r="164" spans="1:49" x14ac:dyDescent="0.25">
      <c r="A164" s="30">
        <v>1.6600246545589663E-2</v>
      </c>
      <c r="B164"/>
      <c r="C164"/>
      <c r="D164"/>
      <c r="E164"/>
      <c r="F164" s="27" t="s">
        <v>7</v>
      </c>
      <c r="Y164" s="27" t="s">
        <v>8</v>
      </c>
      <c r="AB164" s="27" t="s">
        <v>7</v>
      </c>
      <c r="AC164" s="27" t="s">
        <v>8</v>
      </c>
    </row>
    <row r="165" spans="1:49" x14ac:dyDescent="0.25">
      <c r="A165" s="30">
        <v>1.5091133223263328E-2</v>
      </c>
      <c r="B165"/>
      <c r="C165"/>
      <c r="D165"/>
      <c r="E165"/>
      <c r="F165" s="27" t="s">
        <v>7</v>
      </c>
      <c r="Y165" s="27" t="s">
        <v>8</v>
      </c>
      <c r="AB165" s="27" t="s">
        <v>7</v>
      </c>
      <c r="AC165" s="27" t="s">
        <v>8</v>
      </c>
    </row>
    <row r="166" spans="1:49" x14ac:dyDescent="0.25">
      <c r="A166" s="30">
        <v>1.3719212021148477E-2</v>
      </c>
      <c r="B166"/>
      <c r="C166"/>
      <c r="D166"/>
      <c r="E166"/>
      <c r="F166" s="27" t="s">
        <v>7</v>
      </c>
      <c r="Q166" s="27" t="s">
        <v>8</v>
      </c>
      <c r="S166" s="27" t="s">
        <v>8</v>
      </c>
      <c r="Y166" s="27" t="s">
        <v>8</v>
      </c>
      <c r="AB166" s="27" t="s">
        <v>7</v>
      </c>
    </row>
    <row r="167" spans="1:49" x14ac:dyDescent="0.25">
      <c r="A167" s="30">
        <v>1.2472010928316795E-2</v>
      </c>
      <c r="B167"/>
      <c r="C167"/>
      <c r="D167"/>
      <c r="E167"/>
      <c r="F167" s="27" t="s">
        <v>7</v>
      </c>
      <c r="Q167" s="27" t="s">
        <v>8</v>
      </c>
      <c r="R167" s="27" t="s">
        <v>7</v>
      </c>
      <c r="S167" s="27" t="s">
        <v>8</v>
      </c>
      <c r="T167" s="27" t="s">
        <v>7</v>
      </c>
      <c r="Y167" s="27" t="s">
        <v>8</v>
      </c>
    </row>
    <row r="168" spans="1:49" x14ac:dyDescent="0.25">
      <c r="A168" s="30">
        <v>1.1338191753015267E-2</v>
      </c>
      <c r="B168"/>
      <c r="C168"/>
      <c r="D168"/>
      <c r="E168"/>
      <c r="F168" s="27" t="s">
        <v>7</v>
      </c>
      <c r="Q168" s="27" t="s">
        <v>8</v>
      </c>
      <c r="R168" s="27" t="s">
        <v>7</v>
      </c>
      <c r="S168" s="27" t="s">
        <v>8</v>
      </c>
      <c r="T168" s="27" t="s">
        <v>7</v>
      </c>
      <c r="Y168" s="27" t="s">
        <v>8</v>
      </c>
    </row>
    <row r="169" spans="1:49" x14ac:dyDescent="0.25">
      <c r="A169" s="30">
        <v>1.0307447048195697E-2</v>
      </c>
      <c r="B169"/>
      <c r="C169"/>
      <c r="D169"/>
      <c r="E169"/>
      <c r="F169" s="27" t="s">
        <v>7</v>
      </c>
      <c r="Q169" s="27" t="s">
        <v>8</v>
      </c>
      <c r="R169" s="27" t="s">
        <v>7</v>
      </c>
      <c r="T169" s="27" t="s">
        <v>7</v>
      </c>
      <c r="Y169" s="27" t="s">
        <v>8</v>
      </c>
    </row>
    <row r="170" spans="1:49" x14ac:dyDescent="0.25">
      <c r="A170" s="30">
        <v>9.3704064074506318E-3</v>
      </c>
      <c r="B170"/>
      <c r="C170"/>
      <c r="D170"/>
      <c r="E170"/>
      <c r="F170" s="27" t="s">
        <v>7</v>
      </c>
      <c r="Q170" s="27" t="s">
        <v>8</v>
      </c>
      <c r="T170" s="27" t="s">
        <v>7</v>
      </c>
      <c r="Y170" s="27" t="s">
        <v>8</v>
      </c>
    </row>
    <row r="171" spans="1:49" x14ac:dyDescent="0.25">
      <c r="A171" s="30">
        <v>8.5185512795005747E-3</v>
      </c>
      <c r="F171" s="27" t="s">
        <v>7</v>
      </c>
      <c r="O171" s="27" t="s">
        <v>8</v>
      </c>
      <c r="Q171" s="27" t="s">
        <v>8</v>
      </c>
      <c r="T171" s="27" t="s">
        <v>7</v>
      </c>
      <c r="Y171" s="27" t="s">
        <v>8</v>
      </c>
    </row>
    <row r="172" spans="1:49" x14ac:dyDescent="0.25">
      <c r="A172" s="30">
        <v>7.744137526818704E-3</v>
      </c>
      <c r="F172" s="27" t="s">
        <v>7</v>
      </c>
      <c r="O172" s="27" t="s">
        <v>8</v>
      </c>
      <c r="P172" s="27" t="s">
        <v>7</v>
      </c>
      <c r="Q172" s="27" t="s">
        <v>8</v>
      </c>
      <c r="T172" s="27" t="s">
        <v>7</v>
      </c>
      <c r="W172" s="27" t="s">
        <v>8</v>
      </c>
      <c r="Y172" s="27" t="s">
        <v>8</v>
      </c>
    </row>
    <row r="173" spans="1:49" x14ac:dyDescent="0.25">
      <c r="A173" s="30">
        <v>7.0401250243806394E-3</v>
      </c>
      <c r="F173" s="27" t="s">
        <v>7</v>
      </c>
      <c r="O173" s="27" t="s">
        <v>8</v>
      </c>
      <c r="P173" s="27" t="s">
        <v>7</v>
      </c>
      <c r="Q173" s="27" t="s">
        <v>8</v>
      </c>
      <c r="T173" s="27" t="s">
        <v>7</v>
      </c>
      <c r="U173" s="27" t="s">
        <v>8</v>
      </c>
      <c r="W173" s="27" t="s">
        <v>8</v>
      </c>
      <c r="X173" s="27" t="s">
        <v>7</v>
      </c>
      <c r="Y173" s="27" t="s">
        <v>8</v>
      </c>
    </row>
    <row r="174" spans="1:49" x14ac:dyDescent="0.25">
      <c r="A174" s="30">
        <v>6.4001136585278536E-3</v>
      </c>
      <c r="F174" s="27" t="s">
        <v>7</v>
      </c>
      <c r="O174" s="27" t="s">
        <v>8</v>
      </c>
      <c r="P174" s="27" t="s">
        <v>7</v>
      </c>
      <c r="Q174" s="27" t="s">
        <v>8</v>
      </c>
      <c r="T174" s="27" t="s">
        <v>7</v>
      </c>
      <c r="U174" s="27" t="s">
        <v>8</v>
      </c>
      <c r="V174" s="27" t="s">
        <v>7</v>
      </c>
      <c r="W174" s="27" t="s">
        <v>8</v>
      </c>
      <c r="X174" s="27" t="s">
        <v>7</v>
      </c>
      <c r="Y174" s="27" t="s">
        <v>8</v>
      </c>
    </row>
    <row r="175" spans="1:49" x14ac:dyDescent="0.25">
      <c r="A175" s="30">
        <v>5.8182851441162305E-3</v>
      </c>
      <c r="F175" s="27" t="s">
        <v>7</v>
      </c>
      <c r="O175" s="27" t="s">
        <v>8</v>
      </c>
      <c r="P175" s="27" t="s">
        <v>7</v>
      </c>
      <c r="T175" s="27" t="s">
        <v>7</v>
      </c>
      <c r="U175" s="27" t="s">
        <v>8</v>
      </c>
      <c r="V175" s="27" t="s">
        <v>7</v>
      </c>
      <c r="W175" s="27" t="s">
        <v>8</v>
      </c>
      <c r="X175" s="27" t="s">
        <v>7</v>
      </c>
      <c r="Y175" s="27" t="s">
        <v>8</v>
      </c>
    </row>
    <row r="176" spans="1:49" x14ac:dyDescent="0.25">
      <c r="A176" s="30">
        <v>5.2893501310147546E-3</v>
      </c>
      <c r="F176" s="27" t="s">
        <v>7</v>
      </c>
      <c r="G176" s="27" t="s">
        <v>8</v>
      </c>
      <c r="O176" s="27" t="s">
        <v>8</v>
      </c>
      <c r="T176" s="27" t="s">
        <v>7</v>
      </c>
      <c r="U176" s="27" t="s">
        <v>8</v>
      </c>
      <c r="V176" s="27" t="s">
        <v>7</v>
      </c>
      <c r="W176" s="27" t="s">
        <v>8</v>
      </c>
      <c r="X176" s="27" t="s">
        <v>7</v>
      </c>
    </row>
    <row r="177" spans="1:23" x14ac:dyDescent="0.25">
      <c r="A177" s="30">
        <v>4.8085001191043222E-3</v>
      </c>
      <c r="F177" s="27" t="s">
        <v>7</v>
      </c>
      <c r="G177" s="27" t="s">
        <v>8</v>
      </c>
      <c r="H177" s="27" t="s">
        <v>7</v>
      </c>
      <c r="O177" s="27" t="s">
        <v>8</v>
      </c>
      <c r="T177" s="27" t="s">
        <v>7</v>
      </c>
      <c r="U177" s="27" t="s">
        <v>8</v>
      </c>
      <c r="V177" s="27" t="s">
        <v>7</v>
      </c>
      <c r="W177" s="27" t="s">
        <v>8</v>
      </c>
    </row>
    <row r="178" spans="1:23" x14ac:dyDescent="0.25">
      <c r="A178" s="30">
        <v>4.3713637446402926E-3</v>
      </c>
      <c r="F178" s="27" t="s">
        <v>7</v>
      </c>
      <c r="G178" s="27" t="s">
        <v>8</v>
      </c>
      <c r="H178" s="27" t="s">
        <v>7</v>
      </c>
      <c r="O178" s="27" t="s">
        <v>8</v>
      </c>
      <c r="T178" s="27" t="s">
        <v>7</v>
      </c>
      <c r="U178" s="27" t="s">
        <v>8</v>
      </c>
      <c r="V178" s="27" t="s">
        <v>7</v>
      </c>
    </row>
    <row r="179" spans="1:23" x14ac:dyDescent="0.25">
      <c r="A179" s="30">
        <v>3.9739670405820838E-3</v>
      </c>
      <c r="F179" s="27" t="s">
        <v>7</v>
      </c>
      <c r="G179" s="27" t="s">
        <v>8</v>
      </c>
      <c r="H179" s="27" t="s">
        <v>7</v>
      </c>
      <c r="O179" s="27" t="s">
        <v>8</v>
      </c>
      <c r="T179" s="27" t="s">
        <v>7</v>
      </c>
      <c r="U179" s="27" t="s">
        <v>8</v>
      </c>
    </row>
    <row r="180" spans="1:23" x14ac:dyDescent="0.25">
      <c r="A180" s="30">
        <v>3.6126973096200759E-3</v>
      </c>
      <c r="F180" s="27" t="s">
        <v>7</v>
      </c>
      <c r="G180" s="27" t="s">
        <v>8</v>
      </c>
      <c r="H180" s="27" t="s">
        <v>7</v>
      </c>
      <c r="O180" s="27" t="s">
        <v>8</v>
      </c>
      <c r="T180" s="27" t="s">
        <v>7</v>
      </c>
      <c r="U180" s="27" t="s">
        <v>8</v>
      </c>
    </row>
    <row r="181" spans="1:23" x14ac:dyDescent="0.25">
      <c r="A181" s="30">
        <v>3.2842702814727962E-3</v>
      </c>
      <c r="F181" s="27" t="s">
        <v>7</v>
      </c>
      <c r="H181" s="27" t="s">
        <v>7</v>
      </c>
      <c r="K181" s="27" t="s">
        <v>8</v>
      </c>
      <c r="M181" s="27" t="s">
        <v>8</v>
      </c>
      <c r="O181" s="27" t="s">
        <v>8</v>
      </c>
      <c r="T181" s="27" t="s">
        <v>7</v>
      </c>
    </row>
    <row r="182" spans="1:23" x14ac:dyDescent="0.25">
      <c r="A182" s="30">
        <v>2.9857002558843601E-3</v>
      </c>
      <c r="H182" s="27" t="s">
        <v>7</v>
      </c>
      <c r="K182" s="27" t="s">
        <v>8</v>
      </c>
      <c r="L182" s="27" t="s">
        <v>7</v>
      </c>
      <c r="M182" s="27" t="s">
        <v>8</v>
      </c>
      <c r="N182" s="27" t="s">
        <v>7</v>
      </c>
      <c r="O182" s="27" t="s">
        <v>8</v>
      </c>
    </row>
    <row r="183" spans="1:23" x14ac:dyDescent="0.25">
      <c r="A183" s="30">
        <v>2.7142729598948726E-3</v>
      </c>
      <c r="H183" s="27" t="s">
        <v>7</v>
      </c>
      <c r="K183" s="27" t="s">
        <v>8</v>
      </c>
      <c r="L183" s="27" t="s">
        <v>7</v>
      </c>
      <c r="M183" s="27" t="s">
        <v>8</v>
      </c>
      <c r="N183" s="27" t="s">
        <v>7</v>
      </c>
      <c r="O183" s="27" t="s">
        <v>8</v>
      </c>
    </row>
    <row r="184" spans="1:23" x14ac:dyDescent="0.25">
      <c r="A184" s="30">
        <v>2.4675208726317021E-3</v>
      </c>
      <c r="H184" s="27" t="s">
        <v>7</v>
      </c>
      <c r="K184" s="27" t="s">
        <v>8</v>
      </c>
      <c r="L184" s="27" t="s">
        <v>7</v>
      </c>
      <c r="M184" s="27" t="s">
        <v>8</v>
      </c>
      <c r="N184" s="27" t="s">
        <v>7</v>
      </c>
    </row>
    <row r="185" spans="1:23" x14ac:dyDescent="0.25">
      <c r="A185" s="30">
        <v>2.2432007933015472E-3</v>
      </c>
      <c r="H185" s="27" t="s">
        <v>7</v>
      </c>
      <c r="K185" s="27" t="s">
        <v>8</v>
      </c>
      <c r="L185" s="27" t="s">
        <v>7</v>
      </c>
      <c r="M185" s="27" t="s">
        <v>8</v>
      </c>
    </row>
    <row r="186" spans="1:23" x14ac:dyDescent="0.25">
      <c r="A186" s="30">
        <v>2.0392734484559519E-3</v>
      </c>
      <c r="H186" s="27" t="s">
        <v>7</v>
      </c>
      <c r="K186" s="27" t="s">
        <v>8</v>
      </c>
      <c r="L186" s="27" t="s">
        <v>7</v>
      </c>
      <c r="M186" s="27" t="s">
        <v>8</v>
      </c>
    </row>
    <row r="187" spans="1:23" x14ac:dyDescent="0.25">
      <c r="A187" s="30">
        <v>1.8538849531417744E-3</v>
      </c>
      <c r="H187" s="27" t="s">
        <v>7</v>
      </c>
      <c r="K187" s="27" t="s">
        <v>8</v>
      </c>
      <c r="L187" s="27" t="s">
        <v>7</v>
      </c>
      <c r="M187" s="27" t="s">
        <v>8</v>
      </c>
    </row>
    <row r="188" spans="1:23" x14ac:dyDescent="0.25">
      <c r="A188" s="30">
        <v>1.6853499574016129E-3</v>
      </c>
      <c r="H188" s="27" t="s">
        <v>7</v>
      </c>
      <c r="K188" s="27" t="s">
        <v>8</v>
      </c>
      <c r="L188" s="27" t="s">
        <v>7</v>
      </c>
      <c r="M188" s="27" t="s">
        <v>8</v>
      </c>
    </row>
    <row r="189" spans="1:23" x14ac:dyDescent="0.25">
      <c r="A189" s="30">
        <v>1.5321363249105571E-3</v>
      </c>
      <c r="H189" s="27" t="s">
        <v>7</v>
      </c>
      <c r="K189" s="27" t="s">
        <v>8</v>
      </c>
      <c r="L189" s="27" t="s">
        <v>7</v>
      </c>
    </row>
    <row r="190" spans="1:23" x14ac:dyDescent="0.25">
      <c r="A190" s="30">
        <v>1.3928512044641427E-3</v>
      </c>
      <c r="H190" s="27" t="s">
        <v>7</v>
      </c>
      <c r="I190" s="27" t="s">
        <v>8</v>
      </c>
      <c r="K190" s="27" t="s">
        <v>8</v>
      </c>
    </row>
    <row r="191" spans="1:23" x14ac:dyDescent="0.25">
      <c r="A191" s="30">
        <v>1.2662283676946752E-3</v>
      </c>
      <c r="H191" s="27" t="s">
        <v>7</v>
      </c>
      <c r="I191" s="27" t="s">
        <v>8</v>
      </c>
      <c r="J191" s="27" t="s">
        <v>7</v>
      </c>
      <c r="K191" s="27" t="s">
        <v>8</v>
      </c>
    </row>
    <row r="192" spans="1:23" x14ac:dyDescent="0.25">
      <c r="A192" s="30">
        <v>1.15111669790425E-3</v>
      </c>
      <c r="H192" s="27" t="s">
        <v>7</v>
      </c>
      <c r="I192" s="27" t="s">
        <v>8</v>
      </c>
      <c r="J192" s="27" t="s">
        <v>7</v>
      </c>
      <c r="K192" s="27" t="s">
        <v>8</v>
      </c>
    </row>
    <row r="193" spans="1:10" x14ac:dyDescent="0.25">
      <c r="A193" s="30">
        <v>1.0464697253675E-3</v>
      </c>
      <c r="H193" s="27" t="s">
        <v>7</v>
      </c>
      <c r="I193" s="27" t="s">
        <v>8</v>
      </c>
      <c r="J193" s="27" t="s">
        <v>7</v>
      </c>
    </row>
    <row r="194" spans="1:10" x14ac:dyDescent="0.25">
      <c r="A194" s="30">
        <v>9.5133611397045449E-4</v>
      </c>
      <c r="H194" s="27" t="s">
        <v>7</v>
      </c>
    </row>
    <row r="195" spans="1:10" x14ac:dyDescent="0.25">
      <c r="A195" s="30">
        <v>8.6485101270041313E-4</v>
      </c>
    </row>
    <row r="196" spans="1:10" x14ac:dyDescent="0.25">
      <c r="A196" s="30">
        <v>7.862281933640119E-4</v>
      </c>
    </row>
    <row r="197" spans="1:10" x14ac:dyDescent="0.25">
      <c r="A197" s="30">
        <v>7.0760537402761068E-4</v>
      </c>
    </row>
    <row r="198" spans="1:10" x14ac:dyDescent="0.25">
      <c r="A198" s="30">
        <v>6.368448366248496E-4</v>
      </c>
    </row>
    <row r="199" spans="1:10" x14ac:dyDescent="0.25">
      <c r="A199" s="30">
        <v>5.7316035296236471E-4</v>
      </c>
    </row>
    <row r="200" spans="1:10" x14ac:dyDescent="0.25">
      <c r="A200" s="30">
        <v>5.1584431766612821E-4</v>
      </c>
    </row>
    <row r="201" spans="1:10" x14ac:dyDescent="0.25">
      <c r="A201" s="30">
        <v>4.6425988589951538E-4</v>
      </c>
    </row>
    <row r="202" spans="1:10" x14ac:dyDescent="0.25">
      <c r="A202" s="30">
        <v>4.1783389730956383E-4</v>
      </c>
    </row>
    <row r="203" spans="1:10" x14ac:dyDescent="0.25">
      <c r="A203" s="30">
        <v>3.7605050757860746E-4</v>
      </c>
    </row>
    <row r="204" spans="1:10" x14ac:dyDescent="0.25">
      <c r="A204" s="30">
        <v>3.3844545682074675E-4</v>
      </c>
    </row>
    <row r="205" spans="1:10" x14ac:dyDescent="0.25">
      <c r="A205" s="30">
        <v>3.0460091113867208E-4</v>
      </c>
    </row>
    <row r="206" spans="1:10" x14ac:dyDescent="0.25">
      <c r="A206" s="30">
        <v>2.7414082002480487E-4</v>
      </c>
    </row>
    <row r="207" spans="1:10" x14ac:dyDescent="0.25">
      <c r="A207" s="30">
        <v>2.4672673802232442E-4</v>
      </c>
    </row>
    <row r="208" spans="1:10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2.0176975860150829E-2</v>
      </c>
      <c r="F3" s="30">
        <v>2.7039077391184052E-2</v>
      </c>
      <c r="G3" s="30">
        <v>3.4509475941378875E-2</v>
      </c>
      <c r="H3" s="25">
        <f>IF(G3="","",(3*(G3-F3))+E3)</f>
        <v>4.2588171510735295E-2</v>
      </c>
      <c r="I3" s="7"/>
      <c r="J3" s="7">
        <f>(E3+G3)/2</f>
        <v>2.734322590076485E-2</v>
      </c>
      <c r="K3" s="7">
        <f>H3/2</f>
        <v>2.1294085755367648E-2</v>
      </c>
      <c r="M3" s="26">
        <f>IF(OR(J3="",H3=""),"",H3/J3)</f>
        <v>1.5575401258541337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2022-01-28T01:14:49Z</dcterms:modified>
</cp:coreProperties>
</file>