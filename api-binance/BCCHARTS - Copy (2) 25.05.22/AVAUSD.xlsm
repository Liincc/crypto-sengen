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A798513-F2C8-4B46-B285-23D4B05029B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D136" i="4" s="1"/>
  <c r="C116" i="5"/>
  <c r="C116" i="4"/>
  <c r="C118" i="4"/>
  <c r="R765" i="1"/>
  <c r="S766" i="1"/>
  <c r="T766" i="1" s="1"/>
  <c r="D136" i="5"/>
  <c r="C136" i="5"/>
  <c r="C118" i="3"/>
  <c r="C122" i="3"/>
  <c r="C133" i="3" s="1"/>
  <c r="C136" i="3" s="1"/>
  <c r="C136" i="4" l="1"/>
  <c r="C138" i="4" s="1"/>
  <c r="C138" i="5"/>
  <c r="S765" i="1"/>
  <c r="T765" i="1" s="1"/>
  <c r="R764" i="1"/>
  <c r="D136" i="3"/>
  <c r="C138" i="3" s="1"/>
  <c r="S764" i="1" l="1"/>
  <c r="T764" i="1" s="1"/>
  <c r="R763" i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S740" i="1" l="1"/>
  <c r="T740" i="1" s="1"/>
  <c r="R739" i="1"/>
  <c r="R738" i="1" l="1"/>
  <c r="S739" i="1"/>
  <c r="T739" i="1" s="1"/>
  <c r="S738" i="1" l="1"/>
  <c r="T738" i="1" s="1"/>
  <c r="R737" i="1"/>
  <c r="R736" i="1" l="1"/>
  <c r="S737" i="1"/>
  <c r="T737" i="1" s="1"/>
  <c r="R735" i="1" l="1"/>
  <c r="S736" i="1"/>
  <c r="T736" i="1" s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R707" i="1" l="1"/>
  <c r="S708" i="1"/>
  <c r="T708" i="1" s="1"/>
  <c r="S707" i="1" l="1"/>
  <c r="T707" i="1" s="1"/>
  <c r="R706" i="1"/>
  <c r="R705" i="1" l="1"/>
  <c r="S706" i="1"/>
  <c r="T706" i="1" s="1"/>
  <c r="R704" i="1" l="1"/>
  <c r="S705" i="1"/>
  <c r="T705" i="1" s="1"/>
  <c r="R703" i="1" l="1"/>
  <c r="S704" i="1"/>
  <c r="T704" i="1" s="1"/>
  <c r="S703" i="1" l="1"/>
  <c r="T703" i="1" s="1"/>
  <c r="R702" i="1"/>
  <c r="R701" i="1" l="1"/>
  <c r="S702" i="1"/>
  <c r="T702" i="1" s="1"/>
  <c r="S701" i="1" l="1"/>
  <c r="T701" i="1" s="1"/>
  <c r="R700" i="1"/>
  <c r="S700" i="1" l="1"/>
  <c r="T700" i="1" s="1"/>
  <c r="R699" i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S695" i="1" l="1"/>
  <c r="T695" i="1" s="1"/>
  <c r="R694" i="1"/>
  <c r="R693" i="1" l="1"/>
  <c r="S694" i="1"/>
  <c r="T694" i="1" s="1"/>
  <c r="S693" i="1" l="1"/>
  <c r="T693" i="1" s="1"/>
  <c r="R692" i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R678" i="1" l="1"/>
  <c r="S679" i="1"/>
  <c r="T679" i="1" s="1"/>
  <c r="S678" i="1" l="1"/>
  <c r="T678" i="1" s="1"/>
  <c r="R677" i="1"/>
  <c r="R676" i="1" l="1"/>
  <c r="S677" i="1"/>
  <c r="T677" i="1" s="1"/>
  <c r="S676" i="1" l="1"/>
  <c r="T676" i="1" s="1"/>
  <c r="R675" i="1"/>
  <c r="R674" i="1" l="1"/>
  <c r="S675" i="1"/>
  <c r="T675" i="1" s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S663" i="1" l="1"/>
  <c r="T663" i="1" s="1"/>
  <c r="R662" i="1"/>
  <c r="S662" i="1" l="1"/>
  <c r="T662" i="1" s="1"/>
  <c r="R661" i="1"/>
  <c r="R660" i="1" l="1"/>
  <c r="S661" i="1"/>
  <c r="T661" i="1" s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S652" i="1" l="1"/>
  <c r="T652" i="1" s="1"/>
  <c r="R651" i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S631" i="1" l="1"/>
  <c r="T631" i="1" s="1"/>
  <c r="R630" i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S605" i="1" l="1"/>
  <c r="T605" i="1" s="1"/>
  <c r="R604" i="1"/>
  <c r="R603" i="1" l="1"/>
  <c r="S604" i="1"/>
  <c r="T604" i="1" s="1"/>
  <c r="S603" i="1" l="1"/>
  <c r="T603" i="1" s="1"/>
  <c r="R602" i="1"/>
  <c r="R601" i="1" l="1"/>
  <c r="S602" i="1"/>
  <c r="T602" i="1" s="1"/>
  <c r="R600" i="1" l="1"/>
  <c r="S601" i="1"/>
  <c r="T601" i="1" s="1"/>
  <c r="S600" i="1" l="1"/>
  <c r="T600" i="1" s="1"/>
  <c r="R599" i="1"/>
  <c r="R598" i="1" l="1"/>
  <c r="S599" i="1"/>
  <c r="T599" i="1" s="1"/>
  <c r="S598" i="1" l="1"/>
  <c r="T598" i="1" s="1"/>
  <c r="R597" i="1"/>
  <c r="R596" i="1" l="1"/>
  <c r="S597" i="1"/>
  <c r="T597" i="1" s="1"/>
  <c r="S596" i="1" l="1"/>
  <c r="T596" i="1" s="1"/>
  <c r="R595" i="1"/>
  <c r="S595" i="1" l="1"/>
  <c r="T595" i="1" s="1"/>
  <c r="R594" i="1"/>
  <c r="S594" i="1" l="1"/>
  <c r="T594" i="1" s="1"/>
  <c r="R593" i="1"/>
  <c r="R592" i="1" l="1"/>
  <c r="S593" i="1"/>
  <c r="T593" i="1" s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S584" i="1" l="1"/>
  <c r="T584" i="1" s="1"/>
  <c r="R583" i="1"/>
  <c r="R582" i="1" l="1"/>
  <c r="S583" i="1"/>
  <c r="T583" i="1" s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R550" i="1" l="1"/>
  <c r="S551" i="1"/>
  <c r="T551" i="1" s="1"/>
  <c r="S550" i="1" l="1"/>
  <c r="T550" i="1" s="1"/>
  <c r="R549" i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S544" i="1" l="1"/>
  <c r="T544" i="1" s="1"/>
  <c r="R543" i="1"/>
  <c r="R542" i="1" l="1"/>
  <c r="S543" i="1"/>
  <c r="T543" i="1" s="1"/>
  <c r="S542" i="1" l="1"/>
  <c r="T542" i="1" s="1"/>
  <c r="R541" i="1"/>
  <c r="S541" i="1" l="1"/>
  <c r="T541" i="1" s="1"/>
  <c r="R540" i="1"/>
  <c r="R539" i="1" l="1"/>
  <c r="S540" i="1"/>
  <c r="T540" i="1" s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R510" i="1" l="1"/>
  <c r="S511" i="1"/>
  <c r="T511" i="1" s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S488" i="1" l="1"/>
  <c r="T488" i="1" s="1"/>
  <c r="R487" i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S483" i="1" l="1"/>
  <c r="T483" i="1" s="1"/>
  <c r="R482" i="1"/>
  <c r="R481" i="1" l="1"/>
  <c r="S482" i="1"/>
  <c r="T482" i="1" s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S468" i="1" l="1"/>
  <c r="T468" i="1" s="1"/>
  <c r="R467" i="1"/>
  <c r="R466" i="1" l="1"/>
  <c r="S467" i="1"/>
  <c r="T467" i="1" s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S461" i="1" l="1"/>
  <c r="T461" i="1" s="1"/>
  <c r="R460" i="1"/>
  <c r="S460" i="1" l="1"/>
  <c r="T460" i="1" s="1"/>
  <c r="R459" i="1"/>
  <c r="S459" i="1" l="1"/>
  <c r="T459" i="1" s="1"/>
  <c r="R458" i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S444" i="1" l="1"/>
  <c r="T444" i="1" s="1"/>
  <c r="R443" i="1"/>
  <c r="R442" i="1" l="1"/>
  <c r="S443" i="1"/>
  <c r="T443" i="1" s="1"/>
  <c r="S442" i="1" l="1"/>
  <c r="T442" i="1" s="1"/>
  <c r="R441" i="1"/>
  <c r="R440" i="1" l="1"/>
  <c r="S441" i="1"/>
  <c r="T441" i="1" s="1"/>
  <c r="S440" i="1" l="1"/>
  <c r="T440" i="1" s="1"/>
  <c r="R439" i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R420" i="1" l="1"/>
  <c r="S421" i="1"/>
  <c r="T421" i="1" s="1"/>
  <c r="S420" i="1" l="1"/>
  <c r="T420" i="1" s="1"/>
  <c r="R419" i="1"/>
  <c r="S419" i="1" l="1"/>
  <c r="T419" i="1" s="1"/>
  <c r="R418" i="1"/>
  <c r="S418" i="1" l="1"/>
  <c r="T418" i="1" s="1"/>
  <c r="R417" i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S413" i="1" l="1"/>
  <c r="T413" i="1" s="1"/>
  <c r="R412" i="1"/>
  <c r="R411" i="1" l="1"/>
  <c r="S412" i="1"/>
  <c r="T412" i="1" s="1"/>
  <c r="S411" i="1" l="1"/>
  <c r="T411" i="1" s="1"/>
  <c r="R410" i="1"/>
  <c r="S410" i="1" l="1"/>
  <c r="T410" i="1" s="1"/>
  <c r="R409" i="1"/>
  <c r="R408" i="1" l="1"/>
  <c r="S409" i="1"/>
  <c r="T409" i="1" s="1"/>
  <c r="S408" i="1" l="1"/>
  <c r="T408" i="1" s="1"/>
  <c r="R407" i="1"/>
  <c r="S407" i="1" l="1"/>
  <c r="T407" i="1" s="1"/>
  <c r="R406" i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S402" i="1" l="1"/>
  <c r="T402" i="1" s="1"/>
  <c r="R401" i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S394" i="1" l="1"/>
  <c r="T394" i="1" s="1"/>
  <c r="R393" i="1"/>
  <c r="R392" i="1" l="1"/>
  <c r="S393" i="1"/>
  <c r="T393" i="1" s="1"/>
  <c r="R391" i="1" l="1"/>
  <c r="S392" i="1"/>
  <c r="T392" i="1" s="1"/>
  <c r="S391" i="1" l="1"/>
  <c r="T391" i="1" s="1"/>
  <c r="R390" i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S384" i="1" l="1"/>
  <c r="T384" i="1" s="1"/>
  <c r="R383" i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R370" i="1" l="1"/>
  <c r="S371" i="1"/>
  <c r="T371" i="1" s="1"/>
  <c r="S370" i="1" l="1"/>
  <c r="T370" i="1" s="1"/>
  <c r="R369" i="1"/>
  <c r="S369" i="1" l="1"/>
  <c r="T369" i="1" s="1"/>
  <c r="R368" i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S362" i="1" l="1"/>
  <c r="T362" i="1" s="1"/>
  <c r="R361" i="1"/>
  <c r="R360" i="1" l="1"/>
  <c r="S361" i="1"/>
  <c r="T361" i="1" s="1"/>
  <c r="S360" i="1" l="1"/>
  <c r="T360" i="1" s="1"/>
  <c r="R359" i="1"/>
  <c r="S359" i="1" l="1"/>
  <c r="T359" i="1" s="1"/>
  <c r="R358" i="1"/>
  <c r="R357" i="1" l="1"/>
  <c r="S358" i="1"/>
  <c r="T358" i="1" s="1"/>
  <c r="S357" i="1" l="1"/>
  <c r="T357" i="1" s="1"/>
  <c r="R356" i="1"/>
  <c r="R355" i="1" l="1"/>
  <c r="S356" i="1"/>
  <c r="T356" i="1" s="1"/>
  <c r="S355" i="1" l="1"/>
  <c r="T355" i="1" s="1"/>
  <c r="R354" i="1"/>
  <c r="S354" i="1" l="1"/>
  <c r="T354" i="1" s="1"/>
  <c r="R353" i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S332" i="1" l="1"/>
  <c r="T332" i="1" s="1"/>
  <c r="R331" i="1"/>
  <c r="S331" i="1" l="1"/>
  <c r="T331" i="1" s="1"/>
  <c r="R330" i="1"/>
  <c r="R329" i="1" l="1"/>
  <c r="S330" i="1"/>
  <c r="T330" i="1" s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R317" i="1" l="1"/>
  <c r="S318" i="1"/>
  <c r="T318" i="1" s="1"/>
  <c r="S317" i="1" l="1"/>
  <c r="T317" i="1" s="1"/>
  <c r="R316" i="1"/>
  <c r="S316" i="1" l="1"/>
  <c r="T316" i="1" s="1"/>
  <c r="R315" i="1"/>
  <c r="S315" i="1" l="1"/>
  <c r="T315" i="1" s="1"/>
  <c r="R314" i="1"/>
  <c r="S314" i="1" l="1"/>
  <c r="T314" i="1" s="1"/>
  <c r="R313" i="1"/>
  <c r="S313" i="1" l="1"/>
  <c r="T313" i="1" s="1"/>
  <c r="R312" i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S301" i="1" l="1"/>
  <c r="T301" i="1" s="1"/>
  <c r="R300" i="1"/>
  <c r="S300" i="1" l="1"/>
  <c r="T300" i="1" s="1"/>
  <c r="R299" i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R292" i="1" l="1"/>
  <c r="S293" i="1"/>
  <c r="T293" i="1" s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S249" i="1" l="1"/>
  <c r="T249" i="1" s="1"/>
  <c r="R248" i="1"/>
  <c r="S248" i="1" l="1"/>
  <c r="T248" i="1" s="1"/>
  <c r="R247" i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R224" i="1" l="1"/>
  <c r="S225" i="1"/>
  <c r="T225" i="1" s="1"/>
  <c r="S224" i="1" l="1"/>
  <c r="T224" i="1" s="1"/>
  <c r="R223" i="1"/>
  <c r="R222" i="1" l="1"/>
  <c r="S223" i="1"/>
  <c r="T223" i="1" s="1"/>
  <c r="S222" i="1" l="1"/>
  <c r="T222" i="1" s="1"/>
  <c r="R221" i="1"/>
  <c r="S221" i="1" l="1"/>
  <c r="T221" i="1" s="1"/>
  <c r="R220" i="1"/>
  <c r="R219" i="1" l="1"/>
  <c r="S220" i="1"/>
  <c r="T220" i="1" s="1"/>
  <c r="S219" i="1" l="1"/>
  <c r="T219" i="1" s="1"/>
  <c r="R218" i="1"/>
  <c r="R217" i="1" l="1"/>
  <c r="S218" i="1"/>
  <c r="T218" i="1" s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S210" i="1" l="1"/>
  <c r="T210" i="1" s="1"/>
  <c r="R209" i="1"/>
  <c r="R208" i="1" l="1"/>
  <c r="S209" i="1"/>
  <c r="T209" i="1" s="1"/>
  <c r="S208" i="1" l="1"/>
  <c r="T208" i="1" s="1"/>
  <c r="R207" i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S183" i="1" l="1"/>
  <c r="T183" i="1" s="1"/>
  <c r="R182" i="1"/>
  <c r="S182" i="1" l="1"/>
  <c r="T182" i="1" s="1"/>
  <c r="R181" i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S177" i="1" l="1"/>
  <c r="T177" i="1" s="1"/>
  <c r="R176" i="1"/>
  <c r="R175" i="1" l="1"/>
  <c r="S176" i="1"/>
  <c r="T176" i="1" s="1"/>
  <c r="S175" i="1" l="1"/>
  <c r="T175" i="1" s="1"/>
  <c r="R174" i="1"/>
  <c r="S174" i="1" l="1"/>
  <c r="T174" i="1" s="1"/>
  <c r="R173" i="1"/>
  <c r="S173" i="1" l="1"/>
  <c r="T173" i="1" s="1"/>
  <c r="R172" i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S166" i="1" l="1"/>
  <c r="T166" i="1" s="1"/>
  <c r="R165" i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S148" i="1" l="1"/>
  <c r="T148" i="1" s="1"/>
  <c r="R147" i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R142" i="1" l="1"/>
  <c r="S143" i="1"/>
  <c r="T143" i="1" s="1"/>
  <c r="S142" i="1" l="1"/>
  <c r="T142" i="1" s="1"/>
  <c r="R141" i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S117" i="1" l="1"/>
  <c r="T117" i="1" s="1"/>
  <c r="R116" i="1"/>
  <c r="S116" i="1" l="1"/>
  <c r="T116" i="1" s="1"/>
  <c r="R115" i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S106" i="1" l="1"/>
  <c r="T106" i="1" s="1"/>
  <c r="R105" i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<sst xmlns="http://schemas.openxmlformats.org/spreadsheetml/2006/main" count="4210" uniqueCount="34">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</sst>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1.0960000000000001</c:v>
                </c:pt>
                <c:pt idx="1">
                  <c:v>1.127</c:v>
                </c:pt>
                <c:pt idx="2">
                  <c:v>1.175</c:v>
                </c:pt>
                <c:pt idx="3">
                  <c:v>1.117</c:v>
                </c:pt>
                <c:pt idx="4">
                  <c:v>1.1160000000000001</c:v>
                </c:pt>
                <c:pt idx="5">
                  <c:v>1.05</c:v>
                </c:pt>
                <c:pt idx="6">
                  <c:v>1.171</c:v>
                </c:pt>
                <c:pt idx="7">
                  <c:v>1.3839999999999999</c:v>
                </c:pt>
                <c:pt idx="8">
                  <c:v>1.444</c:v>
                </c:pt>
                <c:pt idx="9">
                  <c:v>1.514</c:v>
                </c:pt>
                <c:pt idx="10">
                  <c:v>1.536</c:v>
                </c:pt>
                <c:pt idx="11">
                  <c:v>1.5920000000000001</c:v>
                </c:pt>
                <c:pt idx="12">
                  <c:v>1.621</c:v>
                </c:pt>
                <c:pt idx="13">
                  <c:v>1.575</c:v>
                </c:pt>
                <c:pt idx="14">
                  <c:v>1.59</c:v>
                </c:pt>
                <c:pt idx="15">
                  <c:v>1.6439999999999999</c:v>
                </c:pt>
                <c:pt idx="16">
                  <c:v>1.571</c:v>
                </c:pt>
                <c:pt idx="17">
                  <c:v>1.482</c:v>
                </c:pt>
                <c:pt idx="18">
                  <c:v>1.492</c:v>
                </c:pt>
                <c:pt idx="19">
                  <c:v>1.486</c:v>
                </c:pt>
                <c:pt idx="20">
                  <c:v>1.5069999999999999</c:v>
                </c:pt>
                <c:pt idx="21">
                  <c:v>1.6870000000000001</c:v>
                </c:pt>
                <c:pt idx="22">
                  <c:v>1.675</c:v>
                </c:pt>
                <c:pt idx="23">
                  <c:v>1.798</c:v>
                </c:pt>
                <c:pt idx="24">
                  <c:v>1.839</c:v>
                </c:pt>
                <c:pt idx="25">
                  <c:v>1.85</c:v>
                </c:pt>
                <c:pt idx="26">
                  <c:v>1.8680000000000001</c:v>
                </c:pt>
                <c:pt idx="27">
                  <c:v>1.85</c:v>
                </c:pt>
                <c:pt idx="28">
                  <c:v>1.835</c:v>
                </c:pt>
                <c:pt idx="29">
                  <c:v>1.881</c:v>
                </c:pt>
                <c:pt idx="30">
                  <c:v>1.915</c:v>
                </c:pt>
                <c:pt idx="31">
                  <c:v>2.0910000000000002</c:v>
                </c:pt>
                <c:pt idx="32">
                  <c:v>2.016</c:v>
                </c:pt>
                <c:pt idx="33">
                  <c:v>1.958</c:v>
                </c:pt>
                <c:pt idx="34">
                  <c:v>1.8859999999999999</c:v>
                </c:pt>
                <c:pt idx="35">
                  <c:v>1.833</c:v>
                </c:pt>
                <c:pt idx="36">
                  <c:v>1.77</c:v>
                </c:pt>
                <c:pt idx="37">
                  <c:v>1.7370000000000001</c:v>
                </c:pt>
                <c:pt idx="38">
                  <c:v>1.7010000000000001</c:v>
                </c:pt>
                <c:pt idx="39">
                  <c:v>1.7909999999999999</c:v>
                </c:pt>
                <c:pt idx="40">
                  <c:v>1.768</c:v>
                </c:pt>
                <c:pt idx="41">
                  <c:v>1.7549999999999999</c:v>
                </c:pt>
                <c:pt idx="42">
                  <c:v>1.7729999999999999</c:v>
                </c:pt>
                <c:pt idx="43">
                  <c:v>1.7470000000000001</c:v>
                </c:pt>
                <c:pt idx="44">
                  <c:v>1.752</c:v>
                </c:pt>
                <c:pt idx="45">
                  <c:v>1.754</c:v>
                </c:pt>
                <c:pt idx="46">
                  <c:v>1.8620000000000001</c:v>
                </c:pt>
                <c:pt idx="47">
                  <c:v>1.7689999999999999</c:v>
                </c:pt>
                <c:pt idx="48">
                  <c:v>1.746</c:v>
                </c:pt>
                <c:pt idx="49">
                  <c:v>1.825</c:v>
                </c:pt>
                <c:pt idx="50">
                  <c:v>2.073</c:v>
                </c:pt>
                <c:pt idx="51">
                  <c:v>1.833</c:v>
                </c:pt>
                <c:pt idx="52">
                  <c:v>1.8720000000000001</c:v>
                </c:pt>
                <c:pt idx="53">
                  <c:v>1.9370000000000001</c:v>
                </c:pt>
                <c:pt idx="54">
                  <c:v>1.907</c:v>
                </c:pt>
                <c:pt idx="55">
                  <c:v>2.242</c:v>
                </c:pt>
                <c:pt idx="56">
                  <c:v>2.2549999999999999</c:v>
                </c:pt>
                <c:pt idx="57">
                  <c:v>2.3010000000000002</c:v>
                </c:pt>
                <c:pt idx="58">
                  <c:v>2.3650000000000002</c:v>
                </c:pt>
                <c:pt idx="59">
                  <c:v>2.5339999999999998</c:v>
                </c:pt>
                <c:pt idx="60">
                  <c:v>2.5720000000000001</c:v>
                </c:pt>
                <c:pt idx="61">
                  <c:v>2.5059999999999998</c:v>
                </c:pt>
                <c:pt idx="62">
                  <c:v>2.468</c:v>
                </c:pt>
                <c:pt idx="63">
                  <c:v>2.7450000000000001</c:v>
                </c:pt>
                <c:pt idx="64">
                  <c:v>2.6850000000000001</c:v>
                </c:pt>
                <c:pt idx="65">
                  <c:v>2.7429999999999999</c:v>
                </c:pt>
                <c:pt idx="66">
                  <c:v>2.6629999999999998</c:v>
                </c:pt>
                <c:pt idx="67">
                  <c:v>2.8220000000000001</c:v>
                </c:pt>
                <c:pt idx="68">
                  <c:v>2.6520000000000001</c:v>
                </c:pt>
                <c:pt idx="69">
                  <c:v>2.5129999999999999</c:v>
                </c:pt>
                <c:pt idx="70">
                  <c:v>2.3849999999999998</c:v>
                </c:pt>
                <c:pt idx="71">
                  <c:v>2.7029999999999998</c:v>
                </c:pt>
                <c:pt idx="72">
                  <c:v>2.641</c:v>
                </c:pt>
                <c:pt idx="73">
                  <c:v>2.83</c:v>
                </c:pt>
                <c:pt idx="74">
                  <c:v>3.0659999999999998</c:v>
                </c:pt>
                <c:pt idx="75">
                  <c:v>2.8730000000000002</c:v>
                </c:pt>
                <c:pt idx="76">
                  <c:v>2.7480000000000002</c:v>
                </c:pt>
                <c:pt idx="77">
                  <c:v>2.8</c:v>
                </c:pt>
                <c:pt idx="78">
                  <c:v>2.7839999999999998</c:v>
                </c:pt>
                <c:pt idx="79">
                  <c:v>2.8959999999999999</c:v>
                </c:pt>
                <c:pt idx="80">
                  <c:v>2.9239999999999999</c:v>
                </c:pt>
                <c:pt idx="81">
                  <c:v>2.8839999999999999</c:v>
                </c:pt>
                <c:pt idx="82">
                  <c:v>2.8929999999999998</c:v>
                </c:pt>
                <c:pt idx="83">
                  <c:v>2.9390000000000001</c:v>
                </c:pt>
                <c:pt idx="84">
                  <c:v>2.9359999999999999</c:v>
                </c:pt>
                <c:pt idx="85">
                  <c:v>3.032</c:v>
                </c:pt>
                <c:pt idx="86">
                  <c:v>3.056</c:v>
                </c:pt>
                <c:pt idx="87">
                  <c:v>2.9</c:v>
                </c:pt>
                <c:pt idx="88">
                  <c:v>2.8050000000000002</c:v>
                </c:pt>
                <c:pt idx="89">
                  <c:v>2.8</c:v>
                </c:pt>
                <c:pt idx="90">
                  <c:v>2.7690000000000001</c:v>
                </c:pt>
                <c:pt idx="91">
                  <c:v>2.7639999999999998</c:v>
                </c:pt>
                <c:pt idx="92">
                  <c:v>2.65</c:v>
                </c:pt>
                <c:pt idx="93">
                  <c:v>2.9289999999999998</c:v>
                </c:pt>
                <c:pt idx="94">
                  <c:v>2.984</c:v>
                </c:pt>
                <c:pt idx="95">
                  <c:v>2.9609999999999999</c:v>
                </c:pt>
                <c:pt idx="96">
                  <c:v>3.081</c:v>
                </c:pt>
                <c:pt idx="97">
                  <c:v>3.0880000000000001</c:v>
                </c:pt>
                <c:pt idx="98">
                  <c:v>3.3050000000000002</c:v>
                </c:pt>
                <c:pt idx="99">
                  <c:v>3.19</c:v>
                </c:pt>
                <c:pt idx="100">
                  <c:v>3.1259999999999999</c:v>
                </c:pt>
                <c:pt idx="101">
                  <c:v>3.1080000000000001</c:v>
                </c:pt>
                <c:pt idx="102">
                  <c:v>3.0270000000000001</c:v>
                </c:pt>
                <c:pt idx="103">
                  <c:v>2.9569999999999999</c:v>
                </c:pt>
                <c:pt idx="104">
                  <c:v>2.9609999999999999</c:v>
                </c:pt>
                <c:pt idx="105">
                  <c:v>3.0950000000000002</c:v>
                </c:pt>
                <c:pt idx="106">
                  <c:v>2.794</c:v>
                </c:pt>
                <c:pt idx="107">
                  <c:v>2.7789999999999999</c:v>
                </c:pt>
                <c:pt idx="108">
                  <c:v>2.9119999999999999</c:v>
                </c:pt>
                <c:pt idx="109">
                  <c:v>2.9980000000000002</c:v>
                </c:pt>
                <c:pt idx="110">
                  <c:v>3.0219999999999998</c:v>
                </c:pt>
                <c:pt idx="111">
                  <c:v>2.9489999999999998</c:v>
                </c:pt>
                <c:pt idx="112">
                  <c:v>2.9460000000000002</c:v>
                </c:pt>
                <c:pt idx="113">
                  <c:v>2.9849999999999999</c:v>
                </c:pt>
                <c:pt idx="114">
                  <c:v>3.056</c:v>
                </c:pt>
                <c:pt idx="115">
                  <c:v>3.09</c:v>
                </c:pt>
                <c:pt idx="116">
                  <c:v>3.13</c:v>
                </c:pt>
                <c:pt idx="117">
                  <c:v>3.0609999999999999</c:v>
                </c:pt>
                <c:pt idx="118">
                  <c:v>3.085</c:v>
                </c:pt>
                <c:pt idx="119">
                  <c:v>2.7290000000000001</c:v>
                </c:pt>
                <c:pt idx="120">
                  <c:v>2.6539999999999999</c:v>
                </c:pt>
                <c:pt idx="121">
                  <c:v>2.645</c:v>
                </c:pt>
                <c:pt idx="122">
                  <c:v>2.8439999999999999</c:v>
                </c:pt>
                <c:pt idx="123">
                  <c:v>2.972</c:v>
                </c:pt>
                <c:pt idx="124">
                  <c:v>2.9390000000000001</c:v>
                </c:pt>
                <c:pt idx="125">
                  <c:v>2.8279999999999998</c:v>
                </c:pt>
                <c:pt idx="126">
                  <c:v>3.077</c:v>
                </c:pt>
                <c:pt idx="127">
                  <c:v>3.036</c:v>
                </c:pt>
                <c:pt idx="128">
                  <c:v>2.6859999999999999</c:v>
                </c:pt>
                <c:pt idx="129">
                  <c:v>3.0950000000000002</c:v>
                </c:pt>
                <c:pt idx="130">
                  <c:v>3.4239999999999999</c:v>
                </c:pt>
                <c:pt idx="131">
                  <c:v>3.57</c:v>
                </c:pt>
                <c:pt idx="132">
                  <c:v>3.5470000000000002</c:v>
                </c:pt>
                <c:pt idx="133">
                  <c:v>3.6539999999999999</c:v>
                </c:pt>
                <c:pt idx="134">
                  <c:v>3.7909999999999999</c:v>
                </c:pt>
                <c:pt idx="135">
                  <c:v>3.6840000000000002</c:v>
                </c:pt>
                <c:pt idx="136">
                  <c:v>3.5310000000000001</c:v>
                </c:pt>
                <c:pt idx="137">
                  <c:v>3.843</c:v>
                </c:pt>
                <c:pt idx="138">
                  <c:v>3.964</c:v>
                </c:pt>
                <c:pt idx="139">
                  <c:v>3.8929999999999998</c:v>
                </c:pt>
                <c:pt idx="140">
                  <c:v>3.91</c:v>
                </c:pt>
                <c:pt idx="141">
                  <c:v>3.871</c:v>
                </c:pt>
                <c:pt idx="142">
                  <c:v>3.7909999999999999</c:v>
                </c:pt>
                <c:pt idx="143">
                  <c:v>4.6020000000000003</c:v>
                </c:pt>
                <c:pt idx="144">
                  <c:v>3.6850000000000001</c:v>
                </c:pt>
                <c:pt idx="145">
                  <c:v>3.6070000000000002</c:v>
                </c:pt>
                <c:pt idx="146">
                  <c:v>3.7360000000000002</c:v>
                </c:pt>
                <c:pt idx="147">
                  <c:v>3.5390000000000001</c:v>
                </c:pt>
                <c:pt idx="148">
                  <c:v>3.5470000000000002</c:v>
                </c:pt>
                <c:pt idx="149">
                  <c:v>3.419</c:v>
                </c:pt>
                <c:pt idx="150">
                  <c:v>3.375</c:v>
                </c:pt>
                <c:pt idx="151">
                  <c:v>3.5089999999999999</c:v>
                </c:pt>
                <c:pt idx="152">
                  <c:v>3.1339999999999999</c:v>
                </c:pt>
                <c:pt idx="153">
                  <c:v>3.0859999999999999</c:v>
                </c:pt>
                <c:pt idx="154">
                  <c:v>2.9889999999999999</c:v>
                </c:pt>
                <c:pt idx="155">
                  <c:v>3.2105000000000001</c:v>
                </c:pt>
                <c:pt idx="156">
                  <c:v>3.0223</c:v>
                </c:pt>
                <c:pt idx="157">
                  <c:v>3.1631</c:v>
                </c:pt>
                <c:pt idx="158">
                  <c:v>3.2004999999999999</c:v>
                </c:pt>
                <c:pt idx="159">
                  <c:v>3.153</c:v>
                </c:pt>
                <c:pt idx="160">
                  <c:v>3.2126000000000001</c:v>
                </c:pt>
                <c:pt idx="161">
                  <c:v>3.2648000000000001</c:v>
                </c:pt>
                <c:pt idx="162">
                  <c:v>2.9750000000000001</c:v>
                </c:pt>
                <c:pt idx="163">
                  <c:v>2.8519000000000001</c:v>
                </c:pt>
                <c:pt idx="164">
                  <c:v>2.7966000000000002</c:v>
                </c:pt>
                <c:pt idx="165">
                  <c:v>2.7218</c:v>
                </c:pt>
                <c:pt idx="166">
                  <c:v>2.6789999999999998</c:v>
                </c:pt>
                <c:pt idx="167">
                  <c:v>2.6617999999999999</c:v>
                </c:pt>
                <c:pt idx="168">
                  <c:v>2.4742000000000002</c:v>
                </c:pt>
                <c:pt idx="169">
                  <c:v>2.5760000000000001</c:v>
                </c:pt>
                <c:pt idx="170">
                  <c:v>2.3540000000000001</c:v>
                </c:pt>
                <c:pt idx="171">
                  <c:v>2.3289</c:v>
                </c:pt>
                <c:pt idx="172">
                  <c:v>2.2591000000000001</c:v>
                </c:pt>
                <c:pt idx="173">
                  <c:v>2.3807</c:v>
                </c:pt>
                <c:pt idx="174">
                  <c:v>2.3218999999999999</c:v>
                </c:pt>
                <c:pt idx="175">
                  <c:v>2.2288000000000001</c:v>
                </c:pt>
                <c:pt idx="176">
                  <c:v>2.2103999999999999</c:v>
                </c:pt>
                <c:pt idx="177">
                  <c:v>2.1892</c:v>
                </c:pt>
                <c:pt idx="178">
                  <c:v>2.1246999999999998</c:v>
                </c:pt>
                <c:pt idx="179">
                  <c:v>2.1490999999999998</c:v>
                </c:pt>
                <c:pt idx="180">
                  <c:v>2.2288000000000001</c:v>
                </c:pt>
                <c:pt idx="181">
                  <c:v>2.27</c:v>
                </c:pt>
                <c:pt idx="182">
                  <c:v>2.0526</c:v>
                </c:pt>
                <c:pt idx="183">
                  <c:v>1.92</c:v>
                </c:pt>
                <c:pt idx="184">
                  <c:v>1.9521999999999999</c:v>
                </c:pt>
                <c:pt idx="185">
                  <c:v>1.9384999999999999</c:v>
                </c:pt>
                <c:pt idx="186">
                  <c:v>1.8691</c:v>
                </c:pt>
                <c:pt idx="187">
                  <c:v>1.9249000000000001</c:v>
                </c:pt>
                <c:pt idx="188">
                  <c:v>1.7709999999999999</c:v>
                </c:pt>
                <c:pt idx="189">
                  <c:v>1.7222</c:v>
                </c:pt>
                <c:pt idx="190">
                  <c:v>1.7319</c:v>
                </c:pt>
                <c:pt idx="191">
                  <c:v>1.65</c:v>
                </c:pt>
                <c:pt idx="192">
                  <c:v>1.8122</c:v>
                </c:pt>
                <c:pt idx="193">
                  <c:v>1.9665999999999999</c:v>
                </c:pt>
                <c:pt idx="194">
                  <c:v>1.9298</c:v>
                </c:pt>
                <c:pt idx="195">
                  <c:v>1.9349000000000001</c:v>
                </c:pt>
                <c:pt idx="196">
                  <c:v>1.9746999999999999</c:v>
                </c:pt>
                <c:pt idx="197">
                  <c:v>2.06</c:v>
                </c:pt>
                <c:pt idx="198">
                  <c:v>1.9681</c:v>
                </c:pt>
                <c:pt idx="199">
                  <c:v>2.0503999999999998</c:v>
                </c:pt>
                <c:pt idx="200">
                  <c:v>2.1244000000000001</c:v>
                </c:pt>
                <c:pt idx="201">
                  <c:v>2.0836000000000001</c:v>
                </c:pt>
                <c:pt idx="202">
                  <c:v>2.101</c:v>
                </c:pt>
                <c:pt idx="203">
                  <c:v>2.1393</c:v>
                </c:pt>
                <c:pt idx="204">
                  <c:v>2.2309999999999999</c:v>
                </c:pt>
                <c:pt idx="205">
                  <c:v>2.2370999999999999</c:v>
                </c:pt>
                <c:pt idx="206">
                  <c:v>2.2427999999999999</c:v>
                </c:pt>
                <c:pt idx="207">
                  <c:v>2.3506999999999998</c:v>
                </c:pt>
                <c:pt idx="208">
                  <c:v>2.3233000000000001</c:v>
                </c:pt>
                <c:pt idx="209">
                  <c:v>2.2867999999999999</c:v>
                </c:pt>
                <c:pt idx="210">
                  <c:v>2.2936000000000001</c:v>
                </c:pt>
                <c:pt idx="211">
                  <c:v>2.3285</c:v>
                </c:pt>
                <c:pt idx="212">
                  <c:v>2.3169</c:v>
                </c:pt>
                <c:pt idx="213">
                  <c:v>2.2334999999999998</c:v>
                </c:pt>
                <c:pt idx="214">
                  <c:v>2.1787000000000001</c:v>
                </c:pt>
                <c:pt idx="215">
                  <c:v>2.1448</c:v>
                </c:pt>
                <c:pt idx="216">
                  <c:v>2.1720999999999999</c:v>
                </c:pt>
                <c:pt idx="217">
                  <c:v>2.2827000000000002</c:v>
                </c:pt>
                <c:pt idx="218">
                  <c:v>2.2071000000000001</c:v>
                </c:pt>
                <c:pt idx="219">
                  <c:v>2.1509</c:v>
                </c:pt>
                <c:pt idx="220">
                  <c:v>2.206</c:v>
                </c:pt>
                <c:pt idx="221">
                  <c:v>2.6764999999999999</c:v>
                </c:pt>
                <c:pt idx="222">
                  <c:v>2.7538999999999998</c:v>
                </c:pt>
                <c:pt idx="223">
                  <c:v>2.8142999999999998</c:v>
                </c:pt>
                <c:pt idx="224">
                  <c:v>3.0920999999999998</c:v>
                </c:pt>
                <c:pt idx="225">
                  <c:v>3.3597999999999999</c:v>
                </c:pt>
                <c:pt idx="226">
                  <c:v>2.9508000000000001</c:v>
                </c:pt>
                <c:pt idx="227">
                  <c:v>2.8479999999999999</c:v>
                </c:pt>
                <c:pt idx="228">
                  <c:v>2.8166000000000002</c:v>
                </c:pt>
                <c:pt idx="229">
                  <c:v>2.4925999999999999</c:v>
                </c:pt>
                <c:pt idx="230">
                  <c:v>2.5728</c:v>
                </c:pt>
                <c:pt idx="231">
                  <c:v>2.8159000000000001</c:v>
                </c:pt>
                <c:pt idx="232">
                  <c:v>2.8849</c:v>
                </c:pt>
                <c:pt idx="233">
                  <c:v>2.7151000000000001</c:v>
                </c:pt>
                <c:pt idx="234">
                  <c:v>2.6059000000000001</c:v>
                </c:pt>
                <c:pt idx="235">
                  <c:v>2.8685</c:v>
                </c:pt>
                <c:pt idx="236">
                  <c:v>2.8812000000000002</c:v>
                </c:pt>
                <c:pt idx="237">
                  <c:v>3.0184000000000002</c:v>
                </c:pt>
                <c:pt idx="238">
                  <c:v>3.1960000000000002</c:v>
                </c:pt>
                <c:pt idx="239">
                  <c:v>2.9350000000000001</c:v>
                </c:pt>
                <c:pt idx="240">
                  <c:v>2.8913000000000002</c:v>
                </c:pt>
                <c:pt idx="241">
                  <c:v>2.9104999999999999</c:v>
                </c:pt>
                <c:pt idx="242">
                  <c:v>2.7309999999999999</c:v>
                </c:pt>
                <c:pt idx="243">
                  <c:v>2.6214</c:v>
                </c:pt>
                <c:pt idx="244">
                  <c:v>2.7704</c:v>
                </c:pt>
                <c:pt idx="245">
                  <c:v>3.1404999999999998</c:v>
                </c:pt>
                <c:pt idx="246">
                  <c:v>3.1640999999999999</c:v>
                </c:pt>
                <c:pt idx="247">
                  <c:v>2.9519000000000002</c:v>
                </c:pt>
                <c:pt idx="248">
                  <c:v>3.1128</c:v>
                </c:pt>
                <c:pt idx="249">
                  <c:v>2.4956999999999998</c:v>
                </c:pt>
                <c:pt idx="250">
                  <c:v>3.0028000000000001</c:v>
                </c:pt>
                <c:pt idx="251">
                  <c:v>2.9377</c:v>
                </c:pt>
                <c:pt idx="252">
                  <c:v>3.5423</c:v>
                </c:pt>
                <c:pt idx="253">
                  <c:v>3.0438999999999998</c:v>
                </c:pt>
                <c:pt idx="254">
                  <c:v>4.22</c:v>
                </c:pt>
                <c:pt idx="255">
                  <c:v>4.4260000000000002</c:v>
                </c:pt>
                <c:pt idx="256">
                  <c:v>4.6326000000000001</c:v>
                </c:pt>
                <c:pt idx="257">
                  <c:v>4.7445000000000004</c:v>
                </c:pt>
                <c:pt idx="258">
                  <c:v>5.0029000000000003</c:v>
                </c:pt>
                <c:pt idx="259">
                  <c:v>4.8150000000000004</c:v>
                </c:pt>
                <c:pt idx="260">
                  <c:v>4.9122000000000003</c:v>
                </c:pt>
                <c:pt idx="261">
                  <c:v>5.0805999999999996</c:v>
                </c:pt>
                <c:pt idx="262">
                  <c:v>4.9036</c:v>
                </c:pt>
                <c:pt idx="263">
                  <c:v>5.0739999999999998</c:v>
                </c:pt>
                <c:pt idx="264">
                  <c:v>5.0506000000000002</c:v>
                </c:pt>
                <c:pt idx="265">
                  <c:v>5.0377000000000001</c:v>
                </c:pt>
                <c:pt idx="266">
                  <c:v>5.1375999999999999</c:v>
                </c:pt>
                <c:pt idx="267">
                  <c:v>5.3276000000000003</c:v>
                </c:pt>
                <c:pt idx="268">
                  <c:v>5.1901000000000002</c:v>
                </c:pt>
                <c:pt idx="269">
                  <c:v>5.2679999999999998</c:v>
                </c:pt>
                <c:pt idx="270">
                  <c:v>4.9518000000000004</c:v>
                </c:pt>
                <c:pt idx="271">
                  <c:v>5.1299000000000001</c:v>
                </c:pt>
                <c:pt idx="272">
                  <c:v>5.1958000000000002</c:v>
                </c:pt>
                <c:pt idx="273">
                  <c:v>5.07</c:v>
                </c:pt>
                <c:pt idx="274">
                  <c:v>5.07</c:v>
                </c:pt>
                <c:pt idx="275">
                  <c:v>5.3343999999999996</c:v>
                </c:pt>
                <c:pt idx="276">
                  <c:v>4.8490000000000002</c:v>
                </c:pt>
                <c:pt idx="277">
                  <c:v>3.9382999999999999</c:v>
                </c:pt>
                <c:pt idx="278">
                  <c:v>3.6852999999999998</c:v>
                </c:pt>
                <c:pt idx="279">
                  <c:v>4.1753999999999998</c:v>
                </c:pt>
                <c:pt idx="280">
                  <c:v>4.2351000000000001</c:v>
                </c:pt>
                <c:pt idx="281">
                  <c:v>4.7131999999999996</c:v>
                </c:pt>
                <c:pt idx="282">
                  <c:v>5.2294</c:v>
                </c:pt>
                <c:pt idx="283">
                  <c:v>5.2706999999999997</c:v>
                </c:pt>
                <c:pt idx="284">
                  <c:v>5.2999000000000001</c:v>
                </c:pt>
                <c:pt idx="285">
                  <c:v>6.0263</c:v>
                </c:pt>
                <c:pt idx="286">
                  <c:v>5.8784000000000001</c:v>
                </c:pt>
                <c:pt idx="287">
                  <c:v>6.1342999999999996</c:v>
                </c:pt>
                <c:pt idx="288">
                  <c:v>6.0948000000000002</c:v>
                </c:pt>
                <c:pt idx="289">
                  <c:v>6.2660999999999998</c:v>
                </c:pt>
                <c:pt idx="290">
                  <c:v>6.2310999999999996</c:v>
                </c:pt>
                <c:pt idx="291">
                  <c:v>5.8383000000000003</c:v>
                </c:pt>
                <c:pt idx="292">
                  <c:v>5.3704000000000001</c:v>
                </c:pt>
                <c:pt idx="293">
                  <c:v>5.5385999999999997</c:v>
                </c:pt>
                <c:pt idx="294">
                  <c:v>5.2664999999999997</c:v>
                </c:pt>
                <c:pt idx="295">
                  <c:v>4.8898999999999999</c:v>
                </c:pt>
                <c:pt idx="296">
                  <c:v>5.3765999999999998</c:v>
                </c:pt>
                <c:pt idx="297">
                  <c:v>5.2</c:v>
                </c:pt>
                <c:pt idx="298">
                  <c:v>5.298</c:v>
                </c:pt>
                <c:pt idx="299">
                  <c:v>5.1425999999999998</c:v>
                </c:pt>
                <c:pt idx="300">
                  <c:v>5.4143999999999997</c:v>
                </c:pt>
                <c:pt idx="301">
                  <c:v>5.8921999999999999</c:v>
                </c:pt>
                <c:pt idx="302">
                  <c:v>5.1841999999999997</c:v>
                </c:pt>
                <c:pt idx="303">
                  <c:v>5.1707999999999998</c:v>
                </c:pt>
                <c:pt idx="304">
                  <c:v>5.1999000000000004</c:v>
                </c:pt>
                <c:pt idx="305">
                  <c:v>4.5519999999999996</c:v>
                </c:pt>
                <c:pt idx="306">
                  <c:v>4.3483000000000001</c:v>
                </c:pt>
                <c:pt idx="307">
                  <c:v>4.4485999999999999</c:v>
                </c:pt>
                <c:pt idx="308">
                  <c:v>3.9832999999999998</c:v>
                </c:pt>
                <c:pt idx="309">
                  <c:v>4.1093000000000002</c:v>
                </c:pt>
                <c:pt idx="310">
                  <c:v>4.3670999999999998</c:v>
                </c:pt>
                <c:pt idx="311">
                  <c:v>4.5294999999999996</c:v>
                </c:pt>
                <c:pt idx="312">
                  <c:v>4.6630000000000003</c:v>
                </c:pt>
                <c:pt idx="313">
                  <c:v>4.5204000000000004</c:v>
                </c:pt>
                <c:pt idx="314">
                  <c:v>4.9340000000000002</c:v>
                </c:pt>
                <c:pt idx="315">
                  <c:v>3.9611999999999998</c:v>
                </c:pt>
                <c:pt idx="316">
                  <c:v>4.1695000000000002</c:v>
                </c:pt>
                <c:pt idx="317">
                  <c:v>4.0202999999999998</c:v>
                </c:pt>
                <c:pt idx="318">
                  <c:v>4.0557999999999996</c:v>
                </c:pt>
                <c:pt idx="319">
                  <c:v>3.8378000000000001</c:v>
                </c:pt>
                <c:pt idx="320">
                  <c:v>3.6941999999999999</c:v>
                </c:pt>
                <c:pt idx="321">
                  <c:v>3.6305000000000001</c:v>
                </c:pt>
                <c:pt idx="322">
                  <c:v>3.831</c:v>
                </c:pt>
                <c:pt idx="323">
                  <c:v>3.4676</c:v>
                </c:pt>
                <c:pt idx="324">
                  <c:v>3.0674999999999999</c:v>
                </c:pt>
                <c:pt idx="325">
                  <c:v>2.7437999999999998</c:v>
                </c:pt>
                <c:pt idx="326">
                  <c:v>2.6225999999999998</c:v>
                </c:pt>
                <c:pt idx="327">
                  <c:v>2.5503</c:v>
                </c:pt>
                <c:pt idx="328">
                  <c:v>2.5972</c:v>
                </c:pt>
                <c:pt idx="329">
                  <c:v>2.5305</c:v>
                </c:pt>
                <c:pt idx="330">
                  <c:v>2.5455000000000001</c:v>
                </c:pt>
                <c:pt idx="331">
                  <c:v>2.5396999999999998</c:v>
                </c:pt>
                <c:pt idx="332">
                  <c:v>2.6204000000000001</c:v>
                </c:pt>
                <c:pt idx="333">
                  <c:v>2.4900000000000002</c:v>
                </c:pt>
                <c:pt idx="334">
                  <c:v>2.6111</c:v>
                </c:pt>
                <c:pt idx="335">
                  <c:v>2.7524000000000002</c:v>
                </c:pt>
                <c:pt idx="336">
                  <c:v>3.2000999999999999</c:v>
                </c:pt>
                <c:pt idx="337">
                  <c:v>2.7867000000000002</c:v>
                </c:pt>
                <c:pt idx="338">
                  <c:v>2.2536</c:v>
                </c:pt>
                <c:pt idx="339">
                  <c:v>2.6747000000000001</c:v>
                </c:pt>
                <c:pt idx="340">
                  <c:v>2.7397999999999998</c:v>
                </c:pt>
                <c:pt idx="341">
                  <c:v>2.4653</c:v>
                </c:pt>
                <c:pt idx="342">
                  <c:v>2.7332999999999998</c:v>
                </c:pt>
                <c:pt idx="343">
                  <c:v>2.5830000000000002</c:v>
                </c:pt>
                <c:pt idx="344">
                  <c:v>2.3048000000000002</c:v>
                </c:pt>
                <c:pt idx="345">
                  <c:v>2.3086000000000002</c:v>
                </c:pt>
                <c:pt idx="346">
                  <c:v>2.2000999999999999</c:v>
                </c:pt>
                <c:pt idx="347">
                  <c:v>2.2433999999999998</c:v>
                </c:pt>
                <c:pt idx="348">
                  <c:v>2.4106999999999998</c:v>
                </c:pt>
                <c:pt idx="349">
                  <c:v>2.1513</c:v>
                </c:pt>
                <c:pt idx="350">
                  <c:v>2.1105999999999998</c:v>
                </c:pt>
                <c:pt idx="351">
                  <c:v>1.915</c:v>
                </c:pt>
                <c:pt idx="352">
                  <c:v>1.9165000000000001</c:v>
                </c:pt>
                <c:pt idx="353">
                  <c:v>1.8290999999999999</c:v>
                </c:pt>
                <c:pt idx="354">
                  <c:v>1.7233000000000001</c:v>
                </c:pt>
                <c:pt idx="355">
                  <c:v>1.7807999999999999</c:v>
                </c:pt>
                <c:pt idx="356">
                  <c:v>1.91</c:v>
                </c:pt>
                <c:pt idx="357">
                  <c:v>1.8196000000000001</c:v>
                </c:pt>
                <c:pt idx="358">
                  <c:v>1.837</c:v>
                </c:pt>
                <c:pt idx="359">
                  <c:v>1.8544</c:v>
                </c:pt>
                <c:pt idx="360">
                  <c:v>1.7050000000000001</c:v>
                </c:pt>
                <c:pt idx="361">
                  <c:v>1.6579999999999999</c:v>
                </c:pt>
                <c:pt idx="362">
                  <c:v>1.7070000000000001</c:v>
                </c:pt>
                <c:pt idx="363">
                  <c:v>1.6563000000000001</c:v>
                </c:pt>
                <c:pt idx="364">
                  <c:v>1.6821999999999999</c:v>
                </c:pt>
                <c:pt idx="365">
                  <c:v>1.6061000000000001</c:v>
                </c:pt>
                <c:pt idx="366">
                  <c:v>1.7645999999999999</c:v>
                </c:pt>
                <c:pt idx="367">
                  <c:v>1.7488999999999999</c:v>
                </c:pt>
                <c:pt idx="368">
                  <c:v>1.8834</c:v>
                </c:pt>
                <c:pt idx="369">
                  <c:v>1.6789000000000001</c:v>
                </c:pt>
                <c:pt idx="370">
                  <c:v>1.3807</c:v>
                </c:pt>
                <c:pt idx="371">
                  <c:v>1.2699</c:v>
                </c:pt>
                <c:pt idx="372">
                  <c:v>1.3861000000000001</c:v>
                </c:pt>
                <c:pt idx="373">
                  <c:v>1.4450000000000001</c:v>
                </c:pt>
                <c:pt idx="374">
                  <c:v>1.3900999999999999</c:v>
                </c:pt>
                <c:pt idx="375">
                  <c:v>1.51</c:v>
                </c:pt>
                <c:pt idx="376">
                  <c:v>1.4923999999999999</c:v>
                </c:pt>
                <c:pt idx="377">
                  <c:v>0.9597</c:v>
                </c:pt>
                <c:pt idx="378">
                  <c:v>0.92620000000000002</c:v>
                </c:pt>
                <c:pt idx="379">
                  <c:v>0.9</c:v>
                </c:pt>
                <c:pt idx="380">
                  <c:v>0.88449999999999995</c:v>
                </c:pt>
                <c:pt idx="381">
                  <c:v>0.8931</c:v>
                </c:pt>
                <c:pt idx="382">
                  <c:v>0.96360000000000001</c:v>
                </c:pt>
                <c:pt idx="383">
                  <c:v>1.0328999999999999</c:v>
                </c:pt>
                <c:pt idx="384">
                  <c:v>1.0024999999999999</c:v>
                </c:pt>
                <c:pt idx="385">
                  <c:v>0.9768</c:v>
                </c:pt>
                <c:pt idx="386">
                  <c:v>1.0019</c:v>
                </c:pt>
                <c:pt idx="387">
                  <c:v>0.88990000000000002</c:v>
                </c:pt>
                <c:pt idx="388">
                  <c:v>0.82220000000000004</c:v>
                </c:pt>
                <c:pt idx="389">
                  <c:v>0.754</c:v>
                </c:pt>
                <c:pt idx="390">
                  <c:v>0.7671</c:v>
                </c:pt>
                <c:pt idx="391">
                  <c:v>0.80689999999999995</c:v>
                </c:pt>
                <c:pt idx="392">
                  <c:v>0.72109999999999996</c:v>
                </c:pt>
                <c:pt idx="393">
                  <c:v>0.71860000000000002</c:v>
                </c:pt>
                <c:pt idx="394">
                  <c:v>0.71709999999999996</c:v>
                </c:pt>
                <c:pt idx="395">
                  <c:v>0.74760000000000004</c:v>
                </c:pt>
                <c:pt idx="396">
                  <c:v>0.76019999999999999</c:v>
                </c:pt>
                <c:pt idx="397">
                  <c:v>0.7752</c:v>
                </c:pt>
                <c:pt idx="398">
                  <c:v>0.73140000000000005</c:v>
                </c:pt>
                <c:pt idx="399">
                  <c:v>0.7369</c:v>
                </c:pt>
                <c:pt idx="400">
                  <c:v>0.6925</c:v>
                </c:pt>
                <c:pt idx="401">
                  <c:v>0.75390000000000001</c:v>
                </c:pt>
                <c:pt idx="402">
                  <c:v>0.72899999999999998</c:v>
                </c:pt>
                <c:pt idx="403">
                  <c:v>0.78469999999999995</c:v>
                </c:pt>
                <c:pt idx="404">
                  <c:v>0.81589999999999996</c:v>
                </c:pt>
                <c:pt idx="405">
                  <c:v>0.82310000000000005</c:v>
                </c:pt>
                <c:pt idx="406">
                  <c:v>0.79779999999999995</c:v>
                </c:pt>
                <c:pt idx="407">
                  <c:v>0.81879999999999997</c:v>
                </c:pt>
                <c:pt idx="408">
                  <c:v>0.82440000000000002</c:v>
                </c:pt>
                <c:pt idx="409">
                  <c:v>0.76890000000000003</c:v>
                </c:pt>
                <c:pt idx="410">
                  <c:v>0.76929999999999998</c:v>
                </c:pt>
                <c:pt idx="411">
                  <c:v>0.74470000000000003</c:v>
                </c:pt>
                <c:pt idx="412">
                  <c:v>0.71309999999999996</c:v>
                </c:pt>
                <c:pt idx="413">
                  <c:v>0.7419</c:v>
                </c:pt>
                <c:pt idx="414">
                  <c:v>0.7843</c:v>
                </c:pt>
                <c:pt idx="415">
                  <c:v>0.72250000000000003</c:v>
                </c:pt>
                <c:pt idx="416">
                  <c:v>0.76539999999999997</c:v>
                </c:pt>
                <c:pt idx="417">
                  <c:v>0.77290000000000003</c:v>
                </c:pt>
                <c:pt idx="418">
                  <c:v>0.77529999999999999</c:v>
                </c:pt>
                <c:pt idx="419">
                  <c:v>0.77349999999999997</c:v>
                </c:pt>
                <c:pt idx="420">
                  <c:v>0.80579999999999996</c:v>
                </c:pt>
                <c:pt idx="421">
                  <c:v>0.8075</c:v>
                </c:pt>
                <c:pt idx="422">
                  <c:v>0.80869999999999997</c:v>
                </c:pt>
                <c:pt idx="423">
                  <c:v>0.874</c:v>
                </c:pt>
                <c:pt idx="424">
                  <c:v>0.87139999999999995</c:v>
                </c:pt>
                <c:pt idx="425">
                  <c:v>0.88919999999999999</c:v>
                </c:pt>
                <c:pt idx="426">
                  <c:v>0.80389999999999995</c:v>
                </c:pt>
                <c:pt idx="427">
                  <c:v>0.78269999999999995</c:v>
                </c:pt>
                <c:pt idx="428">
                  <c:v>0.88039999999999996</c:v>
                </c:pt>
                <c:pt idx="429">
                  <c:v>0.91310000000000002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5-4DF2-AC33-FC09DF6F6DD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-0.35395856290762462</c:v>
                </c:pt>
                <c:pt idx="1">
                  <c:v>-0.35354499415762464</c:v>
                </c:pt>
                <c:pt idx="2">
                  <c:v>-0.34776151419500778</c:v>
                </c:pt>
                <c:pt idx="3">
                  <c:v>-0.35035759912721121</c:v>
                </c:pt>
                <c:pt idx="4">
                  <c:v>-0.36706284487898427</c:v>
                </c:pt>
                <c:pt idx="5">
                  <c:v>-0.3701838090845917</c:v>
                </c:pt>
                <c:pt idx="6">
                  <c:v>-0.36157820245010897</c:v>
                </c:pt>
                <c:pt idx="7">
                  <c:v>-0.35318995014069721</c:v>
                </c:pt>
                <c:pt idx="8">
                  <c:v>-0.3482958987841081</c:v>
                </c:pt>
                <c:pt idx="9">
                  <c:v>-0.34491666864897297</c:v>
                </c:pt>
                <c:pt idx="10">
                  <c:v>-0.34424330107754442</c:v>
                </c:pt>
                <c:pt idx="11">
                  <c:v>-0.34296968407754436</c:v>
                </c:pt>
                <c:pt idx="12">
                  <c:v>-0.34129865047754437</c:v>
                </c:pt>
                <c:pt idx="13">
                  <c:v>-0.34262398833754437</c:v>
                </c:pt>
                <c:pt idx="14">
                  <c:v>-0.34486412120710952</c:v>
                </c:pt>
                <c:pt idx="15">
                  <c:v>-0.34409640900150207</c:v>
                </c:pt>
                <c:pt idx="16">
                  <c:v>-0.34743449483483541</c:v>
                </c:pt>
                <c:pt idx="17">
                  <c:v>-0.35185490343296622</c:v>
                </c:pt>
                <c:pt idx="18">
                  <c:v>-0.35197086343296624</c:v>
                </c:pt>
                <c:pt idx="19">
                  <c:v>-0.35276643340699215</c:v>
                </c:pt>
                <c:pt idx="20">
                  <c:v>-0.35002128621751855</c:v>
                </c:pt>
                <c:pt idx="21">
                  <c:v>-0.34133377070990428</c:v>
                </c:pt>
                <c:pt idx="22">
                  <c:v>-0.34517075007354064</c:v>
                </c:pt>
                <c:pt idx="23">
                  <c:v>-0.33920449571994066</c:v>
                </c:pt>
                <c:pt idx="24">
                  <c:v>-0.33650556699391332</c:v>
                </c:pt>
                <c:pt idx="25">
                  <c:v>-0.33569897039391333</c:v>
                </c:pt>
                <c:pt idx="26">
                  <c:v>-0.33256937724845881</c:v>
                </c:pt>
                <c:pt idx="27">
                  <c:v>-0.33469659474845881</c:v>
                </c:pt>
                <c:pt idx="28">
                  <c:v>-0.33233113357198824</c:v>
                </c:pt>
                <c:pt idx="29">
                  <c:v>-0.32897247149304087</c:v>
                </c:pt>
                <c:pt idx="30">
                  <c:v>-0.31096222811641744</c:v>
                </c:pt>
                <c:pt idx="31">
                  <c:v>-0.30350147995061433</c:v>
                </c:pt>
                <c:pt idx="32">
                  <c:v>-0.30573744033156675</c:v>
                </c:pt>
                <c:pt idx="33">
                  <c:v>-0.30796709750177953</c:v>
                </c:pt>
                <c:pt idx="34">
                  <c:v>-0.31222565322535673</c:v>
                </c:pt>
                <c:pt idx="35">
                  <c:v>-0.31186993593964246</c:v>
                </c:pt>
                <c:pt idx="36">
                  <c:v>-0.31690151002361189</c:v>
                </c:pt>
                <c:pt idx="37">
                  <c:v>-0.31657400460255924</c:v>
                </c:pt>
                <c:pt idx="38">
                  <c:v>-0.32089847930255927</c:v>
                </c:pt>
                <c:pt idx="39">
                  <c:v>-0.31743234234255929</c:v>
                </c:pt>
                <c:pt idx="40">
                  <c:v>-0.31670698153174853</c:v>
                </c:pt>
                <c:pt idx="41">
                  <c:v>-0.3181534313689578</c:v>
                </c:pt>
                <c:pt idx="42">
                  <c:v>-0.29816281826448016</c:v>
                </c:pt>
                <c:pt idx="43">
                  <c:v>-0.2987933262888704</c:v>
                </c:pt>
                <c:pt idx="44">
                  <c:v>-0.29912030756159763</c:v>
                </c:pt>
                <c:pt idx="45">
                  <c:v>-0.30288790228887041</c:v>
                </c:pt>
                <c:pt idx="46">
                  <c:v>-0.25613602370471206</c:v>
                </c:pt>
                <c:pt idx="47">
                  <c:v>-0.25654795747018433</c:v>
                </c:pt>
                <c:pt idx="48">
                  <c:v>-0.25668703029627132</c:v>
                </c:pt>
                <c:pt idx="49">
                  <c:v>-0.25220046241872024</c:v>
                </c:pt>
                <c:pt idx="50">
                  <c:v>-0.23882333538646222</c:v>
                </c:pt>
                <c:pt idx="51">
                  <c:v>-0.24958353763811786</c:v>
                </c:pt>
                <c:pt idx="52">
                  <c:v>-0.24256257264213393</c:v>
                </c:pt>
                <c:pt idx="53">
                  <c:v>-0.25071053049715253</c:v>
                </c:pt>
                <c:pt idx="54">
                  <c:v>-0.2249352932187561</c:v>
                </c:pt>
                <c:pt idx="55">
                  <c:v>-0.2161918814806395</c:v>
                </c:pt>
                <c:pt idx="56">
                  <c:v>-0.20913323415432369</c:v>
                </c:pt>
                <c:pt idx="57">
                  <c:v>-0.21021964999857146</c:v>
                </c:pt>
                <c:pt idx="58">
                  <c:v>-0.19954757727116409</c:v>
                </c:pt>
                <c:pt idx="59">
                  <c:v>-0.19070543422335534</c:v>
                </c:pt>
                <c:pt idx="60">
                  <c:v>-0.18554175771426443</c:v>
                </c:pt>
                <c:pt idx="61">
                  <c:v>-0.19010623729053561</c:v>
                </c:pt>
                <c:pt idx="62">
                  <c:v>-0.18308024181639768</c:v>
                </c:pt>
                <c:pt idx="63">
                  <c:v>-0.17498880782763365</c:v>
                </c:pt>
                <c:pt idx="64">
                  <c:v>-0.17967539139906225</c:v>
                </c:pt>
                <c:pt idx="65">
                  <c:v>-0.17890083639906224</c:v>
                </c:pt>
                <c:pt idx="66">
                  <c:v>-0.17853840226313988</c:v>
                </c:pt>
                <c:pt idx="67">
                  <c:v>-0.15935096016131217</c:v>
                </c:pt>
                <c:pt idx="68">
                  <c:v>-0.16364650557307689</c:v>
                </c:pt>
                <c:pt idx="69">
                  <c:v>-0.17350770955180031</c:v>
                </c:pt>
                <c:pt idx="70">
                  <c:v>-0.18383364143180028</c:v>
                </c:pt>
                <c:pt idx="71">
                  <c:v>-0.1709349160001063</c:v>
                </c:pt>
                <c:pt idx="72">
                  <c:v>-0.17836149892661229</c:v>
                </c:pt>
                <c:pt idx="73">
                  <c:v>-0.16727354577345915</c:v>
                </c:pt>
                <c:pt idx="74">
                  <c:v>-0.15597250268255008</c:v>
                </c:pt>
                <c:pt idx="75">
                  <c:v>-0.16394318573933234</c:v>
                </c:pt>
                <c:pt idx="76">
                  <c:v>-0.16283454213231482</c:v>
                </c:pt>
                <c:pt idx="77">
                  <c:v>-0.15346773627838228</c:v>
                </c:pt>
                <c:pt idx="78">
                  <c:v>-0.15331468195923331</c:v>
                </c:pt>
                <c:pt idx="79">
                  <c:v>-0.14422768387848797</c:v>
                </c:pt>
                <c:pt idx="80">
                  <c:v>-0.14194650440480377</c:v>
                </c:pt>
                <c:pt idx="81">
                  <c:v>-0.14431158429212768</c:v>
                </c:pt>
                <c:pt idx="82">
                  <c:v>-0.14524601385212765</c:v>
                </c:pt>
                <c:pt idx="83">
                  <c:v>-0.14545427385212764</c:v>
                </c:pt>
                <c:pt idx="84">
                  <c:v>-0.14056358313925638</c:v>
                </c:pt>
                <c:pt idx="85">
                  <c:v>-0.13513158564101074</c:v>
                </c:pt>
                <c:pt idx="86">
                  <c:v>-0.14068381046785056</c:v>
                </c:pt>
                <c:pt idx="87">
                  <c:v>-0.15682765877805466</c:v>
                </c:pt>
                <c:pt idx="88">
                  <c:v>-0.17016821386138795</c:v>
                </c:pt>
                <c:pt idx="89">
                  <c:v>-0.16274481532502436</c:v>
                </c:pt>
                <c:pt idx="90">
                  <c:v>-0.16632879793108493</c:v>
                </c:pt>
                <c:pt idx="91">
                  <c:v>-0.16425223191003233</c:v>
                </c:pt>
                <c:pt idx="92">
                  <c:v>-0.1695891536213725</c:v>
                </c:pt>
                <c:pt idx="93">
                  <c:v>-0.15534105576653376</c:v>
                </c:pt>
                <c:pt idx="94">
                  <c:v>-0.14459985913796233</c:v>
                </c:pt>
                <c:pt idx="95">
                  <c:v>-0.14280470637934164</c:v>
                </c:pt>
                <c:pt idx="96">
                  <c:v>-0.1393633890512993</c:v>
                </c:pt>
                <c:pt idx="97">
                  <c:v>-0.13767467887698737</c:v>
                </c:pt>
                <c:pt idx="98">
                  <c:v>-0.12648338354365404</c:v>
                </c:pt>
                <c:pt idx="99">
                  <c:v>-0.14026530545333149</c:v>
                </c:pt>
                <c:pt idx="100">
                  <c:v>-0.14600526016242235</c:v>
                </c:pt>
                <c:pt idx="101">
                  <c:v>-0.15188464980819036</c:v>
                </c:pt>
                <c:pt idx="102">
                  <c:v>-0.13913013370871391</c:v>
                </c:pt>
                <c:pt idx="103">
                  <c:v>-0.10825750877573807</c:v>
                </c:pt>
                <c:pt idx="104">
                  <c:v>-0.10516050665073808</c:v>
                </c:pt>
                <c:pt idx="105">
                  <c:v>-8.665448446631184E-2</c:v>
                </c:pt>
                <c:pt idx="106">
                  <c:v>-7.0027875515917257E-2</c:v>
                </c:pt>
                <c:pt idx="107">
                  <c:v>-7.1466532159273899E-2</c:v>
                </c:pt>
                <c:pt idx="108">
                  <c:v>-6.8528602070778336E-2</c:v>
                </c:pt>
                <c:pt idx="109">
                  <c:v>-6.3842475840619584E-2</c:v>
                </c:pt>
                <c:pt idx="110">
                  <c:v>-4.3163259438229157E-2</c:v>
                </c:pt>
                <c:pt idx="111">
                  <c:v>-4.2012414876324365E-2</c:v>
                </c:pt>
                <c:pt idx="112">
                  <c:v>-3.6194553622592981E-2</c:v>
                </c:pt>
                <c:pt idx="113">
                  <c:v>-3.1239297054753805E-2</c:v>
                </c:pt>
                <c:pt idx="114">
                  <c:v>-3.3470358677395305E-2</c:v>
                </c:pt>
                <c:pt idx="115">
                  <c:v>-3.0503696531053864E-2</c:v>
                </c:pt>
                <c:pt idx="116">
                  <c:v>-3.2051010635705021E-2</c:v>
                </c:pt>
                <c:pt idx="117">
                  <c:v>-3.3529577959648685E-2</c:v>
                </c:pt>
                <c:pt idx="118">
                  <c:v>-3.1433389845362966E-2</c:v>
                </c:pt>
                <c:pt idx="119">
                  <c:v>-4.5088379178696299E-2</c:v>
                </c:pt>
                <c:pt idx="120">
                  <c:v>-4.6697395276735526E-2</c:v>
                </c:pt>
                <c:pt idx="121">
                  <c:v>-4.350904946660894E-2</c:v>
                </c:pt>
                <c:pt idx="122">
                  <c:v>-2.9420440141608929E-2</c:v>
                </c:pt>
                <c:pt idx="123">
                  <c:v>-2.0639703058017579E-2</c:v>
                </c:pt>
                <c:pt idx="124">
                  <c:v>-7.7824122823166699E-3</c:v>
                </c:pt>
                <c:pt idx="125">
                  <c:v>-1.5411857839807962E-2</c:v>
                </c:pt>
                <c:pt idx="126">
                  <c:v>-1.0994957731991249E-2</c:v>
                </c:pt>
                <c:pt idx="127">
                  <c:v>-2.0465732541151565E-2</c:v>
                </c:pt>
                <c:pt idx="128">
                  <c:v>-4.1551985428597456E-2</c:v>
                </c:pt>
                <c:pt idx="129">
                  <c:v>-1.8801762988148011E-2</c:v>
                </c:pt>
                <c:pt idx="130">
                  <c:v>-1.3473527892373369E-2</c:v>
                </c:pt>
                <c:pt idx="131">
                  <c:v>-7.7424120325947764E-3</c:v>
                </c:pt>
                <c:pt idx="132">
                  <c:v>-4.0221903525947756E-3</c:v>
                </c:pt>
                <c:pt idx="133">
                  <c:v>6.1483164740521921E-4</c:v>
                </c:pt>
                <c:pt idx="134">
                  <c:v>8.9373789412323934E-3</c:v>
                </c:pt>
                <c:pt idx="135">
                  <c:v>5.3327413633429532E-3</c:v>
                </c:pt>
                <c:pt idx="136">
                  <c:v>1.5510777874915454E-3</c:v>
                </c:pt>
                <c:pt idx="137">
                  <c:v>8.8815051311768416E-3</c:v>
                </c:pt>
                <c:pt idx="138">
                  <c:v>8.4322910559888695E-3</c:v>
                </c:pt>
                <c:pt idx="139">
                  <c:v>7.48715264446621E-3</c:v>
                </c:pt>
                <c:pt idx="140">
                  <c:v>1.9546676448436464E-2</c:v>
                </c:pt>
                <c:pt idx="141">
                  <c:v>3.4290277077302422E-2</c:v>
                </c:pt>
                <c:pt idx="142">
                  <c:v>2.665970867289064E-2</c:v>
                </c:pt>
                <c:pt idx="143">
                  <c:v>6.5081800900869888E-2</c:v>
                </c:pt>
                <c:pt idx="144">
                  <c:v>4.9301497228208008E-2</c:v>
                </c:pt>
                <c:pt idx="145">
                  <c:v>4.5839902290938622E-2</c:v>
                </c:pt>
                <c:pt idx="146">
                  <c:v>5.0796514922517563E-2</c:v>
                </c:pt>
                <c:pt idx="147">
                  <c:v>4.3903143293249264E-2</c:v>
                </c:pt>
                <c:pt idx="148">
                  <c:v>4.575396911143105E-2</c:v>
                </c:pt>
                <c:pt idx="149">
                  <c:v>4.3329877161431038E-2</c:v>
                </c:pt>
                <c:pt idx="150">
                  <c:v>5.2494715458134306E-2</c:v>
                </c:pt>
                <c:pt idx="151">
                  <c:v>6.7575673172420025E-2</c:v>
                </c:pt>
                <c:pt idx="152">
                  <c:v>6.9687771538580578E-2</c:v>
                </c:pt>
                <c:pt idx="153">
                  <c:v>6.1914985062390099E-2</c:v>
                </c:pt>
                <c:pt idx="154">
                  <c:v>5.354045522743868E-2</c:v>
                </c:pt>
                <c:pt idx="155">
                  <c:v>6.9920954267487512E-2</c:v>
                </c:pt>
                <c:pt idx="156">
                  <c:v>5.75569056241318E-2</c:v>
                </c:pt>
                <c:pt idx="157">
                  <c:v>7.2879678467013806E-2</c:v>
                </c:pt>
                <c:pt idx="158">
                  <c:v>7.3306312280849925E-2</c:v>
                </c:pt>
                <c:pt idx="159">
                  <c:v>7.2906943952390973E-2</c:v>
                </c:pt>
                <c:pt idx="160">
                  <c:v>7.5677766235689073E-2</c:v>
                </c:pt>
                <c:pt idx="161">
                  <c:v>7.2802638823460289E-2</c:v>
                </c:pt>
                <c:pt idx="162">
                  <c:v>5.1692324547802246E-2</c:v>
                </c:pt>
                <c:pt idx="163">
                  <c:v>5.5086958548900694E-2</c:v>
                </c:pt>
                <c:pt idx="164">
                  <c:v>7.1551023141633543E-2</c:v>
                </c:pt>
                <c:pt idx="165">
                  <c:v>7.3962750571123462E-2</c:v>
                </c:pt>
                <c:pt idx="166">
                  <c:v>6.9410226477240114E-2</c:v>
                </c:pt>
                <c:pt idx="167">
                  <c:v>6.7148227624301796E-2</c:v>
                </c:pt>
                <c:pt idx="168">
                  <c:v>6.5394501320668805E-2</c:v>
                </c:pt>
                <c:pt idx="169">
                  <c:v>6.9334187420668783E-2</c:v>
                </c:pt>
                <c:pt idx="170">
                  <c:v>7.0099421438053519E-2</c:v>
                </c:pt>
                <c:pt idx="171">
                  <c:v>6.9578320990153014E-2</c:v>
                </c:pt>
                <c:pt idx="172">
                  <c:v>6.4053160631486347E-2</c:v>
                </c:pt>
                <c:pt idx="173">
                  <c:v>6.7840825382307554E-2</c:v>
                </c:pt>
                <c:pt idx="174">
                  <c:v>6.7302734765727235E-2</c:v>
                </c:pt>
                <c:pt idx="175">
                  <c:v>6.6718936358926798E-2</c:v>
                </c:pt>
                <c:pt idx="176">
                  <c:v>6.4571323537874134E-2</c:v>
                </c:pt>
                <c:pt idx="177">
                  <c:v>6.1920666586833734E-2</c:v>
                </c:pt>
                <c:pt idx="178">
                  <c:v>5.8769404887197361E-2</c:v>
                </c:pt>
                <c:pt idx="179">
                  <c:v>6.2989543237467804E-2</c:v>
                </c:pt>
                <c:pt idx="180">
                  <c:v>6.9031005359642544E-2</c:v>
                </c:pt>
                <c:pt idx="181">
                  <c:v>6.2299839525468928E-2</c:v>
                </c:pt>
                <c:pt idx="182">
                  <c:v>-1.0787132646224193E-3</c:v>
                </c:pt>
                <c:pt idx="183">
                  <c:v>-6.8958668322581778E-3</c:v>
                </c:pt>
                <c:pt idx="184">
                  <c:v>-2.8765837236319784E-3</c:v>
                </c:pt>
                <c:pt idx="185">
                  <c:v>-5.0967519052000573E-3</c:v>
                </c:pt>
                <c:pt idx="186">
                  <c:v>-4.091011907097345E-4</c:v>
                </c:pt>
                <c:pt idx="187">
                  <c:v>-2.434146047732681E-3</c:v>
                </c:pt>
                <c:pt idx="188">
                  <c:v>-1.6193200525486125E-2</c:v>
                </c:pt>
                <c:pt idx="189">
                  <c:v>-2.1994485759099545E-2</c:v>
                </c:pt>
                <c:pt idx="190">
                  <c:v>-2.2740741404415992E-2</c:v>
                </c:pt>
                <c:pt idx="191">
                  <c:v>-2.7497332239488706E-2</c:v>
                </c:pt>
                <c:pt idx="192">
                  <c:v>-2.1782688969323269E-2</c:v>
                </c:pt>
                <c:pt idx="193">
                  <c:v>-1.8572499757086181E-2</c:v>
                </c:pt>
                <c:pt idx="194">
                  <c:v>-1.9587813347639916E-2</c:v>
                </c:pt>
                <c:pt idx="195">
                  <c:v>-1.0721800467559307E-2</c:v>
                </c:pt>
                <c:pt idx="196">
                  <c:v>1.4584867565393069E-2</c:v>
                </c:pt>
                <c:pt idx="197">
                  <c:v>1.4263732122393073E-2</c:v>
                </c:pt>
                <c:pt idx="198">
                  <c:v>9.9045812136915896E-3</c:v>
                </c:pt>
                <c:pt idx="199">
                  <c:v>1.2099482134744226E-2</c:v>
                </c:pt>
                <c:pt idx="200">
                  <c:v>1.4464890780215593E-2</c:v>
                </c:pt>
                <c:pt idx="201">
                  <c:v>1.5011760133202403E-2</c:v>
                </c:pt>
                <c:pt idx="202">
                  <c:v>1.5445376549202383E-2</c:v>
                </c:pt>
                <c:pt idx="203">
                  <c:v>1.6823575491289138E-2</c:v>
                </c:pt>
                <c:pt idx="204">
                  <c:v>1.3982684529182459E-2</c:v>
                </c:pt>
                <c:pt idx="205">
                  <c:v>2.2297847267687448E-2</c:v>
                </c:pt>
                <c:pt idx="206">
                  <c:v>2.6501913359066764E-2</c:v>
                </c:pt>
                <c:pt idx="207">
                  <c:v>2.8953322630931411E-2</c:v>
                </c:pt>
                <c:pt idx="208">
                  <c:v>2.7697517220486082E-2</c:v>
                </c:pt>
                <c:pt idx="209">
                  <c:v>2.7478910393317704E-2</c:v>
                </c:pt>
                <c:pt idx="210">
                  <c:v>3.4750353797091314E-2</c:v>
                </c:pt>
                <c:pt idx="211">
                  <c:v>3.558841576824516E-2</c:v>
                </c:pt>
                <c:pt idx="212">
                  <c:v>3.1338520828424636E-2</c:v>
                </c:pt>
                <c:pt idx="213">
                  <c:v>3.1651465613033107E-2</c:v>
                </c:pt>
                <c:pt idx="214">
                  <c:v>3.3931178063803566E-2</c:v>
                </c:pt>
                <c:pt idx="215">
                  <c:v>3.1659054051608446E-2</c:v>
                </c:pt>
                <c:pt idx="216">
                  <c:v>3.0940881455374304E-2</c:v>
                </c:pt>
                <c:pt idx="217">
                  <c:v>3.3506227755113097E-2</c:v>
                </c:pt>
                <c:pt idx="218">
                  <c:v>3.1097526515777418E-2</c:v>
                </c:pt>
                <c:pt idx="219">
                  <c:v>3.3095720090215913E-2</c:v>
                </c:pt>
                <c:pt idx="220">
                  <c:v>2.966269939354808E-2</c:v>
                </c:pt>
                <c:pt idx="221">
                  <c:v>3.8242355544980039E-2</c:v>
                </c:pt>
                <c:pt idx="222">
                  <c:v>3.4843402465550302E-2</c:v>
                </c:pt>
                <c:pt idx="223">
                  <c:v>3.7169463069961071E-2</c:v>
                </c:pt>
                <c:pt idx="224">
                  <c:v>4.4108194507069591E-2</c:v>
                </c:pt>
                <c:pt idx="225">
                  <c:v>7.454939552221744E-2</c:v>
                </c:pt>
                <c:pt idx="226">
                  <c:v>8.05817783169408E-2</c:v>
                </c:pt>
                <c:pt idx="227">
                  <c:v>7.5977119698566242E-2</c:v>
                </c:pt>
                <c:pt idx="228">
                  <c:v>7.6103217763998338E-2</c:v>
                </c:pt>
                <c:pt idx="229">
                  <c:v>6.6871195283889032E-2</c:v>
                </c:pt>
                <c:pt idx="230">
                  <c:v>6.6518972790405112E-2</c:v>
                </c:pt>
                <c:pt idx="231">
                  <c:v>7.0464250074609464E-2</c:v>
                </c:pt>
                <c:pt idx="232">
                  <c:v>7.6408924746366222E-2</c:v>
                </c:pt>
                <c:pt idx="233">
                  <c:v>6.9055998117146064E-2</c:v>
                </c:pt>
                <c:pt idx="234">
                  <c:v>6.3260370433333102E-2</c:v>
                </c:pt>
                <c:pt idx="235">
                  <c:v>6.7736719769915535E-2</c:v>
                </c:pt>
                <c:pt idx="236">
                  <c:v>7.1534049718199849E-2</c:v>
                </c:pt>
                <c:pt idx="237">
                  <c:v>7.4856876231044867E-2</c:v>
                </c:pt>
                <c:pt idx="238">
                  <c:v>7.8293592107387094E-2</c:v>
                </c:pt>
                <c:pt idx="239">
                  <c:v>7.6450266424576793E-2</c:v>
                </c:pt>
                <c:pt idx="240">
                  <c:v>7.8388008354879829E-2</c:v>
                </c:pt>
                <c:pt idx="241">
                  <c:v>7.6826275055523072E-2</c:v>
                </c:pt>
                <c:pt idx="242">
                  <c:v>7.358174114213098E-2</c:v>
                </c:pt>
                <c:pt idx="243">
                  <c:v>7.1608077612294915E-2</c:v>
                </c:pt>
                <c:pt idx="244">
                  <c:v>7.2533002896636251E-2</c:v>
                </c:pt>
                <c:pt idx="245">
                  <c:v>0.10867299419628494</c:v>
                </c:pt>
                <c:pt idx="246">
                  <c:v>0.10947106040821432</c:v>
                </c:pt>
                <c:pt idx="247">
                  <c:v>0.10604867839906125</c:v>
                </c:pt>
                <c:pt idx="248">
                  <c:v>0.10515333639610887</c:v>
                </c:pt>
                <c:pt idx="249">
                  <c:v>9.658887239925526E-2</c:v>
                </c:pt>
                <c:pt idx="250">
                  <c:v>0.10305969321558327</c:v>
                </c:pt>
                <c:pt idx="251">
                  <c:v>9.9538526753704074E-2</c:v>
                </c:pt>
                <c:pt idx="252">
                  <c:v>0.10250947286925273</c:v>
                </c:pt>
                <c:pt idx="253">
                  <c:v>9.869204295121306E-2</c:v>
                </c:pt>
                <c:pt idx="254">
                  <c:v>0.1044890121558894</c:v>
                </c:pt>
                <c:pt idx="255">
                  <c:v>0.10902209768367262</c:v>
                </c:pt>
                <c:pt idx="256">
                  <c:v>0.10829655850781995</c:v>
                </c:pt>
                <c:pt idx="257">
                  <c:v>0.1129240274968914</c:v>
                </c:pt>
                <c:pt idx="258">
                  <c:v>0.12481293668062095</c:v>
                </c:pt>
                <c:pt idx="259">
                  <c:v>0.12493270402104648</c:v>
                </c:pt>
                <c:pt idx="260">
                  <c:v>0.13515513156587405</c:v>
                </c:pt>
                <c:pt idx="261">
                  <c:v>0.15171441778079797</c:v>
                </c:pt>
                <c:pt idx="262">
                  <c:v>0.14802232260230561</c:v>
                </c:pt>
                <c:pt idx="263">
                  <c:v>0.14999364253096292</c:v>
                </c:pt>
                <c:pt idx="264">
                  <c:v>0.14886613757886735</c:v>
                </c:pt>
                <c:pt idx="265">
                  <c:v>0.14914162189201668</c:v>
                </c:pt>
                <c:pt idx="266">
                  <c:v>0.15107653030653279</c:v>
                </c:pt>
                <c:pt idx="267">
                  <c:v>0.15276290158775066</c:v>
                </c:pt>
                <c:pt idx="268">
                  <c:v>0.1554537875245964</c:v>
                </c:pt>
                <c:pt idx="269">
                  <c:v>0.16759002009484569</c:v>
                </c:pt>
                <c:pt idx="270">
                  <c:v>0.16450410479344493</c:v>
                </c:pt>
                <c:pt idx="271">
                  <c:v>0.16440280712435401</c:v>
                </c:pt>
                <c:pt idx="272">
                  <c:v>0.16499977511203226</c:v>
                </c:pt>
                <c:pt idx="273">
                  <c:v>0.16192408479541134</c:v>
                </c:pt>
                <c:pt idx="274">
                  <c:v>0.1606252678076735</c:v>
                </c:pt>
                <c:pt idx="275">
                  <c:v>0.16144014736567575</c:v>
                </c:pt>
                <c:pt idx="276">
                  <c:v>0.14786256090886635</c:v>
                </c:pt>
                <c:pt idx="277">
                  <c:v>0.14562583089248934</c:v>
                </c:pt>
                <c:pt idx="278">
                  <c:v>0.144367664380465</c:v>
                </c:pt>
                <c:pt idx="279">
                  <c:v>0.15222876300873961</c:v>
                </c:pt>
                <c:pt idx="280">
                  <c:v>0.13536482482635498</c:v>
                </c:pt>
                <c:pt idx="281">
                  <c:v>0.14379453036953274</c:v>
                </c:pt>
                <c:pt idx="282">
                  <c:v>0.15121412112010321</c:v>
                </c:pt>
                <c:pt idx="283">
                  <c:v>0.14274371313132259</c:v>
                </c:pt>
                <c:pt idx="284">
                  <c:v>0.13795769599229671</c:v>
                </c:pt>
                <c:pt idx="285">
                  <c:v>0.13772057439990606</c:v>
                </c:pt>
                <c:pt idx="286">
                  <c:v>0.13833131389144124</c:v>
                </c:pt>
                <c:pt idx="287">
                  <c:v>0.13940742076690069</c:v>
                </c:pt>
                <c:pt idx="288">
                  <c:v>0.14043021747403006</c:v>
                </c:pt>
                <c:pt idx="289">
                  <c:v>0.1433364215188731</c:v>
                </c:pt>
                <c:pt idx="290">
                  <c:v>0.13499691725661866</c:v>
                </c:pt>
                <c:pt idx="291">
                  <c:v>0.12566370908677013</c:v>
                </c:pt>
                <c:pt idx="292">
                  <c:v>0.11763312881880461</c:v>
                </c:pt>
                <c:pt idx="293">
                  <c:v>0.12366007108600248</c:v>
                </c:pt>
                <c:pt idx="294">
                  <c:v>0.11648081296118032</c:v>
                </c:pt>
                <c:pt idx="295">
                  <c:v>0.11341027922236332</c:v>
                </c:pt>
                <c:pt idx="296">
                  <c:v>0.12022791842922184</c:v>
                </c:pt>
                <c:pt idx="297">
                  <c:v>0.12069054850117307</c:v>
                </c:pt>
                <c:pt idx="298">
                  <c:v>0.12386538972878068</c:v>
                </c:pt>
                <c:pt idx="299">
                  <c:v>0.12472441270976782</c:v>
                </c:pt>
                <c:pt idx="300">
                  <c:v>0.12932589058536784</c:v>
                </c:pt>
                <c:pt idx="301">
                  <c:v>0.137348231330396</c:v>
                </c:pt>
                <c:pt idx="302">
                  <c:v>0.1264444089300118</c:v>
                </c:pt>
                <c:pt idx="303">
                  <c:v>0.12819269529480873</c:v>
                </c:pt>
                <c:pt idx="304">
                  <c:v>0.1409398292037547</c:v>
                </c:pt>
                <c:pt idx="305">
                  <c:v>0.14861706562145666</c:v>
                </c:pt>
                <c:pt idx="306">
                  <c:v>0.14365431953012922</c:v>
                </c:pt>
                <c:pt idx="307">
                  <c:v>0.14353779089306357</c:v>
                </c:pt>
                <c:pt idx="308">
                  <c:v>0.13900151458409976</c:v>
                </c:pt>
                <c:pt idx="309">
                  <c:v>0.14233549569198523</c:v>
                </c:pt>
                <c:pt idx="310">
                  <c:v>0.14673009905443063</c:v>
                </c:pt>
                <c:pt idx="311">
                  <c:v>0.14751350985708064</c:v>
                </c:pt>
                <c:pt idx="312">
                  <c:v>0.15137946869844326</c:v>
                </c:pt>
                <c:pt idx="313">
                  <c:v>0.14797766588931283</c:v>
                </c:pt>
                <c:pt idx="314">
                  <c:v>0.16476474447300521</c:v>
                </c:pt>
                <c:pt idx="315">
                  <c:v>0.13743784499792705</c:v>
                </c:pt>
                <c:pt idx="316">
                  <c:v>0.14171678015797648</c:v>
                </c:pt>
                <c:pt idx="317">
                  <c:v>0.13780273207349752</c:v>
                </c:pt>
                <c:pt idx="318">
                  <c:v>0.14373754653003304</c:v>
                </c:pt>
                <c:pt idx="319">
                  <c:v>0.13712469790005899</c:v>
                </c:pt>
                <c:pt idx="320">
                  <c:v>0.13810062067811854</c:v>
                </c:pt>
                <c:pt idx="321">
                  <c:v>0.13687642456202206</c:v>
                </c:pt>
                <c:pt idx="322">
                  <c:v>0.15169629366954557</c:v>
                </c:pt>
                <c:pt idx="323">
                  <c:v>0.14565930248884021</c:v>
                </c:pt>
                <c:pt idx="324">
                  <c:v>0.13092379918523686</c:v>
                </c:pt>
                <c:pt idx="325">
                  <c:v>0.12391124353941221</c:v>
                </c:pt>
                <c:pt idx="326">
                  <c:v>0.12064315115494043</c:v>
                </c:pt>
                <c:pt idx="327">
                  <c:v>0.11988377095259439</c:v>
                </c:pt>
                <c:pt idx="328">
                  <c:v>0.12078974092599719</c:v>
                </c:pt>
                <c:pt idx="329">
                  <c:v>0.11694429070003036</c:v>
                </c:pt>
                <c:pt idx="330">
                  <c:v>0.11989797568834377</c:v>
                </c:pt>
                <c:pt idx="331">
                  <c:v>0.12086581613711538</c:v>
                </c:pt>
                <c:pt idx="332">
                  <c:v>0.12221194712474155</c:v>
                </c:pt>
                <c:pt idx="333">
                  <c:v>0.12269321604064919</c:v>
                </c:pt>
                <c:pt idx="334">
                  <c:v>0.1194968016652527</c:v>
                </c:pt>
                <c:pt idx="335">
                  <c:v>0.12529045356322738</c:v>
                </c:pt>
                <c:pt idx="336">
                  <c:v>0.13755184705326093</c:v>
                </c:pt>
                <c:pt idx="337">
                  <c:v>0.1272834830818923</c:v>
                </c:pt>
                <c:pt idx="338">
                  <c:v>0.11872450510104123</c:v>
                </c:pt>
                <c:pt idx="339">
                  <c:v>0.12077794242629791</c:v>
                </c:pt>
                <c:pt idx="340">
                  <c:v>0.11648409406831418</c:v>
                </c:pt>
                <c:pt idx="341">
                  <c:v>0.1131995602324726</c:v>
                </c:pt>
                <c:pt idx="342">
                  <c:v>0.1178851074128138</c:v>
                </c:pt>
                <c:pt idx="343">
                  <c:v>0.10877242202288352</c:v>
                </c:pt>
                <c:pt idx="344">
                  <c:v>0.10243809162288353</c:v>
                </c:pt>
                <c:pt idx="345">
                  <c:v>0.10196438675152579</c:v>
                </c:pt>
                <c:pt idx="346">
                  <c:v>0.10212069529577357</c:v>
                </c:pt>
                <c:pt idx="347">
                  <c:v>0.10231662519889276</c:v>
                </c:pt>
                <c:pt idx="348">
                  <c:v>0.11304057540767323</c:v>
                </c:pt>
                <c:pt idx="349">
                  <c:v>0.10838868181460048</c:v>
                </c:pt>
                <c:pt idx="350">
                  <c:v>0.11064089194653798</c:v>
                </c:pt>
                <c:pt idx="351">
                  <c:v>0.10616239525846462</c:v>
                </c:pt>
                <c:pt idx="352">
                  <c:v>0.1019806495898932</c:v>
                </c:pt>
                <c:pt idx="353">
                  <c:v>9.6154614132783076E-2</c:v>
                </c:pt>
                <c:pt idx="354">
                  <c:v>9.194540122440012E-2</c:v>
                </c:pt>
                <c:pt idx="355">
                  <c:v>9.1047927603710457E-2</c:v>
                </c:pt>
                <c:pt idx="356">
                  <c:v>9.4217623211173149E-2</c:v>
                </c:pt>
                <c:pt idx="357">
                  <c:v>8.8390892111173153E-2</c:v>
                </c:pt>
                <c:pt idx="358">
                  <c:v>8.7451923877332846E-2</c:v>
                </c:pt>
                <c:pt idx="359">
                  <c:v>9.5020299297816857E-2</c:v>
                </c:pt>
                <c:pt idx="360">
                  <c:v>8.9578994752122082E-2</c:v>
                </c:pt>
                <c:pt idx="361">
                  <c:v>8.6608415877412109E-2</c:v>
                </c:pt>
                <c:pt idx="362">
                  <c:v>8.9694738890657169E-2</c:v>
                </c:pt>
                <c:pt idx="363">
                  <c:v>9.0002413884633065E-2</c:v>
                </c:pt>
                <c:pt idx="364">
                  <c:v>8.7070572764733054E-2</c:v>
                </c:pt>
                <c:pt idx="365">
                  <c:v>8.7991570005557823E-2</c:v>
                </c:pt>
                <c:pt idx="366">
                  <c:v>8.9436208797238334E-2</c:v>
                </c:pt>
                <c:pt idx="367">
                  <c:v>8.5431374416264555E-2</c:v>
                </c:pt>
                <c:pt idx="368">
                  <c:v>9.0660534712717372E-2</c:v>
                </c:pt>
                <c:pt idx="369">
                  <c:v>7.2969605969373574E-2</c:v>
                </c:pt>
                <c:pt idx="370">
                  <c:v>6.1810785752981046E-2</c:v>
                </c:pt>
                <c:pt idx="371">
                  <c:v>6.0032685990080742E-2</c:v>
                </c:pt>
                <c:pt idx="372">
                  <c:v>6.2324533230611219E-2</c:v>
                </c:pt>
                <c:pt idx="373">
                  <c:v>6.3842404138056211E-2</c:v>
                </c:pt>
                <c:pt idx="374">
                  <c:v>6.692888331806679E-2</c:v>
                </c:pt>
                <c:pt idx="375">
                  <c:v>7.1442295943648204E-2</c:v>
                </c:pt>
                <c:pt idx="376">
                  <c:v>6.014363386054962E-2</c:v>
                </c:pt>
                <c:pt idx="377">
                  <c:v>9.9050980019461578E-3</c:v>
                </c:pt>
                <c:pt idx="378">
                  <c:v>7.0995938553349795E-3</c:v>
                </c:pt>
                <c:pt idx="379">
                  <c:v>7.1655023726499081E-3</c:v>
                </c:pt>
                <c:pt idx="380">
                  <c:v>6.4370154394745496E-3</c:v>
                </c:pt>
                <c:pt idx="381">
                  <c:v>7.0591284228078846E-3</c:v>
                </c:pt>
                <c:pt idx="382">
                  <c:v>5.5985220371594984E-3</c:v>
                </c:pt>
                <c:pt idx="383">
                  <c:v>6.2828153499483183E-3</c:v>
                </c:pt>
                <c:pt idx="384">
                  <c:v>4.3073375908085458E-3</c:v>
                </c:pt>
                <c:pt idx="385">
                  <c:v>1.021123531349095E-3</c:v>
                </c:pt>
                <c:pt idx="386">
                  <c:v>5.5177992225818623E-4</c:v>
                </c:pt>
                <c:pt idx="387">
                  <c:v>-3.3662331190677788E-3</c:v>
                </c:pt>
                <c:pt idx="388">
                  <c:v>-9.5547327144122896E-3</c:v>
                </c:pt>
                <c:pt idx="389">
                  <c:v>-1.1770264295662294E-2</c:v>
                </c:pt>
                <c:pt idx="390">
                  <c:v>-1.0805384230426247E-2</c:v>
                </c:pt>
                <c:pt idx="391">
                  <c:v>-1.0523076228200937E-2</c:v>
                </c:pt>
                <c:pt idx="392">
                  <c:v>-1.2153770685988746E-2</c:v>
                </c:pt>
                <c:pt idx="393">
                  <c:v>-1.3295710701083084E-2</c:v>
                </c:pt>
                <c:pt idx="394">
                  <c:v>-1.2906605645527534E-2</c:v>
                </c:pt>
                <c:pt idx="395">
                  <c:v>-1.1636851335527531E-2</c:v>
                </c:pt>
                <c:pt idx="396">
                  <c:v>-1.0689398428384678E-2</c:v>
                </c:pt>
                <c:pt idx="397">
                  <c:v>-1.0508526078812025E-2</c:v>
                </c:pt>
                <c:pt idx="398">
                  <c:v>-1.1458739000397929E-2</c:v>
                </c:pt>
                <c:pt idx="399">
                  <c:v>-1.0636184151655417E-2</c:v>
                </c:pt>
                <c:pt idx="400">
                  <c:v>-1.1973804703728703E-2</c:v>
                </c:pt>
                <c:pt idx="401">
                  <c:v>-1.1251728055877699E-2</c:v>
                </c:pt>
                <c:pt idx="402">
                  <c:v>-1.2175817179130558E-2</c:v>
                </c:pt>
                <c:pt idx="403">
                  <c:v>-1.0562225548898001E-2</c:v>
                </c:pt>
                <c:pt idx="404">
                  <c:v>-1.0037190680771906E-2</c:v>
                </c:pt>
                <c:pt idx="405">
                  <c:v>-9.228589687894407E-3</c:v>
                </c:pt>
                <c:pt idx="406">
                  <c:v>-9.3139811303369728E-3</c:v>
                </c:pt>
                <c:pt idx="407">
                  <c:v>-9.0962983292258576E-3</c:v>
                </c:pt>
                <c:pt idx="408">
                  <c:v>-1.0046036065274738E-2</c:v>
                </c:pt>
                <c:pt idx="409">
                  <c:v>-1.2278530156601943E-2</c:v>
                </c:pt>
                <c:pt idx="410">
                  <c:v>-1.148763450838277E-2</c:v>
                </c:pt>
                <c:pt idx="411">
                  <c:v>-1.1967211795419803E-2</c:v>
                </c:pt>
                <c:pt idx="412">
                  <c:v>-8.7664712281358571E-3</c:v>
                </c:pt>
                <c:pt idx="413">
                  <c:v>-7.9390596422517536E-3</c:v>
                </c:pt>
                <c:pt idx="414">
                  <c:v>-6.9997399233328343E-3</c:v>
                </c:pt>
                <c:pt idx="415">
                  <c:v>-1.1358882381039598E-2</c:v>
                </c:pt>
                <c:pt idx="416">
                  <c:v>-8.6891468004674927E-3</c:v>
                </c:pt>
                <c:pt idx="417">
                  <c:v>-7.7621627966145985E-3</c:v>
                </c:pt>
                <c:pt idx="418">
                  <c:v>-7.3322851441755795E-3</c:v>
                </c:pt>
                <c:pt idx="419">
                  <c:v>-7.755603639389686E-3</c:v>
                </c:pt>
                <c:pt idx="420">
                  <c:v>-5.3837124103970511E-3</c:v>
                </c:pt>
                <c:pt idx="421">
                  <c:v>-4.3790870862591182E-3</c:v>
                </c:pt>
                <c:pt idx="422">
                  <c:v>-4.10789385053318E-3</c:v>
                </c:pt>
                <c:pt idx="423">
                  <c:v>-2.9811363659030168E-3</c:v>
                </c:pt>
                <c:pt idx="424">
                  <c:v>-3.992274206638521E-3</c:v>
                </c:pt>
                <c:pt idx="425">
                  <c:v>-4.3012989198460659E-3</c:v>
                </c:pt>
                <c:pt idx="426">
                  <c:v>-6.0205869257773867E-3</c:v>
                </c:pt>
                <c:pt idx="427">
                  <c:v>-5.9946999152279343E-3</c:v>
                </c:pt>
                <c:pt idx="428">
                  <c:v>-4.8081860098856946E-3</c:v>
                </c:pt>
                <c:pt idx="429">
                  <c:v>-4.0602864195918439E-4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35-4DF2-AC33-FC09DF6F6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3040415"/>
        <c:axId val="943038751"/>
      </c:lineChart>
      <c:dateAx>
        <c:axId val="943040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038751"/>
        <c:crosses val="autoZero"/>
        <c:auto val="1"/>
        <c:lblOffset val="100"/>
        <c:baseTimeUnit val="days"/>
      </c:dateAx>
      <c:valAx>
        <c:axId val="9430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3040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F9C1656-87B8-4F6F-884C-34DDA80067BC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46A715-0068-49CD-A040-552D44F4FE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6.4676</v>
      </c>
      <c r="D2" s="4">
        <f>MIN(D3:D1912)</f>
        <v>0.65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1.1259999999999999</v>
      </c>
      <c r="C5">
        <v>1.1339999999999999</v>
      </c>
      <c r="D5">
        <v>1.0860000000000001</v>
      </c>
      <c r="E5">
        <v>1.0960000000000001</v>
      </c>
      <c r="F5">
        <v>70897.5</v>
      </c>
      <c r="G5">
        <v>1.0960000000000001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-0.58333333333333137</v>
      </c>
      <c r="Q5">
        <f t="shared" ref="Q5" si="1">F5*P5</f>
        <v>-41356.874999999862</v>
      </c>
      <c r="R5">
        <f t="shared" ref="R5" si="2">R6+Q5</f>
        <v>-35395856.290762462</v>
      </c>
      <c r="S5">
        <f t="shared" ref="S5" si="3">R5/100000</f>
        <v>-353.95856290762464</v>
      </c>
      <c r="T5">
        <f t="shared" ref="T5" si="4">S5/1000</f>
        <v>-0.35395856290762462</v>
      </c>
    </row>
    <row r="6" spans="1:20" x14ac:dyDescent="0.25">
      <c r="A6" s="5">
        <v>44587</v>
      </c>
      <c r="B6">
        <v>1.1759999999999999</v>
      </c>
      <c r="C6">
        <v>1.21</v>
      </c>
      <c r="D6">
        <v>1.103</v>
      </c>
      <c r="E6">
        <v>1.127</v>
      </c>
      <c r="F6">
        <v>1048868.3999999999</v>
      </c>
      <c r="G6">
        <v>1.127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-0.55140186915887801</v>
      </c>
      <c r="Q6">
        <f t="shared" ref="Q6" si="6">F6*P6</f>
        <v>-578347.99626168166</v>
      </c>
      <c r="R6">
        <f t="shared" ref="R6" si="7">R7+Q6</f>
        <v>-35354499.415762462</v>
      </c>
      <c r="S6">
        <f t="shared" ref="S6" si="8">R6/100000</f>
        <v>-353.54499415762461</v>
      </c>
      <c r="T6">
        <f t="shared" ref="T6" si="9">S6/1000</f>
        <v>-0.35354499415762464</v>
      </c>
    </row>
    <row r="7" spans="1:20" x14ac:dyDescent="0.25">
      <c r="A7" s="5">
        <v>44586</v>
      </c>
      <c r="B7">
        <v>1.1180000000000001</v>
      </c>
      <c r="C7">
        <v>1.25</v>
      </c>
      <c r="D7">
        <v>1.073</v>
      </c>
      <c r="E7">
        <v>1.175</v>
      </c>
      <c r="F7">
        <v>1701877.9</v>
      </c>
      <c r="G7">
        <v>1.175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0.15254237288135666</v>
      </c>
      <c r="Q7">
        <f t="shared" ref="Q7" si="11">F7*P7</f>
        <v>259608.49322034023</v>
      </c>
      <c r="R7">
        <f t="shared" ref="R7" si="12">R8+Q7</f>
        <v>-34776151.419500783</v>
      </c>
      <c r="S7">
        <f t="shared" ref="S7" si="13">R7/100000</f>
        <v>-347.76151419500781</v>
      </c>
      <c r="T7">
        <f t="shared" ref="T7" si="14">S7/1000</f>
        <v>-0.34776151419500778</v>
      </c>
    </row>
    <row r="8" spans="1:20" x14ac:dyDescent="0.25">
      <c r="A8" s="5">
        <v>44585</v>
      </c>
      <c r="B8">
        <v>1.115</v>
      </c>
      <c r="C8">
        <v>1.1180000000000001</v>
      </c>
      <c r="D8">
        <v>0.97699999999999998</v>
      </c>
      <c r="E8">
        <v>1.117</v>
      </c>
      <c r="F8">
        <v>1694560.9</v>
      </c>
      <c r="G8">
        <v>1.117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0.98581560283687786</v>
      </c>
      <c r="Q8">
        <f t="shared" ref="Q8" si="16">F8*P8</f>
        <v>1670524.5751773021</v>
      </c>
      <c r="R8">
        <f t="shared" ref="R8" si="17">R9+Q8</f>
        <v>-35035759.91272112</v>
      </c>
      <c r="S8">
        <f t="shared" ref="S8" si="18">R8/100000</f>
        <v>-350.35759912721119</v>
      </c>
      <c r="T8">
        <f t="shared" ref="T8" si="19">S8/1000</f>
        <v>-0.35035759912721121</v>
      </c>
    </row>
    <row r="9" spans="1:20" x14ac:dyDescent="0.25">
      <c r="A9" s="5">
        <v>44584</v>
      </c>
      <c r="B9">
        <v>1.05</v>
      </c>
      <c r="C9">
        <v>1.153</v>
      </c>
      <c r="D9">
        <v>1.046</v>
      </c>
      <c r="E9">
        <v>1.1160000000000001</v>
      </c>
      <c r="F9">
        <v>1011949</v>
      </c>
      <c r="G9">
        <v>1.1160000000000001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0.30841121495327239</v>
      </c>
      <c r="Q9">
        <f t="shared" ref="Q9" si="21">F9*P9</f>
        <v>312096.42056074907</v>
      </c>
      <c r="R9">
        <f t="shared" ref="R9" si="22">R10+Q9</f>
        <v>-36706284.487898424</v>
      </c>
      <c r="S9">
        <f t="shared" ref="S9" si="23">R9/100000</f>
        <v>-367.06284487898427</v>
      </c>
      <c r="T9">
        <f t="shared" ref="T9" si="24">S9/1000</f>
        <v>-0.36706284487898427</v>
      </c>
    </row>
    <row r="10" spans="1:20" x14ac:dyDescent="0.25">
      <c r="A10" s="5">
        <v>44583</v>
      </c>
      <c r="B10">
        <v>1.171</v>
      </c>
      <c r="C10">
        <v>1.181</v>
      </c>
      <c r="D10">
        <v>1.0069999999999999</v>
      </c>
      <c r="E10">
        <v>1.05</v>
      </c>
      <c r="F10">
        <v>1701563.13</v>
      </c>
      <c r="G10">
        <v>1.05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-0.50574712643678033</v>
      </c>
      <c r="Q10">
        <f t="shared" ref="Q10" si="26">F10*P10</f>
        <v>-860560.66344827367</v>
      </c>
      <c r="R10">
        <f t="shared" ref="R10" si="27">R11+Q10</f>
        <v>-37018380.908459172</v>
      </c>
      <c r="S10">
        <f t="shared" ref="S10" si="28">R10/100000</f>
        <v>-370.1838090845917</v>
      </c>
      <c r="T10">
        <f t="shared" ref="T10" si="29">S10/1000</f>
        <v>-0.3701838090845917</v>
      </c>
    </row>
    <row r="11" spans="1:20" x14ac:dyDescent="0.25">
      <c r="A11" s="5">
        <v>44582</v>
      </c>
      <c r="B11">
        <v>1.383</v>
      </c>
      <c r="C11">
        <v>1.39</v>
      </c>
      <c r="D11">
        <v>1.135</v>
      </c>
      <c r="E11">
        <v>1.171</v>
      </c>
      <c r="F11">
        <v>1168854.83</v>
      </c>
      <c r="G11">
        <v>1.171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-0.71764705882352908</v>
      </c>
      <c r="Q11">
        <f t="shared" ref="Q11" si="31">F11*P11</f>
        <v>-838825.23094117618</v>
      </c>
      <c r="R11">
        <f t="shared" ref="R11" si="32">R12+Q11</f>
        <v>-36157820.245010898</v>
      </c>
      <c r="S11">
        <f t="shared" ref="S11" si="33">R11/100000</f>
        <v>-361.57820245010896</v>
      </c>
      <c r="T11">
        <f t="shared" ref="T11" si="34">S11/1000</f>
        <v>-0.36157820245010897</v>
      </c>
    </row>
    <row r="12" spans="1:20" x14ac:dyDescent="0.25">
      <c r="A12" s="5">
        <v>44581</v>
      </c>
      <c r="B12">
        <v>1.4419999999999999</v>
      </c>
      <c r="C12">
        <v>1.5109999999999999</v>
      </c>
      <c r="D12">
        <v>1.3819999999999999</v>
      </c>
      <c r="E12">
        <v>1.3839999999999999</v>
      </c>
      <c r="F12">
        <v>505066.1</v>
      </c>
      <c r="G12">
        <v>1.3839999999999999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-0.96899224806201545</v>
      </c>
      <c r="Q12">
        <f t="shared" ref="Q12" si="36">F12*P12</f>
        <v>-489405.13565891469</v>
      </c>
      <c r="R12">
        <f t="shared" ref="R12" si="37">R13+Q12</f>
        <v>-35318995.014069721</v>
      </c>
      <c r="S12">
        <f t="shared" ref="S12" si="38">R12/100000</f>
        <v>-353.18995014069719</v>
      </c>
      <c r="T12">
        <f t="shared" ref="T12" si="39">S12/1000</f>
        <v>-0.35318995014069721</v>
      </c>
    </row>
    <row r="13" spans="1:20" x14ac:dyDescent="0.25">
      <c r="A13" s="5">
        <v>44580</v>
      </c>
      <c r="B13">
        <v>1.5149999999999999</v>
      </c>
      <c r="C13">
        <v>1.516</v>
      </c>
      <c r="D13">
        <v>1.4419999999999999</v>
      </c>
      <c r="E13">
        <v>1.444</v>
      </c>
      <c r="F13">
        <v>357232.9</v>
      </c>
      <c r="G13">
        <v>1.444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-0.94594594594594594</v>
      </c>
      <c r="Q13">
        <f t="shared" ref="Q13" si="41">F13*P13</f>
        <v>-337923.01351351355</v>
      </c>
      <c r="R13">
        <f t="shared" ref="R13" si="42">R14+Q13</f>
        <v>-34829589.878410809</v>
      </c>
      <c r="S13">
        <f t="shared" ref="S13" si="43">R13/100000</f>
        <v>-348.29589878410809</v>
      </c>
      <c r="T13">
        <f t="shared" ref="T13" si="44">S13/1000</f>
        <v>-0.3482958987841081</v>
      </c>
    </row>
    <row r="14" spans="1:20" x14ac:dyDescent="0.25">
      <c r="A14" s="5">
        <v>44579</v>
      </c>
      <c r="B14">
        <v>1.534</v>
      </c>
      <c r="C14">
        <v>1.554</v>
      </c>
      <c r="D14">
        <v>1.4910000000000001</v>
      </c>
      <c r="E14">
        <v>1.514</v>
      </c>
      <c r="F14">
        <v>249542.1</v>
      </c>
      <c r="G14">
        <v>1.514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-0.2698412698412721</v>
      </c>
      <c r="Q14">
        <f t="shared" ref="Q14" si="46">F14*P14</f>
        <v>-67336.757142857707</v>
      </c>
      <c r="R14">
        <f t="shared" ref="R14" si="47">R15+Q14</f>
        <v>-34491666.864897296</v>
      </c>
      <c r="S14">
        <f t="shared" ref="S14" si="48">R14/100000</f>
        <v>-344.91666864897297</v>
      </c>
      <c r="T14">
        <f t="shared" ref="T14" si="49">S14/1000</f>
        <v>-0.34491666864897297</v>
      </c>
    </row>
    <row r="15" spans="1:20" x14ac:dyDescent="0.25">
      <c r="A15" s="5">
        <v>44578</v>
      </c>
      <c r="B15">
        <v>1.5920000000000001</v>
      </c>
      <c r="C15">
        <v>1.613</v>
      </c>
      <c r="D15">
        <v>1.5009999999999999</v>
      </c>
      <c r="E15">
        <v>1.536</v>
      </c>
      <c r="F15">
        <v>339631.2</v>
      </c>
      <c r="G15">
        <v>1.536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-0.374999999999998</v>
      </c>
      <c r="Q15">
        <f t="shared" ref="Q15" si="51">F15*P15</f>
        <v>-127361.69999999933</v>
      </c>
      <c r="R15">
        <f t="shared" ref="R15" si="52">R16+Q15</f>
        <v>-34424330.107754439</v>
      </c>
      <c r="S15">
        <f t="shared" ref="S15" si="53">R15/100000</f>
        <v>-344.2433010775444</v>
      </c>
      <c r="T15">
        <f t="shared" ref="T15" si="54">S15/1000</f>
        <v>-0.34424330107754442</v>
      </c>
    </row>
    <row r="16" spans="1:20" x14ac:dyDescent="0.25">
      <c r="A16" s="5">
        <v>44577</v>
      </c>
      <c r="B16">
        <v>1.621</v>
      </c>
      <c r="C16">
        <v>1.6379999999999999</v>
      </c>
      <c r="D16">
        <v>1.5780000000000001</v>
      </c>
      <c r="E16">
        <v>1.5920000000000001</v>
      </c>
      <c r="F16">
        <v>313318.8</v>
      </c>
      <c r="G16">
        <v>1.5920000000000001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-0.53333333333333166</v>
      </c>
      <c r="Q16">
        <f t="shared" ref="Q16" si="56">F16*P16</f>
        <v>-167103.35999999946</v>
      </c>
      <c r="R16">
        <f t="shared" ref="R16" si="57">R17+Q16</f>
        <v>-34296968.407754436</v>
      </c>
      <c r="S16">
        <f t="shared" ref="S16" si="58">R16/100000</f>
        <v>-342.96968407754434</v>
      </c>
      <c r="T16">
        <f t="shared" ref="T16" si="59">S16/1000</f>
        <v>-0.34296968407754436</v>
      </c>
    </row>
    <row r="17" spans="1:20" x14ac:dyDescent="0.25">
      <c r="A17" s="5">
        <v>44576</v>
      </c>
      <c r="B17">
        <v>1.575</v>
      </c>
      <c r="C17">
        <v>1.66</v>
      </c>
      <c r="D17">
        <v>1.56</v>
      </c>
      <c r="E17">
        <v>1.621</v>
      </c>
      <c r="F17">
        <v>602426.30000000005</v>
      </c>
      <c r="G17">
        <v>1.621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0.2200000000000005</v>
      </c>
      <c r="Q17">
        <f t="shared" ref="Q17" si="61">F17*P17</f>
        <v>132533.78600000031</v>
      </c>
      <c r="R17">
        <f t="shared" ref="R17" si="62">R18+Q17</f>
        <v>-34129865.047754437</v>
      </c>
      <c r="S17">
        <f t="shared" ref="S17" si="63">R17/100000</f>
        <v>-341.29865047754436</v>
      </c>
      <c r="T17">
        <f t="shared" ref="T17" si="64">S17/1000</f>
        <v>-0.34129865047754437</v>
      </c>
    </row>
    <row r="18" spans="1:20" x14ac:dyDescent="0.25">
      <c r="A18" s="5">
        <v>44575</v>
      </c>
      <c r="B18">
        <v>1.59</v>
      </c>
      <c r="C18">
        <v>1.595</v>
      </c>
      <c r="D18">
        <v>1.5029999999999999</v>
      </c>
      <c r="E18">
        <v>1.575</v>
      </c>
      <c r="F18">
        <v>396331.2</v>
      </c>
      <c r="G18">
        <v>1.575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0.56521739130434778</v>
      </c>
      <c r="Q18">
        <f t="shared" ref="Q18" si="66">F18*P18</f>
        <v>224013.28695652174</v>
      </c>
      <c r="R18">
        <f t="shared" ref="R18" si="67">R19+Q18</f>
        <v>-34262398.833754435</v>
      </c>
      <c r="S18">
        <f t="shared" ref="S18" si="68">R18/100000</f>
        <v>-342.62398833754435</v>
      </c>
      <c r="T18">
        <f t="shared" ref="T18" si="69">S18/1000</f>
        <v>-0.34262398833754437</v>
      </c>
    </row>
    <row r="19" spans="1:20" x14ac:dyDescent="0.25">
      <c r="A19" s="5">
        <v>44574</v>
      </c>
      <c r="B19">
        <v>1.643</v>
      </c>
      <c r="C19">
        <v>1.65</v>
      </c>
      <c r="D19">
        <v>1.5429999999999999</v>
      </c>
      <c r="E19">
        <v>1.59</v>
      </c>
      <c r="F19">
        <v>631886.19999999995</v>
      </c>
      <c r="G19">
        <v>1.59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-0.12149532710280075</v>
      </c>
      <c r="Q19">
        <f t="shared" ref="Q19" si="71">F19*P19</f>
        <v>-76771.220560745773</v>
      </c>
      <c r="R19">
        <f t="shared" ref="R19" si="72">R20+Q19</f>
        <v>-34486412.120710954</v>
      </c>
      <c r="S19">
        <f t="shared" ref="S19" si="73">R19/100000</f>
        <v>-344.86412120710952</v>
      </c>
      <c r="T19">
        <f t="shared" ref="T19" si="74">S19/1000</f>
        <v>-0.34486412120710952</v>
      </c>
    </row>
    <row r="20" spans="1:20" x14ac:dyDescent="0.25">
      <c r="A20" s="5">
        <v>44573</v>
      </c>
      <c r="B20">
        <v>1.571</v>
      </c>
      <c r="C20">
        <v>1.7050000000000001</v>
      </c>
      <c r="D20">
        <v>1.5369999999999999</v>
      </c>
      <c r="E20">
        <v>1.6439999999999999</v>
      </c>
      <c r="F20">
        <v>1219127</v>
      </c>
      <c r="G20">
        <v>1.6439999999999999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0.2738095238095225</v>
      </c>
      <c r="Q20">
        <f t="shared" ref="Q20" si="76">F20*P20</f>
        <v>333808.58333333174</v>
      </c>
      <c r="R20">
        <f t="shared" ref="R20" si="77">R21+Q20</f>
        <v>-34409640.90015021</v>
      </c>
      <c r="S20">
        <f t="shared" ref="S20" si="78">R20/100000</f>
        <v>-344.09640900150208</v>
      </c>
      <c r="T20">
        <f t="shared" ref="T20" si="79">S20/1000</f>
        <v>-0.34409640900150207</v>
      </c>
    </row>
    <row r="21" spans="1:20" x14ac:dyDescent="0.25">
      <c r="A21" s="5">
        <v>44572</v>
      </c>
      <c r="B21">
        <v>1.482</v>
      </c>
      <c r="C21">
        <v>1.577</v>
      </c>
      <c r="D21">
        <v>1.47</v>
      </c>
      <c r="E21">
        <v>1.571</v>
      </c>
      <c r="F21">
        <v>497877.6</v>
      </c>
      <c r="G21">
        <v>1.571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0.8878504672897195</v>
      </c>
      <c r="Q21">
        <f t="shared" ref="Q21" si="81">F21*P21</f>
        <v>442040.85981308401</v>
      </c>
      <c r="R21">
        <f t="shared" ref="R21" si="82">R22+Q21</f>
        <v>-34743449.483483538</v>
      </c>
      <c r="S21">
        <f t="shared" ref="S21" si="83">R21/100000</f>
        <v>-347.43449483483539</v>
      </c>
      <c r="T21">
        <f t="shared" ref="T21" si="84">S21/1000</f>
        <v>-0.34743449483483541</v>
      </c>
    </row>
    <row r="22" spans="1:20" x14ac:dyDescent="0.25">
      <c r="A22" s="5">
        <v>44571</v>
      </c>
      <c r="B22">
        <v>1.4910000000000001</v>
      </c>
      <c r="C22">
        <v>1.546</v>
      </c>
      <c r="D22">
        <v>1.4159999999999999</v>
      </c>
      <c r="E22">
        <v>1.482</v>
      </c>
      <c r="F22">
        <v>753740</v>
      </c>
      <c r="G22">
        <v>1.482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1.5384615384615385E-2</v>
      </c>
      <c r="Q22">
        <f t="shared" ref="Q22" si="86">F22*P22</f>
        <v>11596</v>
      </c>
      <c r="R22">
        <f t="shared" ref="R22" si="87">R23+Q22</f>
        <v>-35185490.343296625</v>
      </c>
      <c r="S22">
        <f t="shared" ref="S22" si="88">R22/100000</f>
        <v>-351.85490343296624</v>
      </c>
      <c r="T22">
        <f t="shared" ref="T22" si="89">S22/1000</f>
        <v>-0.35185490343296622</v>
      </c>
    </row>
    <row r="23" spans="1:20" x14ac:dyDescent="0.25">
      <c r="A23" s="5">
        <v>44570</v>
      </c>
      <c r="B23">
        <v>1.488</v>
      </c>
      <c r="C23">
        <v>1.522</v>
      </c>
      <c r="D23">
        <v>1.4450000000000001</v>
      </c>
      <c r="E23">
        <v>1.492</v>
      </c>
      <c r="F23">
        <v>360346.4</v>
      </c>
      <c r="G23">
        <v>1.492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0.22077922077921966</v>
      </c>
      <c r="Q23">
        <f t="shared" ref="Q23" si="91">F23*P23</f>
        <v>79556.997402597</v>
      </c>
      <c r="R23">
        <f t="shared" ref="R23" si="92">R24+Q23</f>
        <v>-35197086.343296625</v>
      </c>
      <c r="S23">
        <f t="shared" ref="S23" si="93">R23/100000</f>
        <v>-351.97086343296627</v>
      </c>
      <c r="T23">
        <f t="shared" ref="T23" si="94">S23/1000</f>
        <v>-0.35197086343296624</v>
      </c>
    </row>
    <row r="24" spans="1:20" x14ac:dyDescent="0.25">
      <c r="A24" s="5">
        <v>44569</v>
      </c>
      <c r="B24">
        <v>1.508</v>
      </c>
      <c r="C24">
        <v>1.62</v>
      </c>
      <c r="D24">
        <v>1.43</v>
      </c>
      <c r="E24">
        <v>1.486</v>
      </c>
      <c r="F24">
        <v>668689.69999999995</v>
      </c>
      <c r="G24">
        <v>1.486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-0.41052631578947368</v>
      </c>
      <c r="Q24">
        <f t="shared" ref="Q24" si="96">F24*P24</f>
        <v>-274514.71894736838</v>
      </c>
      <c r="R24">
        <f t="shared" ref="R24" si="97">R25+Q24</f>
        <v>-35276643.340699218</v>
      </c>
      <c r="S24">
        <f t="shared" ref="S24" si="98">R24/100000</f>
        <v>-352.76643340699218</v>
      </c>
      <c r="T24">
        <f t="shared" ref="T24" si="99">S24/1000</f>
        <v>-0.35276643340699215</v>
      </c>
    </row>
    <row r="25" spans="1:20" x14ac:dyDescent="0.25">
      <c r="A25" s="5">
        <v>44568</v>
      </c>
      <c r="B25">
        <v>1.6870000000000001</v>
      </c>
      <c r="C25">
        <v>1.6879999999999999</v>
      </c>
      <c r="D25">
        <v>1.4910000000000001</v>
      </c>
      <c r="E25">
        <v>1.5069999999999999</v>
      </c>
      <c r="F25">
        <v>1037236.7</v>
      </c>
      <c r="G25">
        <v>1.5069999999999999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-0.8375634517766517</v>
      </c>
      <c r="Q25">
        <f t="shared" ref="Q25" si="101">F25*P25</f>
        <v>-868751.55076142331</v>
      </c>
      <c r="R25">
        <f t="shared" ref="R25" si="102">R26+Q25</f>
        <v>-35002128.621751852</v>
      </c>
      <c r="S25">
        <f t="shared" ref="S25" si="103">R25/100000</f>
        <v>-350.02128621751854</v>
      </c>
      <c r="T25">
        <f t="shared" ref="T25" si="104">S25/1000</f>
        <v>-0.35002128621751855</v>
      </c>
    </row>
    <row r="26" spans="1:20" x14ac:dyDescent="0.25">
      <c r="A26" s="5">
        <v>44567</v>
      </c>
      <c r="B26">
        <v>1.6739999999999999</v>
      </c>
      <c r="C26">
        <v>1.7090000000000001</v>
      </c>
      <c r="D26">
        <v>1.5880000000000001</v>
      </c>
      <c r="E26">
        <v>1.6870000000000001</v>
      </c>
      <c r="F26">
        <v>602953.9</v>
      </c>
      <c r="G26">
        <v>1.6870000000000001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0.63636363636363602</v>
      </c>
      <c r="Q26">
        <f t="shared" ref="Q26" si="106">F26*P26</f>
        <v>383697.93636363617</v>
      </c>
      <c r="R26">
        <f t="shared" ref="R26" si="107">R27+Q26</f>
        <v>-34133377.070990428</v>
      </c>
      <c r="S26">
        <f t="shared" ref="S26" si="108">R26/100000</f>
        <v>-341.33377070990429</v>
      </c>
      <c r="T26">
        <f t="shared" ref="T26" si="109">S26/1000</f>
        <v>-0.34133377070990428</v>
      </c>
    </row>
    <row r="27" spans="1:20" x14ac:dyDescent="0.25">
      <c r="A27" s="5">
        <v>44566</v>
      </c>
      <c r="B27">
        <v>1.8</v>
      </c>
      <c r="C27">
        <v>1.869</v>
      </c>
      <c r="D27">
        <v>1.619</v>
      </c>
      <c r="E27">
        <v>1.675</v>
      </c>
      <c r="F27">
        <v>1080843.18</v>
      </c>
      <c r="G27">
        <v>1.675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-0.5519999999999996</v>
      </c>
      <c r="Q27">
        <f t="shared" ref="Q27" si="111">F27*P27</f>
        <v>-596625.43535999954</v>
      </c>
      <c r="R27">
        <f t="shared" ref="R27" si="112">R28+Q27</f>
        <v>-34517075.007354066</v>
      </c>
      <c r="S27">
        <f t="shared" ref="S27" si="113">R27/100000</f>
        <v>-345.17075007354066</v>
      </c>
      <c r="T27">
        <f t="shared" ref="T27" si="114">S27/1000</f>
        <v>-0.34517075007354064</v>
      </c>
    </row>
    <row r="28" spans="1:20" x14ac:dyDescent="0.25">
      <c r="A28" s="5">
        <v>44565</v>
      </c>
      <c r="B28">
        <v>1.839</v>
      </c>
      <c r="C28">
        <v>1.859</v>
      </c>
      <c r="D28">
        <v>1.786</v>
      </c>
      <c r="E28">
        <v>1.798</v>
      </c>
      <c r="F28">
        <v>402085.3</v>
      </c>
      <c r="G28">
        <v>1.798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-0.67123287671232823</v>
      </c>
      <c r="Q28">
        <f t="shared" ref="Q28" si="116">F28*P28</f>
        <v>-269892.87260273949</v>
      </c>
      <c r="R28">
        <f t="shared" ref="R28" si="117">R29+Q28</f>
        <v>-33920449.571994066</v>
      </c>
      <c r="S28">
        <f t="shared" ref="S28" si="118">R28/100000</f>
        <v>-339.20449571994067</v>
      </c>
      <c r="T28">
        <f t="shared" ref="T28" si="119">S28/1000</f>
        <v>-0.33920449571994066</v>
      </c>
    </row>
    <row r="29" spans="1:20" x14ac:dyDescent="0.25">
      <c r="A29" s="5">
        <v>44564</v>
      </c>
      <c r="B29">
        <v>1.8520000000000001</v>
      </c>
      <c r="C29">
        <v>1.8839999999999999</v>
      </c>
      <c r="D29">
        <v>1.8089999999999999</v>
      </c>
      <c r="E29">
        <v>1.839</v>
      </c>
      <c r="F29">
        <v>403298.3</v>
      </c>
      <c r="G29">
        <v>1.839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-0.19999999999999882</v>
      </c>
      <c r="Q29">
        <f t="shared" ref="Q29" si="121">F29*P29</f>
        <v>-80659.659999999523</v>
      </c>
      <c r="R29">
        <f t="shared" ref="R29" si="122">R30+Q29</f>
        <v>-33650556.699391328</v>
      </c>
      <c r="S29">
        <f t="shared" ref="S29" si="123">R29/100000</f>
        <v>-336.50556699391331</v>
      </c>
      <c r="T29">
        <f t="shared" ref="T29" si="124">S29/1000</f>
        <v>-0.33650556699391332</v>
      </c>
    </row>
    <row r="30" spans="1:20" x14ac:dyDescent="0.25">
      <c r="A30" s="5">
        <v>44563</v>
      </c>
      <c r="B30">
        <v>1.8660000000000001</v>
      </c>
      <c r="C30">
        <v>1.9039999999999999</v>
      </c>
      <c r="D30">
        <v>1.849</v>
      </c>
      <c r="E30">
        <v>1.85</v>
      </c>
      <c r="F30">
        <v>324769.09999999998</v>
      </c>
      <c r="G30">
        <v>1.85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-0.96363636363635952</v>
      </c>
      <c r="Q30">
        <f t="shared" ref="Q30" si="126">F30*P30</f>
        <v>-312959.31454545318</v>
      </c>
      <c r="R30">
        <f t="shared" ref="R30" si="127">R31+Q30</f>
        <v>-33569897.039391331</v>
      </c>
      <c r="S30">
        <f t="shared" ref="S30" si="128">R30/100000</f>
        <v>-335.69897039391333</v>
      </c>
      <c r="T30">
        <f t="shared" ref="T30" si="129">S30/1000</f>
        <v>-0.33569897039391333</v>
      </c>
    </row>
    <row r="31" spans="1:20" x14ac:dyDescent="0.25">
      <c r="A31" s="5">
        <v>44562</v>
      </c>
      <c r="B31">
        <v>1.8540000000000001</v>
      </c>
      <c r="C31">
        <v>1.8779999999999999</v>
      </c>
      <c r="D31">
        <v>1.8220000000000001</v>
      </c>
      <c r="E31">
        <v>1.8680000000000001</v>
      </c>
      <c r="F31">
        <v>330900.5</v>
      </c>
      <c r="G31">
        <v>1.8680000000000001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0.64285714285714934</v>
      </c>
      <c r="Q31">
        <f t="shared" ref="Q31" si="131">F31*P31</f>
        <v>212721.75000000215</v>
      </c>
      <c r="R31">
        <f t="shared" ref="R31" si="132">R32+Q31</f>
        <v>-33256937.724845879</v>
      </c>
      <c r="S31">
        <f t="shared" ref="S31" si="133">R31/100000</f>
        <v>-332.56937724845881</v>
      </c>
      <c r="T31">
        <f t="shared" ref="T31" si="134">S31/1000</f>
        <v>-0.33256937724845881</v>
      </c>
    </row>
    <row r="32" spans="1:20" x14ac:dyDescent="0.25">
      <c r="A32" s="5">
        <v>44561</v>
      </c>
      <c r="B32">
        <v>1.835</v>
      </c>
      <c r="C32">
        <v>1.9</v>
      </c>
      <c r="D32">
        <v>1.8320000000000001</v>
      </c>
      <c r="E32">
        <v>1.85</v>
      </c>
      <c r="F32">
        <v>502660.5</v>
      </c>
      <c r="G32">
        <v>1.85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-0.47058823529411592</v>
      </c>
      <c r="Q32">
        <f t="shared" ref="Q32" si="136">F32*P32</f>
        <v>-236546.11764705795</v>
      </c>
      <c r="R32">
        <f t="shared" ref="R32" si="137">R33+Q32</f>
        <v>-33469659.474845883</v>
      </c>
      <c r="S32">
        <f t="shared" ref="S32" si="138">R32/100000</f>
        <v>-334.69659474845884</v>
      </c>
      <c r="T32">
        <f t="shared" ref="T32" si="139">S32/1000</f>
        <v>-0.33469659474845881</v>
      </c>
    </row>
    <row r="33" spans="1:20" x14ac:dyDescent="0.25">
      <c r="A33" s="5">
        <v>44560</v>
      </c>
      <c r="B33">
        <v>1.887</v>
      </c>
      <c r="C33">
        <v>1.8939999999999999</v>
      </c>
      <c r="D33">
        <v>1.8180000000000001</v>
      </c>
      <c r="E33">
        <v>1.835</v>
      </c>
      <c r="F33">
        <v>607757.9</v>
      </c>
      <c r="G33">
        <v>1.835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-0.55263157894737003</v>
      </c>
      <c r="Q33">
        <f t="shared" ref="Q33" si="141">F33*P33</f>
        <v>-335866.20789473783</v>
      </c>
      <c r="R33">
        <f t="shared" ref="R33" si="142">R34+Q33</f>
        <v>-33233113.357198823</v>
      </c>
      <c r="S33">
        <f t="shared" ref="S33" si="143">R33/100000</f>
        <v>-332.33113357198823</v>
      </c>
      <c r="T33">
        <f t="shared" ref="T33" si="144">S33/1000</f>
        <v>-0.33233113357198824</v>
      </c>
    </row>
    <row r="34" spans="1:20" x14ac:dyDescent="0.25">
      <c r="A34" s="5">
        <v>44559</v>
      </c>
      <c r="B34">
        <v>1.915</v>
      </c>
      <c r="C34">
        <v>2.25</v>
      </c>
      <c r="D34">
        <v>1.865</v>
      </c>
      <c r="E34">
        <v>1.881</v>
      </c>
      <c r="F34">
        <v>1964290</v>
      </c>
      <c r="G34">
        <v>1.881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-0.91688311688311686</v>
      </c>
      <c r="Q34">
        <f t="shared" ref="Q34" si="146">F34*P34</f>
        <v>-1801024.3376623376</v>
      </c>
      <c r="R34">
        <f t="shared" ref="R34" si="147">R35+Q34</f>
        <v>-32897247.149304084</v>
      </c>
      <c r="S34">
        <f t="shared" ref="S34" si="148">R34/100000</f>
        <v>-328.97247149304087</v>
      </c>
      <c r="T34">
        <f t="shared" ref="T34" si="149">S34/1000</f>
        <v>-0.32897247149304087</v>
      </c>
    </row>
    <row r="35" spans="1:20" x14ac:dyDescent="0.25">
      <c r="A35" s="5">
        <v>44558</v>
      </c>
      <c r="B35">
        <v>2.093</v>
      </c>
      <c r="C35">
        <v>2.093</v>
      </c>
      <c r="D35">
        <v>1.9</v>
      </c>
      <c r="E35">
        <v>1.915</v>
      </c>
      <c r="F35">
        <v>883389.2</v>
      </c>
      <c r="G35">
        <v>1.915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-0.84455958549222676</v>
      </c>
      <c r="Q35">
        <f t="shared" ref="Q35" si="151">F35*P35</f>
        <v>-746074.81658030977</v>
      </c>
      <c r="R35">
        <f t="shared" ref="R35" si="152">R36+Q35</f>
        <v>-31096222.811641745</v>
      </c>
      <c r="S35">
        <f t="shared" ref="S35" si="153">R35/100000</f>
        <v>-310.96222811641746</v>
      </c>
      <c r="T35">
        <f t="shared" ref="T35" si="154">S35/1000</f>
        <v>-0.31096222811641744</v>
      </c>
    </row>
    <row r="36" spans="1:20" x14ac:dyDescent="0.25">
      <c r="A36" s="5">
        <v>44557</v>
      </c>
      <c r="B36">
        <v>2.016</v>
      </c>
      <c r="C36">
        <v>2.13</v>
      </c>
      <c r="D36">
        <v>2.004</v>
      </c>
      <c r="E36">
        <v>2.0910000000000002</v>
      </c>
      <c r="F36">
        <v>586939.6</v>
      </c>
      <c r="G36">
        <v>2.0910000000000002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0.38095238095238515</v>
      </c>
      <c r="Q36">
        <f t="shared" ref="Q36" si="156">F36*P36</f>
        <v>223596.03809524054</v>
      </c>
      <c r="R36">
        <f t="shared" ref="R36" si="157">R37+Q36</f>
        <v>-30350147.995061435</v>
      </c>
      <c r="S36">
        <f t="shared" ref="S36" si="158">R36/100000</f>
        <v>-303.50147995061434</v>
      </c>
      <c r="T36">
        <f t="shared" ref="T36" si="159">S36/1000</f>
        <v>-0.30350147995061433</v>
      </c>
    </row>
    <row r="37" spans="1:20" x14ac:dyDescent="0.25">
      <c r="A37" s="5">
        <v>44556</v>
      </c>
      <c r="B37">
        <v>1.9590000000000001</v>
      </c>
      <c r="C37">
        <v>2.0699999999999998</v>
      </c>
      <c r="D37">
        <v>1.929</v>
      </c>
      <c r="E37">
        <v>2.016</v>
      </c>
      <c r="F37">
        <v>952671.7</v>
      </c>
      <c r="G37">
        <v>2.016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0.2340425531914907</v>
      </c>
      <c r="Q37">
        <f t="shared" ref="Q37" si="161">F37*P37</f>
        <v>222965.71702127787</v>
      </c>
      <c r="R37">
        <f t="shared" ref="R37" si="162">R38+Q37</f>
        <v>-30573744.033156674</v>
      </c>
      <c r="S37">
        <f t="shared" ref="S37" si="163">R37/100000</f>
        <v>-305.73744033156675</v>
      </c>
      <c r="T37">
        <f t="shared" ref="T37" si="164">S37/1000</f>
        <v>-0.30573744033156675</v>
      </c>
    </row>
    <row r="38" spans="1:20" x14ac:dyDescent="0.25">
      <c r="A38" s="5">
        <v>44555</v>
      </c>
      <c r="B38">
        <v>1.885</v>
      </c>
      <c r="C38">
        <v>1.99</v>
      </c>
      <c r="D38">
        <v>1.867</v>
      </c>
      <c r="E38">
        <v>1.958</v>
      </c>
      <c r="F38">
        <v>887800.6</v>
      </c>
      <c r="G38">
        <v>1.958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0.47967479674796704</v>
      </c>
      <c r="Q38">
        <f t="shared" ref="Q38" si="166">F38*P38</f>
        <v>425855.5723577232</v>
      </c>
      <c r="R38">
        <f t="shared" ref="R38" si="167">R39+Q38</f>
        <v>-30796709.750177953</v>
      </c>
      <c r="S38">
        <f t="shared" ref="S38" si="168">R38/100000</f>
        <v>-307.96709750177951</v>
      </c>
      <c r="T38">
        <f t="shared" ref="T38" si="169">S38/1000</f>
        <v>-0.30796709750177953</v>
      </c>
    </row>
    <row r="39" spans="1:20" x14ac:dyDescent="0.25">
      <c r="A39" s="5">
        <v>44554</v>
      </c>
      <c r="B39">
        <v>1.83</v>
      </c>
      <c r="C39">
        <v>1.9590000000000001</v>
      </c>
      <c r="D39">
        <v>1.819</v>
      </c>
      <c r="E39">
        <v>1.8859999999999999</v>
      </c>
      <c r="F39">
        <v>830007</v>
      </c>
      <c r="G39">
        <v>1.8859999999999999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-4.2857142857144447E-2</v>
      </c>
      <c r="Q39">
        <f t="shared" ref="Q39" si="171">F39*P39</f>
        <v>-35571.728571429892</v>
      </c>
      <c r="R39">
        <f t="shared" ref="R39" si="172">R40+Q39</f>
        <v>-31222565.322535675</v>
      </c>
      <c r="S39">
        <f t="shared" ref="S39" si="173">R39/100000</f>
        <v>-312.22565322535672</v>
      </c>
      <c r="T39">
        <f t="shared" ref="T39" si="174">S39/1000</f>
        <v>-0.31222565322535673</v>
      </c>
    </row>
    <row r="40" spans="1:20" x14ac:dyDescent="0.25">
      <c r="A40" s="5">
        <v>44553</v>
      </c>
      <c r="B40">
        <v>1.772</v>
      </c>
      <c r="C40">
        <v>1.8660000000000001</v>
      </c>
      <c r="D40">
        <v>1.7350000000000001</v>
      </c>
      <c r="E40">
        <v>1.833</v>
      </c>
      <c r="F40">
        <v>1014055.7</v>
      </c>
      <c r="G40">
        <v>1.833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0.49618320610686811</v>
      </c>
      <c r="Q40">
        <f t="shared" ref="Q40" si="176">F40*P40</f>
        <v>503157.4083969444</v>
      </c>
      <c r="R40">
        <f t="shared" ref="R40" si="177">R41+Q40</f>
        <v>-31186993.593964245</v>
      </c>
      <c r="S40">
        <f t="shared" ref="S40" si="178">R40/100000</f>
        <v>-311.86993593964246</v>
      </c>
      <c r="T40">
        <f t="shared" ref="T40" si="179">S40/1000</f>
        <v>-0.31186993593964246</v>
      </c>
    </row>
    <row r="41" spans="1:20" x14ac:dyDescent="0.25">
      <c r="A41" s="5">
        <v>44552</v>
      </c>
      <c r="B41">
        <v>1.738</v>
      </c>
      <c r="C41">
        <v>1.82</v>
      </c>
      <c r="D41">
        <v>1.7250000000000001</v>
      </c>
      <c r="E41">
        <v>1.77</v>
      </c>
      <c r="F41">
        <v>622260.30000000005</v>
      </c>
      <c r="G41">
        <v>1.77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-5.2631578947369653E-2</v>
      </c>
      <c r="Q41">
        <f t="shared" ref="Q41" si="181">F41*P41</f>
        <v>-32750.542105263929</v>
      </c>
      <c r="R41">
        <f t="shared" ref="R41" si="182">R42+Q41</f>
        <v>-31690151.00236119</v>
      </c>
      <c r="S41">
        <f t="shared" ref="S41" si="183">R41/100000</f>
        <v>-316.90151002361188</v>
      </c>
      <c r="T41">
        <f t="shared" ref="T41" si="184">S41/1000</f>
        <v>-0.31690151002361189</v>
      </c>
    </row>
    <row r="42" spans="1:20" x14ac:dyDescent="0.25">
      <c r="A42" s="5">
        <v>44551</v>
      </c>
      <c r="B42">
        <v>1.7</v>
      </c>
      <c r="C42">
        <v>1.7629999999999999</v>
      </c>
      <c r="D42">
        <v>1.6830000000000001</v>
      </c>
      <c r="E42">
        <v>1.7370000000000001</v>
      </c>
      <c r="F42">
        <v>1235564.2</v>
      </c>
      <c r="G42">
        <v>1.7370000000000001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0.35000000000000375</v>
      </c>
      <c r="Q42">
        <f t="shared" ref="Q42" si="186">F42*P42</f>
        <v>432447.47000000463</v>
      </c>
      <c r="R42">
        <f t="shared" ref="R42" si="187">R43+Q42</f>
        <v>-31657400.460255925</v>
      </c>
      <c r="S42">
        <f t="shared" ref="S42" si="188">R42/100000</f>
        <v>-316.57400460255923</v>
      </c>
      <c r="T42">
        <f t="shared" ref="T42" si="189">S42/1000</f>
        <v>-0.31657400460255924</v>
      </c>
    </row>
    <row r="43" spans="1:20" x14ac:dyDescent="0.25">
      <c r="A43" s="5">
        <v>44550</v>
      </c>
      <c r="B43">
        <v>1.7909999999999999</v>
      </c>
      <c r="C43">
        <v>1.796</v>
      </c>
      <c r="D43">
        <v>1.671</v>
      </c>
      <c r="E43">
        <v>1.7010000000000001</v>
      </c>
      <c r="F43">
        <v>666564.80000000005</v>
      </c>
      <c r="G43">
        <v>1.7010000000000001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-0.51999999999999957</v>
      </c>
      <c r="Q43">
        <f t="shared" ref="Q43" si="191">F43*P43</f>
        <v>-346613.69599999976</v>
      </c>
      <c r="R43">
        <f t="shared" ref="R43" si="192">R44+Q43</f>
        <v>-32089847.930255931</v>
      </c>
      <c r="S43">
        <f t="shared" ref="S43" si="193">R43/100000</f>
        <v>-320.89847930255928</v>
      </c>
      <c r="T43">
        <f t="shared" ref="T43" si="194">S43/1000</f>
        <v>-0.32089847930255927</v>
      </c>
    </row>
    <row r="44" spans="1:20" x14ac:dyDescent="0.25">
      <c r="A44" s="5">
        <v>44549</v>
      </c>
      <c r="B44">
        <v>1.768</v>
      </c>
      <c r="C44">
        <v>1.835</v>
      </c>
      <c r="D44">
        <v>1.7609999999999999</v>
      </c>
      <c r="E44">
        <v>1.7909999999999999</v>
      </c>
      <c r="F44">
        <v>383405</v>
      </c>
      <c r="G44">
        <v>1.7909999999999999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-0.1891891891891892</v>
      </c>
      <c r="Q44">
        <f t="shared" ref="Q44" si="196">F44*P44</f>
        <v>-72536.08108108108</v>
      </c>
      <c r="R44">
        <f t="shared" ref="R44" si="197">R45+Q44</f>
        <v>-31743234.234255932</v>
      </c>
      <c r="S44">
        <f t="shared" ref="S44" si="198">R44/100000</f>
        <v>-317.43234234255931</v>
      </c>
      <c r="T44">
        <f t="shared" ref="T44" si="199">S44/1000</f>
        <v>-0.31743234234255929</v>
      </c>
    </row>
    <row r="45" spans="1:20" x14ac:dyDescent="0.25">
      <c r="A45" s="5">
        <v>44548</v>
      </c>
      <c r="B45">
        <v>1.758</v>
      </c>
      <c r="C45">
        <v>1.798</v>
      </c>
      <c r="D45">
        <v>1.712</v>
      </c>
      <c r="E45">
        <v>1.768</v>
      </c>
      <c r="F45">
        <v>478441.1</v>
      </c>
      <c r="G45">
        <v>1.768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0.30232558139534882</v>
      </c>
      <c r="Q45">
        <f t="shared" ref="Q45" si="201">F45*P45</f>
        <v>144644.98372093021</v>
      </c>
      <c r="R45">
        <f t="shared" ref="R45" si="202">R46+Q45</f>
        <v>-31670698.153174851</v>
      </c>
      <c r="S45">
        <f t="shared" ref="S45" si="203">R45/100000</f>
        <v>-316.70698153174851</v>
      </c>
      <c r="T45">
        <f t="shared" ref="T45" si="204">S45/1000</f>
        <v>-0.31670698153174853</v>
      </c>
    </row>
    <row r="46" spans="1:20" x14ac:dyDescent="0.25">
      <c r="A46" s="5">
        <v>44547</v>
      </c>
      <c r="B46">
        <v>1.776</v>
      </c>
      <c r="C46">
        <v>2.0499999999999998</v>
      </c>
      <c r="D46">
        <v>1.7150000000000001</v>
      </c>
      <c r="E46">
        <v>1.7549999999999999</v>
      </c>
      <c r="F46">
        <v>2626217.7999999998</v>
      </c>
      <c r="G46">
        <v>1.7549999999999999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-0.76119402985074724</v>
      </c>
      <c r="Q46">
        <f t="shared" ref="Q46" si="206">F46*P46</f>
        <v>-1999061.3104477637</v>
      </c>
      <c r="R46">
        <f t="shared" ref="R46" si="207">R47+Q46</f>
        <v>-31815343.13689578</v>
      </c>
      <c r="S46">
        <f t="shared" ref="S46" si="208">R46/100000</f>
        <v>-318.1534313689578</v>
      </c>
      <c r="T46">
        <f t="shared" ref="T46" si="209">S46/1000</f>
        <v>-0.3181534313689578</v>
      </c>
    </row>
    <row r="47" spans="1:20" x14ac:dyDescent="0.25">
      <c r="A47" s="5">
        <v>44546</v>
      </c>
      <c r="B47">
        <v>1.7470000000000001</v>
      </c>
      <c r="C47">
        <v>1.8109999999999999</v>
      </c>
      <c r="D47">
        <v>1.7290000000000001</v>
      </c>
      <c r="E47">
        <v>1.7729999999999999</v>
      </c>
      <c r="F47">
        <v>861694.3</v>
      </c>
      <c r="G47">
        <v>1.7729999999999999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7.3170731707314557E-2</v>
      </c>
      <c r="Q47">
        <f t="shared" ref="Q47" si="211">F47*P47</f>
        <v>63050.802439022227</v>
      </c>
      <c r="R47">
        <f t="shared" ref="R47" si="212">R48+Q47</f>
        <v>-29816281.826448016</v>
      </c>
      <c r="S47">
        <f t="shared" ref="S47" si="213">R47/100000</f>
        <v>-298.16281826448017</v>
      </c>
      <c r="T47">
        <f t="shared" ref="T47" si="214">S47/1000</f>
        <v>-0.29816281826448016</v>
      </c>
    </row>
    <row r="48" spans="1:20" x14ac:dyDescent="0.25">
      <c r="A48" s="5">
        <v>44545</v>
      </c>
      <c r="B48">
        <v>1.7529999999999999</v>
      </c>
      <c r="C48">
        <v>1.8</v>
      </c>
      <c r="D48">
        <v>1.69</v>
      </c>
      <c r="E48">
        <v>1.7470000000000001</v>
      </c>
      <c r="F48">
        <v>899198.5</v>
      </c>
      <c r="G48">
        <v>1.7470000000000001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3.6363636363638381E-2</v>
      </c>
      <c r="Q48">
        <f t="shared" ref="Q48" si="216">F48*P48</f>
        <v>32698.127272729085</v>
      </c>
      <c r="R48">
        <f t="shared" ref="R48" si="217">R49+Q48</f>
        <v>-29879332.628887039</v>
      </c>
      <c r="S48">
        <f t="shared" ref="S48" si="218">R48/100000</f>
        <v>-298.79332628887039</v>
      </c>
      <c r="T48">
        <f t="shared" ref="T48" si="219">S48/1000</f>
        <v>-0.2987933262888704</v>
      </c>
    </row>
    <row r="49" spans="1:20" x14ac:dyDescent="0.25">
      <c r="A49" s="5">
        <v>44544</v>
      </c>
      <c r="B49">
        <v>1.754</v>
      </c>
      <c r="C49">
        <v>1.782</v>
      </c>
      <c r="D49">
        <v>1.694</v>
      </c>
      <c r="E49">
        <v>1.752</v>
      </c>
      <c r="F49">
        <v>1184101.2</v>
      </c>
      <c r="G49">
        <v>1.752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0.31818181818181818</v>
      </c>
      <c r="Q49">
        <f t="shared" ref="Q49" si="221">F49*P49</f>
        <v>376759.47272727272</v>
      </c>
      <c r="R49">
        <f t="shared" ref="R49" si="222">R50+Q49</f>
        <v>-29912030.756159768</v>
      </c>
      <c r="S49">
        <f t="shared" ref="S49" si="223">R49/100000</f>
        <v>-299.12030756159766</v>
      </c>
      <c r="T49">
        <f t="shared" ref="T49" si="224">S49/1000</f>
        <v>-0.29912030756159763</v>
      </c>
    </row>
    <row r="50" spans="1:20" x14ac:dyDescent="0.25">
      <c r="A50" s="5">
        <v>44543</v>
      </c>
      <c r="B50">
        <v>1.861</v>
      </c>
      <c r="C50">
        <v>2.25</v>
      </c>
      <c r="D50">
        <v>1.6439999999999999</v>
      </c>
      <c r="E50">
        <v>1.754</v>
      </c>
      <c r="F50">
        <v>7339802.7000000002</v>
      </c>
      <c r="G50">
        <v>1.754</v>
      </c>
      <c r="L50" t="s">
        <v>7</v>
      </c>
      <c r="M50" t="s">
        <v>8</v>
      </c>
      <c r="N50" t="s">
        <v>7</v>
      </c>
      <c r="P50">
        <f t="shared" ref="P50" si="225">IF(C50=D50,0,((E50-D50)-(C50-E50))/(C50-D50))</f>
        <v>-0.63696369636963668</v>
      </c>
      <c r="Q50">
        <f t="shared" ref="Q50" si="226">F50*P50</f>
        <v>-4675187.8584158393</v>
      </c>
      <c r="R50">
        <f t="shared" ref="R50" si="227">R51+Q50</f>
        <v>-30288790.22888704</v>
      </c>
      <c r="S50">
        <f t="shared" ref="S50" si="228">R50/100000</f>
        <v>-302.88790228887041</v>
      </c>
      <c r="T50">
        <f t="shared" ref="T50" si="229">S50/1000</f>
        <v>-0.30288790228887041</v>
      </c>
    </row>
    <row r="51" spans="1:20" x14ac:dyDescent="0.25">
      <c r="A51" s="5">
        <v>44542</v>
      </c>
      <c r="B51">
        <v>1.734</v>
      </c>
      <c r="C51">
        <v>2.012</v>
      </c>
      <c r="D51">
        <v>1.7050000000000001</v>
      </c>
      <c r="E51">
        <v>1.8620000000000001</v>
      </c>
      <c r="F51">
        <v>1806623.8</v>
      </c>
      <c r="G51">
        <v>1.8620000000000001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2.2801302931596476E-2</v>
      </c>
      <c r="Q51">
        <f t="shared" ref="Q51" si="231">F51*P51</f>
        <v>41193.376547231965</v>
      </c>
      <c r="R51">
        <f t="shared" ref="R51" si="232">R52+Q51</f>
        <v>-25613602.370471202</v>
      </c>
      <c r="S51">
        <f t="shared" ref="S51" si="233">R51/100000</f>
        <v>-256.13602370471204</v>
      </c>
      <c r="T51">
        <f t="shared" ref="T51" si="234">S51/1000</f>
        <v>-0.25613602370471206</v>
      </c>
    </row>
    <row r="52" spans="1:20" x14ac:dyDescent="0.25">
      <c r="A52" s="5">
        <v>44541</v>
      </c>
      <c r="B52">
        <v>1.7490000000000001</v>
      </c>
      <c r="C52">
        <v>1.7769999999999999</v>
      </c>
      <c r="D52">
        <v>1.7310000000000001</v>
      </c>
      <c r="E52">
        <v>1.7689999999999999</v>
      </c>
      <c r="F52">
        <v>21324.5</v>
      </c>
      <c r="G52">
        <v>1.7689999999999999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0.65217391304347661</v>
      </c>
      <c r="Q52">
        <f t="shared" ref="Q52" si="236">F52*P52</f>
        <v>13907.282608695617</v>
      </c>
      <c r="R52">
        <f t="shared" ref="R52" si="237">R53+Q52</f>
        <v>-25654795.747018434</v>
      </c>
      <c r="S52">
        <f t="shared" ref="S52" si="238">R52/100000</f>
        <v>-256.54795747018431</v>
      </c>
      <c r="T52">
        <f t="shared" ref="T52" si="239">S52/1000</f>
        <v>-0.25654795747018433</v>
      </c>
    </row>
    <row r="53" spans="1:20" x14ac:dyDescent="0.25">
      <c r="A53" s="5">
        <v>44540</v>
      </c>
      <c r="B53">
        <v>1.823</v>
      </c>
      <c r="C53">
        <v>1.883</v>
      </c>
      <c r="D53">
        <v>1.736</v>
      </c>
      <c r="E53">
        <v>1.746</v>
      </c>
      <c r="F53">
        <v>519311.4</v>
      </c>
      <c r="G53">
        <v>1.746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-0.86394557823129237</v>
      </c>
      <c r="Q53">
        <f t="shared" ref="Q53" si="241">F53*P53</f>
        <v>-448656.78775510198</v>
      </c>
      <c r="R53">
        <f t="shared" ref="R53" si="242">R54+Q53</f>
        <v>-25668703.029627129</v>
      </c>
      <c r="S53">
        <f t="shared" ref="S53" si="243">R53/100000</f>
        <v>-256.6870302962713</v>
      </c>
      <c r="T53">
        <f t="shared" ref="T53" si="244">S53/1000</f>
        <v>-0.25668703029627132</v>
      </c>
    </row>
    <row r="54" spans="1:20" x14ac:dyDescent="0.25">
      <c r="A54" s="5">
        <v>44539</v>
      </c>
      <c r="B54">
        <v>2.0699999999999998</v>
      </c>
      <c r="C54">
        <v>2.0990000000000002</v>
      </c>
      <c r="D54">
        <v>1.82</v>
      </c>
      <c r="E54">
        <v>1.825</v>
      </c>
      <c r="F54">
        <v>1387441.8</v>
      </c>
      <c r="G54">
        <v>1.825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-0.96415770609319074</v>
      </c>
      <c r="Q54">
        <f t="shared" ref="Q54" si="246">F54*P54</f>
        <v>-1337712.7032258075</v>
      </c>
      <c r="R54">
        <f t="shared" ref="R54" si="247">R55+Q54</f>
        <v>-25220046.241872028</v>
      </c>
      <c r="S54">
        <f t="shared" ref="S54" si="248">R54/100000</f>
        <v>-252.20046241872026</v>
      </c>
      <c r="T54">
        <f t="shared" ref="T54" si="249">S54/1000</f>
        <v>-0.25220046241872024</v>
      </c>
    </row>
    <row r="55" spans="1:20" x14ac:dyDescent="0.25">
      <c r="A55" s="5">
        <v>44538</v>
      </c>
      <c r="B55">
        <v>1.83</v>
      </c>
      <c r="C55">
        <v>2.2269999999999999</v>
      </c>
      <c r="D55">
        <v>1.774</v>
      </c>
      <c r="E55">
        <v>2.073</v>
      </c>
      <c r="F55">
        <v>3361635.6</v>
      </c>
      <c r="G55">
        <v>2.073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0.32008830022075069</v>
      </c>
      <c r="Q55">
        <f t="shared" ref="Q55" si="251">F55*P55</f>
        <v>1076020.2251655634</v>
      </c>
      <c r="R55">
        <f t="shared" ref="R55" si="252">R56+Q55</f>
        <v>-23882333.538646221</v>
      </c>
      <c r="S55">
        <f t="shared" ref="S55" si="253">R55/100000</f>
        <v>-238.82333538646222</v>
      </c>
      <c r="T55">
        <f t="shared" ref="T55" si="254">S55/1000</f>
        <v>-0.23882333538646222</v>
      </c>
    </row>
    <row r="56" spans="1:20" x14ac:dyDescent="0.25">
      <c r="A56" s="5">
        <v>44537</v>
      </c>
      <c r="B56">
        <v>1.8720000000000001</v>
      </c>
      <c r="C56">
        <v>2.0259999999999998</v>
      </c>
      <c r="D56">
        <v>1.7769999999999999</v>
      </c>
      <c r="E56">
        <v>1.833</v>
      </c>
      <c r="F56">
        <v>1276073.2</v>
      </c>
      <c r="G56">
        <v>1.833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-0.55020080321285081</v>
      </c>
      <c r="Q56">
        <f t="shared" ref="Q56" si="256">F56*P56</f>
        <v>-702096.49959839275</v>
      </c>
      <c r="R56">
        <f t="shared" ref="R56" si="257">R57+Q56</f>
        <v>-24958353.763811786</v>
      </c>
      <c r="S56">
        <f t="shared" ref="S56" si="258">R56/100000</f>
        <v>-249.58353763811786</v>
      </c>
      <c r="T56">
        <f t="shared" ref="T56" si="259">S56/1000</f>
        <v>-0.24958353763811786</v>
      </c>
    </row>
    <row r="57" spans="1:20" x14ac:dyDescent="0.25">
      <c r="A57" s="5">
        <v>44536</v>
      </c>
      <c r="B57">
        <v>1.9370000000000001</v>
      </c>
      <c r="C57">
        <v>1.948</v>
      </c>
      <c r="D57">
        <v>1.679</v>
      </c>
      <c r="E57">
        <v>1.8720000000000001</v>
      </c>
      <c r="F57">
        <v>1873333.9</v>
      </c>
      <c r="G57">
        <v>1.8720000000000001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0.43494423791821657</v>
      </c>
      <c r="Q57">
        <f t="shared" ref="Q57" si="261">F57*P57</f>
        <v>814795.78550186043</v>
      </c>
      <c r="R57">
        <f t="shared" ref="R57" si="262">R58+Q57</f>
        <v>-24256257.264213394</v>
      </c>
      <c r="S57">
        <f t="shared" ref="S57" si="263">R57/100000</f>
        <v>-242.56257264213394</v>
      </c>
      <c r="T57">
        <f t="shared" ref="T57" si="264">S57/1000</f>
        <v>-0.24256257264213393</v>
      </c>
    </row>
    <row r="58" spans="1:20" x14ac:dyDescent="0.25">
      <c r="A58" s="5">
        <v>44535</v>
      </c>
      <c r="B58">
        <v>1.9059999999999999</v>
      </c>
      <c r="C58">
        <v>2.3149999999999999</v>
      </c>
      <c r="D58">
        <v>1.8660000000000001</v>
      </c>
      <c r="E58">
        <v>1.9370000000000001</v>
      </c>
      <c r="F58">
        <v>3769733.4</v>
      </c>
      <c r="G58">
        <v>1.9370000000000001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-0.6837416481069043</v>
      </c>
      <c r="Q58">
        <f t="shared" ref="Q58" si="266">F58*P58</f>
        <v>-2577523.7278396441</v>
      </c>
      <c r="R58">
        <f t="shared" ref="R58" si="267">R59+Q58</f>
        <v>-25071053.049715254</v>
      </c>
      <c r="S58">
        <f t="shared" ref="S58" si="268">R58/100000</f>
        <v>-250.71053049715255</v>
      </c>
      <c r="T58">
        <f t="shared" ref="T58" si="269">S58/1000</f>
        <v>-0.25071053049715253</v>
      </c>
    </row>
    <row r="59" spans="1:20" x14ac:dyDescent="0.25">
      <c r="A59" s="5">
        <v>44534</v>
      </c>
      <c r="B59">
        <v>2.238</v>
      </c>
      <c r="C59">
        <v>2.242</v>
      </c>
      <c r="D59">
        <v>1.796</v>
      </c>
      <c r="E59">
        <v>1.907</v>
      </c>
      <c r="F59">
        <v>1740875.73</v>
      </c>
      <c r="G59">
        <v>1.907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-0.50224215246636772</v>
      </c>
      <c r="Q59">
        <f t="shared" ref="Q59" si="271">F59*P59</f>
        <v>-874341.17381165922</v>
      </c>
      <c r="R59">
        <f t="shared" ref="R59" si="272">R60+Q59</f>
        <v>-22493529.321875609</v>
      </c>
      <c r="S59">
        <f t="shared" ref="S59" si="273">R59/100000</f>
        <v>-224.9352932187561</v>
      </c>
      <c r="T59">
        <f t="shared" ref="T59" si="274">S59/1000</f>
        <v>-0.2249352932187561</v>
      </c>
    </row>
    <row r="60" spans="1:20" x14ac:dyDescent="0.25">
      <c r="A60" s="5">
        <v>44533</v>
      </c>
      <c r="B60">
        <v>2.2599999999999998</v>
      </c>
      <c r="C60">
        <v>2.379</v>
      </c>
      <c r="D60">
        <v>2.1890000000000001</v>
      </c>
      <c r="E60">
        <v>2.242</v>
      </c>
      <c r="F60">
        <v>1596598.8</v>
      </c>
      <c r="G60">
        <v>2.242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-0.44210526315789528</v>
      </c>
      <c r="Q60">
        <f t="shared" ref="Q60" si="276">F60*P60</f>
        <v>-705864.73263157986</v>
      </c>
      <c r="R60">
        <f t="shared" ref="R60" si="277">R61+Q60</f>
        <v>-21619188.14806395</v>
      </c>
      <c r="S60">
        <f t="shared" ref="S60" si="278">R60/100000</f>
        <v>-216.19188148063949</v>
      </c>
      <c r="T60">
        <f t="shared" ref="T60" si="279">S60/1000</f>
        <v>-0.2161918814806395</v>
      </c>
    </row>
    <row r="61" spans="1:20" x14ac:dyDescent="0.25">
      <c r="A61" s="5">
        <v>44532</v>
      </c>
      <c r="B61">
        <v>2.3039999999999998</v>
      </c>
      <c r="C61">
        <v>2.3050000000000002</v>
      </c>
      <c r="D61">
        <v>2.1920000000000002</v>
      </c>
      <c r="E61">
        <v>2.2549999999999999</v>
      </c>
      <c r="F61">
        <v>944346.08</v>
      </c>
      <c r="G61">
        <v>2.2549999999999999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0.11504424778760582</v>
      </c>
      <c r="Q61">
        <f t="shared" ref="Q61" si="281">F61*P61</f>
        <v>108641.58442477422</v>
      </c>
      <c r="R61">
        <f t="shared" ref="R61" si="282">R62+Q61</f>
        <v>-20913323.415432371</v>
      </c>
      <c r="S61">
        <f t="shared" ref="S61" si="283">R61/100000</f>
        <v>-209.1332341543237</v>
      </c>
      <c r="T61">
        <f t="shared" ref="T61" si="284">S61/1000</f>
        <v>-0.20913323415432369</v>
      </c>
    </row>
    <row r="62" spans="1:20" x14ac:dyDescent="0.25">
      <c r="A62" s="5">
        <v>44531</v>
      </c>
      <c r="B62">
        <v>2.3639999999999999</v>
      </c>
      <c r="C62">
        <v>2.4249999999999998</v>
      </c>
      <c r="D62">
        <v>2.29</v>
      </c>
      <c r="E62">
        <v>2.3010000000000002</v>
      </c>
      <c r="F62">
        <v>1274982.1399999999</v>
      </c>
      <c r="G62">
        <v>2.3010000000000002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-0.83703703703703503</v>
      </c>
      <c r="Q62">
        <f t="shared" ref="Q62" si="286">F62*P62</f>
        <v>-1067207.272740738</v>
      </c>
      <c r="R62">
        <f t="shared" ref="R62" si="287">R63+Q62</f>
        <v>-21021964.999857146</v>
      </c>
      <c r="S62">
        <f t="shared" ref="S62" si="288">R62/100000</f>
        <v>-210.21964999857147</v>
      </c>
      <c r="T62">
        <f t="shared" ref="T62" si="289">S62/1000</f>
        <v>-0.21021964999857146</v>
      </c>
    </row>
    <row r="63" spans="1:20" x14ac:dyDescent="0.25">
      <c r="A63" s="5">
        <v>44530</v>
      </c>
      <c r="B63">
        <v>2.5369999999999999</v>
      </c>
      <c r="C63">
        <v>2.569</v>
      </c>
      <c r="D63">
        <v>2.3180000000000001</v>
      </c>
      <c r="E63">
        <v>2.3650000000000002</v>
      </c>
      <c r="F63">
        <v>1413616.5</v>
      </c>
      <c r="G63">
        <v>2.3650000000000002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-0.62549800796812616</v>
      </c>
      <c r="Q63">
        <f t="shared" ref="Q63" si="291">F63*P63</f>
        <v>-884214.30478087463</v>
      </c>
      <c r="R63">
        <f t="shared" ref="R63" si="292">R64+Q63</f>
        <v>-19954757.72711641</v>
      </c>
      <c r="S63">
        <f t="shared" ref="S63" si="293">R63/100000</f>
        <v>-199.5475772711641</v>
      </c>
      <c r="T63">
        <f t="shared" ref="T63" si="294">S63/1000</f>
        <v>-0.19954757727116409</v>
      </c>
    </row>
    <row r="64" spans="1:20" x14ac:dyDescent="0.25">
      <c r="A64" s="5">
        <v>44529</v>
      </c>
      <c r="B64">
        <v>2.5710000000000002</v>
      </c>
      <c r="C64">
        <v>2.7</v>
      </c>
      <c r="D64">
        <v>2.48</v>
      </c>
      <c r="E64">
        <v>2.5339999999999998</v>
      </c>
      <c r="F64">
        <v>1014293.6</v>
      </c>
      <c r="G64">
        <v>2.5339999999999998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-0.50909090909091115</v>
      </c>
      <c r="Q64">
        <f t="shared" ref="Q64" si="296">F64*P64</f>
        <v>-516367.65090909298</v>
      </c>
      <c r="R64">
        <f t="shared" ref="R64" si="297">R65+Q64</f>
        <v>-19070543.422335535</v>
      </c>
      <c r="S64">
        <f t="shared" ref="S64" si="298">R64/100000</f>
        <v>-190.70543422335535</v>
      </c>
      <c r="T64">
        <f t="shared" ref="T64" si="299">S64/1000</f>
        <v>-0.19070543422335534</v>
      </c>
    </row>
    <row r="65" spans="1:20" x14ac:dyDescent="0.25">
      <c r="A65" s="5">
        <v>44528</v>
      </c>
      <c r="B65">
        <v>2.5049999999999999</v>
      </c>
      <c r="C65">
        <v>2.5880000000000001</v>
      </c>
      <c r="D65">
        <v>2.411</v>
      </c>
      <c r="E65">
        <v>2.5720000000000001</v>
      </c>
      <c r="F65">
        <v>557181.30000000005</v>
      </c>
      <c r="G65">
        <v>2.5720000000000001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0.81920903954802249</v>
      </c>
      <c r="Q65">
        <f t="shared" ref="Q65" si="301">F65*P65</f>
        <v>456447.95762711862</v>
      </c>
      <c r="R65">
        <f t="shared" ref="R65" si="302">R66+Q65</f>
        <v>-18554175.771426443</v>
      </c>
      <c r="S65">
        <f t="shared" ref="S65" si="303">R65/100000</f>
        <v>-185.54175771426443</v>
      </c>
      <c r="T65">
        <f t="shared" ref="T65" si="304">S65/1000</f>
        <v>-0.18554175771426443</v>
      </c>
    </row>
    <row r="66" spans="1:20" x14ac:dyDescent="0.25">
      <c r="A66" s="5">
        <v>44527</v>
      </c>
      <c r="B66">
        <v>2.4649999999999999</v>
      </c>
      <c r="C66">
        <v>2.6970000000000001</v>
      </c>
      <c r="D66">
        <v>2.4649999999999999</v>
      </c>
      <c r="E66">
        <v>2.5059999999999998</v>
      </c>
      <c r="F66">
        <v>1086687.3</v>
      </c>
      <c r="G66">
        <v>2.5059999999999998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-0.64655172413793194</v>
      </c>
      <c r="Q66">
        <f t="shared" ref="Q66" si="306">F66*P66</f>
        <v>-702599.54741379409</v>
      </c>
      <c r="R66">
        <f t="shared" ref="R66" si="307">R67+Q66</f>
        <v>-19010623.729053561</v>
      </c>
      <c r="S66">
        <f t="shared" ref="S66" si="308">R66/100000</f>
        <v>-190.1062372905356</v>
      </c>
      <c r="T66">
        <f t="shared" ref="T66" si="309">S66/1000</f>
        <v>-0.19010623729053561</v>
      </c>
    </row>
    <row r="67" spans="1:20" x14ac:dyDescent="0.25">
      <c r="A67" s="5">
        <v>44526</v>
      </c>
      <c r="B67">
        <v>2.7469999999999999</v>
      </c>
      <c r="C67">
        <v>2.7959999999999998</v>
      </c>
      <c r="D67">
        <v>2.44</v>
      </c>
      <c r="E67">
        <v>2.468</v>
      </c>
      <c r="F67">
        <v>960183.5</v>
      </c>
      <c r="G67">
        <v>2.468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-0.84269662921348298</v>
      </c>
      <c r="Q67">
        <f t="shared" ref="Q67" si="311">F67*P67</f>
        <v>-809143.39887640439</v>
      </c>
      <c r="R67">
        <f t="shared" ref="R67" si="312">R68+Q67</f>
        <v>-18308024.181639768</v>
      </c>
      <c r="S67">
        <f t="shared" ref="S67" si="313">R67/100000</f>
        <v>-183.08024181639769</v>
      </c>
      <c r="T67">
        <f t="shared" ref="T67" si="314">S67/1000</f>
        <v>-0.18308024181639768</v>
      </c>
    </row>
    <row r="68" spans="1:20" x14ac:dyDescent="0.25">
      <c r="A68" s="5">
        <v>44525</v>
      </c>
      <c r="B68">
        <v>2.633</v>
      </c>
      <c r="C68">
        <v>2.766</v>
      </c>
      <c r="D68">
        <v>2.6190000000000002</v>
      </c>
      <c r="E68">
        <v>2.7450000000000001</v>
      </c>
      <c r="F68">
        <v>656121.69999999995</v>
      </c>
      <c r="G68">
        <v>2.7450000000000001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0.71428571428571519</v>
      </c>
      <c r="Q68">
        <f t="shared" ref="Q68" si="316">F68*P68</f>
        <v>468658.35714285768</v>
      </c>
      <c r="R68">
        <f t="shared" ref="R68" si="317">R69+Q68</f>
        <v>-17498880.782763366</v>
      </c>
      <c r="S68">
        <f t="shared" ref="S68" si="318">R68/100000</f>
        <v>-174.98880782763365</v>
      </c>
      <c r="T68">
        <f t="shared" ref="T68" si="319">S68/1000</f>
        <v>-0.17498880782763365</v>
      </c>
    </row>
    <row r="69" spans="1:20" x14ac:dyDescent="0.25">
      <c r="A69" s="5">
        <v>44524</v>
      </c>
      <c r="B69">
        <v>2.7410000000000001</v>
      </c>
      <c r="C69">
        <v>2.7570000000000001</v>
      </c>
      <c r="D69">
        <v>2.6579999999999999</v>
      </c>
      <c r="E69">
        <v>2.6850000000000001</v>
      </c>
      <c r="F69">
        <v>170402.1</v>
      </c>
      <c r="G69">
        <v>2.6850000000000001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-0.45454545454545292</v>
      </c>
      <c r="Q69">
        <f t="shared" ref="Q69" si="321">F69*P69</f>
        <v>-77455.499999999724</v>
      </c>
      <c r="R69">
        <f t="shared" ref="R69" si="322">R70+Q69</f>
        <v>-17967539.139906224</v>
      </c>
      <c r="S69">
        <f t="shared" ref="S69" si="323">R69/100000</f>
        <v>-179.67539139906225</v>
      </c>
      <c r="T69">
        <f t="shared" ref="T69" si="324">S69/1000</f>
        <v>-0.17967539139906225</v>
      </c>
    </row>
    <row r="70" spans="1:20" x14ac:dyDescent="0.25">
      <c r="A70" s="5">
        <v>44523</v>
      </c>
      <c r="B70">
        <v>2.665</v>
      </c>
      <c r="C70">
        <v>2.8490000000000002</v>
      </c>
      <c r="D70">
        <v>2.6429999999999998</v>
      </c>
      <c r="E70">
        <v>2.7429999999999999</v>
      </c>
      <c r="F70">
        <v>1244357.2</v>
      </c>
      <c r="G70">
        <v>2.7429999999999999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-2.9126213592234055E-2</v>
      </c>
      <c r="Q70">
        <f t="shared" ref="Q70" si="326">F70*P70</f>
        <v>-36243.413592234312</v>
      </c>
      <c r="R70">
        <f t="shared" ref="R70" si="327">R71+Q70</f>
        <v>-17890083.639906224</v>
      </c>
      <c r="S70">
        <f t="shared" ref="S70" si="328">R70/100000</f>
        <v>-178.90083639906223</v>
      </c>
      <c r="T70">
        <f t="shared" ref="T70" si="329">S70/1000</f>
        <v>-0.17890083639906224</v>
      </c>
    </row>
    <row r="71" spans="1:20" x14ac:dyDescent="0.25">
      <c r="A71" s="5">
        <v>44522</v>
      </c>
      <c r="B71">
        <v>2.8239999999999998</v>
      </c>
      <c r="C71">
        <v>3</v>
      </c>
      <c r="D71">
        <v>2.617</v>
      </c>
      <c r="E71">
        <v>2.6629999999999998</v>
      </c>
      <c r="F71">
        <v>2525357.5</v>
      </c>
      <c r="G71">
        <v>2.6629999999999998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-0.75979112271540561</v>
      </c>
      <c r="Q71">
        <f t="shared" ref="Q71" si="331">F71*P71</f>
        <v>-1918744.2101827699</v>
      </c>
      <c r="R71">
        <f t="shared" ref="R71" si="332">R72+Q71</f>
        <v>-17853840.22631399</v>
      </c>
      <c r="S71">
        <f t="shared" ref="S71" si="333">R71/100000</f>
        <v>-178.53840226313989</v>
      </c>
      <c r="T71">
        <f t="shared" ref="T71" si="334">S71/1000</f>
        <v>-0.17853840226313988</v>
      </c>
    </row>
    <row r="72" spans="1:20" x14ac:dyDescent="0.25">
      <c r="A72" s="5">
        <v>44521</v>
      </c>
      <c r="B72">
        <v>2.65</v>
      </c>
      <c r="C72">
        <v>2.956</v>
      </c>
      <c r="D72">
        <v>2.6160000000000001</v>
      </c>
      <c r="E72">
        <v>2.8220000000000001</v>
      </c>
      <c r="F72">
        <v>2028452</v>
      </c>
      <c r="G72">
        <v>2.8220000000000001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0.21176470588235322</v>
      </c>
      <c r="Q72">
        <f t="shared" ref="Q72" si="336">F72*P72</f>
        <v>429554.54117647116</v>
      </c>
      <c r="R72">
        <f t="shared" ref="R72" si="337">R73+Q72</f>
        <v>-15935096.016131219</v>
      </c>
      <c r="S72">
        <f t="shared" ref="S72" si="338">R72/100000</f>
        <v>-159.35096016131217</v>
      </c>
      <c r="T72">
        <f t="shared" ref="T72" si="339">S72/1000</f>
        <v>-0.15935096016131217</v>
      </c>
    </row>
    <row r="73" spans="1:20" x14ac:dyDescent="0.25">
      <c r="A73" s="5">
        <v>44520</v>
      </c>
      <c r="B73">
        <v>2.5139999999999998</v>
      </c>
      <c r="C73">
        <v>2.6640000000000001</v>
      </c>
      <c r="D73">
        <v>2.476</v>
      </c>
      <c r="E73">
        <v>2.6520000000000001</v>
      </c>
      <c r="F73">
        <v>1130430.7</v>
      </c>
      <c r="G73">
        <v>2.6520000000000001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0.87234042553191493</v>
      </c>
      <c r="Q73">
        <f t="shared" ref="Q73" si="341">F73*P73</f>
        <v>986120.3978723404</v>
      </c>
      <c r="R73">
        <f t="shared" ref="R73" si="342">R74+Q73</f>
        <v>-16364650.55730769</v>
      </c>
      <c r="S73">
        <f t="shared" ref="S73" si="343">R73/100000</f>
        <v>-163.64650557307689</v>
      </c>
      <c r="T73">
        <f t="shared" ref="T73" si="344">S73/1000</f>
        <v>-0.16364650557307689</v>
      </c>
    </row>
    <row r="74" spans="1:20" x14ac:dyDescent="0.25">
      <c r="A74" s="5">
        <v>44519</v>
      </c>
      <c r="B74">
        <v>2.3849999999999998</v>
      </c>
      <c r="C74">
        <v>2.5390000000000001</v>
      </c>
      <c r="D74">
        <v>2.339</v>
      </c>
      <c r="E74">
        <v>2.5129999999999999</v>
      </c>
      <c r="F74">
        <v>1395396.2</v>
      </c>
      <c r="G74">
        <v>2.5129999999999999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0.73999999999999777</v>
      </c>
      <c r="Q74">
        <f t="shared" ref="Q74" si="346">F74*P74</f>
        <v>1032593.1879999968</v>
      </c>
      <c r="R74">
        <f t="shared" ref="R74" si="347">R75+Q74</f>
        <v>-17350770.95518003</v>
      </c>
      <c r="S74">
        <f t="shared" ref="S74" si="348">R74/100000</f>
        <v>-173.5077095518003</v>
      </c>
      <c r="T74">
        <f t="shared" ref="T74" si="349">S74/1000</f>
        <v>-0.17350770955180031</v>
      </c>
    </row>
    <row r="75" spans="1:20" x14ac:dyDescent="0.25">
      <c r="A75" s="5">
        <v>44518</v>
      </c>
      <c r="B75">
        <v>2.7029999999999998</v>
      </c>
      <c r="C75">
        <v>2.726</v>
      </c>
      <c r="D75">
        <v>2.36</v>
      </c>
      <c r="E75">
        <v>2.3849999999999998</v>
      </c>
      <c r="F75">
        <v>1493966.3</v>
      </c>
      <c r="G75">
        <v>2.3849999999999998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-0.86338797814207702</v>
      </c>
      <c r="Q75">
        <f t="shared" ref="Q75" si="351">F75*P75</f>
        <v>-1289872.5431693997</v>
      </c>
      <c r="R75">
        <f t="shared" ref="R75" si="352">R76+Q75</f>
        <v>-18383364.143180028</v>
      </c>
      <c r="S75">
        <f t="shared" ref="S75" si="353">R75/100000</f>
        <v>-183.83364143180029</v>
      </c>
      <c r="T75">
        <f t="shared" ref="T75" si="354">S75/1000</f>
        <v>-0.18383364143180028</v>
      </c>
    </row>
    <row r="76" spans="1:20" x14ac:dyDescent="0.25">
      <c r="A76" s="5">
        <v>44517</v>
      </c>
      <c r="B76">
        <v>2.6389999999999998</v>
      </c>
      <c r="C76">
        <v>2.7090000000000001</v>
      </c>
      <c r="D76">
        <v>2.5430000000000001</v>
      </c>
      <c r="E76">
        <v>2.7029999999999998</v>
      </c>
      <c r="F76">
        <v>800527.77</v>
      </c>
      <c r="G76">
        <v>2.7029999999999998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0.92771084337349119</v>
      </c>
      <c r="Q76">
        <f t="shared" ref="Q76" si="356">F76*P76</f>
        <v>742658.2926506002</v>
      </c>
      <c r="R76">
        <f t="shared" ref="R76" si="357">R77+Q76</f>
        <v>-17093491.60001063</v>
      </c>
      <c r="S76">
        <f t="shared" ref="S76" si="358">R76/100000</f>
        <v>-170.93491600010628</v>
      </c>
      <c r="T76">
        <f t="shared" ref="T76" si="359">S76/1000</f>
        <v>-0.1709349160001063</v>
      </c>
    </row>
    <row r="77" spans="1:20" x14ac:dyDescent="0.25">
      <c r="A77" s="5">
        <v>44516</v>
      </c>
      <c r="B77">
        <v>2.8279999999999998</v>
      </c>
      <c r="C77">
        <v>2.8319999999999999</v>
      </c>
      <c r="D77">
        <v>2.61</v>
      </c>
      <c r="E77">
        <v>2.641</v>
      </c>
      <c r="F77">
        <v>1538453.5</v>
      </c>
      <c r="G77">
        <v>2.641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-0.72072072072071947</v>
      </c>
      <c r="Q77">
        <f t="shared" ref="Q77" si="361">F77*P77</f>
        <v>-1108795.3153153134</v>
      </c>
      <c r="R77">
        <f t="shared" ref="R77" si="362">R78+Q77</f>
        <v>-17836149.892661229</v>
      </c>
      <c r="S77">
        <f t="shared" ref="S77" si="363">R77/100000</f>
        <v>-178.36149892661228</v>
      </c>
      <c r="T77">
        <f t="shared" ref="T77" si="364">S77/1000</f>
        <v>-0.17836149892661229</v>
      </c>
    </row>
    <row r="78" spans="1:20" x14ac:dyDescent="0.25">
      <c r="A78" s="5">
        <v>44515</v>
      </c>
      <c r="B78">
        <v>3.07</v>
      </c>
      <c r="C78">
        <v>3.1</v>
      </c>
      <c r="D78">
        <v>2.8029999999999999</v>
      </c>
      <c r="E78">
        <v>2.83</v>
      </c>
      <c r="F78">
        <v>1381238.6</v>
      </c>
      <c r="G78">
        <v>2.83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-0.81818181818181734</v>
      </c>
      <c r="Q78">
        <f t="shared" ref="Q78" si="366">F78*P78</f>
        <v>-1130104.3090909079</v>
      </c>
      <c r="R78">
        <f t="shared" ref="R78" si="367">R79+Q78</f>
        <v>-16727354.577345915</v>
      </c>
      <c r="S78">
        <f t="shared" ref="S78" si="368">R78/100000</f>
        <v>-167.27354577345915</v>
      </c>
      <c r="T78">
        <f t="shared" ref="T78" si="369">S78/1000</f>
        <v>-0.16727354577345915</v>
      </c>
    </row>
    <row r="79" spans="1:20" x14ac:dyDescent="0.25">
      <c r="A79" s="5">
        <v>44514</v>
      </c>
      <c r="B79">
        <v>2.8679999999999999</v>
      </c>
      <c r="C79">
        <v>3.18</v>
      </c>
      <c r="D79">
        <v>2.863</v>
      </c>
      <c r="E79">
        <v>3.0659999999999998</v>
      </c>
      <c r="F79">
        <v>2838996.1</v>
      </c>
      <c r="G79">
        <v>3.0659999999999998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0.28075709779179647</v>
      </c>
      <c r="Q79">
        <f t="shared" ref="Q79" si="371">F79*P79</f>
        <v>797068.30567822885</v>
      </c>
      <c r="R79">
        <f t="shared" ref="R79" si="372">R80+Q79</f>
        <v>-15597250.268255007</v>
      </c>
      <c r="S79">
        <f t="shared" ref="S79" si="373">R79/100000</f>
        <v>-155.97250268255007</v>
      </c>
      <c r="T79">
        <f t="shared" ref="T79" si="374">S79/1000</f>
        <v>-0.15597250268255008</v>
      </c>
    </row>
    <row r="80" spans="1:20" x14ac:dyDescent="0.25">
      <c r="A80" s="5">
        <v>44513</v>
      </c>
      <c r="B80">
        <v>2.7509999999999999</v>
      </c>
      <c r="C80">
        <v>3.024</v>
      </c>
      <c r="D80">
        <v>2.7389999999999999</v>
      </c>
      <c r="E80">
        <v>2.8730000000000002</v>
      </c>
      <c r="F80">
        <v>1858608.4</v>
      </c>
      <c r="G80">
        <v>2.8730000000000002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-5.964912280701562E-2</v>
      </c>
      <c r="Q80">
        <f t="shared" ref="Q80" si="376">F80*P80</f>
        <v>-110864.3607017508</v>
      </c>
      <c r="R80">
        <f t="shared" ref="R80" si="377">R81+Q80</f>
        <v>-16394318.573933234</v>
      </c>
      <c r="S80">
        <f t="shared" ref="S80" si="378">R80/100000</f>
        <v>-163.94318573933234</v>
      </c>
      <c r="T80">
        <f t="shared" ref="T80" si="379">S80/1000</f>
        <v>-0.16394318573933234</v>
      </c>
    </row>
    <row r="81" spans="1:20" x14ac:dyDescent="0.25">
      <c r="A81" s="5">
        <v>44512</v>
      </c>
      <c r="B81">
        <v>2.8</v>
      </c>
      <c r="C81">
        <v>2.8839999999999999</v>
      </c>
      <c r="D81">
        <v>2.706</v>
      </c>
      <c r="E81">
        <v>2.7480000000000002</v>
      </c>
      <c r="F81">
        <v>1773714.3</v>
      </c>
      <c r="G81">
        <v>2.7480000000000002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-0.5280898876404464</v>
      </c>
      <c r="Q81">
        <f t="shared" ref="Q81" si="381">F81*P81</f>
        <v>-936680.58539325302</v>
      </c>
      <c r="R81">
        <f t="shared" ref="R81" si="382">R82+Q81</f>
        <v>-16283454.213231483</v>
      </c>
      <c r="S81">
        <f t="shared" ref="S81" si="383">R81/100000</f>
        <v>-162.83454213231482</v>
      </c>
      <c r="T81">
        <f t="shared" ref="T81" si="384">S81/1000</f>
        <v>-0.16283454213231482</v>
      </c>
    </row>
    <row r="82" spans="1:20" x14ac:dyDescent="0.25">
      <c r="A82" s="5">
        <v>44511</v>
      </c>
      <c r="B82">
        <v>2.782</v>
      </c>
      <c r="C82">
        <v>2.8479999999999999</v>
      </c>
      <c r="D82">
        <v>2.754</v>
      </c>
      <c r="E82">
        <v>2.8</v>
      </c>
      <c r="F82">
        <v>719355.3</v>
      </c>
      <c r="G82">
        <v>2.8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-2.1276595744683262E-2</v>
      </c>
      <c r="Q82">
        <f t="shared" ref="Q82" si="386">F82*P82</f>
        <v>-15305.431914895353</v>
      </c>
      <c r="R82">
        <f t="shared" ref="R82" si="387">R83+Q82</f>
        <v>-15346773.62783823</v>
      </c>
      <c r="S82">
        <f t="shared" ref="S82" si="388">R82/100000</f>
        <v>-153.46773627838229</v>
      </c>
      <c r="T82">
        <f t="shared" ref="T82" si="389">S82/1000</f>
        <v>-0.15346773627838228</v>
      </c>
    </row>
    <row r="83" spans="1:20" x14ac:dyDescent="0.25">
      <c r="A83" s="5">
        <v>44510</v>
      </c>
      <c r="B83">
        <v>2.8959999999999999</v>
      </c>
      <c r="C83">
        <v>3.0259999999999998</v>
      </c>
      <c r="D83">
        <v>2.7040000000000002</v>
      </c>
      <c r="E83">
        <v>2.7839999999999998</v>
      </c>
      <c r="F83">
        <v>1806181.1</v>
      </c>
      <c r="G83">
        <v>2.7839999999999998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-0.50310559006211353</v>
      </c>
      <c r="Q83">
        <f t="shared" ref="Q83" si="391">F83*P83</f>
        <v>-908699.80807453732</v>
      </c>
      <c r="R83">
        <f t="shared" ref="R83" si="392">R84+Q83</f>
        <v>-15331468.195923334</v>
      </c>
      <c r="S83">
        <f t="shared" ref="S83" si="393">R83/100000</f>
        <v>-153.31468195923333</v>
      </c>
      <c r="T83">
        <f t="shared" ref="T83" si="394">S83/1000</f>
        <v>-0.15331468195923331</v>
      </c>
    </row>
    <row r="84" spans="1:20" x14ac:dyDescent="0.25">
      <c r="A84" s="5">
        <v>44509</v>
      </c>
      <c r="B84">
        <v>2.9220000000000002</v>
      </c>
      <c r="C84">
        <v>3.028</v>
      </c>
      <c r="D84">
        <v>2.8</v>
      </c>
      <c r="E84">
        <v>2.8959999999999999</v>
      </c>
      <c r="F84">
        <v>1444747</v>
      </c>
      <c r="G84">
        <v>2.8959999999999999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-0.15789473684210525</v>
      </c>
      <c r="Q84">
        <f t="shared" ref="Q84" si="396">F84*P84</f>
        <v>-228117.94736842104</v>
      </c>
      <c r="R84">
        <f t="shared" ref="R84" si="397">R85+Q84</f>
        <v>-14422768.387848796</v>
      </c>
      <c r="S84">
        <f t="shared" ref="S84" si="398">R84/100000</f>
        <v>-144.22768387848797</v>
      </c>
      <c r="T84">
        <f t="shared" ref="T84" si="399">S84/1000</f>
        <v>-0.14422768387848797</v>
      </c>
    </row>
    <row r="85" spans="1:20" x14ac:dyDescent="0.25">
      <c r="A85" s="5">
        <v>44508</v>
      </c>
      <c r="B85">
        <v>2.8860000000000001</v>
      </c>
      <c r="C85">
        <v>2.9790000000000001</v>
      </c>
      <c r="D85">
        <v>2.8370000000000002</v>
      </c>
      <c r="E85">
        <v>2.9239999999999999</v>
      </c>
      <c r="F85">
        <v>1049504.2</v>
      </c>
      <c r="G85">
        <v>2.9239999999999999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0.22535211267605357</v>
      </c>
      <c r="Q85">
        <f t="shared" ref="Q85" si="401">F85*P85</f>
        <v>236507.98873239144</v>
      </c>
      <c r="R85">
        <f t="shared" ref="R85" si="402">R86+Q85</f>
        <v>-14194650.440480376</v>
      </c>
      <c r="S85">
        <f t="shared" ref="S85" si="403">R85/100000</f>
        <v>-141.94650440480376</v>
      </c>
      <c r="T85">
        <f t="shared" ref="T85" si="404">S85/1000</f>
        <v>-0.14194650440480377</v>
      </c>
    </row>
    <row r="86" spans="1:20" x14ac:dyDescent="0.25">
      <c r="A86" s="5">
        <v>44507</v>
      </c>
      <c r="B86">
        <v>2.8929999999999998</v>
      </c>
      <c r="C86">
        <v>2.95</v>
      </c>
      <c r="D86">
        <v>2.8</v>
      </c>
      <c r="E86">
        <v>2.8839999999999999</v>
      </c>
      <c r="F86">
        <v>778691.3</v>
      </c>
      <c r="G86">
        <v>2.8839999999999999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0.11999999999999834</v>
      </c>
      <c r="Q86">
        <f t="shared" ref="Q86" si="406">F86*P86</f>
        <v>93442.95599999871</v>
      </c>
      <c r="R86">
        <f t="shared" ref="R86" si="407">R87+Q86</f>
        <v>-14431158.429212768</v>
      </c>
      <c r="S86">
        <f t="shared" ref="S86" si="408">R86/100000</f>
        <v>-144.31158429212766</v>
      </c>
      <c r="T86">
        <f t="shared" ref="T86" si="409">S86/1000</f>
        <v>-0.14431158429212768</v>
      </c>
    </row>
    <row r="87" spans="1:20" x14ac:dyDescent="0.25">
      <c r="A87" s="5">
        <v>44506</v>
      </c>
      <c r="B87">
        <v>2.94</v>
      </c>
      <c r="C87">
        <v>2.9510000000000001</v>
      </c>
      <c r="D87">
        <v>2.83</v>
      </c>
      <c r="E87">
        <v>2.8929999999999998</v>
      </c>
      <c r="F87">
        <v>503989.2</v>
      </c>
      <c r="G87">
        <v>2.8929999999999998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4.1322314049582226E-2</v>
      </c>
      <c r="Q87">
        <f t="shared" ref="Q87" si="411">F87*P87</f>
        <v>20825.999999997708</v>
      </c>
      <c r="R87">
        <f t="shared" ref="R87" si="412">R88+Q87</f>
        <v>-14524601.385212766</v>
      </c>
      <c r="S87">
        <f t="shared" ref="S87" si="413">R87/100000</f>
        <v>-145.24601385212765</v>
      </c>
      <c r="T87">
        <f t="shared" ref="T87" si="414">S87/1000</f>
        <v>-0.14524601385212765</v>
      </c>
    </row>
    <row r="88" spans="1:20" x14ac:dyDescent="0.25">
      <c r="A88" s="5">
        <v>44505</v>
      </c>
      <c r="B88">
        <v>2.9359999999999999</v>
      </c>
      <c r="C88">
        <v>3.0939999999999999</v>
      </c>
      <c r="D88">
        <v>2.8919999999999999</v>
      </c>
      <c r="E88">
        <v>2.9390000000000001</v>
      </c>
      <c r="F88">
        <v>914740.3</v>
      </c>
      <c r="G88">
        <v>2.9390000000000001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-0.53465346534653302</v>
      </c>
      <c r="Q88">
        <f t="shared" ref="Q88" si="416">F88*P88</f>
        <v>-489069.07128712727</v>
      </c>
      <c r="R88">
        <f t="shared" ref="R88" si="417">R89+Q88</f>
        <v>-14545427.385212764</v>
      </c>
      <c r="S88">
        <f t="shared" ref="S88" si="418">R88/100000</f>
        <v>-145.45427385212764</v>
      </c>
      <c r="T88">
        <f t="shared" ref="T88" si="419">S88/1000</f>
        <v>-0.14545427385212764</v>
      </c>
    </row>
    <row r="89" spans="1:20" x14ac:dyDescent="0.25">
      <c r="A89" s="5">
        <v>44504</v>
      </c>
      <c r="B89">
        <v>3.028</v>
      </c>
      <c r="C89">
        <v>3.15</v>
      </c>
      <c r="D89">
        <v>2.8650000000000002</v>
      </c>
      <c r="E89">
        <v>2.9359999999999999</v>
      </c>
      <c r="F89">
        <v>1082600.8999999999</v>
      </c>
      <c r="G89">
        <v>2.9359999999999999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-0.50175438596491362</v>
      </c>
      <c r="Q89">
        <f t="shared" ref="Q89" si="421">F89*P89</f>
        <v>-543199.74982456281</v>
      </c>
      <c r="R89">
        <f t="shared" ref="R89" si="422">R90+Q89</f>
        <v>-14056358.313925637</v>
      </c>
      <c r="S89">
        <f t="shared" ref="S89" si="423">R89/100000</f>
        <v>-140.56358313925637</v>
      </c>
      <c r="T89">
        <f t="shared" ref="T89" si="424">S89/1000</f>
        <v>-0.14056358313925638</v>
      </c>
    </row>
    <row r="90" spans="1:20" x14ac:dyDescent="0.25">
      <c r="A90" s="5">
        <v>44503</v>
      </c>
      <c r="B90">
        <v>3.0590000000000002</v>
      </c>
      <c r="C90">
        <v>3.1</v>
      </c>
      <c r="D90">
        <v>2.8690000000000002</v>
      </c>
      <c r="E90">
        <v>3.032</v>
      </c>
      <c r="F90">
        <v>1350067.3</v>
      </c>
      <c r="G90">
        <v>3.032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0.41125541125541043</v>
      </c>
      <c r="Q90">
        <f t="shared" ref="Q90" si="426">F90*P90</f>
        <v>555222.48268398154</v>
      </c>
      <c r="R90">
        <f t="shared" ref="R90" si="427">R91+Q90</f>
        <v>-13513158.564101074</v>
      </c>
      <c r="S90">
        <f t="shared" ref="S90" si="428">R90/100000</f>
        <v>-135.13158564101073</v>
      </c>
      <c r="T90">
        <f t="shared" ref="T90" si="429">S90/1000</f>
        <v>-0.13513158564101074</v>
      </c>
    </row>
    <row r="91" spans="1:20" x14ac:dyDescent="0.25">
      <c r="A91" s="5">
        <v>44502</v>
      </c>
      <c r="B91">
        <v>2.8959999999999999</v>
      </c>
      <c r="C91">
        <v>3.0579999999999998</v>
      </c>
      <c r="D91">
        <v>2.8130000000000002</v>
      </c>
      <c r="E91">
        <v>3.056</v>
      </c>
      <c r="F91">
        <v>1641179.6</v>
      </c>
      <c r="G91">
        <v>3.056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0.9836734693877569</v>
      </c>
      <c r="Q91">
        <f t="shared" ref="Q91" si="431">F91*P91</f>
        <v>1614384.8310204111</v>
      </c>
      <c r="R91">
        <f t="shared" ref="R91" si="432">R92+Q91</f>
        <v>-14068381.046785055</v>
      </c>
      <c r="S91">
        <f t="shared" ref="S91" si="433">R91/100000</f>
        <v>-140.68381046785055</v>
      </c>
      <c r="T91">
        <f t="shared" ref="T91" si="434">S91/1000</f>
        <v>-0.14068381046785056</v>
      </c>
    </row>
    <row r="92" spans="1:20" x14ac:dyDescent="0.25">
      <c r="A92" s="5">
        <v>44501</v>
      </c>
      <c r="B92">
        <v>2.8050000000000002</v>
      </c>
      <c r="C92">
        <v>2.9750000000000001</v>
      </c>
      <c r="D92">
        <v>2.6150000000000002</v>
      </c>
      <c r="E92">
        <v>2.9</v>
      </c>
      <c r="F92">
        <v>2286952.2999999998</v>
      </c>
      <c r="G92">
        <v>2.9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0.58333333333333215</v>
      </c>
      <c r="Q92">
        <f t="shared" ref="Q92" si="436">F92*P92</f>
        <v>1334055.5083333305</v>
      </c>
      <c r="R92">
        <f t="shared" ref="R92" si="437">R93+Q92</f>
        <v>-15682765.877805466</v>
      </c>
      <c r="S92">
        <f t="shared" ref="S92" si="438">R92/100000</f>
        <v>-156.82765877805465</v>
      </c>
      <c r="T92">
        <f t="shared" ref="T92" si="439">S92/1000</f>
        <v>-0.15682765877805466</v>
      </c>
    </row>
    <row r="93" spans="1:20" x14ac:dyDescent="0.25">
      <c r="A93" s="5">
        <v>44500</v>
      </c>
      <c r="B93">
        <v>2.8039999999999998</v>
      </c>
      <c r="C93">
        <v>2.988</v>
      </c>
      <c r="D93">
        <v>2.7679999999999998</v>
      </c>
      <c r="E93">
        <v>2.8050000000000002</v>
      </c>
      <c r="F93">
        <v>1118594.3</v>
      </c>
      <c r="G93">
        <v>2.8050000000000002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-0.66363636363636058</v>
      </c>
      <c r="Q93">
        <f t="shared" ref="Q93" si="441">F93*P93</f>
        <v>-742339.85363636026</v>
      </c>
      <c r="R93">
        <f t="shared" ref="R93" si="442">R94+Q93</f>
        <v>-17016821.386138797</v>
      </c>
      <c r="S93">
        <f t="shared" ref="S93" si="443">R93/100000</f>
        <v>-170.16821386138795</v>
      </c>
      <c r="T93">
        <f t="shared" ref="T93" si="444">S93/1000</f>
        <v>-0.17016821386138795</v>
      </c>
    </row>
    <row r="94" spans="1:20" x14ac:dyDescent="0.25">
      <c r="A94" s="5">
        <v>44499</v>
      </c>
      <c r="B94">
        <v>2.77</v>
      </c>
      <c r="C94">
        <v>2.8380000000000001</v>
      </c>
      <c r="D94">
        <v>2.706</v>
      </c>
      <c r="E94">
        <v>2.8</v>
      </c>
      <c r="F94">
        <v>844795.9</v>
      </c>
      <c r="G94">
        <v>2.8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0.42424242424242087</v>
      </c>
      <c r="Q94">
        <f t="shared" ref="Q94" si="446">F94*P94</f>
        <v>358398.26060605777</v>
      </c>
      <c r="R94">
        <f t="shared" ref="R94" si="447">R95+Q94</f>
        <v>-16274481.532502435</v>
      </c>
      <c r="S94">
        <f t="shared" ref="S94" si="448">R94/100000</f>
        <v>-162.74481532502435</v>
      </c>
      <c r="T94">
        <f t="shared" ref="T94" si="449">S94/1000</f>
        <v>-0.16274481532502436</v>
      </c>
    </row>
    <row r="95" spans="1:20" x14ac:dyDescent="0.25">
      <c r="A95" s="5">
        <v>44498</v>
      </c>
      <c r="B95">
        <v>2.7639999999999998</v>
      </c>
      <c r="C95">
        <v>2.83</v>
      </c>
      <c r="D95">
        <v>2.7349999999999999</v>
      </c>
      <c r="E95">
        <v>2.7690000000000001</v>
      </c>
      <c r="F95">
        <v>730643.6</v>
      </c>
      <c r="G95">
        <v>2.7690000000000001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-0.28421052631578564</v>
      </c>
      <c r="Q95">
        <f t="shared" ref="Q95" si="451">F95*P95</f>
        <v>-207656.60210526036</v>
      </c>
      <c r="R95">
        <f t="shared" ref="R95" si="452">R96+Q95</f>
        <v>-16632879.793108493</v>
      </c>
      <c r="S95">
        <f t="shared" ref="S95" si="453">R95/100000</f>
        <v>-166.32879793108492</v>
      </c>
      <c r="T95">
        <f t="shared" ref="T95" si="454">S95/1000</f>
        <v>-0.16632879793108493</v>
      </c>
    </row>
    <row r="96" spans="1:20" x14ac:dyDescent="0.25">
      <c r="A96" s="5">
        <v>44497</v>
      </c>
      <c r="B96">
        <v>2.65</v>
      </c>
      <c r="C96">
        <v>2.8140000000000001</v>
      </c>
      <c r="D96">
        <v>2.62</v>
      </c>
      <c r="E96">
        <v>2.7639999999999998</v>
      </c>
      <c r="F96">
        <v>1101449.8</v>
      </c>
      <c r="G96">
        <v>2.7639999999999998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0.48453608247422392</v>
      </c>
      <c r="Q96">
        <f t="shared" ref="Q96" si="456">F96*P96</f>
        <v>533692.17113401741</v>
      </c>
      <c r="R96">
        <f t="shared" ref="R96" si="457">R97+Q96</f>
        <v>-16425223.191003233</v>
      </c>
      <c r="S96">
        <f t="shared" ref="S96" si="458">R96/100000</f>
        <v>-164.25223191003232</v>
      </c>
      <c r="T96">
        <f t="shared" ref="T96" si="459">S96/1000</f>
        <v>-0.16425223191003233</v>
      </c>
    </row>
    <row r="97" spans="1:20" x14ac:dyDescent="0.25">
      <c r="A97" s="5">
        <v>44496</v>
      </c>
      <c r="B97">
        <v>2.93</v>
      </c>
      <c r="C97">
        <v>2.9889999999999999</v>
      </c>
      <c r="D97">
        <v>2.617</v>
      </c>
      <c r="E97">
        <v>2.65</v>
      </c>
      <c r="F97">
        <v>1732121.7</v>
      </c>
      <c r="G97">
        <v>2.65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-0.8225806451612907</v>
      </c>
      <c r="Q97">
        <f t="shared" ref="Q97" si="461">F97*P97</f>
        <v>-1424809.7854838716</v>
      </c>
      <c r="R97">
        <f t="shared" ref="R97" si="462">R98+Q97</f>
        <v>-16958915.362137251</v>
      </c>
      <c r="S97">
        <f t="shared" ref="S97" si="463">R97/100000</f>
        <v>-169.5891536213725</v>
      </c>
      <c r="T97">
        <f t="shared" ref="T97" si="464">S97/1000</f>
        <v>-0.1695891536213725</v>
      </c>
    </row>
    <row r="98" spans="1:20" x14ac:dyDescent="0.25">
      <c r="A98" s="5">
        <v>44495</v>
      </c>
      <c r="B98">
        <v>2.984</v>
      </c>
      <c r="C98">
        <v>3.1480000000000001</v>
      </c>
      <c r="D98">
        <v>2.8679999999999999</v>
      </c>
      <c r="E98">
        <v>2.9289999999999998</v>
      </c>
      <c r="F98">
        <v>1903503.2</v>
      </c>
      <c r="G98">
        <v>2.9289999999999998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-0.56428571428571506</v>
      </c>
      <c r="Q98">
        <f t="shared" ref="Q98" si="466">F98*P98</f>
        <v>-1074119.6628571444</v>
      </c>
      <c r="R98">
        <f t="shared" ref="R98" si="467">R99+Q98</f>
        <v>-15534105.576653378</v>
      </c>
      <c r="S98">
        <f t="shared" ref="S98" si="468">R98/100000</f>
        <v>-155.34105576653377</v>
      </c>
      <c r="T98">
        <f t="shared" ref="T98" si="469">S98/1000</f>
        <v>-0.15534105576653376</v>
      </c>
    </row>
    <row r="99" spans="1:20" x14ac:dyDescent="0.25">
      <c r="A99" s="5">
        <v>44494</v>
      </c>
      <c r="B99">
        <v>2.9580000000000002</v>
      </c>
      <c r="C99">
        <v>3.0369999999999999</v>
      </c>
      <c r="D99">
        <v>2.95</v>
      </c>
      <c r="E99">
        <v>2.984</v>
      </c>
      <c r="F99">
        <v>821991</v>
      </c>
      <c r="G99">
        <v>2.984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-0.21839080459770327</v>
      </c>
      <c r="Q99">
        <f t="shared" ref="Q99" si="471">F99*P99</f>
        <v>-179515.2758620707</v>
      </c>
      <c r="R99">
        <f t="shared" ref="R99" si="472">R100+Q99</f>
        <v>-14459985.913796233</v>
      </c>
      <c r="S99">
        <f t="shared" ref="S99" si="473">R99/100000</f>
        <v>-144.59985913796234</v>
      </c>
      <c r="T99">
        <f t="shared" ref="T99" si="474">S99/1000</f>
        <v>-0.14459985913796233</v>
      </c>
    </row>
    <row r="100" spans="1:20" x14ac:dyDescent="0.25">
      <c r="A100" s="5">
        <v>44493</v>
      </c>
      <c r="B100">
        <v>3.081</v>
      </c>
      <c r="C100">
        <v>3.0950000000000002</v>
      </c>
      <c r="D100">
        <v>2.9060000000000001</v>
      </c>
      <c r="E100">
        <v>2.9609999999999999</v>
      </c>
      <c r="F100">
        <v>823302.5</v>
      </c>
      <c r="G100">
        <v>2.9609999999999999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-0.41798941798942119</v>
      </c>
      <c r="Q100">
        <f t="shared" ref="Q100" si="476">F100*P100</f>
        <v>-344131.73280423542</v>
      </c>
      <c r="R100">
        <f t="shared" ref="R100" si="477">R101+Q100</f>
        <v>-14280470.637934163</v>
      </c>
      <c r="S100">
        <f t="shared" ref="S100" si="478">R100/100000</f>
        <v>-142.80470637934164</v>
      </c>
      <c r="T100">
        <f t="shared" ref="T100" si="479">S100/1000</f>
        <v>-0.14280470637934164</v>
      </c>
    </row>
    <row r="101" spans="1:20" x14ac:dyDescent="0.25">
      <c r="A101" s="5">
        <v>44492</v>
      </c>
      <c r="B101">
        <v>3.09</v>
      </c>
      <c r="C101">
        <v>3.15</v>
      </c>
      <c r="D101">
        <v>3.0409999999999999</v>
      </c>
      <c r="E101">
        <v>3.081</v>
      </c>
      <c r="F101">
        <v>634722.1</v>
      </c>
      <c r="G101">
        <v>3.081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-0.26605504587155887</v>
      </c>
      <c r="Q101">
        <f t="shared" ref="Q101" si="481">F101*P101</f>
        <v>-168871.01743119216</v>
      </c>
      <c r="R101">
        <f t="shared" ref="R101" si="482">R102+Q101</f>
        <v>-13936338.905129928</v>
      </c>
      <c r="S101">
        <f t="shared" ref="S101" si="483">R101/100000</f>
        <v>-139.36338905129929</v>
      </c>
      <c r="T101">
        <f t="shared" ref="T101" si="484">S101/1000</f>
        <v>-0.1393633890512993</v>
      </c>
    </row>
    <row r="102" spans="1:20" x14ac:dyDescent="0.25">
      <c r="A102" s="5">
        <v>44491</v>
      </c>
      <c r="B102">
        <v>3.306</v>
      </c>
      <c r="C102">
        <v>3.4</v>
      </c>
      <c r="D102">
        <v>3.0579999999999998</v>
      </c>
      <c r="E102">
        <v>3.0880000000000001</v>
      </c>
      <c r="F102">
        <v>1357242.2</v>
      </c>
      <c r="G102">
        <v>3.0880000000000001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-0.8245614035087705</v>
      </c>
      <c r="Q102">
        <f t="shared" ref="Q102" si="486">F102*P102</f>
        <v>-1119129.5333333313</v>
      </c>
      <c r="R102">
        <f t="shared" ref="R102" si="487">R103+Q102</f>
        <v>-13767467.887698736</v>
      </c>
      <c r="S102">
        <f t="shared" ref="S102" si="488">R102/100000</f>
        <v>-137.67467887698737</v>
      </c>
      <c r="T102">
        <f t="shared" ref="T102" si="489">S102/1000</f>
        <v>-0.13767467887698737</v>
      </c>
    </row>
    <row r="103" spans="1:20" x14ac:dyDescent="0.25">
      <c r="A103" s="5">
        <v>44490</v>
      </c>
      <c r="B103">
        <v>3.1890000000000001</v>
      </c>
      <c r="C103">
        <v>3.3420000000000001</v>
      </c>
      <c r="D103">
        <v>3.032</v>
      </c>
      <c r="E103">
        <v>3.3050000000000002</v>
      </c>
      <c r="F103">
        <v>1810337.2</v>
      </c>
      <c r="G103">
        <v>3.3050000000000002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0.76129032258064566</v>
      </c>
      <c r="Q103">
        <f t="shared" ref="Q103" si="491">F103*P103</f>
        <v>1378192.1909677428</v>
      </c>
      <c r="R103">
        <f t="shared" ref="R103" si="492">R104+Q103</f>
        <v>-12648338.354365405</v>
      </c>
      <c r="S103">
        <f t="shared" ref="S103" si="493">R103/100000</f>
        <v>-126.48338354365404</v>
      </c>
      <c r="T103">
        <f t="shared" ref="T103" si="494">S103/1000</f>
        <v>-0.12648338354365404</v>
      </c>
    </row>
    <row r="104" spans="1:20" x14ac:dyDescent="0.25">
      <c r="A104" s="5">
        <v>44489</v>
      </c>
      <c r="B104">
        <v>3.1309999999999998</v>
      </c>
      <c r="C104">
        <v>3.2290000000000001</v>
      </c>
      <c r="D104">
        <v>3.0640000000000001</v>
      </c>
      <c r="E104">
        <v>3.19</v>
      </c>
      <c r="F104">
        <v>1088612.1000000001</v>
      </c>
      <c r="G104">
        <v>3.19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0.52727272727272556</v>
      </c>
      <c r="Q104">
        <f t="shared" ref="Q104" si="496">F104*P104</f>
        <v>573995.47090908908</v>
      </c>
      <c r="R104">
        <f t="shared" ref="R104" si="497">R105+Q104</f>
        <v>-14026530.545333147</v>
      </c>
      <c r="S104">
        <f t="shared" ref="S104" si="498">R104/100000</f>
        <v>-140.26530545333148</v>
      </c>
      <c r="T104">
        <f t="shared" ref="T104" si="499">S104/1000</f>
        <v>-0.14026530545333149</v>
      </c>
    </row>
    <row r="105" spans="1:20" x14ac:dyDescent="0.25">
      <c r="A105" s="5">
        <v>44488</v>
      </c>
      <c r="B105">
        <v>3.109</v>
      </c>
      <c r="C105">
        <v>3.2290000000000001</v>
      </c>
      <c r="D105">
        <v>2.91</v>
      </c>
      <c r="E105">
        <v>3.1259999999999999</v>
      </c>
      <c r="F105">
        <v>1659756.9</v>
      </c>
      <c r="G105">
        <v>3.1259999999999999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0.35423197492162872</v>
      </c>
      <c r="Q105">
        <f t="shared" ref="Q105" si="501">F105*P105</f>
        <v>587938.96457680024</v>
      </c>
      <c r="R105">
        <f t="shared" ref="R105" si="502">R106+Q105</f>
        <v>-14600526.016242236</v>
      </c>
      <c r="S105">
        <f t="shared" ref="S105" si="503">R105/100000</f>
        <v>-146.00526016242236</v>
      </c>
      <c r="T105">
        <f t="shared" ref="T105" si="504">S105/1000</f>
        <v>-0.14600526016242235</v>
      </c>
    </row>
    <row r="106" spans="1:20" x14ac:dyDescent="0.25">
      <c r="A106" s="5">
        <v>44487</v>
      </c>
      <c r="B106">
        <v>3.028</v>
      </c>
      <c r="C106">
        <v>3.3639999999999999</v>
      </c>
      <c r="D106">
        <v>2.9820000000000002</v>
      </c>
      <c r="E106">
        <v>3.1080000000000001</v>
      </c>
      <c r="F106">
        <v>3747865.5</v>
      </c>
      <c r="G106">
        <v>3.1080000000000001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-0.34031413612565448</v>
      </c>
      <c r="Q106">
        <f t="shared" ref="Q106" si="506">F106*P106</f>
        <v>-1275451.6099476442</v>
      </c>
      <c r="R106">
        <f t="shared" ref="R106" si="507">R107+Q106</f>
        <v>-15188464.980819035</v>
      </c>
      <c r="S106">
        <f t="shared" ref="S106" si="508">R106/100000</f>
        <v>-151.88464980819035</v>
      </c>
      <c r="T106">
        <f t="shared" ref="T106" si="509">S106/1000</f>
        <v>-0.15188464980819036</v>
      </c>
    </row>
    <row r="107" spans="1:20" x14ac:dyDescent="0.25">
      <c r="A107" s="5">
        <v>44486</v>
      </c>
      <c r="B107">
        <v>2.956</v>
      </c>
      <c r="C107">
        <v>3.633</v>
      </c>
      <c r="D107">
        <v>2.887</v>
      </c>
      <c r="E107">
        <v>3.0270000000000001</v>
      </c>
      <c r="F107">
        <v>4942270</v>
      </c>
      <c r="G107">
        <v>3.0270000000000001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-0.624664879356568</v>
      </c>
      <c r="Q107">
        <f t="shared" ref="Q107" si="511">F107*P107</f>
        <v>-3087262.4932975853</v>
      </c>
      <c r="R107">
        <f t="shared" ref="R107" si="512">R108+Q107</f>
        <v>-13913013.370871391</v>
      </c>
      <c r="S107">
        <f t="shared" ref="S107" si="513">R107/100000</f>
        <v>-139.13013370871391</v>
      </c>
      <c r="T107">
        <f t="shared" ref="T107" si="514">S107/1000</f>
        <v>-0.13913013370871391</v>
      </c>
    </row>
    <row r="108" spans="1:20" x14ac:dyDescent="0.25">
      <c r="A108" s="5">
        <v>44485</v>
      </c>
      <c r="B108">
        <v>2.9609999999999999</v>
      </c>
      <c r="C108">
        <v>3.081</v>
      </c>
      <c r="D108">
        <v>2.8889999999999998</v>
      </c>
      <c r="E108">
        <v>2.9569999999999999</v>
      </c>
      <c r="F108">
        <v>1061829.3</v>
      </c>
      <c r="G108">
        <v>2.9569999999999999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-0.29166666666666669</v>
      </c>
      <c r="Q108">
        <f t="shared" ref="Q108" si="516">F108*P108</f>
        <v>-309700.21250000002</v>
      </c>
      <c r="R108">
        <f t="shared" ref="R108" si="517">R109+Q108</f>
        <v>-10825750.877573807</v>
      </c>
      <c r="S108">
        <f t="shared" ref="S108" si="518">R108/100000</f>
        <v>-108.25750877573807</v>
      </c>
      <c r="T108">
        <f t="shared" ref="T108" si="519">S108/1000</f>
        <v>-0.10825750877573807</v>
      </c>
    </row>
    <row r="109" spans="1:20" x14ac:dyDescent="0.25">
      <c r="A109" s="5">
        <v>44484</v>
      </c>
      <c r="B109">
        <v>3.0960000000000001</v>
      </c>
      <c r="C109">
        <v>3.3719999999999999</v>
      </c>
      <c r="D109">
        <v>2.8839999999999999</v>
      </c>
      <c r="E109">
        <v>2.9609999999999999</v>
      </c>
      <c r="F109">
        <v>2703873.9</v>
      </c>
      <c r="G109">
        <v>2.9609999999999999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-0.68442622950819687</v>
      </c>
      <c r="Q109">
        <f t="shared" ref="Q109" si="521">F109*P109</f>
        <v>-1850602.2184426233</v>
      </c>
      <c r="R109">
        <f t="shared" ref="R109" si="522">R110+Q109</f>
        <v>-10516050.665073806</v>
      </c>
      <c r="S109">
        <f t="shared" ref="S109" si="523">R109/100000</f>
        <v>-105.16050665073807</v>
      </c>
      <c r="T109">
        <f t="shared" ref="T109" si="524">S109/1000</f>
        <v>-0.10516050665073808</v>
      </c>
    </row>
    <row r="110" spans="1:20" x14ac:dyDescent="0.25">
      <c r="A110" s="5">
        <v>44483</v>
      </c>
      <c r="B110">
        <v>2.7959999999999998</v>
      </c>
      <c r="C110">
        <v>3.6680000000000001</v>
      </c>
      <c r="D110">
        <v>2.7810000000000001</v>
      </c>
      <c r="E110">
        <v>3.0950000000000002</v>
      </c>
      <c r="F110">
        <v>5694132.0999999996</v>
      </c>
      <c r="G110">
        <v>3.0950000000000002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-0.29199549041713629</v>
      </c>
      <c r="Q110">
        <f t="shared" ref="Q110" si="526">F110*P110</f>
        <v>-1662660.8950394581</v>
      </c>
      <c r="R110">
        <f t="shared" ref="R110" si="527">R111+Q110</f>
        <v>-8665448.4466311838</v>
      </c>
      <c r="S110">
        <f t="shared" ref="S110" si="528">R110/100000</f>
        <v>-86.654484466311843</v>
      </c>
      <c r="T110">
        <f t="shared" ref="T110" si="529">S110/1000</f>
        <v>-8.665448446631184E-2</v>
      </c>
    </row>
    <row r="111" spans="1:20" x14ac:dyDescent="0.25">
      <c r="A111" s="5">
        <v>44482</v>
      </c>
      <c r="B111">
        <v>2.7810000000000001</v>
      </c>
      <c r="C111">
        <v>2.8530000000000002</v>
      </c>
      <c r="D111">
        <v>2.71</v>
      </c>
      <c r="E111">
        <v>2.794</v>
      </c>
      <c r="F111">
        <v>822911.6</v>
      </c>
      <c r="G111">
        <v>2.794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0.1748251748251739</v>
      </c>
      <c r="Q111">
        <f t="shared" ref="Q111" si="531">F111*P111</f>
        <v>143865.66433566358</v>
      </c>
      <c r="R111">
        <f t="shared" ref="R111" si="532">R112+Q111</f>
        <v>-7002787.551591726</v>
      </c>
      <c r="S111">
        <f t="shared" ref="S111" si="533">R111/100000</f>
        <v>-70.027875515917259</v>
      </c>
      <c r="T111">
        <f t="shared" ref="T111" si="534">S111/1000</f>
        <v>-7.0027875515917257E-2</v>
      </c>
    </row>
    <row r="112" spans="1:20" x14ac:dyDescent="0.25">
      <c r="A112" s="5">
        <v>44481</v>
      </c>
      <c r="B112">
        <v>2.9119999999999999</v>
      </c>
      <c r="C112">
        <v>2.9169999999999998</v>
      </c>
      <c r="D112">
        <v>2.6909999999999998</v>
      </c>
      <c r="E112">
        <v>2.7789999999999999</v>
      </c>
      <c r="F112">
        <v>1327944.3999999999</v>
      </c>
      <c r="G112">
        <v>2.7789999999999999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-0.22123893805309658</v>
      </c>
      <c r="Q112">
        <f t="shared" ref="Q112" si="536">F112*P112</f>
        <v>-293793.0088495565</v>
      </c>
      <c r="R112">
        <f t="shared" ref="R112" si="537">R113+Q112</f>
        <v>-7146653.2159273895</v>
      </c>
      <c r="S112">
        <f t="shared" ref="S112" si="538">R112/100000</f>
        <v>-71.466532159273896</v>
      </c>
      <c r="T112">
        <f t="shared" ref="T112" si="539">S112/1000</f>
        <v>-7.1466532159273899E-2</v>
      </c>
    </row>
    <row r="113" spans="1:20" x14ac:dyDescent="0.25">
      <c r="A113" s="5">
        <v>44480</v>
      </c>
      <c r="B113">
        <v>2.9940000000000002</v>
      </c>
      <c r="C113">
        <v>3.1230000000000002</v>
      </c>
      <c r="D113">
        <v>2.871</v>
      </c>
      <c r="E113">
        <v>2.9119999999999999</v>
      </c>
      <c r="F113">
        <v>694649.3</v>
      </c>
      <c r="G113">
        <v>2.9119999999999999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-0.67460317460317554</v>
      </c>
      <c r="Q113">
        <f t="shared" ref="Q113" si="541">F113*P113</f>
        <v>-468612.62301587372</v>
      </c>
      <c r="R113">
        <f t="shared" ref="R113" si="542">R114+Q113</f>
        <v>-6852860.2070778329</v>
      </c>
      <c r="S113">
        <f t="shared" ref="S113" si="543">R113/100000</f>
        <v>-68.528602070778334</v>
      </c>
      <c r="T113">
        <f t="shared" ref="T113" si="544">S113/1000</f>
        <v>-6.8528602070778336E-2</v>
      </c>
    </row>
    <row r="114" spans="1:20" x14ac:dyDescent="0.25">
      <c r="A114" s="5">
        <v>44479</v>
      </c>
      <c r="B114">
        <v>3.0249999999999999</v>
      </c>
      <c r="C114">
        <v>3.46</v>
      </c>
      <c r="D114">
        <v>2.9580000000000002</v>
      </c>
      <c r="E114">
        <v>2.9980000000000002</v>
      </c>
      <c r="F114">
        <v>2459944.7000000002</v>
      </c>
      <c r="G114">
        <v>2.9980000000000002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-0.840637450199203</v>
      </c>
      <c r="Q114">
        <f t="shared" ref="Q114" si="546">F114*P114</f>
        <v>-2067921.6402390434</v>
      </c>
      <c r="R114">
        <f t="shared" ref="R114" si="547">R115+Q114</f>
        <v>-6384247.5840619588</v>
      </c>
      <c r="S114">
        <f t="shared" ref="S114" si="548">R114/100000</f>
        <v>-63.842475840619585</v>
      </c>
      <c r="T114">
        <f t="shared" ref="T114" si="549">S114/1000</f>
        <v>-6.3842475840619584E-2</v>
      </c>
    </row>
    <row r="115" spans="1:20" x14ac:dyDescent="0.25">
      <c r="A115" s="5">
        <v>44478</v>
      </c>
      <c r="B115">
        <v>2.9489999999999998</v>
      </c>
      <c r="C115">
        <v>3.14</v>
      </c>
      <c r="D115">
        <v>2.93</v>
      </c>
      <c r="E115">
        <v>3.0219999999999998</v>
      </c>
      <c r="F115">
        <v>929528.3</v>
      </c>
      <c r="G115">
        <v>3.0219999999999998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-0.12380952380952712</v>
      </c>
      <c r="Q115">
        <f t="shared" ref="Q115" si="551">F115*P115</f>
        <v>-115084.45619047926</v>
      </c>
      <c r="R115">
        <f t="shared" ref="R115" si="552">R116+Q115</f>
        <v>-4316325.9438229157</v>
      </c>
      <c r="S115">
        <f t="shared" ref="S115" si="553">R115/100000</f>
        <v>-43.163259438229154</v>
      </c>
      <c r="T115">
        <f t="shared" ref="T115" si="554">S115/1000</f>
        <v>-4.3163259438229157E-2</v>
      </c>
    </row>
    <row r="116" spans="1:20" x14ac:dyDescent="0.25">
      <c r="A116" s="5">
        <v>44477</v>
      </c>
      <c r="B116">
        <v>2.95</v>
      </c>
      <c r="C116">
        <v>3.06</v>
      </c>
      <c r="D116">
        <v>2.9260000000000002</v>
      </c>
      <c r="E116">
        <v>2.9489999999999998</v>
      </c>
      <c r="F116">
        <v>885901.6</v>
      </c>
      <c r="G116">
        <v>2.9489999999999998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-0.65671641791045221</v>
      </c>
      <c r="Q116">
        <f t="shared" ref="Q116" si="556">F116*P116</f>
        <v>-581786.12537313823</v>
      </c>
      <c r="R116">
        <f t="shared" ref="R116" si="557">R117+Q116</f>
        <v>-4201241.4876324367</v>
      </c>
      <c r="S116">
        <f t="shared" ref="S116" si="558">R116/100000</f>
        <v>-42.012414876324364</v>
      </c>
      <c r="T116">
        <f t="shared" ref="T116" si="559">S116/1000</f>
        <v>-4.2012414876324365E-2</v>
      </c>
    </row>
    <row r="117" spans="1:20" x14ac:dyDescent="0.25">
      <c r="A117" s="5">
        <v>44476</v>
      </c>
      <c r="B117">
        <v>2.9809999999999999</v>
      </c>
      <c r="C117">
        <v>3.0990000000000002</v>
      </c>
      <c r="D117">
        <v>2.9</v>
      </c>
      <c r="E117">
        <v>2.9460000000000002</v>
      </c>
      <c r="F117">
        <v>921585.1</v>
      </c>
      <c r="G117">
        <v>2.9460000000000002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-0.53768844221105327</v>
      </c>
      <c r="Q117">
        <f t="shared" ref="Q117" si="561">F117*P117</f>
        <v>-495525.65678391774</v>
      </c>
      <c r="R117">
        <f t="shared" ref="R117" si="562">R118+Q117</f>
        <v>-3619455.3622592986</v>
      </c>
      <c r="S117">
        <f t="shared" ref="S117" si="563">R117/100000</f>
        <v>-36.194553622592984</v>
      </c>
      <c r="T117">
        <f t="shared" ref="T117" si="564">S117/1000</f>
        <v>-3.6194553622592981E-2</v>
      </c>
    </row>
    <row r="118" spans="1:20" x14ac:dyDescent="0.25">
      <c r="A118" s="5">
        <v>44475</v>
      </c>
      <c r="B118">
        <v>3.06</v>
      </c>
      <c r="C118">
        <v>3.0939999999999999</v>
      </c>
      <c r="D118">
        <v>2.8290000000000002</v>
      </c>
      <c r="E118">
        <v>2.9849999999999999</v>
      </c>
      <c r="F118">
        <v>1257939</v>
      </c>
      <c r="G118">
        <v>2.9849999999999999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0.17735849056603686</v>
      </c>
      <c r="Q118">
        <f t="shared" ref="Q118" si="566">F118*P118</f>
        <v>223106.16226414984</v>
      </c>
      <c r="R118">
        <f t="shared" ref="R118" si="567">R119+Q118</f>
        <v>-3123929.7054753806</v>
      </c>
      <c r="S118">
        <f t="shared" ref="S118" si="568">R118/100000</f>
        <v>-31.239297054753806</v>
      </c>
      <c r="T118">
        <f t="shared" ref="T118" si="569">S118/1000</f>
        <v>-3.1239297054753805E-2</v>
      </c>
    </row>
    <row r="119" spans="1:20" x14ac:dyDescent="0.25">
      <c r="A119" s="5">
        <v>44474</v>
      </c>
      <c r="B119">
        <v>3.0859999999999999</v>
      </c>
      <c r="C119">
        <v>3.1659999999999999</v>
      </c>
      <c r="D119">
        <v>3.0019999999999998</v>
      </c>
      <c r="E119">
        <v>3.056</v>
      </c>
      <c r="F119">
        <v>868808.2</v>
      </c>
      <c r="G119">
        <v>3.056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-0.34146341463414365</v>
      </c>
      <c r="Q119">
        <f t="shared" ref="Q119" si="571">F119*P119</f>
        <v>-296666.21463414398</v>
      </c>
      <c r="R119">
        <f t="shared" ref="R119" si="572">R120+Q119</f>
        <v>-3347035.8677395303</v>
      </c>
      <c r="S119">
        <f t="shared" ref="S119" si="573">R119/100000</f>
        <v>-33.470358677395303</v>
      </c>
      <c r="T119">
        <f t="shared" ref="T119" si="574">S119/1000</f>
        <v>-3.3470358677395305E-2</v>
      </c>
    </row>
    <row r="120" spans="1:20" x14ac:dyDescent="0.25">
      <c r="A120" s="5">
        <v>44473</v>
      </c>
      <c r="B120">
        <v>3.137</v>
      </c>
      <c r="C120">
        <v>3.1589999999999998</v>
      </c>
      <c r="D120">
        <v>2.9870000000000001</v>
      </c>
      <c r="E120">
        <v>3.09</v>
      </c>
      <c r="F120">
        <v>782758.9</v>
      </c>
      <c r="G120">
        <v>3.09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0.19767441860465038</v>
      </c>
      <c r="Q120">
        <f t="shared" ref="Q120" si="576">F120*P120</f>
        <v>154731.41046511568</v>
      </c>
      <c r="R120">
        <f t="shared" ref="R120" si="577">R121+Q120</f>
        <v>-3050369.6531053865</v>
      </c>
      <c r="S120">
        <f t="shared" ref="S120" si="578">R120/100000</f>
        <v>-30.503696531053865</v>
      </c>
      <c r="T120">
        <f t="shared" ref="T120" si="579">S120/1000</f>
        <v>-3.0503696531053864E-2</v>
      </c>
    </row>
    <row r="121" spans="1:20" x14ac:dyDescent="0.25">
      <c r="A121" s="5">
        <v>44472</v>
      </c>
      <c r="B121">
        <v>3.06</v>
      </c>
      <c r="C121">
        <v>3.214</v>
      </c>
      <c r="D121">
        <v>3.0009999999999999</v>
      </c>
      <c r="E121">
        <v>3.13</v>
      </c>
      <c r="F121">
        <v>699855.2</v>
      </c>
      <c r="G121">
        <v>3.13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0.2112676056338024</v>
      </c>
      <c r="Q121">
        <f t="shared" ref="Q121" si="581">F121*P121</f>
        <v>147856.73239436588</v>
      </c>
      <c r="R121">
        <f t="shared" ref="R121" si="582">R122+Q121</f>
        <v>-3205101.0635705022</v>
      </c>
      <c r="S121">
        <f t="shared" ref="S121" si="583">R121/100000</f>
        <v>-32.051010635705019</v>
      </c>
      <c r="T121">
        <f t="shared" ref="T121" si="584">S121/1000</f>
        <v>-3.2051010635705021E-2</v>
      </c>
    </row>
    <row r="122" spans="1:20" x14ac:dyDescent="0.25">
      <c r="A122" s="5">
        <v>44471</v>
      </c>
      <c r="B122">
        <v>3.0840000000000001</v>
      </c>
      <c r="C122">
        <v>3.19</v>
      </c>
      <c r="D122">
        <v>2.98</v>
      </c>
      <c r="E122">
        <v>3.0609999999999999</v>
      </c>
      <c r="F122">
        <v>917082.3</v>
      </c>
      <c r="G122">
        <v>3.0609999999999999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-0.22857142857142881</v>
      </c>
      <c r="Q122">
        <f t="shared" ref="Q122" si="586">F122*P122</f>
        <v>-209618.81142857167</v>
      </c>
      <c r="R122">
        <f t="shared" ref="R122" si="587">R123+Q122</f>
        <v>-3352957.7959648683</v>
      </c>
      <c r="S122">
        <f t="shared" ref="S122" si="588">R122/100000</f>
        <v>-33.529577959648684</v>
      </c>
      <c r="T122">
        <f t="shared" ref="T122" si="589">S122/1000</f>
        <v>-3.3529577959648685E-2</v>
      </c>
    </row>
    <row r="123" spans="1:20" x14ac:dyDescent="0.25">
      <c r="A123" s="5">
        <v>44470</v>
      </c>
      <c r="B123">
        <v>2.7309999999999999</v>
      </c>
      <c r="C123">
        <v>3.089</v>
      </c>
      <c r="D123">
        <v>2.6869999999999998</v>
      </c>
      <c r="E123">
        <v>3.085</v>
      </c>
      <c r="F123">
        <v>1393224.8</v>
      </c>
      <c r="G123">
        <v>3.085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0.98009950248756217</v>
      </c>
      <c r="Q123">
        <f t="shared" ref="Q123" si="591">F123*P123</f>
        <v>1365498.9333333333</v>
      </c>
      <c r="R123">
        <f t="shared" ref="R123" si="592">R124+Q123</f>
        <v>-3143338.9845362967</v>
      </c>
      <c r="S123">
        <f t="shared" ref="S123" si="593">R123/100000</f>
        <v>-31.433389845362967</v>
      </c>
      <c r="T123">
        <f t="shared" ref="T123" si="594">S123/1000</f>
        <v>-3.1433389845362966E-2</v>
      </c>
    </row>
    <row r="124" spans="1:20" x14ac:dyDescent="0.25">
      <c r="A124" s="5">
        <v>44469</v>
      </c>
      <c r="B124">
        <v>2.653</v>
      </c>
      <c r="C124">
        <v>2.79</v>
      </c>
      <c r="D124">
        <v>2.637</v>
      </c>
      <c r="E124">
        <v>2.7290000000000001</v>
      </c>
      <c r="F124">
        <v>794127.3</v>
      </c>
      <c r="G124">
        <v>2.7290000000000001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0.20261437908496818</v>
      </c>
      <c r="Q124">
        <f t="shared" ref="Q124" si="596">F124*P124</f>
        <v>160901.60980392227</v>
      </c>
      <c r="R124">
        <f t="shared" ref="R124" si="597">R125+Q124</f>
        <v>-4508837.9178696303</v>
      </c>
      <c r="S124">
        <f t="shared" ref="S124" si="598">R124/100000</f>
        <v>-45.0883791786963</v>
      </c>
      <c r="T124">
        <f t="shared" ref="T124" si="599">S124/1000</f>
        <v>-4.5088379178696299E-2</v>
      </c>
    </row>
    <row r="125" spans="1:20" x14ac:dyDescent="0.25">
      <c r="A125" s="5">
        <v>44468</v>
      </c>
      <c r="B125">
        <v>2.6419999999999999</v>
      </c>
      <c r="C125">
        <v>2.7629999999999999</v>
      </c>
      <c r="D125">
        <v>2.605</v>
      </c>
      <c r="E125">
        <v>2.6539999999999999</v>
      </c>
      <c r="F125">
        <v>839597.73</v>
      </c>
      <c r="G125">
        <v>2.6539999999999999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-0.3797468354430385</v>
      </c>
      <c r="Q125">
        <f t="shared" ref="Q125" si="601">F125*P125</f>
        <v>-318834.58101265866</v>
      </c>
      <c r="R125">
        <f t="shared" ref="R125" si="602">R126+Q125</f>
        <v>-4669739.5276735527</v>
      </c>
      <c r="S125">
        <f t="shared" ref="S125" si="603">R125/100000</f>
        <v>-46.697395276735527</v>
      </c>
      <c r="T125">
        <f t="shared" ref="T125" si="604">S125/1000</f>
        <v>-4.6697395276735526E-2</v>
      </c>
    </row>
    <row r="126" spans="1:20" x14ac:dyDescent="0.25">
      <c r="A126" s="5">
        <v>44467</v>
      </c>
      <c r="B126">
        <v>2.843</v>
      </c>
      <c r="C126">
        <v>2.8759999999999999</v>
      </c>
      <c r="D126">
        <v>2.6360000000000001</v>
      </c>
      <c r="E126">
        <v>2.645</v>
      </c>
      <c r="F126">
        <v>1523092.9</v>
      </c>
      <c r="G126">
        <v>2.645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-0.92500000000000082</v>
      </c>
      <c r="Q126">
        <f t="shared" ref="Q126" si="606">F126*P126</f>
        <v>-1408860.9325000013</v>
      </c>
      <c r="R126">
        <f t="shared" ref="R126" si="607">R127+Q126</f>
        <v>-4350904.946660894</v>
      </c>
      <c r="S126">
        <f t="shared" ref="S126" si="608">R126/100000</f>
        <v>-43.509049466608943</v>
      </c>
      <c r="T126">
        <f t="shared" ref="T126" si="609">S126/1000</f>
        <v>-4.350904946660894E-2</v>
      </c>
    </row>
    <row r="127" spans="1:20" x14ac:dyDescent="0.25">
      <c r="A127" s="5">
        <v>44466</v>
      </c>
      <c r="B127">
        <v>2.968</v>
      </c>
      <c r="C127">
        <v>3.1640000000000001</v>
      </c>
      <c r="D127">
        <v>2.8410000000000002</v>
      </c>
      <c r="E127">
        <v>2.8439999999999999</v>
      </c>
      <c r="F127">
        <v>894693.4</v>
      </c>
      <c r="G127">
        <v>2.8439999999999999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-0.98142414860681315</v>
      </c>
      <c r="Q127">
        <f t="shared" ref="Q127" si="611">F127*P127</f>
        <v>-878073.70835913497</v>
      </c>
      <c r="R127">
        <f t="shared" ref="R127" si="612">R128+Q127</f>
        <v>-2942044.0141608929</v>
      </c>
      <c r="S127">
        <f t="shared" ref="S127" si="613">R127/100000</f>
        <v>-29.420440141608928</v>
      </c>
      <c r="T127">
        <f t="shared" ref="T127" si="614">S127/1000</f>
        <v>-2.9420440141608929E-2</v>
      </c>
    </row>
    <row r="128" spans="1:20" x14ac:dyDescent="0.25">
      <c r="A128" s="5">
        <v>44465</v>
      </c>
      <c r="B128">
        <v>2.9340000000000002</v>
      </c>
      <c r="C128">
        <v>3.2679999999999998</v>
      </c>
      <c r="D128">
        <v>2.84</v>
      </c>
      <c r="E128">
        <v>2.972</v>
      </c>
      <c r="F128">
        <v>3355439.3</v>
      </c>
      <c r="G128">
        <v>2.972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-0.38317757009345732</v>
      </c>
      <c r="Q128">
        <f t="shared" ref="Q128" si="616">F128*P128</f>
        <v>-1285729.0775700912</v>
      </c>
      <c r="R128">
        <f t="shared" ref="R128" si="617">R129+Q128</f>
        <v>-2063970.3058017581</v>
      </c>
      <c r="S128">
        <f t="shared" ref="S128" si="618">R128/100000</f>
        <v>-20.639703058017581</v>
      </c>
      <c r="T128">
        <f t="shared" ref="T128" si="619">S128/1000</f>
        <v>-2.0639703058017579E-2</v>
      </c>
    </row>
    <row r="129" spans="1:20" x14ac:dyDescent="0.25">
      <c r="A129" s="5">
        <v>44464</v>
      </c>
      <c r="B129">
        <v>2.8319999999999999</v>
      </c>
      <c r="C129">
        <v>3.02</v>
      </c>
      <c r="D129">
        <v>2.7330000000000001</v>
      </c>
      <c r="E129">
        <v>2.9390000000000001</v>
      </c>
      <c r="F129">
        <v>1751720.7</v>
      </c>
      <c r="G129">
        <v>2.9390000000000001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0.43554006968641129</v>
      </c>
      <c r="Q129">
        <f t="shared" ref="Q129" si="621">F129*P129</f>
        <v>762944.55574912915</v>
      </c>
      <c r="R129">
        <f t="shared" ref="R129" si="622">R130+Q129</f>
        <v>-778241.22823166696</v>
      </c>
      <c r="S129">
        <f t="shared" ref="S129" si="623">R129/100000</f>
        <v>-7.7824122823166695</v>
      </c>
      <c r="T129">
        <f t="shared" ref="T129" si="624">S129/1000</f>
        <v>-7.7824122823166699E-3</v>
      </c>
    </row>
    <row r="130" spans="1:20" x14ac:dyDescent="0.25">
      <c r="A130" s="5">
        <v>44463</v>
      </c>
      <c r="B130">
        <v>3.077</v>
      </c>
      <c r="C130">
        <v>3.0859999999999999</v>
      </c>
      <c r="D130">
        <v>2.7149999999999999</v>
      </c>
      <c r="E130">
        <v>2.8279999999999998</v>
      </c>
      <c r="F130">
        <v>1130117.2</v>
      </c>
      <c r="G130">
        <v>2.8279999999999998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-0.39083557951482484</v>
      </c>
      <c r="Q130">
        <f t="shared" ref="Q130" si="626">F130*P130</f>
        <v>-441690.01078167121</v>
      </c>
      <c r="R130">
        <f t="shared" ref="R130" si="627">R131+Q130</f>
        <v>-1541185.7839807961</v>
      </c>
      <c r="S130">
        <f t="shared" ref="S130" si="628">R130/100000</f>
        <v>-15.411857839807961</v>
      </c>
      <c r="T130">
        <f t="shared" ref="T130" si="629">S130/1000</f>
        <v>-1.5411857839807962E-2</v>
      </c>
    </row>
    <row r="131" spans="1:20" x14ac:dyDescent="0.25">
      <c r="A131" s="5">
        <v>44462</v>
      </c>
      <c r="B131">
        <v>3.032</v>
      </c>
      <c r="C131">
        <v>3.17</v>
      </c>
      <c r="D131">
        <v>2.9079999999999999</v>
      </c>
      <c r="E131">
        <v>3.077</v>
      </c>
      <c r="F131">
        <v>3264925</v>
      </c>
      <c r="G131">
        <v>3.077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0.29007633587786286</v>
      </c>
      <c r="Q131">
        <f t="shared" ref="Q131" si="631">F131*P131</f>
        <v>947077.4809160314</v>
      </c>
      <c r="R131">
        <f t="shared" ref="R131" si="632">R132+Q131</f>
        <v>-1099495.773199125</v>
      </c>
      <c r="S131">
        <f t="shared" ref="S131" si="633">R131/100000</f>
        <v>-10.994957731991249</v>
      </c>
      <c r="T131">
        <f t="shared" ref="T131" si="634">S131/1000</f>
        <v>-1.0994957731991249E-2</v>
      </c>
    </row>
    <row r="132" spans="1:20" x14ac:dyDescent="0.25">
      <c r="A132" s="5">
        <v>44461</v>
      </c>
      <c r="B132">
        <v>2.681</v>
      </c>
      <c r="C132">
        <v>3.077</v>
      </c>
      <c r="D132">
        <v>2.6150000000000002</v>
      </c>
      <c r="E132">
        <v>3.036</v>
      </c>
      <c r="F132">
        <v>2563644.4300000002</v>
      </c>
      <c r="G132">
        <v>3.036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0.82251082251082275</v>
      </c>
      <c r="Q132">
        <f t="shared" ref="Q132" si="636">F132*P132</f>
        <v>2108625.2887445893</v>
      </c>
      <c r="R132">
        <f t="shared" ref="R132" si="637">R133+Q132</f>
        <v>-2046573.2541151564</v>
      </c>
      <c r="S132">
        <f t="shared" ref="S132" si="638">R132/100000</f>
        <v>-20.465732541151564</v>
      </c>
      <c r="T132">
        <f t="shared" ref="T132" si="639">S132/1000</f>
        <v>-2.0465732541151565E-2</v>
      </c>
    </row>
    <row r="133" spans="1:20" x14ac:dyDescent="0.25">
      <c r="A133" s="5">
        <v>44460</v>
      </c>
      <c r="B133">
        <v>3.0510000000000002</v>
      </c>
      <c r="C133">
        <v>3.1989999999999998</v>
      </c>
      <c r="D133">
        <v>2.665</v>
      </c>
      <c r="E133">
        <v>2.6859999999999999</v>
      </c>
      <c r="F133">
        <v>2469231.46</v>
      </c>
      <c r="G133">
        <v>2.6859999999999999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-0.92134831460674194</v>
      </c>
      <c r="Q133">
        <f t="shared" ref="Q133" si="641">F133*P133</f>
        <v>-2275022.2440449446</v>
      </c>
      <c r="R133">
        <f t="shared" ref="R133" si="642">R134+Q133</f>
        <v>-4155198.5428597457</v>
      </c>
      <c r="S133">
        <f t="shared" ref="S133" si="643">R133/100000</f>
        <v>-41.551985428597455</v>
      </c>
      <c r="T133">
        <f t="shared" ref="T133" si="644">S133/1000</f>
        <v>-4.1551985428597456E-2</v>
      </c>
    </row>
    <row r="134" spans="1:20" x14ac:dyDescent="0.25">
      <c r="A134" s="5">
        <v>44459</v>
      </c>
      <c r="B134">
        <v>3.4239999999999999</v>
      </c>
      <c r="C134">
        <v>3.4279999999999999</v>
      </c>
      <c r="D134">
        <v>3.073</v>
      </c>
      <c r="E134">
        <v>3.0950000000000002</v>
      </c>
      <c r="F134">
        <v>608206.9</v>
      </c>
      <c r="G134">
        <v>3.0950000000000002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-0.87605633802816762</v>
      </c>
      <c r="Q134">
        <f t="shared" ref="Q134" si="646">F134*P134</f>
        <v>-532823.50957746396</v>
      </c>
      <c r="R134">
        <f t="shared" ref="R134" si="647">R135+Q134</f>
        <v>-1880176.298814801</v>
      </c>
      <c r="S134">
        <f t="shared" ref="S134" si="648">R134/100000</f>
        <v>-18.80176298814801</v>
      </c>
      <c r="T134">
        <f t="shared" ref="T134" si="649">S134/1000</f>
        <v>-1.8801762988148011E-2</v>
      </c>
    </row>
    <row r="135" spans="1:20" x14ac:dyDescent="0.25">
      <c r="A135" s="5">
        <v>44458</v>
      </c>
      <c r="B135">
        <v>3.573</v>
      </c>
      <c r="C135">
        <v>3.6429999999999998</v>
      </c>
      <c r="D135">
        <v>3.3719999999999999</v>
      </c>
      <c r="E135">
        <v>3.4239999999999999</v>
      </c>
      <c r="F135">
        <v>930019.4</v>
      </c>
      <c r="G135">
        <v>3.4239999999999999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-0.61623616236162315</v>
      </c>
      <c r="Q135">
        <f t="shared" ref="Q135" si="651">F135*P135</f>
        <v>-573111.58597785933</v>
      </c>
      <c r="R135">
        <f t="shared" ref="R135" si="652">R136+Q135</f>
        <v>-1347352.789237337</v>
      </c>
      <c r="S135">
        <f t="shared" ref="S135" si="653">R135/100000</f>
        <v>-13.473527892373369</v>
      </c>
      <c r="T135">
        <f t="shared" ref="T135" si="654">S135/1000</f>
        <v>-1.3473527892373369E-2</v>
      </c>
    </row>
    <row r="136" spans="1:20" x14ac:dyDescent="0.25">
      <c r="A136" s="5">
        <v>44457</v>
      </c>
      <c r="B136">
        <v>3.5489999999999999</v>
      </c>
      <c r="C136">
        <v>3.726</v>
      </c>
      <c r="D136">
        <v>3.5259999999999998</v>
      </c>
      <c r="E136">
        <v>3.57</v>
      </c>
      <c r="F136">
        <v>664325.30000000005</v>
      </c>
      <c r="G136">
        <v>3.57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-0.56000000000000005</v>
      </c>
      <c r="Q136">
        <f t="shared" ref="Q136" si="656">F136*P136</f>
        <v>-372022.16800000006</v>
      </c>
      <c r="R136">
        <f t="shared" ref="R136" si="657">R137+Q136</f>
        <v>-774241.20325947762</v>
      </c>
      <c r="S136">
        <f t="shared" ref="S136" si="658">R136/100000</f>
        <v>-7.7424120325947765</v>
      </c>
      <c r="T136">
        <f t="shared" ref="T136" si="659">S136/1000</f>
        <v>-7.7424120325947764E-3</v>
      </c>
    </row>
    <row r="137" spans="1:20" x14ac:dyDescent="0.25">
      <c r="A137" s="5">
        <v>44456</v>
      </c>
      <c r="B137">
        <v>3.6549999999999998</v>
      </c>
      <c r="C137">
        <v>3.8029999999999999</v>
      </c>
      <c r="D137">
        <v>3.4830000000000001</v>
      </c>
      <c r="E137">
        <v>3.5470000000000002</v>
      </c>
      <c r="F137">
        <v>772837</v>
      </c>
      <c r="G137">
        <v>3.5470000000000002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-0.59999999999999942</v>
      </c>
      <c r="Q137">
        <f t="shared" ref="Q137" si="661">F137*P137</f>
        <v>-463702.19999999955</v>
      </c>
      <c r="R137">
        <f t="shared" ref="R137" si="662">R138+Q137</f>
        <v>-402219.03525947762</v>
      </c>
      <c r="S137">
        <f t="shared" ref="S137" si="663">R137/100000</f>
        <v>-4.0221903525947758</v>
      </c>
      <c r="T137">
        <f t="shared" ref="T137" si="664">S137/1000</f>
        <v>-4.0221903525947756E-3</v>
      </c>
    </row>
    <row r="138" spans="1:20" x14ac:dyDescent="0.25">
      <c r="A138" s="5">
        <v>44455</v>
      </c>
      <c r="B138">
        <v>3.7869999999999999</v>
      </c>
      <c r="C138">
        <v>3.98</v>
      </c>
      <c r="D138">
        <v>3.5750000000000002</v>
      </c>
      <c r="E138">
        <v>3.6539999999999999</v>
      </c>
      <c r="F138">
        <v>1364628.2</v>
      </c>
      <c r="G138">
        <v>3.6539999999999999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-0.60987654320987761</v>
      </c>
      <c r="Q138">
        <f t="shared" ref="Q138" si="666">F138*P138</f>
        <v>-832254.72938271752</v>
      </c>
      <c r="R138">
        <f t="shared" ref="R138" si="667">R139+Q138</f>
        <v>61483.164740521926</v>
      </c>
      <c r="S138">
        <f t="shared" ref="S138" si="668">R138/100000</f>
        <v>0.61483164740521923</v>
      </c>
      <c r="T138">
        <f t="shared" ref="T138" si="669">S138/1000</f>
        <v>6.1483164740521921E-4</v>
      </c>
    </row>
    <row r="139" spans="1:20" x14ac:dyDescent="0.25">
      <c r="A139" s="5">
        <v>44454</v>
      </c>
      <c r="B139">
        <v>3.6840000000000002</v>
      </c>
      <c r="C139">
        <v>3.85</v>
      </c>
      <c r="D139">
        <v>3.6509999999999998</v>
      </c>
      <c r="E139">
        <v>3.7909999999999999</v>
      </c>
      <c r="F139">
        <v>885583.8</v>
      </c>
      <c r="G139">
        <v>3.7909999999999999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0.40703517587939619</v>
      </c>
      <c r="Q139">
        <f t="shared" ref="Q139" si="671">F139*P139</f>
        <v>360463.75778894406</v>
      </c>
      <c r="R139">
        <f t="shared" ref="R139" si="672">R140+Q139</f>
        <v>893737.89412323944</v>
      </c>
      <c r="S139">
        <f t="shared" ref="S139" si="673">R139/100000</f>
        <v>8.9373789412323941</v>
      </c>
      <c r="T139">
        <f t="shared" ref="T139" si="674">S139/1000</f>
        <v>8.9373789412323934E-3</v>
      </c>
    </row>
    <row r="140" spans="1:20" x14ac:dyDescent="0.25">
      <c r="A140" s="5">
        <v>44453</v>
      </c>
      <c r="B140">
        <v>3.5270000000000001</v>
      </c>
      <c r="C140">
        <v>3.7949999999999999</v>
      </c>
      <c r="D140">
        <v>3.472</v>
      </c>
      <c r="E140">
        <v>3.6840000000000002</v>
      </c>
      <c r="F140">
        <v>1209383.5</v>
      </c>
      <c r="G140">
        <v>3.6840000000000002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0.31269349845201372</v>
      </c>
      <c r="Q140">
        <f t="shared" ref="Q140" si="676">F140*P140</f>
        <v>378166.35758514091</v>
      </c>
      <c r="R140">
        <f t="shared" ref="R140" si="677">R141+Q140</f>
        <v>533274.13633429538</v>
      </c>
      <c r="S140">
        <f t="shared" ref="S140" si="678">R140/100000</f>
        <v>5.3327413633429535</v>
      </c>
      <c r="T140">
        <f t="shared" ref="T140" si="679">S140/1000</f>
        <v>5.3327413633429532E-3</v>
      </c>
    </row>
    <row r="141" spans="1:20" x14ac:dyDescent="0.25">
      <c r="A141" s="5">
        <v>44452</v>
      </c>
      <c r="B141">
        <v>3.843</v>
      </c>
      <c r="C141">
        <v>3.8860000000000001</v>
      </c>
      <c r="D141">
        <v>3.403</v>
      </c>
      <c r="E141">
        <v>3.5310000000000001</v>
      </c>
      <c r="F141">
        <v>1559734.1</v>
      </c>
      <c r="G141">
        <v>3.5310000000000001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-0.46997929606625222</v>
      </c>
      <c r="Q141">
        <f t="shared" ref="Q141" si="681">F141*P141</f>
        <v>-733042.73436852952</v>
      </c>
      <c r="R141">
        <f t="shared" ref="R141" si="682">R142+Q141</f>
        <v>155107.77874915453</v>
      </c>
      <c r="S141">
        <f t="shared" ref="S141" si="683">R141/100000</f>
        <v>1.5510777874915453</v>
      </c>
      <c r="T141">
        <f t="shared" ref="T141" si="684">S141/1000</f>
        <v>1.5510777874915454E-3</v>
      </c>
    </row>
    <row r="142" spans="1:20" x14ac:dyDescent="0.25">
      <c r="A142" s="5">
        <v>44451</v>
      </c>
      <c r="B142">
        <v>3.964</v>
      </c>
      <c r="C142">
        <v>3.972</v>
      </c>
      <c r="D142">
        <v>3.706</v>
      </c>
      <c r="E142">
        <v>3.843</v>
      </c>
      <c r="F142">
        <v>1493636.8</v>
      </c>
      <c r="G142">
        <v>3.843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3.0075187969924838E-2</v>
      </c>
      <c r="Q142">
        <f t="shared" ref="Q142" si="686">F142*P142</f>
        <v>44921.40751879703</v>
      </c>
      <c r="R142">
        <f t="shared" ref="R142" si="687">R143+Q142</f>
        <v>888150.51311768405</v>
      </c>
      <c r="S142">
        <f t="shared" ref="S142" si="688">R142/100000</f>
        <v>8.8815051311768407</v>
      </c>
      <c r="T142">
        <f t="shared" ref="T142" si="689">S142/1000</f>
        <v>8.8815051311768416E-3</v>
      </c>
    </row>
    <row r="143" spans="1:20" x14ac:dyDescent="0.25">
      <c r="A143" s="5">
        <v>44450</v>
      </c>
      <c r="B143">
        <v>3.8959999999999999</v>
      </c>
      <c r="C143">
        <v>4.0789999999999997</v>
      </c>
      <c r="D143">
        <v>3.8359999999999999</v>
      </c>
      <c r="E143">
        <v>3.964</v>
      </c>
      <c r="F143">
        <v>1766681.8</v>
      </c>
      <c r="G143">
        <v>3.964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5.3497942386832718E-2</v>
      </c>
      <c r="Q143">
        <f t="shared" ref="Q143" si="691">F143*P143</f>
        <v>94513.84115226593</v>
      </c>
      <c r="R143">
        <f t="shared" ref="R143" si="692">R144+Q143</f>
        <v>843229.10559888696</v>
      </c>
      <c r="S143">
        <f t="shared" ref="S143" si="693">R143/100000</f>
        <v>8.4322910559888697</v>
      </c>
      <c r="T143">
        <f t="shared" ref="T143" si="694">S143/1000</f>
        <v>8.4322910559888695E-3</v>
      </c>
    </row>
    <row r="144" spans="1:20" x14ac:dyDescent="0.25">
      <c r="A144" s="5">
        <v>44449</v>
      </c>
      <c r="B144">
        <v>3.91</v>
      </c>
      <c r="C144">
        <v>4.18</v>
      </c>
      <c r="D144">
        <v>3.7770000000000001</v>
      </c>
      <c r="E144">
        <v>3.8929999999999998</v>
      </c>
      <c r="F144">
        <v>2842098.3</v>
      </c>
      <c r="G144">
        <v>3.8929999999999998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-0.42431761786600608</v>
      </c>
      <c r="Q144">
        <f t="shared" ref="Q144" si="696">F144*P144</f>
        <v>-1205952.3803970255</v>
      </c>
      <c r="R144">
        <f t="shared" ref="R144" si="697">R145+Q144</f>
        <v>748715.26444662106</v>
      </c>
      <c r="S144">
        <f t="shared" ref="S144" si="698">R144/100000</f>
        <v>7.4871526444662102</v>
      </c>
      <c r="T144">
        <f t="shared" ref="T144" si="699">S144/1000</f>
        <v>7.48715264446621E-3</v>
      </c>
    </row>
    <row r="145" spans="1:20" x14ac:dyDescent="0.25">
      <c r="A145" s="5">
        <v>44448</v>
      </c>
      <c r="B145">
        <v>3.871</v>
      </c>
      <c r="C145">
        <v>4.3</v>
      </c>
      <c r="D145">
        <v>3.8149999999999999</v>
      </c>
      <c r="E145">
        <v>3.91</v>
      </c>
      <c r="F145">
        <v>2423947.9</v>
      </c>
      <c r="G145">
        <v>3.91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-0.60824742268041143</v>
      </c>
      <c r="Q145">
        <f t="shared" ref="Q145" si="701">F145*P145</f>
        <v>-1474360.0628865955</v>
      </c>
      <c r="R145">
        <f t="shared" ref="R145" si="702">R146+Q145</f>
        <v>1954667.6448436466</v>
      </c>
      <c r="S145">
        <f t="shared" ref="S145" si="703">R145/100000</f>
        <v>19.546676448436465</v>
      </c>
      <c r="T145">
        <f t="shared" ref="T145" si="704">S145/1000</f>
        <v>1.9546676448436464E-2</v>
      </c>
    </row>
    <row r="146" spans="1:20" x14ac:dyDescent="0.25">
      <c r="A146" s="5">
        <v>44447</v>
      </c>
      <c r="B146">
        <v>3.7919999999999998</v>
      </c>
      <c r="C146">
        <v>4.18</v>
      </c>
      <c r="D146">
        <v>3.3639999999999999</v>
      </c>
      <c r="E146">
        <v>3.871</v>
      </c>
      <c r="F146">
        <v>3144719.1</v>
      </c>
      <c r="G146">
        <v>3.871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0.24264705882352994</v>
      </c>
      <c r="Q146">
        <f t="shared" ref="Q146" si="706">F146*P146</f>
        <v>763056.84044117818</v>
      </c>
      <c r="R146">
        <f t="shared" ref="R146" si="707">R147+Q146</f>
        <v>3429027.7077302421</v>
      </c>
      <c r="S146">
        <f t="shared" ref="S146" si="708">R146/100000</f>
        <v>34.29027707730242</v>
      </c>
      <c r="T146">
        <f t="shared" ref="T146" si="709">S146/1000</f>
        <v>3.4290277077302422E-2</v>
      </c>
    </row>
    <row r="147" spans="1:20" x14ac:dyDescent="0.25">
      <c r="A147" s="5">
        <v>44446</v>
      </c>
      <c r="B147">
        <v>4.6020000000000003</v>
      </c>
      <c r="C147">
        <v>5.1289999999999996</v>
      </c>
      <c r="D147">
        <v>3.1989999999999998</v>
      </c>
      <c r="E147">
        <v>3.7909999999999999</v>
      </c>
      <c r="F147">
        <v>9940300</v>
      </c>
      <c r="G147">
        <v>3.7909999999999999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-0.38652849740932627</v>
      </c>
      <c r="Q147">
        <f t="shared" ref="Q147" si="711">F147*P147</f>
        <v>-3842209.222797926</v>
      </c>
      <c r="R147">
        <f t="shared" ref="R147" si="712">R148+Q147</f>
        <v>2665970.867289064</v>
      </c>
      <c r="S147">
        <f t="shared" ref="S147" si="713">R147/100000</f>
        <v>26.659708672890641</v>
      </c>
      <c r="T147">
        <f t="shared" ref="T147" si="714">S147/1000</f>
        <v>2.665970867289064E-2</v>
      </c>
    </row>
    <row r="148" spans="1:20" x14ac:dyDescent="0.25">
      <c r="A148" s="5">
        <v>44445</v>
      </c>
      <c r="B148">
        <v>3.6850000000000001</v>
      </c>
      <c r="C148">
        <v>5.4</v>
      </c>
      <c r="D148">
        <v>3.593</v>
      </c>
      <c r="E148">
        <v>4.6020000000000003</v>
      </c>
      <c r="F148">
        <v>13514222.15</v>
      </c>
      <c r="G148">
        <v>4.6020000000000003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0.11676812396236871</v>
      </c>
      <c r="Q148">
        <f t="shared" ref="Q148" si="716">F148*P148</f>
        <v>1578030.3672661891</v>
      </c>
      <c r="R148">
        <f t="shared" ref="R148" si="717">R149+Q148</f>
        <v>6508180.09008699</v>
      </c>
      <c r="S148">
        <f t="shared" ref="S148" si="718">R148/100000</f>
        <v>65.081800900869894</v>
      </c>
      <c r="T148">
        <f t="shared" ref="T148" si="719">S148/1000</f>
        <v>6.5081800900869888E-2</v>
      </c>
    </row>
    <row r="149" spans="1:20" x14ac:dyDescent="0.25">
      <c r="A149" s="5">
        <v>44444</v>
      </c>
      <c r="B149">
        <v>3.6070000000000002</v>
      </c>
      <c r="C149">
        <v>3.7789999999999999</v>
      </c>
      <c r="D149">
        <v>3.508</v>
      </c>
      <c r="E149">
        <v>3.6850000000000001</v>
      </c>
      <c r="F149">
        <v>1130231.6000000001</v>
      </c>
      <c r="G149">
        <v>3.6850000000000001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0.3062730627306281</v>
      </c>
      <c r="Q149">
        <f t="shared" ref="Q149" si="721">F149*P149</f>
        <v>346159.49372693821</v>
      </c>
      <c r="R149">
        <f t="shared" ref="R149" si="722">R150+Q149</f>
        <v>4930149.7228208007</v>
      </c>
      <c r="S149">
        <f t="shared" ref="S149" si="723">R149/100000</f>
        <v>49.301497228208007</v>
      </c>
      <c r="T149">
        <f t="shared" ref="T149" si="724">S149/1000</f>
        <v>4.9301497228208008E-2</v>
      </c>
    </row>
    <row r="150" spans="1:20" x14ac:dyDescent="0.25">
      <c r="A150" s="5">
        <v>44443</v>
      </c>
      <c r="B150">
        <v>3.7360000000000002</v>
      </c>
      <c r="C150">
        <v>3.762</v>
      </c>
      <c r="D150">
        <v>3.5720000000000001</v>
      </c>
      <c r="E150">
        <v>3.6070000000000002</v>
      </c>
      <c r="F150">
        <v>784797</v>
      </c>
      <c r="G150">
        <v>3.6070000000000002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-0.63157894736841946</v>
      </c>
      <c r="Q150">
        <f t="shared" ref="Q150" si="726">F150*P150</f>
        <v>-495661.2631578935</v>
      </c>
      <c r="R150">
        <f t="shared" ref="R150" si="727">R151+Q150</f>
        <v>4583990.2290938627</v>
      </c>
      <c r="S150">
        <f t="shared" ref="S150" si="728">R150/100000</f>
        <v>45.839902290938625</v>
      </c>
      <c r="T150">
        <f t="shared" ref="T150" si="729">S150/1000</f>
        <v>4.5839902290938622E-2</v>
      </c>
    </row>
    <row r="151" spans="1:20" x14ac:dyDescent="0.25">
      <c r="A151" s="5">
        <v>44442</v>
      </c>
      <c r="B151">
        <v>3.5390000000000001</v>
      </c>
      <c r="C151">
        <v>3.85</v>
      </c>
      <c r="D151">
        <v>3.44</v>
      </c>
      <c r="E151">
        <v>3.7360000000000002</v>
      </c>
      <c r="F151">
        <v>1552902.4</v>
      </c>
      <c r="G151">
        <v>3.7360000000000002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0.44390243902439103</v>
      </c>
      <c r="Q151">
        <f t="shared" ref="Q151" si="731">F151*P151</f>
        <v>689337.16292683047</v>
      </c>
      <c r="R151">
        <f t="shared" ref="R151" si="732">R152+Q151</f>
        <v>5079651.4922517566</v>
      </c>
      <c r="S151">
        <f t="shared" ref="S151" si="733">R151/100000</f>
        <v>50.796514922517567</v>
      </c>
      <c r="T151">
        <f t="shared" ref="T151" si="734">S151/1000</f>
        <v>5.0796514922517563E-2</v>
      </c>
    </row>
    <row r="152" spans="1:20" x14ac:dyDescent="0.25">
      <c r="A152" s="5">
        <v>44441</v>
      </c>
      <c r="B152">
        <v>3.5459999999999998</v>
      </c>
      <c r="C152">
        <v>3.65</v>
      </c>
      <c r="D152">
        <v>3.452</v>
      </c>
      <c r="E152">
        <v>3.5390000000000001</v>
      </c>
      <c r="F152">
        <v>1526931.3</v>
      </c>
      <c r="G152">
        <v>3.5390000000000001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-0.12121212121211911</v>
      </c>
      <c r="Q152">
        <f t="shared" ref="Q152" si="736">F152*P152</f>
        <v>-185082.58181817862</v>
      </c>
      <c r="R152">
        <f t="shared" ref="R152" si="737">R153+Q152</f>
        <v>4390314.3293249262</v>
      </c>
      <c r="S152">
        <f t="shared" ref="S152" si="738">R152/100000</f>
        <v>43.903143293249265</v>
      </c>
      <c r="T152">
        <f t="shared" ref="T152" si="739">S152/1000</f>
        <v>4.3903143293249264E-2</v>
      </c>
    </row>
    <row r="153" spans="1:20" x14ac:dyDescent="0.25">
      <c r="A153" s="5">
        <v>44440</v>
      </c>
      <c r="B153">
        <v>3.419</v>
      </c>
      <c r="C153">
        <v>3.7</v>
      </c>
      <c r="D153">
        <v>3.34</v>
      </c>
      <c r="E153">
        <v>3.5470000000000002</v>
      </c>
      <c r="F153">
        <v>1616061.3</v>
      </c>
      <c r="G153">
        <v>3.5470000000000002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0.15000000000000061</v>
      </c>
      <c r="Q153">
        <f t="shared" ref="Q153" si="741">F153*P153</f>
        <v>242409.195000001</v>
      </c>
      <c r="R153">
        <f t="shared" ref="R153" si="742">R154+Q153</f>
        <v>4575396.9111431045</v>
      </c>
      <c r="S153">
        <f t="shared" ref="S153" si="743">R153/100000</f>
        <v>45.753969111431047</v>
      </c>
      <c r="T153">
        <f t="shared" ref="T153" si="744">S153/1000</f>
        <v>4.575396911143105E-2</v>
      </c>
    </row>
    <row r="154" spans="1:20" x14ac:dyDescent="0.25">
      <c r="A154" s="5">
        <v>44439</v>
      </c>
      <c r="B154">
        <v>3.3759999999999999</v>
      </c>
      <c r="C154">
        <v>3.633</v>
      </c>
      <c r="D154">
        <v>3.36</v>
      </c>
      <c r="E154">
        <v>3.419</v>
      </c>
      <c r="F154">
        <v>1614194.1</v>
      </c>
      <c r="G154">
        <v>3.419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-0.56776556776556675</v>
      </c>
      <c r="Q154">
        <f t="shared" ref="Q154" si="746">F154*P154</f>
        <v>-916483.82967032806</v>
      </c>
      <c r="R154">
        <f t="shared" ref="R154" si="747">R155+Q154</f>
        <v>4332987.7161431033</v>
      </c>
      <c r="S154">
        <f t="shared" ref="S154" si="748">R154/100000</f>
        <v>43.329877161431035</v>
      </c>
      <c r="T154">
        <f t="shared" ref="T154" si="749">S154/1000</f>
        <v>4.3329877161431038E-2</v>
      </c>
    </row>
    <row r="155" spans="1:20" x14ac:dyDescent="0.25">
      <c r="A155" s="5">
        <v>44438</v>
      </c>
      <c r="B155">
        <v>3.51</v>
      </c>
      <c r="C155">
        <v>3.8</v>
      </c>
      <c r="D155">
        <v>3.282</v>
      </c>
      <c r="E155">
        <v>3.375</v>
      </c>
      <c r="F155">
        <v>2352992.7999999998</v>
      </c>
      <c r="G155">
        <v>3.375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-0.64092664092664087</v>
      </c>
      <c r="Q155">
        <f t="shared" ref="Q155" si="751">F155*P155</f>
        <v>-1508095.7714285711</v>
      </c>
      <c r="R155">
        <f t="shared" ref="R155" si="752">R156+Q155</f>
        <v>5249471.545813431</v>
      </c>
      <c r="S155">
        <f t="shared" ref="S155" si="753">R155/100000</f>
        <v>52.494715458134309</v>
      </c>
      <c r="T155">
        <f t="shared" ref="T155" si="754">S155/1000</f>
        <v>5.2494715458134306E-2</v>
      </c>
    </row>
    <row r="156" spans="1:20" x14ac:dyDescent="0.25">
      <c r="A156" s="5">
        <v>44437</v>
      </c>
      <c r="B156">
        <v>3.1339999999999999</v>
      </c>
      <c r="C156">
        <v>3.9820000000000002</v>
      </c>
      <c r="D156">
        <v>3.06</v>
      </c>
      <c r="E156">
        <v>3.5089999999999999</v>
      </c>
      <c r="F156">
        <v>8113977.8899999997</v>
      </c>
      <c r="G156">
        <v>3.5089999999999999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-2.6030368763557986E-2</v>
      </c>
      <c r="Q156">
        <f t="shared" ref="Q156" si="756">F156*P156</f>
        <v>-211209.83661605613</v>
      </c>
      <c r="R156">
        <f t="shared" ref="R156" si="757">R157+Q156</f>
        <v>6757567.3172420021</v>
      </c>
      <c r="S156">
        <f t="shared" ref="S156" si="758">R156/100000</f>
        <v>67.575673172420025</v>
      </c>
      <c r="T156">
        <f t="shared" ref="T156" si="759">S156/1000</f>
        <v>6.7575673172420025E-2</v>
      </c>
    </row>
    <row r="157" spans="1:20" x14ac:dyDescent="0.25">
      <c r="A157" s="5">
        <v>44436</v>
      </c>
      <c r="B157">
        <v>3.0840000000000001</v>
      </c>
      <c r="C157">
        <v>3.1469999999999998</v>
      </c>
      <c r="D157">
        <v>3</v>
      </c>
      <c r="E157">
        <v>3.1339999999999999</v>
      </c>
      <c r="F157">
        <v>944297.2</v>
      </c>
      <c r="G157">
        <v>3.1339999999999999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0.82312925170068141</v>
      </c>
      <c r="Q157">
        <f t="shared" ref="Q157" si="761">F157*P157</f>
        <v>777278.6476190486</v>
      </c>
      <c r="R157">
        <f t="shared" ref="R157" si="762">R158+Q157</f>
        <v>6968777.1538580582</v>
      </c>
      <c r="S157">
        <f t="shared" ref="S157" si="763">R157/100000</f>
        <v>69.687771538580577</v>
      </c>
      <c r="T157">
        <f t="shared" ref="T157" si="764">S157/1000</f>
        <v>6.9687771538580578E-2</v>
      </c>
    </row>
    <row r="158" spans="1:20" x14ac:dyDescent="0.25">
      <c r="A158" s="5">
        <v>44435</v>
      </c>
      <c r="B158">
        <v>2.988</v>
      </c>
      <c r="C158">
        <v>3.1070000000000002</v>
      </c>
      <c r="D158">
        <v>2.9009999999999998</v>
      </c>
      <c r="E158">
        <v>3.0859999999999999</v>
      </c>
      <c r="F158">
        <v>1051922.6499999999</v>
      </c>
      <c r="G158">
        <v>3.0859999999999999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0.79611650485436591</v>
      </c>
      <c r="Q158">
        <f t="shared" ref="Q158" si="766">F158*P158</f>
        <v>837452.98349514243</v>
      </c>
      <c r="R158">
        <f t="shared" ref="R158" si="767">R159+Q158</f>
        <v>6191498.50623901</v>
      </c>
      <c r="S158">
        <f t="shared" ref="S158" si="768">R158/100000</f>
        <v>61.914985062390102</v>
      </c>
      <c r="T158">
        <f t="shared" ref="T158" si="769">S158/1000</f>
        <v>6.1914985062390099E-2</v>
      </c>
    </row>
    <row r="159" spans="1:20" x14ac:dyDescent="0.25">
      <c r="A159" s="5">
        <v>44434</v>
      </c>
      <c r="B159">
        <v>3.2105000000000001</v>
      </c>
      <c r="C159">
        <v>3.2728999999999999</v>
      </c>
      <c r="D159">
        <v>2.9860000000000002</v>
      </c>
      <c r="E159">
        <v>2.9889999999999999</v>
      </c>
      <c r="F159">
        <v>1673038.51</v>
      </c>
      <c r="G159">
        <v>2.9889999999999999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-0.97908678982223996</v>
      </c>
      <c r="Q159">
        <f t="shared" ref="Q159" si="771">F159*P159</f>
        <v>-1638049.9040048835</v>
      </c>
      <c r="R159">
        <f t="shared" ref="R159" si="772">R160+Q159</f>
        <v>5354045.5227438677</v>
      </c>
      <c r="S159">
        <f t="shared" ref="S159" si="773">R159/100000</f>
        <v>53.540455227438677</v>
      </c>
      <c r="T159">
        <f t="shared" ref="T159" si="774">S159/1000</f>
        <v>5.354045522743868E-2</v>
      </c>
    </row>
    <row r="160" spans="1:20" x14ac:dyDescent="0.25">
      <c r="A160" s="5">
        <v>44433</v>
      </c>
      <c r="B160">
        <v>3.0183</v>
      </c>
      <c r="C160">
        <v>3.2241</v>
      </c>
      <c r="D160">
        <v>2.8515999999999999</v>
      </c>
      <c r="E160">
        <v>3.2105000000000001</v>
      </c>
      <c r="F160">
        <v>1333799.05</v>
      </c>
      <c r="G160">
        <v>3.2105000000000001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0.92697986577181302</v>
      </c>
      <c r="Q160">
        <f t="shared" ref="Q160" si="776">F160*P160</f>
        <v>1236404.8643355716</v>
      </c>
      <c r="R160">
        <f t="shared" ref="R160" si="777">R161+Q160</f>
        <v>6992095.4267487517</v>
      </c>
      <c r="S160">
        <f t="shared" ref="S160" si="778">R160/100000</f>
        <v>69.920954267487517</v>
      </c>
      <c r="T160">
        <f t="shared" ref="T160" si="779">S160/1000</f>
        <v>6.9920954267487512E-2</v>
      </c>
    </row>
    <row r="161" spans="1:20" x14ac:dyDescent="0.25">
      <c r="A161" s="5">
        <v>44432</v>
      </c>
      <c r="B161">
        <v>3.1631</v>
      </c>
      <c r="C161">
        <v>3.27</v>
      </c>
      <c r="D161">
        <v>2.9826999999999999</v>
      </c>
      <c r="E161">
        <v>3.0223</v>
      </c>
      <c r="F161">
        <v>2115440.96</v>
      </c>
      <c r="G161">
        <v>3.0223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-0.72432996867385968</v>
      </c>
      <c r="Q161">
        <f t="shared" ref="Q161" si="781">F161*P161</f>
        <v>-1532277.2842881996</v>
      </c>
      <c r="R161">
        <f t="shared" ref="R161" si="782">R162+Q161</f>
        <v>5755690.5624131802</v>
      </c>
      <c r="S161">
        <f t="shared" ref="S161" si="783">R161/100000</f>
        <v>57.556905624131801</v>
      </c>
      <c r="T161">
        <f t="shared" ref="T161" si="784">S161/1000</f>
        <v>5.75569056241318E-2</v>
      </c>
    </row>
    <row r="162" spans="1:20" x14ac:dyDescent="0.25">
      <c r="A162" s="5">
        <v>44431</v>
      </c>
      <c r="B162">
        <v>3.0451000000000001</v>
      </c>
      <c r="C162">
        <v>3.2879999999999998</v>
      </c>
      <c r="D162">
        <v>3.0400999999999998</v>
      </c>
      <c r="E162">
        <v>3.1631</v>
      </c>
      <c r="F162">
        <v>5566448.5499999998</v>
      </c>
      <c r="G162">
        <v>3.1631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-7.6643807987074172E-3</v>
      </c>
      <c r="Q162">
        <f t="shared" ref="Q162" si="786">F162*P162</f>
        <v>-42663.381383612745</v>
      </c>
      <c r="R162">
        <f t="shared" ref="R162" si="787">R163+Q162</f>
        <v>7287967.8467013799</v>
      </c>
      <c r="S162">
        <f t="shared" ref="S162" si="788">R162/100000</f>
        <v>72.879678467013804</v>
      </c>
      <c r="T162">
        <f t="shared" ref="T162" si="789">S162/1000</f>
        <v>7.2879678467013806E-2</v>
      </c>
    </row>
    <row r="163" spans="1:20" x14ac:dyDescent="0.25">
      <c r="A163" s="5">
        <v>44430</v>
      </c>
      <c r="B163">
        <v>3.153</v>
      </c>
      <c r="C163">
        <v>3.2315999999999998</v>
      </c>
      <c r="D163">
        <v>3.1427</v>
      </c>
      <c r="E163">
        <v>3.2004999999999999</v>
      </c>
      <c r="F163">
        <v>132973.20000000001</v>
      </c>
      <c r="G163">
        <v>3.2004999999999999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0.30033745781777299</v>
      </c>
      <c r="Q163">
        <f t="shared" ref="Q163" si="791">F163*P163</f>
        <v>39936.832845894292</v>
      </c>
      <c r="R163">
        <f t="shared" ref="R163" si="792">R164+Q163</f>
        <v>7330631.2280849926</v>
      </c>
      <c r="S163">
        <f t="shared" ref="S163" si="793">R163/100000</f>
        <v>73.306312280849923</v>
      </c>
      <c r="T163">
        <f t="shared" ref="T163" si="794">S163/1000</f>
        <v>7.3306312280849925E-2</v>
      </c>
    </row>
    <row r="164" spans="1:20" x14ac:dyDescent="0.25">
      <c r="A164" s="5">
        <v>44429</v>
      </c>
      <c r="B164">
        <v>3.2069999999999999</v>
      </c>
      <c r="C164">
        <v>3.2488000000000001</v>
      </c>
      <c r="D164">
        <v>3.1069</v>
      </c>
      <c r="E164">
        <v>3.153</v>
      </c>
      <c r="F164">
        <v>791106</v>
      </c>
      <c r="G164">
        <v>3.153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-0.3502466525722342</v>
      </c>
      <c r="Q164">
        <f t="shared" ref="Q164" si="796">F164*P164</f>
        <v>-277082.22832980991</v>
      </c>
      <c r="R164">
        <f t="shared" ref="R164" si="797">R165+Q164</f>
        <v>7290694.395239098</v>
      </c>
      <c r="S164">
        <f t="shared" ref="S164" si="798">R164/100000</f>
        <v>72.906943952390975</v>
      </c>
      <c r="T164">
        <f t="shared" ref="T164" si="799">S164/1000</f>
        <v>7.2906943952390973E-2</v>
      </c>
    </row>
    <row r="165" spans="1:20" x14ac:dyDescent="0.25">
      <c r="A165" s="5">
        <v>44428</v>
      </c>
      <c r="B165">
        <v>3.2648000000000001</v>
      </c>
      <c r="C165">
        <v>3.2877000000000001</v>
      </c>
      <c r="D165">
        <v>3.0849000000000002</v>
      </c>
      <c r="E165">
        <v>3.2126000000000001</v>
      </c>
      <c r="F165">
        <v>1108509.2</v>
      </c>
      <c r="G165">
        <v>3.2126000000000001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0.25936883629191326</v>
      </c>
      <c r="Q165">
        <f t="shared" ref="Q165" si="801">F165*P165</f>
        <v>287512.74122287973</v>
      </c>
      <c r="R165">
        <f t="shared" ref="R165" si="802">R166+Q165</f>
        <v>7567776.6235689083</v>
      </c>
      <c r="S165">
        <f t="shared" ref="S165" si="803">R165/100000</f>
        <v>75.677766235689077</v>
      </c>
      <c r="T165">
        <f t="shared" ref="T165" si="804">S165/1000</f>
        <v>7.5677766235689073E-2</v>
      </c>
    </row>
    <row r="166" spans="1:20" x14ac:dyDescent="0.25">
      <c r="A166" s="5">
        <v>44427</v>
      </c>
      <c r="B166">
        <v>2.9750000000000001</v>
      </c>
      <c r="C166">
        <v>3.2850000000000001</v>
      </c>
      <c r="D166">
        <v>2.8405</v>
      </c>
      <c r="E166">
        <v>3.2648000000000001</v>
      </c>
      <c r="F166">
        <v>2322082.33</v>
      </c>
      <c r="G166">
        <v>3.2648000000000001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0.90911136107986501</v>
      </c>
      <c r="Q166">
        <f t="shared" ref="Q166" si="806">F166*P166</f>
        <v>2111031.4275658042</v>
      </c>
      <c r="R166">
        <f t="shared" ref="R166" si="807">R167+Q166</f>
        <v>7280263.8823460285</v>
      </c>
      <c r="S166">
        <f t="shared" ref="S166" si="808">R166/100000</f>
        <v>72.802638823460285</v>
      </c>
      <c r="T166">
        <f t="shared" ref="T166" si="809">S166/1000</f>
        <v>7.2802638823460289E-2</v>
      </c>
    </row>
    <row r="167" spans="1:20" x14ac:dyDescent="0.25">
      <c r="A167" s="5">
        <v>44426</v>
      </c>
      <c r="B167">
        <v>2.8506</v>
      </c>
      <c r="C167">
        <v>3.2509000000000001</v>
      </c>
      <c r="D167">
        <v>2.7593000000000001</v>
      </c>
      <c r="E167">
        <v>2.9750000000000001</v>
      </c>
      <c r="F167">
        <v>2772096.47</v>
      </c>
      <c r="G167">
        <v>2.9750000000000001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-0.12245728234336865</v>
      </c>
      <c r="Q167">
        <f t="shared" ref="Q167" si="811">F167*P167</f>
        <v>-339463.40010984562</v>
      </c>
      <c r="R167">
        <f t="shared" ref="R167" si="812">R168+Q167</f>
        <v>5169232.4547802247</v>
      </c>
      <c r="S167">
        <f t="shared" ref="S167" si="813">R167/100000</f>
        <v>51.692324547802244</v>
      </c>
      <c r="T167">
        <f t="shared" ref="T167" si="814">S167/1000</f>
        <v>5.1692324547802246E-2</v>
      </c>
    </row>
    <row r="168" spans="1:20" x14ac:dyDescent="0.25">
      <c r="A168" s="5">
        <v>44425</v>
      </c>
      <c r="B168">
        <v>2.8054999999999999</v>
      </c>
      <c r="C168">
        <v>3.2968999999999999</v>
      </c>
      <c r="D168">
        <v>2.7107000000000001</v>
      </c>
      <c r="E168">
        <v>2.8519000000000001</v>
      </c>
      <c r="F168">
        <v>3176838.27</v>
      </c>
      <c r="G168">
        <v>2.8519000000000001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-0.51825315591948129</v>
      </c>
      <c r="Q168">
        <f t="shared" ref="Q168" si="816">F168*P168</f>
        <v>-1646406.4592732852</v>
      </c>
      <c r="R168">
        <f t="shared" ref="R168" si="817">R169+Q168</f>
        <v>5508695.8548900699</v>
      </c>
      <c r="S168">
        <f t="shared" ref="S168" si="818">R168/100000</f>
        <v>55.086958548900697</v>
      </c>
      <c r="T168">
        <f t="shared" ref="T168" si="819">S168/1000</f>
        <v>5.5086958548900694E-2</v>
      </c>
    </row>
    <row r="169" spans="1:20" x14ac:dyDescent="0.25">
      <c r="A169" s="5">
        <v>44424</v>
      </c>
      <c r="B169">
        <v>2.7222</v>
      </c>
      <c r="C169">
        <v>2.9358</v>
      </c>
      <c r="D169">
        <v>2.7025000000000001</v>
      </c>
      <c r="E169">
        <v>2.7966000000000002</v>
      </c>
      <c r="F169">
        <v>1247574.3</v>
      </c>
      <c r="G169">
        <v>2.7966000000000002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-0.19331333047578109</v>
      </c>
      <c r="Q169">
        <f t="shared" ref="Q169" si="821">F169*P169</f>
        <v>-241172.74294899128</v>
      </c>
      <c r="R169">
        <f t="shared" ref="R169" si="822">R170+Q169</f>
        <v>7155102.3141633552</v>
      </c>
      <c r="S169">
        <f t="shared" ref="S169" si="823">R169/100000</f>
        <v>71.55102314163355</v>
      </c>
      <c r="T169">
        <f t="shared" ref="T169" si="824">S169/1000</f>
        <v>7.1551023141633543E-2</v>
      </c>
    </row>
    <row r="170" spans="1:20" x14ac:dyDescent="0.25">
      <c r="A170" s="5">
        <v>44423</v>
      </c>
      <c r="B170">
        <v>2.6789999999999998</v>
      </c>
      <c r="C170">
        <v>2.7456</v>
      </c>
      <c r="D170">
        <v>2.605</v>
      </c>
      <c r="E170">
        <v>2.7218</v>
      </c>
      <c r="F170">
        <v>688263.32</v>
      </c>
      <c r="G170">
        <v>2.7218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0.66145092460881882</v>
      </c>
      <c r="Q170">
        <f t="shared" ref="Q170" si="826">F170*P170</f>
        <v>455252.40938833531</v>
      </c>
      <c r="R170">
        <f t="shared" ref="R170" si="827">R171+Q170</f>
        <v>7396275.0571123464</v>
      </c>
      <c r="S170">
        <f t="shared" ref="S170" si="828">R170/100000</f>
        <v>73.962750571123465</v>
      </c>
      <c r="T170">
        <f t="shared" ref="T170" si="829">S170/1000</f>
        <v>7.3962750571123462E-2</v>
      </c>
    </row>
    <row r="171" spans="1:20" x14ac:dyDescent="0.25">
      <c r="A171" s="5">
        <v>44422</v>
      </c>
      <c r="B171">
        <v>2.6789999999999998</v>
      </c>
      <c r="C171">
        <v>2.7559</v>
      </c>
      <c r="D171">
        <v>2.5499999999999998</v>
      </c>
      <c r="E171">
        <v>2.6789999999999998</v>
      </c>
      <c r="F171">
        <v>893945.42</v>
      </c>
      <c r="G171">
        <v>2.6789999999999998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0.2530354541039328</v>
      </c>
      <c r="Q171">
        <f t="shared" ref="Q171" si="831">F171*P171</f>
        <v>226199.88529383094</v>
      </c>
      <c r="R171">
        <f t="shared" ref="R171" si="832">R172+Q171</f>
        <v>6941022.647724011</v>
      </c>
      <c r="S171">
        <f t="shared" ref="S171" si="833">R171/100000</f>
        <v>69.410226477240116</v>
      </c>
      <c r="T171">
        <f t="shared" ref="T171" si="834">S171/1000</f>
        <v>6.9410226477240114E-2</v>
      </c>
    </row>
    <row r="172" spans="1:20" x14ac:dyDescent="0.25">
      <c r="A172" s="5">
        <v>44421</v>
      </c>
      <c r="B172">
        <v>2.4744999999999999</v>
      </c>
      <c r="C172">
        <v>2.7993000000000001</v>
      </c>
      <c r="D172">
        <v>2.4744999999999999</v>
      </c>
      <c r="E172">
        <v>2.6617999999999999</v>
      </c>
      <c r="F172">
        <v>1143795.79</v>
      </c>
      <c r="G172">
        <v>2.6617999999999999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0.1533251231527088</v>
      </c>
      <c r="Q172">
        <f t="shared" ref="Q172" si="836">F172*P172</f>
        <v>175372.63036329986</v>
      </c>
      <c r="R172">
        <f t="shared" ref="R172" si="837">R173+Q172</f>
        <v>6714822.7624301799</v>
      </c>
      <c r="S172">
        <f t="shared" ref="S172" si="838">R172/100000</f>
        <v>67.148227624301796</v>
      </c>
      <c r="T172">
        <f t="shared" ref="T172" si="839">S172/1000</f>
        <v>6.7148227624301796E-2</v>
      </c>
    </row>
    <row r="173" spans="1:20" x14ac:dyDescent="0.25">
      <c r="A173" s="5">
        <v>44420</v>
      </c>
      <c r="B173">
        <v>2.5762999999999998</v>
      </c>
      <c r="C173">
        <v>2.6779999999999999</v>
      </c>
      <c r="D173">
        <v>2.4015</v>
      </c>
      <c r="E173">
        <v>2.4742000000000002</v>
      </c>
      <c r="F173">
        <v>830910.15</v>
      </c>
      <c r="G173">
        <v>2.4742000000000002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-0.47414104882459157</v>
      </c>
      <c r="Q173">
        <f t="shared" ref="Q173" si="841">F173*P173</f>
        <v>-393968.60999999871</v>
      </c>
      <c r="R173">
        <f t="shared" ref="R173" si="842">R174+Q173</f>
        <v>6539450.1320668804</v>
      </c>
      <c r="S173">
        <f t="shared" ref="S173" si="843">R173/100000</f>
        <v>65.394501320668809</v>
      </c>
      <c r="T173">
        <f t="shared" ref="T173" si="844">S173/1000</f>
        <v>6.5394501320668805E-2</v>
      </c>
    </row>
    <row r="174" spans="1:20" x14ac:dyDescent="0.25">
      <c r="A174" s="5">
        <v>44419</v>
      </c>
      <c r="B174">
        <v>2.3538999999999999</v>
      </c>
      <c r="C174">
        <v>2.8506</v>
      </c>
      <c r="D174">
        <v>2.3214000000000001</v>
      </c>
      <c r="E174">
        <v>2.5760000000000001</v>
      </c>
      <c r="F174">
        <v>2024809.21</v>
      </c>
      <c r="G174">
        <v>2.5760000000000001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-3.7792894935752122E-2</v>
      </c>
      <c r="Q174">
        <f t="shared" ref="Q174" si="846">F174*P174</f>
        <v>-76523.401738473258</v>
      </c>
      <c r="R174">
        <f t="shared" ref="R174" si="847">R175+Q174</f>
        <v>6933418.7420668788</v>
      </c>
      <c r="S174">
        <f t="shared" ref="S174" si="848">R174/100000</f>
        <v>69.334187420668783</v>
      </c>
      <c r="T174">
        <f t="shared" ref="T174" si="849">S174/1000</f>
        <v>6.9334187420668783E-2</v>
      </c>
    </row>
    <row r="175" spans="1:20" x14ac:dyDescent="0.25">
      <c r="A175" s="5">
        <v>44418</v>
      </c>
      <c r="B175">
        <v>2.3275999999999999</v>
      </c>
      <c r="C175">
        <v>2.4146999999999998</v>
      </c>
      <c r="D175">
        <v>2.2860999999999998</v>
      </c>
      <c r="E175">
        <v>2.3540000000000001</v>
      </c>
      <c r="F175">
        <v>930743.3</v>
      </c>
      <c r="G175">
        <v>2.3540000000000001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5.5987558320377426E-2</v>
      </c>
      <c r="Q175">
        <f t="shared" ref="Q175" si="851">F175*P175</f>
        <v>52110.044790050546</v>
      </c>
      <c r="R175">
        <f t="shared" ref="R175" si="852">R176+Q175</f>
        <v>7009942.143805352</v>
      </c>
      <c r="S175">
        <f t="shared" ref="S175" si="853">R175/100000</f>
        <v>70.099421438053525</v>
      </c>
      <c r="T175">
        <f t="shared" ref="T175" si="854">S175/1000</f>
        <v>7.0099421438053519E-2</v>
      </c>
    </row>
    <row r="176" spans="1:20" x14ac:dyDescent="0.25">
      <c r="A176" s="5">
        <v>44417</v>
      </c>
      <c r="B176">
        <v>2.2614999999999998</v>
      </c>
      <c r="C176">
        <v>2.35</v>
      </c>
      <c r="D176">
        <v>2.2000000000000002</v>
      </c>
      <c r="E176">
        <v>2.3289</v>
      </c>
      <c r="F176">
        <v>768807.1</v>
      </c>
      <c r="G176">
        <v>2.3289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0.7186666666666649</v>
      </c>
      <c r="Q176">
        <f t="shared" ref="Q176" si="856">F176*P176</f>
        <v>552516.0358666653</v>
      </c>
      <c r="R176">
        <f t="shared" ref="R176" si="857">R177+Q176</f>
        <v>6957832.0990153011</v>
      </c>
      <c r="S176">
        <f t="shared" ref="S176" si="858">R176/100000</f>
        <v>69.578320990153017</v>
      </c>
      <c r="T176">
        <f t="shared" ref="T176" si="859">S176/1000</f>
        <v>6.9578320990153014E-2</v>
      </c>
    </row>
    <row r="177" spans="1:20" x14ac:dyDescent="0.25">
      <c r="A177" s="5">
        <v>44416</v>
      </c>
      <c r="B177">
        <v>2.3894000000000002</v>
      </c>
      <c r="C177">
        <v>2.4230999999999998</v>
      </c>
      <c r="D177">
        <v>2.21</v>
      </c>
      <c r="E177">
        <v>2.2591000000000001</v>
      </c>
      <c r="F177">
        <v>702481.6</v>
      </c>
      <c r="G177">
        <v>2.2591000000000001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-0.53918348193336296</v>
      </c>
      <c r="Q177">
        <f t="shared" ref="Q177" si="861">F177*P177</f>
        <v>-378766.47508211987</v>
      </c>
      <c r="R177">
        <f t="shared" ref="R177" si="862">R178+Q177</f>
        <v>6405316.0631486354</v>
      </c>
      <c r="S177">
        <f t="shared" ref="S177" si="863">R177/100000</f>
        <v>64.05316063148635</v>
      </c>
      <c r="T177">
        <f t="shared" ref="T177" si="864">S177/1000</f>
        <v>6.4053160631486347E-2</v>
      </c>
    </row>
    <row r="178" spans="1:20" x14ac:dyDescent="0.25">
      <c r="A178" s="5">
        <v>44415</v>
      </c>
      <c r="B178">
        <v>2.3256999999999999</v>
      </c>
      <c r="C178">
        <v>2.4544000000000001</v>
      </c>
      <c r="D178">
        <v>2.2999999999999998</v>
      </c>
      <c r="E178">
        <v>2.3807</v>
      </c>
      <c r="F178">
        <v>1186874.1599999999</v>
      </c>
      <c r="G178">
        <v>2.3807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4.5336787564767507E-2</v>
      </c>
      <c r="Q178">
        <f t="shared" ref="Q178" si="866">F178*P178</f>
        <v>53809.061658031875</v>
      </c>
      <c r="R178">
        <f t="shared" ref="R178" si="867">R179+Q178</f>
        <v>6784082.5382307554</v>
      </c>
      <c r="S178">
        <f t="shared" ref="S178" si="868">R178/100000</f>
        <v>67.840825382307557</v>
      </c>
      <c r="T178">
        <f t="shared" ref="T178" si="869">S178/1000</f>
        <v>6.7840825382307554E-2</v>
      </c>
    </row>
    <row r="179" spans="1:20" x14ac:dyDescent="0.25">
      <c r="A179" s="5">
        <v>44414</v>
      </c>
      <c r="B179">
        <v>2.2284999999999999</v>
      </c>
      <c r="C179">
        <v>2.4500000000000002</v>
      </c>
      <c r="D179">
        <v>2.1808999999999998</v>
      </c>
      <c r="E179">
        <v>2.3218999999999999</v>
      </c>
      <c r="F179">
        <v>1217830.6299999999</v>
      </c>
      <c r="G179">
        <v>2.3218999999999999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4.7937569676698898E-2</v>
      </c>
      <c r="Q179">
        <f t="shared" ref="Q179" si="871">F179*P179</f>
        <v>58379.840680043111</v>
      </c>
      <c r="R179">
        <f t="shared" ref="R179" si="872">R180+Q179</f>
        <v>6730273.4765727231</v>
      </c>
      <c r="S179">
        <f t="shared" ref="S179" si="873">R179/100000</f>
        <v>67.302734765727237</v>
      </c>
      <c r="T179">
        <f t="shared" ref="T179" si="874">S179/1000</f>
        <v>6.7302734765727235E-2</v>
      </c>
    </row>
    <row r="180" spans="1:20" x14ac:dyDescent="0.25">
      <c r="A180" s="5">
        <v>44413</v>
      </c>
      <c r="B180">
        <v>2.2130999999999998</v>
      </c>
      <c r="C180">
        <v>2.2599999999999998</v>
      </c>
      <c r="D180">
        <v>2.1612</v>
      </c>
      <c r="E180">
        <v>2.2288000000000001</v>
      </c>
      <c r="F180">
        <v>582923.48</v>
      </c>
      <c r="G180">
        <v>2.2288000000000001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0.36842105263158414</v>
      </c>
      <c r="Q180">
        <f t="shared" ref="Q180" si="876">F180*P180</f>
        <v>214761.28210526617</v>
      </c>
      <c r="R180">
        <f t="shared" ref="R180" si="877">R181+Q180</f>
        <v>6671893.6358926799</v>
      </c>
      <c r="S180">
        <f t="shared" ref="S180" si="878">R180/100000</f>
        <v>66.718936358926797</v>
      </c>
      <c r="T180">
        <f t="shared" ref="T180" si="879">S180/1000</f>
        <v>6.6718936358926798E-2</v>
      </c>
    </row>
    <row r="181" spans="1:20" x14ac:dyDescent="0.25">
      <c r="A181" s="5">
        <v>44412</v>
      </c>
      <c r="B181">
        <v>2.1905999999999999</v>
      </c>
      <c r="C181">
        <v>2.2317999999999998</v>
      </c>
      <c r="D181">
        <v>2.1501000000000001</v>
      </c>
      <c r="E181">
        <v>2.2103999999999999</v>
      </c>
      <c r="F181">
        <v>556706.1</v>
      </c>
      <c r="G181">
        <v>2.2103999999999999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0.47613219094247361</v>
      </c>
      <c r="Q181">
        <f t="shared" ref="Q181" si="881">F181*P181</f>
        <v>265065.6951040398</v>
      </c>
      <c r="R181">
        <f t="shared" ref="R181" si="882">R182+Q181</f>
        <v>6457132.3537874138</v>
      </c>
      <c r="S181">
        <f t="shared" ref="S181" si="883">R181/100000</f>
        <v>64.571323537874136</v>
      </c>
      <c r="T181">
        <f t="shared" ref="T181" si="884">S181/1000</f>
        <v>6.4571323537874134E-2</v>
      </c>
    </row>
    <row r="182" spans="1:20" x14ac:dyDescent="0.25">
      <c r="A182" s="5">
        <v>44411</v>
      </c>
      <c r="B182">
        <v>2.1246999999999998</v>
      </c>
      <c r="C182">
        <v>2.25</v>
      </c>
      <c r="D182">
        <v>2.0299999999999998</v>
      </c>
      <c r="E182">
        <v>2.1892</v>
      </c>
      <c r="F182">
        <v>704550.38</v>
      </c>
      <c r="G182">
        <v>2.1892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0.4472727272727281</v>
      </c>
      <c r="Q182">
        <f t="shared" ref="Q182" si="886">F182*P182</f>
        <v>315126.16996363696</v>
      </c>
      <c r="R182">
        <f t="shared" ref="R182" si="887">R183+Q182</f>
        <v>6192066.6586833736</v>
      </c>
      <c r="S182">
        <f t="shared" ref="S182" si="888">R182/100000</f>
        <v>61.920666586833732</v>
      </c>
      <c r="T182">
        <f t="shared" ref="T182" si="889">S182/1000</f>
        <v>6.1920666586833734E-2</v>
      </c>
    </row>
    <row r="183" spans="1:20" x14ac:dyDescent="0.25">
      <c r="A183" s="5">
        <v>44410</v>
      </c>
      <c r="B183">
        <v>2.1469999999999998</v>
      </c>
      <c r="C183">
        <v>2.3380000000000001</v>
      </c>
      <c r="D183">
        <v>2.0236999999999998</v>
      </c>
      <c r="E183">
        <v>2.1246999999999998</v>
      </c>
      <c r="F183">
        <v>1181112.6299999999</v>
      </c>
      <c r="G183">
        <v>2.1246999999999998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-0.35730194082087241</v>
      </c>
      <c r="Q183">
        <f t="shared" ref="Q183" si="891">F183*P183</f>
        <v>-422013.83502704493</v>
      </c>
      <c r="R183">
        <f t="shared" ref="R183" si="892">R184+Q183</f>
        <v>5876940.4887197362</v>
      </c>
      <c r="S183">
        <f t="shared" ref="S183" si="893">R183/100000</f>
        <v>58.769404887197361</v>
      </c>
      <c r="T183">
        <f t="shared" ref="T183" si="894">S183/1000</f>
        <v>5.8769404887197361E-2</v>
      </c>
    </row>
    <row r="184" spans="1:20" x14ac:dyDescent="0.25">
      <c r="A184" s="5">
        <v>44409</v>
      </c>
      <c r="B184">
        <v>2.2286999999999999</v>
      </c>
      <c r="C184">
        <v>2.2841</v>
      </c>
      <c r="D184">
        <v>2.1204000000000001</v>
      </c>
      <c r="E184">
        <v>2.1490999999999998</v>
      </c>
      <c r="F184">
        <v>930373.8</v>
      </c>
      <c r="G184">
        <v>2.1490999999999998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-0.64935858277336922</v>
      </c>
      <c r="Q184">
        <f t="shared" ref="Q184" si="896">F184*P184</f>
        <v>-604146.21221747412</v>
      </c>
      <c r="R184">
        <f t="shared" ref="R184" si="897">R185+Q184</f>
        <v>6298954.3237467809</v>
      </c>
      <c r="S184">
        <f t="shared" ref="S184" si="898">R184/100000</f>
        <v>62.989543237467807</v>
      </c>
      <c r="T184">
        <f t="shared" ref="T184" si="899">S184/1000</f>
        <v>6.2989543237467804E-2</v>
      </c>
    </row>
    <row r="185" spans="1:20" x14ac:dyDescent="0.25">
      <c r="A185" s="5">
        <v>44408</v>
      </c>
      <c r="B185">
        <v>2.27</v>
      </c>
      <c r="C185">
        <v>2.2705000000000002</v>
      </c>
      <c r="D185">
        <v>2.1634000000000002</v>
      </c>
      <c r="E185">
        <v>2.2288000000000001</v>
      </c>
      <c r="F185">
        <v>3041805.32</v>
      </c>
      <c r="G185">
        <v>2.2288000000000001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0.22128851540616096</v>
      </c>
      <c r="Q185">
        <f t="shared" ref="Q185" si="901">F185*P185</f>
        <v>673116.5834173623</v>
      </c>
      <c r="R185">
        <f t="shared" ref="R185" si="902">R186+Q185</f>
        <v>6903100.5359642552</v>
      </c>
      <c r="S185">
        <f t="shared" ref="S185" si="903">R185/100000</f>
        <v>69.031005359642549</v>
      </c>
      <c r="T185">
        <f t="shared" ref="T185" si="904">S185/1000</f>
        <v>6.9031005359642544E-2</v>
      </c>
    </row>
    <row r="186" spans="1:20" x14ac:dyDescent="0.25">
      <c r="A186" s="5">
        <v>44407</v>
      </c>
      <c r="B186">
        <v>2.0463</v>
      </c>
      <c r="C186">
        <v>2.3784999999999998</v>
      </c>
      <c r="D186">
        <v>1.9950000000000001</v>
      </c>
      <c r="E186">
        <v>2.27</v>
      </c>
      <c r="F186">
        <v>14598003</v>
      </c>
      <c r="G186">
        <v>2.27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0.43415906127770587</v>
      </c>
      <c r="Q186">
        <f t="shared" ref="Q186" si="906">F186*P186</f>
        <v>6337855.2790091345</v>
      </c>
      <c r="R186">
        <f t="shared" ref="R186" si="907">R187+Q186</f>
        <v>6229983.9525468927</v>
      </c>
      <c r="S186">
        <f t="shared" ref="S186" si="908">R186/100000</f>
        <v>62.299839525468926</v>
      </c>
      <c r="T186">
        <f t="shared" ref="T186" si="909">S186/1000</f>
        <v>6.2299839525468928E-2</v>
      </c>
    </row>
    <row r="187" spans="1:20" x14ac:dyDescent="0.25">
      <c r="A187" s="5">
        <v>44406</v>
      </c>
      <c r="B187">
        <v>1.92</v>
      </c>
      <c r="C187">
        <v>2.0678000000000001</v>
      </c>
      <c r="D187">
        <v>1.8855</v>
      </c>
      <c r="E187">
        <v>2.0526</v>
      </c>
      <c r="F187">
        <v>698135.02</v>
      </c>
      <c r="G187">
        <v>2.0526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0.83324190894130457</v>
      </c>
      <c r="Q187">
        <f t="shared" ref="Q187" si="911">F187*P187</f>
        <v>581715.35676357581</v>
      </c>
      <c r="R187">
        <f t="shared" ref="R187" si="912">R188+Q187</f>
        <v>-107871.32646224194</v>
      </c>
      <c r="S187">
        <f t="shared" ref="S187" si="913">R187/100000</f>
        <v>-1.0787132646224193</v>
      </c>
      <c r="T187">
        <f t="shared" ref="T187" si="914">S187/1000</f>
        <v>-1.0787132646224193E-3</v>
      </c>
    </row>
    <row r="188" spans="1:20" x14ac:dyDescent="0.25">
      <c r="A188" s="5">
        <v>44405</v>
      </c>
      <c r="B188">
        <v>1.9520999999999999</v>
      </c>
      <c r="C188">
        <v>1.9999</v>
      </c>
      <c r="D188">
        <v>1.9059999999999999</v>
      </c>
      <c r="E188">
        <v>1.92</v>
      </c>
      <c r="F188">
        <v>572702.1</v>
      </c>
      <c r="G188">
        <v>1.92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-0.70181043663471787</v>
      </c>
      <c r="Q188">
        <f t="shared" ref="Q188" si="916">F188*P188</f>
        <v>-401928.31086261984</v>
      </c>
      <c r="R188">
        <f t="shared" ref="R188" si="917">R189+Q188</f>
        <v>-689586.68322581775</v>
      </c>
      <c r="S188">
        <f t="shared" ref="S188" si="918">R188/100000</f>
        <v>-6.8958668322581778</v>
      </c>
      <c r="T188">
        <f t="shared" ref="T188" si="919">S188/1000</f>
        <v>-6.8958668322581778E-3</v>
      </c>
    </row>
    <row r="189" spans="1:20" x14ac:dyDescent="0.25">
      <c r="A189" s="5">
        <v>44404</v>
      </c>
      <c r="B189">
        <v>1.93</v>
      </c>
      <c r="C189">
        <v>1.9997</v>
      </c>
      <c r="D189">
        <v>1.8543000000000001</v>
      </c>
      <c r="E189">
        <v>1.9521999999999999</v>
      </c>
      <c r="F189">
        <v>640500.9</v>
      </c>
      <c r="G189">
        <v>1.9521999999999999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0.34662998624484037</v>
      </c>
      <c r="Q189">
        <f t="shared" ref="Q189" si="921">F189*P189</f>
        <v>222016.81815680789</v>
      </c>
      <c r="R189">
        <f t="shared" ref="R189" si="922">R190+Q189</f>
        <v>-287658.37236319785</v>
      </c>
      <c r="S189">
        <f t="shared" ref="S189" si="923">R189/100000</f>
        <v>-2.8765837236319785</v>
      </c>
      <c r="T189">
        <f t="shared" ref="T189" si="924">S189/1000</f>
        <v>-2.8765837236319784E-3</v>
      </c>
    </row>
    <row r="190" spans="1:20" x14ac:dyDescent="0.25">
      <c r="A190" s="5">
        <v>44403</v>
      </c>
      <c r="B190">
        <v>1.8720000000000001</v>
      </c>
      <c r="C190">
        <v>2.0998999999999999</v>
      </c>
      <c r="D190">
        <v>1.8625</v>
      </c>
      <c r="E190">
        <v>1.9384999999999999</v>
      </c>
      <c r="F190">
        <v>1303101.03</v>
      </c>
      <c r="G190">
        <v>1.9384999999999999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-0.35973041280539259</v>
      </c>
      <c r="Q190">
        <f t="shared" ref="Q190" si="926">F190*P190</f>
        <v>-468765.07144903229</v>
      </c>
      <c r="R190">
        <f t="shared" ref="R190" si="927">R191+Q190</f>
        <v>-509675.19052000577</v>
      </c>
      <c r="S190">
        <f t="shared" ref="S190" si="928">R190/100000</f>
        <v>-5.0967519052000574</v>
      </c>
      <c r="T190">
        <f t="shared" ref="T190" si="929">S190/1000</f>
        <v>-5.0967519052000573E-3</v>
      </c>
    </row>
    <row r="191" spans="1:20" x14ac:dyDescent="0.25">
      <c r="A191" s="5">
        <v>44402</v>
      </c>
      <c r="B191">
        <v>1.92</v>
      </c>
      <c r="C191">
        <v>1.9343999999999999</v>
      </c>
      <c r="D191">
        <v>1.7557</v>
      </c>
      <c r="E191">
        <v>1.8691</v>
      </c>
      <c r="F191">
        <v>752339.95</v>
      </c>
      <c r="G191">
        <v>1.8691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0.26916620033575867</v>
      </c>
      <c r="Q191">
        <f t="shared" ref="Q191" si="931">F191*P191</f>
        <v>202504.48570229465</v>
      </c>
      <c r="R191">
        <f t="shared" ref="R191" si="932">R192+Q191</f>
        <v>-40910.119070973451</v>
      </c>
      <c r="S191">
        <f t="shared" ref="S191" si="933">R191/100000</f>
        <v>-0.4091011907097345</v>
      </c>
      <c r="T191">
        <f t="shared" ref="T191:T197" si="934">S191/1000</f>
        <v>-4.091011907097345E-4</v>
      </c>
    </row>
    <row r="192" spans="1:20" x14ac:dyDescent="0.25">
      <c r="A192" s="5">
        <v>44401</v>
      </c>
      <c r="B192">
        <v>1.7709999999999999</v>
      </c>
      <c r="C192">
        <v>1.9300999999999999</v>
      </c>
      <c r="D192">
        <v>1.7476</v>
      </c>
      <c r="E192">
        <v>1.9249000000000001</v>
      </c>
      <c r="F192">
        <v>1459051.39</v>
      </c>
      <c r="G192">
        <v>1.9249000000000001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0.9430136986301384</v>
      </c>
      <c r="Q192">
        <f t="shared" ref="Q192" si="936">F192*P192</f>
        <v>1375905.4477753444</v>
      </c>
      <c r="R192">
        <f t="shared" ref="R192" si="937">R193+Q192</f>
        <v>-243414.6047732681</v>
      </c>
      <c r="S192">
        <f t="shared" ref="S192" si="938">R192/100000</f>
        <v>-2.4341460477326811</v>
      </c>
      <c r="T192">
        <f t="shared" si="934"/>
        <v>-2.434146047732681E-3</v>
      </c>
    </row>
    <row r="193" spans="1:20" x14ac:dyDescent="0.25">
      <c r="A193" s="5">
        <v>44400</v>
      </c>
      <c r="B193">
        <v>1.7221</v>
      </c>
      <c r="C193">
        <v>1.7875000000000001</v>
      </c>
      <c r="D193">
        <v>1.6685000000000001</v>
      </c>
      <c r="E193">
        <v>1.7709999999999999</v>
      </c>
      <c r="F193">
        <v>802735.98</v>
      </c>
      <c r="G193">
        <v>1.7709999999999999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0.72268907563024909</v>
      </c>
      <c r="Q193">
        <f t="shared" ref="Q193" si="940">F193*P193</f>
        <v>580128.52336134214</v>
      </c>
      <c r="R193">
        <f t="shared" ref="R193" si="941">R194+Q193</f>
        <v>-1619320.0525486125</v>
      </c>
      <c r="S193">
        <f t="shared" ref="S193" si="942">R193/100000</f>
        <v>-16.193200525486123</v>
      </c>
      <c r="T193">
        <f t="shared" si="934"/>
        <v>-1.6193200525486125E-2</v>
      </c>
    </row>
    <row r="194" spans="1:20" x14ac:dyDescent="0.25">
      <c r="A194" s="5">
        <v>44399</v>
      </c>
      <c r="B194">
        <v>1.7372000000000001</v>
      </c>
      <c r="C194">
        <v>1.756</v>
      </c>
      <c r="D194">
        <v>1.677</v>
      </c>
      <c r="E194">
        <v>1.7222</v>
      </c>
      <c r="F194">
        <v>517142.07</v>
      </c>
      <c r="G194">
        <v>1.7222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0.14430379746835267</v>
      </c>
      <c r="Q194">
        <f t="shared" ref="Q194" si="944">F194*P194</f>
        <v>74625.564531644661</v>
      </c>
      <c r="R194">
        <f t="shared" ref="R194" si="945">R195+Q194</f>
        <v>-2199448.5759099545</v>
      </c>
      <c r="S194">
        <f t="shared" ref="S194" si="946">R194/100000</f>
        <v>-21.994485759099543</v>
      </c>
      <c r="T194">
        <f t="shared" si="934"/>
        <v>-2.1994485759099545E-2</v>
      </c>
    </row>
    <row r="195" spans="1:20" x14ac:dyDescent="0.25">
      <c r="A195" s="5">
        <v>44398</v>
      </c>
      <c r="B195">
        <v>1.65</v>
      </c>
      <c r="C195">
        <v>1.8106</v>
      </c>
      <c r="D195">
        <v>1.5768</v>
      </c>
      <c r="E195">
        <v>1.7319</v>
      </c>
      <c r="F195">
        <v>1455616.41</v>
      </c>
      <c r="G195">
        <v>1.7319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0.32677502138579989</v>
      </c>
      <c r="Q195">
        <f t="shared" ref="Q195" si="948">F195*P195</f>
        <v>475659.08350727125</v>
      </c>
      <c r="R195">
        <f t="shared" ref="R195" si="949">R196+Q195</f>
        <v>-2274074.1404415993</v>
      </c>
      <c r="S195">
        <f t="shared" ref="S195" si="950">R195/100000</f>
        <v>-22.740741404415992</v>
      </c>
      <c r="T195">
        <f t="shared" si="934"/>
        <v>-2.2740741404415992E-2</v>
      </c>
    </row>
    <row r="196" spans="1:20" x14ac:dyDescent="0.25">
      <c r="A196" s="5">
        <v>44397</v>
      </c>
      <c r="B196">
        <v>1.8122</v>
      </c>
      <c r="C196">
        <v>1.8201000000000001</v>
      </c>
      <c r="D196">
        <v>1.6448</v>
      </c>
      <c r="E196">
        <v>1.65</v>
      </c>
      <c r="F196">
        <v>607505.74</v>
      </c>
      <c r="G196">
        <v>1.65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-0.94067313177410306</v>
      </c>
      <c r="Q196">
        <f t="shared" ref="Q196" si="952">F196*P196</f>
        <v>-571464.32701654395</v>
      </c>
      <c r="R196">
        <f t="shared" ref="R196" si="953">R197+Q196</f>
        <v>-2749733.2239488708</v>
      </c>
      <c r="S196">
        <f t="shared" ref="S196" si="954">R196/100000</f>
        <v>-27.497332239488706</v>
      </c>
      <c r="T196">
        <f t="shared" si="934"/>
        <v>-2.7497332239488706E-2</v>
      </c>
    </row>
    <row r="197" spans="1:20" x14ac:dyDescent="0.25">
      <c r="A197" s="5">
        <v>44396</v>
      </c>
      <c r="B197">
        <v>1.9524999999999999</v>
      </c>
      <c r="C197">
        <v>1.97</v>
      </c>
      <c r="D197">
        <v>1.7607999999999999</v>
      </c>
      <c r="E197">
        <v>1.8122</v>
      </c>
      <c r="F197">
        <v>631176.30000000005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-0.50860420650095506</v>
      </c>
      <c r="Q197">
        <f t="shared" ref="Q197" si="956">F197*P197</f>
        <v>-321018.92122370878</v>
      </c>
      <c r="R197">
        <f t="shared" ref="R197" si="957">R198+Q197</f>
        <v>-2178268.8969323267</v>
      </c>
      <c r="S197">
        <f t="shared" ref="S197" si="958">R197/100000</f>
        <v>-21.782688969323267</v>
      </c>
      <c r="T197">
        <f t="shared" si="934"/>
        <v>-2.1782688969323269E-2</v>
      </c>
    </row>
    <row r="198" spans="1:20" x14ac:dyDescent="0.25">
      <c r="A198" s="5">
        <v>44395</v>
      </c>
      <c r="B198">
        <v>1.927</v>
      </c>
      <c r="C198">
        <v>1.9874000000000001</v>
      </c>
      <c r="D198">
        <v>1.9259999999999999</v>
      </c>
      <c r="E198">
        <v>1.9665999999999999</v>
      </c>
      <c r="F198">
        <v>314849.77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0.32247557003256966</v>
      </c>
      <c r="Q198">
        <f t="shared" ref="Q198:Q261" si="960">F198*P198</f>
        <v>101531.35905537345</v>
      </c>
      <c r="R198">
        <f t="shared" ref="R198:R261" si="961">R199+Q198</f>
        <v>-1857249.9757086181</v>
      </c>
      <c r="S198">
        <f t="shared" ref="S198:S261" si="962">R198/100000</f>
        <v>-18.572499757086181</v>
      </c>
      <c r="T198">
        <f t="shared" ref="T198:T261" si="963">S198/1000</f>
        <v>-1.8572499757086181E-2</v>
      </c>
    </row>
    <row r="199" spans="1:20" x14ac:dyDescent="0.25">
      <c r="A199" s="5">
        <v>44394</v>
      </c>
      <c r="B199">
        <v>1.9312</v>
      </c>
      <c r="C199">
        <v>2.0988000000000002</v>
      </c>
      <c r="D199">
        <v>1.9251</v>
      </c>
      <c r="E199">
        <v>1.9298</v>
      </c>
      <c r="F199">
        <v>937325.89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-0.94588370754173956</v>
      </c>
      <c r="Q199">
        <f t="shared" si="960"/>
        <v>-886601.28800806077</v>
      </c>
      <c r="R199">
        <f t="shared" si="961"/>
        <v>-1958781.3347639914</v>
      </c>
      <c r="S199">
        <f t="shared" si="962"/>
        <v>-19.587813347639916</v>
      </c>
      <c r="T199">
        <f t="shared" si="963"/>
        <v>-1.9587813347639916E-2</v>
      </c>
    </row>
    <row r="200" spans="1:20" x14ac:dyDescent="0.25">
      <c r="A200" s="5">
        <v>44393</v>
      </c>
      <c r="B200">
        <v>1.972</v>
      </c>
      <c r="C200">
        <v>2.4</v>
      </c>
      <c r="D200">
        <v>1.9275</v>
      </c>
      <c r="E200">
        <v>1.9349000000000001</v>
      </c>
      <c r="F200">
        <v>2612497.41</v>
      </c>
      <c r="G200">
        <v>0</v>
      </c>
      <c r="L200" t="s">
        <v>8</v>
      </c>
      <c r="M200" t="s">
        <v>8</v>
      </c>
      <c r="N200" t="s">
        <v>7</v>
      </c>
      <c r="P200">
        <f t="shared" si="959"/>
        <v>-0.96867724867724836</v>
      </c>
      <c r="Q200">
        <f t="shared" si="960"/>
        <v>-2530666.8032952375</v>
      </c>
      <c r="R200">
        <f t="shared" si="961"/>
        <v>-1072180.0467559306</v>
      </c>
      <c r="S200">
        <f t="shared" si="962"/>
        <v>-10.721800467559307</v>
      </c>
      <c r="T200">
        <f t="shared" si="963"/>
        <v>-1.0721800467559307E-2</v>
      </c>
    </row>
    <row r="201" spans="1:20" x14ac:dyDescent="0.25">
      <c r="A201" s="5">
        <v>44392</v>
      </c>
      <c r="B201">
        <v>2.0520999999999998</v>
      </c>
      <c r="C201">
        <v>2.06</v>
      </c>
      <c r="D201">
        <v>1.88</v>
      </c>
      <c r="E201">
        <v>1.9746999999999999</v>
      </c>
      <c r="F201">
        <v>614940.21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5.2222222222221358E-2</v>
      </c>
      <c r="Q201">
        <f t="shared" si="960"/>
        <v>32113.544299999467</v>
      </c>
      <c r="R201">
        <f t="shared" si="961"/>
        <v>1458486.7565393068</v>
      </c>
      <c r="S201">
        <f t="shared" si="962"/>
        <v>14.584867565393068</v>
      </c>
      <c r="T201">
        <f t="shared" si="963"/>
        <v>1.4584867565393069E-2</v>
      </c>
    </row>
    <row r="202" spans="1:20" x14ac:dyDescent="0.25">
      <c r="A202" s="5">
        <v>44391</v>
      </c>
      <c r="B202">
        <v>1.974</v>
      </c>
      <c r="C202">
        <v>2.0998999999999999</v>
      </c>
      <c r="D202">
        <v>1.8757999999999999</v>
      </c>
      <c r="E202">
        <v>2.06</v>
      </c>
      <c r="F202">
        <v>676982.48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0.6439089692101756</v>
      </c>
      <c r="Q202">
        <f t="shared" si="960"/>
        <v>435915.09087014833</v>
      </c>
      <c r="R202">
        <f t="shared" si="961"/>
        <v>1426373.2122393074</v>
      </c>
      <c r="S202">
        <f t="shared" si="962"/>
        <v>14.263732122393073</v>
      </c>
      <c r="T202">
        <f t="shared" si="963"/>
        <v>1.4263732122393073E-2</v>
      </c>
    </row>
    <row r="203" spans="1:20" x14ac:dyDescent="0.25">
      <c r="A203" s="5">
        <v>44390</v>
      </c>
      <c r="B203">
        <v>2.0503999999999998</v>
      </c>
      <c r="C203">
        <v>2.0699000000000001</v>
      </c>
      <c r="D203">
        <v>1.9312</v>
      </c>
      <c r="E203">
        <v>1.9681</v>
      </c>
      <c r="F203">
        <v>469079.75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-0.46791636625811217</v>
      </c>
      <c r="Q203">
        <f t="shared" si="960"/>
        <v>-219490.0921052637</v>
      </c>
      <c r="R203">
        <f t="shared" si="961"/>
        <v>990458.12136915897</v>
      </c>
      <c r="S203">
        <f t="shared" si="962"/>
        <v>9.9045812136915892</v>
      </c>
      <c r="T203">
        <f t="shared" si="963"/>
        <v>9.9045812136915896E-3</v>
      </c>
    </row>
    <row r="204" spans="1:20" x14ac:dyDescent="0.25">
      <c r="A204" s="5">
        <v>44389</v>
      </c>
      <c r="B204">
        <v>2.1301000000000001</v>
      </c>
      <c r="C204">
        <v>2.1800000000000002</v>
      </c>
      <c r="D204">
        <v>2.0177</v>
      </c>
      <c r="E204">
        <v>2.0503999999999998</v>
      </c>
      <c r="F204">
        <v>396187.64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-0.59704251386321983</v>
      </c>
      <c r="Q204">
        <f t="shared" si="960"/>
        <v>-236540.86454713636</v>
      </c>
      <c r="R204">
        <f t="shared" si="961"/>
        <v>1209948.2134744227</v>
      </c>
      <c r="S204">
        <f t="shared" si="962"/>
        <v>12.099482134744227</v>
      </c>
      <c r="T204">
        <f t="shared" si="963"/>
        <v>1.2099482134744226E-2</v>
      </c>
    </row>
    <row r="205" spans="1:20" x14ac:dyDescent="0.25">
      <c r="A205" s="5">
        <v>44388</v>
      </c>
      <c r="B205">
        <v>2.0861000000000001</v>
      </c>
      <c r="C205">
        <v>2.2000000000000002</v>
      </c>
      <c r="D205">
        <v>2.0710999999999999</v>
      </c>
      <c r="E205">
        <v>2.1244000000000001</v>
      </c>
      <c r="F205">
        <v>316105.2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-0.17300232738556978</v>
      </c>
      <c r="Q205">
        <f t="shared" si="960"/>
        <v>-54686.935298681012</v>
      </c>
      <c r="R205">
        <f t="shared" si="961"/>
        <v>1446489.0780215592</v>
      </c>
      <c r="S205">
        <f t="shared" si="962"/>
        <v>14.464890780215592</v>
      </c>
      <c r="T205">
        <f t="shared" si="963"/>
        <v>1.4464890780215593E-2</v>
      </c>
    </row>
    <row r="206" spans="1:20" x14ac:dyDescent="0.25">
      <c r="A206" s="5">
        <v>44387</v>
      </c>
      <c r="B206">
        <v>2.1093999999999999</v>
      </c>
      <c r="C206">
        <v>2.15</v>
      </c>
      <c r="D206">
        <v>2.0299999999999998</v>
      </c>
      <c r="E206">
        <v>2.0836000000000001</v>
      </c>
      <c r="F206">
        <v>406515.39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-0.10666666666666223</v>
      </c>
      <c r="Q206">
        <f t="shared" si="960"/>
        <v>-43361.641599998198</v>
      </c>
      <c r="R206">
        <f t="shared" si="961"/>
        <v>1501176.0133202402</v>
      </c>
      <c r="S206">
        <f t="shared" si="962"/>
        <v>15.011760133202403</v>
      </c>
      <c r="T206">
        <f t="shared" si="963"/>
        <v>1.5011760133202403E-2</v>
      </c>
    </row>
    <row r="207" spans="1:20" x14ac:dyDescent="0.25">
      <c r="A207" s="5">
        <v>44386</v>
      </c>
      <c r="B207">
        <v>2.1387</v>
      </c>
      <c r="C207">
        <v>2.2099000000000002</v>
      </c>
      <c r="D207">
        <v>2.0392999999999999</v>
      </c>
      <c r="E207">
        <v>2.101</v>
      </c>
      <c r="F207">
        <v>498137.16</v>
      </c>
      <c r="G207">
        <v>0</v>
      </c>
      <c r="L207" t="s">
        <v>8</v>
      </c>
      <c r="M207" t="s">
        <v>7</v>
      </c>
      <c r="N207" t="s">
        <v>7</v>
      </c>
      <c r="P207">
        <f t="shared" si="959"/>
        <v>-0.27667057444314214</v>
      </c>
      <c r="Q207">
        <f t="shared" si="960"/>
        <v>-137819.8942086754</v>
      </c>
      <c r="R207">
        <f t="shared" si="961"/>
        <v>1544537.6549202383</v>
      </c>
      <c r="S207">
        <f t="shared" si="962"/>
        <v>15.445376549202383</v>
      </c>
      <c r="T207">
        <f t="shared" si="963"/>
        <v>1.5445376549202383E-2</v>
      </c>
    </row>
    <row r="208" spans="1:20" x14ac:dyDescent="0.25">
      <c r="A208" s="5">
        <v>44385</v>
      </c>
      <c r="B208">
        <v>2.2309000000000001</v>
      </c>
      <c r="C208">
        <v>2.2326000000000001</v>
      </c>
      <c r="D208">
        <v>2.0133000000000001</v>
      </c>
      <c r="E208">
        <v>2.1393</v>
      </c>
      <c r="F208">
        <v>1905221.37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0.14911080711354183</v>
      </c>
      <c r="Q208">
        <f t="shared" si="960"/>
        <v>284089.09621066792</v>
      </c>
      <c r="R208">
        <f t="shared" si="961"/>
        <v>1682357.5491289138</v>
      </c>
      <c r="S208">
        <f t="shared" si="962"/>
        <v>16.823575491289137</v>
      </c>
      <c r="T208">
        <f t="shared" si="963"/>
        <v>1.6823575491289138E-2</v>
      </c>
    </row>
    <row r="209" spans="1:20" x14ac:dyDescent="0.25">
      <c r="A209" s="5">
        <v>44384</v>
      </c>
      <c r="B209">
        <v>2.2345000000000002</v>
      </c>
      <c r="C209">
        <v>2.35</v>
      </c>
      <c r="D209">
        <v>2.2082000000000002</v>
      </c>
      <c r="E209">
        <v>2.2309999999999999</v>
      </c>
      <c r="F209">
        <v>1225665.3600000001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-0.67842031029619576</v>
      </c>
      <c r="Q209">
        <f t="shared" si="960"/>
        <v>-831516.2738504986</v>
      </c>
      <c r="R209">
        <f t="shared" si="961"/>
        <v>1398268.4529182459</v>
      </c>
      <c r="S209">
        <f t="shared" si="962"/>
        <v>13.982684529182459</v>
      </c>
      <c r="T209">
        <f t="shared" si="963"/>
        <v>1.3982684529182459E-2</v>
      </c>
    </row>
    <row r="210" spans="1:20" x14ac:dyDescent="0.25">
      <c r="A210" s="5">
        <v>44383</v>
      </c>
      <c r="B210">
        <v>2.2427999999999999</v>
      </c>
      <c r="C210">
        <v>2.3616999999999999</v>
      </c>
      <c r="D210">
        <v>2.1760999999999999</v>
      </c>
      <c r="E210">
        <v>2.2370999999999999</v>
      </c>
      <c r="F210">
        <v>1226846.96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-0.34267241379310404</v>
      </c>
      <c r="Q210">
        <f t="shared" si="960"/>
        <v>-420406.60913793172</v>
      </c>
      <c r="R210">
        <f t="shared" si="961"/>
        <v>2229784.7267687446</v>
      </c>
      <c r="S210">
        <f t="shared" si="962"/>
        <v>22.297847267687448</v>
      </c>
      <c r="T210">
        <f t="shared" si="963"/>
        <v>2.2297847267687448E-2</v>
      </c>
    </row>
    <row r="211" spans="1:20" x14ac:dyDescent="0.25">
      <c r="A211" s="5">
        <v>44382</v>
      </c>
      <c r="B211">
        <v>2.3506999999999998</v>
      </c>
      <c r="C211">
        <v>2.3506999999999998</v>
      </c>
      <c r="D211">
        <v>2.2000000000000002</v>
      </c>
      <c r="E211">
        <v>2.2427999999999999</v>
      </c>
      <c r="F211">
        <v>567476.77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-0.43198407431984293</v>
      </c>
      <c r="Q211">
        <f t="shared" si="960"/>
        <v>-245140.92718646443</v>
      </c>
      <c r="R211">
        <f t="shared" si="961"/>
        <v>2650191.3359066765</v>
      </c>
      <c r="S211">
        <f t="shared" si="962"/>
        <v>26.501913359066766</v>
      </c>
      <c r="T211">
        <f t="shared" si="963"/>
        <v>2.6501913359066764E-2</v>
      </c>
    </row>
    <row r="212" spans="1:20" x14ac:dyDescent="0.25">
      <c r="A212" s="5">
        <v>44381</v>
      </c>
      <c r="B212">
        <v>2.3266</v>
      </c>
      <c r="C212">
        <v>2.4</v>
      </c>
      <c r="D212">
        <v>2.2765</v>
      </c>
      <c r="E212">
        <v>2.3506999999999998</v>
      </c>
      <c r="F212">
        <v>622859.31000000006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0.20161943319837825</v>
      </c>
      <c r="Q212">
        <f t="shared" si="960"/>
        <v>125580.54104453298</v>
      </c>
      <c r="R212">
        <f t="shared" si="961"/>
        <v>2895332.2630931409</v>
      </c>
      <c r="S212">
        <f t="shared" si="962"/>
        <v>28.95332263093141</v>
      </c>
      <c r="T212">
        <f t="shared" si="963"/>
        <v>2.8953322630931411E-2</v>
      </c>
    </row>
    <row r="213" spans="1:20" x14ac:dyDescent="0.25">
      <c r="A213" s="5">
        <v>44380</v>
      </c>
      <c r="B213">
        <v>2.2867000000000002</v>
      </c>
      <c r="C213">
        <v>2.3988</v>
      </c>
      <c r="D213">
        <v>2.242</v>
      </c>
      <c r="E213">
        <v>2.3233000000000001</v>
      </c>
      <c r="F213">
        <v>590992.25</v>
      </c>
      <c r="G213">
        <v>0</v>
      </c>
      <c r="L213" t="s">
        <v>7</v>
      </c>
      <c r="M213" t="s">
        <v>8</v>
      </c>
      <c r="N213" t="s">
        <v>7</v>
      </c>
      <c r="P213">
        <f t="shared" si="959"/>
        <v>3.6989795918368928E-2</v>
      </c>
      <c r="Q213">
        <f t="shared" si="960"/>
        <v>21860.682716837669</v>
      </c>
      <c r="R213">
        <f t="shared" si="961"/>
        <v>2769751.7220486081</v>
      </c>
      <c r="S213">
        <f t="shared" si="962"/>
        <v>27.69751722048608</v>
      </c>
      <c r="T213">
        <f t="shared" si="963"/>
        <v>2.7697517220486082E-2</v>
      </c>
    </row>
    <row r="214" spans="1:20" x14ac:dyDescent="0.25">
      <c r="A214" s="5">
        <v>44379</v>
      </c>
      <c r="B214">
        <v>2.2995000000000001</v>
      </c>
      <c r="C214">
        <v>2.3938999999999999</v>
      </c>
      <c r="D214">
        <v>2.2349000000000001</v>
      </c>
      <c r="E214">
        <v>2.2867999999999999</v>
      </c>
      <c r="F214">
        <v>2094491.85</v>
      </c>
      <c r="G214">
        <v>0</v>
      </c>
      <c r="L214" t="s">
        <v>8</v>
      </c>
      <c r="M214" t="s">
        <v>8</v>
      </c>
      <c r="N214" t="s">
        <v>7</v>
      </c>
      <c r="P214">
        <f t="shared" si="959"/>
        <v>-0.34716981132075603</v>
      </c>
      <c r="Q214">
        <f t="shared" si="960"/>
        <v>-727144.34037736128</v>
      </c>
      <c r="R214">
        <f t="shared" si="961"/>
        <v>2747891.0393317705</v>
      </c>
      <c r="S214">
        <f t="shared" si="962"/>
        <v>27.478910393317705</v>
      </c>
      <c r="T214">
        <f t="shared" si="963"/>
        <v>2.7478910393317704E-2</v>
      </c>
    </row>
    <row r="215" spans="1:20" x14ac:dyDescent="0.25">
      <c r="A215" s="5">
        <v>44378</v>
      </c>
      <c r="B215">
        <v>2.3184</v>
      </c>
      <c r="C215">
        <v>2.4741</v>
      </c>
      <c r="D215">
        <v>2.1413000000000002</v>
      </c>
      <c r="E215">
        <v>2.2936000000000001</v>
      </c>
      <c r="F215">
        <v>989032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-8.4735576923076997E-2</v>
      </c>
      <c r="Q215">
        <f t="shared" si="960"/>
        <v>-83806.197115384683</v>
      </c>
      <c r="R215">
        <f t="shared" si="961"/>
        <v>3475035.3797091316</v>
      </c>
      <c r="S215">
        <f t="shared" si="962"/>
        <v>34.750353797091314</v>
      </c>
      <c r="T215">
        <f t="shared" si="963"/>
        <v>3.4750353797091314E-2</v>
      </c>
    </row>
    <row r="216" spans="1:20" x14ac:dyDescent="0.25">
      <c r="A216" s="5">
        <v>44377</v>
      </c>
      <c r="B216">
        <v>2.3169</v>
      </c>
      <c r="C216">
        <v>2.3458000000000001</v>
      </c>
      <c r="D216">
        <v>2.1675</v>
      </c>
      <c r="E216">
        <v>2.3285</v>
      </c>
      <c r="F216">
        <v>527318.21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0.80594503645541127</v>
      </c>
      <c r="Q216">
        <f t="shared" si="960"/>
        <v>424989.4939820522</v>
      </c>
      <c r="R216">
        <f t="shared" si="961"/>
        <v>3558841.5768245161</v>
      </c>
      <c r="S216">
        <f t="shared" si="962"/>
        <v>35.588415768245163</v>
      </c>
      <c r="T216">
        <f t="shared" si="963"/>
        <v>3.558841576824516E-2</v>
      </c>
    </row>
    <row r="217" spans="1:20" x14ac:dyDescent="0.25">
      <c r="A217" s="5">
        <v>44376</v>
      </c>
      <c r="B217">
        <v>2.2334999999999998</v>
      </c>
      <c r="C217">
        <v>2.4323000000000001</v>
      </c>
      <c r="D217">
        <v>2.2101000000000002</v>
      </c>
      <c r="E217">
        <v>2.3169</v>
      </c>
      <c r="F217">
        <v>808561.99</v>
      </c>
      <c r="G217">
        <v>0</v>
      </c>
      <c r="L217" t="s">
        <v>7</v>
      </c>
      <c r="M217" t="s">
        <v>8</v>
      </c>
      <c r="N217" t="s">
        <v>7</v>
      </c>
      <c r="P217">
        <f t="shared" si="959"/>
        <v>-3.8703870387040443E-2</v>
      </c>
      <c r="Q217">
        <f t="shared" si="960"/>
        <v>-31294.478460847491</v>
      </c>
      <c r="R217">
        <f t="shared" si="961"/>
        <v>3133852.0828424636</v>
      </c>
      <c r="S217">
        <f t="shared" si="962"/>
        <v>31.338520828424635</v>
      </c>
      <c r="T217">
        <f t="shared" si="963"/>
        <v>3.1338520828424636E-2</v>
      </c>
    </row>
    <row r="218" spans="1:20" x14ac:dyDescent="0.25">
      <c r="A218" s="5">
        <v>44375</v>
      </c>
      <c r="B218">
        <v>2.1789000000000001</v>
      </c>
      <c r="C218">
        <v>2.4</v>
      </c>
      <c r="D218">
        <v>2.1469</v>
      </c>
      <c r="E218">
        <v>2.2334999999999998</v>
      </c>
      <c r="F218">
        <v>722146.71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-0.31568549980245098</v>
      </c>
      <c r="Q218">
        <f t="shared" si="960"/>
        <v>-227971.24507704561</v>
      </c>
      <c r="R218">
        <f t="shared" si="961"/>
        <v>3165146.561303311</v>
      </c>
      <c r="S218">
        <f t="shared" si="962"/>
        <v>31.65146561303311</v>
      </c>
      <c r="T218">
        <f t="shared" si="963"/>
        <v>3.1651465613033107E-2</v>
      </c>
    </row>
    <row r="219" spans="1:20" x14ac:dyDescent="0.25">
      <c r="A219" s="5">
        <v>44374</v>
      </c>
      <c r="B219">
        <v>2.1448</v>
      </c>
      <c r="C219">
        <v>2.2267000000000001</v>
      </c>
      <c r="D219">
        <v>2.0627</v>
      </c>
      <c r="E219">
        <v>2.1787000000000001</v>
      </c>
      <c r="F219">
        <v>547982.85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0.41463414634146339</v>
      </c>
      <c r="Q219">
        <f t="shared" si="960"/>
        <v>227212.40121951216</v>
      </c>
      <c r="R219">
        <f t="shared" si="961"/>
        <v>3393117.8063803567</v>
      </c>
      <c r="S219">
        <f t="shared" si="962"/>
        <v>33.931178063803564</v>
      </c>
      <c r="T219">
        <f t="shared" si="963"/>
        <v>3.3931178063803566E-2</v>
      </c>
    </row>
    <row r="220" spans="1:20" x14ac:dyDescent="0.25">
      <c r="A220" s="5">
        <v>44373</v>
      </c>
      <c r="B220">
        <v>2.1720999999999999</v>
      </c>
      <c r="C220">
        <v>2.25</v>
      </c>
      <c r="D220">
        <v>2.0057</v>
      </c>
      <c r="E220">
        <v>2.1448</v>
      </c>
      <c r="F220">
        <v>517550.34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0.13876381498158022</v>
      </c>
      <c r="Q220">
        <f t="shared" si="960"/>
        <v>71817.259623413935</v>
      </c>
      <c r="R220">
        <f t="shared" si="961"/>
        <v>3165905.4051608443</v>
      </c>
      <c r="S220">
        <f t="shared" si="962"/>
        <v>31.659054051608443</v>
      </c>
      <c r="T220">
        <f t="shared" si="963"/>
        <v>3.1659054051608446E-2</v>
      </c>
    </row>
    <row r="221" spans="1:20" x14ac:dyDescent="0.25">
      <c r="A221" s="5">
        <v>44372</v>
      </c>
      <c r="B221">
        <v>2.2827000000000002</v>
      </c>
      <c r="C221">
        <v>2.3298000000000001</v>
      </c>
      <c r="D221">
        <v>2.1000999999999999</v>
      </c>
      <c r="E221">
        <v>2.1720999999999999</v>
      </c>
      <c r="F221">
        <v>687584.65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-0.37309534175010894</v>
      </c>
      <c r="Q221">
        <f t="shared" si="960"/>
        <v>-256534.62997387905</v>
      </c>
      <c r="R221">
        <f t="shared" si="961"/>
        <v>3094088.1455374304</v>
      </c>
      <c r="S221">
        <f t="shared" si="962"/>
        <v>30.940881455374303</v>
      </c>
      <c r="T221">
        <f t="shared" si="963"/>
        <v>3.0940881455374304E-2</v>
      </c>
    </row>
    <row r="222" spans="1:20" x14ac:dyDescent="0.25">
      <c r="A222" s="5">
        <v>44371</v>
      </c>
      <c r="B222">
        <v>2.2071000000000001</v>
      </c>
      <c r="C222">
        <v>2.3481999999999998</v>
      </c>
      <c r="D222">
        <v>2.1194000000000002</v>
      </c>
      <c r="E222">
        <v>2.2827000000000002</v>
      </c>
      <c r="F222">
        <v>563508.02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0.4274475524475545</v>
      </c>
      <c r="Q222">
        <f t="shared" si="960"/>
        <v>240870.12393356761</v>
      </c>
      <c r="R222">
        <f t="shared" si="961"/>
        <v>3350622.7755113095</v>
      </c>
      <c r="S222">
        <f t="shared" si="962"/>
        <v>33.506227755113095</v>
      </c>
      <c r="T222">
        <f t="shared" si="963"/>
        <v>3.3506227755113097E-2</v>
      </c>
    </row>
    <row r="223" spans="1:20" x14ac:dyDescent="0.25">
      <c r="A223" s="5">
        <v>44370</v>
      </c>
      <c r="B223">
        <v>2.1469999999999998</v>
      </c>
      <c r="C223">
        <v>2.4293999999999998</v>
      </c>
      <c r="D223">
        <v>2.0554000000000001</v>
      </c>
      <c r="E223">
        <v>2.2071000000000001</v>
      </c>
      <c r="F223">
        <v>1058533.1399999999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-0.1887700534759354</v>
      </c>
      <c r="Q223">
        <f t="shared" si="960"/>
        <v>-199819.35744384979</v>
      </c>
      <c r="R223">
        <f t="shared" si="961"/>
        <v>3109752.6515777418</v>
      </c>
      <c r="S223">
        <f t="shared" si="962"/>
        <v>31.097526515777417</v>
      </c>
      <c r="T223">
        <f t="shared" si="963"/>
        <v>3.1097526515777418E-2</v>
      </c>
    </row>
    <row r="224" spans="1:20" x14ac:dyDescent="0.25">
      <c r="A224" s="5">
        <v>44369</v>
      </c>
      <c r="B224">
        <v>2.1985000000000001</v>
      </c>
      <c r="C224">
        <v>2.3702000000000001</v>
      </c>
      <c r="D224">
        <v>1.8</v>
      </c>
      <c r="E224">
        <v>2.1509</v>
      </c>
      <c r="F224">
        <v>1487468.39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0.23079621185548918</v>
      </c>
      <c r="Q224">
        <f t="shared" si="960"/>
        <v>343302.06966678338</v>
      </c>
      <c r="R224">
        <f t="shared" si="961"/>
        <v>3309572.0090215914</v>
      </c>
      <c r="S224">
        <f t="shared" si="962"/>
        <v>33.095720090215913</v>
      </c>
      <c r="T224">
        <f t="shared" si="963"/>
        <v>3.3095720090215913E-2</v>
      </c>
    </row>
    <row r="225" spans="1:20" x14ac:dyDescent="0.25">
      <c r="A225" s="5">
        <v>44368</v>
      </c>
      <c r="B225">
        <v>2.6657000000000002</v>
      </c>
      <c r="C225">
        <v>2.6810999999999998</v>
      </c>
      <c r="D225">
        <v>2.1747999999999998</v>
      </c>
      <c r="E225">
        <v>2.206</v>
      </c>
      <c r="F225">
        <v>978571.73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-0.87675291329251381</v>
      </c>
      <c r="Q225">
        <f t="shared" si="960"/>
        <v>-857965.61514319526</v>
      </c>
      <c r="R225">
        <f t="shared" si="961"/>
        <v>2966269.9393548081</v>
      </c>
      <c r="S225">
        <f t="shared" si="962"/>
        <v>29.662699393548081</v>
      </c>
      <c r="T225">
        <f t="shared" si="963"/>
        <v>2.966269939354808E-2</v>
      </c>
    </row>
    <row r="226" spans="1:20" x14ac:dyDescent="0.25">
      <c r="A226" s="5">
        <v>44367</v>
      </c>
      <c r="B226">
        <v>2.7614999999999998</v>
      </c>
      <c r="C226">
        <v>2.7835999999999999</v>
      </c>
      <c r="D226">
        <v>2.4399000000000002</v>
      </c>
      <c r="E226">
        <v>2.6764999999999999</v>
      </c>
      <c r="F226">
        <v>902100.52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0.3767820773930749</v>
      </c>
      <c r="Q226">
        <f t="shared" si="960"/>
        <v>339895.3079429731</v>
      </c>
      <c r="R226">
        <f t="shared" si="961"/>
        <v>3824235.5544980033</v>
      </c>
      <c r="S226">
        <f t="shared" si="962"/>
        <v>38.242355544980036</v>
      </c>
      <c r="T226">
        <f t="shared" si="963"/>
        <v>3.8242355544980039E-2</v>
      </c>
    </row>
    <row r="227" spans="1:20" x14ac:dyDescent="0.25">
      <c r="A227" s="5">
        <v>44366</v>
      </c>
      <c r="B227">
        <v>2.8086000000000002</v>
      </c>
      <c r="C227">
        <v>2.8656999999999999</v>
      </c>
      <c r="D227">
        <v>2.7206000000000001</v>
      </c>
      <c r="E227">
        <v>2.7538999999999998</v>
      </c>
      <c r="F227">
        <v>429950.82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-0.54100620261888754</v>
      </c>
      <c r="Q227">
        <f t="shared" si="960"/>
        <v>-232606.06044107684</v>
      </c>
      <c r="R227">
        <f t="shared" si="961"/>
        <v>3484340.2465550303</v>
      </c>
      <c r="S227">
        <f t="shared" si="962"/>
        <v>34.843402465550305</v>
      </c>
      <c r="T227">
        <f t="shared" si="963"/>
        <v>3.4843402465550302E-2</v>
      </c>
    </row>
    <row r="228" spans="1:20" x14ac:dyDescent="0.25">
      <c r="A228" s="5">
        <v>44365</v>
      </c>
      <c r="B228">
        <v>3.0920999999999998</v>
      </c>
      <c r="C228">
        <v>3.1191</v>
      </c>
      <c r="D228">
        <v>2.72</v>
      </c>
      <c r="E228">
        <v>2.8142999999999998</v>
      </c>
      <c r="F228">
        <v>1315557.1100000001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-0.5274367326484608</v>
      </c>
      <c r="Q228">
        <f t="shared" si="960"/>
        <v>-693873.14371085179</v>
      </c>
      <c r="R228">
        <f t="shared" si="961"/>
        <v>3716946.3069961071</v>
      </c>
      <c r="S228">
        <f t="shared" si="962"/>
        <v>37.169463069961068</v>
      </c>
      <c r="T228">
        <f t="shared" si="963"/>
        <v>3.7169463069961071E-2</v>
      </c>
    </row>
    <row r="229" spans="1:20" x14ac:dyDescent="0.25">
      <c r="A229" s="5">
        <v>44364</v>
      </c>
      <c r="B229">
        <v>3.36</v>
      </c>
      <c r="C229">
        <v>3.5998999999999999</v>
      </c>
      <c r="D229">
        <v>3.0215999999999998</v>
      </c>
      <c r="E229">
        <v>3.0920999999999998</v>
      </c>
      <c r="F229">
        <v>4025645.22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-0.75618191250216149</v>
      </c>
      <c r="Q229">
        <f t="shared" si="960"/>
        <v>-3044120.1015147846</v>
      </c>
      <c r="R229">
        <f t="shared" si="961"/>
        <v>4410819.4507069588</v>
      </c>
      <c r="S229">
        <f t="shared" si="962"/>
        <v>44.108194507069591</v>
      </c>
      <c r="T229">
        <f t="shared" si="963"/>
        <v>4.4108194507069591E-2</v>
      </c>
    </row>
    <row r="230" spans="1:20" x14ac:dyDescent="0.25">
      <c r="A230" s="5">
        <v>44363</v>
      </c>
      <c r="B230">
        <v>2.9485999999999999</v>
      </c>
      <c r="C230">
        <v>3.9079000000000002</v>
      </c>
      <c r="D230">
        <v>2.8580000000000001</v>
      </c>
      <c r="E230">
        <v>3.3597999999999999</v>
      </c>
      <c r="F230">
        <v>13679046.859999999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-4.4099438041718689E-2</v>
      </c>
      <c r="Q230">
        <f t="shared" si="960"/>
        <v>-603238.27947233652</v>
      </c>
      <c r="R230">
        <f t="shared" si="961"/>
        <v>7454939.5522217434</v>
      </c>
      <c r="S230">
        <f t="shared" si="962"/>
        <v>74.549395522217438</v>
      </c>
      <c r="T230">
        <f t="shared" si="963"/>
        <v>7.454939552221744E-2</v>
      </c>
    </row>
    <row r="231" spans="1:20" x14ac:dyDescent="0.25">
      <c r="A231" s="5">
        <v>44362</v>
      </c>
      <c r="B231">
        <v>2.8386999999999998</v>
      </c>
      <c r="C231">
        <v>2.9820000000000002</v>
      </c>
      <c r="D231">
        <v>2.8121999999999998</v>
      </c>
      <c r="E231">
        <v>2.9508000000000001</v>
      </c>
      <c r="F231">
        <v>727999.1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0.63250883392226098</v>
      </c>
      <c r="Q231">
        <f t="shared" si="960"/>
        <v>460465.86183745548</v>
      </c>
      <c r="R231">
        <f t="shared" si="961"/>
        <v>8058177.8316940796</v>
      </c>
      <c r="S231">
        <f t="shared" si="962"/>
        <v>80.581778316940799</v>
      </c>
      <c r="T231">
        <f t="shared" si="963"/>
        <v>8.05817783169408E-2</v>
      </c>
    </row>
    <row r="232" spans="1:20" x14ac:dyDescent="0.25">
      <c r="A232" s="5">
        <v>44361</v>
      </c>
      <c r="B232">
        <v>2.8157999999999999</v>
      </c>
      <c r="C232">
        <v>2.9996999999999998</v>
      </c>
      <c r="D232">
        <v>2.7</v>
      </c>
      <c r="E232">
        <v>2.8479999999999999</v>
      </c>
      <c r="F232">
        <v>1021394.33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-1.2345679012346558E-2</v>
      </c>
      <c r="Q232">
        <f t="shared" si="960"/>
        <v>-12609.806543210774</v>
      </c>
      <c r="R232">
        <f t="shared" si="961"/>
        <v>7597711.9698566245</v>
      </c>
      <c r="S232">
        <f t="shared" si="962"/>
        <v>75.977119698566241</v>
      </c>
      <c r="T232">
        <f t="shared" si="963"/>
        <v>7.5977119698566242E-2</v>
      </c>
    </row>
    <row r="233" spans="1:20" x14ac:dyDescent="0.25">
      <c r="A233" s="5">
        <v>44360</v>
      </c>
      <c r="B233">
        <v>2.4830999999999999</v>
      </c>
      <c r="C233">
        <v>2.9144000000000001</v>
      </c>
      <c r="D233">
        <v>2.4020999999999999</v>
      </c>
      <c r="E233">
        <v>2.8166000000000002</v>
      </c>
      <c r="F233">
        <v>1493389.68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0.61819246535233319</v>
      </c>
      <c r="Q233">
        <f t="shared" si="960"/>
        <v>923202.24801093189</v>
      </c>
      <c r="R233">
        <f t="shared" si="961"/>
        <v>7610321.776399835</v>
      </c>
      <c r="S233">
        <f t="shared" si="962"/>
        <v>76.103217763998344</v>
      </c>
      <c r="T233">
        <f t="shared" si="963"/>
        <v>7.6103217763998338E-2</v>
      </c>
    </row>
    <row r="234" spans="1:20" x14ac:dyDescent="0.25">
      <c r="A234" s="5">
        <v>44359</v>
      </c>
      <c r="B234">
        <v>2.5567000000000002</v>
      </c>
      <c r="C234">
        <v>2.5977000000000001</v>
      </c>
      <c r="D234">
        <v>2.3675000000000002</v>
      </c>
      <c r="E234">
        <v>2.4925999999999999</v>
      </c>
      <c r="F234">
        <v>405408.09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8.6880973066896516E-2</v>
      </c>
      <c r="Q234">
        <f t="shared" si="960"/>
        <v>35222.249348391961</v>
      </c>
      <c r="R234">
        <f t="shared" si="961"/>
        <v>6687119.5283889035</v>
      </c>
      <c r="S234">
        <f t="shared" si="962"/>
        <v>66.871195283889037</v>
      </c>
      <c r="T234">
        <f t="shared" si="963"/>
        <v>6.6871195283889032E-2</v>
      </c>
    </row>
    <row r="235" spans="1:20" x14ac:dyDescent="0.25">
      <c r="A235" s="5">
        <v>44358</v>
      </c>
      <c r="B235">
        <v>2.8254000000000001</v>
      </c>
      <c r="C235">
        <v>2.8605999999999998</v>
      </c>
      <c r="D235">
        <v>2.52</v>
      </c>
      <c r="E235">
        <v>2.5728</v>
      </c>
      <c r="F235">
        <v>571813.38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-0.68995889606576633</v>
      </c>
      <c r="Q235">
        <f t="shared" si="960"/>
        <v>-394527.72842043452</v>
      </c>
      <c r="R235">
        <f t="shared" si="961"/>
        <v>6651897.2790405117</v>
      </c>
      <c r="S235">
        <f t="shared" si="962"/>
        <v>66.518972790405115</v>
      </c>
      <c r="T235">
        <f t="shared" si="963"/>
        <v>6.6518972790405112E-2</v>
      </c>
    </row>
    <row r="236" spans="1:20" x14ac:dyDescent="0.25">
      <c r="A236" s="5">
        <v>44357</v>
      </c>
      <c r="B236">
        <v>2.8839000000000001</v>
      </c>
      <c r="C236">
        <v>3.0649999999999999</v>
      </c>
      <c r="D236">
        <v>2.7690000000000001</v>
      </c>
      <c r="E236">
        <v>2.8159000000000001</v>
      </c>
      <c r="F236">
        <v>870239.22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-0.68310810810810829</v>
      </c>
      <c r="Q236">
        <f t="shared" si="960"/>
        <v>-594467.46717567579</v>
      </c>
      <c r="R236">
        <f t="shared" si="961"/>
        <v>7046425.0074609462</v>
      </c>
      <c r="S236">
        <f t="shared" si="962"/>
        <v>70.464250074609467</v>
      </c>
      <c r="T236">
        <f t="shared" si="963"/>
        <v>7.0464250074609464E-2</v>
      </c>
    </row>
    <row r="237" spans="1:20" x14ac:dyDescent="0.25">
      <c r="A237" s="5">
        <v>44356</v>
      </c>
      <c r="B237">
        <v>2.7311000000000001</v>
      </c>
      <c r="C237">
        <v>2.8999000000000001</v>
      </c>
      <c r="D237">
        <v>2.5806</v>
      </c>
      <c r="E237">
        <v>2.8849</v>
      </c>
      <c r="F237">
        <v>811541.47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0.90604447228311857</v>
      </c>
      <c r="Q237">
        <f t="shared" si="960"/>
        <v>735292.66292201623</v>
      </c>
      <c r="R237">
        <f t="shared" si="961"/>
        <v>7640892.4746366218</v>
      </c>
      <c r="S237">
        <f t="shared" si="962"/>
        <v>76.408924746366225</v>
      </c>
      <c r="T237">
        <f t="shared" si="963"/>
        <v>7.6408924746366222E-2</v>
      </c>
    </row>
    <row r="238" spans="1:20" x14ac:dyDescent="0.25">
      <c r="A238" s="5">
        <v>44355</v>
      </c>
      <c r="B238">
        <v>2.6027999999999998</v>
      </c>
      <c r="C238">
        <v>2.7536</v>
      </c>
      <c r="D238">
        <v>2.3088000000000002</v>
      </c>
      <c r="E238">
        <v>2.7151000000000001</v>
      </c>
      <c r="F238">
        <v>700895.92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0.82688848920863312</v>
      </c>
      <c r="Q238">
        <f t="shared" si="960"/>
        <v>579562.76838129503</v>
      </c>
      <c r="R238">
        <f t="shared" si="961"/>
        <v>6905599.8117146054</v>
      </c>
      <c r="S238">
        <f t="shared" si="962"/>
        <v>69.055998117146061</v>
      </c>
      <c r="T238">
        <f t="shared" si="963"/>
        <v>6.9055998117146064E-2</v>
      </c>
    </row>
    <row r="239" spans="1:20" x14ac:dyDescent="0.25">
      <c r="A239" s="5">
        <v>44354</v>
      </c>
      <c r="B239">
        <v>2.8685</v>
      </c>
      <c r="C239">
        <v>2.9323999999999999</v>
      </c>
      <c r="D239">
        <v>2.6</v>
      </c>
      <c r="E239">
        <v>2.6059000000000001</v>
      </c>
      <c r="F239">
        <v>464110.58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-0.96450060168471707</v>
      </c>
      <c r="Q239">
        <f t="shared" si="960"/>
        <v>-447634.93365824304</v>
      </c>
      <c r="R239">
        <f t="shared" si="961"/>
        <v>6326037.0433333106</v>
      </c>
      <c r="S239">
        <f t="shared" si="962"/>
        <v>63.260370433333108</v>
      </c>
      <c r="T239">
        <f t="shared" si="963"/>
        <v>6.3260370433333102E-2</v>
      </c>
    </row>
    <row r="240" spans="1:20" x14ac:dyDescent="0.25">
      <c r="A240" s="5">
        <v>44353</v>
      </c>
      <c r="B240">
        <v>2.8681000000000001</v>
      </c>
      <c r="C240">
        <v>3.0628000000000002</v>
      </c>
      <c r="D240">
        <v>2.8180000000000001</v>
      </c>
      <c r="E240">
        <v>2.8685</v>
      </c>
      <c r="F240">
        <v>646443.93000000005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-0.58741830065359513</v>
      </c>
      <c r="Q240">
        <f t="shared" si="960"/>
        <v>-379732.99482843163</v>
      </c>
      <c r="R240">
        <f t="shared" si="961"/>
        <v>6773671.9769915538</v>
      </c>
      <c r="S240">
        <f t="shared" si="962"/>
        <v>67.736719769915538</v>
      </c>
      <c r="T240">
        <f t="shared" si="963"/>
        <v>6.7736719769915535E-2</v>
      </c>
    </row>
    <row r="241" spans="1:20" x14ac:dyDescent="0.25">
      <c r="A241" s="5">
        <v>44352</v>
      </c>
      <c r="B241">
        <v>3.02</v>
      </c>
      <c r="C241">
        <v>3.1714000000000002</v>
      </c>
      <c r="D241">
        <v>2.7946</v>
      </c>
      <c r="E241">
        <v>2.8812000000000002</v>
      </c>
      <c r="F241">
        <v>614951.39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-0.54033970276008403</v>
      </c>
      <c r="Q241">
        <f t="shared" si="960"/>
        <v>-332282.65128450049</v>
      </c>
      <c r="R241">
        <f t="shared" si="961"/>
        <v>7153404.9718199857</v>
      </c>
      <c r="S241">
        <f t="shared" si="962"/>
        <v>71.534049718199853</v>
      </c>
      <c r="T241">
        <f t="shared" si="963"/>
        <v>7.1534049718199849E-2</v>
      </c>
    </row>
    <row r="242" spans="1:20" x14ac:dyDescent="0.25">
      <c r="A242" s="5">
        <v>44351</v>
      </c>
      <c r="B242">
        <v>3.1978</v>
      </c>
      <c r="C242">
        <v>3.33</v>
      </c>
      <c r="D242">
        <v>2.8624999999999998</v>
      </c>
      <c r="E242">
        <v>3.0184000000000002</v>
      </c>
      <c r="F242">
        <v>1031897.67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-0.33304812834224473</v>
      </c>
      <c r="Q242">
        <f t="shared" si="960"/>
        <v>-343671.58763422334</v>
      </c>
      <c r="R242">
        <f t="shared" si="961"/>
        <v>7485687.6231044866</v>
      </c>
      <c r="S242">
        <f t="shared" si="962"/>
        <v>74.856876231044865</v>
      </c>
      <c r="T242">
        <f t="shared" si="963"/>
        <v>7.4856876231044867E-2</v>
      </c>
    </row>
    <row r="243" spans="1:20" x14ac:dyDescent="0.25">
      <c r="A243" s="5">
        <v>44350</v>
      </c>
      <c r="B243">
        <v>2.9459</v>
      </c>
      <c r="C243">
        <v>3.3529</v>
      </c>
      <c r="D243">
        <v>2.9258999999999999</v>
      </c>
      <c r="E243">
        <v>3.1960000000000002</v>
      </c>
      <c r="F243">
        <v>695318.08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0.26510538641686276</v>
      </c>
      <c r="Q243">
        <f t="shared" si="960"/>
        <v>184332.5682810311</v>
      </c>
      <c r="R243">
        <f t="shared" si="961"/>
        <v>7829359.2107387101</v>
      </c>
      <c r="S243">
        <f t="shared" si="962"/>
        <v>78.293592107387099</v>
      </c>
      <c r="T243">
        <f t="shared" si="963"/>
        <v>7.8293592107387094E-2</v>
      </c>
    </row>
    <row r="244" spans="1:20" x14ac:dyDescent="0.25">
      <c r="A244" s="5">
        <v>44349</v>
      </c>
      <c r="B244">
        <v>2.8997999999999999</v>
      </c>
      <c r="C244">
        <v>3.089</v>
      </c>
      <c r="D244">
        <v>2.8349000000000002</v>
      </c>
      <c r="E244">
        <v>2.9350000000000001</v>
      </c>
      <c r="F244">
        <v>913506.91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-0.21212121212121254</v>
      </c>
      <c r="Q244">
        <f t="shared" si="960"/>
        <v>-193774.19303030343</v>
      </c>
      <c r="R244">
        <f t="shared" si="961"/>
        <v>7645026.6424576789</v>
      </c>
      <c r="S244">
        <f t="shared" si="962"/>
        <v>76.450266424576796</v>
      </c>
      <c r="T244">
        <f t="shared" si="963"/>
        <v>7.6450266424576793E-2</v>
      </c>
    </row>
    <row r="245" spans="1:20" x14ac:dyDescent="0.25">
      <c r="A245" s="5">
        <v>44348</v>
      </c>
      <c r="B245">
        <v>2.9020999999999999</v>
      </c>
      <c r="C245">
        <v>2.9521000000000002</v>
      </c>
      <c r="D245">
        <v>2.75</v>
      </c>
      <c r="E245">
        <v>2.8913000000000002</v>
      </c>
      <c r="F245">
        <v>392082.36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0.39831766452251444</v>
      </c>
      <c r="Q245">
        <f t="shared" si="960"/>
        <v>156173.32993567572</v>
      </c>
      <c r="R245">
        <f t="shared" si="961"/>
        <v>7838800.8354879823</v>
      </c>
      <c r="S245">
        <f t="shared" si="962"/>
        <v>78.38800835487983</v>
      </c>
      <c r="T245">
        <f t="shared" si="963"/>
        <v>7.8388008354879829E-2</v>
      </c>
    </row>
    <row r="246" spans="1:20" x14ac:dyDescent="0.25">
      <c r="A246" s="5">
        <v>44347</v>
      </c>
      <c r="B246">
        <v>2.7164000000000001</v>
      </c>
      <c r="C246">
        <v>2.9527000000000001</v>
      </c>
      <c r="D246">
        <v>2.601</v>
      </c>
      <c r="E246">
        <v>2.9104999999999999</v>
      </c>
      <c r="F246">
        <v>426899.58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0.7600227466590832</v>
      </c>
      <c r="Q246">
        <f t="shared" si="960"/>
        <v>324453.39133920905</v>
      </c>
      <c r="R246">
        <f t="shared" si="961"/>
        <v>7682627.5055523068</v>
      </c>
      <c r="S246">
        <f t="shared" si="962"/>
        <v>76.82627505552307</v>
      </c>
      <c r="T246">
        <f t="shared" si="963"/>
        <v>7.6826275055523072E-2</v>
      </c>
    </row>
    <row r="247" spans="1:20" x14ac:dyDescent="0.25">
      <c r="A247" s="5">
        <v>44346</v>
      </c>
      <c r="B247">
        <v>2.6206999999999998</v>
      </c>
      <c r="C247">
        <v>2.8797999999999999</v>
      </c>
      <c r="D247">
        <v>2.4527999999999999</v>
      </c>
      <c r="E247">
        <v>2.7309999999999999</v>
      </c>
      <c r="F247">
        <v>651278.46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0.30304449648711929</v>
      </c>
      <c r="Q247">
        <f t="shared" si="960"/>
        <v>197366.35298360646</v>
      </c>
      <c r="R247">
        <f t="shared" si="961"/>
        <v>7358174.1142130978</v>
      </c>
      <c r="S247">
        <f t="shared" si="962"/>
        <v>73.58174114213098</v>
      </c>
      <c r="T247">
        <f t="shared" si="963"/>
        <v>7.358174114213098E-2</v>
      </c>
    </row>
    <row r="248" spans="1:20" x14ac:dyDescent="0.25">
      <c r="A248" s="5">
        <v>44345</v>
      </c>
      <c r="B248">
        <v>2.7837999999999998</v>
      </c>
      <c r="C248">
        <v>2.8847</v>
      </c>
      <c r="D248">
        <v>2.4300000000000002</v>
      </c>
      <c r="E248">
        <v>2.6214</v>
      </c>
      <c r="F248">
        <v>584928.41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-0.15812623707939369</v>
      </c>
      <c r="Q248">
        <f t="shared" si="960"/>
        <v>-92492.528434132793</v>
      </c>
      <c r="R248">
        <f t="shared" si="961"/>
        <v>7160807.7612294918</v>
      </c>
      <c r="S248">
        <f t="shared" si="962"/>
        <v>71.60807761229492</v>
      </c>
      <c r="T248">
        <f t="shared" si="963"/>
        <v>7.1608077612294915E-2</v>
      </c>
    </row>
    <row r="249" spans="1:20" x14ac:dyDescent="0.25">
      <c r="A249" s="5">
        <v>44344</v>
      </c>
      <c r="B249">
        <v>3.1516000000000002</v>
      </c>
      <c r="C249">
        <v>3.3772000000000002</v>
      </c>
      <c r="D249">
        <v>2.5802</v>
      </c>
      <c r="E249">
        <v>2.7704</v>
      </c>
      <c r="F249">
        <v>6913963.7699999996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-0.52271016311166907</v>
      </c>
      <c r="Q249">
        <f t="shared" si="960"/>
        <v>-3613999.1299648704</v>
      </c>
      <c r="R249">
        <f t="shared" si="961"/>
        <v>7253300.2896636249</v>
      </c>
      <c r="S249">
        <f t="shared" si="962"/>
        <v>72.533002896636248</v>
      </c>
      <c r="T249">
        <f t="shared" si="963"/>
        <v>7.2533002896636251E-2</v>
      </c>
    </row>
    <row r="250" spans="1:20" x14ac:dyDescent="0.25">
      <c r="A250" s="5">
        <v>44343</v>
      </c>
      <c r="B250">
        <v>3.1634000000000002</v>
      </c>
      <c r="C250">
        <v>3.4447999999999999</v>
      </c>
      <c r="D250">
        <v>2.8445999999999998</v>
      </c>
      <c r="E250">
        <v>3.1404999999999998</v>
      </c>
      <c r="F250">
        <v>5702373.0999999996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-1.399533488837048E-2</v>
      </c>
      <c r="Q250">
        <f t="shared" si="960"/>
        <v>-79806.621192935316</v>
      </c>
      <c r="R250">
        <f t="shared" si="961"/>
        <v>10867299.419628495</v>
      </c>
      <c r="S250">
        <f t="shared" si="962"/>
        <v>108.67299419628495</v>
      </c>
      <c r="T250">
        <f t="shared" si="963"/>
        <v>0.10867299419628494</v>
      </c>
    </row>
    <row r="251" spans="1:20" x14ac:dyDescent="0.25">
      <c r="A251" s="5">
        <v>44342</v>
      </c>
      <c r="B251">
        <v>2.9634</v>
      </c>
      <c r="C251">
        <v>3.29</v>
      </c>
      <c r="D251">
        <v>2.9098000000000002</v>
      </c>
      <c r="E251">
        <v>3.1640999999999999</v>
      </c>
      <c r="F251">
        <v>1013387.57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0.33771699105733738</v>
      </c>
      <c r="Q251">
        <f t="shared" si="960"/>
        <v>342238.20091530686</v>
      </c>
      <c r="R251">
        <f t="shared" si="961"/>
        <v>10947106.040821431</v>
      </c>
      <c r="S251">
        <f t="shared" si="962"/>
        <v>109.47106040821431</v>
      </c>
      <c r="T251">
        <f t="shared" si="963"/>
        <v>0.10947106040821432</v>
      </c>
    </row>
    <row r="252" spans="1:20" x14ac:dyDescent="0.25">
      <c r="A252" s="5">
        <v>44341</v>
      </c>
      <c r="B252">
        <v>3.1116000000000001</v>
      </c>
      <c r="C252">
        <v>3.242</v>
      </c>
      <c r="D252">
        <v>2.6120000000000001</v>
      </c>
      <c r="E252">
        <v>2.9519000000000002</v>
      </c>
      <c r="F252">
        <v>1132661.57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7.9047619047619519E-2</v>
      </c>
      <c r="Q252">
        <f t="shared" si="960"/>
        <v>89534.200295238639</v>
      </c>
      <c r="R252">
        <f t="shared" si="961"/>
        <v>10604867.839906124</v>
      </c>
      <c r="S252">
        <f t="shared" si="962"/>
        <v>106.04867839906125</v>
      </c>
      <c r="T252">
        <f t="shared" si="963"/>
        <v>0.10604867839906125</v>
      </c>
    </row>
    <row r="253" spans="1:20" x14ac:dyDescent="0.25">
      <c r="A253" s="5">
        <v>44340</v>
      </c>
      <c r="B253">
        <v>2.4958</v>
      </c>
      <c r="C253">
        <v>3.4405999999999999</v>
      </c>
      <c r="D253">
        <v>2.36</v>
      </c>
      <c r="E253">
        <v>3.1128</v>
      </c>
      <c r="F253">
        <v>2177590.54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0.39330001850823643</v>
      </c>
      <c r="Q253">
        <f t="shared" si="960"/>
        <v>856446.39968536061</v>
      </c>
      <c r="R253">
        <f t="shared" si="961"/>
        <v>10515333.639610887</v>
      </c>
      <c r="S253">
        <f t="shared" si="962"/>
        <v>105.15333639610887</v>
      </c>
      <c r="T253">
        <f t="shared" si="963"/>
        <v>0.10515333639610887</v>
      </c>
    </row>
    <row r="254" spans="1:20" x14ac:dyDescent="0.25">
      <c r="A254" s="5">
        <v>44339</v>
      </c>
      <c r="B254">
        <v>2.9964</v>
      </c>
      <c r="C254">
        <v>3.2450000000000001</v>
      </c>
      <c r="D254">
        <v>2.1230000000000002</v>
      </c>
      <c r="E254">
        <v>2.4956999999999998</v>
      </c>
      <c r="F254">
        <v>1927844.12</v>
      </c>
      <c r="G254">
        <v>0</v>
      </c>
      <c r="L254" t="s">
        <v>8</v>
      </c>
      <c r="M254" t="s">
        <v>8</v>
      </c>
      <c r="N254" t="s">
        <v>7</v>
      </c>
      <c r="P254">
        <f t="shared" si="959"/>
        <v>-0.33565062388591865</v>
      </c>
      <c r="Q254">
        <f t="shared" si="960"/>
        <v>-647082.08163279982</v>
      </c>
      <c r="R254">
        <f t="shared" si="961"/>
        <v>9658887.2399255261</v>
      </c>
      <c r="S254">
        <f t="shared" si="962"/>
        <v>96.588872399255266</v>
      </c>
      <c r="T254">
        <f t="shared" si="963"/>
        <v>9.658887239925526E-2</v>
      </c>
    </row>
    <row r="255" spans="1:20" x14ac:dyDescent="0.25">
      <c r="A255" s="5">
        <v>44338</v>
      </c>
      <c r="B255">
        <v>2.9363999999999999</v>
      </c>
      <c r="C255">
        <v>3.1819999999999999</v>
      </c>
      <c r="D255">
        <v>2.5678999999999998</v>
      </c>
      <c r="E255">
        <v>3.0028000000000001</v>
      </c>
      <c r="F255">
        <v>845658.32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0.41638169679205411</v>
      </c>
      <c r="Q255">
        <f t="shared" si="960"/>
        <v>352116.64618791785</v>
      </c>
      <c r="R255">
        <f t="shared" si="961"/>
        <v>10305969.321558326</v>
      </c>
      <c r="S255">
        <f t="shared" si="962"/>
        <v>103.05969321558327</v>
      </c>
      <c r="T255">
        <f t="shared" si="963"/>
        <v>0.10305969321558327</v>
      </c>
    </row>
    <row r="256" spans="1:20" x14ac:dyDescent="0.25">
      <c r="A256" s="5">
        <v>44337</v>
      </c>
      <c r="B256">
        <v>3.5423</v>
      </c>
      <c r="C256">
        <v>3.7149999999999999</v>
      </c>
      <c r="D256">
        <v>2.4300000000000002</v>
      </c>
      <c r="E256">
        <v>2.9377</v>
      </c>
      <c r="F256">
        <v>1416048.13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-0.20980544747081722</v>
      </c>
      <c r="Q256">
        <f t="shared" si="960"/>
        <v>-297094.61155486392</v>
      </c>
      <c r="R256">
        <f t="shared" si="961"/>
        <v>9953852.6753704082</v>
      </c>
      <c r="S256">
        <f t="shared" si="962"/>
        <v>99.538526753704076</v>
      </c>
      <c r="T256">
        <f t="shared" si="963"/>
        <v>9.9538526753704074E-2</v>
      </c>
    </row>
    <row r="257" spans="1:20" x14ac:dyDescent="0.25">
      <c r="A257" s="5">
        <v>44336</v>
      </c>
      <c r="B257">
        <v>3.0438999999999998</v>
      </c>
      <c r="C257">
        <v>3.9396</v>
      </c>
      <c r="D257">
        <v>2.75</v>
      </c>
      <c r="E257">
        <v>3.5423</v>
      </c>
      <c r="F257">
        <v>1149674.5900000001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0.332044384667115</v>
      </c>
      <c r="Q257">
        <f t="shared" si="960"/>
        <v>381742.99180396774</v>
      </c>
      <c r="R257">
        <f t="shared" si="961"/>
        <v>10250947.286925273</v>
      </c>
      <c r="S257">
        <f t="shared" si="962"/>
        <v>102.50947286925273</v>
      </c>
      <c r="T257">
        <f t="shared" si="963"/>
        <v>0.10250947286925273</v>
      </c>
    </row>
    <row r="258" spans="1:20" x14ac:dyDescent="0.25">
      <c r="A258" s="5">
        <v>44335</v>
      </c>
      <c r="B258">
        <v>4.2365000000000004</v>
      </c>
      <c r="C258">
        <v>4.3186999999999998</v>
      </c>
      <c r="D258">
        <v>2.3149999999999999</v>
      </c>
      <c r="E258">
        <v>3.0438999999999998</v>
      </c>
      <c r="F258">
        <v>2127749.9900000002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-0.27244597494634931</v>
      </c>
      <c r="Q258">
        <f t="shared" si="960"/>
        <v>-579696.92046763503</v>
      </c>
      <c r="R258">
        <f t="shared" si="961"/>
        <v>9869204.2951213047</v>
      </c>
      <c r="S258">
        <f t="shared" si="962"/>
        <v>98.692042951213054</v>
      </c>
      <c r="T258">
        <f t="shared" si="963"/>
        <v>9.869204295121306E-2</v>
      </c>
    </row>
    <row r="259" spans="1:20" x14ac:dyDescent="0.25">
      <c r="A259" s="5">
        <v>44334</v>
      </c>
      <c r="B259">
        <v>4.4432999999999998</v>
      </c>
      <c r="C259">
        <v>4.6628999999999996</v>
      </c>
      <c r="D259">
        <v>4.1500000000000004</v>
      </c>
      <c r="E259">
        <v>4.22</v>
      </c>
      <c r="F259">
        <v>623496.80000000005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-0.72704230844219342</v>
      </c>
      <c r="Q259">
        <f t="shared" si="960"/>
        <v>-453308.55277832062</v>
      </c>
      <c r="R259">
        <f t="shared" si="961"/>
        <v>10448901.21558894</v>
      </c>
      <c r="S259">
        <f t="shared" si="962"/>
        <v>104.4890121558894</v>
      </c>
      <c r="T259">
        <f t="shared" si="963"/>
        <v>0.1044890121558894</v>
      </c>
    </row>
    <row r="260" spans="1:20" x14ac:dyDescent="0.25">
      <c r="A260" s="5">
        <v>44333</v>
      </c>
      <c r="B260">
        <v>4.6313000000000004</v>
      </c>
      <c r="C260">
        <v>4.8034999999999997</v>
      </c>
      <c r="D260">
        <v>4.0000999999999998</v>
      </c>
      <c r="E260">
        <v>4.4260000000000002</v>
      </c>
      <c r="F260">
        <v>1204335.07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6.0243963156585631E-2</v>
      </c>
      <c r="Q260">
        <f t="shared" si="960"/>
        <v>72553.917585263975</v>
      </c>
      <c r="R260">
        <f t="shared" si="961"/>
        <v>10902209.768367261</v>
      </c>
      <c r="S260">
        <f t="shared" si="962"/>
        <v>109.02209768367261</v>
      </c>
      <c r="T260">
        <f t="shared" si="963"/>
        <v>0.10902209768367262</v>
      </c>
    </row>
    <row r="261" spans="1:20" x14ac:dyDescent="0.25">
      <c r="A261" s="5">
        <v>44332</v>
      </c>
      <c r="B261">
        <v>4.7633999999999999</v>
      </c>
      <c r="C261">
        <v>5.35</v>
      </c>
      <c r="D261">
        <v>4.2300000000000004</v>
      </c>
      <c r="E261">
        <v>4.6326000000000001</v>
      </c>
      <c r="F261">
        <v>1646367.62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-0.28107142857142875</v>
      </c>
      <c r="Q261">
        <f t="shared" si="960"/>
        <v>-462746.89890714316</v>
      </c>
      <c r="R261">
        <f t="shared" si="961"/>
        <v>10829655.850781996</v>
      </c>
      <c r="S261">
        <f t="shared" si="962"/>
        <v>108.29655850781995</v>
      </c>
      <c r="T261">
        <f t="shared" si="963"/>
        <v>0.10829655850781995</v>
      </c>
    </row>
    <row r="262" spans="1:20" x14ac:dyDescent="0.25">
      <c r="A262" s="5">
        <v>44331</v>
      </c>
      <c r="B262">
        <v>5.0082000000000004</v>
      </c>
      <c r="C262">
        <v>5.3977000000000004</v>
      </c>
      <c r="D262">
        <v>4.67</v>
      </c>
      <c r="E262">
        <v>4.7445000000000004</v>
      </c>
      <c r="F262">
        <v>1494999</v>
      </c>
      <c r="G262">
        <v>0</v>
      </c>
      <c r="L262" t="s">
        <v>8</v>
      </c>
      <c r="M262" t="s">
        <v>7</v>
      </c>
      <c r="N262" t="s">
        <v>8</v>
      </c>
      <c r="P262">
        <f t="shared" ref="P262:P325" si="964">IF(C262=D262,0,((E262-D262)-(C262-E262))/(C262-D262))</f>
        <v>-0.79524529339013217</v>
      </c>
      <c r="Q262">
        <f t="shared" ref="Q262:Q325" si="965">F262*P262</f>
        <v>-1188890.9183729542</v>
      </c>
      <c r="R262">
        <f t="shared" ref="R262:R325" si="966">R263+Q262</f>
        <v>11292402.749689139</v>
      </c>
      <c r="S262">
        <f t="shared" ref="S262:S325" si="967">R262/100000</f>
        <v>112.9240274968914</v>
      </c>
      <c r="T262">
        <f t="shared" ref="T262:T325" si="968">S262/1000</f>
        <v>0.1129240274968914</v>
      </c>
    </row>
    <row r="263" spans="1:20" x14ac:dyDescent="0.25">
      <c r="A263" s="5">
        <v>44330</v>
      </c>
      <c r="B263">
        <v>4.8150000000000004</v>
      </c>
      <c r="C263">
        <v>5.3234000000000004</v>
      </c>
      <c r="D263">
        <v>4.6889000000000003</v>
      </c>
      <c r="E263">
        <v>5.0029000000000003</v>
      </c>
      <c r="F263">
        <v>1169113.5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-1.0244286840031442E-2</v>
      </c>
      <c r="Q263">
        <f t="shared" si="965"/>
        <v>-11976.7340425531</v>
      </c>
      <c r="R263">
        <f t="shared" si="966"/>
        <v>12481293.668062095</v>
      </c>
      <c r="S263">
        <f t="shared" si="967"/>
        <v>124.81293668062095</v>
      </c>
      <c r="T263">
        <f t="shared" si="968"/>
        <v>0.12481293668062095</v>
      </c>
    </row>
    <row r="264" spans="1:20" x14ac:dyDescent="0.25">
      <c r="A264" s="5">
        <v>44329</v>
      </c>
      <c r="B264">
        <v>4.91</v>
      </c>
      <c r="C264">
        <v>5.52</v>
      </c>
      <c r="D264">
        <v>4.6500000000000004</v>
      </c>
      <c r="E264">
        <v>4.8150000000000004</v>
      </c>
      <c r="F264">
        <v>1646946.66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-0.62068965517241337</v>
      </c>
      <c r="Q264">
        <f t="shared" si="965"/>
        <v>-1022242.7544827579</v>
      </c>
      <c r="R264">
        <f t="shared" si="966"/>
        <v>12493270.402104648</v>
      </c>
      <c r="S264">
        <f t="shared" si="967"/>
        <v>124.93270402104648</v>
      </c>
      <c r="T264">
        <f t="shared" si="968"/>
        <v>0.12493270402104648</v>
      </c>
    </row>
    <row r="265" spans="1:20" x14ac:dyDescent="0.25">
      <c r="A265" s="5">
        <v>44328</v>
      </c>
      <c r="B265">
        <v>5.0895000000000001</v>
      </c>
      <c r="C265">
        <v>5.6999000000000004</v>
      </c>
      <c r="D265">
        <v>4.8851000000000004</v>
      </c>
      <c r="E265">
        <v>4.9122000000000003</v>
      </c>
      <c r="F265">
        <v>1773929.32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-0.93348060873834093</v>
      </c>
      <c r="Q265">
        <f t="shared" si="965"/>
        <v>-1655928.6214923912</v>
      </c>
      <c r="R265">
        <f t="shared" si="966"/>
        <v>13515513.156587405</v>
      </c>
      <c r="S265">
        <f t="shared" si="967"/>
        <v>135.15513156587406</v>
      </c>
      <c r="T265">
        <f t="shared" si="968"/>
        <v>0.13515513156587405</v>
      </c>
    </row>
    <row r="266" spans="1:20" x14ac:dyDescent="0.25">
      <c r="A266" s="5">
        <v>44327</v>
      </c>
      <c r="B266">
        <v>4.8836000000000004</v>
      </c>
      <c r="C266">
        <v>5.2835000000000001</v>
      </c>
      <c r="D266">
        <v>4.66</v>
      </c>
      <c r="E266">
        <v>5.0805999999999996</v>
      </c>
      <c r="F266">
        <v>1057428.27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0.34915797914995816</v>
      </c>
      <c r="Q266">
        <f t="shared" si="965"/>
        <v>369209.51784923632</v>
      </c>
      <c r="R266">
        <f t="shared" si="966"/>
        <v>15171441.778079797</v>
      </c>
      <c r="S266">
        <f t="shared" si="967"/>
        <v>151.71441778079796</v>
      </c>
      <c r="T266">
        <f t="shared" si="968"/>
        <v>0.15171441778079797</v>
      </c>
    </row>
    <row r="267" spans="1:20" x14ac:dyDescent="0.25">
      <c r="A267" s="5">
        <v>44326</v>
      </c>
      <c r="B267">
        <v>5.0876999999999999</v>
      </c>
      <c r="C267">
        <v>5.2488000000000001</v>
      </c>
      <c r="D267">
        <v>4.6500000000000004</v>
      </c>
      <c r="E267">
        <v>4.9036</v>
      </c>
      <c r="F267">
        <v>1288675.08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-0.15297261189044858</v>
      </c>
      <c r="Q267">
        <f t="shared" si="965"/>
        <v>-197131.99286573278</v>
      </c>
      <c r="R267">
        <f t="shared" si="966"/>
        <v>14802232.26023056</v>
      </c>
      <c r="S267">
        <f t="shared" si="967"/>
        <v>148.02232260230559</v>
      </c>
      <c r="T267">
        <f t="shared" si="968"/>
        <v>0.14802232260230561</v>
      </c>
    </row>
    <row r="268" spans="1:20" x14ac:dyDescent="0.25">
      <c r="A268" s="5">
        <v>44325</v>
      </c>
      <c r="B268">
        <v>5.0503999999999998</v>
      </c>
      <c r="C268">
        <v>5.1950000000000003</v>
      </c>
      <c r="D268">
        <v>4.9062999999999999</v>
      </c>
      <c r="E268">
        <v>5.0739999999999998</v>
      </c>
      <c r="F268">
        <v>697025.01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0.16175961205403344</v>
      </c>
      <c r="Q268">
        <f t="shared" si="965"/>
        <v>112750.49520955878</v>
      </c>
      <c r="R268">
        <f t="shared" si="966"/>
        <v>14999364.253096292</v>
      </c>
      <c r="S268">
        <f t="shared" si="967"/>
        <v>149.99364253096292</v>
      </c>
      <c r="T268">
        <f t="shared" si="968"/>
        <v>0.14999364253096292</v>
      </c>
    </row>
    <row r="269" spans="1:20" x14ac:dyDescent="0.25">
      <c r="A269" s="5">
        <v>44324</v>
      </c>
      <c r="B269">
        <v>5.0377000000000001</v>
      </c>
      <c r="C269">
        <v>5.18</v>
      </c>
      <c r="D269">
        <v>4.9336000000000002</v>
      </c>
      <c r="E269">
        <v>5.0506000000000002</v>
      </c>
      <c r="F269">
        <v>547413.99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-5.0324675324673489E-2</v>
      </c>
      <c r="Q269">
        <f t="shared" si="965"/>
        <v>-27548.43131493406</v>
      </c>
      <c r="R269">
        <f t="shared" si="966"/>
        <v>14886613.757886734</v>
      </c>
      <c r="S269">
        <f t="shared" si="967"/>
        <v>148.86613757886735</v>
      </c>
      <c r="T269">
        <f t="shared" si="968"/>
        <v>0.14886613757886735</v>
      </c>
    </row>
    <row r="270" spans="1:20" x14ac:dyDescent="0.25">
      <c r="A270" s="5">
        <v>44323</v>
      </c>
      <c r="B270">
        <v>5.1227999999999998</v>
      </c>
      <c r="C270">
        <v>5.2211999999999996</v>
      </c>
      <c r="D270">
        <v>4.9359999999999999</v>
      </c>
      <c r="E270">
        <v>5.0377000000000001</v>
      </c>
      <c r="F270">
        <v>674615.99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-0.28681626928471082</v>
      </c>
      <c r="Q270">
        <f t="shared" si="965"/>
        <v>-193490.84145161178</v>
      </c>
      <c r="R270">
        <f t="shared" si="966"/>
        <v>14914162.189201668</v>
      </c>
      <c r="S270">
        <f t="shared" si="967"/>
        <v>149.14162189201667</v>
      </c>
      <c r="T270">
        <f t="shared" si="968"/>
        <v>0.14914162189201668</v>
      </c>
    </row>
    <row r="271" spans="1:20" x14ac:dyDescent="0.25">
      <c r="A271" s="5">
        <v>44322</v>
      </c>
      <c r="B271">
        <v>5.3238000000000003</v>
      </c>
      <c r="C271">
        <v>5.3577000000000004</v>
      </c>
      <c r="D271">
        <v>4.9882</v>
      </c>
      <c r="E271">
        <v>5.1375999999999999</v>
      </c>
      <c r="F271">
        <v>881349.63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-0.191339648173208</v>
      </c>
      <c r="Q271">
        <f t="shared" si="965"/>
        <v>-168637.12812178704</v>
      </c>
      <c r="R271">
        <f t="shared" si="966"/>
        <v>15107653.030653279</v>
      </c>
      <c r="S271">
        <f t="shared" si="967"/>
        <v>151.07653030653279</v>
      </c>
      <c r="T271">
        <f t="shared" si="968"/>
        <v>0.15107653030653279</v>
      </c>
    </row>
    <row r="272" spans="1:20" x14ac:dyDescent="0.25">
      <c r="A272" s="5">
        <v>44321</v>
      </c>
      <c r="B272">
        <v>5.1906999999999996</v>
      </c>
      <c r="C272">
        <v>5.6731999999999996</v>
      </c>
      <c r="D272">
        <v>5.0999999999999996</v>
      </c>
      <c r="E272">
        <v>5.3276000000000003</v>
      </c>
      <c r="F272">
        <v>1307132.05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-0.20586182833216776</v>
      </c>
      <c r="Q272">
        <f t="shared" si="965"/>
        <v>-269088.59368457453</v>
      </c>
      <c r="R272">
        <f t="shared" si="966"/>
        <v>15276290.158775067</v>
      </c>
      <c r="S272">
        <f t="shared" si="967"/>
        <v>152.76290158775066</v>
      </c>
      <c r="T272">
        <f t="shared" si="968"/>
        <v>0.15276290158775066</v>
      </c>
    </row>
    <row r="273" spans="1:20" x14ac:dyDescent="0.25">
      <c r="A273" s="5">
        <v>44320</v>
      </c>
      <c r="B273">
        <v>5.2770000000000001</v>
      </c>
      <c r="C273">
        <v>5.8266999999999998</v>
      </c>
      <c r="D273">
        <v>4.9000000000000004</v>
      </c>
      <c r="E273">
        <v>5.1901000000000002</v>
      </c>
      <c r="F273">
        <v>3245785.49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-0.37390741340239564</v>
      </c>
      <c r="Q273">
        <f t="shared" si="965"/>
        <v>-1213623.2570249273</v>
      </c>
      <c r="R273">
        <f t="shared" si="966"/>
        <v>15545378.752459642</v>
      </c>
      <c r="S273">
        <f t="shared" si="967"/>
        <v>155.45378752459641</v>
      </c>
      <c r="T273">
        <f t="shared" si="968"/>
        <v>0.1554537875245964</v>
      </c>
    </row>
    <row r="274" spans="1:20" x14ac:dyDescent="0.25">
      <c r="A274" s="5">
        <v>44319</v>
      </c>
      <c r="B274">
        <v>4.9549000000000003</v>
      </c>
      <c r="C274">
        <v>5.4973999999999998</v>
      </c>
      <c r="D274">
        <v>4.9477000000000002</v>
      </c>
      <c r="E274">
        <v>5.2679999999999998</v>
      </c>
      <c r="F274">
        <v>1866147.02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0.16536292523194396</v>
      </c>
      <c r="Q274">
        <f t="shared" si="965"/>
        <v>308591.53014007502</v>
      </c>
      <c r="R274">
        <f t="shared" si="966"/>
        <v>16759002.009484569</v>
      </c>
      <c r="S274">
        <f t="shared" si="967"/>
        <v>167.5900200948457</v>
      </c>
      <c r="T274">
        <f t="shared" si="968"/>
        <v>0.16759002009484569</v>
      </c>
    </row>
    <row r="275" spans="1:20" x14ac:dyDescent="0.25">
      <c r="A275" s="5">
        <v>44318</v>
      </c>
      <c r="B275">
        <v>5.13</v>
      </c>
      <c r="C275">
        <v>5.13</v>
      </c>
      <c r="D275">
        <v>4.7670000000000003</v>
      </c>
      <c r="E275">
        <v>4.9518000000000004</v>
      </c>
      <c r="F275">
        <v>557137.18000000005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1.8181818181819874E-2</v>
      </c>
      <c r="Q275">
        <f t="shared" si="965"/>
        <v>10129.766909091853</v>
      </c>
      <c r="R275">
        <f t="shared" si="966"/>
        <v>16450410.479344493</v>
      </c>
      <c r="S275">
        <f t="shared" si="967"/>
        <v>164.50410479344492</v>
      </c>
      <c r="T275">
        <f t="shared" si="968"/>
        <v>0.16450410479344493</v>
      </c>
    </row>
    <row r="276" spans="1:20" x14ac:dyDescent="0.25">
      <c r="A276" s="5">
        <v>44317</v>
      </c>
      <c r="B276">
        <v>5.2046999999999999</v>
      </c>
      <c r="C276">
        <v>5.32</v>
      </c>
      <c r="D276">
        <v>4.9694000000000003</v>
      </c>
      <c r="E276">
        <v>5.1299000000000001</v>
      </c>
      <c r="F276">
        <v>707084.38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-8.4426697090702482E-2</v>
      </c>
      <c r="Q276">
        <f t="shared" si="965"/>
        <v>-59696.798767827167</v>
      </c>
      <c r="R276">
        <f t="shared" si="966"/>
        <v>16440280.7124354</v>
      </c>
      <c r="S276">
        <f t="shared" si="967"/>
        <v>164.40280712435401</v>
      </c>
      <c r="T276">
        <f t="shared" si="968"/>
        <v>0.16440280712435401</v>
      </c>
    </row>
    <row r="277" spans="1:20" x14ac:dyDescent="0.25">
      <c r="A277" s="5">
        <v>44316</v>
      </c>
      <c r="B277">
        <v>5.0816999999999997</v>
      </c>
      <c r="C277">
        <v>5.3659999999999997</v>
      </c>
      <c r="D277">
        <v>4.8925000000000001</v>
      </c>
      <c r="E277">
        <v>5.1958000000000002</v>
      </c>
      <c r="F277">
        <v>1094169.32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0.28109820485744619</v>
      </c>
      <c r="Q277">
        <f t="shared" si="965"/>
        <v>307569.0316620926</v>
      </c>
      <c r="R277">
        <f t="shared" si="966"/>
        <v>16499977.511203228</v>
      </c>
      <c r="S277">
        <f t="shared" si="967"/>
        <v>164.99977511203227</v>
      </c>
      <c r="T277">
        <f t="shared" si="968"/>
        <v>0.16499977511203226</v>
      </c>
    </row>
    <row r="278" spans="1:20" x14ac:dyDescent="0.25">
      <c r="A278" s="5">
        <v>44315</v>
      </c>
      <c r="B278">
        <v>5.0784000000000002</v>
      </c>
      <c r="C278">
        <v>5.25</v>
      </c>
      <c r="D278">
        <v>4.8243</v>
      </c>
      <c r="E278">
        <v>5.07</v>
      </c>
      <c r="F278">
        <v>841562.24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0.15433403805496956</v>
      </c>
      <c r="Q278">
        <f t="shared" si="965"/>
        <v>129881.69877378542</v>
      </c>
      <c r="R278">
        <f t="shared" si="966"/>
        <v>16192408.479541134</v>
      </c>
      <c r="S278">
        <f t="shared" si="967"/>
        <v>161.92408479541135</v>
      </c>
      <c r="T278">
        <f t="shared" si="968"/>
        <v>0.16192408479541134</v>
      </c>
    </row>
    <row r="279" spans="1:20" x14ac:dyDescent="0.25">
      <c r="A279" s="5">
        <v>44314</v>
      </c>
      <c r="B279">
        <v>5.3417000000000003</v>
      </c>
      <c r="C279">
        <v>5.4</v>
      </c>
      <c r="D279">
        <v>4.7832999999999997</v>
      </c>
      <c r="E279">
        <v>5.07</v>
      </c>
      <c r="F279">
        <v>1160591.74</v>
      </c>
      <c r="G279">
        <v>0</v>
      </c>
      <c r="L279" t="s">
        <v>8</v>
      </c>
      <c r="M279" t="s">
        <v>7</v>
      </c>
      <c r="N279" t="s">
        <v>8</v>
      </c>
      <c r="P279">
        <f t="shared" si="964"/>
        <v>-7.021242095021793E-2</v>
      </c>
      <c r="Q279">
        <f t="shared" si="965"/>
        <v>-81487.955800225885</v>
      </c>
      <c r="R279">
        <f t="shared" si="966"/>
        <v>16062526.78076735</v>
      </c>
      <c r="S279">
        <f t="shared" si="967"/>
        <v>160.62526780767351</v>
      </c>
      <c r="T279">
        <f t="shared" si="968"/>
        <v>0.1606252678076735</v>
      </c>
    </row>
    <row r="280" spans="1:20" x14ac:dyDescent="0.25">
      <c r="A280" s="5">
        <v>44313</v>
      </c>
      <c r="B280">
        <v>4.8555999999999999</v>
      </c>
      <c r="C280">
        <v>5.44</v>
      </c>
      <c r="D280">
        <v>4.6859000000000002</v>
      </c>
      <c r="E280">
        <v>5.3343999999999996</v>
      </c>
      <c r="F280">
        <v>1885956.52</v>
      </c>
      <c r="G280">
        <v>0</v>
      </c>
      <c r="L280" t="s">
        <v>7</v>
      </c>
      <c r="M280" t="s">
        <v>7</v>
      </c>
      <c r="N280" t="s">
        <v>8</v>
      </c>
      <c r="P280">
        <f t="shared" si="964"/>
        <v>0.71993104362816396</v>
      </c>
      <c r="Q280">
        <f t="shared" si="965"/>
        <v>1357758.6456809402</v>
      </c>
      <c r="R280">
        <f t="shared" si="966"/>
        <v>16144014.736567575</v>
      </c>
      <c r="S280">
        <f t="shared" si="967"/>
        <v>161.44014736567576</v>
      </c>
      <c r="T280">
        <f t="shared" si="968"/>
        <v>0.16144014736567575</v>
      </c>
    </row>
    <row r="281" spans="1:20" x14ac:dyDescent="0.25">
      <c r="A281" s="5">
        <v>44312</v>
      </c>
      <c r="B281">
        <v>3.9449999999999998</v>
      </c>
      <c r="C281">
        <v>5.6449999999999996</v>
      </c>
      <c r="D281">
        <v>3.9304000000000001</v>
      </c>
      <c r="E281">
        <v>4.8490000000000002</v>
      </c>
      <c r="F281">
        <v>3128138.08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7.1503557681092234E-2</v>
      </c>
      <c r="Q281">
        <f t="shared" si="965"/>
        <v>223673.00163770112</v>
      </c>
      <c r="R281">
        <f t="shared" si="966"/>
        <v>14786256.090886636</v>
      </c>
      <c r="S281">
        <f t="shared" si="967"/>
        <v>147.86256090886636</v>
      </c>
      <c r="T281">
        <f t="shared" si="968"/>
        <v>0.14786256090886635</v>
      </c>
    </row>
    <row r="282" spans="1:20" x14ac:dyDescent="0.25">
      <c r="A282" s="5">
        <v>44311</v>
      </c>
      <c r="B282">
        <v>3.6997</v>
      </c>
      <c r="C282">
        <v>4.2249999999999996</v>
      </c>
      <c r="D282">
        <v>3.5680000000000001</v>
      </c>
      <c r="E282">
        <v>3.9382999999999999</v>
      </c>
      <c r="F282">
        <v>988774.40000000002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0.12724505327245078</v>
      </c>
      <c r="Q282">
        <f t="shared" si="965"/>
        <v>125816.65120243556</v>
      </c>
      <c r="R282">
        <f t="shared" si="966"/>
        <v>14562583.089248935</v>
      </c>
      <c r="S282">
        <f t="shared" si="967"/>
        <v>145.62583089248935</v>
      </c>
      <c r="T282">
        <f t="shared" si="968"/>
        <v>0.14562583089248934</v>
      </c>
    </row>
    <row r="283" spans="1:20" x14ac:dyDescent="0.25">
      <c r="A283" s="5">
        <v>44310</v>
      </c>
      <c r="B283">
        <v>4.1810999999999998</v>
      </c>
      <c r="C283">
        <v>4.1890000000000001</v>
      </c>
      <c r="D283">
        <v>3.65</v>
      </c>
      <c r="E283">
        <v>3.6852999999999998</v>
      </c>
      <c r="F283">
        <v>904596.96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-0.86901669758812661</v>
      </c>
      <c r="Q283">
        <f t="shared" si="965"/>
        <v>-786109.86282745865</v>
      </c>
      <c r="R283">
        <f t="shared" si="966"/>
        <v>14436766.4380465</v>
      </c>
      <c r="S283">
        <f t="shared" si="967"/>
        <v>144.36766438046499</v>
      </c>
      <c r="T283">
        <f t="shared" si="968"/>
        <v>0.144367664380465</v>
      </c>
    </row>
    <row r="284" spans="1:20" x14ac:dyDescent="0.25">
      <c r="A284" s="5">
        <v>44309</v>
      </c>
      <c r="B284">
        <v>4.2230999999999996</v>
      </c>
      <c r="C284">
        <v>4.34</v>
      </c>
      <c r="D284">
        <v>3.3</v>
      </c>
      <c r="E284">
        <v>4.1753999999999998</v>
      </c>
      <c r="F284">
        <v>2467430.46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0.68346153846153834</v>
      </c>
      <c r="Q284">
        <f t="shared" si="965"/>
        <v>1686393.8182384612</v>
      </c>
      <c r="R284">
        <f t="shared" si="966"/>
        <v>15222876.300873959</v>
      </c>
      <c r="S284">
        <f t="shared" si="967"/>
        <v>152.22876300873961</v>
      </c>
      <c r="T284">
        <f t="shared" si="968"/>
        <v>0.15222876300873961</v>
      </c>
    </row>
    <row r="285" spans="1:20" x14ac:dyDescent="0.25">
      <c r="A285" s="5">
        <v>44308</v>
      </c>
      <c r="B285">
        <v>4.7130999999999998</v>
      </c>
      <c r="C285">
        <v>5</v>
      </c>
      <c r="D285">
        <v>4.0999999999999996</v>
      </c>
      <c r="E285">
        <v>4.2351000000000001</v>
      </c>
      <c r="F285">
        <v>1204626.07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-0.69977777777777694</v>
      </c>
      <c r="Q285">
        <f t="shared" si="965"/>
        <v>-842970.55431777681</v>
      </c>
      <c r="R285">
        <f t="shared" si="966"/>
        <v>13536482.482635498</v>
      </c>
      <c r="S285">
        <f t="shared" si="967"/>
        <v>135.36482482635498</v>
      </c>
      <c r="T285">
        <f t="shared" si="968"/>
        <v>0.13536482482635498</v>
      </c>
    </row>
    <row r="286" spans="1:20" x14ac:dyDescent="0.25">
      <c r="A286" s="5">
        <v>44307</v>
      </c>
      <c r="B286">
        <v>5.2378999999999998</v>
      </c>
      <c r="C286">
        <v>5.2678000000000003</v>
      </c>
      <c r="D286">
        <v>4.6981000000000002</v>
      </c>
      <c r="E286">
        <v>4.7131999999999996</v>
      </c>
      <c r="F286">
        <v>783492.28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-0.94698964367211003</v>
      </c>
      <c r="Q286">
        <f t="shared" si="965"/>
        <v>-741959.07505704905</v>
      </c>
      <c r="R286">
        <f t="shared" si="966"/>
        <v>14379453.036953274</v>
      </c>
      <c r="S286">
        <f t="shared" si="967"/>
        <v>143.79453036953274</v>
      </c>
      <c r="T286">
        <f t="shared" si="968"/>
        <v>0.14379453036953274</v>
      </c>
    </row>
    <row r="287" spans="1:20" x14ac:dyDescent="0.25">
      <c r="A287" s="5">
        <v>44306</v>
      </c>
      <c r="B287">
        <v>5.2588999999999997</v>
      </c>
      <c r="C287">
        <v>5.3531000000000004</v>
      </c>
      <c r="D287">
        <v>4.46</v>
      </c>
      <c r="E287">
        <v>5.2294</v>
      </c>
      <c r="F287">
        <v>1171584.54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0.72298734744149529</v>
      </c>
      <c r="Q287">
        <f t="shared" si="965"/>
        <v>847040.7988780645</v>
      </c>
      <c r="R287">
        <f t="shared" si="966"/>
        <v>15121412.112010323</v>
      </c>
      <c r="S287">
        <f t="shared" si="967"/>
        <v>151.21412112010321</v>
      </c>
      <c r="T287">
        <f t="shared" si="968"/>
        <v>0.15121412112010321</v>
      </c>
    </row>
    <row r="288" spans="1:20" x14ac:dyDescent="0.25">
      <c r="A288" s="5">
        <v>44305</v>
      </c>
      <c r="B288">
        <v>5.2999000000000001</v>
      </c>
      <c r="C288">
        <v>5.6824000000000003</v>
      </c>
      <c r="D288">
        <v>4.5265000000000004</v>
      </c>
      <c r="E288">
        <v>5.2706999999999997</v>
      </c>
      <c r="F288">
        <v>1663806.68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0.28765464140496472</v>
      </c>
      <c r="Q288">
        <f t="shared" si="965"/>
        <v>478601.71390258486</v>
      </c>
      <c r="R288">
        <f t="shared" si="966"/>
        <v>14274371.313132258</v>
      </c>
      <c r="S288">
        <f t="shared" si="967"/>
        <v>142.74371313132258</v>
      </c>
      <c r="T288">
        <f t="shared" si="968"/>
        <v>0.14274371313132259</v>
      </c>
    </row>
    <row r="289" spans="1:20" x14ac:dyDescent="0.25">
      <c r="A289" s="5">
        <v>44304</v>
      </c>
      <c r="B289">
        <v>6.0255000000000001</v>
      </c>
      <c r="C289">
        <v>6.15</v>
      </c>
      <c r="D289">
        <v>4.4257999999999997</v>
      </c>
      <c r="E289">
        <v>5.2999000000000001</v>
      </c>
      <c r="F289">
        <v>1703521.04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1.3919498898039678E-2</v>
      </c>
      <c r="Q289">
        <f t="shared" si="965"/>
        <v>23712.159239067405</v>
      </c>
      <c r="R289">
        <f t="shared" si="966"/>
        <v>13795769.599229673</v>
      </c>
      <c r="S289">
        <f t="shared" si="967"/>
        <v>137.95769599229672</v>
      </c>
      <c r="T289">
        <f t="shared" si="968"/>
        <v>0.13795769599229671</v>
      </c>
    </row>
    <row r="290" spans="1:20" x14ac:dyDescent="0.25">
      <c r="A290" s="5">
        <v>44303</v>
      </c>
      <c r="B290">
        <v>5.8817000000000004</v>
      </c>
      <c r="C290">
        <v>6.25</v>
      </c>
      <c r="D290">
        <v>5.8318000000000003</v>
      </c>
      <c r="E290">
        <v>6.0263</v>
      </c>
      <c r="F290">
        <v>874696.08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-6.9823051171689049E-2</v>
      </c>
      <c r="Q290">
        <f t="shared" si="965"/>
        <v>-61073.949153515816</v>
      </c>
      <c r="R290">
        <f t="shared" si="966"/>
        <v>13772057.439990606</v>
      </c>
      <c r="S290">
        <f t="shared" si="967"/>
        <v>137.72057439990607</v>
      </c>
      <c r="T290">
        <f t="shared" si="968"/>
        <v>0.13772057439990606</v>
      </c>
    </row>
    <row r="291" spans="1:20" x14ac:dyDescent="0.25">
      <c r="A291" s="5">
        <v>44302</v>
      </c>
      <c r="B291">
        <v>6.1341000000000001</v>
      </c>
      <c r="C291">
        <v>6.1867999999999999</v>
      </c>
      <c r="D291">
        <v>5.6318000000000001</v>
      </c>
      <c r="E291">
        <v>5.8784000000000001</v>
      </c>
      <c r="F291">
        <v>966406.66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-0.11135135135135114</v>
      </c>
      <c r="Q291">
        <f t="shared" si="965"/>
        <v>-107610.68754594575</v>
      </c>
      <c r="R291">
        <f t="shared" si="966"/>
        <v>13833131.389144123</v>
      </c>
      <c r="S291">
        <f t="shared" si="967"/>
        <v>138.33131389144123</v>
      </c>
      <c r="T291">
        <f t="shared" si="968"/>
        <v>0.13833131389144124</v>
      </c>
    </row>
    <row r="292" spans="1:20" x14ac:dyDescent="0.25">
      <c r="A292" s="5">
        <v>44301</v>
      </c>
      <c r="B292">
        <v>6.0937999999999999</v>
      </c>
      <c r="C292">
        <v>6.3120000000000003</v>
      </c>
      <c r="D292">
        <v>5.9950000000000001</v>
      </c>
      <c r="E292">
        <v>6.1342999999999996</v>
      </c>
      <c r="F292">
        <v>844339.99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-0.12113564668770056</v>
      </c>
      <c r="Q292">
        <f t="shared" si="965"/>
        <v>-102279.67071293663</v>
      </c>
      <c r="R292">
        <f t="shared" si="966"/>
        <v>13940742.076690068</v>
      </c>
      <c r="S292">
        <f t="shared" si="967"/>
        <v>139.40742076690069</v>
      </c>
      <c r="T292">
        <f t="shared" si="968"/>
        <v>0.13940742076690069</v>
      </c>
    </row>
    <row r="293" spans="1:20" x14ac:dyDescent="0.25">
      <c r="A293" s="5">
        <v>44300</v>
      </c>
      <c r="B293">
        <v>6.2510000000000003</v>
      </c>
      <c r="C293">
        <v>6.4676</v>
      </c>
      <c r="D293">
        <v>5.9100999999999999</v>
      </c>
      <c r="E293">
        <v>6.0948000000000002</v>
      </c>
      <c r="F293">
        <v>861355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-0.33739910313901245</v>
      </c>
      <c r="Q293">
        <f t="shared" si="965"/>
        <v>-290620.40448430408</v>
      </c>
      <c r="R293">
        <f t="shared" si="966"/>
        <v>14043021.747403005</v>
      </c>
      <c r="S293">
        <f t="shared" si="967"/>
        <v>140.43021747403006</v>
      </c>
      <c r="T293">
        <f t="shared" si="968"/>
        <v>0.14043021747403006</v>
      </c>
    </row>
    <row r="294" spans="1:20" x14ac:dyDescent="0.25">
      <c r="A294" s="5">
        <v>44299</v>
      </c>
      <c r="B294">
        <v>6.2309999999999999</v>
      </c>
      <c r="C294">
        <v>6.33</v>
      </c>
      <c r="D294">
        <v>5.8056999999999999</v>
      </c>
      <c r="E294">
        <v>6.2660999999999998</v>
      </c>
      <c r="F294">
        <v>1102749.58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0.75624642380316509</v>
      </c>
      <c r="Q294">
        <f t="shared" si="965"/>
        <v>833950.42622544232</v>
      </c>
      <c r="R294">
        <f t="shared" si="966"/>
        <v>14333642.151887309</v>
      </c>
      <c r="S294">
        <f t="shared" si="967"/>
        <v>143.3364215188731</v>
      </c>
      <c r="T294">
        <f t="shared" si="968"/>
        <v>0.1433364215188731</v>
      </c>
    </row>
    <row r="295" spans="1:20" x14ac:dyDescent="0.25">
      <c r="A295" s="5">
        <v>44298</v>
      </c>
      <c r="B295">
        <v>5.8376000000000001</v>
      </c>
      <c r="C295">
        <v>6.4111000000000002</v>
      </c>
      <c r="D295">
        <v>5.7573999999999996</v>
      </c>
      <c r="E295">
        <v>6.2310999999999996</v>
      </c>
      <c r="F295">
        <v>2077329.99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0.44928866452501015</v>
      </c>
      <c r="Q295">
        <f t="shared" si="965"/>
        <v>933320.81698485266</v>
      </c>
      <c r="R295">
        <f t="shared" si="966"/>
        <v>13499691.725661866</v>
      </c>
      <c r="S295">
        <f t="shared" si="967"/>
        <v>134.99691725661867</v>
      </c>
      <c r="T295">
        <f t="shared" si="968"/>
        <v>0.13499691725661866</v>
      </c>
    </row>
    <row r="296" spans="1:20" x14ac:dyDescent="0.25">
      <c r="A296" s="5">
        <v>44297</v>
      </c>
      <c r="B296">
        <v>5.3792</v>
      </c>
      <c r="C296">
        <v>5.89</v>
      </c>
      <c r="D296">
        <v>5.2869000000000002</v>
      </c>
      <c r="E296">
        <v>5.8383000000000003</v>
      </c>
      <c r="F296">
        <v>969230.13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0.82855247885922911</v>
      </c>
      <c r="Q296">
        <f t="shared" si="965"/>
        <v>803058.02679655293</v>
      </c>
      <c r="R296">
        <f t="shared" si="966"/>
        <v>12566370.908677014</v>
      </c>
      <c r="S296">
        <f t="shared" si="967"/>
        <v>125.66370908677014</v>
      </c>
      <c r="T296">
        <f t="shared" si="968"/>
        <v>0.12566370908677013</v>
      </c>
    </row>
    <row r="297" spans="1:20" x14ac:dyDescent="0.25">
      <c r="A297" s="5">
        <v>44296</v>
      </c>
      <c r="B297">
        <v>5.5384000000000002</v>
      </c>
      <c r="C297">
        <v>5.7718999999999996</v>
      </c>
      <c r="D297">
        <v>5.3201000000000001</v>
      </c>
      <c r="E297">
        <v>5.3704000000000001</v>
      </c>
      <c r="F297">
        <v>775333.86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-0.77733510402833084</v>
      </c>
      <c r="Q297">
        <f t="shared" si="965"/>
        <v>-602694.22671978723</v>
      </c>
      <c r="R297">
        <f t="shared" si="966"/>
        <v>11763312.88188046</v>
      </c>
      <c r="S297">
        <f t="shared" si="967"/>
        <v>117.63312881880461</v>
      </c>
      <c r="T297">
        <f t="shared" si="968"/>
        <v>0.11763312881880461</v>
      </c>
    </row>
    <row r="298" spans="1:20" x14ac:dyDescent="0.25">
      <c r="A298" s="5">
        <v>44295</v>
      </c>
      <c r="B298">
        <v>5.2648999999999999</v>
      </c>
      <c r="C298">
        <v>5.57</v>
      </c>
      <c r="D298">
        <v>5.1623000000000001</v>
      </c>
      <c r="E298">
        <v>5.5385999999999997</v>
      </c>
      <c r="F298">
        <v>848647.01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0.84596517046847919</v>
      </c>
      <c r="Q298">
        <f t="shared" si="965"/>
        <v>717925.81248221511</v>
      </c>
      <c r="R298">
        <f t="shared" si="966"/>
        <v>12366007.108600248</v>
      </c>
      <c r="S298">
        <f t="shared" si="967"/>
        <v>123.66007108600247</v>
      </c>
      <c r="T298">
        <f t="shared" si="968"/>
        <v>0.12366007108600248</v>
      </c>
    </row>
    <row r="299" spans="1:20" x14ac:dyDescent="0.25">
      <c r="A299" s="5">
        <v>44294</v>
      </c>
      <c r="B299">
        <v>4.8899999999999997</v>
      </c>
      <c r="C299">
        <v>5.4123000000000001</v>
      </c>
      <c r="D299">
        <v>4.8712999999999997</v>
      </c>
      <c r="E299">
        <v>5.2664999999999997</v>
      </c>
      <c r="F299">
        <v>666062.05000000005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0.46099815157116347</v>
      </c>
      <c r="Q299">
        <f t="shared" si="965"/>
        <v>307053.37388169987</v>
      </c>
      <c r="R299">
        <f t="shared" si="966"/>
        <v>11648081.296118032</v>
      </c>
      <c r="S299">
        <f t="shared" si="967"/>
        <v>116.48081296118032</v>
      </c>
      <c r="T299">
        <f t="shared" si="968"/>
        <v>0.11648081296118032</v>
      </c>
    </row>
    <row r="300" spans="1:20" x14ac:dyDescent="0.25">
      <c r="A300" s="5">
        <v>44293</v>
      </c>
      <c r="B300">
        <v>5.3910999999999998</v>
      </c>
      <c r="C300">
        <v>5.5006000000000004</v>
      </c>
      <c r="D300">
        <v>4.7569999999999997</v>
      </c>
      <c r="E300">
        <v>4.8898999999999999</v>
      </c>
      <c r="F300">
        <v>1061028.99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-0.64254975793437297</v>
      </c>
      <c r="Q300">
        <f t="shared" si="965"/>
        <v>-681763.92068585218</v>
      </c>
      <c r="R300">
        <f t="shared" si="966"/>
        <v>11341027.922236333</v>
      </c>
      <c r="S300">
        <f t="shared" si="967"/>
        <v>113.41027922236333</v>
      </c>
      <c r="T300">
        <f t="shared" si="968"/>
        <v>0.11341027922236332</v>
      </c>
    </row>
    <row r="301" spans="1:20" x14ac:dyDescent="0.25">
      <c r="A301" s="5">
        <v>44292</v>
      </c>
      <c r="B301">
        <v>5.2003000000000004</v>
      </c>
      <c r="C301">
        <v>5.6078999999999999</v>
      </c>
      <c r="D301">
        <v>5.1650999999999998</v>
      </c>
      <c r="E301">
        <v>5.3765999999999998</v>
      </c>
      <c r="F301">
        <v>1034609.07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-4.4715447154471628E-2</v>
      </c>
      <c r="Q301">
        <f t="shared" si="965"/>
        <v>-46263.007195122038</v>
      </c>
      <c r="R301">
        <f t="shared" si="966"/>
        <v>12022791.842922185</v>
      </c>
      <c r="S301">
        <f t="shared" si="967"/>
        <v>120.22791842922184</v>
      </c>
      <c r="T301">
        <f t="shared" si="968"/>
        <v>0.12022791842922184</v>
      </c>
    </row>
    <row r="302" spans="1:20" x14ac:dyDescent="0.25">
      <c r="A302" s="5">
        <v>44291</v>
      </c>
      <c r="B302">
        <v>5.2937000000000003</v>
      </c>
      <c r="C302">
        <v>5.5007000000000001</v>
      </c>
      <c r="D302">
        <v>5.0500999999999996</v>
      </c>
      <c r="E302">
        <v>5.2</v>
      </c>
      <c r="F302">
        <v>948662.77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-0.33466489125610116</v>
      </c>
      <c r="Q302">
        <f t="shared" si="965"/>
        <v>-317484.1227607617</v>
      </c>
      <c r="R302">
        <f t="shared" si="966"/>
        <v>12069054.850117307</v>
      </c>
      <c r="S302">
        <f t="shared" si="967"/>
        <v>120.69054850117307</v>
      </c>
      <c r="T302">
        <f t="shared" si="968"/>
        <v>0.12069054850117307</v>
      </c>
    </row>
    <row r="303" spans="1:20" x14ac:dyDescent="0.25">
      <c r="A303" s="5">
        <v>44290</v>
      </c>
      <c r="B303">
        <v>5.1425999999999998</v>
      </c>
      <c r="C303">
        <v>5.5907999999999998</v>
      </c>
      <c r="D303">
        <v>5.0701000000000001</v>
      </c>
      <c r="E303">
        <v>5.298</v>
      </c>
      <c r="F303">
        <v>689203.8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-0.12463990781640055</v>
      </c>
      <c r="Q303">
        <f t="shared" si="965"/>
        <v>-85902.29809871297</v>
      </c>
      <c r="R303">
        <f t="shared" si="966"/>
        <v>12386538.972878069</v>
      </c>
      <c r="S303">
        <f t="shared" si="967"/>
        <v>123.86538972878068</v>
      </c>
      <c r="T303">
        <f t="shared" si="968"/>
        <v>0.12386538972878068</v>
      </c>
    </row>
    <row r="304" spans="1:20" x14ac:dyDescent="0.25">
      <c r="A304" s="5">
        <v>44289</v>
      </c>
      <c r="B304">
        <v>5.4328000000000003</v>
      </c>
      <c r="C304">
        <v>5.6</v>
      </c>
      <c r="D304">
        <v>5</v>
      </c>
      <c r="E304">
        <v>5.1425999999999998</v>
      </c>
      <c r="F304">
        <v>877028.82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-0.52466666666666695</v>
      </c>
      <c r="Q304">
        <f t="shared" si="965"/>
        <v>-460147.7875600002</v>
      </c>
      <c r="R304">
        <f t="shared" si="966"/>
        <v>12472441.270976782</v>
      </c>
      <c r="S304">
        <f t="shared" si="967"/>
        <v>124.72441270976782</v>
      </c>
      <c r="T304">
        <f t="shared" si="968"/>
        <v>0.12472441270976782</v>
      </c>
    </row>
    <row r="305" spans="1:20" x14ac:dyDescent="0.25">
      <c r="A305" s="5">
        <v>44288</v>
      </c>
      <c r="B305">
        <v>5.8998999999999997</v>
      </c>
      <c r="C305">
        <v>5.9</v>
      </c>
      <c r="D305">
        <v>5.367</v>
      </c>
      <c r="E305">
        <v>5.4143999999999997</v>
      </c>
      <c r="F305">
        <v>975789.05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-0.82213883677298449</v>
      </c>
      <c r="Q305">
        <f t="shared" si="965"/>
        <v>-802234.07450281561</v>
      </c>
      <c r="R305">
        <f t="shared" si="966"/>
        <v>12932589.058536783</v>
      </c>
      <c r="S305">
        <f t="shared" si="967"/>
        <v>129.32589058536783</v>
      </c>
      <c r="T305">
        <f t="shared" si="968"/>
        <v>0.12932589058536784</v>
      </c>
    </row>
    <row r="306" spans="1:20" x14ac:dyDescent="0.25">
      <c r="A306" s="5">
        <v>44287</v>
      </c>
      <c r="B306">
        <v>5.1887999999999996</v>
      </c>
      <c r="C306">
        <v>6.0172999999999996</v>
      </c>
      <c r="D306">
        <v>5.1584000000000003</v>
      </c>
      <c r="E306">
        <v>5.8921999999999999</v>
      </c>
      <c r="F306">
        <v>1538572.87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0.70869717079986061</v>
      </c>
      <c r="Q306">
        <f t="shared" si="965"/>
        <v>1090382.2400384217</v>
      </c>
      <c r="R306">
        <f t="shared" si="966"/>
        <v>13734823.133039599</v>
      </c>
      <c r="S306">
        <f t="shared" si="967"/>
        <v>137.348231330396</v>
      </c>
      <c r="T306">
        <f t="shared" si="968"/>
        <v>0.137348231330396</v>
      </c>
    </row>
    <row r="307" spans="1:20" x14ac:dyDescent="0.25">
      <c r="A307" s="5">
        <v>44286</v>
      </c>
      <c r="B307">
        <v>5.1710000000000003</v>
      </c>
      <c r="C307">
        <v>5.5460000000000003</v>
      </c>
      <c r="D307">
        <v>4.9256000000000002</v>
      </c>
      <c r="E307">
        <v>5.1841999999999997</v>
      </c>
      <c r="F307">
        <v>1051004.71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-0.16634429400387019</v>
      </c>
      <c r="Q307">
        <f t="shared" si="965"/>
        <v>-174828.63647969233</v>
      </c>
      <c r="R307">
        <f t="shared" si="966"/>
        <v>12644440.893001178</v>
      </c>
      <c r="S307">
        <f t="shared" si="967"/>
        <v>126.44440893001179</v>
      </c>
      <c r="T307">
        <f t="shared" si="968"/>
        <v>0.1264444089300118</v>
      </c>
    </row>
    <row r="308" spans="1:20" x14ac:dyDescent="0.25">
      <c r="A308" s="5">
        <v>44285</v>
      </c>
      <c r="B308">
        <v>5.1993</v>
      </c>
      <c r="C308">
        <v>5.7866999999999997</v>
      </c>
      <c r="D308">
        <v>5.1093000000000002</v>
      </c>
      <c r="E308">
        <v>5.1707999999999998</v>
      </c>
      <c r="F308">
        <v>1557523.18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-0.81842338352524446</v>
      </c>
      <c r="Q308">
        <f t="shared" si="965"/>
        <v>-1274713.3908945983</v>
      </c>
      <c r="R308">
        <f t="shared" si="966"/>
        <v>12819269.529480871</v>
      </c>
      <c r="S308">
        <f t="shared" si="967"/>
        <v>128.19269529480871</v>
      </c>
      <c r="T308">
        <f t="shared" si="968"/>
        <v>0.12819269529480873</v>
      </c>
    </row>
    <row r="309" spans="1:20" x14ac:dyDescent="0.25">
      <c r="A309" s="5">
        <v>44284</v>
      </c>
      <c r="B309">
        <v>4.5510999999999999</v>
      </c>
      <c r="C309">
        <v>6.1923000000000004</v>
      </c>
      <c r="D309">
        <v>4.51</v>
      </c>
      <c r="E309">
        <v>5.1999000000000004</v>
      </c>
      <c r="F309">
        <v>4269558.62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-0.179813350769779</v>
      </c>
      <c r="Q309">
        <f t="shared" si="965"/>
        <v>-767723.64177019359</v>
      </c>
      <c r="R309">
        <f t="shared" si="966"/>
        <v>14093982.92037547</v>
      </c>
      <c r="S309">
        <f t="shared" si="967"/>
        <v>140.9398292037547</v>
      </c>
      <c r="T309">
        <f t="shared" si="968"/>
        <v>0.1409398292037547</v>
      </c>
    </row>
    <row r="310" spans="1:20" x14ac:dyDescent="0.25">
      <c r="A310" s="5">
        <v>44283</v>
      </c>
      <c r="B310">
        <v>4.3483000000000001</v>
      </c>
      <c r="C310">
        <v>4.5799000000000003</v>
      </c>
      <c r="D310">
        <v>4.2408999999999999</v>
      </c>
      <c r="E310">
        <v>4.5519999999999996</v>
      </c>
      <c r="F310">
        <v>594057.53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0.83539823008849168</v>
      </c>
      <c r="Q310">
        <f t="shared" si="965"/>
        <v>496274.60913274105</v>
      </c>
      <c r="R310">
        <f t="shared" si="966"/>
        <v>14861706.562145663</v>
      </c>
      <c r="S310">
        <f t="shared" si="967"/>
        <v>148.61706562145665</v>
      </c>
      <c r="T310">
        <f t="shared" si="968"/>
        <v>0.14861706562145666</v>
      </c>
    </row>
    <row r="311" spans="1:20" x14ac:dyDescent="0.25">
      <c r="A311" s="5">
        <v>44282</v>
      </c>
      <c r="B311">
        <v>4.4257999999999997</v>
      </c>
      <c r="C311">
        <v>4.4997999999999996</v>
      </c>
      <c r="D311">
        <v>4.1890000000000001</v>
      </c>
      <c r="E311">
        <v>4.3483000000000001</v>
      </c>
      <c r="F311">
        <v>464321.8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2.5096525096526656E-2</v>
      </c>
      <c r="Q311">
        <f t="shared" si="965"/>
        <v>11652.863706564431</v>
      </c>
      <c r="R311">
        <f t="shared" si="966"/>
        <v>14365431.953012923</v>
      </c>
      <c r="S311">
        <f t="shared" si="967"/>
        <v>143.65431953012921</v>
      </c>
      <c r="T311">
        <f t="shared" si="968"/>
        <v>0.14365431953012922</v>
      </c>
    </row>
    <row r="312" spans="1:20" x14ac:dyDescent="0.25">
      <c r="A312" s="5">
        <v>44281</v>
      </c>
      <c r="B312">
        <v>4.0015000000000001</v>
      </c>
      <c r="C312">
        <v>4.47</v>
      </c>
      <c r="D312">
        <v>3.9836</v>
      </c>
      <c r="E312">
        <v>4.4485999999999999</v>
      </c>
      <c r="F312">
        <v>497395.13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0.91200657894736892</v>
      </c>
      <c r="Q312">
        <f t="shared" si="965"/>
        <v>453627.63089638186</v>
      </c>
      <c r="R312">
        <f t="shared" si="966"/>
        <v>14353779.089306358</v>
      </c>
      <c r="S312">
        <f t="shared" si="967"/>
        <v>143.53779089306357</v>
      </c>
      <c r="T312">
        <f t="shared" si="968"/>
        <v>0.14353779089306357</v>
      </c>
    </row>
    <row r="313" spans="1:20" x14ac:dyDescent="0.25">
      <c r="A313" s="5">
        <v>44280</v>
      </c>
      <c r="B313">
        <v>4.1075999999999997</v>
      </c>
      <c r="C313">
        <v>4.3787000000000003</v>
      </c>
      <c r="D313">
        <v>3.8689</v>
      </c>
      <c r="E313">
        <v>3.9832999999999998</v>
      </c>
      <c r="F313">
        <v>604862.48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-0.5511965476657521</v>
      </c>
      <c r="Q313">
        <f t="shared" si="965"/>
        <v>-333398.11078854499</v>
      </c>
      <c r="R313">
        <f t="shared" si="966"/>
        <v>13900151.458409976</v>
      </c>
      <c r="S313">
        <f t="shared" si="967"/>
        <v>139.00151458409977</v>
      </c>
      <c r="T313">
        <f t="shared" si="968"/>
        <v>0.13900151458409976</v>
      </c>
    </row>
    <row r="314" spans="1:20" x14ac:dyDescent="0.25">
      <c r="A314" s="5">
        <v>44279</v>
      </c>
      <c r="B314">
        <v>4.367</v>
      </c>
      <c r="C314">
        <v>4.6999000000000004</v>
      </c>
      <c r="D314">
        <v>4.0129000000000001</v>
      </c>
      <c r="E314">
        <v>4.1093000000000002</v>
      </c>
      <c r="F314">
        <v>610905</v>
      </c>
      <c r="G314">
        <v>0</v>
      </c>
      <c r="L314" t="s">
        <v>8</v>
      </c>
      <c r="M314" t="s">
        <v>7</v>
      </c>
      <c r="N314" t="s">
        <v>8</v>
      </c>
      <c r="P314">
        <f t="shared" si="964"/>
        <v>-0.71935953420669574</v>
      </c>
      <c r="Q314">
        <f t="shared" si="965"/>
        <v>-439460.33624454145</v>
      </c>
      <c r="R314">
        <f t="shared" si="966"/>
        <v>14233549.569198521</v>
      </c>
      <c r="S314">
        <f t="shared" si="967"/>
        <v>142.33549569198522</v>
      </c>
      <c r="T314">
        <f t="shared" si="968"/>
        <v>0.14233549569198523</v>
      </c>
    </row>
    <row r="315" spans="1:20" x14ac:dyDescent="0.25">
      <c r="A315" s="5">
        <v>44278</v>
      </c>
      <c r="B315">
        <v>4.5014000000000003</v>
      </c>
      <c r="C315">
        <v>4.8</v>
      </c>
      <c r="D315">
        <v>4</v>
      </c>
      <c r="E315">
        <v>4.3670999999999998</v>
      </c>
      <c r="F315">
        <v>952475.14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-8.2250000000000392E-2</v>
      </c>
      <c r="Q315">
        <f t="shared" si="965"/>
        <v>-78341.080265000375</v>
      </c>
      <c r="R315">
        <f t="shared" si="966"/>
        <v>14673009.905443063</v>
      </c>
      <c r="S315">
        <f t="shared" si="967"/>
        <v>146.73009905443064</v>
      </c>
      <c r="T315">
        <f t="shared" si="968"/>
        <v>0.14673009905443063</v>
      </c>
    </row>
    <row r="316" spans="1:20" x14ac:dyDescent="0.25">
      <c r="A316" s="5">
        <v>44277</v>
      </c>
      <c r="B316">
        <v>4.6864999999999997</v>
      </c>
      <c r="C316">
        <v>4.9583000000000004</v>
      </c>
      <c r="D316">
        <v>4.38</v>
      </c>
      <c r="E316">
        <v>4.5294999999999996</v>
      </c>
      <c r="F316">
        <v>800459.72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-0.48296731800103881</v>
      </c>
      <c r="Q316">
        <f t="shared" si="965"/>
        <v>-386595.88413626247</v>
      </c>
      <c r="R316">
        <f t="shared" si="966"/>
        <v>14751350.985708063</v>
      </c>
      <c r="S316">
        <f t="shared" si="967"/>
        <v>147.51350985708063</v>
      </c>
      <c r="T316">
        <f t="shared" si="968"/>
        <v>0.14751350985708064</v>
      </c>
    </row>
    <row r="317" spans="1:20" x14ac:dyDescent="0.25">
      <c r="A317" s="5">
        <v>44276</v>
      </c>
      <c r="B317">
        <v>4.5206999999999997</v>
      </c>
      <c r="C317">
        <v>4.79</v>
      </c>
      <c r="D317">
        <v>4.33</v>
      </c>
      <c r="E317">
        <v>4.6630000000000003</v>
      </c>
      <c r="F317">
        <v>759625.87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0.44782608695652265</v>
      </c>
      <c r="Q317">
        <f t="shared" si="965"/>
        <v>340180.28091304417</v>
      </c>
      <c r="R317">
        <f t="shared" si="966"/>
        <v>15137946.869844327</v>
      </c>
      <c r="S317">
        <f t="shared" si="967"/>
        <v>151.37946869844328</v>
      </c>
      <c r="T317">
        <f t="shared" si="968"/>
        <v>0.15137946869844326</v>
      </c>
    </row>
    <row r="318" spans="1:20" x14ac:dyDescent="0.25">
      <c r="A318" s="5">
        <v>44275</v>
      </c>
      <c r="B318">
        <v>4.9321000000000002</v>
      </c>
      <c r="C318">
        <v>5.1559999999999997</v>
      </c>
      <c r="D318">
        <v>4.5201000000000002</v>
      </c>
      <c r="E318">
        <v>4.5204000000000004</v>
      </c>
      <c r="F318">
        <v>1680293.29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-0.99905645541751786</v>
      </c>
      <c r="Q318">
        <f t="shared" si="965"/>
        <v>-1678707.8583692394</v>
      </c>
      <c r="R318">
        <f t="shared" si="966"/>
        <v>14797766.588931283</v>
      </c>
      <c r="S318">
        <f t="shared" si="967"/>
        <v>147.97766588931282</v>
      </c>
      <c r="T318">
        <f t="shared" si="968"/>
        <v>0.14797766588931283</v>
      </c>
    </row>
    <row r="319" spans="1:20" x14ac:dyDescent="0.25">
      <c r="A319" s="5">
        <v>44274</v>
      </c>
      <c r="B319">
        <v>3.9571999999999998</v>
      </c>
      <c r="C319">
        <v>4.9843000000000002</v>
      </c>
      <c r="D319">
        <v>3.8010000000000002</v>
      </c>
      <c r="E319">
        <v>4.9340000000000002</v>
      </c>
      <c r="F319">
        <v>2986600.18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0.91498352066255384</v>
      </c>
      <c r="Q319">
        <f t="shared" si="965"/>
        <v>2732689.9475078173</v>
      </c>
      <c r="R319">
        <f t="shared" si="966"/>
        <v>16476474.447300522</v>
      </c>
      <c r="S319">
        <f t="shared" si="967"/>
        <v>164.76474447300521</v>
      </c>
      <c r="T319">
        <f t="shared" si="968"/>
        <v>0.16476474447300521</v>
      </c>
    </row>
    <row r="320" spans="1:20" x14ac:dyDescent="0.25">
      <c r="A320" s="5">
        <v>44273</v>
      </c>
      <c r="B320">
        <v>4.1695000000000002</v>
      </c>
      <c r="C320">
        <v>4.2873999999999999</v>
      </c>
      <c r="D320">
        <v>3.8828999999999998</v>
      </c>
      <c r="E320">
        <v>3.9611999999999998</v>
      </c>
      <c r="F320">
        <v>698196.56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-0.61285537700865256</v>
      </c>
      <c r="Q320">
        <f t="shared" si="965"/>
        <v>-427893.51600494434</v>
      </c>
      <c r="R320">
        <f t="shared" si="966"/>
        <v>13743784.499792704</v>
      </c>
      <c r="S320">
        <f t="shared" si="967"/>
        <v>137.43784499792704</v>
      </c>
      <c r="T320">
        <f t="shared" si="968"/>
        <v>0.13743784499792705</v>
      </c>
    </row>
    <row r="321" spans="1:20" x14ac:dyDescent="0.25">
      <c r="A321" s="5">
        <v>44272</v>
      </c>
      <c r="B321">
        <v>4.0204000000000004</v>
      </c>
      <c r="C321">
        <v>4.3499999999999996</v>
      </c>
      <c r="D321">
        <v>3.8088000000000002</v>
      </c>
      <c r="E321">
        <v>4.1695000000000002</v>
      </c>
      <c r="F321">
        <v>1175517.6599999999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0.33296378418329781</v>
      </c>
      <c r="Q321">
        <f t="shared" si="965"/>
        <v>391404.80844789522</v>
      </c>
      <c r="R321">
        <f t="shared" si="966"/>
        <v>14171678.015797649</v>
      </c>
      <c r="S321">
        <f t="shared" si="967"/>
        <v>141.71678015797647</v>
      </c>
      <c r="T321">
        <f t="shared" si="968"/>
        <v>0.14171678015797648</v>
      </c>
    </row>
    <row r="322" spans="1:20" x14ac:dyDescent="0.25">
      <c r="A322" s="5">
        <v>44271</v>
      </c>
      <c r="B322">
        <v>4.0503999999999998</v>
      </c>
      <c r="C322">
        <v>4.4850000000000003</v>
      </c>
      <c r="D322">
        <v>3.7888000000000002</v>
      </c>
      <c r="E322">
        <v>4.0202999999999998</v>
      </c>
      <c r="F322">
        <v>1771791.52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-0.33496121804079421</v>
      </c>
      <c r="Q322">
        <f t="shared" si="965"/>
        <v>-593481.44565355021</v>
      </c>
      <c r="R322">
        <f t="shared" si="966"/>
        <v>13780273.207349753</v>
      </c>
      <c r="S322">
        <f t="shared" si="967"/>
        <v>137.80273207349754</v>
      </c>
      <c r="T322">
        <f t="shared" si="968"/>
        <v>0.13780273207349752</v>
      </c>
    </row>
    <row r="323" spans="1:20" x14ac:dyDescent="0.25">
      <c r="A323" s="5">
        <v>44270</v>
      </c>
      <c r="B323">
        <v>3.8319999999999999</v>
      </c>
      <c r="C323">
        <v>4.1859000000000002</v>
      </c>
      <c r="D323">
        <v>3.53</v>
      </c>
      <c r="E323">
        <v>4.0557999999999996</v>
      </c>
      <c r="F323">
        <v>1096125.2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0.60329318493672668</v>
      </c>
      <c r="Q323">
        <f t="shared" si="965"/>
        <v>661284.86299740651</v>
      </c>
      <c r="R323">
        <f t="shared" si="966"/>
        <v>14373754.653003303</v>
      </c>
      <c r="S323">
        <f t="shared" si="967"/>
        <v>143.73754653003303</v>
      </c>
      <c r="T323">
        <f t="shared" si="968"/>
        <v>0.14373754653003304</v>
      </c>
    </row>
    <row r="324" spans="1:20" x14ac:dyDescent="0.25">
      <c r="A324" s="5">
        <v>44269</v>
      </c>
      <c r="B324">
        <v>3.6941999999999999</v>
      </c>
      <c r="C324">
        <v>4.2</v>
      </c>
      <c r="D324">
        <v>3.5217999999999998</v>
      </c>
      <c r="E324">
        <v>3.8378000000000001</v>
      </c>
      <c r="F324">
        <v>1432620.84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-6.8121498083160981E-2</v>
      </c>
      <c r="Q324">
        <f t="shared" si="965"/>
        <v>-97592.277805956473</v>
      </c>
      <c r="R324">
        <f t="shared" si="966"/>
        <v>13712469.790005896</v>
      </c>
      <c r="S324">
        <f t="shared" si="967"/>
        <v>137.12469790005898</v>
      </c>
      <c r="T324">
        <f t="shared" si="968"/>
        <v>0.13712469790005899</v>
      </c>
    </row>
    <row r="325" spans="1:20" x14ac:dyDescent="0.25">
      <c r="A325" s="5">
        <v>44268</v>
      </c>
      <c r="B325">
        <v>3.6305000000000001</v>
      </c>
      <c r="C325">
        <v>3.8475000000000001</v>
      </c>
      <c r="D325">
        <v>3.4908999999999999</v>
      </c>
      <c r="E325">
        <v>3.6941999999999999</v>
      </c>
      <c r="F325">
        <v>873096.67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0.14021312394840096</v>
      </c>
      <c r="Q325">
        <f t="shared" si="965"/>
        <v>122419.61160964613</v>
      </c>
      <c r="R325">
        <f t="shared" si="966"/>
        <v>13810062.067811852</v>
      </c>
      <c r="S325">
        <f t="shared" si="967"/>
        <v>138.10062067811853</v>
      </c>
      <c r="T325">
        <f t="shared" si="968"/>
        <v>0.13810062067811854</v>
      </c>
    </row>
    <row r="326" spans="1:20" x14ac:dyDescent="0.25">
      <c r="A326" s="5">
        <v>44267</v>
      </c>
      <c r="B326">
        <v>3.8311000000000002</v>
      </c>
      <c r="C326">
        <v>4.2599</v>
      </c>
      <c r="D326">
        <v>3.59</v>
      </c>
      <c r="E326">
        <v>3.6305000000000001</v>
      </c>
      <c r="F326">
        <v>1685826.17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-0.87908643081056814</v>
      </c>
      <c r="Q326">
        <f t="shared" ref="Q326:Q389" si="970">F326*P326</f>
        <v>-1481986.91075235</v>
      </c>
      <c r="R326">
        <f t="shared" ref="R326:R389" si="971">R327+Q326</f>
        <v>13687642.456202205</v>
      </c>
      <c r="S326">
        <f t="shared" ref="S326:S389" si="972">R326/100000</f>
        <v>136.87642456202207</v>
      </c>
      <c r="T326">
        <f t="shared" ref="T326:T389" si="973">S326/1000</f>
        <v>0.13687642456202206</v>
      </c>
    </row>
    <row r="327" spans="1:20" x14ac:dyDescent="0.25">
      <c r="A327" s="5">
        <v>44266</v>
      </c>
      <c r="B327">
        <v>3.4676</v>
      </c>
      <c r="C327">
        <v>4.2153999999999998</v>
      </c>
      <c r="D327">
        <v>3.24</v>
      </c>
      <c r="E327">
        <v>3.831</v>
      </c>
      <c r="F327">
        <v>2850184.51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0.21181053926594215</v>
      </c>
      <c r="Q327">
        <f t="shared" si="970"/>
        <v>603699.11807053501</v>
      </c>
      <c r="R327">
        <f t="shared" si="971"/>
        <v>15169629.366954556</v>
      </c>
      <c r="S327">
        <f t="shared" si="972"/>
        <v>151.69629366954555</v>
      </c>
      <c r="T327">
        <f t="shared" si="973"/>
        <v>0.15169629366954557</v>
      </c>
    </row>
    <row r="328" spans="1:20" x14ac:dyDescent="0.25">
      <c r="A328" s="5">
        <v>44265</v>
      </c>
      <c r="B328">
        <v>3.0676000000000001</v>
      </c>
      <c r="C328">
        <v>3.4994000000000001</v>
      </c>
      <c r="D328">
        <v>2.85</v>
      </c>
      <c r="E328">
        <v>3.4676</v>
      </c>
      <c r="F328">
        <v>1633532.92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0.90206344317831832</v>
      </c>
      <c r="Q328">
        <f t="shared" si="970"/>
        <v>1473550.3303603323</v>
      </c>
      <c r="R328">
        <f t="shared" si="971"/>
        <v>14565930.24888402</v>
      </c>
      <c r="S328">
        <f t="shared" si="972"/>
        <v>145.65930248884021</v>
      </c>
      <c r="T328">
        <f t="shared" si="973"/>
        <v>0.14565930248884021</v>
      </c>
    </row>
    <row r="329" spans="1:20" x14ac:dyDescent="0.25">
      <c r="A329" s="5">
        <v>44264</v>
      </c>
      <c r="B329">
        <v>2.7477999999999998</v>
      </c>
      <c r="C329">
        <v>3.0733999999999999</v>
      </c>
      <c r="D329">
        <v>2.7368999999999999</v>
      </c>
      <c r="E329">
        <v>3.0674999999999999</v>
      </c>
      <c r="F329">
        <v>726740.06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0.9649331352154531</v>
      </c>
      <c r="Q329">
        <f t="shared" si="970"/>
        <v>701255.5645824665</v>
      </c>
      <c r="R329">
        <f t="shared" si="971"/>
        <v>13092379.918523688</v>
      </c>
      <c r="S329">
        <f t="shared" si="972"/>
        <v>130.92379918523687</v>
      </c>
      <c r="T329">
        <f t="shared" si="973"/>
        <v>0.13092379918523686</v>
      </c>
    </row>
    <row r="330" spans="1:20" x14ac:dyDescent="0.25">
      <c r="A330" s="5">
        <v>44263</v>
      </c>
      <c r="B330">
        <v>2.6198999999999999</v>
      </c>
      <c r="C330">
        <v>2.7852000000000001</v>
      </c>
      <c r="D330">
        <v>2.5495000000000001</v>
      </c>
      <c r="E330">
        <v>2.7437999999999998</v>
      </c>
      <c r="F330">
        <v>503786.38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0.6487059821807355</v>
      </c>
      <c r="Q330">
        <f t="shared" si="970"/>
        <v>326809.23844717722</v>
      </c>
      <c r="R330">
        <f t="shared" si="971"/>
        <v>12391124.353941221</v>
      </c>
      <c r="S330">
        <f t="shared" si="972"/>
        <v>123.91124353941221</v>
      </c>
      <c r="T330">
        <f t="shared" si="973"/>
        <v>0.12391124353941221</v>
      </c>
    </row>
    <row r="331" spans="1:20" x14ac:dyDescent="0.25">
      <c r="A331" s="5">
        <v>44262</v>
      </c>
      <c r="B331">
        <v>2.5596000000000001</v>
      </c>
      <c r="C331">
        <v>2.6749999999999998</v>
      </c>
      <c r="D331">
        <v>2.5386000000000002</v>
      </c>
      <c r="E331">
        <v>2.6225999999999998</v>
      </c>
      <c r="F331">
        <v>327783.09999999998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0.23167155425219732</v>
      </c>
      <c r="Q331">
        <f t="shared" si="970"/>
        <v>75938.02023460342</v>
      </c>
      <c r="R331">
        <f t="shared" si="971"/>
        <v>12064315.115494043</v>
      </c>
      <c r="S331">
        <f t="shared" si="972"/>
        <v>120.64315115494043</v>
      </c>
      <c r="T331">
        <f t="shared" si="973"/>
        <v>0.12064315115494043</v>
      </c>
    </row>
    <row r="332" spans="1:20" x14ac:dyDescent="0.25">
      <c r="A332" s="5">
        <v>44261</v>
      </c>
      <c r="B332">
        <v>2.5979000000000001</v>
      </c>
      <c r="C332">
        <v>2.7</v>
      </c>
      <c r="D332">
        <v>2.4792999999999998</v>
      </c>
      <c r="E332">
        <v>2.5503</v>
      </c>
      <c r="F332">
        <v>254062.99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-0.35659265971907506</v>
      </c>
      <c r="Q332">
        <f t="shared" si="970"/>
        <v>-90596.997340280766</v>
      </c>
      <c r="R332">
        <f t="shared" si="971"/>
        <v>11988377.095259439</v>
      </c>
      <c r="S332">
        <f t="shared" si="972"/>
        <v>119.88377095259439</v>
      </c>
      <c r="T332">
        <f t="shared" si="973"/>
        <v>0.11988377095259439</v>
      </c>
    </row>
    <row r="333" spans="1:20" x14ac:dyDescent="0.25">
      <c r="A333" s="5">
        <v>44260</v>
      </c>
      <c r="B333">
        <v>2.5209000000000001</v>
      </c>
      <c r="C333">
        <v>2.6093000000000002</v>
      </c>
      <c r="D333">
        <v>2.4102000000000001</v>
      </c>
      <c r="E333">
        <v>2.5972</v>
      </c>
      <c r="F333">
        <v>437752.51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0.87845303867403091</v>
      </c>
      <c r="Q333">
        <f t="shared" si="970"/>
        <v>384545.02259668411</v>
      </c>
      <c r="R333">
        <f t="shared" si="971"/>
        <v>12078974.09259972</v>
      </c>
      <c r="S333">
        <f t="shared" si="972"/>
        <v>120.78974092599719</v>
      </c>
      <c r="T333">
        <f t="shared" si="973"/>
        <v>0.12078974092599719</v>
      </c>
    </row>
    <row r="334" spans="1:20" x14ac:dyDescent="0.25">
      <c r="A334" s="5">
        <v>44259</v>
      </c>
      <c r="B334">
        <v>2.5442</v>
      </c>
      <c r="C334">
        <v>2.7463000000000002</v>
      </c>
      <c r="D334">
        <v>2.4451000000000001</v>
      </c>
      <c r="E334">
        <v>2.5305</v>
      </c>
      <c r="F334">
        <v>682246.87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-0.43293492695883212</v>
      </c>
      <c r="Q334">
        <f t="shared" si="970"/>
        <v>-295368.49883134186</v>
      </c>
      <c r="R334">
        <f t="shared" si="971"/>
        <v>11694429.070003036</v>
      </c>
      <c r="S334">
        <f t="shared" si="972"/>
        <v>116.94429070003036</v>
      </c>
      <c r="T334">
        <f t="shared" si="973"/>
        <v>0.11694429070003036</v>
      </c>
    </row>
    <row r="335" spans="1:20" x14ac:dyDescent="0.25">
      <c r="A335" s="5">
        <v>44258</v>
      </c>
      <c r="B335">
        <v>2.5396999999999998</v>
      </c>
      <c r="C335">
        <v>2.6718000000000002</v>
      </c>
      <c r="D335">
        <v>2.452</v>
      </c>
      <c r="E335">
        <v>2.5455000000000001</v>
      </c>
      <c r="F335">
        <v>648571.13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-0.14922656960873479</v>
      </c>
      <c r="Q335">
        <f t="shared" si="970"/>
        <v>-96784.044877160777</v>
      </c>
      <c r="R335">
        <f t="shared" si="971"/>
        <v>11989797.568834377</v>
      </c>
      <c r="S335">
        <f t="shared" si="972"/>
        <v>119.89797568834378</v>
      </c>
      <c r="T335">
        <f t="shared" si="973"/>
        <v>0.11989797568834377</v>
      </c>
    </row>
    <row r="336" spans="1:20" x14ac:dyDescent="0.25">
      <c r="A336" s="5">
        <v>44257</v>
      </c>
      <c r="B336">
        <v>2.6362999999999999</v>
      </c>
      <c r="C336">
        <v>2.7360000000000002</v>
      </c>
      <c r="D336">
        <v>2.4289000000000001</v>
      </c>
      <c r="E336">
        <v>2.5396999999999998</v>
      </c>
      <c r="F336">
        <v>483505.06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-0.27841094106154524</v>
      </c>
      <c r="Q336">
        <f t="shared" si="970"/>
        <v>-134613.0987626189</v>
      </c>
      <c r="R336">
        <f t="shared" si="971"/>
        <v>12086581.613711538</v>
      </c>
      <c r="S336">
        <f t="shared" si="972"/>
        <v>120.86581613711537</v>
      </c>
      <c r="T336">
        <f t="shared" si="973"/>
        <v>0.12086581613711538</v>
      </c>
    </row>
    <row r="337" spans="1:20" x14ac:dyDescent="0.25">
      <c r="A337" s="5">
        <v>44256</v>
      </c>
      <c r="B337">
        <v>2.4900000000000002</v>
      </c>
      <c r="C337">
        <v>2.7884000000000002</v>
      </c>
      <c r="D337">
        <v>2.4765999999999999</v>
      </c>
      <c r="E337">
        <v>2.6204000000000001</v>
      </c>
      <c r="F337">
        <v>620081.18999999994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-7.7613855035278942E-2</v>
      </c>
      <c r="Q337">
        <f t="shared" si="970"/>
        <v>-48126.891590763254</v>
      </c>
      <c r="R337">
        <f t="shared" si="971"/>
        <v>12221194.712474156</v>
      </c>
      <c r="S337">
        <f t="shared" si="972"/>
        <v>122.21194712474156</v>
      </c>
      <c r="T337">
        <f t="shared" si="973"/>
        <v>0.12221194712474155</v>
      </c>
    </row>
    <row r="338" spans="1:20" x14ac:dyDescent="0.25">
      <c r="A338" s="5">
        <v>44255</v>
      </c>
      <c r="B338">
        <v>2.5990000000000002</v>
      </c>
      <c r="C338">
        <v>2.6301999999999999</v>
      </c>
      <c r="D338">
        <v>2.1888000000000001</v>
      </c>
      <c r="E338">
        <v>2.4900000000000002</v>
      </c>
      <c r="F338">
        <v>876333.73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0.3647485274127788</v>
      </c>
      <c r="Q338">
        <f t="shared" si="970"/>
        <v>319641.43753964768</v>
      </c>
      <c r="R338">
        <f t="shared" si="971"/>
        <v>12269321.604064919</v>
      </c>
      <c r="S338">
        <f t="shared" si="972"/>
        <v>122.69321604064919</v>
      </c>
      <c r="T338">
        <f t="shared" si="973"/>
        <v>0.12269321604064919</v>
      </c>
    </row>
    <row r="339" spans="1:20" x14ac:dyDescent="0.25">
      <c r="A339" s="5">
        <v>44254</v>
      </c>
      <c r="B339">
        <v>2.7526999999999999</v>
      </c>
      <c r="C339">
        <v>2.9674999999999998</v>
      </c>
      <c r="D339">
        <v>2.5329999999999999</v>
      </c>
      <c r="E339">
        <v>2.6111</v>
      </c>
      <c r="F339">
        <v>904542.49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-0.64050632911392369</v>
      </c>
      <c r="Q339">
        <f t="shared" si="970"/>
        <v>-579365.18979746802</v>
      </c>
      <c r="R339">
        <f t="shared" si="971"/>
        <v>11949680.166525271</v>
      </c>
      <c r="S339">
        <f t="shared" si="972"/>
        <v>119.4968016652527</v>
      </c>
      <c r="T339">
        <f t="shared" si="973"/>
        <v>0.1194968016652527</v>
      </c>
    </row>
    <row r="340" spans="1:20" x14ac:dyDescent="0.25">
      <c r="A340" s="5">
        <v>44253</v>
      </c>
      <c r="B340">
        <v>3.1934999999999998</v>
      </c>
      <c r="C340">
        <v>3.48</v>
      </c>
      <c r="D340">
        <v>2.6452</v>
      </c>
      <c r="E340">
        <v>2.7524000000000002</v>
      </c>
      <c r="F340">
        <v>1649872.87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-0.74317201724964022</v>
      </c>
      <c r="Q340">
        <f t="shared" si="970"/>
        <v>-1226139.3490033534</v>
      </c>
      <c r="R340">
        <f t="shared" si="971"/>
        <v>12529045.356322739</v>
      </c>
      <c r="S340">
        <f t="shared" si="972"/>
        <v>125.29045356322739</v>
      </c>
      <c r="T340">
        <f t="shared" si="973"/>
        <v>0.12529045356322738</v>
      </c>
    </row>
    <row r="341" spans="1:20" x14ac:dyDescent="0.25">
      <c r="A341" s="5">
        <v>44252</v>
      </c>
      <c r="B341">
        <v>2.7782</v>
      </c>
      <c r="C341">
        <v>3.5486</v>
      </c>
      <c r="D341">
        <v>2.5951</v>
      </c>
      <c r="E341">
        <v>3.2000999999999999</v>
      </c>
      <c r="F341">
        <v>3817109.18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0.26900891452543257</v>
      </c>
      <c r="Q341">
        <f t="shared" si="970"/>
        <v>1026836.397136864</v>
      </c>
      <c r="R341">
        <f t="shared" si="971"/>
        <v>13755184.705326093</v>
      </c>
      <c r="S341">
        <f t="shared" si="972"/>
        <v>137.55184705326093</v>
      </c>
      <c r="T341">
        <f t="shared" si="973"/>
        <v>0.13755184705326093</v>
      </c>
    </row>
    <row r="342" spans="1:20" x14ac:dyDescent="0.25">
      <c r="A342" s="5">
        <v>44251</v>
      </c>
      <c r="B342">
        <v>2.2536</v>
      </c>
      <c r="C342">
        <v>2.9232</v>
      </c>
      <c r="D342">
        <v>2.19</v>
      </c>
      <c r="E342">
        <v>2.7867000000000002</v>
      </c>
      <c r="F342">
        <v>1363633.78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0.62765957446808562</v>
      </c>
      <c r="Q342">
        <f t="shared" si="970"/>
        <v>855897.79808510712</v>
      </c>
      <c r="R342">
        <f t="shared" si="971"/>
        <v>12728348.30818923</v>
      </c>
      <c r="S342">
        <f t="shared" si="972"/>
        <v>127.2834830818923</v>
      </c>
      <c r="T342">
        <f t="shared" si="973"/>
        <v>0.1272834830818923</v>
      </c>
    </row>
    <row r="343" spans="1:20" x14ac:dyDescent="0.25">
      <c r="A343" s="5">
        <v>44250</v>
      </c>
      <c r="B343">
        <v>2.6720999999999999</v>
      </c>
      <c r="C343">
        <v>2.7118000000000002</v>
      </c>
      <c r="D343">
        <v>1.9326000000000001</v>
      </c>
      <c r="E343">
        <v>2.2536</v>
      </c>
      <c r="F343">
        <v>1166208.72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-0.1760780287474335</v>
      </c>
      <c r="Q343">
        <f t="shared" si="970"/>
        <v>-205343.73252566761</v>
      </c>
      <c r="R343">
        <f t="shared" si="971"/>
        <v>11872450.510104124</v>
      </c>
      <c r="S343">
        <f t="shared" si="972"/>
        <v>118.72450510104123</v>
      </c>
      <c r="T343">
        <f t="shared" si="973"/>
        <v>0.11872450510104123</v>
      </c>
    </row>
    <row r="344" spans="1:20" x14ac:dyDescent="0.25">
      <c r="A344" s="5">
        <v>44249</v>
      </c>
      <c r="B344">
        <v>2.7541000000000002</v>
      </c>
      <c r="C344">
        <v>2.8650000000000002</v>
      </c>
      <c r="D344">
        <v>2.25</v>
      </c>
      <c r="E344">
        <v>2.6747000000000001</v>
      </c>
      <c r="F344">
        <v>1126585.6399999999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0.38113821138211357</v>
      </c>
      <c r="Q344">
        <f t="shared" si="970"/>
        <v>429384.83579837368</v>
      </c>
      <c r="R344">
        <f t="shared" si="971"/>
        <v>12077794.242629791</v>
      </c>
      <c r="S344">
        <f t="shared" si="972"/>
        <v>120.77794242629791</v>
      </c>
      <c r="T344">
        <f t="shared" si="973"/>
        <v>0.12077794242629791</v>
      </c>
    </row>
    <row r="345" spans="1:20" x14ac:dyDescent="0.25">
      <c r="A345" s="5">
        <v>44248</v>
      </c>
      <c r="B345">
        <v>2.4706000000000001</v>
      </c>
      <c r="C345">
        <v>2.8715000000000002</v>
      </c>
      <c r="D345">
        <v>2.4169999999999998</v>
      </c>
      <c r="E345">
        <v>2.7397999999999998</v>
      </c>
      <c r="F345">
        <v>781172.49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0.42046204620461924</v>
      </c>
      <c r="Q345">
        <f t="shared" si="970"/>
        <v>328453.38358415745</v>
      </c>
      <c r="R345">
        <f t="shared" si="971"/>
        <v>11648409.406831417</v>
      </c>
      <c r="S345">
        <f t="shared" si="972"/>
        <v>116.48409406831418</v>
      </c>
      <c r="T345">
        <f t="shared" si="973"/>
        <v>0.11648409406831418</v>
      </c>
    </row>
    <row r="346" spans="1:20" x14ac:dyDescent="0.25">
      <c r="A346" s="5">
        <v>44247</v>
      </c>
      <c r="B346">
        <v>2.7349999999999999</v>
      </c>
      <c r="C346">
        <v>2.83</v>
      </c>
      <c r="D346">
        <v>2.3376000000000001</v>
      </c>
      <c r="E346">
        <v>2.4653</v>
      </c>
      <c r="F346">
        <v>973486.68</v>
      </c>
      <c r="G346">
        <v>0</v>
      </c>
      <c r="L346" t="s">
        <v>8</v>
      </c>
      <c r="M346" t="s">
        <v>7</v>
      </c>
      <c r="N346" t="s">
        <v>8</v>
      </c>
      <c r="P346">
        <f t="shared" si="969"/>
        <v>-0.481316003249391</v>
      </c>
      <c r="Q346">
        <f t="shared" si="970"/>
        <v>-468554.71803411888</v>
      </c>
      <c r="R346">
        <f t="shared" si="971"/>
        <v>11319956.023247261</v>
      </c>
      <c r="S346">
        <f t="shared" si="972"/>
        <v>113.19956023247261</v>
      </c>
      <c r="T346">
        <f t="shared" si="973"/>
        <v>0.1131995602324726</v>
      </c>
    </row>
    <row r="347" spans="1:20" x14ac:dyDescent="0.25">
      <c r="A347" s="5">
        <v>44246</v>
      </c>
      <c r="B347">
        <v>2.5830000000000002</v>
      </c>
      <c r="C347">
        <v>2.79</v>
      </c>
      <c r="D347">
        <v>2.4026999999999998</v>
      </c>
      <c r="E347">
        <v>2.7332999999999998</v>
      </c>
      <c r="F347">
        <v>1288551.68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0.70720371804802395</v>
      </c>
      <c r="Q347">
        <f t="shared" si="970"/>
        <v>911268.53899302753</v>
      </c>
      <c r="R347">
        <f t="shared" si="971"/>
        <v>11788510.741281379</v>
      </c>
      <c r="S347">
        <f t="shared" si="972"/>
        <v>117.8851074128138</v>
      </c>
      <c r="T347">
        <f t="shared" si="973"/>
        <v>0.1178851074128138</v>
      </c>
    </row>
    <row r="348" spans="1:20" x14ac:dyDescent="0.25">
      <c r="A348" s="5">
        <v>44245</v>
      </c>
      <c r="B348">
        <v>2.3048000000000002</v>
      </c>
      <c r="C348">
        <v>2.5830000000000002</v>
      </c>
      <c r="D348">
        <v>2.2915000000000001</v>
      </c>
      <c r="E348">
        <v>2.5830000000000002</v>
      </c>
      <c r="F348">
        <v>633433.04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1</v>
      </c>
      <c r="Q348">
        <f t="shared" si="970"/>
        <v>633433.04</v>
      </c>
      <c r="R348">
        <f t="shared" si="971"/>
        <v>10877242.202288352</v>
      </c>
      <c r="S348">
        <f t="shared" si="972"/>
        <v>108.77242202288352</v>
      </c>
      <c r="T348">
        <f t="shared" si="973"/>
        <v>0.10877242202288352</v>
      </c>
    </row>
    <row r="349" spans="1:20" x14ac:dyDescent="0.25">
      <c r="A349" s="5">
        <v>44244</v>
      </c>
      <c r="B349">
        <v>2.3073999999999999</v>
      </c>
      <c r="C349">
        <v>2.456</v>
      </c>
      <c r="D349">
        <v>2.1334</v>
      </c>
      <c r="E349">
        <v>2.3048000000000002</v>
      </c>
      <c r="F349">
        <v>756520.75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6.2616243025419835E-2</v>
      </c>
      <c r="Q349">
        <f t="shared" si="970"/>
        <v>47370.487135772884</v>
      </c>
      <c r="R349">
        <f t="shared" si="971"/>
        <v>10243809.162288353</v>
      </c>
      <c r="S349">
        <f t="shared" si="972"/>
        <v>102.43809162288353</v>
      </c>
      <c r="T349">
        <f t="shared" si="973"/>
        <v>0.10243809162288353</v>
      </c>
    </row>
    <row r="350" spans="1:20" x14ac:dyDescent="0.25">
      <c r="A350" s="5">
        <v>44243</v>
      </c>
      <c r="B350">
        <v>2.2000999999999999</v>
      </c>
      <c r="C350">
        <v>2.5042</v>
      </c>
      <c r="D350">
        <v>2.12</v>
      </c>
      <c r="E350">
        <v>2.3086000000000002</v>
      </c>
      <c r="F350">
        <v>857910.61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-1.8219677251430703E-2</v>
      </c>
      <c r="Q350">
        <f t="shared" si="970"/>
        <v>-15630.854424778037</v>
      </c>
      <c r="R350">
        <f t="shared" si="971"/>
        <v>10196438.675152579</v>
      </c>
      <c r="S350">
        <f t="shared" si="972"/>
        <v>101.96438675152579</v>
      </c>
      <c r="T350">
        <f t="shared" si="973"/>
        <v>0.10196438675152579</v>
      </c>
    </row>
    <row r="351" spans="1:20" x14ac:dyDescent="0.25">
      <c r="A351" s="5">
        <v>44242</v>
      </c>
      <c r="B351">
        <v>2.2435999999999998</v>
      </c>
      <c r="C351">
        <v>2.5</v>
      </c>
      <c r="D351">
        <v>1.9100999999999999</v>
      </c>
      <c r="E351">
        <v>2.2000999999999999</v>
      </c>
      <c r="F351">
        <v>1167465.1499999999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-1.6782505509408404E-2</v>
      </c>
      <c r="Q351">
        <f t="shared" si="970"/>
        <v>-19592.990311917307</v>
      </c>
      <c r="R351">
        <f t="shared" si="971"/>
        <v>10212069.529577358</v>
      </c>
      <c r="S351">
        <f t="shared" si="972"/>
        <v>102.12069529577357</v>
      </c>
      <c r="T351">
        <f t="shared" si="973"/>
        <v>0.10212069529577357</v>
      </c>
    </row>
    <row r="352" spans="1:20" x14ac:dyDescent="0.25">
      <c r="A352" s="5">
        <v>44241</v>
      </c>
      <c r="B352">
        <v>2.41</v>
      </c>
      <c r="C352">
        <v>2.62</v>
      </c>
      <c r="D352">
        <v>2.1894999999999998</v>
      </c>
      <c r="E352">
        <v>2.2433999999999998</v>
      </c>
      <c r="F352">
        <v>1430635.44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-0.74959349593495928</v>
      </c>
      <c r="Q352">
        <f t="shared" si="970"/>
        <v>-1072395.0208780486</v>
      </c>
      <c r="R352">
        <f t="shared" si="971"/>
        <v>10231662.519889275</v>
      </c>
      <c r="S352">
        <f t="shared" si="972"/>
        <v>102.31662519889275</v>
      </c>
      <c r="T352">
        <f t="shared" si="973"/>
        <v>0.10231662519889276</v>
      </c>
    </row>
    <row r="353" spans="1:20" x14ac:dyDescent="0.25">
      <c r="A353" s="5">
        <v>44240</v>
      </c>
      <c r="B353">
        <v>2.1513</v>
      </c>
      <c r="C353">
        <v>2.5499999999999998</v>
      </c>
      <c r="D353">
        <v>2.1457999999999999</v>
      </c>
      <c r="E353">
        <v>2.4106999999999998</v>
      </c>
      <c r="F353">
        <v>1497050.47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0.31073725878278075</v>
      </c>
      <c r="Q353">
        <f t="shared" si="970"/>
        <v>465189.35930727352</v>
      </c>
      <c r="R353">
        <f t="shared" si="971"/>
        <v>11304057.540767323</v>
      </c>
      <c r="S353">
        <f t="shared" si="972"/>
        <v>113.04057540767323</v>
      </c>
      <c r="T353">
        <f t="shared" si="973"/>
        <v>0.11304057540767323</v>
      </c>
    </row>
    <row r="354" spans="1:20" x14ac:dyDescent="0.25">
      <c r="A354" s="5">
        <v>44239</v>
      </c>
      <c r="B354">
        <v>2.1105</v>
      </c>
      <c r="C354">
        <v>2.34</v>
      </c>
      <c r="D354">
        <v>2.02</v>
      </c>
      <c r="E354">
        <v>2.1513</v>
      </c>
      <c r="F354">
        <v>1255587.53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-0.17937499999999976</v>
      </c>
      <c r="Q354">
        <f t="shared" si="970"/>
        <v>-225221.01319374971</v>
      </c>
      <c r="R354">
        <f t="shared" si="971"/>
        <v>10838868.181460049</v>
      </c>
      <c r="S354">
        <f t="shared" si="972"/>
        <v>108.38868181460049</v>
      </c>
      <c r="T354">
        <f t="shared" si="973"/>
        <v>0.10838868181460048</v>
      </c>
    </row>
    <row r="355" spans="1:20" x14ac:dyDescent="0.25">
      <c r="A355" s="5">
        <v>44238</v>
      </c>
      <c r="B355">
        <v>1.9177</v>
      </c>
      <c r="C355">
        <v>2.234</v>
      </c>
      <c r="D355">
        <v>1.8852</v>
      </c>
      <c r="E355">
        <v>2.1105999999999998</v>
      </c>
      <c r="F355">
        <v>1531470.24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0.29243119266054945</v>
      </c>
      <c r="Q355">
        <f t="shared" si="970"/>
        <v>447849.66880733793</v>
      </c>
      <c r="R355">
        <f t="shared" si="971"/>
        <v>11064089.194653798</v>
      </c>
      <c r="S355">
        <f t="shared" si="972"/>
        <v>110.64089194653798</v>
      </c>
      <c r="T355">
        <f t="shared" si="973"/>
        <v>0.11064089194653798</v>
      </c>
    </row>
    <row r="356" spans="1:20" x14ac:dyDescent="0.25">
      <c r="A356" s="5">
        <v>44237</v>
      </c>
      <c r="B356">
        <v>1.9165000000000001</v>
      </c>
      <c r="C356">
        <v>1.9750000000000001</v>
      </c>
      <c r="D356">
        <v>1.8</v>
      </c>
      <c r="E356">
        <v>1.915</v>
      </c>
      <c r="F356">
        <v>1330555.44</v>
      </c>
      <c r="G356">
        <v>0</v>
      </c>
      <c r="L356" t="s">
        <v>8</v>
      </c>
      <c r="M356" t="s">
        <v>7</v>
      </c>
      <c r="N356" t="s">
        <v>8</v>
      </c>
      <c r="P356">
        <f t="shared" si="969"/>
        <v>0.31428571428571384</v>
      </c>
      <c r="Q356">
        <f t="shared" si="970"/>
        <v>418174.56685714226</v>
      </c>
      <c r="R356">
        <f t="shared" si="971"/>
        <v>10616239.525846461</v>
      </c>
      <c r="S356">
        <f t="shared" si="972"/>
        <v>106.16239525846461</v>
      </c>
      <c r="T356">
        <f t="shared" si="973"/>
        <v>0.10616239525846462</v>
      </c>
    </row>
    <row r="357" spans="1:20" x14ac:dyDescent="0.25">
      <c r="A357" s="5">
        <v>44236</v>
      </c>
      <c r="B357">
        <v>1.8292999999999999</v>
      </c>
      <c r="C357">
        <v>1.94</v>
      </c>
      <c r="D357">
        <v>1.7656000000000001</v>
      </c>
      <c r="E357">
        <v>1.9165000000000001</v>
      </c>
      <c r="F357">
        <v>797535.78</v>
      </c>
      <c r="G357">
        <v>0</v>
      </c>
      <c r="L357" t="s">
        <v>8</v>
      </c>
      <c r="M357" t="s">
        <v>7</v>
      </c>
      <c r="N357" t="s">
        <v>8</v>
      </c>
      <c r="P357">
        <f t="shared" si="969"/>
        <v>0.73050458715596478</v>
      </c>
      <c r="Q357">
        <f t="shared" si="970"/>
        <v>582603.54571101035</v>
      </c>
      <c r="R357">
        <f t="shared" si="971"/>
        <v>10198064.958989318</v>
      </c>
      <c r="S357">
        <f t="shared" si="972"/>
        <v>101.98064958989319</v>
      </c>
      <c r="T357">
        <f t="shared" si="973"/>
        <v>0.1019806495898932</v>
      </c>
    </row>
    <row r="358" spans="1:20" x14ac:dyDescent="0.25">
      <c r="A358" s="5">
        <v>44235</v>
      </c>
      <c r="B358">
        <v>1.7233000000000001</v>
      </c>
      <c r="C358">
        <v>1.889</v>
      </c>
      <c r="D358">
        <v>1.6707000000000001</v>
      </c>
      <c r="E358">
        <v>1.8290999999999999</v>
      </c>
      <c r="F358">
        <v>932864.14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0.45121392579019626</v>
      </c>
      <c r="Q358">
        <f t="shared" si="970"/>
        <v>420921.29083829524</v>
      </c>
      <c r="R358">
        <f t="shared" si="971"/>
        <v>9615461.4132783078</v>
      </c>
      <c r="S358">
        <f t="shared" si="972"/>
        <v>96.154614132783081</v>
      </c>
      <c r="T358">
        <f t="shared" si="973"/>
        <v>9.6154614132783076E-2</v>
      </c>
    </row>
    <row r="359" spans="1:20" x14ac:dyDescent="0.25">
      <c r="A359" s="5">
        <v>44234</v>
      </c>
      <c r="B359">
        <v>1.7807999999999999</v>
      </c>
      <c r="C359">
        <v>1.7866</v>
      </c>
      <c r="D359">
        <v>1.63</v>
      </c>
      <c r="E359">
        <v>1.7233000000000001</v>
      </c>
      <c r="F359">
        <v>468481.23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0.19157088122605515</v>
      </c>
      <c r="Q359">
        <f t="shared" si="970"/>
        <v>89747.36206896622</v>
      </c>
      <c r="R359">
        <f t="shared" si="971"/>
        <v>9194540.1224400122</v>
      </c>
      <c r="S359">
        <f t="shared" si="972"/>
        <v>91.945401224400115</v>
      </c>
      <c r="T359">
        <f t="shared" si="973"/>
        <v>9.194540122440012E-2</v>
      </c>
    </row>
    <row r="360" spans="1:20" x14ac:dyDescent="0.25">
      <c r="A360" s="5">
        <v>44233</v>
      </c>
      <c r="B360">
        <v>1.9098999999999999</v>
      </c>
      <c r="C360">
        <v>1.93</v>
      </c>
      <c r="D360">
        <v>1.7222999999999999</v>
      </c>
      <c r="E360">
        <v>1.7807999999999999</v>
      </c>
      <c r="F360">
        <v>725849.81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-0.43668753009147809</v>
      </c>
      <c r="Q360">
        <f t="shared" si="970"/>
        <v>-316969.56074626866</v>
      </c>
      <c r="R360">
        <f t="shared" si="971"/>
        <v>9104792.7603710461</v>
      </c>
      <c r="S360">
        <f t="shared" si="972"/>
        <v>91.047927603710463</v>
      </c>
      <c r="T360">
        <f t="shared" si="973"/>
        <v>9.1047927603710457E-2</v>
      </c>
    </row>
    <row r="361" spans="1:20" x14ac:dyDescent="0.25">
      <c r="A361" s="5">
        <v>44232</v>
      </c>
      <c r="B361">
        <v>1.8239000000000001</v>
      </c>
      <c r="C361">
        <v>1.91</v>
      </c>
      <c r="D361">
        <v>1.7963</v>
      </c>
      <c r="E361">
        <v>1.91</v>
      </c>
      <c r="F361">
        <v>582673.11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1</v>
      </c>
      <c r="Q361">
        <f t="shared" si="970"/>
        <v>582673.11</v>
      </c>
      <c r="R361">
        <f t="shared" si="971"/>
        <v>9421762.3211173154</v>
      </c>
      <c r="S361">
        <f t="shared" si="972"/>
        <v>94.217623211173148</v>
      </c>
      <c r="T361">
        <f t="shared" si="973"/>
        <v>9.4217623211173149E-2</v>
      </c>
    </row>
    <row r="362" spans="1:20" x14ac:dyDescent="0.25">
      <c r="A362" s="5">
        <v>44231</v>
      </c>
      <c r="B362">
        <v>1.837</v>
      </c>
      <c r="C362">
        <v>1.8998999999999999</v>
      </c>
      <c r="D362">
        <v>1.7158</v>
      </c>
      <c r="E362">
        <v>1.8196000000000001</v>
      </c>
      <c r="F362">
        <v>735591.71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0.12764801738185935</v>
      </c>
      <c r="Q362">
        <f t="shared" si="970"/>
        <v>93896.823384031639</v>
      </c>
      <c r="R362">
        <f t="shared" si="971"/>
        <v>8839089.211117316</v>
      </c>
      <c r="S362">
        <f t="shared" si="972"/>
        <v>88.390892111173159</v>
      </c>
      <c r="T362">
        <f t="shared" si="973"/>
        <v>8.8390892111173153E-2</v>
      </c>
    </row>
    <row r="363" spans="1:20" x14ac:dyDescent="0.25">
      <c r="A363" s="5">
        <v>44230</v>
      </c>
      <c r="B363">
        <v>1.8512999999999999</v>
      </c>
      <c r="C363">
        <v>2.0114000000000001</v>
      </c>
      <c r="D363">
        <v>1.78</v>
      </c>
      <c r="E363">
        <v>1.837</v>
      </c>
      <c r="F363">
        <v>1491756.45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-0.50734658599827198</v>
      </c>
      <c r="Q363">
        <f t="shared" si="970"/>
        <v>-756837.5420484019</v>
      </c>
      <c r="R363">
        <f t="shared" si="971"/>
        <v>8745192.3877332844</v>
      </c>
      <c r="S363">
        <f t="shared" si="972"/>
        <v>87.451923877332845</v>
      </c>
      <c r="T363">
        <f t="shared" si="973"/>
        <v>8.7451923877332846E-2</v>
      </c>
    </row>
    <row r="364" spans="1:20" x14ac:dyDescent="0.25">
      <c r="A364" s="5">
        <v>44229</v>
      </c>
      <c r="B364">
        <v>1.7050000000000001</v>
      </c>
      <c r="C364">
        <v>1.8895</v>
      </c>
      <c r="D364">
        <v>1.67</v>
      </c>
      <c r="E364">
        <v>1.8544</v>
      </c>
      <c r="F364">
        <v>799977.46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0.68018223234624231</v>
      </c>
      <c r="Q364">
        <f t="shared" si="970"/>
        <v>544130.45456947677</v>
      </c>
      <c r="R364">
        <f t="shared" si="971"/>
        <v>9502029.9297816865</v>
      </c>
      <c r="S364">
        <f t="shared" si="972"/>
        <v>95.020299297816862</v>
      </c>
      <c r="T364">
        <f t="shared" si="973"/>
        <v>9.5020299297816857E-2</v>
      </c>
    </row>
    <row r="365" spans="1:20" x14ac:dyDescent="0.25">
      <c r="A365" s="5">
        <v>44228</v>
      </c>
      <c r="B365">
        <v>1.6579999999999999</v>
      </c>
      <c r="C365">
        <v>1.7294</v>
      </c>
      <c r="D365">
        <v>1.6001000000000001</v>
      </c>
      <c r="E365">
        <v>1.7050000000000001</v>
      </c>
      <c r="F365">
        <v>477137.7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0.62258313998453241</v>
      </c>
      <c r="Q365">
        <f t="shared" si="970"/>
        <v>297057.88747099781</v>
      </c>
      <c r="R365">
        <f t="shared" si="971"/>
        <v>8957899.4752122089</v>
      </c>
      <c r="S365">
        <f t="shared" si="972"/>
        <v>89.578994752122085</v>
      </c>
      <c r="T365">
        <f t="shared" si="973"/>
        <v>8.9578994752122082E-2</v>
      </c>
    </row>
    <row r="366" spans="1:20" x14ac:dyDescent="0.25">
      <c r="A366" s="5">
        <v>44227</v>
      </c>
      <c r="B366">
        <v>1.7069000000000001</v>
      </c>
      <c r="C366">
        <v>1.7709999999999999</v>
      </c>
      <c r="D366">
        <v>1.62</v>
      </c>
      <c r="E366">
        <v>1.6579999999999999</v>
      </c>
      <c r="F366">
        <v>621379.69999999995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-0.49668874172185612</v>
      </c>
      <c r="Q366">
        <f t="shared" si="970"/>
        <v>-308632.30132450443</v>
      </c>
      <c r="R366">
        <f t="shared" si="971"/>
        <v>8660841.5877412111</v>
      </c>
      <c r="S366">
        <f t="shared" si="972"/>
        <v>86.608415877412114</v>
      </c>
      <c r="T366">
        <f t="shared" si="973"/>
        <v>8.6608415877412109E-2</v>
      </c>
    </row>
    <row r="367" spans="1:20" x14ac:dyDescent="0.25">
      <c r="A367" s="5">
        <v>44226</v>
      </c>
      <c r="B367">
        <v>1.6521999999999999</v>
      </c>
      <c r="C367">
        <v>1.8249</v>
      </c>
      <c r="D367">
        <v>1.6008</v>
      </c>
      <c r="E367">
        <v>1.7070000000000001</v>
      </c>
      <c r="F367">
        <v>589315.94999999995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-5.2208835341364675E-2</v>
      </c>
      <c r="Q367">
        <f t="shared" si="970"/>
        <v>-30767.499397589894</v>
      </c>
      <c r="R367">
        <f t="shared" si="971"/>
        <v>8969473.8890657164</v>
      </c>
      <c r="S367">
        <f t="shared" si="972"/>
        <v>89.694738890657163</v>
      </c>
      <c r="T367">
        <f t="shared" si="973"/>
        <v>8.9694738890657169E-2</v>
      </c>
    </row>
    <row r="368" spans="1:20" x14ac:dyDescent="0.25">
      <c r="A368" s="5">
        <v>44225</v>
      </c>
      <c r="B368">
        <v>1.6821999999999999</v>
      </c>
      <c r="C368">
        <v>1.72</v>
      </c>
      <c r="D368">
        <v>1.52</v>
      </c>
      <c r="E368">
        <v>1.6563000000000001</v>
      </c>
      <c r="F368">
        <v>807669.73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0.36300000000000116</v>
      </c>
      <c r="Q368">
        <f t="shared" si="970"/>
        <v>293184.11199000094</v>
      </c>
      <c r="R368">
        <f t="shared" si="971"/>
        <v>9000241.3884633072</v>
      </c>
      <c r="S368">
        <f t="shared" si="972"/>
        <v>90.002413884633071</v>
      </c>
      <c r="T368">
        <f t="shared" si="973"/>
        <v>9.0002413884633065E-2</v>
      </c>
    </row>
    <row r="369" spans="1:20" x14ac:dyDescent="0.25">
      <c r="A369" s="5">
        <v>44224</v>
      </c>
      <c r="B369">
        <v>1.6002000000000001</v>
      </c>
      <c r="C369">
        <v>1.8499000000000001</v>
      </c>
      <c r="D369">
        <v>1.5589</v>
      </c>
      <c r="E369">
        <v>1.6821999999999999</v>
      </c>
      <c r="F369">
        <v>603626.56999999995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-0.15257731958762955</v>
      </c>
      <c r="Q369">
        <f t="shared" si="970"/>
        <v>-92099.724082474626</v>
      </c>
      <c r="R369">
        <f t="shared" si="971"/>
        <v>8707057.2764733061</v>
      </c>
      <c r="S369">
        <f t="shared" si="972"/>
        <v>87.070572764733058</v>
      </c>
      <c r="T369">
        <f t="shared" si="973"/>
        <v>8.7070572764733054E-2</v>
      </c>
    </row>
    <row r="370" spans="1:20" x14ac:dyDescent="0.25">
      <c r="A370" s="5">
        <v>44223</v>
      </c>
      <c r="B370">
        <v>1.7614000000000001</v>
      </c>
      <c r="C370">
        <v>1.7614000000000001</v>
      </c>
      <c r="D370">
        <v>1.5209999999999999</v>
      </c>
      <c r="E370">
        <v>1.6061000000000001</v>
      </c>
      <c r="F370">
        <v>494716.76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-0.29201331114808554</v>
      </c>
      <c r="Q370">
        <f t="shared" si="970"/>
        <v>-144463.87916805275</v>
      </c>
      <c r="R370">
        <f t="shared" si="971"/>
        <v>8799157.0005557816</v>
      </c>
      <c r="S370">
        <f t="shared" si="972"/>
        <v>87.991570005557818</v>
      </c>
      <c r="T370">
        <f t="shared" si="973"/>
        <v>8.7991570005557823E-2</v>
      </c>
    </row>
    <row r="371" spans="1:20" x14ac:dyDescent="0.25">
      <c r="A371" s="5">
        <v>44222</v>
      </c>
      <c r="B371">
        <v>1.7514000000000001</v>
      </c>
      <c r="C371">
        <v>1.7848999999999999</v>
      </c>
      <c r="D371">
        <v>1.6514</v>
      </c>
      <c r="E371">
        <v>1.7645999999999999</v>
      </c>
      <c r="F371">
        <v>575506.34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0.69588014981273416</v>
      </c>
      <c r="Q371">
        <f t="shared" si="970"/>
        <v>400483.4380973783</v>
      </c>
      <c r="R371">
        <f t="shared" si="971"/>
        <v>8943620.8797238339</v>
      </c>
      <c r="S371">
        <f t="shared" si="972"/>
        <v>89.436208797238336</v>
      </c>
      <c r="T371">
        <f t="shared" si="973"/>
        <v>8.9436208797238334E-2</v>
      </c>
    </row>
    <row r="372" spans="1:20" x14ac:dyDescent="0.25">
      <c r="A372" s="5">
        <v>44221</v>
      </c>
      <c r="B372">
        <v>1.8936999999999999</v>
      </c>
      <c r="C372">
        <v>1.9350000000000001</v>
      </c>
      <c r="D372">
        <v>1.67</v>
      </c>
      <c r="E372">
        <v>1.7488999999999999</v>
      </c>
      <c r="F372">
        <v>1292656.23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-0.40452830188679295</v>
      </c>
      <c r="Q372">
        <f t="shared" si="970"/>
        <v>-522916.02964528365</v>
      </c>
      <c r="R372">
        <f t="shared" si="971"/>
        <v>8543137.4416264556</v>
      </c>
      <c r="S372">
        <f t="shared" si="972"/>
        <v>85.431374416264561</v>
      </c>
      <c r="T372">
        <f t="shared" si="973"/>
        <v>8.5431374416264555E-2</v>
      </c>
    </row>
    <row r="373" spans="1:20" x14ac:dyDescent="0.25">
      <c r="A373" s="5">
        <v>44220</v>
      </c>
      <c r="B373">
        <v>1.6769000000000001</v>
      </c>
      <c r="C373">
        <v>1.9</v>
      </c>
      <c r="D373">
        <v>1.6769000000000001</v>
      </c>
      <c r="E373">
        <v>1.8834</v>
      </c>
      <c r="F373">
        <v>2078381.36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0.85118780815777717</v>
      </c>
      <c r="Q373">
        <f t="shared" si="970"/>
        <v>1769092.87433438</v>
      </c>
      <c r="R373">
        <f t="shared" si="971"/>
        <v>9066053.4712717384</v>
      </c>
      <c r="S373">
        <f t="shared" si="972"/>
        <v>90.660534712717379</v>
      </c>
      <c r="T373">
        <f t="shared" si="973"/>
        <v>9.0660534712717372E-2</v>
      </c>
    </row>
    <row r="374" spans="1:20" x14ac:dyDescent="0.25">
      <c r="A374" s="5">
        <v>44219</v>
      </c>
      <c r="B374">
        <v>1.3732</v>
      </c>
      <c r="C374">
        <v>1.8555999999999999</v>
      </c>
      <c r="D374">
        <v>1.3267</v>
      </c>
      <c r="E374">
        <v>1.6789000000000001</v>
      </c>
      <c r="F374">
        <v>3362905.99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0.33182076006806627</v>
      </c>
      <c r="Q374">
        <f t="shared" si="970"/>
        <v>1115882.021639253</v>
      </c>
      <c r="R374">
        <f t="shared" si="971"/>
        <v>7296960.5969373574</v>
      </c>
      <c r="S374">
        <f t="shared" si="972"/>
        <v>72.969605969373575</v>
      </c>
      <c r="T374">
        <f t="shared" si="973"/>
        <v>7.2969605969373574E-2</v>
      </c>
    </row>
    <row r="375" spans="1:20" x14ac:dyDescent="0.25">
      <c r="A375" s="5">
        <v>44218</v>
      </c>
      <c r="B375">
        <v>1.2699</v>
      </c>
      <c r="C375">
        <v>1.5</v>
      </c>
      <c r="D375">
        <v>1.169</v>
      </c>
      <c r="E375">
        <v>1.3807</v>
      </c>
      <c r="F375">
        <v>636959.98</v>
      </c>
      <c r="G375">
        <v>0</v>
      </c>
      <c r="L375" t="s">
        <v>7</v>
      </c>
      <c r="M375" t="s">
        <v>8</v>
      </c>
      <c r="N375" t="s">
        <v>8</v>
      </c>
      <c r="P375">
        <f t="shared" si="969"/>
        <v>0.27915407854984908</v>
      </c>
      <c r="Q375">
        <f t="shared" si="970"/>
        <v>177809.97629003029</v>
      </c>
      <c r="R375">
        <f t="shared" si="971"/>
        <v>6181078.5752981044</v>
      </c>
      <c r="S375">
        <f t="shared" si="972"/>
        <v>61.810785752981047</v>
      </c>
      <c r="T375">
        <f t="shared" si="973"/>
        <v>6.1810785752981046E-2</v>
      </c>
    </row>
    <row r="376" spans="1:20" x14ac:dyDescent="0.25">
      <c r="A376" s="5">
        <v>44217</v>
      </c>
      <c r="B376">
        <v>1.3874</v>
      </c>
      <c r="C376">
        <v>1.4218999999999999</v>
      </c>
      <c r="D376">
        <v>1.2070000000000001</v>
      </c>
      <c r="E376">
        <v>1.2699</v>
      </c>
      <c r="F376">
        <v>552769.89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-0.41461144718473714</v>
      </c>
      <c r="Q376">
        <f t="shared" si="970"/>
        <v>-229184.72405304798</v>
      </c>
      <c r="R376">
        <f t="shared" si="971"/>
        <v>6003268.599008074</v>
      </c>
      <c r="S376">
        <f t="shared" si="972"/>
        <v>60.032685990080743</v>
      </c>
      <c r="T376">
        <f t="shared" si="973"/>
        <v>6.0032685990080742E-2</v>
      </c>
    </row>
    <row r="377" spans="1:20" x14ac:dyDescent="0.25">
      <c r="A377" s="5">
        <v>44216</v>
      </c>
      <c r="B377">
        <v>1.4450000000000001</v>
      </c>
      <c r="C377">
        <v>1.5567</v>
      </c>
      <c r="D377">
        <v>1.2612000000000001</v>
      </c>
      <c r="E377">
        <v>1.3861000000000001</v>
      </c>
      <c r="F377">
        <v>981467.95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-0.15465313028764763</v>
      </c>
      <c r="Q377">
        <f t="shared" si="970"/>
        <v>-151787.09074450043</v>
      </c>
      <c r="R377">
        <f t="shared" si="971"/>
        <v>6232453.3230611216</v>
      </c>
      <c r="S377">
        <f t="shared" si="972"/>
        <v>62.324533230611216</v>
      </c>
      <c r="T377">
        <f t="shared" si="973"/>
        <v>6.2324533230611219E-2</v>
      </c>
    </row>
    <row r="378" spans="1:20" x14ac:dyDescent="0.25">
      <c r="A378" s="5">
        <v>44215</v>
      </c>
      <c r="B378">
        <v>1.3900999999999999</v>
      </c>
      <c r="C378">
        <v>1.57</v>
      </c>
      <c r="D378">
        <v>1.3809</v>
      </c>
      <c r="E378">
        <v>1.4450000000000001</v>
      </c>
      <c r="F378">
        <v>958379.66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-0.32205182443151742</v>
      </c>
      <c r="Q378">
        <f t="shared" si="970"/>
        <v>-308647.91800105735</v>
      </c>
      <c r="R378">
        <f t="shared" si="971"/>
        <v>6384240.4138056217</v>
      </c>
      <c r="S378">
        <f t="shared" si="972"/>
        <v>63.842404138056217</v>
      </c>
      <c r="T378">
        <f t="shared" si="973"/>
        <v>6.3842404138056211E-2</v>
      </c>
    </row>
    <row r="379" spans="1:20" x14ac:dyDescent="0.25">
      <c r="A379" s="5">
        <v>44214</v>
      </c>
      <c r="B379">
        <v>1.51</v>
      </c>
      <c r="C379">
        <v>1.5705</v>
      </c>
      <c r="D379">
        <v>1.3340000000000001</v>
      </c>
      <c r="E379">
        <v>1.3900999999999999</v>
      </c>
      <c r="F379">
        <v>858746.65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-0.52558139534883863</v>
      </c>
      <c r="Q379">
        <f t="shared" si="970"/>
        <v>-451341.26255814079</v>
      </c>
      <c r="R379">
        <f t="shared" si="971"/>
        <v>6692888.3318066793</v>
      </c>
      <c r="S379">
        <f t="shared" si="972"/>
        <v>66.928883318066795</v>
      </c>
      <c r="T379">
        <f t="shared" si="973"/>
        <v>6.692888331806679E-2</v>
      </c>
    </row>
    <row r="380" spans="1:20" x14ac:dyDescent="0.25">
      <c r="A380" s="5">
        <v>44213</v>
      </c>
      <c r="B380">
        <v>1.4923</v>
      </c>
      <c r="C380">
        <v>1.61</v>
      </c>
      <c r="D380">
        <v>1.2549999999999999</v>
      </c>
      <c r="E380">
        <v>1.51</v>
      </c>
      <c r="F380">
        <v>2587758.09</v>
      </c>
      <c r="G380">
        <v>0</v>
      </c>
      <c r="L380" t="s">
        <v>8</v>
      </c>
      <c r="M380" t="s">
        <v>7</v>
      </c>
      <c r="N380" t="s">
        <v>8</v>
      </c>
      <c r="P380">
        <f t="shared" si="969"/>
        <v>0.43661971830985896</v>
      </c>
      <c r="Q380">
        <f t="shared" si="970"/>
        <v>1129866.2083098586</v>
      </c>
      <c r="R380">
        <f t="shared" si="971"/>
        <v>7144229.59436482</v>
      </c>
      <c r="S380">
        <f t="shared" si="972"/>
        <v>71.442295943648205</v>
      </c>
      <c r="T380">
        <f t="shared" si="973"/>
        <v>7.1442295943648204E-2</v>
      </c>
    </row>
    <row r="381" spans="1:20" x14ac:dyDescent="0.25">
      <c r="A381" s="5">
        <v>44212</v>
      </c>
      <c r="B381">
        <v>0.95840000000000003</v>
      </c>
      <c r="C381">
        <v>1.6</v>
      </c>
      <c r="D381">
        <v>0.95840000000000003</v>
      </c>
      <c r="E381">
        <v>1.4923999999999999</v>
      </c>
      <c r="F381">
        <v>7559344.4199999999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0.66458852867830387</v>
      </c>
      <c r="Q381">
        <f t="shared" si="970"/>
        <v>5023853.5858603464</v>
      </c>
      <c r="R381">
        <f t="shared" si="971"/>
        <v>6014363.3860549619</v>
      </c>
      <c r="S381">
        <f t="shared" si="972"/>
        <v>60.14363386054962</v>
      </c>
      <c r="T381">
        <f t="shared" si="973"/>
        <v>6.014363386054962E-2</v>
      </c>
    </row>
    <row r="382" spans="1:20" x14ac:dyDescent="0.25">
      <c r="A382" s="5">
        <v>44211</v>
      </c>
      <c r="B382">
        <v>0.92979999999999996</v>
      </c>
      <c r="C382">
        <v>1.0044999999999999</v>
      </c>
      <c r="D382">
        <v>0.83630000000000004</v>
      </c>
      <c r="E382">
        <v>0.9597</v>
      </c>
      <c r="F382">
        <v>600363.61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0.46730083234244973</v>
      </c>
      <c r="Q382">
        <f t="shared" si="970"/>
        <v>280550.41466111789</v>
      </c>
      <c r="R382">
        <f t="shared" si="971"/>
        <v>990509.80019461573</v>
      </c>
      <c r="S382">
        <f t="shared" si="972"/>
        <v>9.9050980019461576</v>
      </c>
      <c r="T382">
        <f t="shared" si="973"/>
        <v>9.9050980019461578E-3</v>
      </c>
    </row>
    <row r="383" spans="1:20" x14ac:dyDescent="0.25">
      <c r="A383" s="5">
        <v>44210</v>
      </c>
      <c r="B383">
        <v>0.9</v>
      </c>
      <c r="C383">
        <v>0.9667</v>
      </c>
      <c r="D383">
        <v>0.88700000000000001</v>
      </c>
      <c r="E383">
        <v>0.92620000000000002</v>
      </c>
      <c r="F383">
        <v>404069.91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-1.6311166875783788E-2</v>
      </c>
      <c r="Q383">
        <f t="shared" si="970"/>
        <v>-6590.8517314929359</v>
      </c>
      <c r="R383">
        <f t="shared" si="971"/>
        <v>709959.3855334979</v>
      </c>
      <c r="S383">
        <f t="shared" si="972"/>
        <v>7.0995938553349793</v>
      </c>
      <c r="T383">
        <f t="shared" si="973"/>
        <v>7.0995938553349795E-3</v>
      </c>
    </row>
    <row r="384" spans="1:20" x14ac:dyDescent="0.25">
      <c r="A384" s="5">
        <v>44209</v>
      </c>
      <c r="B384">
        <v>0.88190000000000002</v>
      </c>
      <c r="C384">
        <v>0.93440000000000001</v>
      </c>
      <c r="D384">
        <v>0.85</v>
      </c>
      <c r="E384">
        <v>0.9</v>
      </c>
      <c r="F384">
        <v>394130.11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0.18483412322274945</v>
      </c>
      <c r="Q384">
        <f t="shared" si="970"/>
        <v>72848.693317535784</v>
      </c>
      <c r="R384">
        <f t="shared" si="971"/>
        <v>716550.23726499081</v>
      </c>
      <c r="S384">
        <f t="shared" si="972"/>
        <v>7.1655023726499083</v>
      </c>
      <c r="T384">
        <f t="shared" si="973"/>
        <v>7.1655023726499081E-3</v>
      </c>
    </row>
    <row r="385" spans="1:20" x14ac:dyDescent="0.25">
      <c r="A385" s="5">
        <v>44208</v>
      </c>
      <c r="B385">
        <v>0.8931</v>
      </c>
      <c r="C385">
        <v>0.94</v>
      </c>
      <c r="D385">
        <v>0.85</v>
      </c>
      <c r="E385">
        <v>0.88449999999999995</v>
      </c>
      <c r="F385">
        <v>266619.84999999998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-0.23333333333333361</v>
      </c>
      <c r="Q385">
        <f t="shared" si="970"/>
        <v>-62211.298333333405</v>
      </c>
      <c r="R385">
        <f t="shared" si="971"/>
        <v>643701.54394745501</v>
      </c>
      <c r="S385">
        <f t="shared" si="972"/>
        <v>6.4370154394745498</v>
      </c>
      <c r="T385">
        <f t="shared" si="973"/>
        <v>6.4370154394745496E-3</v>
      </c>
    </row>
    <row r="386" spans="1:20" x14ac:dyDescent="0.25">
      <c r="A386" s="5">
        <v>44207</v>
      </c>
      <c r="B386">
        <v>0.96360000000000001</v>
      </c>
      <c r="C386">
        <v>0.96360000000000001</v>
      </c>
      <c r="D386">
        <v>0.76849999999999996</v>
      </c>
      <c r="E386">
        <v>0.8931</v>
      </c>
      <c r="F386">
        <v>526736.24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0.27729369554074845</v>
      </c>
      <c r="Q386">
        <f t="shared" si="970"/>
        <v>146060.63856483859</v>
      </c>
      <c r="R386">
        <f t="shared" si="971"/>
        <v>705912.84228078846</v>
      </c>
      <c r="S386">
        <f t="shared" si="972"/>
        <v>7.059128422807885</v>
      </c>
      <c r="T386">
        <f t="shared" si="973"/>
        <v>7.0591284228078846E-3</v>
      </c>
    </row>
    <row r="387" spans="1:20" x14ac:dyDescent="0.25">
      <c r="A387" s="5">
        <v>44206</v>
      </c>
      <c r="B387">
        <v>1.0327</v>
      </c>
      <c r="C387">
        <v>1.0734999999999999</v>
      </c>
      <c r="D387">
        <v>0.88739999999999997</v>
      </c>
      <c r="E387">
        <v>0.96360000000000001</v>
      </c>
      <c r="F387">
        <v>377884.23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-0.18108543793659243</v>
      </c>
      <c r="Q387">
        <f t="shared" si="970"/>
        <v>-68429.331278882019</v>
      </c>
      <c r="R387">
        <f t="shared" si="971"/>
        <v>559852.2037159499</v>
      </c>
      <c r="S387">
        <f t="shared" si="972"/>
        <v>5.5985220371594986</v>
      </c>
      <c r="T387">
        <f t="shared" si="973"/>
        <v>5.5985220371594984E-3</v>
      </c>
    </row>
    <row r="388" spans="1:20" x14ac:dyDescent="0.25">
      <c r="A388" s="5">
        <v>44205</v>
      </c>
      <c r="B388">
        <v>0.99750000000000005</v>
      </c>
      <c r="C388">
        <v>1.0582</v>
      </c>
      <c r="D388">
        <v>0.97450000000000003</v>
      </c>
      <c r="E388">
        <v>1.0328999999999999</v>
      </c>
      <c r="F388">
        <v>499539.24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0.395459976105135</v>
      </c>
      <c r="Q388">
        <f t="shared" si="970"/>
        <v>197547.7759139773</v>
      </c>
      <c r="R388">
        <f t="shared" si="971"/>
        <v>628281.53499483189</v>
      </c>
      <c r="S388">
        <f t="shared" si="972"/>
        <v>6.2828153499483186</v>
      </c>
      <c r="T388">
        <f t="shared" si="973"/>
        <v>6.2828153499483183E-3</v>
      </c>
    </row>
    <row r="389" spans="1:20" x14ac:dyDescent="0.25">
      <c r="A389" s="5">
        <v>44204</v>
      </c>
      <c r="B389">
        <v>0.9728</v>
      </c>
      <c r="C389">
        <v>1.06</v>
      </c>
      <c r="D389">
        <v>0.875</v>
      </c>
      <c r="E389">
        <v>1.0024999999999999</v>
      </c>
      <c r="F389">
        <v>868499.43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0.3783783783783774</v>
      </c>
      <c r="Q389">
        <f t="shared" si="970"/>
        <v>328621.40594594512</v>
      </c>
      <c r="R389">
        <f t="shared" si="971"/>
        <v>430733.75908085459</v>
      </c>
      <c r="S389">
        <f t="shared" si="972"/>
        <v>4.3073375908085456</v>
      </c>
      <c r="T389">
        <f t="shared" si="973"/>
        <v>4.3073375908085458E-3</v>
      </c>
    </row>
    <row r="390" spans="1:20" x14ac:dyDescent="0.25">
      <c r="A390" s="5">
        <v>44203</v>
      </c>
      <c r="B390">
        <v>0.99639999999999995</v>
      </c>
      <c r="C390">
        <v>1.03</v>
      </c>
      <c r="D390">
        <v>0.91449999999999998</v>
      </c>
      <c r="E390">
        <v>0.9768</v>
      </c>
      <c r="F390">
        <v>595705.35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7.8787878787878726E-2</v>
      </c>
      <c r="Q390">
        <f t="shared" ref="Q390:Q453" si="975">F390*P390</f>
        <v>46934.360909090872</v>
      </c>
      <c r="R390">
        <f t="shared" ref="R390:R453" si="976">R391+Q390</f>
        <v>102112.3531349095</v>
      </c>
      <c r="S390">
        <f t="shared" ref="S390:S453" si="977">R390/100000</f>
        <v>1.0211235313490949</v>
      </c>
      <c r="T390">
        <f t="shared" ref="T390:T453" si="978">S390/1000</f>
        <v>1.021123531349095E-3</v>
      </c>
    </row>
    <row r="391" spans="1:20" x14ac:dyDescent="0.25">
      <c r="A391" s="5">
        <v>44202</v>
      </c>
      <c r="B391">
        <v>0.8931</v>
      </c>
      <c r="C391">
        <v>1.05</v>
      </c>
      <c r="D391">
        <v>0.86899999999999999</v>
      </c>
      <c r="E391">
        <v>1.0019</v>
      </c>
      <c r="F391">
        <v>836274.01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0.46850828729281746</v>
      </c>
      <c r="Q391">
        <f t="shared" si="975"/>
        <v>391801.30413259653</v>
      </c>
      <c r="R391">
        <f t="shared" si="976"/>
        <v>55177.992225818627</v>
      </c>
      <c r="S391">
        <f t="shared" si="977"/>
        <v>0.55177992225818628</v>
      </c>
      <c r="T391">
        <f t="shared" si="978"/>
        <v>5.5177992225818623E-4</v>
      </c>
    </row>
    <row r="392" spans="1:20" x14ac:dyDescent="0.25">
      <c r="A392" s="5">
        <v>44201</v>
      </c>
      <c r="B392">
        <v>0.82220000000000004</v>
      </c>
      <c r="C392">
        <v>0.90229999999999999</v>
      </c>
      <c r="D392">
        <v>0.79490000000000005</v>
      </c>
      <c r="E392">
        <v>0.88990000000000002</v>
      </c>
      <c r="F392">
        <v>804654.79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0.76908752327746788</v>
      </c>
      <c r="Q392">
        <f t="shared" si="975"/>
        <v>618849.95953445102</v>
      </c>
      <c r="R392">
        <f t="shared" si="976"/>
        <v>-336623.3119067779</v>
      </c>
      <c r="S392">
        <f t="shared" si="977"/>
        <v>-3.366233119067779</v>
      </c>
      <c r="T392">
        <f t="shared" si="978"/>
        <v>-3.3662331190677788E-3</v>
      </c>
    </row>
    <row r="393" spans="1:20" x14ac:dyDescent="0.25">
      <c r="A393" s="5">
        <v>44200</v>
      </c>
      <c r="B393">
        <v>0.75960000000000005</v>
      </c>
      <c r="C393">
        <v>0.85</v>
      </c>
      <c r="D393">
        <v>0.754</v>
      </c>
      <c r="E393">
        <v>0.82220000000000004</v>
      </c>
      <c r="F393">
        <v>526462.94999999995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0.4208333333333345</v>
      </c>
      <c r="Q393">
        <f t="shared" si="975"/>
        <v>221553.1581250006</v>
      </c>
      <c r="R393">
        <f t="shared" si="976"/>
        <v>-955473.27144122892</v>
      </c>
      <c r="S393">
        <f t="shared" si="977"/>
        <v>-9.5547327144122889</v>
      </c>
      <c r="T393">
        <f t="shared" si="978"/>
        <v>-9.5547327144122896E-3</v>
      </c>
    </row>
    <row r="394" spans="1:20" x14ac:dyDescent="0.25">
      <c r="A394" s="5">
        <v>44199</v>
      </c>
      <c r="B394">
        <v>0.7671</v>
      </c>
      <c r="C394">
        <v>0.78700000000000003</v>
      </c>
      <c r="D394">
        <v>0.74039999999999995</v>
      </c>
      <c r="E394">
        <v>0.754</v>
      </c>
      <c r="F394">
        <v>231770.16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-0.41630901287553512</v>
      </c>
      <c r="Q394">
        <f t="shared" si="975"/>
        <v>-96488.006523604839</v>
      </c>
      <c r="R394">
        <f t="shared" si="976"/>
        <v>-1177026.4295662295</v>
      </c>
      <c r="S394">
        <f t="shared" si="977"/>
        <v>-11.770264295662294</v>
      </c>
      <c r="T394">
        <f t="shared" si="978"/>
        <v>-1.1770264295662294E-2</v>
      </c>
    </row>
    <row r="395" spans="1:20" x14ac:dyDescent="0.25">
      <c r="A395" s="5">
        <v>44198</v>
      </c>
      <c r="B395">
        <v>0.80689999999999995</v>
      </c>
      <c r="C395">
        <v>0.80689999999999995</v>
      </c>
      <c r="D395">
        <v>0.73499999999999999</v>
      </c>
      <c r="E395">
        <v>0.7671</v>
      </c>
      <c r="F395">
        <v>263609.68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-0.10709318497913677</v>
      </c>
      <c r="Q395">
        <f t="shared" si="975"/>
        <v>-28230.800222531048</v>
      </c>
      <c r="R395">
        <f t="shared" si="976"/>
        <v>-1080538.4230426247</v>
      </c>
      <c r="S395">
        <f t="shared" si="977"/>
        <v>-10.805384230426247</v>
      </c>
      <c r="T395">
        <f t="shared" si="978"/>
        <v>-1.0805384230426247E-2</v>
      </c>
    </row>
    <row r="396" spans="1:20" x14ac:dyDescent="0.25">
      <c r="A396" s="5">
        <v>44197</v>
      </c>
      <c r="B396">
        <v>0.72099999999999997</v>
      </c>
      <c r="C396">
        <v>0.80959999999999999</v>
      </c>
      <c r="D396">
        <v>0.72099999999999997</v>
      </c>
      <c r="E396">
        <v>0.80689999999999995</v>
      </c>
      <c r="F396">
        <v>173653.28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0.93905191873589089</v>
      </c>
      <c r="Q396">
        <f t="shared" si="975"/>
        <v>163069.44577878091</v>
      </c>
      <c r="R396">
        <f t="shared" si="976"/>
        <v>-1052307.6228200938</v>
      </c>
      <c r="S396">
        <f t="shared" si="977"/>
        <v>-10.523076228200937</v>
      </c>
      <c r="T396">
        <f t="shared" si="978"/>
        <v>-1.0523076228200937E-2</v>
      </c>
    </row>
    <row r="397" spans="1:20" x14ac:dyDescent="0.25">
      <c r="A397" s="5">
        <v>44196</v>
      </c>
      <c r="B397">
        <v>0.72570000000000001</v>
      </c>
      <c r="C397">
        <v>0.72599999999999998</v>
      </c>
      <c r="D397">
        <v>0.68889999999999996</v>
      </c>
      <c r="E397">
        <v>0.72109999999999996</v>
      </c>
      <c r="F397">
        <v>155186.72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0.73584905660377287</v>
      </c>
      <c r="Q397">
        <f t="shared" si="975"/>
        <v>114194.00150943385</v>
      </c>
      <c r="R397">
        <f t="shared" si="976"/>
        <v>-1215377.0685988746</v>
      </c>
      <c r="S397">
        <f t="shared" si="977"/>
        <v>-12.153770685988746</v>
      </c>
      <c r="T397">
        <f t="shared" si="978"/>
        <v>-1.2153770685988746E-2</v>
      </c>
    </row>
    <row r="398" spans="1:20" x14ac:dyDescent="0.25">
      <c r="A398" s="5">
        <v>44195</v>
      </c>
      <c r="B398">
        <v>0.71860000000000002</v>
      </c>
      <c r="C398">
        <v>0.74809999999999999</v>
      </c>
      <c r="D398">
        <v>0.69499999999999995</v>
      </c>
      <c r="E398">
        <v>0.71860000000000002</v>
      </c>
      <c r="F398">
        <v>350194.55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-0.11111111111110926</v>
      </c>
      <c r="Q398">
        <f t="shared" si="975"/>
        <v>-38910.505555554904</v>
      </c>
      <c r="R398">
        <f t="shared" si="976"/>
        <v>-1329571.0701083085</v>
      </c>
      <c r="S398">
        <f t="shared" si="977"/>
        <v>-13.295710701083085</v>
      </c>
      <c r="T398">
        <f t="shared" si="978"/>
        <v>-1.3295710701083084E-2</v>
      </c>
    </row>
    <row r="399" spans="1:20" x14ac:dyDescent="0.25">
      <c r="A399" s="5">
        <v>44194</v>
      </c>
      <c r="B399">
        <v>0.75129999999999997</v>
      </c>
      <c r="C399">
        <v>0.76480000000000004</v>
      </c>
      <c r="D399">
        <v>0.70679999999999998</v>
      </c>
      <c r="E399">
        <v>0.71709999999999996</v>
      </c>
      <c r="F399">
        <v>196913.77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-0.64482758620689773</v>
      </c>
      <c r="Q399">
        <f t="shared" si="975"/>
        <v>-126975.43100000023</v>
      </c>
      <c r="R399">
        <f t="shared" si="976"/>
        <v>-1290660.5645527535</v>
      </c>
      <c r="S399">
        <f t="shared" si="977"/>
        <v>-12.906605645527534</v>
      </c>
      <c r="T399">
        <f t="shared" si="978"/>
        <v>-1.2906605645527534E-2</v>
      </c>
    </row>
    <row r="400" spans="1:20" x14ac:dyDescent="0.25">
      <c r="A400" s="5">
        <v>44193</v>
      </c>
      <c r="B400">
        <v>0.76619999999999999</v>
      </c>
      <c r="C400">
        <v>0.80249999999999999</v>
      </c>
      <c r="D400">
        <v>0.73529999999999995</v>
      </c>
      <c r="E400">
        <v>0.74760000000000004</v>
      </c>
      <c r="F400">
        <v>149457.35999999999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-0.63392857142856895</v>
      </c>
      <c r="Q400">
        <f t="shared" si="975"/>
        <v>-94745.290714285336</v>
      </c>
      <c r="R400">
        <f t="shared" si="976"/>
        <v>-1163685.1335527531</v>
      </c>
      <c r="S400">
        <f t="shared" si="977"/>
        <v>-11.636851335527531</v>
      </c>
      <c r="T400">
        <f t="shared" si="978"/>
        <v>-1.1636851335527531E-2</v>
      </c>
    </row>
    <row r="401" spans="1:20" x14ac:dyDescent="0.25">
      <c r="A401" s="5">
        <v>44192</v>
      </c>
      <c r="B401">
        <v>0.77900000000000003</v>
      </c>
      <c r="C401">
        <v>0.79900000000000004</v>
      </c>
      <c r="D401">
        <v>0.7288</v>
      </c>
      <c r="E401">
        <v>0.76019999999999999</v>
      </c>
      <c r="F401">
        <v>171584.31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-0.10541310541310639</v>
      </c>
      <c r="Q401">
        <f t="shared" si="975"/>
        <v>-18087.234957265126</v>
      </c>
      <c r="R401">
        <f t="shared" si="976"/>
        <v>-1068939.8428384678</v>
      </c>
      <c r="S401">
        <f t="shared" si="977"/>
        <v>-10.689398428384678</v>
      </c>
      <c r="T401">
        <f t="shared" si="978"/>
        <v>-1.0689398428384678E-2</v>
      </c>
    </row>
    <row r="402" spans="1:20" x14ac:dyDescent="0.25">
      <c r="A402" s="5">
        <v>44191</v>
      </c>
      <c r="B402">
        <v>0.73140000000000005</v>
      </c>
      <c r="C402">
        <v>0.78510000000000002</v>
      </c>
      <c r="D402">
        <v>0.71699999999999997</v>
      </c>
      <c r="E402">
        <v>0.7752</v>
      </c>
      <c r="F402">
        <v>133974.12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0.70925110132158553</v>
      </c>
      <c r="Q402">
        <f t="shared" si="975"/>
        <v>95021.292158590251</v>
      </c>
      <c r="R402">
        <f t="shared" si="976"/>
        <v>-1050852.6078812026</v>
      </c>
      <c r="S402">
        <f t="shared" si="977"/>
        <v>-10.508526078812025</v>
      </c>
      <c r="T402">
        <f t="shared" si="978"/>
        <v>-1.0508526078812025E-2</v>
      </c>
    </row>
    <row r="403" spans="1:20" x14ac:dyDescent="0.25">
      <c r="A403" s="5">
        <v>44190</v>
      </c>
      <c r="B403">
        <v>0.74309999999999998</v>
      </c>
      <c r="C403">
        <v>0.79259999999999997</v>
      </c>
      <c r="D403">
        <v>0.70909999999999995</v>
      </c>
      <c r="E403">
        <v>0.73140000000000005</v>
      </c>
      <c r="F403">
        <v>176563.83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-0.46586826347305166</v>
      </c>
      <c r="Q403">
        <f t="shared" si="975"/>
        <v>-82255.484874251095</v>
      </c>
      <c r="R403">
        <f t="shared" si="976"/>
        <v>-1145873.9000397928</v>
      </c>
      <c r="S403">
        <f t="shared" si="977"/>
        <v>-11.458739000397928</v>
      </c>
      <c r="T403">
        <f t="shared" si="978"/>
        <v>-1.1458739000397929E-2</v>
      </c>
    </row>
    <row r="404" spans="1:20" x14ac:dyDescent="0.25">
      <c r="A404" s="5">
        <v>44189</v>
      </c>
      <c r="B404">
        <v>0.6925</v>
      </c>
      <c r="C404">
        <v>0.75370000000000004</v>
      </c>
      <c r="D404">
        <v>0.65</v>
      </c>
      <c r="E404">
        <v>0.7369</v>
      </c>
      <c r="F404">
        <v>197876.25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0.67598842815814786</v>
      </c>
      <c r="Q404">
        <f t="shared" si="975"/>
        <v>133762.0552073287</v>
      </c>
      <c r="R404">
        <f t="shared" si="976"/>
        <v>-1063618.4151655417</v>
      </c>
      <c r="S404">
        <f t="shared" si="977"/>
        <v>-10.636184151655417</v>
      </c>
      <c r="T404">
        <f t="shared" si="978"/>
        <v>-1.0636184151655417E-2</v>
      </c>
    </row>
    <row r="405" spans="1:20" x14ac:dyDescent="0.25">
      <c r="A405" s="5">
        <v>44188</v>
      </c>
      <c r="B405">
        <v>0.75390000000000001</v>
      </c>
      <c r="C405">
        <v>0.76290000000000002</v>
      </c>
      <c r="D405">
        <v>0.65820000000000001</v>
      </c>
      <c r="E405">
        <v>0.6925</v>
      </c>
      <c r="F405">
        <v>209422.23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-0.34479465138490939</v>
      </c>
      <c r="Q405">
        <f t="shared" si="975"/>
        <v>-72207.664785100322</v>
      </c>
      <c r="R405">
        <f t="shared" si="976"/>
        <v>-1197380.4703728703</v>
      </c>
      <c r="S405">
        <f t="shared" si="977"/>
        <v>-11.973804703728703</v>
      </c>
      <c r="T405">
        <f t="shared" si="978"/>
        <v>-1.1973804703728703E-2</v>
      </c>
    </row>
    <row r="406" spans="1:20" x14ac:dyDescent="0.25">
      <c r="A406" s="5">
        <v>44187</v>
      </c>
      <c r="B406">
        <v>0.72899999999999998</v>
      </c>
      <c r="C406">
        <v>0.77390000000000003</v>
      </c>
      <c r="D406">
        <v>0.69520000000000004</v>
      </c>
      <c r="E406">
        <v>0.75390000000000001</v>
      </c>
      <c r="F406">
        <v>187922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0.49174078780177838</v>
      </c>
      <c r="Q406">
        <f t="shared" si="975"/>
        <v>92408.912325285797</v>
      </c>
      <c r="R406">
        <f t="shared" si="976"/>
        <v>-1125172.80558777</v>
      </c>
      <c r="S406">
        <f t="shared" si="977"/>
        <v>-11.251728055877699</v>
      </c>
      <c r="T406">
        <f t="shared" si="978"/>
        <v>-1.1251728055877699E-2</v>
      </c>
    </row>
    <row r="407" spans="1:20" x14ac:dyDescent="0.25">
      <c r="A407" s="5">
        <v>44186</v>
      </c>
      <c r="B407">
        <v>0.77890000000000004</v>
      </c>
      <c r="C407">
        <v>0.80459999999999998</v>
      </c>
      <c r="D407">
        <v>0.71</v>
      </c>
      <c r="E407">
        <v>0.72899999999999998</v>
      </c>
      <c r="F407">
        <v>269692.17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-0.59830866807610961</v>
      </c>
      <c r="Q407">
        <f t="shared" si="975"/>
        <v>-161359.16302325571</v>
      </c>
      <c r="R407">
        <f t="shared" si="976"/>
        <v>-1217581.7179130558</v>
      </c>
      <c r="S407">
        <f t="shared" si="977"/>
        <v>-12.175817179130558</v>
      </c>
      <c r="T407">
        <f t="shared" si="978"/>
        <v>-1.2175817179130558E-2</v>
      </c>
    </row>
    <row r="408" spans="1:20" x14ac:dyDescent="0.25">
      <c r="A408" s="5">
        <v>44185</v>
      </c>
      <c r="B408">
        <v>0.81530000000000002</v>
      </c>
      <c r="C408">
        <v>0.8216</v>
      </c>
      <c r="D408">
        <v>0.76449999999999996</v>
      </c>
      <c r="E408">
        <v>0.78469999999999995</v>
      </c>
      <c r="F408">
        <v>179517.91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-0.29246935201401114</v>
      </c>
      <c r="Q408">
        <f t="shared" si="975"/>
        <v>-52503.486812609575</v>
      </c>
      <c r="R408">
        <f t="shared" si="976"/>
        <v>-1056222.5548898</v>
      </c>
      <c r="S408">
        <f t="shared" si="977"/>
        <v>-10.562225548898001</v>
      </c>
      <c r="T408">
        <f t="shared" si="978"/>
        <v>-1.0562225548898001E-2</v>
      </c>
    </row>
    <row r="409" spans="1:20" x14ac:dyDescent="0.25">
      <c r="A409" s="5">
        <v>44184</v>
      </c>
      <c r="B409">
        <v>0.82299999999999995</v>
      </c>
      <c r="C409">
        <v>0.84309999999999996</v>
      </c>
      <c r="D409">
        <v>0.80800000000000005</v>
      </c>
      <c r="E409">
        <v>0.81589999999999996</v>
      </c>
      <c r="F409">
        <v>147056.45000000001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-0.54985754985755397</v>
      </c>
      <c r="Q409">
        <f t="shared" si="975"/>
        <v>-80860.099287749894</v>
      </c>
      <c r="R409">
        <f t="shared" si="976"/>
        <v>-1003719.0680771905</v>
      </c>
      <c r="S409">
        <f t="shared" si="977"/>
        <v>-10.037190680771905</v>
      </c>
      <c r="T409">
        <f t="shared" si="978"/>
        <v>-1.0037190680771906E-2</v>
      </c>
    </row>
    <row r="410" spans="1:20" x14ac:dyDescent="0.25">
      <c r="A410" s="5">
        <v>44183</v>
      </c>
      <c r="B410">
        <v>0.79330000000000001</v>
      </c>
      <c r="C410">
        <v>0.86280000000000001</v>
      </c>
      <c r="D410">
        <v>0.78010000000000002</v>
      </c>
      <c r="E410">
        <v>0.82310000000000005</v>
      </c>
      <c r="F410">
        <v>213996.13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3.9903264812576549E-2</v>
      </c>
      <c r="Q410">
        <f t="shared" si="975"/>
        <v>8539.1442442565567</v>
      </c>
      <c r="R410">
        <f t="shared" si="976"/>
        <v>-922858.9687894407</v>
      </c>
      <c r="S410">
        <f t="shared" si="977"/>
        <v>-9.2285896878944076</v>
      </c>
      <c r="T410">
        <f t="shared" si="978"/>
        <v>-9.228589687894407E-3</v>
      </c>
    </row>
    <row r="411" spans="1:20" x14ac:dyDescent="0.25">
      <c r="A411" s="5">
        <v>44182</v>
      </c>
      <c r="B411">
        <v>0.81869999999999998</v>
      </c>
      <c r="C411">
        <v>0.83599999999999997</v>
      </c>
      <c r="D411">
        <v>0.76400000000000001</v>
      </c>
      <c r="E411">
        <v>0.79779999999999995</v>
      </c>
      <c r="F411">
        <v>356208.22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-6.1111111111112129E-2</v>
      </c>
      <c r="Q411">
        <f t="shared" si="975"/>
        <v>-21768.280111111471</v>
      </c>
      <c r="R411">
        <f t="shared" si="976"/>
        <v>-931398.11303369724</v>
      </c>
      <c r="S411">
        <f t="shared" si="977"/>
        <v>-9.3139811303369733</v>
      </c>
      <c r="T411">
        <f t="shared" si="978"/>
        <v>-9.3139811303369728E-3</v>
      </c>
    </row>
    <row r="412" spans="1:20" x14ac:dyDescent="0.25">
      <c r="A412" s="5">
        <v>44181</v>
      </c>
      <c r="B412">
        <v>0.82440000000000002</v>
      </c>
      <c r="C412">
        <v>0.83379999999999999</v>
      </c>
      <c r="D412">
        <v>0.78469999999999995</v>
      </c>
      <c r="E412">
        <v>0.81879999999999997</v>
      </c>
      <c r="F412">
        <v>244147.24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0.38900203665987765</v>
      </c>
      <c r="Q412">
        <f t="shared" si="975"/>
        <v>94973.773604887945</v>
      </c>
      <c r="R412">
        <f t="shared" si="976"/>
        <v>-909629.83292258577</v>
      </c>
      <c r="S412">
        <f t="shared" si="977"/>
        <v>-9.0962983292258581</v>
      </c>
      <c r="T412">
        <f t="shared" si="978"/>
        <v>-9.0962983292258576E-3</v>
      </c>
    </row>
    <row r="413" spans="1:20" x14ac:dyDescent="0.25">
      <c r="A413" s="5">
        <v>44180</v>
      </c>
      <c r="B413">
        <v>0.7722</v>
      </c>
      <c r="C413">
        <v>0.83789999999999998</v>
      </c>
      <c r="D413">
        <v>0.76180000000000003</v>
      </c>
      <c r="E413">
        <v>0.82440000000000002</v>
      </c>
      <c r="F413">
        <v>346013.85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0.64520367936925183</v>
      </c>
      <c r="Q413">
        <f t="shared" si="975"/>
        <v>223249.40913272038</v>
      </c>
      <c r="R413">
        <f t="shared" si="976"/>
        <v>-1004603.6065274738</v>
      </c>
      <c r="S413">
        <f t="shared" si="977"/>
        <v>-10.046036065274738</v>
      </c>
      <c r="T413">
        <f t="shared" si="978"/>
        <v>-1.0046036065274738E-2</v>
      </c>
    </row>
    <row r="414" spans="1:20" x14ac:dyDescent="0.25">
      <c r="A414" s="5">
        <v>44179</v>
      </c>
      <c r="B414">
        <v>0.76919999999999999</v>
      </c>
      <c r="C414">
        <v>0.79479999999999995</v>
      </c>
      <c r="D414">
        <v>0.75829999999999997</v>
      </c>
      <c r="E414">
        <v>0.76890000000000003</v>
      </c>
      <c r="F414">
        <v>188677.72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-0.41917808219177749</v>
      </c>
      <c r="Q414">
        <f t="shared" si="975"/>
        <v>-79089.564821917185</v>
      </c>
      <c r="R414">
        <f t="shared" si="976"/>
        <v>-1227853.0156601942</v>
      </c>
      <c r="S414">
        <f t="shared" si="977"/>
        <v>-12.278530156601942</v>
      </c>
      <c r="T414">
        <f t="shared" si="978"/>
        <v>-1.2278530156601943E-2</v>
      </c>
    </row>
    <row r="415" spans="1:20" x14ac:dyDescent="0.25">
      <c r="A415" s="5">
        <v>44178</v>
      </c>
      <c r="B415">
        <v>0.74839999999999995</v>
      </c>
      <c r="C415">
        <v>0.78</v>
      </c>
      <c r="D415">
        <v>0.74760000000000004</v>
      </c>
      <c r="E415">
        <v>0.76929999999999998</v>
      </c>
      <c r="F415">
        <v>141257.31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0.33950617283950318</v>
      </c>
      <c r="Q415">
        <f t="shared" si="975"/>
        <v>47957.72870370328</v>
      </c>
      <c r="R415">
        <f t="shared" si="976"/>
        <v>-1148763.4508382771</v>
      </c>
      <c r="S415">
        <f t="shared" si="977"/>
        <v>-11.48763450838277</v>
      </c>
      <c r="T415">
        <f t="shared" si="978"/>
        <v>-1.148763450838277E-2</v>
      </c>
    </row>
    <row r="416" spans="1:20" x14ac:dyDescent="0.25">
      <c r="A416" s="5">
        <v>44177</v>
      </c>
      <c r="B416">
        <v>0.7228</v>
      </c>
      <c r="C416">
        <v>0.82</v>
      </c>
      <c r="D416">
        <v>0.7228</v>
      </c>
      <c r="E416">
        <v>0.74470000000000003</v>
      </c>
      <c r="F416">
        <v>582606.71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-0.54938271604938183</v>
      </c>
      <c r="Q416">
        <f t="shared" si="975"/>
        <v>-320074.05672839453</v>
      </c>
      <c r="R416">
        <f t="shared" si="976"/>
        <v>-1196721.1795419804</v>
      </c>
      <c r="S416">
        <f t="shared" si="977"/>
        <v>-11.967211795419804</v>
      </c>
      <c r="T416">
        <f t="shared" si="978"/>
        <v>-1.1967211795419803E-2</v>
      </c>
    </row>
    <row r="417" spans="1:20" x14ac:dyDescent="0.25">
      <c r="A417" s="5">
        <v>44176</v>
      </c>
      <c r="B417">
        <v>0.74</v>
      </c>
      <c r="C417">
        <v>0.76759999999999995</v>
      </c>
      <c r="D417">
        <v>0.70030000000000003</v>
      </c>
      <c r="E417">
        <v>0.71309999999999996</v>
      </c>
      <c r="F417">
        <v>133536.69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-0.61961367013373136</v>
      </c>
      <c r="Q417">
        <f t="shared" si="975"/>
        <v>-82741.158588410341</v>
      </c>
      <c r="R417">
        <f t="shared" si="976"/>
        <v>-876647.1228135858</v>
      </c>
      <c r="S417">
        <f t="shared" si="977"/>
        <v>-8.7664712281358579</v>
      </c>
      <c r="T417">
        <f t="shared" si="978"/>
        <v>-8.7664712281358571E-3</v>
      </c>
    </row>
    <row r="418" spans="1:20" x14ac:dyDescent="0.25">
      <c r="A418" s="5">
        <v>44175</v>
      </c>
      <c r="B418">
        <v>0.78869999999999996</v>
      </c>
      <c r="C418">
        <v>0.80200000000000005</v>
      </c>
      <c r="D418">
        <v>0.73540000000000005</v>
      </c>
      <c r="E418">
        <v>0.7419</v>
      </c>
      <c r="F418">
        <v>116713.98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-0.80480480480480632</v>
      </c>
      <c r="Q418">
        <f t="shared" si="975"/>
        <v>-93931.97189189207</v>
      </c>
      <c r="R418">
        <f t="shared" si="976"/>
        <v>-793905.96422517544</v>
      </c>
      <c r="S418">
        <f t="shared" si="977"/>
        <v>-7.9390596422517543</v>
      </c>
      <c r="T418">
        <f t="shared" si="978"/>
        <v>-7.9390596422517536E-3</v>
      </c>
    </row>
    <row r="419" spans="1:20" x14ac:dyDescent="0.25">
      <c r="A419" s="5">
        <v>44174</v>
      </c>
      <c r="B419">
        <v>0.72250000000000003</v>
      </c>
      <c r="C419">
        <v>0.8</v>
      </c>
      <c r="D419">
        <v>0.69359999999999999</v>
      </c>
      <c r="E419">
        <v>0.7843</v>
      </c>
      <c r="F419">
        <v>618417.01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0.70488721804511201</v>
      </c>
      <c r="Q419">
        <f t="shared" si="975"/>
        <v>435914.24577067624</v>
      </c>
      <c r="R419">
        <f t="shared" si="976"/>
        <v>-699973.99233328342</v>
      </c>
      <c r="S419">
        <f t="shared" si="977"/>
        <v>-6.9997399233328341</v>
      </c>
      <c r="T419">
        <f t="shared" si="978"/>
        <v>-6.9997399233328343E-3</v>
      </c>
    </row>
    <row r="420" spans="1:20" x14ac:dyDescent="0.25">
      <c r="A420" s="5">
        <v>44173</v>
      </c>
      <c r="B420">
        <v>0.76539999999999997</v>
      </c>
      <c r="C420">
        <v>0.80489999999999995</v>
      </c>
      <c r="D420">
        <v>0.72099999999999997</v>
      </c>
      <c r="E420">
        <v>0.72250000000000003</v>
      </c>
      <c r="F420">
        <v>276873.69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-0.96424314660309751</v>
      </c>
      <c r="Q420">
        <f t="shared" si="975"/>
        <v>-266973.55805721058</v>
      </c>
      <c r="R420">
        <f t="shared" si="976"/>
        <v>-1135888.2381039597</v>
      </c>
      <c r="S420">
        <f t="shared" si="977"/>
        <v>-11.358882381039598</v>
      </c>
      <c r="T420">
        <f t="shared" si="978"/>
        <v>-1.1358882381039598E-2</v>
      </c>
    </row>
    <row r="421" spans="1:20" x14ac:dyDescent="0.25">
      <c r="A421" s="5">
        <v>44172</v>
      </c>
      <c r="B421">
        <v>0.77290000000000003</v>
      </c>
      <c r="C421">
        <v>0.80600000000000005</v>
      </c>
      <c r="D421">
        <v>0.74890000000000001</v>
      </c>
      <c r="E421">
        <v>0.76539999999999997</v>
      </c>
      <c r="F421">
        <v>219629.82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-0.42206654991243614</v>
      </c>
      <c r="Q421">
        <f t="shared" si="975"/>
        <v>-92698.400385289366</v>
      </c>
      <c r="R421">
        <f t="shared" si="976"/>
        <v>-868914.68004674918</v>
      </c>
      <c r="S421">
        <f t="shared" si="977"/>
        <v>-8.6891468004674923</v>
      </c>
      <c r="T421">
        <f t="shared" si="978"/>
        <v>-8.6891468004674927E-3</v>
      </c>
    </row>
    <row r="422" spans="1:20" x14ac:dyDescent="0.25">
      <c r="A422" s="5">
        <v>44171</v>
      </c>
      <c r="B422">
        <v>0.78120000000000001</v>
      </c>
      <c r="C422">
        <v>0.80259999999999998</v>
      </c>
      <c r="D422">
        <v>0.75339999999999996</v>
      </c>
      <c r="E422">
        <v>0.77290000000000003</v>
      </c>
      <c r="F422">
        <v>207352.75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-0.20731707317072909</v>
      </c>
      <c r="Q422">
        <f t="shared" si="975"/>
        <v>-42987.765243901893</v>
      </c>
      <c r="R422">
        <f t="shared" si="976"/>
        <v>-776216.27966145985</v>
      </c>
      <c r="S422">
        <f t="shared" si="977"/>
        <v>-7.7621627966145983</v>
      </c>
      <c r="T422">
        <f t="shared" si="978"/>
        <v>-7.7621627966145985E-3</v>
      </c>
    </row>
    <row r="423" spans="1:20" x14ac:dyDescent="0.25">
      <c r="A423" s="5">
        <v>44170</v>
      </c>
      <c r="B423">
        <v>0.77339999999999998</v>
      </c>
      <c r="C423">
        <v>0.78969999999999996</v>
      </c>
      <c r="D423">
        <v>0.75</v>
      </c>
      <c r="E423">
        <v>0.77529999999999999</v>
      </c>
      <c r="F423">
        <v>154181.14000000001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0.27455919395466077</v>
      </c>
      <c r="Q423">
        <f t="shared" si="975"/>
        <v>42331.84952141071</v>
      </c>
      <c r="R423">
        <f t="shared" si="976"/>
        <v>-733228.51441755798</v>
      </c>
      <c r="S423">
        <f t="shared" si="977"/>
        <v>-7.3322851441755796</v>
      </c>
      <c r="T423">
        <f t="shared" si="978"/>
        <v>-7.3322851441755795E-3</v>
      </c>
    </row>
    <row r="424" spans="1:20" x14ac:dyDescent="0.25">
      <c r="A424" s="5">
        <v>44169</v>
      </c>
      <c r="B424">
        <v>0.8054</v>
      </c>
      <c r="C424">
        <v>0.81369999999999998</v>
      </c>
      <c r="D424">
        <v>0.77300000000000002</v>
      </c>
      <c r="E424">
        <v>0.77349999999999997</v>
      </c>
      <c r="F424">
        <v>243163.66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-0.97542997542997811</v>
      </c>
      <c r="Q424">
        <f t="shared" si="975"/>
        <v>-237189.12289926354</v>
      </c>
      <c r="R424">
        <f t="shared" si="976"/>
        <v>-775560.36393896863</v>
      </c>
      <c r="S424">
        <f t="shared" si="977"/>
        <v>-7.7556036393896859</v>
      </c>
      <c r="T424">
        <f t="shared" si="978"/>
        <v>-7.755603639389686E-3</v>
      </c>
    </row>
    <row r="425" spans="1:20" x14ac:dyDescent="0.25">
      <c r="A425" s="5">
        <v>44168</v>
      </c>
      <c r="B425">
        <v>0.80810000000000004</v>
      </c>
      <c r="C425">
        <v>0.83730000000000004</v>
      </c>
      <c r="D425">
        <v>0.79669999999999996</v>
      </c>
      <c r="E425">
        <v>0.80579999999999996</v>
      </c>
      <c r="F425">
        <v>182088.34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-0.55172413793103547</v>
      </c>
      <c r="Q425">
        <f t="shared" si="975"/>
        <v>-100462.53241379328</v>
      </c>
      <c r="R425">
        <f t="shared" si="976"/>
        <v>-538371.24103970511</v>
      </c>
      <c r="S425">
        <f t="shared" si="977"/>
        <v>-5.3837124103970515</v>
      </c>
      <c r="T425">
        <f t="shared" si="978"/>
        <v>-5.3837124103970511E-3</v>
      </c>
    </row>
    <row r="426" spans="1:20" x14ac:dyDescent="0.25">
      <c r="A426" s="5">
        <v>44167</v>
      </c>
      <c r="B426">
        <v>0.80359999999999998</v>
      </c>
      <c r="C426">
        <v>0.84260000000000002</v>
      </c>
      <c r="D426">
        <v>0.78129999999999999</v>
      </c>
      <c r="E426">
        <v>0.8075</v>
      </c>
      <c r="F426">
        <v>186788.15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-0.1451876019575859</v>
      </c>
      <c r="Q426">
        <f t="shared" si="975"/>
        <v>-27119.323572593847</v>
      </c>
      <c r="R426">
        <f t="shared" si="976"/>
        <v>-437908.70862591179</v>
      </c>
      <c r="S426">
        <f t="shared" si="977"/>
        <v>-4.3790870862591182</v>
      </c>
      <c r="T426">
        <f t="shared" si="978"/>
        <v>-4.3790870862591182E-3</v>
      </c>
    </row>
    <row r="427" spans="1:20" x14ac:dyDescent="0.25">
      <c r="A427" s="5">
        <v>44166</v>
      </c>
      <c r="B427">
        <v>0.87329999999999997</v>
      </c>
      <c r="C427">
        <v>0.87849999999999995</v>
      </c>
      <c r="D427">
        <v>0.77439999999999998</v>
      </c>
      <c r="E427">
        <v>0.80869999999999997</v>
      </c>
      <c r="F427">
        <v>330409.73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-0.34101825168107575</v>
      </c>
      <c r="Q427">
        <f t="shared" si="975"/>
        <v>-112675.74846301628</v>
      </c>
      <c r="R427">
        <f t="shared" si="976"/>
        <v>-410789.38505331794</v>
      </c>
      <c r="S427">
        <f t="shared" si="977"/>
        <v>-4.1078938505331797</v>
      </c>
      <c r="T427">
        <f t="shared" si="978"/>
        <v>-4.10789385053318E-3</v>
      </c>
    </row>
    <row r="428" spans="1:20" x14ac:dyDescent="0.25">
      <c r="A428" s="5">
        <v>44165</v>
      </c>
      <c r="B428">
        <v>0.87350000000000005</v>
      </c>
      <c r="C428">
        <v>0.89549999999999996</v>
      </c>
      <c r="D428">
        <v>0.82479999999999998</v>
      </c>
      <c r="E428">
        <v>0.874</v>
      </c>
      <c r="F428">
        <v>258077.42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0.39179632248939272</v>
      </c>
      <c r="Q428">
        <f t="shared" si="975"/>
        <v>101113.78407355046</v>
      </c>
      <c r="R428">
        <f t="shared" si="976"/>
        <v>-298113.63659030164</v>
      </c>
      <c r="S428">
        <f t="shared" si="977"/>
        <v>-2.9811363659030166</v>
      </c>
      <c r="T428">
        <f t="shared" si="978"/>
        <v>-2.9811363659030168E-3</v>
      </c>
    </row>
    <row r="429" spans="1:20" x14ac:dyDescent="0.25">
      <c r="A429" s="5">
        <v>44164</v>
      </c>
      <c r="B429">
        <v>0.89149999999999996</v>
      </c>
      <c r="C429">
        <v>0.9</v>
      </c>
      <c r="D429">
        <v>0.83109999999999995</v>
      </c>
      <c r="E429">
        <v>0.87139999999999995</v>
      </c>
      <c r="F429">
        <v>181981.22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0.16981132075471583</v>
      </c>
      <c r="Q429">
        <f t="shared" si="975"/>
        <v>30902.47132075451</v>
      </c>
      <c r="R429">
        <f t="shared" si="976"/>
        <v>-399227.42066385213</v>
      </c>
      <c r="S429">
        <f t="shared" si="977"/>
        <v>-3.9922742066385211</v>
      </c>
      <c r="T429">
        <f t="shared" si="978"/>
        <v>-3.992274206638521E-3</v>
      </c>
    </row>
    <row r="430" spans="1:20" x14ac:dyDescent="0.25">
      <c r="A430" s="5">
        <v>44163</v>
      </c>
      <c r="B430">
        <v>0.80410000000000004</v>
      </c>
      <c r="C430">
        <v>0.90010000000000001</v>
      </c>
      <c r="D430">
        <v>0.80400000000000005</v>
      </c>
      <c r="E430">
        <v>0.88919999999999999</v>
      </c>
      <c r="F430">
        <v>222373.59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0.77315296566076952</v>
      </c>
      <c r="Q430">
        <f t="shared" si="975"/>
        <v>171928.80059313204</v>
      </c>
      <c r="R430">
        <f t="shared" si="976"/>
        <v>-430129.89198460663</v>
      </c>
      <c r="S430">
        <f t="shared" si="977"/>
        <v>-4.301298919846066</v>
      </c>
      <c r="T430">
        <f t="shared" si="978"/>
        <v>-4.3012989198460659E-3</v>
      </c>
    </row>
    <row r="431" spans="1:20" x14ac:dyDescent="0.25">
      <c r="A431" s="5">
        <v>44162</v>
      </c>
      <c r="B431">
        <v>0.78110000000000002</v>
      </c>
      <c r="C431">
        <v>0.85</v>
      </c>
      <c r="D431">
        <v>0.75900000000000001</v>
      </c>
      <c r="E431">
        <v>0.80389999999999995</v>
      </c>
      <c r="F431">
        <v>196309.83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-1.3186813186814179E-2</v>
      </c>
      <c r="Q431">
        <f t="shared" si="975"/>
        <v>-2588.7010549452498</v>
      </c>
      <c r="R431">
        <f t="shared" si="976"/>
        <v>-602058.69257773866</v>
      </c>
      <c r="S431">
        <f t="shared" si="977"/>
        <v>-6.020586925777387</v>
      </c>
      <c r="T431">
        <f t="shared" si="978"/>
        <v>-6.0205869257773867E-3</v>
      </c>
    </row>
    <row r="432" spans="1:20" x14ac:dyDescent="0.25">
      <c r="A432" s="5">
        <v>44161</v>
      </c>
      <c r="B432">
        <v>0.88029999999999997</v>
      </c>
      <c r="C432">
        <v>0.89670000000000005</v>
      </c>
      <c r="D432">
        <v>0.71699999999999997</v>
      </c>
      <c r="E432">
        <v>0.78269999999999995</v>
      </c>
      <c r="F432">
        <v>441442.13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-0.26878130217028434</v>
      </c>
      <c r="Q432">
        <f t="shared" si="975"/>
        <v>-118651.39053422394</v>
      </c>
      <c r="R432">
        <f t="shared" si="976"/>
        <v>-599469.99152279343</v>
      </c>
      <c r="S432">
        <f t="shared" si="977"/>
        <v>-5.9946999152279341</v>
      </c>
      <c r="T432">
        <f t="shared" si="978"/>
        <v>-5.9946999152279343E-3</v>
      </c>
    </row>
    <row r="433" spans="1:20" x14ac:dyDescent="0.25">
      <c r="A433" s="5">
        <v>44160</v>
      </c>
      <c r="B433">
        <v>0.91739999999999999</v>
      </c>
      <c r="C433">
        <v>1.0405</v>
      </c>
      <c r="D433">
        <v>0.85</v>
      </c>
      <c r="E433">
        <v>0.88039999999999996</v>
      </c>
      <c r="F433">
        <v>646577.47</v>
      </c>
      <c r="G433">
        <v>0</v>
      </c>
      <c r="L433" t="s">
        <v>8</v>
      </c>
      <c r="M433" t="s">
        <v>7</v>
      </c>
      <c r="N433" t="s">
        <v>8</v>
      </c>
      <c r="P433">
        <f t="shared" si="974"/>
        <v>-0.68083989501312359</v>
      </c>
      <c r="Q433">
        <f t="shared" si="975"/>
        <v>-440215.73679265106</v>
      </c>
      <c r="R433">
        <f t="shared" si="976"/>
        <v>-480818.60098856949</v>
      </c>
      <c r="S433">
        <f t="shared" si="977"/>
        <v>-4.808186009885695</v>
      </c>
      <c r="T433">
        <f t="shared" si="978"/>
        <v>-4.8081860098856946E-3</v>
      </c>
    </row>
    <row r="434" spans="1:20" x14ac:dyDescent="0.25">
      <c r="A434" s="5">
        <v>44159</v>
      </c>
      <c r="B434">
        <v>0.80500000000000005</v>
      </c>
      <c r="C434">
        <v>1.05</v>
      </c>
      <c r="D434">
        <v>0.80500000000000005</v>
      </c>
      <c r="E434">
        <v>0.91310000000000002</v>
      </c>
      <c r="F434">
        <v>345406.31</v>
      </c>
      <c r="G434">
        <v>0</v>
      </c>
      <c r="P434">
        <f t="shared" si="974"/>
        <v>-0.11755102040816347</v>
      </c>
      <c r="Q434">
        <f t="shared" si="975"/>
        <v>-40602.864195918439</v>
      </c>
      <c r="R434">
        <f t="shared" si="976"/>
        <v>-40602.864195918439</v>
      </c>
      <c r="S434">
        <f t="shared" si="977"/>
        <v>-0.40602864195918437</v>
      </c>
      <c r="T434">
        <f t="shared" si="978"/>
        <v>-4.0602864195918439E-4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L582" sqref="HL58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$A$581</v>
      </c>
      <c r="D111" s="1" t="str">
        <f>ADDRESS(C121-1,D121,1,1)</f>
        <v>$HL$581</v>
      </c>
      <c r="E111"/>
    </row>
    <row r="112" spans="1:5" x14ac:dyDescent="0.25">
      <c r="A112" s="7">
        <v>12164.144957890772</v>
      </c>
      <c r="C112" s="1" t="str">
        <f>ADDRESS(C121,1,1,1)</f>
        <v>$A$582</v>
      </c>
      <c r="D112" s="1" t="str">
        <f>ADDRESS(C121,D121-1,1,1)</f>
        <v>$HK$582</v>
      </c>
      <c r="E112"/>
    </row>
    <row r="113" spans="1:5" x14ac:dyDescent="0.25">
      <c r="A113" s="7">
        <v>11925.63231165762</v>
      </c>
      <c r="C113" s="1" t="str">
        <f>ADDRESS(C121+1,1,1,1)</f>
        <v>$A$583</v>
      </c>
      <c r="D113" s="1" t="str">
        <f>ADDRESS(C121-1,D121+1,1,1)</f>
        <v>$HM$581</v>
      </c>
    </row>
    <row r="114" spans="1:5" x14ac:dyDescent="0.25">
      <c r="A114" s="7">
        <v>11691.796383978059</v>
      </c>
      <c r="C114" s="1" t="str">
        <f>ADDRESS(C121,D121,1,1)</f>
        <v>$HL$582</v>
      </c>
      <c r="D114" s="1" t="str">
        <f>ADDRESS(C121+1,D121+1,1,1)</f>
        <v>$HM$583</v>
      </c>
    </row>
    <row r="115" spans="1:5" x14ac:dyDescent="0.25">
      <c r="A115" s="7">
        <v>11462.545474488292</v>
      </c>
      <c r="C115" s="1" t="str">
        <f>ADDRESS(C121+1,D121,1,1)</f>
        <v>$HL$583</v>
      </c>
    </row>
    <row r="116" spans="1:5" x14ac:dyDescent="0.25">
      <c r="A116" s="7">
        <v>11237.789680870874</v>
      </c>
      <c r="C116" s="1">
        <f>C117-1</f>
        <v>581</v>
      </c>
    </row>
    <row r="117" spans="1:5" x14ac:dyDescent="0.25">
      <c r="A117" s="7">
        <v>11017.440863598895</v>
      </c>
      <c r="C117" s="1">
        <f>C121</f>
        <v>582</v>
      </c>
      <c r="D117" s="1">
        <f>D121</f>
        <v>220</v>
      </c>
    </row>
    <row r="118" spans="1:5" x14ac:dyDescent="0.25">
      <c r="A118" s="7">
        <v>10801.412611371465</v>
      </c>
      <c r="C118" s="1">
        <f>C117+1</f>
        <v>583</v>
      </c>
      <c r="D118" s="1">
        <f>D117+1</f>
        <v>221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582</v>
      </c>
      <c r="D121" s="19">
        <v>220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R582</v>
      </c>
      <c r="D123" s="1" t="str">
        <f>"C"&amp;D121</f>
        <v>C220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1.1040808032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86" x14ac:dyDescent="0.25">
      <c r="A481" s="7">
        <v>8.1586481992426112</v>
      </c>
      <c r="B481"/>
      <c r="C481"/>
      <c r="D481"/>
      <c r="E481"/>
    </row>
    <row r="482" spans="1:86" x14ac:dyDescent="0.25">
      <c r="A482" s="7">
        <v>7.9986747051398144</v>
      </c>
      <c r="B482"/>
      <c r="C482"/>
      <c r="D482"/>
      <c r="E482"/>
    </row>
    <row r="483" spans="1:86" x14ac:dyDescent="0.25">
      <c r="A483" s="7">
        <v>7.8418379462155041</v>
      </c>
      <c r="B483"/>
      <c r="C483"/>
      <c r="D483"/>
      <c r="E483"/>
    </row>
    <row r="484" spans="1:86" x14ac:dyDescent="0.25">
      <c r="A484" s="7">
        <v>7.688076417858337</v>
      </c>
      <c r="B484"/>
      <c r="C484"/>
      <c r="D484"/>
      <c r="E484"/>
    </row>
    <row r="485" spans="1:86" x14ac:dyDescent="0.25">
      <c r="A485" s="7">
        <v>7.5373298214297417</v>
      </c>
      <c r="B485"/>
      <c r="C485"/>
      <c r="D485"/>
      <c r="E485"/>
    </row>
    <row r="486" spans="1:86" x14ac:dyDescent="0.25">
      <c r="A486" s="7">
        <v>7.389539040617394</v>
      </c>
      <c r="B486"/>
      <c r="C486"/>
      <c r="D486"/>
      <c r="E486"/>
    </row>
    <row r="487" spans="1:86" x14ac:dyDescent="0.25">
      <c r="A487" s="7">
        <v>7.2446461182523469</v>
      </c>
      <c r="B487"/>
      <c r="C487"/>
      <c r="D487"/>
      <c r="E487"/>
    </row>
    <row r="488" spans="1:86" x14ac:dyDescent="0.25">
      <c r="A488" s="7">
        <v>7.1025942335807324</v>
      </c>
      <c r="B488"/>
      <c r="C488"/>
      <c r="D488"/>
      <c r="E488"/>
    </row>
    <row r="489" spans="1:86" x14ac:dyDescent="0.25">
      <c r="A489" s="7">
        <v>6.9633276799811101</v>
      </c>
      <c r="B489"/>
      <c r="C489"/>
      <c r="D489"/>
      <c r="E489"/>
    </row>
    <row r="490" spans="1:86" x14ac:dyDescent="0.25">
      <c r="A490" s="7">
        <v>6.8267918431187349</v>
      </c>
      <c r="B490"/>
      <c r="C490"/>
      <c r="D490"/>
      <c r="E490"/>
    </row>
    <row r="491" spans="1:86" x14ac:dyDescent="0.25">
      <c r="A491" s="7">
        <v>6.692933179528171</v>
      </c>
      <c r="B491"/>
      <c r="C491"/>
      <c r="D491"/>
      <c r="E491"/>
    </row>
    <row r="492" spans="1:86" x14ac:dyDescent="0.25">
      <c r="A492" s="7">
        <v>6.5616991956158541</v>
      </c>
      <c r="B492"/>
      <c r="C492"/>
      <c r="D492"/>
      <c r="E492"/>
    </row>
    <row r="493" spans="1:86" x14ac:dyDescent="0.25">
      <c r="A493" s="7">
        <v>6.4330384270743668</v>
      </c>
      <c r="B493"/>
      <c r="C493"/>
      <c r="D493"/>
      <c r="E493"/>
      <c r="CE493" s="27" t="s">
        <v>8</v>
      </c>
    </row>
    <row r="494" spans="1:86" x14ac:dyDescent="0.25">
      <c r="A494" s="7">
        <v>6.3069004187003594</v>
      </c>
      <c r="B494"/>
      <c r="C494"/>
      <c r="D494"/>
      <c r="E494"/>
      <c r="CC494" s="27" t="s">
        <v>8</v>
      </c>
      <c r="CE494" s="27" t="s">
        <v>8</v>
      </c>
      <c r="CF494" s="27" t="s">
        <v>7</v>
      </c>
    </row>
    <row r="495" spans="1:86" x14ac:dyDescent="0.25">
      <c r="A495" s="7">
        <v>6.1832357046081956</v>
      </c>
      <c r="B495"/>
      <c r="C495"/>
      <c r="D495"/>
      <c r="E495"/>
      <c r="BU495" s="27" t="s">
        <v>8</v>
      </c>
      <c r="CC495" s="27" t="s">
        <v>8</v>
      </c>
      <c r="CD495" s="27" t="s">
        <v>7</v>
      </c>
      <c r="CE495" s="27" t="s">
        <v>8</v>
      </c>
      <c r="CF495" s="27" t="s">
        <v>7</v>
      </c>
      <c r="CG495" s="27" t="s">
        <v>8</v>
      </c>
    </row>
    <row r="496" spans="1:86" x14ac:dyDescent="0.25">
      <c r="A496" s="7">
        <v>6.0619957888315641</v>
      </c>
      <c r="B496"/>
      <c r="C496"/>
      <c r="D496"/>
      <c r="E496"/>
      <c r="BU496" s="27" t="s">
        <v>8</v>
      </c>
      <c r="BV496" s="27" t="s">
        <v>7</v>
      </c>
      <c r="CC496" s="27" t="s">
        <v>8</v>
      </c>
      <c r="CD496" s="27" t="s">
        <v>7</v>
      </c>
      <c r="CE496" s="27" t="s">
        <v>8</v>
      </c>
      <c r="CF496" s="27" t="s">
        <v>7</v>
      </c>
      <c r="CG496" s="27" t="s">
        <v>8</v>
      </c>
      <c r="CH496" s="27" t="s">
        <v>7</v>
      </c>
    </row>
    <row r="497" spans="1:166" x14ac:dyDescent="0.25">
      <c r="A497" s="7">
        <v>5.9431331263054545</v>
      </c>
      <c r="B497"/>
      <c r="C497"/>
      <c r="D497"/>
      <c r="E497"/>
      <c r="BU497" s="27" t="s">
        <v>8</v>
      </c>
      <c r="BV497" s="27" t="s">
        <v>7</v>
      </c>
      <c r="BW497" s="27" t="s">
        <v>8</v>
      </c>
      <c r="CC497" s="27" t="s">
        <v>8</v>
      </c>
      <c r="CD497" s="27" t="s">
        <v>7</v>
      </c>
      <c r="CE497" s="27" t="s">
        <v>8</v>
      </c>
      <c r="CF497" s="27" t="s">
        <v>7</v>
      </c>
      <c r="CG497" s="27" t="s">
        <v>8</v>
      </c>
      <c r="CH497" s="27" t="s">
        <v>7</v>
      </c>
    </row>
    <row r="498" spans="1:166" x14ac:dyDescent="0.25">
      <c r="A498" s="7">
        <v>5.8266011042210337</v>
      </c>
      <c r="B498"/>
      <c r="C498"/>
      <c r="D498"/>
      <c r="E498"/>
      <c r="BU498" s="27" t="s">
        <v>8</v>
      </c>
      <c r="BV498" s="27" t="s">
        <v>7</v>
      </c>
      <c r="BW498" s="27" t="s">
        <v>8</v>
      </c>
      <c r="BX498" s="27" t="s">
        <v>7</v>
      </c>
      <c r="CC498" s="27" t="s">
        <v>8</v>
      </c>
      <c r="CD498" s="27" t="s">
        <v>7</v>
      </c>
      <c r="CF498" s="27" t="s">
        <v>7</v>
      </c>
      <c r="CG498" s="27" t="s">
        <v>8</v>
      </c>
      <c r="CH498" s="27" t="s">
        <v>7</v>
      </c>
      <c r="CU498" s="27" t="s">
        <v>8</v>
      </c>
    </row>
    <row r="499" spans="1:166" x14ac:dyDescent="0.25">
      <c r="A499" s="7">
        <v>5.7123540237461112</v>
      </c>
      <c r="B499"/>
      <c r="C499"/>
      <c r="D499"/>
      <c r="E499"/>
      <c r="BU499" s="27" t="s">
        <v>8</v>
      </c>
      <c r="BV499" s="27" t="s">
        <v>7</v>
      </c>
      <c r="BW499" s="27" t="s">
        <v>8</v>
      </c>
      <c r="BX499" s="27" t="s">
        <v>7</v>
      </c>
      <c r="CC499" s="27" t="s">
        <v>8</v>
      </c>
      <c r="CF499" s="27" t="s">
        <v>7</v>
      </c>
      <c r="CH499" s="27" t="s">
        <v>7</v>
      </c>
      <c r="CU499" s="27" t="s">
        <v>8</v>
      </c>
      <c r="CV499" s="27" t="s">
        <v>7</v>
      </c>
    </row>
    <row r="500" spans="1:166" x14ac:dyDescent="0.25">
      <c r="A500" s="7">
        <v>5.6003470821040304</v>
      </c>
      <c r="B500"/>
      <c r="C500"/>
      <c r="D500"/>
      <c r="E500"/>
      <c r="BU500" s="27" t="s">
        <v>8</v>
      </c>
      <c r="BV500" s="27" t="s">
        <v>7</v>
      </c>
      <c r="BW500" s="27" t="s">
        <v>8</v>
      </c>
      <c r="BX500" s="27" t="s">
        <v>7</v>
      </c>
      <c r="CA500" s="27" t="s">
        <v>8</v>
      </c>
      <c r="CC500" s="27" t="s">
        <v>8</v>
      </c>
      <c r="CH500" s="27" t="s">
        <v>7</v>
      </c>
      <c r="CI500" s="27" t="s">
        <v>8</v>
      </c>
      <c r="CO500" s="27" t="s">
        <v>8</v>
      </c>
      <c r="CU500" s="27" t="s">
        <v>8</v>
      </c>
      <c r="CV500" s="27" t="s">
        <v>7</v>
      </c>
      <c r="CW500" s="27" t="s">
        <v>8</v>
      </c>
    </row>
    <row r="501" spans="1:166" x14ac:dyDescent="0.25">
      <c r="A501" s="7">
        <v>5.4905363550039512</v>
      </c>
      <c r="B501"/>
      <c r="C501"/>
      <c r="D501"/>
      <c r="E501"/>
      <c r="BU501" s="27" t="s">
        <v>8</v>
      </c>
      <c r="BV501" s="27" t="s">
        <v>7</v>
      </c>
      <c r="BW501" s="27" t="s">
        <v>8</v>
      </c>
      <c r="BX501" s="27" t="s">
        <v>7</v>
      </c>
      <c r="BY501" s="27" t="s">
        <v>8</v>
      </c>
      <c r="CA501" s="27" t="s">
        <v>8</v>
      </c>
      <c r="CB501" s="27" t="s">
        <v>7</v>
      </c>
      <c r="CC501" s="27" t="s">
        <v>8</v>
      </c>
      <c r="CH501" s="27" t="s">
        <v>7</v>
      </c>
      <c r="CI501" s="27" t="s">
        <v>8</v>
      </c>
      <c r="CJ501" s="27" t="s">
        <v>7</v>
      </c>
      <c r="CO501" s="27" t="s">
        <v>8</v>
      </c>
      <c r="CP501" s="27" t="s">
        <v>7</v>
      </c>
      <c r="CU501" s="27" t="s">
        <v>8</v>
      </c>
      <c r="CV501" s="27" t="s">
        <v>7</v>
      </c>
      <c r="CW501" s="27" t="s">
        <v>8</v>
      </c>
      <c r="CX501" s="27" t="s">
        <v>7</v>
      </c>
    </row>
    <row r="502" spans="1:166" x14ac:dyDescent="0.25">
      <c r="A502" s="7">
        <v>5.3828787794156385</v>
      </c>
      <c r="B502"/>
      <c r="C502"/>
      <c r="D502"/>
      <c r="E502"/>
      <c r="BU502" s="27" t="s">
        <v>8</v>
      </c>
      <c r="BV502" s="27" t="s">
        <v>7</v>
      </c>
      <c r="BW502" s="27" t="s">
        <v>8</v>
      </c>
      <c r="BX502" s="27" t="s">
        <v>7</v>
      </c>
      <c r="BY502" s="27" t="s">
        <v>8</v>
      </c>
      <c r="BZ502" s="27" t="s">
        <v>7</v>
      </c>
      <c r="CA502" s="27" t="s">
        <v>8</v>
      </c>
      <c r="CB502" s="27" t="s">
        <v>7</v>
      </c>
      <c r="CC502" s="27" t="s">
        <v>8</v>
      </c>
      <c r="CH502" s="27" t="s">
        <v>7</v>
      </c>
      <c r="CI502" s="27" t="s">
        <v>8</v>
      </c>
      <c r="CJ502" s="27" t="s">
        <v>7</v>
      </c>
      <c r="CO502" s="27" t="s">
        <v>8</v>
      </c>
      <c r="CP502" s="27" t="s">
        <v>7</v>
      </c>
      <c r="CQ502" s="27" t="s">
        <v>8</v>
      </c>
      <c r="CU502" s="27" t="s">
        <v>8</v>
      </c>
      <c r="CV502" s="27" t="s">
        <v>7</v>
      </c>
      <c r="CW502" s="27" t="s">
        <v>8</v>
      </c>
      <c r="CX502" s="27" t="s">
        <v>7</v>
      </c>
      <c r="CY502" s="27" t="s">
        <v>8</v>
      </c>
      <c r="FI502" s="27" t="s">
        <v>8</v>
      </c>
    </row>
    <row r="503" spans="1:166" x14ac:dyDescent="0.25">
      <c r="A503" s="7">
        <v>5.2773321366819985</v>
      </c>
      <c r="B503"/>
      <c r="C503"/>
      <c r="D503"/>
      <c r="E503"/>
      <c r="BU503" s="27" t="s">
        <v>8</v>
      </c>
      <c r="BV503" s="27" t="s">
        <v>7</v>
      </c>
      <c r="BW503" s="27" t="s">
        <v>8</v>
      </c>
      <c r="BX503" s="27" t="s">
        <v>7</v>
      </c>
      <c r="BY503" s="27" t="s">
        <v>8</v>
      </c>
      <c r="BZ503" s="27" t="s">
        <v>7</v>
      </c>
      <c r="CA503" s="27" t="s">
        <v>8</v>
      </c>
      <c r="CB503" s="27" t="s">
        <v>7</v>
      </c>
      <c r="CC503" s="27" t="s">
        <v>8</v>
      </c>
      <c r="CH503" s="27" t="s">
        <v>7</v>
      </c>
      <c r="CI503" s="27" t="s">
        <v>8</v>
      </c>
      <c r="CJ503" s="27" t="s">
        <v>7</v>
      </c>
      <c r="CO503" s="27" t="s">
        <v>8</v>
      </c>
      <c r="CP503" s="27" t="s">
        <v>7</v>
      </c>
      <c r="CQ503" s="27" t="s">
        <v>8</v>
      </c>
      <c r="CR503" s="27" t="s">
        <v>7</v>
      </c>
      <c r="CS503" s="27" t="s">
        <v>8</v>
      </c>
      <c r="CU503" s="27" t="s">
        <v>8</v>
      </c>
      <c r="CV503" s="27" t="s">
        <v>7</v>
      </c>
      <c r="CW503" s="27" t="s">
        <v>8</v>
      </c>
      <c r="CX503" s="27" t="s">
        <v>7</v>
      </c>
      <c r="CY503" s="27" t="s">
        <v>8</v>
      </c>
      <c r="CZ503" s="27" t="s">
        <v>7</v>
      </c>
      <c r="FI503" s="27" t="s">
        <v>8</v>
      </c>
      <c r="FJ503" s="27" t="s">
        <v>7</v>
      </c>
    </row>
    <row r="504" spans="1:166" x14ac:dyDescent="0.25">
      <c r="A504" s="7">
        <v>5.1738550359627435</v>
      </c>
      <c r="B504"/>
      <c r="C504"/>
      <c r="D504"/>
      <c r="E504"/>
      <c r="BU504" s="27" t="s">
        <v>8</v>
      </c>
      <c r="BV504" s="27" t="s">
        <v>7</v>
      </c>
      <c r="BW504" s="27" t="s">
        <v>8</v>
      </c>
      <c r="BX504" s="27" t="s">
        <v>7</v>
      </c>
      <c r="BY504" s="27" t="s">
        <v>8</v>
      </c>
      <c r="BZ504" s="27" t="s">
        <v>7</v>
      </c>
      <c r="CA504" s="27" t="s">
        <v>8</v>
      </c>
      <c r="CB504" s="27" t="s">
        <v>7</v>
      </c>
      <c r="CC504" s="27" t="s">
        <v>8</v>
      </c>
      <c r="CH504" s="27" t="s">
        <v>7</v>
      </c>
      <c r="CI504" s="27" t="s">
        <v>8</v>
      </c>
      <c r="CJ504" s="27" t="s">
        <v>7</v>
      </c>
      <c r="CK504" s="27" t="s">
        <v>8</v>
      </c>
      <c r="CO504" s="27" t="s">
        <v>8</v>
      </c>
      <c r="CP504" s="27" t="s">
        <v>7</v>
      </c>
      <c r="CQ504" s="27" t="s">
        <v>8</v>
      </c>
      <c r="CR504" s="27" t="s">
        <v>7</v>
      </c>
      <c r="CS504" s="27" t="s">
        <v>8</v>
      </c>
      <c r="CT504" s="27" t="s">
        <v>7</v>
      </c>
      <c r="CU504" s="27" t="s">
        <v>8</v>
      </c>
      <c r="CV504" s="27" t="s">
        <v>7</v>
      </c>
      <c r="CW504" s="27" t="s">
        <v>8</v>
      </c>
      <c r="CX504" s="27" t="s">
        <v>7</v>
      </c>
      <c r="CY504" s="27" t="s">
        <v>8</v>
      </c>
      <c r="CZ504" s="27" t="s">
        <v>7</v>
      </c>
      <c r="FI504" s="27" t="s">
        <v>8</v>
      </c>
      <c r="FJ504" s="27" t="s">
        <v>7</v>
      </c>
    </row>
    <row r="505" spans="1:166" x14ac:dyDescent="0.25">
      <c r="A505" s="7">
        <v>5.07240689800269</v>
      </c>
      <c r="B505"/>
      <c r="C505"/>
      <c r="D505"/>
      <c r="E505"/>
      <c r="BO505" s="27" t="s">
        <v>8</v>
      </c>
      <c r="BU505" s="27" t="s">
        <v>8</v>
      </c>
      <c r="BV505" s="27" t="s">
        <v>7</v>
      </c>
      <c r="BW505" s="27" t="s">
        <v>8</v>
      </c>
      <c r="BX505" s="27" t="s">
        <v>7</v>
      </c>
      <c r="BZ505" s="27" t="s">
        <v>7</v>
      </c>
      <c r="CB505" s="27" t="s">
        <v>7</v>
      </c>
      <c r="CC505" s="27" t="s">
        <v>8</v>
      </c>
      <c r="CH505" s="27" t="s">
        <v>7</v>
      </c>
      <c r="CI505" s="27" t="s">
        <v>8</v>
      </c>
      <c r="CJ505" s="27" t="s">
        <v>7</v>
      </c>
      <c r="CK505" s="27" t="s">
        <v>8</v>
      </c>
      <c r="CL505" s="27" t="s">
        <v>7</v>
      </c>
      <c r="CO505" s="27" t="s">
        <v>8</v>
      </c>
      <c r="CP505" s="27" t="s">
        <v>7</v>
      </c>
      <c r="CQ505" s="27" t="s">
        <v>8</v>
      </c>
      <c r="CR505" s="27" t="s">
        <v>7</v>
      </c>
      <c r="CS505" s="27" t="s">
        <v>8</v>
      </c>
      <c r="CT505" s="27" t="s">
        <v>7</v>
      </c>
      <c r="CU505" s="27" t="s">
        <v>8</v>
      </c>
      <c r="CV505" s="27" t="s">
        <v>7</v>
      </c>
      <c r="CW505" s="27" t="s">
        <v>8</v>
      </c>
      <c r="CX505" s="27" t="s">
        <v>7</v>
      </c>
      <c r="CY505" s="27" t="s">
        <v>8</v>
      </c>
      <c r="CZ505" s="27" t="s">
        <v>7</v>
      </c>
      <c r="FI505" s="27" t="s">
        <v>8</v>
      </c>
      <c r="FJ505" s="27" t="s">
        <v>7</v>
      </c>
    </row>
    <row r="506" spans="1:166" x14ac:dyDescent="0.25">
      <c r="A506" s="7">
        <v>4.9729479392183231</v>
      </c>
      <c r="B506"/>
      <c r="C506"/>
      <c r="D506"/>
      <c r="E506"/>
      <c r="BO506" s="27" t="s">
        <v>8</v>
      </c>
      <c r="BP506" s="27" t="s">
        <v>7</v>
      </c>
      <c r="BU506" s="27" t="s">
        <v>8</v>
      </c>
      <c r="BV506" s="27" t="s">
        <v>7</v>
      </c>
      <c r="CB506" s="27" t="s">
        <v>7</v>
      </c>
      <c r="CC506" s="27" t="s">
        <v>8</v>
      </c>
      <c r="CH506" s="27" t="s">
        <v>7</v>
      </c>
      <c r="CI506" s="27" t="s">
        <v>8</v>
      </c>
      <c r="CJ506" s="27" t="s">
        <v>7</v>
      </c>
      <c r="CK506" s="27" t="s">
        <v>8</v>
      </c>
      <c r="CL506" s="27" t="s">
        <v>7</v>
      </c>
      <c r="CO506" s="27" t="s">
        <v>8</v>
      </c>
      <c r="CP506" s="27" t="s">
        <v>7</v>
      </c>
      <c r="CQ506" s="27" t="s">
        <v>8</v>
      </c>
      <c r="CR506" s="27" t="s">
        <v>7</v>
      </c>
      <c r="CS506" s="27" t="s">
        <v>8</v>
      </c>
      <c r="CT506" s="27" t="s">
        <v>7</v>
      </c>
      <c r="CU506" s="27" t="s">
        <v>8</v>
      </c>
      <c r="CV506" s="27" t="s">
        <v>7</v>
      </c>
      <c r="CW506" s="27" t="s">
        <v>8</v>
      </c>
      <c r="CX506" s="27" t="s">
        <v>7</v>
      </c>
      <c r="CY506" s="27" t="s">
        <v>8</v>
      </c>
      <c r="CZ506" s="27" t="s">
        <v>7</v>
      </c>
      <c r="FI506" s="27" t="s">
        <v>8</v>
      </c>
      <c r="FJ506" s="27" t="s">
        <v>7</v>
      </c>
    </row>
    <row r="507" spans="1:166" x14ac:dyDescent="0.25">
      <c r="A507" s="7">
        <v>4.8754391560963954</v>
      </c>
      <c r="B507"/>
      <c r="C507"/>
      <c r="D507"/>
      <c r="E507"/>
      <c r="BO507" s="27" t="s">
        <v>8</v>
      </c>
      <c r="BP507" s="27" t="s">
        <v>7</v>
      </c>
      <c r="BQ507" s="27" t="s">
        <v>8</v>
      </c>
      <c r="BU507" s="27" t="s">
        <v>8</v>
      </c>
      <c r="CB507" s="27" t="s">
        <v>7</v>
      </c>
      <c r="CC507" s="27" t="s">
        <v>8</v>
      </c>
      <c r="CH507" s="27" t="s">
        <v>7</v>
      </c>
      <c r="CI507" s="27" t="s">
        <v>8</v>
      </c>
      <c r="CJ507" s="27" t="s">
        <v>7</v>
      </c>
      <c r="CK507" s="27" t="s">
        <v>8</v>
      </c>
      <c r="CL507" s="27" t="s">
        <v>7</v>
      </c>
      <c r="CO507" s="27" t="s">
        <v>8</v>
      </c>
      <c r="CP507" s="27" t="s">
        <v>7</v>
      </c>
      <c r="CQ507" s="27" t="s">
        <v>8</v>
      </c>
      <c r="CR507" s="27" t="s">
        <v>7</v>
      </c>
      <c r="CT507" s="27" t="s">
        <v>7</v>
      </c>
      <c r="CU507" s="27" t="s">
        <v>8</v>
      </c>
      <c r="CV507" s="27" t="s">
        <v>7</v>
      </c>
      <c r="CW507" s="27" t="s">
        <v>8</v>
      </c>
      <c r="CX507" s="27" t="s">
        <v>7</v>
      </c>
      <c r="CY507" s="27" t="s">
        <v>8</v>
      </c>
      <c r="CZ507" s="27" t="s">
        <v>7</v>
      </c>
      <c r="FI507" s="27" t="s">
        <v>8</v>
      </c>
      <c r="FJ507" s="27" t="s">
        <v>7</v>
      </c>
    </row>
    <row r="508" spans="1:166" x14ac:dyDescent="0.25">
      <c r="A508" s="7">
        <v>4.7798423098984264</v>
      </c>
      <c r="B508"/>
      <c r="C508"/>
      <c r="D508"/>
      <c r="E508"/>
      <c r="BO508" s="27" t="s">
        <v>8</v>
      </c>
      <c r="BP508" s="27" t="s">
        <v>7</v>
      </c>
      <c r="BQ508" s="27" t="s">
        <v>8</v>
      </c>
      <c r="BR508" s="27" t="s">
        <v>7</v>
      </c>
      <c r="BU508" s="27" t="s">
        <v>8</v>
      </c>
      <c r="CB508" s="27" t="s">
        <v>7</v>
      </c>
      <c r="CH508" s="27" t="s">
        <v>7</v>
      </c>
      <c r="CI508" s="27" t="s">
        <v>8</v>
      </c>
      <c r="CJ508" s="27" t="s">
        <v>7</v>
      </c>
      <c r="CK508" s="27" t="s">
        <v>8</v>
      </c>
      <c r="CL508" s="27" t="s">
        <v>7</v>
      </c>
      <c r="CO508" s="27" t="s">
        <v>8</v>
      </c>
      <c r="CP508" s="27" t="s">
        <v>7</v>
      </c>
      <c r="CQ508" s="27" t="s">
        <v>8</v>
      </c>
      <c r="CT508" s="27" t="s">
        <v>7</v>
      </c>
      <c r="CV508" s="27" t="s">
        <v>7</v>
      </c>
      <c r="CW508" s="27" t="s">
        <v>8</v>
      </c>
      <c r="CX508" s="27" t="s">
        <v>7</v>
      </c>
      <c r="CY508" s="27" t="s">
        <v>8</v>
      </c>
      <c r="CZ508" s="27" t="s">
        <v>7</v>
      </c>
      <c r="FI508" s="27" t="s">
        <v>8</v>
      </c>
      <c r="FJ508" s="27" t="s">
        <v>7</v>
      </c>
    </row>
    <row r="509" spans="1:166" x14ac:dyDescent="0.25">
      <c r="A509" s="7">
        <v>4.6861199116651235</v>
      </c>
      <c r="B509"/>
      <c r="C509"/>
      <c r="D509"/>
      <c r="E509"/>
      <c r="BO509" s="27" t="s">
        <v>8</v>
      </c>
      <c r="BP509" s="27" t="s">
        <v>7</v>
      </c>
      <c r="BQ509" s="27" t="s">
        <v>8</v>
      </c>
      <c r="BR509" s="27" t="s">
        <v>7</v>
      </c>
      <c r="BS509" s="27" t="s">
        <v>8</v>
      </c>
      <c r="BU509" s="27" t="s">
        <v>8</v>
      </c>
      <c r="CH509" s="27" t="s">
        <v>7</v>
      </c>
      <c r="CI509" s="27" t="s">
        <v>8</v>
      </c>
      <c r="CJ509" s="27" t="s">
        <v>7</v>
      </c>
      <c r="CK509" s="27" t="s">
        <v>8</v>
      </c>
      <c r="CL509" s="27" t="s">
        <v>7</v>
      </c>
      <c r="CO509" s="27" t="s">
        <v>8</v>
      </c>
      <c r="CP509" s="27" t="s">
        <v>7</v>
      </c>
      <c r="CV509" s="27" t="s">
        <v>7</v>
      </c>
      <c r="CX509" s="27" t="s">
        <v>7</v>
      </c>
      <c r="CZ509" s="27" t="s">
        <v>7</v>
      </c>
      <c r="FI509" s="27" t="s">
        <v>8</v>
      </c>
      <c r="FJ509" s="27" t="s">
        <v>7</v>
      </c>
    </row>
    <row r="510" spans="1:166" x14ac:dyDescent="0.25">
      <c r="A510" s="7">
        <v>4.5942352075148269</v>
      </c>
      <c r="B510"/>
      <c r="C510"/>
      <c r="D510"/>
      <c r="E510"/>
      <c r="BO510" s="27" t="s">
        <v>8</v>
      </c>
      <c r="BP510" s="27" t="s">
        <v>7</v>
      </c>
      <c r="BQ510" s="27" t="s">
        <v>8</v>
      </c>
      <c r="BR510" s="27" t="s">
        <v>7</v>
      </c>
      <c r="BS510" s="27" t="s">
        <v>8</v>
      </c>
      <c r="BT510" s="27" t="s">
        <v>7</v>
      </c>
      <c r="BU510" s="27" t="s">
        <v>8</v>
      </c>
      <c r="CH510" s="27" t="s">
        <v>7</v>
      </c>
      <c r="CI510" s="27" t="s">
        <v>8</v>
      </c>
      <c r="CJ510" s="27" t="s">
        <v>7</v>
      </c>
      <c r="CK510" s="27" t="s">
        <v>8</v>
      </c>
      <c r="CL510" s="27" t="s">
        <v>7</v>
      </c>
      <c r="CO510" s="27" t="s">
        <v>8</v>
      </c>
      <c r="CZ510" s="27" t="s">
        <v>7</v>
      </c>
      <c r="DA510" s="27" t="s">
        <v>8</v>
      </c>
      <c r="FI510" s="27" t="s">
        <v>8</v>
      </c>
      <c r="FJ510" s="27" t="s">
        <v>7</v>
      </c>
    </row>
    <row r="511" spans="1:166" x14ac:dyDescent="0.25">
      <c r="A511" s="7">
        <v>4.5041521642302227</v>
      </c>
      <c r="B511"/>
      <c r="C511"/>
      <c r="D511"/>
      <c r="E511"/>
      <c r="BO511" s="27" t="s">
        <v>8</v>
      </c>
      <c r="BP511" s="27" t="s">
        <v>7</v>
      </c>
      <c r="BQ511" s="27" t="s">
        <v>8</v>
      </c>
      <c r="BR511" s="27" t="s">
        <v>7</v>
      </c>
      <c r="BS511" s="27" t="s">
        <v>8</v>
      </c>
      <c r="BT511" s="27" t="s">
        <v>7</v>
      </c>
      <c r="BU511" s="27" t="s">
        <v>8</v>
      </c>
      <c r="CH511" s="27" t="s">
        <v>7</v>
      </c>
      <c r="CJ511" s="27" t="s">
        <v>7</v>
      </c>
      <c r="CL511" s="27" t="s">
        <v>7</v>
      </c>
      <c r="CO511" s="27" t="s">
        <v>8</v>
      </c>
      <c r="CZ511" s="27" t="s">
        <v>7</v>
      </c>
      <c r="DA511" s="27" t="s">
        <v>8</v>
      </c>
      <c r="DB511" s="27" t="s">
        <v>7</v>
      </c>
      <c r="FI511" s="27" t="s">
        <v>8</v>
      </c>
      <c r="FJ511" s="27" t="s">
        <v>7</v>
      </c>
    </row>
    <row r="512" spans="1:166" x14ac:dyDescent="0.25">
      <c r="A512" s="7">
        <v>4.4158354551276693</v>
      </c>
      <c r="B512"/>
      <c r="C512"/>
      <c r="D512"/>
      <c r="E512"/>
      <c r="BM512" s="27" t="s">
        <v>8</v>
      </c>
      <c r="BO512" s="27" t="s">
        <v>8</v>
      </c>
      <c r="BP512" s="27" t="s">
        <v>7</v>
      </c>
      <c r="BR512" s="27" t="s">
        <v>7</v>
      </c>
      <c r="BS512" s="27" t="s">
        <v>8</v>
      </c>
      <c r="BT512" s="27" t="s">
        <v>7</v>
      </c>
      <c r="BU512" s="27" t="s">
        <v>8</v>
      </c>
      <c r="CL512" s="27" t="s">
        <v>7</v>
      </c>
      <c r="CO512" s="27" t="s">
        <v>8</v>
      </c>
      <c r="CZ512" s="27" t="s">
        <v>7</v>
      </c>
      <c r="DA512" s="27" t="s">
        <v>8</v>
      </c>
      <c r="DB512" s="27" t="s">
        <v>7</v>
      </c>
      <c r="FI512" s="27" t="s">
        <v>8</v>
      </c>
      <c r="FJ512" s="27" t="s">
        <v>7</v>
      </c>
    </row>
    <row r="513" spans="1:184" x14ac:dyDescent="0.25">
      <c r="A513" s="7">
        <v>4.3292504462035977</v>
      </c>
      <c r="B513"/>
      <c r="C513"/>
      <c r="D513"/>
      <c r="E513"/>
      <c r="BM513" s="27" t="s">
        <v>8</v>
      </c>
      <c r="BN513" s="27" t="s">
        <v>7</v>
      </c>
      <c r="BO513" s="27" t="s">
        <v>8</v>
      </c>
      <c r="BR513" s="27" t="s">
        <v>7</v>
      </c>
      <c r="BS513" s="27" t="s">
        <v>8</v>
      </c>
      <c r="BT513" s="27" t="s">
        <v>7</v>
      </c>
      <c r="BU513" s="27" t="s">
        <v>8</v>
      </c>
      <c r="CL513" s="27" t="s">
        <v>7</v>
      </c>
      <c r="CO513" s="27" t="s">
        <v>8</v>
      </c>
      <c r="CZ513" s="27" t="s">
        <v>7</v>
      </c>
      <c r="DA513" s="27" t="s">
        <v>8</v>
      </c>
      <c r="DB513" s="27" t="s">
        <v>7</v>
      </c>
      <c r="FI513" s="27" t="s">
        <v>8</v>
      </c>
      <c r="FJ513" s="27" t="s">
        <v>7</v>
      </c>
    </row>
    <row r="514" spans="1:184" x14ac:dyDescent="0.25">
      <c r="A514" s="7">
        <v>4.2443631825525463</v>
      </c>
      <c r="B514"/>
      <c r="C514"/>
      <c r="D514"/>
      <c r="E514"/>
      <c r="BI514" s="27" t="s">
        <v>8</v>
      </c>
      <c r="BM514" s="27" t="s">
        <v>8</v>
      </c>
      <c r="BN514" s="27" t="s">
        <v>7</v>
      </c>
      <c r="BO514" s="27" t="s">
        <v>8</v>
      </c>
      <c r="BR514" s="27" t="s">
        <v>7</v>
      </c>
      <c r="BS514" s="27" t="s">
        <v>8</v>
      </c>
      <c r="BT514" s="27" t="s">
        <v>7</v>
      </c>
      <c r="BU514" s="27" t="s">
        <v>8</v>
      </c>
      <c r="CL514" s="27" t="s">
        <v>7</v>
      </c>
      <c r="CO514" s="27" t="s">
        <v>8</v>
      </c>
      <c r="CZ514" s="27" t="s">
        <v>7</v>
      </c>
      <c r="DA514" s="27" t="s">
        <v>8</v>
      </c>
      <c r="DB514" s="27" t="s">
        <v>7</v>
      </c>
      <c r="FI514" s="27" t="s">
        <v>8</v>
      </c>
      <c r="FJ514" s="27" t="s">
        <v>7</v>
      </c>
      <c r="FK514" s="27" t="s">
        <v>8</v>
      </c>
    </row>
    <row r="515" spans="1:184" x14ac:dyDescent="0.25">
      <c r="A515" s="7">
        <v>4.1611403750515157</v>
      </c>
      <c r="B515"/>
      <c r="C515"/>
      <c r="D515"/>
      <c r="E515"/>
      <c r="BI515" s="27" t="s">
        <v>8</v>
      </c>
      <c r="BJ515" s="27" t="s">
        <v>7</v>
      </c>
      <c r="BK515" s="27" t="s">
        <v>8</v>
      </c>
      <c r="BM515" s="27" t="s">
        <v>8</v>
      </c>
      <c r="BN515" s="27" t="s">
        <v>7</v>
      </c>
      <c r="BO515" s="27" t="s">
        <v>8</v>
      </c>
      <c r="BR515" s="27" t="s">
        <v>7</v>
      </c>
      <c r="BS515" s="27" t="s">
        <v>8</v>
      </c>
      <c r="BT515" s="27" t="s">
        <v>7</v>
      </c>
      <c r="BU515" s="27" t="s">
        <v>8</v>
      </c>
      <c r="CL515" s="27" t="s">
        <v>7</v>
      </c>
      <c r="CM515" s="27" t="s">
        <v>8</v>
      </c>
      <c r="CO515" s="27" t="s">
        <v>8</v>
      </c>
      <c r="CZ515" s="27" t="s">
        <v>7</v>
      </c>
      <c r="DA515" s="27" t="s">
        <v>8</v>
      </c>
      <c r="DB515" s="27" t="s">
        <v>7</v>
      </c>
      <c r="FI515" s="27" t="s">
        <v>8</v>
      </c>
      <c r="FJ515" s="27" t="s">
        <v>7</v>
      </c>
      <c r="FK515" s="27" t="s">
        <v>8</v>
      </c>
      <c r="FL515" s="27" t="s">
        <v>7</v>
      </c>
    </row>
    <row r="516" spans="1:184" x14ac:dyDescent="0.25">
      <c r="A516" s="7">
        <v>4.0795493873054074</v>
      </c>
      <c r="B516"/>
      <c r="C516"/>
      <c r="D516"/>
      <c r="E516"/>
      <c r="BI516" s="27" t="s">
        <v>8</v>
      </c>
      <c r="BJ516" s="27" t="s">
        <v>7</v>
      </c>
      <c r="BK516" s="27" t="s">
        <v>8</v>
      </c>
      <c r="BL516" s="27" t="s">
        <v>7</v>
      </c>
      <c r="BM516" s="27" t="s">
        <v>8</v>
      </c>
      <c r="BN516" s="27" t="s">
        <v>7</v>
      </c>
      <c r="BO516" s="27" t="s">
        <v>8</v>
      </c>
      <c r="BR516" s="27" t="s">
        <v>7</v>
      </c>
      <c r="BT516" s="27" t="s">
        <v>7</v>
      </c>
      <c r="BU516" s="27" t="s">
        <v>8</v>
      </c>
      <c r="CL516" s="27" t="s">
        <v>7</v>
      </c>
      <c r="CM516" s="27" t="s">
        <v>8</v>
      </c>
      <c r="CN516" s="27" t="s">
        <v>7</v>
      </c>
      <c r="CO516" s="27" t="s">
        <v>8</v>
      </c>
      <c r="CZ516" s="27" t="s">
        <v>7</v>
      </c>
      <c r="DB516" s="27" t="s">
        <v>7</v>
      </c>
      <c r="FI516" s="27" t="s">
        <v>8</v>
      </c>
      <c r="FJ516" s="27" t="s">
        <v>7</v>
      </c>
      <c r="FK516" s="27" t="s">
        <v>8</v>
      </c>
      <c r="FL516" s="27" t="s">
        <v>7</v>
      </c>
    </row>
    <row r="517" spans="1:184" x14ac:dyDescent="0.25">
      <c r="A517" s="7">
        <v>3.9995582228484383</v>
      </c>
      <c r="B517"/>
      <c r="C517"/>
      <c r="D517"/>
      <c r="E517"/>
      <c r="BI517" s="27" t="s">
        <v>8</v>
      </c>
      <c r="BJ517" s="27" t="s">
        <v>7</v>
      </c>
      <c r="BK517" s="27" t="s">
        <v>8</v>
      </c>
      <c r="BL517" s="27" t="s">
        <v>7</v>
      </c>
      <c r="BM517" s="27" t="s">
        <v>8</v>
      </c>
      <c r="BN517" s="27" t="s">
        <v>7</v>
      </c>
      <c r="BO517" s="27" t="s">
        <v>8</v>
      </c>
      <c r="BT517" s="27" t="s">
        <v>7</v>
      </c>
      <c r="BU517" s="27" t="s">
        <v>8</v>
      </c>
      <c r="CL517" s="27" t="s">
        <v>7</v>
      </c>
      <c r="CM517" s="27" t="s">
        <v>8</v>
      </c>
      <c r="CN517" s="27" t="s">
        <v>7</v>
      </c>
      <c r="CO517" s="27" t="s">
        <v>8</v>
      </c>
      <c r="DB517" s="27" t="s">
        <v>7</v>
      </c>
      <c r="FI517" s="27" t="s">
        <v>8</v>
      </c>
      <c r="FJ517" s="27" t="s">
        <v>7</v>
      </c>
      <c r="FK517" s="27" t="s">
        <v>8</v>
      </c>
      <c r="FL517" s="27" t="s">
        <v>7</v>
      </c>
    </row>
    <row r="518" spans="1:184" x14ac:dyDescent="0.25">
      <c r="A518" s="7">
        <v>3.9211355125965079</v>
      </c>
      <c r="B518"/>
      <c r="C518"/>
      <c r="D518"/>
      <c r="E518"/>
      <c r="BI518" s="27" t="s">
        <v>8</v>
      </c>
      <c r="BJ518" s="27" t="s">
        <v>7</v>
      </c>
      <c r="BK518" s="27" t="s">
        <v>8</v>
      </c>
      <c r="BL518" s="27" t="s">
        <v>7</v>
      </c>
      <c r="BM518" s="27" t="s">
        <v>8</v>
      </c>
      <c r="BN518" s="27" t="s">
        <v>7</v>
      </c>
      <c r="BO518" s="27" t="s">
        <v>8</v>
      </c>
      <c r="BT518" s="27" t="s">
        <v>7</v>
      </c>
      <c r="CL518" s="27" t="s">
        <v>7</v>
      </c>
      <c r="CM518" s="27" t="s">
        <v>8</v>
      </c>
      <c r="CN518" s="27" t="s">
        <v>7</v>
      </c>
      <c r="CO518" s="27" t="s">
        <v>8</v>
      </c>
      <c r="DB518" s="27" t="s">
        <v>7</v>
      </c>
      <c r="DC518" s="27" t="s">
        <v>8</v>
      </c>
      <c r="FC518" s="27" t="s">
        <v>8</v>
      </c>
      <c r="FI518" s="27" t="s">
        <v>8</v>
      </c>
      <c r="FJ518" s="27" t="s">
        <v>7</v>
      </c>
      <c r="FK518" s="27" t="s">
        <v>8</v>
      </c>
      <c r="FL518" s="27" t="s">
        <v>7</v>
      </c>
      <c r="FM518" s="27" t="s">
        <v>8</v>
      </c>
    </row>
    <row r="519" spans="1:184" x14ac:dyDescent="0.25">
      <c r="A519" s="7">
        <v>3.844250502545596</v>
      </c>
      <c r="B519"/>
      <c r="C519"/>
      <c r="D519"/>
      <c r="E519"/>
      <c r="BI519" s="27" t="s">
        <v>8</v>
      </c>
      <c r="BJ519" s="27" t="s">
        <v>7</v>
      </c>
      <c r="BK519" s="27" t="s">
        <v>8</v>
      </c>
      <c r="BL519" s="27" t="s">
        <v>7</v>
      </c>
      <c r="BM519" s="27" t="s">
        <v>8</v>
      </c>
      <c r="BN519" s="27" t="s">
        <v>7</v>
      </c>
      <c r="CL519" s="27" t="s">
        <v>7</v>
      </c>
      <c r="CM519" s="27" t="s">
        <v>8</v>
      </c>
      <c r="CN519" s="27" t="s">
        <v>7</v>
      </c>
      <c r="CO519" s="27" t="s">
        <v>8</v>
      </c>
      <c r="DB519" s="27" t="s">
        <v>7</v>
      </c>
      <c r="DC519" s="27" t="s">
        <v>8</v>
      </c>
      <c r="DD519" s="27" t="s">
        <v>7</v>
      </c>
      <c r="DO519" s="27" t="s">
        <v>8</v>
      </c>
      <c r="FC519" s="27" t="s">
        <v>8</v>
      </c>
      <c r="FD519" s="27" t="s">
        <v>7</v>
      </c>
      <c r="FG519" s="27" t="s">
        <v>8</v>
      </c>
      <c r="FI519" s="27" t="s">
        <v>8</v>
      </c>
      <c r="FJ519" s="27" t="s">
        <v>7</v>
      </c>
      <c r="FK519" s="27" t="s">
        <v>8</v>
      </c>
      <c r="FL519" s="27" t="s">
        <v>7</v>
      </c>
      <c r="FM519" s="27" t="s">
        <v>8</v>
      </c>
      <c r="FN519" s="27" t="s">
        <v>7</v>
      </c>
    </row>
    <row r="520" spans="1:184" x14ac:dyDescent="0.25">
      <c r="A520" s="7">
        <v>3.7688730417113687</v>
      </c>
      <c r="B520"/>
      <c r="C520"/>
      <c r="D520"/>
      <c r="E520"/>
      <c r="BI520" s="27" t="s">
        <v>8</v>
      </c>
      <c r="BJ520" s="27" t="s">
        <v>7</v>
      </c>
      <c r="BK520" s="27" t="s">
        <v>8</v>
      </c>
      <c r="BL520" s="27" t="s">
        <v>7</v>
      </c>
      <c r="BM520" s="27" t="s">
        <v>8</v>
      </c>
      <c r="CL520" s="27" t="s">
        <v>7</v>
      </c>
      <c r="CM520" s="27" t="s">
        <v>8</v>
      </c>
      <c r="CN520" s="27" t="s">
        <v>7</v>
      </c>
      <c r="CO520" s="27" t="s">
        <v>8</v>
      </c>
      <c r="DB520" s="27" t="s">
        <v>7</v>
      </c>
      <c r="DC520" s="27" t="s">
        <v>8</v>
      </c>
      <c r="DD520" s="27" t="s">
        <v>7</v>
      </c>
      <c r="DO520" s="27" t="s">
        <v>8</v>
      </c>
      <c r="DP520" s="27" t="s">
        <v>7</v>
      </c>
      <c r="FC520" s="27" t="s">
        <v>8</v>
      </c>
      <c r="FD520" s="27" t="s">
        <v>7</v>
      </c>
      <c r="FG520" s="27" t="s">
        <v>8</v>
      </c>
      <c r="FH520" s="27" t="s">
        <v>7</v>
      </c>
      <c r="FI520" s="27" t="s">
        <v>8</v>
      </c>
      <c r="FJ520" s="27" t="s">
        <v>7</v>
      </c>
      <c r="FK520" s="27" t="s">
        <v>8</v>
      </c>
      <c r="FL520" s="27" t="s">
        <v>7</v>
      </c>
      <c r="FM520" s="27" t="s">
        <v>8</v>
      </c>
      <c r="FN520" s="27" t="s">
        <v>7</v>
      </c>
    </row>
    <row r="521" spans="1:184" x14ac:dyDescent="0.25">
      <c r="A521" s="7">
        <v>3.6949735703052635</v>
      </c>
      <c r="B521"/>
      <c r="C521"/>
      <c r="D521"/>
      <c r="E521"/>
      <c r="BI521" s="27" t="s">
        <v>8</v>
      </c>
      <c r="BJ521" s="27" t="s">
        <v>7</v>
      </c>
      <c r="BK521" s="27" t="s">
        <v>8</v>
      </c>
      <c r="BL521" s="27" t="s">
        <v>7</v>
      </c>
      <c r="BM521" s="27" t="s">
        <v>8</v>
      </c>
      <c r="CL521" s="27" t="s">
        <v>7</v>
      </c>
      <c r="CM521" s="27" t="s">
        <v>8</v>
      </c>
      <c r="CN521" s="27" t="s">
        <v>7</v>
      </c>
      <c r="CO521" s="27" t="s">
        <v>8</v>
      </c>
      <c r="DB521" s="27" t="s">
        <v>7</v>
      </c>
      <c r="DC521" s="27" t="s">
        <v>8</v>
      </c>
      <c r="DD521" s="27" t="s">
        <v>7</v>
      </c>
      <c r="DO521" s="27" t="s">
        <v>8</v>
      </c>
      <c r="DP521" s="27" t="s">
        <v>7</v>
      </c>
      <c r="FC521" s="27" t="s">
        <v>8</v>
      </c>
      <c r="FD521" s="27" t="s">
        <v>7</v>
      </c>
      <c r="FE521" s="27" t="s">
        <v>8</v>
      </c>
      <c r="FG521" s="27" t="s">
        <v>8</v>
      </c>
      <c r="FH521" s="27" t="s">
        <v>7</v>
      </c>
      <c r="FI521" s="27" t="s">
        <v>8</v>
      </c>
      <c r="FJ521" s="27" t="s">
        <v>7</v>
      </c>
      <c r="FK521" s="27" t="s">
        <v>8</v>
      </c>
      <c r="FL521" s="27" t="s">
        <v>7</v>
      </c>
      <c r="FM521" s="27" t="s">
        <v>8</v>
      </c>
      <c r="FN521" s="27" t="s">
        <v>7</v>
      </c>
    </row>
    <row r="522" spans="1:184" x14ac:dyDescent="0.25">
      <c r="A522" s="7">
        <v>3.6225231081424152</v>
      </c>
      <c r="B522"/>
      <c r="C522"/>
      <c r="D522"/>
      <c r="E522"/>
      <c r="BI522" s="27" t="s">
        <v>8</v>
      </c>
      <c r="BJ522" s="27" t="s">
        <v>7</v>
      </c>
      <c r="BK522" s="27" t="s">
        <v>8</v>
      </c>
      <c r="BL522" s="27" t="s">
        <v>7</v>
      </c>
      <c r="BM522" s="27" t="s">
        <v>8</v>
      </c>
      <c r="CL522" s="27" t="s">
        <v>7</v>
      </c>
      <c r="CM522" s="27" t="s">
        <v>8</v>
      </c>
      <c r="CN522" s="27" t="s">
        <v>7</v>
      </c>
      <c r="DB522" s="27" t="s">
        <v>7</v>
      </c>
      <c r="DC522" s="27" t="s">
        <v>8</v>
      </c>
      <c r="DD522" s="27" t="s">
        <v>7</v>
      </c>
      <c r="DO522" s="27" t="s">
        <v>8</v>
      </c>
      <c r="DP522" s="27" t="s">
        <v>7</v>
      </c>
      <c r="FC522" s="27" t="s">
        <v>8</v>
      </c>
      <c r="FD522" s="27" t="s">
        <v>7</v>
      </c>
      <c r="FE522" s="27" t="s">
        <v>8</v>
      </c>
      <c r="FF522" s="27" t="s">
        <v>7</v>
      </c>
      <c r="FG522" s="27" t="s">
        <v>8</v>
      </c>
      <c r="FH522" s="27" t="s">
        <v>7</v>
      </c>
      <c r="FI522" s="27" t="s">
        <v>8</v>
      </c>
      <c r="FJ522" s="27" t="s">
        <v>7</v>
      </c>
      <c r="FK522" s="27" t="s">
        <v>8</v>
      </c>
      <c r="FL522" s="27" t="s">
        <v>7</v>
      </c>
      <c r="FM522" s="27" t="s">
        <v>8</v>
      </c>
      <c r="FN522" s="27" t="s">
        <v>7</v>
      </c>
      <c r="FW522" s="27" t="s">
        <v>8</v>
      </c>
      <c r="FY522" s="27" t="s">
        <v>8</v>
      </c>
    </row>
    <row r="523" spans="1:184" x14ac:dyDescent="0.25">
      <c r="A523" s="7">
        <v>3.5514932432768775</v>
      </c>
      <c r="B523"/>
      <c r="C523"/>
      <c r="D523"/>
      <c r="E523"/>
      <c r="BI523" s="27" t="s">
        <v>8</v>
      </c>
      <c r="BJ523" s="27" t="s">
        <v>7</v>
      </c>
      <c r="BL523" s="27" t="s">
        <v>7</v>
      </c>
      <c r="CL523" s="27" t="s">
        <v>7</v>
      </c>
      <c r="CM523" s="27" t="s">
        <v>8</v>
      </c>
      <c r="DB523" s="27" t="s">
        <v>7</v>
      </c>
      <c r="DC523" s="27" t="s">
        <v>8</v>
      </c>
      <c r="DD523" s="27" t="s">
        <v>7</v>
      </c>
      <c r="DO523" s="27" t="s">
        <v>8</v>
      </c>
      <c r="DP523" s="27" t="s">
        <v>7</v>
      </c>
      <c r="FC523" s="27" t="s">
        <v>8</v>
      </c>
      <c r="FD523" s="27" t="s">
        <v>7</v>
      </c>
      <c r="FE523" s="27" t="s">
        <v>8</v>
      </c>
      <c r="FF523" s="27" t="s">
        <v>7</v>
      </c>
      <c r="FG523" s="27" t="s">
        <v>8</v>
      </c>
      <c r="FH523" s="27" t="s">
        <v>7</v>
      </c>
      <c r="FJ523" s="27" t="s">
        <v>7</v>
      </c>
      <c r="FK523" s="27" t="s">
        <v>8</v>
      </c>
      <c r="FL523" s="27" t="s">
        <v>7</v>
      </c>
      <c r="FM523" s="27" t="s">
        <v>8</v>
      </c>
      <c r="FN523" s="27" t="s">
        <v>7</v>
      </c>
      <c r="FW523" s="27" t="s">
        <v>8</v>
      </c>
      <c r="FX523" s="27" t="s">
        <v>7</v>
      </c>
      <c r="FY523" s="27" t="s">
        <v>8</v>
      </c>
      <c r="FZ523" s="27" t="s">
        <v>7</v>
      </c>
    </row>
    <row r="524" spans="1:184" x14ac:dyDescent="0.25">
      <c r="A524" s="7">
        <v>3.4818561208596837</v>
      </c>
      <c r="B524"/>
      <c r="C524"/>
      <c r="D524"/>
      <c r="E524"/>
      <c r="BC524" s="27" t="s">
        <v>8</v>
      </c>
      <c r="BI524" s="27" t="s">
        <v>8</v>
      </c>
      <c r="CL524" s="27" t="s">
        <v>7</v>
      </c>
      <c r="CM524" s="27" t="s">
        <v>8</v>
      </c>
      <c r="DB524" s="27" t="s">
        <v>7</v>
      </c>
      <c r="DC524" s="27" t="s">
        <v>8</v>
      </c>
      <c r="DD524" s="27" t="s">
        <v>7</v>
      </c>
      <c r="DO524" s="27" t="s">
        <v>8</v>
      </c>
      <c r="DP524" s="27" t="s">
        <v>7</v>
      </c>
      <c r="FC524" s="27" t="s">
        <v>8</v>
      </c>
      <c r="FD524" s="27" t="s">
        <v>7</v>
      </c>
      <c r="FE524" s="27" t="s">
        <v>8</v>
      </c>
      <c r="FF524" s="27" t="s">
        <v>7</v>
      </c>
      <c r="FJ524" s="27" t="s">
        <v>7</v>
      </c>
      <c r="FK524" s="27" t="s">
        <v>8</v>
      </c>
      <c r="FL524" s="27" t="s">
        <v>7</v>
      </c>
      <c r="FM524" s="27" t="s">
        <v>8</v>
      </c>
      <c r="FN524" s="27" t="s">
        <v>7</v>
      </c>
      <c r="FW524" s="27" t="s">
        <v>8</v>
      </c>
      <c r="FX524" s="27" t="s">
        <v>7</v>
      </c>
      <c r="FY524" s="27" t="s">
        <v>8</v>
      </c>
      <c r="FZ524" s="27" t="s">
        <v>7</v>
      </c>
    </row>
    <row r="525" spans="1:184" x14ac:dyDescent="0.25">
      <c r="A525" s="7">
        <v>3.4135844322153761</v>
      </c>
      <c r="B525"/>
      <c r="C525"/>
      <c r="D525"/>
      <c r="E525"/>
      <c r="BC525" s="27" t="s">
        <v>8</v>
      </c>
      <c r="BD525" s="27" t="s">
        <v>7</v>
      </c>
      <c r="BI525" s="27" t="s">
        <v>8</v>
      </c>
      <c r="CL525" s="27" t="s">
        <v>7</v>
      </c>
      <c r="CM525" s="27" t="s">
        <v>8</v>
      </c>
      <c r="DB525" s="27" t="s">
        <v>7</v>
      </c>
      <c r="DC525" s="27" t="s">
        <v>8</v>
      </c>
      <c r="DD525" s="27" t="s">
        <v>7</v>
      </c>
      <c r="DE525" s="27" t="s">
        <v>8</v>
      </c>
      <c r="DG525" s="27" t="s">
        <v>8</v>
      </c>
      <c r="DO525" s="27" t="s">
        <v>8</v>
      </c>
      <c r="DP525" s="27" t="s">
        <v>7</v>
      </c>
      <c r="FC525" s="27" t="s">
        <v>8</v>
      </c>
      <c r="FD525" s="27" t="s">
        <v>7</v>
      </c>
      <c r="FE525" s="27" t="s">
        <v>8</v>
      </c>
      <c r="FJ525" s="27" t="s">
        <v>7</v>
      </c>
      <c r="FK525" s="27" t="s">
        <v>8</v>
      </c>
      <c r="FL525" s="27" t="s">
        <v>7</v>
      </c>
      <c r="FN525" s="27" t="s">
        <v>7</v>
      </c>
      <c r="FU525" s="27" t="s">
        <v>8</v>
      </c>
      <c r="FW525" s="27" t="s">
        <v>8</v>
      </c>
      <c r="FX525" s="27" t="s">
        <v>7</v>
      </c>
      <c r="FY525" s="27" t="s">
        <v>8</v>
      </c>
      <c r="FZ525" s="27" t="s">
        <v>7</v>
      </c>
    </row>
    <row r="526" spans="1:184" x14ac:dyDescent="0.25">
      <c r="A526" s="7">
        <v>3.3466514041327216</v>
      </c>
      <c r="B526"/>
      <c r="C526"/>
      <c r="D526"/>
      <c r="E526"/>
      <c r="BC526" s="27" t="s">
        <v>8</v>
      </c>
      <c r="BD526" s="27" t="s">
        <v>7</v>
      </c>
      <c r="BI526" s="27" t="s">
        <v>8</v>
      </c>
      <c r="CL526" s="27" t="s">
        <v>7</v>
      </c>
      <c r="DB526" s="27" t="s">
        <v>7</v>
      </c>
      <c r="DC526" s="27" t="s">
        <v>8</v>
      </c>
      <c r="DD526" s="27" t="s">
        <v>7</v>
      </c>
      <c r="DE526" s="27" t="s">
        <v>8</v>
      </c>
      <c r="DF526" s="27" t="s">
        <v>7</v>
      </c>
      <c r="DG526" s="27" t="s">
        <v>8</v>
      </c>
      <c r="DH526" s="27" t="s">
        <v>7</v>
      </c>
      <c r="DI526" s="27" t="s">
        <v>8</v>
      </c>
      <c r="DO526" s="27" t="s">
        <v>8</v>
      </c>
      <c r="DP526" s="27" t="s">
        <v>7</v>
      </c>
      <c r="FC526" s="27" t="s">
        <v>8</v>
      </c>
      <c r="FD526" s="27" t="s">
        <v>7</v>
      </c>
      <c r="FJ526" s="27" t="s">
        <v>7</v>
      </c>
      <c r="FK526" s="27" t="s">
        <v>8</v>
      </c>
      <c r="FN526" s="27" t="s">
        <v>7</v>
      </c>
      <c r="FU526" s="27" t="s">
        <v>8</v>
      </c>
      <c r="FV526" s="27" t="s">
        <v>7</v>
      </c>
      <c r="FW526" s="27" t="s">
        <v>8</v>
      </c>
      <c r="FX526" s="27" t="s">
        <v>7</v>
      </c>
      <c r="FY526" s="27" t="s">
        <v>8</v>
      </c>
      <c r="FZ526" s="27" t="s">
        <v>7</v>
      </c>
      <c r="GA526" s="27" t="s">
        <v>8</v>
      </c>
    </row>
    <row r="527" spans="1:184" x14ac:dyDescent="0.25">
      <c r="A527" s="7">
        <v>3.2810307883654133</v>
      </c>
      <c r="B527"/>
      <c r="C527"/>
      <c r="D527"/>
      <c r="E527"/>
      <c r="BC527" s="27" t="s">
        <v>8</v>
      </c>
      <c r="BD527" s="27" t="s">
        <v>7</v>
      </c>
      <c r="BI527" s="27" t="s">
        <v>8</v>
      </c>
      <c r="DB527" s="27" t="s">
        <v>7</v>
      </c>
      <c r="DC527" s="27" t="s">
        <v>8</v>
      </c>
      <c r="DD527" s="27" t="s">
        <v>7</v>
      </c>
      <c r="DE527" s="27" t="s">
        <v>8</v>
      </c>
      <c r="DF527" s="27" t="s">
        <v>7</v>
      </c>
      <c r="DG527" s="27" t="s">
        <v>8</v>
      </c>
      <c r="DH527" s="27" t="s">
        <v>7</v>
      </c>
      <c r="DI527" s="27" t="s">
        <v>8</v>
      </c>
      <c r="DJ527" s="27" t="s">
        <v>7</v>
      </c>
      <c r="DO527" s="27" t="s">
        <v>8</v>
      </c>
      <c r="DP527" s="27" t="s">
        <v>7</v>
      </c>
      <c r="EU527" s="27" t="s">
        <v>8</v>
      </c>
      <c r="EW527" s="27" t="s">
        <v>8</v>
      </c>
      <c r="EY527" s="27" t="s">
        <v>8</v>
      </c>
      <c r="FC527" s="27" t="s">
        <v>8</v>
      </c>
      <c r="FJ527" s="27" t="s">
        <v>7</v>
      </c>
      <c r="FK527" s="27" t="s">
        <v>8</v>
      </c>
      <c r="FN527" s="27" t="s">
        <v>7</v>
      </c>
      <c r="FU527" s="27" t="s">
        <v>8</v>
      </c>
      <c r="FV527" s="27" t="s">
        <v>7</v>
      </c>
      <c r="FW527" s="27" t="s">
        <v>8</v>
      </c>
      <c r="FX527" s="27" t="s">
        <v>7</v>
      </c>
      <c r="FY527" s="27" t="s">
        <v>8</v>
      </c>
      <c r="FZ527" s="27" t="s">
        <v>7</v>
      </c>
      <c r="GA527" s="27" t="s">
        <v>8</v>
      </c>
      <c r="GB527" s="27" t="s">
        <v>7</v>
      </c>
    </row>
    <row r="528" spans="1:184" x14ac:dyDescent="0.25">
      <c r="A528" s="7">
        <v>3.2166968513386403</v>
      </c>
      <c r="B528"/>
      <c r="C528"/>
      <c r="D528"/>
      <c r="E528"/>
      <c r="BC528" s="27" t="s">
        <v>8</v>
      </c>
      <c r="BD528" s="27" t="s">
        <v>7</v>
      </c>
      <c r="BI528" s="27" t="s">
        <v>8</v>
      </c>
      <c r="DB528" s="27" t="s">
        <v>7</v>
      </c>
      <c r="DC528" s="27" t="s">
        <v>8</v>
      </c>
      <c r="DD528" s="27" t="s">
        <v>7</v>
      </c>
      <c r="DE528" s="27" t="s">
        <v>8</v>
      </c>
      <c r="DF528" s="27" t="s">
        <v>7</v>
      </c>
      <c r="DG528" s="27" t="s">
        <v>8</v>
      </c>
      <c r="DH528" s="27" t="s">
        <v>7</v>
      </c>
      <c r="DI528" s="27" t="s">
        <v>8</v>
      </c>
      <c r="DJ528" s="27" t="s">
        <v>7</v>
      </c>
      <c r="DO528" s="27" t="s">
        <v>8</v>
      </c>
      <c r="DP528" s="27" t="s">
        <v>7</v>
      </c>
      <c r="EU528" s="27" t="s">
        <v>8</v>
      </c>
      <c r="EV528" s="27" t="s">
        <v>7</v>
      </c>
      <c r="EW528" s="27" t="s">
        <v>8</v>
      </c>
      <c r="EX528" s="27" t="s">
        <v>7</v>
      </c>
      <c r="EY528" s="27" t="s">
        <v>8</v>
      </c>
      <c r="EZ528" s="27" t="s">
        <v>7</v>
      </c>
      <c r="FA528" s="27" t="s">
        <v>8</v>
      </c>
      <c r="FC528" s="27" t="s">
        <v>8</v>
      </c>
      <c r="FJ528" s="27" t="s">
        <v>7</v>
      </c>
      <c r="FN528" s="27" t="s">
        <v>7</v>
      </c>
      <c r="FQ528" s="27" t="s">
        <v>8</v>
      </c>
      <c r="FU528" s="27" t="s">
        <v>8</v>
      </c>
      <c r="FV528" s="27" t="s">
        <v>7</v>
      </c>
      <c r="FW528" s="27" t="s">
        <v>8</v>
      </c>
      <c r="FX528" s="27" t="s">
        <v>7</v>
      </c>
      <c r="FY528" s="27" t="s">
        <v>8</v>
      </c>
      <c r="FZ528" s="27" t="s">
        <v>7</v>
      </c>
      <c r="GA528" s="27" t="s">
        <v>8</v>
      </c>
      <c r="GB528" s="27" t="s">
        <v>7</v>
      </c>
    </row>
    <row r="529" spans="1:203" x14ac:dyDescent="0.25">
      <c r="A529" s="7">
        <v>3.1536243640574906</v>
      </c>
      <c r="B529"/>
      <c r="C529"/>
      <c r="D529"/>
      <c r="E529"/>
      <c r="BC529" s="27" t="s">
        <v>8</v>
      </c>
      <c r="BD529" s="27" t="s">
        <v>7</v>
      </c>
      <c r="BI529" s="27" t="s">
        <v>8</v>
      </c>
      <c r="DB529" s="27" t="s">
        <v>7</v>
      </c>
      <c r="DC529" s="27" t="s">
        <v>8</v>
      </c>
      <c r="DD529" s="27" t="s">
        <v>7</v>
      </c>
      <c r="DE529" s="27" t="s">
        <v>8</v>
      </c>
      <c r="DF529" s="27" t="s">
        <v>7</v>
      </c>
      <c r="DG529" s="27" t="s">
        <v>8</v>
      </c>
      <c r="DH529" s="27" t="s">
        <v>7</v>
      </c>
      <c r="DI529" s="27" t="s">
        <v>8</v>
      </c>
      <c r="DJ529" s="27" t="s">
        <v>7</v>
      </c>
      <c r="DO529" s="27" t="s">
        <v>8</v>
      </c>
      <c r="DP529" s="27" t="s">
        <v>7</v>
      </c>
      <c r="EU529" s="27" t="s">
        <v>8</v>
      </c>
      <c r="EV529" s="27" t="s">
        <v>7</v>
      </c>
      <c r="EW529" s="27" t="s">
        <v>8</v>
      </c>
      <c r="EX529" s="27" t="s">
        <v>7</v>
      </c>
      <c r="EY529" s="27" t="s">
        <v>8</v>
      </c>
      <c r="EZ529" s="27" t="s">
        <v>7</v>
      </c>
      <c r="FA529" s="27" t="s">
        <v>8</v>
      </c>
      <c r="FB529" s="27" t="s">
        <v>7</v>
      </c>
      <c r="FC529" s="27" t="s">
        <v>8</v>
      </c>
      <c r="FN529" s="27" t="s">
        <v>7</v>
      </c>
      <c r="FO529" s="27" t="s">
        <v>8</v>
      </c>
      <c r="FQ529" s="27" t="s">
        <v>8</v>
      </c>
      <c r="FR529" s="27" t="s">
        <v>7</v>
      </c>
      <c r="FS529" s="27" t="s">
        <v>8</v>
      </c>
      <c r="FU529" s="27" t="s">
        <v>8</v>
      </c>
      <c r="FV529" s="27" t="s">
        <v>7</v>
      </c>
      <c r="FW529" s="27" t="s">
        <v>8</v>
      </c>
      <c r="FX529" s="27" t="s">
        <v>7</v>
      </c>
      <c r="FY529" s="27" t="s">
        <v>8</v>
      </c>
      <c r="FZ529" s="27" t="s">
        <v>7</v>
      </c>
      <c r="GA529" s="27" t="s">
        <v>8</v>
      </c>
      <c r="GB529" s="27" t="s">
        <v>7</v>
      </c>
      <c r="GM529" s="27" t="s">
        <v>8</v>
      </c>
    </row>
    <row r="530" spans="1:203" x14ac:dyDescent="0.25">
      <c r="A530" s="7">
        <v>3.0917885922132262</v>
      </c>
      <c r="B530"/>
      <c r="C530"/>
      <c r="D530"/>
      <c r="E530"/>
      <c r="BC530" s="27" t="s">
        <v>8</v>
      </c>
      <c r="BD530" s="27" t="s">
        <v>7</v>
      </c>
      <c r="BI530" s="27" t="s">
        <v>8</v>
      </c>
      <c r="DB530" s="27" t="s">
        <v>7</v>
      </c>
      <c r="DC530" s="27" t="s">
        <v>8</v>
      </c>
      <c r="DD530" s="27" t="s">
        <v>7</v>
      </c>
      <c r="DE530" s="27" t="s">
        <v>8</v>
      </c>
      <c r="DF530" s="27" t="s">
        <v>7</v>
      </c>
      <c r="DG530" s="27" t="s">
        <v>8</v>
      </c>
      <c r="DH530" s="27" t="s">
        <v>7</v>
      </c>
      <c r="DI530" s="27" t="s">
        <v>8</v>
      </c>
      <c r="DJ530" s="27" t="s">
        <v>7</v>
      </c>
      <c r="DO530" s="27" t="s">
        <v>8</v>
      </c>
      <c r="DP530" s="27" t="s">
        <v>7</v>
      </c>
      <c r="EU530" s="27" t="s">
        <v>8</v>
      </c>
      <c r="EV530" s="27" t="s">
        <v>7</v>
      </c>
      <c r="EW530" s="27" t="s">
        <v>8</v>
      </c>
      <c r="EX530" s="27" t="s">
        <v>7</v>
      </c>
      <c r="EZ530" s="27" t="s">
        <v>7</v>
      </c>
      <c r="FA530" s="27" t="s">
        <v>8</v>
      </c>
      <c r="FB530" s="27" t="s">
        <v>7</v>
      </c>
      <c r="FC530" s="27" t="s">
        <v>8</v>
      </c>
      <c r="FN530" s="27" t="s">
        <v>7</v>
      </c>
      <c r="FO530" s="27" t="s">
        <v>8</v>
      </c>
      <c r="FP530" s="27" t="s">
        <v>7</v>
      </c>
      <c r="FQ530" s="27" t="s">
        <v>8</v>
      </c>
      <c r="FR530" s="27" t="s">
        <v>7</v>
      </c>
      <c r="FS530" s="27" t="s">
        <v>8</v>
      </c>
      <c r="FT530" s="27" t="s">
        <v>7</v>
      </c>
      <c r="FU530" s="27" t="s">
        <v>8</v>
      </c>
      <c r="FV530" s="27" t="s">
        <v>7</v>
      </c>
      <c r="FW530" s="27" t="s">
        <v>8</v>
      </c>
      <c r="FX530" s="27" t="s">
        <v>7</v>
      </c>
      <c r="FY530" s="27" t="s">
        <v>8</v>
      </c>
      <c r="FZ530" s="27" t="s">
        <v>7</v>
      </c>
      <c r="GA530" s="27" t="s">
        <v>8</v>
      </c>
      <c r="GB530" s="27" t="s">
        <v>7</v>
      </c>
      <c r="GC530" s="27" t="s">
        <v>8</v>
      </c>
      <c r="GG530" s="27" t="s">
        <v>8</v>
      </c>
      <c r="GI530" s="27" t="s">
        <v>8</v>
      </c>
      <c r="GM530" s="27" t="s">
        <v>8</v>
      </c>
      <c r="GN530" s="27" t="s">
        <v>7</v>
      </c>
    </row>
    <row r="531" spans="1:203" x14ac:dyDescent="0.25">
      <c r="A531" s="7">
        <v>3.0311652864835552</v>
      </c>
      <c r="B531"/>
      <c r="C531"/>
      <c r="D531"/>
      <c r="E531"/>
      <c r="BC531" s="27" t="s">
        <v>8</v>
      </c>
      <c r="BD531" s="27" t="s">
        <v>7</v>
      </c>
      <c r="BI531" s="27" t="s">
        <v>8</v>
      </c>
      <c r="DB531" s="27" t="s">
        <v>7</v>
      </c>
      <c r="DC531" s="27" t="s">
        <v>8</v>
      </c>
      <c r="DD531" s="27" t="s">
        <v>7</v>
      </c>
      <c r="DE531" s="27" t="s">
        <v>8</v>
      </c>
      <c r="DF531" s="27" t="s">
        <v>7</v>
      </c>
      <c r="DG531" s="27" t="s">
        <v>8</v>
      </c>
      <c r="DH531" s="27" t="s">
        <v>7</v>
      </c>
      <c r="DI531" s="27" t="s">
        <v>8</v>
      </c>
      <c r="DJ531" s="27" t="s">
        <v>7</v>
      </c>
      <c r="DK531" s="27" t="s">
        <v>8</v>
      </c>
      <c r="DM531" s="27" t="s">
        <v>8</v>
      </c>
      <c r="DO531" s="27" t="s">
        <v>8</v>
      </c>
      <c r="DP531" s="27" t="s">
        <v>7</v>
      </c>
      <c r="EU531" s="27" t="s">
        <v>8</v>
      </c>
      <c r="EV531" s="27" t="s">
        <v>7</v>
      </c>
      <c r="EW531" s="27" t="s">
        <v>8</v>
      </c>
      <c r="EZ531" s="27" t="s">
        <v>7</v>
      </c>
      <c r="FA531" s="27" t="s">
        <v>8</v>
      </c>
      <c r="FB531" s="27" t="s">
        <v>7</v>
      </c>
      <c r="FC531" s="27" t="s">
        <v>8</v>
      </c>
      <c r="FN531" s="27" t="s">
        <v>7</v>
      </c>
      <c r="FO531" s="27" t="s">
        <v>8</v>
      </c>
      <c r="FP531" s="27" t="s">
        <v>7</v>
      </c>
      <c r="FQ531" s="27" t="s">
        <v>8</v>
      </c>
      <c r="FR531" s="27" t="s">
        <v>7</v>
      </c>
      <c r="FS531" s="27" t="s">
        <v>8</v>
      </c>
      <c r="FT531" s="27" t="s">
        <v>7</v>
      </c>
      <c r="FU531" s="27" t="s">
        <v>8</v>
      </c>
      <c r="FV531" s="27" t="s">
        <v>7</v>
      </c>
      <c r="FW531" s="27" t="s">
        <v>8</v>
      </c>
      <c r="FX531" s="27" t="s">
        <v>7</v>
      </c>
      <c r="FY531" s="27" t="s">
        <v>8</v>
      </c>
      <c r="FZ531" s="27" t="s">
        <v>7</v>
      </c>
      <c r="GA531" s="27" t="s">
        <v>8</v>
      </c>
      <c r="GB531" s="27" t="s">
        <v>7</v>
      </c>
      <c r="GC531" s="27" t="s">
        <v>8</v>
      </c>
      <c r="GD531" s="27" t="s">
        <v>7</v>
      </c>
      <c r="GG531" s="27" t="s">
        <v>8</v>
      </c>
      <c r="GH531" s="27" t="s">
        <v>7</v>
      </c>
      <c r="GI531" s="27" t="s">
        <v>8</v>
      </c>
      <c r="GJ531" s="27" t="s">
        <v>7</v>
      </c>
      <c r="GM531" s="27" t="s">
        <v>8</v>
      </c>
      <c r="GN531" s="27" t="s">
        <v>7</v>
      </c>
    </row>
    <row r="532" spans="1:203" x14ac:dyDescent="0.25">
      <c r="A532" s="7">
        <v>2.9717306730230932</v>
      </c>
      <c r="B532"/>
      <c r="C532"/>
      <c r="D532"/>
      <c r="E532"/>
      <c r="BC532" s="27" t="s">
        <v>8</v>
      </c>
      <c r="BD532" s="27" t="s">
        <v>7</v>
      </c>
      <c r="BI532" s="27" t="s">
        <v>8</v>
      </c>
      <c r="DB532" s="27" t="s">
        <v>7</v>
      </c>
      <c r="DC532" s="27" t="s">
        <v>8</v>
      </c>
      <c r="DD532" s="27" t="s">
        <v>7</v>
      </c>
      <c r="DE532" s="27" t="s">
        <v>8</v>
      </c>
      <c r="DF532" s="27" t="s">
        <v>7</v>
      </c>
      <c r="DG532" s="27" t="s">
        <v>8</v>
      </c>
      <c r="DH532" s="27" t="s">
        <v>7</v>
      </c>
      <c r="DI532" s="27" t="s">
        <v>8</v>
      </c>
      <c r="DJ532" s="27" t="s">
        <v>7</v>
      </c>
      <c r="DK532" s="27" t="s">
        <v>8</v>
      </c>
      <c r="DL532" s="27" t="s">
        <v>7</v>
      </c>
      <c r="DM532" s="27" t="s">
        <v>8</v>
      </c>
      <c r="DN532" s="27" t="s">
        <v>7</v>
      </c>
      <c r="DO532" s="27" t="s">
        <v>8</v>
      </c>
      <c r="DP532" s="27" t="s">
        <v>7</v>
      </c>
      <c r="EU532" s="27" t="s">
        <v>8</v>
      </c>
      <c r="EV532" s="27" t="s">
        <v>7</v>
      </c>
      <c r="EW532" s="27" t="s">
        <v>8</v>
      </c>
      <c r="EZ532" s="27" t="s">
        <v>7</v>
      </c>
      <c r="FA532" s="27" t="s">
        <v>8</v>
      </c>
      <c r="FB532" s="27" t="s">
        <v>7</v>
      </c>
      <c r="FC532" s="27" t="s">
        <v>8</v>
      </c>
      <c r="FN532" s="27" t="s">
        <v>7</v>
      </c>
      <c r="FO532" s="27" t="s">
        <v>8</v>
      </c>
      <c r="FP532" s="27" t="s">
        <v>7</v>
      </c>
      <c r="FQ532" s="27" t="s">
        <v>8</v>
      </c>
      <c r="FR532" s="27" t="s">
        <v>7</v>
      </c>
      <c r="FS532" s="27" t="s">
        <v>8</v>
      </c>
      <c r="FT532" s="27" t="s">
        <v>7</v>
      </c>
      <c r="FU532" s="27" t="s">
        <v>8</v>
      </c>
      <c r="FV532" s="27" t="s">
        <v>7</v>
      </c>
      <c r="FW532" s="27" t="s">
        <v>8</v>
      </c>
      <c r="FX532" s="27" t="s">
        <v>7</v>
      </c>
      <c r="FY532" s="27" t="s">
        <v>8</v>
      </c>
      <c r="FZ532" s="27" t="s">
        <v>7</v>
      </c>
      <c r="GA532" s="27" t="s">
        <v>8</v>
      </c>
      <c r="GB532" s="27" t="s">
        <v>7</v>
      </c>
      <c r="GC532" s="27" t="s">
        <v>8</v>
      </c>
      <c r="GD532" s="27" t="s">
        <v>7</v>
      </c>
      <c r="GE532" s="27" t="s">
        <v>8</v>
      </c>
      <c r="GG532" s="27" t="s">
        <v>8</v>
      </c>
      <c r="GH532" s="27" t="s">
        <v>7</v>
      </c>
      <c r="GI532" s="27" t="s">
        <v>8</v>
      </c>
      <c r="GJ532" s="27" t="s">
        <v>7</v>
      </c>
      <c r="GK532" s="27" t="s">
        <v>8</v>
      </c>
      <c r="GM532" s="27" t="s">
        <v>8</v>
      </c>
      <c r="GN532" s="27" t="s">
        <v>7</v>
      </c>
      <c r="GO532" s="27" t="s">
        <v>8</v>
      </c>
    </row>
    <row r="533" spans="1:203" x14ac:dyDescent="0.25">
      <c r="A533" s="7">
        <v>2.9134614441402875</v>
      </c>
      <c r="B533"/>
      <c r="C533"/>
      <c r="D533"/>
      <c r="E533"/>
      <c r="BC533" s="27" t="s">
        <v>8</v>
      </c>
      <c r="BD533" s="27" t="s">
        <v>7</v>
      </c>
      <c r="BI533" s="27" t="s">
        <v>8</v>
      </c>
      <c r="DB533" s="27" t="s">
        <v>7</v>
      </c>
      <c r="DC533" s="27" t="s">
        <v>8</v>
      </c>
      <c r="DD533" s="27" t="s">
        <v>7</v>
      </c>
      <c r="DE533" s="27" t="s">
        <v>8</v>
      </c>
      <c r="DF533" s="27" t="s">
        <v>7</v>
      </c>
      <c r="DG533" s="27" t="s">
        <v>8</v>
      </c>
      <c r="DH533" s="27" t="s">
        <v>7</v>
      </c>
      <c r="DI533" s="27" t="s">
        <v>8</v>
      </c>
      <c r="DJ533" s="27" t="s">
        <v>7</v>
      </c>
      <c r="DK533" s="27" t="s">
        <v>8</v>
      </c>
      <c r="DL533" s="27" t="s">
        <v>7</v>
      </c>
      <c r="DM533" s="27" t="s">
        <v>8</v>
      </c>
      <c r="DN533" s="27" t="s">
        <v>7</v>
      </c>
      <c r="DO533" s="27" t="s">
        <v>8</v>
      </c>
      <c r="DP533" s="27" t="s">
        <v>7</v>
      </c>
      <c r="EU533" s="27" t="s">
        <v>8</v>
      </c>
      <c r="EV533" s="27" t="s">
        <v>7</v>
      </c>
      <c r="EW533" s="27" t="s">
        <v>8</v>
      </c>
      <c r="EZ533" s="27" t="s">
        <v>7</v>
      </c>
      <c r="FA533" s="27" t="s">
        <v>8</v>
      </c>
      <c r="FB533" s="27" t="s">
        <v>7</v>
      </c>
      <c r="FN533" s="27" t="s">
        <v>7</v>
      </c>
      <c r="FO533" s="27" t="s">
        <v>8</v>
      </c>
      <c r="FP533" s="27" t="s">
        <v>7</v>
      </c>
      <c r="FQ533" s="27" t="s">
        <v>8</v>
      </c>
      <c r="FR533" s="27" t="s">
        <v>7</v>
      </c>
      <c r="FS533" s="27" t="s">
        <v>8</v>
      </c>
      <c r="FT533" s="27" t="s">
        <v>7</v>
      </c>
      <c r="FU533" s="27" t="s">
        <v>8</v>
      </c>
      <c r="FV533" s="27" t="s">
        <v>7</v>
      </c>
      <c r="FW533" s="27" t="s">
        <v>8</v>
      </c>
      <c r="FX533" s="27" t="s">
        <v>7</v>
      </c>
      <c r="FZ533" s="27" t="s">
        <v>7</v>
      </c>
      <c r="GB533" s="27" t="s">
        <v>7</v>
      </c>
      <c r="GD533" s="27" t="s">
        <v>7</v>
      </c>
      <c r="GE533" s="27" t="s">
        <v>8</v>
      </c>
      <c r="GF533" s="27" t="s">
        <v>7</v>
      </c>
      <c r="GG533" s="27" t="s">
        <v>8</v>
      </c>
      <c r="GH533" s="27" t="s">
        <v>7</v>
      </c>
      <c r="GJ533" s="27" t="s">
        <v>7</v>
      </c>
      <c r="GK533" s="27" t="s">
        <v>8</v>
      </c>
      <c r="GL533" s="27" t="s">
        <v>7</v>
      </c>
      <c r="GM533" s="27" t="s">
        <v>8</v>
      </c>
      <c r="GN533" s="27" t="s">
        <v>7</v>
      </c>
      <c r="GO533" s="27" t="s">
        <v>8</v>
      </c>
      <c r="GP533" s="27" t="s">
        <v>7</v>
      </c>
    </row>
    <row r="534" spans="1:203" x14ac:dyDescent="0.25">
      <c r="A534" s="7">
        <v>2.8563347491571447</v>
      </c>
      <c r="B534"/>
      <c r="C534"/>
      <c r="D534"/>
      <c r="E534"/>
      <c r="BA534" s="27" t="s">
        <v>8</v>
      </c>
      <c r="BC534" s="27" t="s">
        <v>8</v>
      </c>
      <c r="BD534" s="27" t="s">
        <v>7</v>
      </c>
      <c r="BI534" s="27" t="s">
        <v>8</v>
      </c>
      <c r="DB534" s="27" t="s">
        <v>7</v>
      </c>
      <c r="DC534" s="27" t="s">
        <v>8</v>
      </c>
      <c r="DD534" s="27" t="s">
        <v>7</v>
      </c>
      <c r="DE534" s="27" t="s">
        <v>8</v>
      </c>
      <c r="DF534" s="27" t="s">
        <v>7</v>
      </c>
      <c r="DG534" s="27" t="s">
        <v>8</v>
      </c>
      <c r="DH534" s="27" t="s">
        <v>7</v>
      </c>
      <c r="DI534" s="27" t="s">
        <v>8</v>
      </c>
      <c r="DJ534" s="27" t="s">
        <v>7</v>
      </c>
      <c r="DK534" s="27" t="s">
        <v>8</v>
      </c>
      <c r="DL534" s="27" t="s">
        <v>7</v>
      </c>
      <c r="DM534" s="27" t="s">
        <v>8</v>
      </c>
      <c r="DN534" s="27" t="s">
        <v>7</v>
      </c>
      <c r="DO534" s="27" t="s">
        <v>8</v>
      </c>
      <c r="DP534" s="27" t="s">
        <v>7</v>
      </c>
      <c r="EU534" s="27" t="s">
        <v>8</v>
      </c>
      <c r="EV534" s="27" t="s">
        <v>7</v>
      </c>
      <c r="EW534" s="27" t="s">
        <v>8</v>
      </c>
      <c r="EZ534" s="27" t="s">
        <v>7</v>
      </c>
      <c r="FN534" s="27" t="s">
        <v>7</v>
      </c>
      <c r="FO534" s="27" t="s">
        <v>8</v>
      </c>
      <c r="FP534" s="27" t="s">
        <v>7</v>
      </c>
      <c r="FQ534" s="27" t="s">
        <v>8</v>
      </c>
      <c r="FR534" s="27" t="s">
        <v>7</v>
      </c>
      <c r="FS534" s="27" t="s">
        <v>8</v>
      </c>
      <c r="FT534" s="27" t="s">
        <v>7</v>
      </c>
      <c r="FV534" s="27" t="s">
        <v>7</v>
      </c>
      <c r="FW534" s="27" t="s">
        <v>8</v>
      </c>
      <c r="GD534" s="27" t="s">
        <v>7</v>
      </c>
      <c r="GE534" s="27" t="s">
        <v>8</v>
      </c>
      <c r="GF534" s="27" t="s">
        <v>7</v>
      </c>
      <c r="GG534" s="27" t="s">
        <v>8</v>
      </c>
      <c r="GJ534" s="27" t="s">
        <v>7</v>
      </c>
      <c r="GK534" s="27" t="s">
        <v>8</v>
      </c>
      <c r="GL534" s="27" t="s">
        <v>7</v>
      </c>
      <c r="GM534" s="27" t="s">
        <v>8</v>
      </c>
      <c r="GN534" s="27" t="s">
        <v>7</v>
      </c>
      <c r="GO534" s="27" t="s">
        <v>8</v>
      </c>
      <c r="GP534" s="27" t="s">
        <v>7</v>
      </c>
    </row>
    <row r="535" spans="1:203" x14ac:dyDescent="0.25">
      <c r="A535" s="7">
        <v>2.8003281854481812</v>
      </c>
      <c r="B535"/>
      <c r="C535"/>
      <c r="D535"/>
      <c r="E535"/>
      <c r="BA535" s="27" t="s">
        <v>8</v>
      </c>
      <c r="BB535" s="27" t="s">
        <v>7</v>
      </c>
      <c r="BC535" s="27" t="s">
        <v>8</v>
      </c>
      <c r="BD535" s="27" t="s">
        <v>7</v>
      </c>
      <c r="BI535" s="27" t="s">
        <v>8</v>
      </c>
      <c r="DB535" s="27" t="s">
        <v>7</v>
      </c>
      <c r="DC535" s="27" t="s">
        <v>8</v>
      </c>
      <c r="DD535" s="27" t="s">
        <v>7</v>
      </c>
      <c r="DE535" s="27" t="s">
        <v>8</v>
      </c>
      <c r="DF535" s="27" t="s">
        <v>7</v>
      </c>
      <c r="DG535" s="27" t="s">
        <v>8</v>
      </c>
      <c r="DH535" s="27" t="s">
        <v>7</v>
      </c>
      <c r="DI535" s="27" t="s">
        <v>8</v>
      </c>
      <c r="DJ535" s="27" t="s">
        <v>7</v>
      </c>
      <c r="DL535" s="27" t="s">
        <v>7</v>
      </c>
      <c r="DM535" s="27" t="s">
        <v>8</v>
      </c>
      <c r="DN535" s="27" t="s">
        <v>7</v>
      </c>
      <c r="DO535" s="27" t="s">
        <v>8</v>
      </c>
      <c r="DP535" s="27" t="s">
        <v>7</v>
      </c>
      <c r="EQ535" s="27" t="s">
        <v>8</v>
      </c>
      <c r="EU535" s="27" t="s">
        <v>8</v>
      </c>
      <c r="EV535" s="27" t="s">
        <v>7</v>
      </c>
      <c r="FN535" s="27" t="s">
        <v>7</v>
      </c>
      <c r="FO535" s="27" t="s">
        <v>8</v>
      </c>
      <c r="FP535" s="27" t="s">
        <v>7</v>
      </c>
      <c r="FQ535" s="27" t="s">
        <v>8</v>
      </c>
      <c r="FR535" s="27" t="s">
        <v>7</v>
      </c>
      <c r="FS535" s="27" t="s">
        <v>8</v>
      </c>
      <c r="FV535" s="27" t="s">
        <v>7</v>
      </c>
      <c r="FW535" s="27" t="s">
        <v>8</v>
      </c>
      <c r="GD535" s="27" t="s">
        <v>7</v>
      </c>
      <c r="GE535" s="27" t="s">
        <v>8</v>
      </c>
      <c r="GF535" s="27" t="s">
        <v>7</v>
      </c>
      <c r="GG535" s="27" t="s">
        <v>8</v>
      </c>
      <c r="GJ535" s="27" t="s">
        <v>7</v>
      </c>
      <c r="GL535" s="27" t="s">
        <v>7</v>
      </c>
      <c r="GM535" s="27" t="s">
        <v>8</v>
      </c>
      <c r="GN535" s="27" t="s">
        <v>7</v>
      </c>
      <c r="GO535" s="27" t="s">
        <v>8</v>
      </c>
      <c r="GP535" s="27" t="s">
        <v>7</v>
      </c>
    </row>
    <row r="536" spans="1:203" x14ac:dyDescent="0.25">
      <c r="A536" s="7">
        <v>2.7454197896550796</v>
      </c>
      <c r="B536"/>
      <c r="C536"/>
      <c r="D536"/>
      <c r="E536"/>
      <c r="BA536" s="27" t="s">
        <v>8</v>
      </c>
      <c r="BB536" s="27" t="s">
        <v>7</v>
      </c>
      <c r="BC536" s="27" t="s">
        <v>8</v>
      </c>
      <c r="BD536" s="27" t="s">
        <v>7</v>
      </c>
      <c r="BE536" s="27" t="s">
        <v>8</v>
      </c>
      <c r="BG536" s="27" t="s">
        <v>8</v>
      </c>
      <c r="BI536" s="27" t="s">
        <v>8</v>
      </c>
      <c r="DB536" s="27" t="s">
        <v>7</v>
      </c>
      <c r="DC536" s="27" t="s">
        <v>8</v>
      </c>
      <c r="DD536" s="27" t="s">
        <v>7</v>
      </c>
      <c r="DE536" s="27" t="s">
        <v>8</v>
      </c>
      <c r="DF536" s="27" t="s">
        <v>7</v>
      </c>
      <c r="DG536" s="27" t="s">
        <v>8</v>
      </c>
      <c r="DH536" s="27" t="s">
        <v>7</v>
      </c>
      <c r="DI536" s="27" t="s">
        <v>8</v>
      </c>
      <c r="DL536" s="27" t="s">
        <v>7</v>
      </c>
      <c r="DM536" s="27" t="s">
        <v>8</v>
      </c>
      <c r="DN536" s="27" t="s">
        <v>7</v>
      </c>
      <c r="DO536" s="27" t="s">
        <v>8</v>
      </c>
      <c r="DP536" s="27" t="s">
        <v>7</v>
      </c>
      <c r="EQ536" s="27" t="s">
        <v>8</v>
      </c>
      <c r="ER536" s="27" t="s">
        <v>7</v>
      </c>
      <c r="ES536" s="27" t="s">
        <v>8</v>
      </c>
      <c r="EU536" s="27" t="s">
        <v>8</v>
      </c>
      <c r="FN536" s="27" t="s">
        <v>7</v>
      </c>
      <c r="FO536" s="27" t="s">
        <v>8</v>
      </c>
      <c r="FP536" s="27" t="s">
        <v>7</v>
      </c>
      <c r="FR536" s="27" t="s">
        <v>7</v>
      </c>
      <c r="FS536" s="27" t="s">
        <v>8</v>
      </c>
      <c r="FV536" s="27" t="s">
        <v>7</v>
      </c>
      <c r="FW536" s="27" t="s">
        <v>8</v>
      </c>
      <c r="GD536" s="27" t="s">
        <v>7</v>
      </c>
      <c r="GE536" s="27" t="s">
        <v>8</v>
      </c>
      <c r="GF536" s="27" t="s">
        <v>7</v>
      </c>
      <c r="GG536" s="27" t="s">
        <v>8</v>
      </c>
      <c r="GL536" s="27" t="s">
        <v>7</v>
      </c>
      <c r="GN536" s="27" t="s">
        <v>7</v>
      </c>
      <c r="GO536" s="27" t="s">
        <v>8</v>
      </c>
      <c r="GP536" s="27" t="s">
        <v>7</v>
      </c>
    </row>
    <row r="537" spans="1:203" x14ac:dyDescent="0.25">
      <c r="A537" s="7">
        <v>2.6915880290736074</v>
      </c>
      <c r="B537"/>
      <c r="C537"/>
      <c r="D537"/>
      <c r="E537"/>
      <c r="BA537" s="27" t="s">
        <v>8</v>
      </c>
      <c r="BB537" s="27" t="s">
        <v>7</v>
      </c>
      <c r="BC537" s="27" t="s">
        <v>8</v>
      </c>
      <c r="BD537" s="27" t="s">
        <v>7</v>
      </c>
      <c r="BE537" s="27" t="s">
        <v>8</v>
      </c>
      <c r="BF537" s="27" t="s">
        <v>7</v>
      </c>
      <c r="BG537" s="27" t="s">
        <v>8</v>
      </c>
      <c r="BH537" s="27" t="s">
        <v>7</v>
      </c>
      <c r="BI537" s="27" t="s">
        <v>8</v>
      </c>
      <c r="DB537" s="27" t="s">
        <v>7</v>
      </c>
      <c r="DC537" s="27" t="s">
        <v>8</v>
      </c>
      <c r="DD537" s="27" t="s">
        <v>7</v>
      </c>
      <c r="DE537" s="27" t="s">
        <v>8</v>
      </c>
      <c r="DF537" s="27" t="s">
        <v>7</v>
      </c>
      <c r="DG537" s="27" t="s">
        <v>8</v>
      </c>
      <c r="DH537" s="27" t="s">
        <v>7</v>
      </c>
      <c r="DI537" s="27" t="s">
        <v>8</v>
      </c>
      <c r="DL537" s="27" t="s">
        <v>7</v>
      </c>
      <c r="DM537" s="27" t="s">
        <v>8</v>
      </c>
      <c r="DN537" s="27" t="s">
        <v>7</v>
      </c>
      <c r="DO537" s="27" t="s">
        <v>8</v>
      </c>
      <c r="DP537" s="27" t="s">
        <v>7</v>
      </c>
      <c r="EQ537" s="27" t="s">
        <v>8</v>
      </c>
      <c r="ER537" s="27" t="s">
        <v>7</v>
      </c>
      <c r="ES537" s="27" t="s">
        <v>8</v>
      </c>
      <c r="ET537" s="27" t="s">
        <v>7</v>
      </c>
      <c r="EU537" s="27" t="s">
        <v>8</v>
      </c>
      <c r="FN537" s="27" t="s">
        <v>7</v>
      </c>
      <c r="FO537" s="27" t="s">
        <v>8</v>
      </c>
      <c r="FR537" s="27" t="s">
        <v>7</v>
      </c>
      <c r="FS537" s="27" t="s">
        <v>8</v>
      </c>
      <c r="FV537" s="27" t="s">
        <v>7</v>
      </c>
      <c r="GD537" s="27" t="s">
        <v>7</v>
      </c>
      <c r="GE537" s="27" t="s">
        <v>8</v>
      </c>
      <c r="GF537" s="27" t="s">
        <v>7</v>
      </c>
      <c r="GG537" s="27" t="s">
        <v>8</v>
      </c>
      <c r="GN537" s="27" t="s">
        <v>7</v>
      </c>
      <c r="GO537" s="27" t="s">
        <v>8</v>
      </c>
      <c r="GP537" s="27" t="s">
        <v>7</v>
      </c>
      <c r="GQ537" s="27" t="s">
        <v>8</v>
      </c>
      <c r="GS537" s="27" t="s">
        <v>8</v>
      </c>
    </row>
    <row r="538" spans="1:203" x14ac:dyDescent="0.25">
      <c r="A538" s="7">
        <v>2.6388117932094191</v>
      </c>
      <c r="B538"/>
      <c r="C538"/>
      <c r="D538"/>
      <c r="E538"/>
      <c r="BA538" s="27" t="s">
        <v>8</v>
      </c>
      <c r="BB538" s="27" t="s">
        <v>7</v>
      </c>
      <c r="BC538" s="27" t="s">
        <v>8</v>
      </c>
      <c r="BD538" s="27" t="s">
        <v>7</v>
      </c>
      <c r="BE538" s="27" t="s">
        <v>8</v>
      </c>
      <c r="BF538" s="27" t="s">
        <v>7</v>
      </c>
      <c r="BG538" s="27" t="s">
        <v>8</v>
      </c>
      <c r="BH538" s="27" t="s">
        <v>7</v>
      </c>
      <c r="BI538" s="27" t="s">
        <v>8</v>
      </c>
      <c r="DB538" s="27" t="s">
        <v>7</v>
      </c>
      <c r="DC538" s="27" t="s">
        <v>8</v>
      </c>
      <c r="DD538" s="27" t="s">
        <v>7</v>
      </c>
      <c r="DE538" s="27" t="s">
        <v>8</v>
      </c>
      <c r="DF538" s="27" t="s">
        <v>7</v>
      </c>
      <c r="DH538" s="27" t="s">
        <v>7</v>
      </c>
      <c r="DI538" s="27" t="s">
        <v>8</v>
      </c>
      <c r="DL538" s="27" t="s">
        <v>7</v>
      </c>
      <c r="DM538" s="27" t="s">
        <v>8</v>
      </c>
      <c r="DN538" s="27" t="s">
        <v>7</v>
      </c>
      <c r="DO538" s="27" t="s">
        <v>8</v>
      </c>
      <c r="DP538" s="27" t="s">
        <v>7</v>
      </c>
      <c r="EQ538" s="27" t="s">
        <v>8</v>
      </c>
      <c r="ER538" s="27" t="s">
        <v>7</v>
      </c>
      <c r="ES538" s="27" t="s">
        <v>8</v>
      </c>
      <c r="ET538" s="27" t="s">
        <v>7</v>
      </c>
      <c r="EU538" s="27" t="s">
        <v>8</v>
      </c>
      <c r="FN538" s="27" t="s">
        <v>7</v>
      </c>
      <c r="FR538" s="27" t="s">
        <v>7</v>
      </c>
      <c r="GD538" s="27" t="s">
        <v>7</v>
      </c>
      <c r="GF538" s="27" t="s">
        <v>7</v>
      </c>
      <c r="GN538" s="27" t="s">
        <v>7</v>
      </c>
      <c r="GO538" s="27" t="s">
        <v>8</v>
      </c>
      <c r="GP538" s="27" t="s">
        <v>7</v>
      </c>
      <c r="GQ538" s="27" t="s">
        <v>8</v>
      </c>
      <c r="GR538" s="27" t="s">
        <v>7</v>
      </c>
      <c r="GS538" s="27" t="s">
        <v>8</v>
      </c>
      <c r="GT538" s="27" t="s">
        <v>7</v>
      </c>
    </row>
    <row r="539" spans="1:203" x14ac:dyDescent="0.25">
      <c r="A539" s="7">
        <v>2.5870703854994304</v>
      </c>
      <c r="B539"/>
      <c r="C539"/>
      <c r="D539"/>
      <c r="E539"/>
      <c r="AW539" s="27" t="s">
        <v>8</v>
      </c>
      <c r="BA539" s="27" t="s">
        <v>8</v>
      </c>
      <c r="BB539" s="27" t="s">
        <v>7</v>
      </c>
      <c r="BC539" s="27" t="s">
        <v>8</v>
      </c>
      <c r="BD539" s="27" t="s">
        <v>7</v>
      </c>
      <c r="BE539" s="27" t="s">
        <v>8</v>
      </c>
      <c r="BF539" s="27" t="s">
        <v>7</v>
      </c>
      <c r="BG539" s="27" t="s">
        <v>8</v>
      </c>
      <c r="BH539" s="27" t="s">
        <v>7</v>
      </c>
      <c r="BI539" s="27" t="s">
        <v>8</v>
      </c>
      <c r="DB539" s="27" t="s">
        <v>7</v>
      </c>
      <c r="DC539" s="27" t="s">
        <v>8</v>
      </c>
      <c r="DD539" s="27" t="s">
        <v>7</v>
      </c>
      <c r="DE539" s="27" t="s">
        <v>8</v>
      </c>
      <c r="DH539" s="27" t="s">
        <v>7</v>
      </c>
      <c r="DI539" s="27" t="s">
        <v>8</v>
      </c>
      <c r="DL539" s="27" t="s">
        <v>7</v>
      </c>
      <c r="DM539" s="27" t="s">
        <v>8</v>
      </c>
      <c r="DN539" s="27" t="s">
        <v>7</v>
      </c>
      <c r="DO539" s="27" t="s">
        <v>8</v>
      </c>
      <c r="DP539" s="27" t="s">
        <v>7</v>
      </c>
      <c r="EQ539" s="27" t="s">
        <v>8</v>
      </c>
      <c r="ER539" s="27" t="s">
        <v>7</v>
      </c>
      <c r="ES539" s="27" t="s">
        <v>8</v>
      </c>
      <c r="ET539" s="27" t="s">
        <v>7</v>
      </c>
      <c r="GN539" s="27" t="s">
        <v>7</v>
      </c>
      <c r="GO539" s="27" t="s">
        <v>8</v>
      </c>
      <c r="GP539" s="27" t="s">
        <v>7</v>
      </c>
      <c r="GQ539" s="27" t="s">
        <v>8</v>
      </c>
      <c r="GR539" s="27" t="s">
        <v>7</v>
      </c>
      <c r="GS539" s="27" t="s">
        <v>8</v>
      </c>
      <c r="GT539" s="27" t="s">
        <v>7</v>
      </c>
    </row>
    <row r="540" spans="1:203" x14ac:dyDescent="0.25">
      <c r="A540" s="7">
        <v>2.53634351519552</v>
      </c>
      <c r="B540"/>
      <c r="C540"/>
      <c r="D540"/>
      <c r="E540"/>
      <c r="AW540" s="27" t="s">
        <v>8</v>
      </c>
      <c r="AX540" s="27" t="s">
        <v>7</v>
      </c>
      <c r="BA540" s="27" t="s">
        <v>8</v>
      </c>
      <c r="BB540" s="27" t="s">
        <v>7</v>
      </c>
      <c r="BC540" s="27" t="s">
        <v>8</v>
      </c>
      <c r="BD540" s="27" t="s">
        <v>7</v>
      </c>
      <c r="BE540" s="27" t="s">
        <v>8</v>
      </c>
      <c r="BF540" s="27" t="s">
        <v>7</v>
      </c>
      <c r="BG540" s="27" t="s">
        <v>8</v>
      </c>
      <c r="BH540" s="27" t="s">
        <v>7</v>
      </c>
      <c r="BI540" s="27" t="s">
        <v>8</v>
      </c>
      <c r="DB540" s="27" t="s">
        <v>7</v>
      </c>
      <c r="DC540" s="27" t="s">
        <v>8</v>
      </c>
      <c r="DD540" s="27" t="s">
        <v>7</v>
      </c>
      <c r="DE540" s="27" t="s">
        <v>8</v>
      </c>
      <c r="DH540" s="27" t="s">
        <v>7</v>
      </c>
      <c r="DI540" s="27" t="s">
        <v>8</v>
      </c>
      <c r="DL540" s="27" t="s">
        <v>7</v>
      </c>
      <c r="DM540" s="27" t="s">
        <v>8</v>
      </c>
      <c r="DN540" s="27" t="s">
        <v>7</v>
      </c>
      <c r="DO540" s="27" t="s">
        <v>8</v>
      </c>
      <c r="DP540" s="27" t="s">
        <v>7</v>
      </c>
      <c r="EQ540" s="27" t="s">
        <v>8</v>
      </c>
      <c r="ER540" s="27" t="s">
        <v>7</v>
      </c>
      <c r="ES540" s="27" t="s">
        <v>8</v>
      </c>
      <c r="GN540" s="27" t="s">
        <v>7</v>
      </c>
      <c r="GO540" s="27" t="s">
        <v>8</v>
      </c>
      <c r="GP540" s="27" t="s">
        <v>7</v>
      </c>
      <c r="GQ540" s="27" t="s">
        <v>8</v>
      </c>
      <c r="GR540" s="27" t="s">
        <v>7</v>
      </c>
      <c r="GS540" s="27" t="s">
        <v>8</v>
      </c>
      <c r="GT540" s="27" t="s">
        <v>7</v>
      </c>
    </row>
    <row r="541" spans="1:203" x14ac:dyDescent="0.25">
      <c r="A541" s="7">
        <v>2.4866112894073726</v>
      </c>
      <c r="B541"/>
      <c r="C541"/>
      <c r="D541"/>
      <c r="E541"/>
      <c r="AW541" s="27" t="s">
        <v>8</v>
      </c>
      <c r="AX541" s="27" t="s">
        <v>7</v>
      </c>
      <c r="AY541" s="27" t="s">
        <v>8</v>
      </c>
      <c r="BA541" s="27" t="s">
        <v>8</v>
      </c>
      <c r="BB541" s="27" t="s">
        <v>7</v>
      </c>
      <c r="BC541" s="27" t="s">
        <v>8</v>
      </c>
      <c r="BD541" s="27" t="s">
        <v>7</v>
      </c>
      <c r="BE541" s="27" t="s">
        <v>8</v>
      </c>
      <c r="BF541" s="27" t="s">
        <v>7</v>
      </c>
      <c r="BG541" s="27" t="s">
        <v>8</v>
      </c>
      <c r="BH541" s="27" t="s">
        <v>7</v>
      </c>
      <c r="BI541" s="27" t="s">
        <v>8</v>
      </c>
      <c r="DB541" s="27" t="s">
        <v>7</v>
      </c>
      <c r="DC541" s="27" t="s">
        <v>8</v>
      </c>
      <c r="DD541" s="27" t="s">
        <v>7</v>
      </c>
      <c r="DE541" s="27" t="s">
        <v>8</v>
      </c>
      <c r="DH541" s="27" t="s">
        <v>7</v>
      </c>
      <c r="DI541" s="27" t="s">
        <v>8</v>
      </c>
      <c r="DL541" s="27" t="s">
        <v>7</v>
      </c>
      <c r="DM541" s="27" t="s">
        <v>8</v>
      </c>
      <c r="DN541" s="27" t="s">
        <v>7</v>
      </c>
      <c r="DO541" s="27" t="s">
        <v>8</v>
      </c>
      <c r="DP541" s="27" t="s">
        <v>7</v>
      </c>
      <c r="EQ541" s="27" t="s">
        <v>8</v>
      </c>
      <c r="ER541" s="27" t="s">
        <v>7</v>
      </c>
      <c r="ES541" s="27" t="s">
        <v>8</v>
      </c>
      <c r="GN541" s="27" t="s">
        <v>7</v>
      </c>
      <c r="GO541" s="27" t="s">
        <v>8</v>
      </c>
      <c r="GP541" s="27" t="s">
        <v>7</v>
      </c>
      <c r="GR541" s="27" t="s">
        <v>7</v>
      </c>
      <c r="GS541" s="27" t="s">
        <v>8</v>
      </c>
      <c r="GT541" s="27" t="s">
        <v>7</v>
      </c>
    </row>
    <row r="542" spans="1:203" x14ac:dyDescent="0.25">
      <c r="A542" s="7">
        <v>2.4378542053013459</v>
      </c>
      <c r="B542"/>
      <c r="C542"/>
      <c r="D542"/>
      <c r="E542"/>
      <c r="AW542" s="27" t="s">
        <v>8</v>
      </c>
      <c r="AX542" s="27" t="s">
        <v>7</v>
      </c>
      <c r="AY542" s="27" t="s">
        <v>8</v>
      </c>
      <c r="AZ542" s="27" t="s">
        <v>7</v>
      </c>
      <c r="BA542" s="27" t="s">
        <v>8</v>
      </c>
      <c r="BB542" s="27" t="s">
        <v>7</v>
      </c>
      <c r="BC542" s="27" t="s">
        <v>8</v>
      </c>
      <c r="BD542" s="27" t="s">
        <v>7</v>
      </c>
      <c r="BE542" s="27" t="s">
        <v>8</v>
      </c>
      <c r="BF542" s="27" t="s">
        <v>7</v>
      </c>
      <c r="BH542" s="27" t="s">
        <v>7</v>
      </c>
      <c r="DB542" s="27" t="s">
        <v>7</v>
      </c>
      <c r="DC542" s="27" t="s">
        <v>8</v>
      </c>
      <c r="DD542" s="27" t="s">
        <v>7</v>
      </c>
      <c r="DH542" s="27" t="s">
        <v>7</v>
      </c>
      <c r="DL542" s="27" t="s">
        <v>7</v>
      </c>
      <c r="DM542" s="27" t="s">
        <v>8</v>
      </c>
      <c r="DN542" s="27" t="s">
        <v>7</v>
      </c>
      <c r="DO542" s="27" t="s">
        <v>8</v>
      </c>
      <c r="DP542" s="27" t="s">
        <v>7</v>
      </c>
      <c r="EO542" s="27" t="s">
        <v>8</v>
      </c>
      <c r="EQ542" s="27" t="s">
        <v>8</v>
      </c>
      <c r="ER542" s="27" t="s">
        <v>7</v>
      </c>
      <c r="GN542" s="27" t="s">
        <v>7</v>
      </c>
      <c r="GO542" s="27" t="s">
        <v>8</v>
      </c>
      <c r="GR542" s="27" t="s">
        <v>7</v>
      </c>
      <c r="GT542" s="27" t="s">
        <v>7</v>
      </c>
    </row>
    <row r="543" spans="1:203" x14ac:dyDescent="0.25">
      <c r="A543" s="7">
        <v>2.3900531424522997</v>
      </c>
      <c r="B543"/>
      <c r="C543"/>
      <c r="D543"/>
      <c r="E543"/>
      <c r="AW543" s="27" t="s">
        <v>8</v>
      </c>
      <c r="AX543" s="27" t="s">
        <v>7</v>
      </c>
      <c r="AY543" s="27" t="s">
        <v>8</v>
      </c>
      <c r="AZ543" s="27" t="s">
        <v>7</v>
      </c>
      <c r="BA543" s="27" t="s">
        <v>8</v>
      </c>
      <c r="BB543" s="27" t="s">
        <v>7</v>
      </c>
      <c r="BC543" s="27" t="s">
        <v>8</v>
      </c>
      <c r="BD543" s="27" t="s">
        <v>7</v>
      </c>
      <c r="BE543" s="27" t="s">
        <v>8</v>
      </c>
      <c r="DB543" s="27" t="s">
        <v>7</v>
      </c>
      <c r="DC543" s="27" t="s">
        <v>8</v>
      </c>
      <c r="DL543" s="27" t="s">
        <v>7</v>
      </c>
      <c r="DM543" s="27" t="s">
        <v>8</v>
      </c>
      <c r="DN543" s="27" t="s">
        <v>7</v>
      </c>
      <c r="DP543" s="27" t="s">
        <v>7</v>
      </c>
      <c r="DQ543" s="27" t="s">
        <v>8</v>
      </c>
      <c r="DU543" s="27" t="s">
        <v>8</v>
      </c>
      <c r="DW543" s="27" t="s">
        <v>8</v>
      </c>
      <c r="DY543" s="27" t="s">
        <v>8</v>
      </c>
      <c r="EG543" s="27" t="s">
        <v>8</v>
      </c>
      <c r="EO543" s="27" t="s">
        <v>8</v>
      </c>
      <c r="EP543" s="27" t="s">
        <v>7</v>
      </c>
      <c r="EQ543" s="27" t="s">
        <v>8</v>
      </c>
      <c r="GN543" s="27" t="s">
        <v>7</v>
      </c>
      <c r="GO543" s="27" t="s">
        <v>8</v>
      </c>
      <c r="GT543" s="27" t="s">
        <v>7</v>
      </c>
    </row>
    <row r="544" spans="1:203" x14ac:dyDescent="0.25">
      <c r="A544" s="7">
        <v>2.343189355345392</v>
      </c>
      <c r="B544"/>
      <c r="C544"/>
      <c r="D544"/>
      <c r="E544"/>
      <c r="AW544" s="27" t="s">
        <v>8</v>
      </c>
      <c r="AX544" s="27" t="s">
        <v>7</v>
      </c>
      <c r="AY544" s="27" t="s">
        <v>8</v>
      </c>
      <c r="AZ544" s="27" t="s">
        <v>7</v>
      </c>
      <c r="BA544" s="27" t="s">
        <v>8</v>
      </c>
      <c r="BB544" s="27" t="s">
        <v>7</v>
      </c>
      <c r="BC544" s="27" t="s">
        <v>8</v>
      </c>
      <c r="BD544" s="27" t="s">
        <v>7</v>
      </c>
      <c r="BE544" s="27" t="s">
        <v>8</v>
      </c>
      <c r="DB544" s="27" t="s">
        <v>7</v>
      </c>
      <c r="DL544" s="27" t="s">
        <v>7</v>
      </c>
      <c r="DP544" s="27" t="s">
        <v>7</v>
      </c>
      <c r="DQ544" s="27" t="s">
        <v>8</v>
      </c>
      <c r="DR544" s="27" t="s">
        <v>7</v>
      </c>
      <c r="DU544" s="27" t="s">
        <v>8</v>
      </c>
      <c r="DV544" s="27" t="s">
        <v>7</v>
      </c>
      <c r="DW544" s="27" t="s">
        <v>8</v>
      </c>
      <c r="DX544" s="27" t="s">
        <v>7</v>
      </c>
      <c r="DY544" s="27" t="s">
        <v>8</v>
      </c>
      <c r="DZ544" s="27" t="s">
        <v>7</v>
      </c>
      <c r="EA544" s="27" t="s">
        <v>8</v>
      </c>
      <c r="EG544" s="27" t="s">
        <v>8</v>
      </c>
      <c r="EH544" s="27" t="s">
        <v>7</v>
      </c>
      <c r="EM544" s="27" t="s">
        <v>8</v>
      </c>
      <c r="EO544" s="27" t="s">
        <v>8</v>
      </c>
      <c r="EP544" s="27" t="s">
        <v>7</v>
      </c>
      <c r="EQ544" s="27" t="s">
        <v>8</v>
      </c>
      <c r="GN544" s="27" t="s">
        <v>7</v>
      </c>
      <c r="GT544" s="27" t="s">
        <v>7</v>
      </c>
      <c r="GU544" s="27" t="s">
        <v>8</v>
      </c>
    </row>
    <row r="545" spans="1:212" x14ac:dyDescent="0.25">
      <c r="A545" s="7">
        <v>2.2972444660248938</v>
      </c>
      <c r="B545"/>
      <c r="C545"/>
      <c r="D545"/>
      <c r="E545"/>
      <c r="AW545" s="27" t="s">
        <v>8</v>
      </c>
      <c r="AX545" s="27" t="s">
        <v>7</v>
      </c>
      <c r="AY545" s="27" t="s">
        <v>8</v>
      </c>
      <c r="AZ545" s="27" t="s">
        <v>7</v>
      </c>
      <c r="BA545" s="27" t="s">
        <v>8</v>
      </c>
      <c r="BB545" s="27" t="s">
        <v>7</v>
      </c>
      <c r="BC545" s="27" t="s">
        <v>8</v>
      </c>
      <c r="BD545" s="27" t="s">
        <v>7</v>
      </c>
      <c r="BE545" s="27" t="s">
        <v>8</v>
      </c>
      <c r="DP545" s="27" t="s">
        <v>7</v>
      </c>
      <c r="DQ545" s="27" t="s">
        <v>8</v>
      </c>
      <c r="DR545" s="27" t="s">
        <v>7</v>
      </c>
      <c r="DS545" s="27" t="s">
        <v>8</v>
      </c>
      <c r="DU545" s="27" t="s">
        <v>8</v>
      </c>
      <c r="DV545" s="27" t="s">
        <v>7</v>
      </c>
      <c r="DW545" s="27" t="s">
        <v>8</v>
      </c>
      <c r="DX545" s="27" t="s">
        <v>7</v>
      </c>
      <c r="DY545" s="27" t="s">
        <v>8</v>
      </c>
      <c r="DZ545" s="27" t="s">
        <v>7</v>
      </c>
      <c r="EA545" s="27" t="s">
        <v>8</v>
      </c>
      <c r="EB545" s="27" t="s">
        <v>7</v>
      </c>
      <c r="EG545" s="27" t="s">
        <v>8</v>
      </c>
      <c r="EH545" s="27" t="s">
        <v>7</v>
      </c>
      <c r="EM545" s="27" t="s">
        <v>8</v>
      </c>
      <c r="EN545" s="27" t="s">
        <v>7</v>
      </c>
      <c r="EO545" s="27" t="s">
        <v>8</v>
      </c>
      <c r="EP545" s="27" t="s">
        <v>7</v>
      </c>
      <c r="EQ545" s="27" t="s">
        <v>8</v>
      </c>
      <c r="GT545" s="27" t="s">
        <v>7</v>
      </c>
      <c r="GU545" s="27" t="s">
        <v>8</v>
      </c>
      <c r="GV545" s="27" t="s">
        <v>7</v>
      </c>
      <c r="GW545" s="27" t="s">
        <v>8</v>
      </c>
    </row>
    <row r="546" spans="1:212" x14ac:dyDescent="0.25">
      <c r="A546" s="7">
        <v>2.252200456887151</v>
      </c>
      <c r="B546"/>
      <c r="C546"/>
      <c r="D546"/>
      <c r="E546"/>
      <c r="AW546" s="27" t="s">
        <v>8</v>
      </c>
      <c r="AX546" s="27" t="s">
        <v>7</v>
      </c>
      <c r="AY546" s="27" t="s">
        <v>8</v>
      </c>
      <c r="AZ546" s="27" t="s">
        <v>7</v>
      </c>
      <c r="BA546" s="27" t="s">
        <v>8</v>
      </c>
      <c r="BB546" s="27" t="s">
        <v>7</v>
      </c>
      <c r="BC546" s="27" t="s">
        <v>8</v>
      </c>
      <c r="BD546" s="27" t="s">
        <v>7</v>
      </c>
      <c r="BE546" s="27" t="s">
        <v>8</v>
      </c>
      <c r="DP546" s="27" t="s">
        <v>7</v>
      </c>
      <c r="DQ546" s="27" t="s">
        <v>8</v>
      </c>
      <c r="DR546" s="27" t="s">
        <v>7</v>
      </c>
      <c r="DS546" s="27" t="s">
        <v>8</v>
      </c>
      <c r="DT546" s="27" t="s">
        <v>7</v>
      </c>
      <c r="DU546" s="27" t="s">
        <v>8</v>
      </c>
      <c r="DV546" s="27" t="s">
        <v>7</v>
      </c>
      <c r="DW546" s="27" t="s">
        <v>8</v>
      </c>
      <c r="DX546" s="27" t="s">
        <v>7</v>
      </c>
      <c r="DZ546" s="27" t="s">
        <v>7</v>
      </c>
      <c r="EA546" s="27" t="s">
        <v>8</v>
      </c>
      <c r="EB546" s="27" t="s">
        <v>7</v>
      </c>
      <c r="EG546" s="27" t="s">
        <v>8</v>
      </c>
      <c r="EH546" s="27" t="s">
        <v>7</v>
      </c>
      <c r="EM546" s="27" t="s">
        <v>8</v>
      </c>
      <c r="EN546" s="27" t="s">
        <v>7</v>
      </c>
      <c r="EO546" s="27" t="s">
        <v>8</v>
      </c>
      <c r="EP546" s="27" t="s">
        <v>7</v>
      </c>
      <c r="EQ546" s="27" t="s">
        <v>8</v>
      </c>
      <c r="GT546" s="27" t="s">
        <v>7</v>
      </c>
      <c r="GU546" s="27" t="s">
        <v>8</v>
      </c>
      <c r="GV546" s="27" t="s">
        <v>7</v>
      </c>
      <c r="GW546" s="27" t="s">
        <v>8</v>
      </c>
      <c r="GX546" s="27" t="s">
        <v>7</v>
      </c>
    </row>
    <row r="547" spans="1:212" x14ac:dyDescent="0.25">
      <c r="A547" s="7">
        <v>2.208039663614854</v>
      </c>
      <c r="B547"/>
      <c r="C547"/>
      <c r="D547"/>
      <c r="E547"/>
      <c r="AW547" s="27" t="s">
        <v>8</v>
      </c>
      <c r="AX547" s="27" t="s">
        <v>7</v>
      </c>
      <c r="AY547" s="27" t="s">
        <v>8</v>
      </c>
      <c r="AZ547" s="27" t="s">
        <v>7</v>
      </c>
      <c r="BA547" s="27" t="s">
        <v>8</v>
      </c>
      <c r="BB547" s="27" t="s">
        <v>7</v>
      </c>
      <c r="BC547" s="27" t="s">
        <v>8</v>
      </c>
      <c r="BD547" s="27" t="s">
        <v>7</v>
      </c>
      <c r="DP547" s="27" t="s">
        <v>7</v>
      </c>
      <c r="DQ547" s="27" t="s">
        <v>8</v>
      </c>
      <c r="DR547" s="27" t="s">
        <v>7</v>
      </c>
      <c r="DS547" s="27" t="s">
        <v>8</v>
      </c>
      <c r="DT547" s="27" t="s">
        <v>7</v>
      </c>
      <c r="DU547" s="27" t="s">
        <v>8</v>
      </c>
      <c r="DV547" s="27" t="s">
        <v>7</v>
      </c>
      <c r="DW547" s="27" t="s">
        <v>8</v>
      </c>
      <c r="DZ547" s="27" t="s">
        <v>7</v>
      </c>
      <c r="EB547" s="27" t="s">
        <v>7</v>
      </c>
      <c r="EC547" s="27" t="s">
        <v>8</v>
      </c>
      <c r="EG547" s="27" t="s">
        <v>8</v>
      </c>
      <c r="EH547" s="27" t="s">
        <v>7</v>
      </c>
      <c r="EM547" s="27" t="s">
        <v>8</v>
      </c>
      <c r="EN547" s="27" t="s">
        <v>7</v>
      </c>
      <c r="EO547" s="27" t="s">
        <v>8</v>
      </c>
      <c r="EP547" s="27" t="s">
        <v>7</v>
      </c>
      <c r="GT547" s="27" t="s">
        <v>7</v>
      </c>
      <c r="GV547" s="27" t="s">
        <v>7</v>
      </c>
      <c r="GW547" s="27" t="s">
        <v>8</v>
      </c>
      <c r="GX547" s="27" t="s">
        <v>7</v>
      </c>
      <c r="GY547" s="27" t="s">
        <v>8</v>
      </c>
    </row>
    <row r="548" spans="1:212" x14ac:dyDescent="0.25">
      <c r="A548" s="7">
        <v>2.1647447682498568</v>
      </c>
      <c r="B548"/>
      <c r="C548"/>
      <c r="D548"/>
      <c r="E548"/>
      <c r="AW548" s="27" t="s">
        <v>8</v>
      </c>
      <c r="AX548" s="27" t="s">
        <v>7</v>
      </c>
      <c r="AY548" s="27" t="s">
        <v>8</v>
      </c>
      <c r="AZ548" s="27" t="s">
        <v>7</v>
      </c>
      <c r="BB548" s="27" t="s">
        <v>7</v>
      </c>
      <c r="BC548" s="27" t="s">
        <v>8</v>
      </c>
      <c r="DP548" s="27" t="s">
        <v>7</v>
      </c>
      <c r="DQ548" s="27" t="s">
        <v>8</v>
      </c>
      <c r="DR548" s="27" t="s">
        <v>7</v>
      </c>
      <c r="DS548" s="27" t="s">
        <v>8</v>
      </c>
      <c r="DT548" s="27" t="s">
        <v>7</v>
      </c>
      <c r="DU548" s="27" t="s">
        <v>8</v>
      </c>
      <c r="DV548" s="27" t="s">
        <v>7</v>
      </c>
      <c r="EB548" s="27" t="s">
        <v>7</v>
      </c>
      <c r="EC548" s="27" t="s">
        <v>8</v>
      </c>
      <c r="ED548" s="27" t="s">
        <v>7</v>
      </c>
      <c r="EE548" s="27" t="s">
        <v>8</v>
      </c>
      <c r="EG548" s="27" t="s">
        <v>8</v>
      </c>
      <c r="EH548" s="27" t="s">
        <v>7</v>
      </c>
      <c r="EM548" s="27" t="s">
        <v>8</v>
      </c>
      <c r="EN548" s="27" t="s">
        <v>7</v>
      </c>
      <c r="EO548" s="27" t="s">
        <v>8</v>
      </c>
      <c r="GV548" s="27" t="s">
        <v>7</v>
      </c>
      <c r="GW548" s="27" t="s">
        <v>8</v>
      </c>
      <c r="GX548" s="27" t="s">
        <v>7</v>
      </c>
      <c r="GY548" s="27" t="s">
        <v>8</v>
      </c>
      <c r="GZ548" s="27" t="s">
        <v>7</v>
      </c>
    </row>
    <row r="549" spans="1:212" x14ac:dyDescent="0.25">
      <c r="A549" s="7">
        <v>2.1222987924018204</v>
      </c>
      <c r="B549"/>
      <c r="C549"/>
      <c r="D549"/>
      <c r="E549"/>
      <c r="AW549" s="27" t="s">
        <v>8</v>
      </c>
      <c r="AX549" s="27" t="s">
        <v>7</v>
      </c>
      <c r="AY549" s="27" t="s">
        <v>8</v>
      </c>
      <c r="BB549" s="27" t="s">
        <v>7</v>
      </c>
      <c r="BC549" s="27" t="s">
        <v>8</v>
      </c>
      <c r="DP549" s="27" t="s">
        <v>7</v>
      </c>
      <c r="DQ549" s="27" t="s">
        <v>8</v>
      </c>
      <c r="DR549" s="27" t="s">
        <v>7</v>
      </c>
      <c r="DT549" s="27" t="s">
        <v>7</v>
      </c>
      <c r="DU549" s="27" t="s">
        <v>8</v>
      </c>
      <c r="EB549" s="27" t="s">
        <v>7</v>
      </c>
      <c r="EC549" s="27" t="s">
        <v>8</v>
      </c>
      <c r="ED549" s="27" t="s">
        <v>7</v>
      </c>
      <c r="EE549" s="27" t="s">
        <v>8</v>
      </c>
      <c r="EF549" s="27" t="s">
        <v>7</v>
      </c>
      <c r="EG549" s="27" t="s">
        <v>8</v>
      </c>
      <c r="EH549" s="27" t="s">
        <v>7</v>
      </c>
      <c r="EM549" s="27" t="s">
        <v>8</v>
      </c>
      <c r="EN549" s="27" t="s">
        <v>7</v>
      </c>
      <c r="EO549" s="27" t="s">
        <v>8</v>
      </c>
      <c r="GV549" s="27" t="s">
        <v>7</v>
      </c>
      <c r="GW549" s="27" t="s">
        <v>8</v>
      </c>
      <c r="GX549" s="27" t="s">
        <v>7</v>
      </c>
      <c r="GY549" s="27" t="s">
        <v>8</v>
      </c>
      <c r="GZ549" s="27" t="s">
        <v>7</v>
      </c>
      <c r="HC549" s="27" t="s">
        <v>8</v>
      </c>
    </row>
    <row r="550" spans="1:212" x14ac:dyDescent="0.25">
      <c r="A550" s="7">
        <v>2.0806850905900198</v>
      </c>
      <c r="B550"/>
      <c r="C550"/>
      <c r="D550"/>
      <c r="E550"/>
      <c r="AW550" s="27" t="s">
        <v>8</v>
      </c>
      <c r="AX550" s="27" t="s">
        <v>7</v>
      </c>
      <c r="AY550" s="27" t="s">
        <v>8</v>
      </c>
      <c r="BB550" s="27" t="s">
        <v>7</v>
      </c>
      <c r="BC550" s="27" t="s">
        <v>8</v>
      </c>
      <c r="DP550" s="27" t="s">
        <v>7</v>
      </c>
      <c r="DQ550" s="27" t="s">
        <v>8</v>
      </c>
      <c r="DT550" s="27" t="s">
        <v>7</v>
      </c>
      <c r="DU550" s="27" t="s">
        <v>8</v>
      </c>
      <c r="EB550" s="27" t="s">
        <v>7</v>
      </c>
      <c r="EC550" s="27" t="s">
        <v>8</v>
      </c>
      <c r="ED550" s="27" t="s">
        <v>7</v>
      </c>
      <c r="EE550" s="27" t="s">
        <v>8</v>
      </c>
      <c r="EF550" s="27" t="s">
        <v>7</v>
      </c>
      <c r="EG550" s="27" t="s">
        <v>8</v>
      </c>
      <c r="EH550" s="27" t="s">
        <v>7</v>
      </c>
      <c r="EK550" s="27" t="s">
        <v>8</v>
      </c>
      <c r="EM550" s="27" t="s">
        <v>8</v>
      </c>
      <c r="EN550" s="27" t="s">
        <v>7</v>
      </c>
      <c r="EO550" s="27" t="s">
        <v>8</v>
      </c>
      <c r="GV550" s="27" t="s">
        <v>7</v>
      </c>
      <c r="GW550" s="27" t="s">
        <v>8</v>
      </c>
      <c r="GX550" s="27" t="s">
        <v>7</v>
      </c>
      <c r="GY550" s="27" t="s">
        <v>8</v>
      </c>
      <c r="GZ550" s="27" t="s">
        <v>7</v>
      </c>
      <c r="HC550" s="27" t="s">
        <v>8</v>
      </c>
      <c r="HD550" s="27" t="s">
        <v>7</v>
      </c>
    </row>
    <row r="551" spans="1:212" x14ac:dyDescent="0.25">
      <c r="A551" s="7">
        <v>2.0398873437157055</v>
      </c>
      <c r="B551"/>
      <c r="C551"/>
      <c r="D551"/>
      <c r="E551"/>
      <c r="AW551" s="27" t="s">
        <v>8</v>
      </c>
      <c r="AX551" s="27" t="s">
        <v>7</v>
      </c>
      <c r="AY551" s="27" t="s">
        <v>8</v>
      </c>
      <c r="BB551" s="27" t="s">
        <v>7</v>
      </c>
      <c r="BC551" s="27" t="s">
        <v>8</v>
      </c>
      <c r="DP551" s="27" t="s">
        <v>7</v>
      </c>
      <c r="DQ551" s="27" t="s">
        <v>8</v>
      </c>
      <c r="DT551" s="27" t="s">
        <v>7</v>
      </c>
      <c r="EB551" s="27" t="s">
        <v>7</v>
      </c>
      <c r="ED551" s="27" t="s">
        <v>7</v>
      </c>
      <c r="EF551" s="27" t="s">
        <v>7</v>
      </c>
      <c r="EG551" s="27" t="s">
        <v>8</v>
      </c>
      <c r="EH551" s="27" t="s">
        <v>7</v>
      </c>
      <c r="EK551" s="27" t="s">
        <v>8</v>
      </c>
      <c r="EL551" s="27" t="s">
        <v>7</v>
      </c>
      <c r="EM551" s="27" t="s">
        <v>8</v>
      </c>
      <c r="EN551" s="27" t="s">
        <v>7</v>
      </c>
      <c r="GV551" s="27" t="s">
        <v>7</v>
      </c>
      <c r="GW551" s="27" t="s">
        <v>8</v>
      </c>
      <c r="GX551" s="27" t="s">
        <v>7</v>
      </c>
      <c r="GY551" s="27" t="s">
        <v>8</v>
      </c>
      <c r="GZ551" s="27" t="s">
        <v>7</v>
      </c>
      <c r="HA551" s="27" t="s">
        <v>8</v>
      </c>
      <c r="HC551" s="27" t="s">
        <v>8</v>
      </c>
      <c r="HD551" s="27" t="s">
        <v>7</v>
      </c>
    </row>
    <row r="552" spans="1:212" x14ac:dyDescent="0.25">
      <c r="A552" s="7">
        <v>1.9998895526624565</v>
      </c>
      <c r="B552"/>
      <c r="C552"/>
      <c r="D552"/>
      <c r="E552"/>
      <c r="AS552" s="27" t="s">
        <v>8</v>
      </c>
      <c r="AW552" s="27" t="s">
        <v>8</v>
      </c>
      <c r="AX552" s="27" t="s">
        <v>7</v>
      </c>
      <c r="AY552" s="27" t="s">
        <v>8</v>
      </c>
      <c r="BB552" s="27" t="s">
        <v>7</v>
      </c>
      <c r="BC552" s="27" t="s">
        <v>8</v>
      </c>
      <c r="DP552" s="27" t="s">
        <v>7</v>
      </c>
      <c r="DQ552" s="27" t="s">
        <v>8</v>
      </c>
      <c r="EF552" s="27" t="s">
        <v>7</v>
      </c>
      <c r="EG552" s="27" t="s">
        <v>8</v>
      </c>
      <c r="EH552" s="27" t="s">
        <v>7</v>
      </c>
      <c r="EK552" s="27" t="s">
        <v>8</v>
      </c>
      <c r="EL552" s="27" t="s">
        <v>7</v>
      </c>
      <c r="EM552" s="27" t="s">
        <v>8</v>
      </c>
      <c r="GV552" s="27" t="s">
        <v>7</v>
      </c>
      <c r="GW552" s="27" t="s">
        <v>8</v>
      </c>
      <c r="GX552" s="27" t="s">
        <v>7</v>
      </c>
      <c r="GY552" s="27" t="s">
        <v>8</v>
      </c>
      <c r="GZ552" s="27" t="s">
        <v>7</v>
      </c>
      <c r="HA552" s="27" t="s">
        <v>8</v>
      </c>
      <c r="HB552" s="27" t="s">
        <v>7</v>
      </c>
      <c r="HC552" s="27" t="s">
        <v>8</v>
      </c>
      <c r="HD552" s="27" t="s">
        <v>7</v>
      </c>
    </row>
    <row r="553" spans="1:212" x14ac:dyDescent="0.25">
      <c r="A553" s="7">
        <v>1.9606760320220162</v>
      </c>
      <c r="B553"/>
      <c r="C553"/>
      <c r="D553"/>
      <c r="E553"/>
      <c r="AS553" s="27" t="s">
        <v>8</v>
      </c>
      <c r="AT553" s="27" t="s">
        <v>7</v>
      </c>
      <c r="AW553" s="27" t="s">
        <v>8</v>
      </c>
      <c r="AX553" s="27" t="s">
        <v>7</v>
      </c>
      <c r="AY553" s="27" t="s">
        <v>8</v>
      </c>
      <c r="BB553" s="27" t="s">
        <v>7</v>
      </c>
      <c r="DP553" s="27" t="s">
        <v>7</v>
      </c>
      <c r="DQ553" s="27" t="s">
        <v>8</v>
      </c>
      <c r="EF553" s="27" t="s">
        <v>7</v>
      </c>
      <c r="EG553" s="27" t="s">
        <v>8</v>
      </c>
      <c r="EH553" s="27" t="s">
        <v>7</v>
      </c>
      <c r="EK553" s="27" t="s">
        <v>8</v>
      </c>
      <c r="EL553" s="27" t="s">
        <v>7</v>
      </c>
      <c r="EM553" s="27" t="s">
        <v>8</v>
      </c>
      <c r="GV553" s="27" t="s">
        <v>7</v>
      </c>
      <c r="GW553" s="27" t="s">
        <v>8</v>
      </c>
      <c r="GX553" s="27" t="s">
        <v>7</v>
      </c>
      <c r="GY553" s="27" t="s">
        <v>8</v>
      </c>
      <c r="GZ553" s="27" t="s">
        <v>7</v>
      </c>
      <c r="HA553" s="27" t="s">
        <v>8</v>
      </c>
      <c r="HB553" s="27" t="s">
        <v>7</v>
      </c>
      <c r="HC553" s="27" t="s">
        <v>8</v>
      </c>
      <c r="HD553" s="27" t="s">
        <v>7</v>
      </c>
    </row>
    <row r="554" spans="1:212" x14ac:dyDescent="0.25">
      <c r="A554" s="7">
        <v>1.9222314039431532</v>
      </c>
      <c r="B554"/>
      <c r="C554"/>
      <c r="D554"/>
      <c r="E554"/>
      <c r="AM554" s="27" t="s">
        <v>8</v>
      </c>
      <c r="AS554" s="27" t="s">
        <v>8</v>
      </c>
      <c r="AT554" s="27" t="s">
        <v>7</v>
      </c>
      <c r="AU554" s="27" t="s">
        <v>8</v>
      </c>
      <c r="AW554" s="27" t="s">
        <v>8</v>
      </c>
      <c r="AX554" s="27" t="s">
        <v>7</v>
      </c>
      <c r="DP554" s="27" t="s">
        <v>7</v>
      </c>
      <c r="DQ554" s="27" t="s">
        <v>8</v>
      </c>
      <c r="EF554" s="27" t="s">
        <v>7</v>
      </c>
      <c r="EG554" s="27" t="s">
        <v>8</v>
      </c>
      <c r="EH554" s="27" t="s">
        <v>7</v>
      </c>
      <c r="EI554" s="27" t="s">
        <v>8</v>
      </c>
      <c r="EK554" s="27" t="s">
        <v>8</v>
      </c>
      <c r="EL554" s="27" t="s">
        <v>7</v>
      </c>
      <c r="EM554" s="27" t="s">
        <v>8</v>
      </c>
      <c r="GV554" s="27" t="s">
        <v>7</v>
      </c>
      <c r="GW554" s="27" t="s">
        <v>8</v>
      </c>
      <c r="GX554" s="27" t="s">
        <v>7</v>
      </c>
      <c r="GY554" s="27" t="s">
        <v>8</v>
      </c>
      <c r="GZ554" s="27" t="s">
        <v>7</v>
      </c>
      <c r="HA554" s="27" t="s">
        <v>8</v>
      </c>
      <c r="HB554" s="27" t="s">
        <v>7</v>
      </c>
      <c r="HC554" s="27" t="s">
        <v>8</v>
      </c>
      <c r="HD554" s="27" t="s">
        <v>7</v>
      </c>
    </row>
    <row r="555" spans="1:212" x14ac:dyDescent="0.25">
      <c r="A555" s="7">
        <v>1.8845405921011305</v>
      </c>
      <c r="B555"/>
      <c r="C555"/>
      <c r="D555"/>
      <c r="E555"/>
      <c r="AM555" s="27" t="s">
        <v>8</v>
      </c>
      <c r="AN555" s="27" t="s">
        <v>7</v>
      </c>
      <c r="AS555" s="27" t="s">
        <v>8</v>
      </c>
      <c r="AT555" s="27" t="s">
        <v>7</v>
      </c>
      <c r="AU555" s="27" t="s">
        <v>8</v>
      </c>
      <c r="AV555" s="27" t="s">
        <v>7</v>
      </c>
      <c r="AW555" s="27" t="s">
        <v>8</v>
      </c>
      <c r="DP555" s="27" t="s">
        <v>7</v>
      </c>
      <c r="DQ555" s="27" t="s">
        <v>8</v>
      </c>
      <c r="EF555" s="27" t="s">
        <v>7</v>
      </c>
      <c r="EH555" s="27" t="s">
        <v>7</v>
      </c>
      <c r="EI555" s="27" t="s">
        <v>8</v>
      </c>
      <c r="EJ555" s="27" t="s">
        <v>7</v>
      </c>
      <c r="EK555" s="27" t="s">
        <v>8</v>
      </c>
      <c r="EL555" s="27" t="s">
        <v>7</v>
      </c>
      <c r="GV555" s="27" t="s">
        <v>7</v>
      </c>
      <c r="GW555" s="27" t="s">
        <v>8</v>
      </c>
      <c r="GX555" s="27" t="s">
        <v>7</v>
      </c>
      <c r="GY555" s="27" t="s">
        <v>8</v>
      </c>
      <c r="GZ555" s="27" t="s">
        <v>7</v>
      </c>
      <c r="HA555" s="27" t="s">
        <v>8</v>
      </c>
      <c r="HB555" s="27" t="s">
        <v>7</v>
      </c>
      <c r="HC555" s="27" t="s">
        <v>8</v>
      </c>
      <c r="HD555" s="27" t="s">
        <v>7</v>
      </c>
    </row>
    <row r="556" spans="1:212" x14ac:dyDescent="0.25">
      <c r="A556" s="7">
        <v>1.8475888157854219</v>
      </c>
      <c r="B556"/>
      <c r="C556"/>
      <c r="D556"/>
      <c r="E556"/>
      <c r="AM556" s="27" t="s">
        <v>8</v>
      </c>
      <c r="AN556" s="27" t="s">
        <v>7</v>
      </c>
      <c r="AO556" s="27" t="s">
        <v>8</v>
      </c>
      <c r="AS556" s="27" t="s">
        <v>8</v>
      </c>
      <c r="AT556" s="27" t="s">
        <v>7</v>
      </c>
      <c r="AU556" s="27" t="s">
        <v>8</v>
      </c>
      <c r="AV556" s="27" t="s">
        <v>7</v>
      </c>
      <c r="AW556" s="27" t="s">
        <v>8</v>
      </c>
      <c r="DP556" s="27" t="s">
        <v>7</v>
      </c>
      <c r="DQ556" s="27" t="s">
        <v>8</v>
      </c>
      <c r="EH556" s="27" t="s">
        <v>7</v>
      </c>
      <c r="EI556" s="27" t="s">
        <v>8</v>
      </c>
      <c r="EJ556" s="27" t="s">
        <v>7</v>
      </c>
      <c r="EK556" s="27" t="s">
        <v>8</v>
      </c>
      <c r="GV556" s="27" t="s">
        <v>7</v>
      </c>
      <c r="GW556" s="27" t="s">
        <v>8</v>
      </c>
      <c r="GX556" s="27" t="s">
        <v>7</v>
      </c>
      <c r="GY556" s="27" t="s">
        <v>8</v>
      </c>
      <c r="GZ556" s="27" t="s">
        <v>7</v>
      </c>
      <c r="HA556" s="27" t="s">
        <v>8</v>
      </c>
      <c r="HB556" s="27" t="s">
        <v>7</v>
      </c>
      <c r="HC556" s="27" t="s">
        <v>8</v>
      </c>
      <c r="HD556" s="27" t="s">
        <v>7</v>
      </c>
    </row>
    <row r="557" spans="1:212" x14ac:dyDescent="0.25">
      <c r="A557" s="7">
        <v>1.8113615841033548</v>
      </c>
      <c r="B557"/>
      <c r="C557"/>
      <c r="D557"/>
      <c r="E557"/>
      <c r="AM557" s="27" t="s">
        <v>8</v>
      </c>
      <c r="AN557" s="27" t="s">
        <v>7</v>
      </c>
      <c r="AO557" s="27" t="s">
        <v>8</v>
      </c>
      <c r="AP557" s="27" t="s">
        <v>7</v>
      </c>
      <c r="AQ557" s="27" t="s">
        <v>8</v>
      </c>
      <c r="AS557" s="27" t="s">
        <v>8</v>
      </c>
      <c r="AT557" s="27" t="s">
        <v>7</v>
      </c>
      <c r="AU557" s="27" t="s">
        <v>8</v>
      </c>
      <c r="AV557" s="27" t="s">
        <v>7</v>
      </c>
      <c r="AW557" s="27" t="s">
        <v>8</v>
      </c>
      <c r="DP557" s="27" t="s">
        <v>7</v>
      </c>
      <c r="EH557" s="27" t="s">
        <v>7</v>
      </c>
      <c r="EI557" s="27" t="s">
        <v>8</v>
      </c>
      <c r="EJ557" s="27" t="s">
        <v>7</v>
      </c>
      <c r="EK557" s="27" t="s">
        <v>8</v>
      </c>
      <c r="GV557" s="27" t="s">
        <v>7</v>
      </c>
      <c r="GX557" s="27" t="s">
        <v>7</v>
      </c>
      <c r="GY557" s="27" t="s">
        <v>8</v>
      </c>
      <c r="GZ557" s="27" t="s">
        <v>7</v>
      </c>
      <c r="HA557" s="27" t="s">
        <v>8</v>
      </c>
      <c r="HB557" s="27" t="s">
        <v>7</v>
      </c>
      <c r="HC557" s="27" t="s">
        <v>8</v>
      </c>
      <c r="HD557" s="27" t="s">
        <v>7</v>
      </c>
    </row>
    <row r="558" spans="1:212" x14ac:dyDescent="0.25">
      <c r="A558" s="7">
        <v>1.7758446902974065</v>
      </c>
      <c r="B558"/>
      <c r="C558"/>
      <c r="D558"/>
      <c r="E558"/>
      <c r="AM558" s="27" t="s">
        <v>8</v>
      </c>
      <c r="AN558" s="27" t="s">
        <v>7</v>
      </c>
      <c r="AO558" s="27" t="s">
        <v>8</v>
      </c>
      <c r="AP558" s="27" t="s">
        <v>7</v>
      </c>
      <c r="AQ558" s="27" t="s">
        <v>8</v>
      </c>
      <c r="AR558" s="27" t="s">
        <v>7</v>
      </c>
      <c r="AS558" s="27" t="s">
        <v>8</v>
      </c>
      <c r="AT558" s="27" t="s">
        <v>7</v>
      </c>
      <c r="AU558" s="27" t="s">
        <v>8</v>
      </c>
      <c r="AV558" s="27" t="s">
        <v>7</v>
      </c>
      <c r="AW558" s="27" t="s">
        <v>8</v>
      </c>
      <c r="EH558" s="18" t="s">
        <v>7</v>
      </c>
      <c r="EI558" s="27" t="s">
        <v>8</v>
      </c>
      <c r="EJ558" s="27" t="s">
        <v>7</v>
      </c>
      <c r="GX558" s="27" t="s">
        <v>7</v>
      </c>
      <c r="GY558" s="27" t="s">
        <v>8</v>
      </c>
      <c r="GZ558" s="27" t="s">
        <v>7</v>
      </c>
      <c r="HA558" s="27" t="s">
        <v>8</v>
      </c>
      <c r="HB558" s="27" t="s">
        <v>7</v>
      </c>
      <c r="HC558" s="27" t="s">
        <v>8</v>
      </c>
      <c r="HD558" s="27" t="s">
        <v>7</v>
      </c>
    </row>
    <row r="559" spans="1:212" x14ac:dyDescent="0.25">
      <c r="A559" s="7">
        <v>1.7410242061739281</v>
      </c>
      <c r="B559"/>
      <c r="C559"/>
      <c r="D559"/>
      <c r="E559"/>
      <c r="AM559" s="27" t="s">
        <v>8</v>
      </c>
      <c r="AN559" s="27" t="s">
        <v>7</v>
      </c>
      <c r="AO559" s="27" t="s">
        <v>8</v>
      </c>
      <c r="AP559" s="27" t="s">
        <v>7</v>
      </c>
      <c r="AQ559" s="27" t="s">
        <v>8</v>
      </c>
      <c r="AR559" s="27" t="s">
        <v>7</v>
      </c>
      <c r="AS559" s="27" t="s">
        <v>8</v>
      </c>
      <c r="AT559" s="27" t="s">
        <v>7</v>
      </c>
      <c r="AV559" s="27" t="s">
        <v>7</v>
      </c>
      <c r="AW559" s="27" t="s">
        <v>8</v>
      </c>
      <c r="EH559" s="27" t="s">
        <v>7</v>
      </c>
      <c r="EI559" s="27" t="s">
        <v>8</v>
      </c>
      <c r="GX559" s="27" t="s">
        <v>7</v>
      </c>
      <c r="GY559" s="27" t="s">
        <v>8</v>
      </c>
      <c r="GZ559" s="27" t="s">
        <v>7</v>
      </c>
      <c r="HA559" s="27" t="s">
        <v>8</v>
      </c>
      <c r="HB559" s="27" t="s">
        <v>7</v>
      </c>
      <c r="HC559" s="27" t="s">
        <v>8</v>
      </c>
      <c r="HD559" s="27" t="s">
        <v>7</v>
      </c>
    </row>
    <row r="560" spans="1:212" x14ac:dyDescent="0.25">
      <c r="A560" s="7">
        <v>1.7068864766411058</v>
      </c>
      <c r="B560"/>
      <c r="C560"/>
      <c r="D560"/>
      <c r="E560"/>
      <c r="AM560" s="27" t="s">
        <v>8</v>
      </c>
      <c r="AN560" s="27" t="s">
        <v>7</v>
      </c>
      <c r="AO560" s="27" t="s">
        <v>8</v>
      </c>
      <c r="AP560" s="27" t="s">
        <v>7</v>
      </c>
      <c r="AQ560" s="27" t="s">
        <v>8</v>
      </c>
      <c r="AR560" s="27" t="s">
        <v>7</v>
      </c>
      <c r="AS560" s="27" t="s">
        <v>8</v>
      </c>
      <c r="AV560" s="27" t="s">
        <v>7</v>
      </c>
      <c r="AW560" s="27" t="s">
        <v>8</v>
      </c>
      <c r="EH560" s="27" t="s">
        <v>7</v>
      </c>
      <c r="EI560" s="27" t="s">
        <v>8</v>
      </c>
      <c r="GX560" s="27" t="s">
        <v>7</v>
      </c>
      <c r="GZ560" s="27" t="s">
        <v>7</v>
      </c>
      <c r="HA560" s="27" t="s">
        <v>8</v>
      </c>
      <c r="HB560" s="27" t="s">
        <v>7</v>
      </c>
      <c r="HC560" s="27" t="s">
        <v>8</v>
      </c>
      <c r="HD560" s="27" t="s">
        <v>7</v>
      </c>
    </row>
    <row r="561" spans="1:219" x14ac:dyDescent="0.25">
      <c r="A561" s="7">
        <v>1.6734181143540252</v>
      </c>
      <c r="B561"/>
      <c r="C561"/>
      <c r="D561"/>
      <c r="E561"/>
      <c r="AM561" s="27" t="s">
        <v>8</v>
      </c>
      <c r="AN561" s="27" t="s">
        <v>7</v>
      </c>
      <c r="AO561" s="27" t="s">
        <v>8</v>
      </c>
      <c r="AP561" s="27" t="s">
        <v>7</v>
      </c>
      <c r="AQ561" s="27" t="s">
        <v>8</v>
      </c>
      <c r="AR561" s="27" t="s">
        <v>7</v>
      </c>
      <c r="AS561" s="27" t="s">
        <v>8</v>
      </c>
      <c r="AV561" s="27" t="s">
        <v>7</v>
      </c>
      <c r="AW561" s="27" t="s">
        <v>8</v>
      </c>
      <c r="EH561" s="27" t="s">
        <v>7</v>
      </c>
      <c r="EI561" s="27" t="s">
        <v>8</v>
      </c>
      <c r="GZ561" s="27" t="s">
        <v>7</v>
      </c>
      <c r="HB561" s="27" t="s">
        <v>7</v>
      </c>
      <c r="HD561" s="27" t="s">
        <v>7</v>
      </c>
      <c r="HE561" s="27" t="s">
        <v>8</v>
      </c>
    </row>
    <row r="562" spans="1:219" x14ac:dyDescent="0.25">
      <c r="A562" s="7">
        <v>1.6406059944647307</v>
      </c>
      <c r="B562"/>
      <c r="C562"/>
      <c r="D562"/>
      <c r="E562"/>
      <c r="AM562" s="27" t="s">
        <v>8</v>
      </c>
      <c r="AN562" s="27" t="s">
        <v>7</v>
      </c>
      <c r="AO562" s="27" t="s">
        <v>8</v>
      </c>
      <c r="AP562" s="27" t="s">
        <v>7</v>
      </c>
      <c r="AQ562" s="27" t="s">
        <v>8</v>
      </c>
      <c r="AR562" s="27" t="s">
        <v>7</v>
      </c>
      <c r="AS562" s="27" t="s">
        <v>8</v>
      </c>
      <c r="AV562" s="27" t="s">
        <v>7</v>
      </c>
      <c r="EH562" s="27" t="s">
        <v>7</v>
      </c>
      <c r="EI562" s="27" t="s">
        <v>8</v>
      </c>
      <c r="HD562" s="27" t="s">
        <v>7</v>
      </c>
      <c r="HE562" s="27" t="s">
        <v>8</v>
      </c>
      <c r="HF562" s="27" t="s">
        <v>7</v>
      </c>
      <c r="HG562" s="27" t="s">
        <v>8</v>
      </c>
    </row>
    <row r="563" spans="1:219" x14ac:dyDescent="0.25">
      <c r="A563" s="7">
        <v>1.6084372494752261</v>
      </c>
      <c r="B563"/>
      <c r="C563"/>
      <c r="D563"/>
      <c r="E563"/>
      <c r="AI563" s="27" t="s">
        <v>8</v>
      </c>
      <c r="AM563" s="27" t="s">
        <v>8</v>
      </c>
      <c r="AN563" s="27" t="s">
        <v>7</v>
      </c>
      <c r="AO563" s="27" t="s">
        <v>8</v>
      </c>
      <c r="AP563" s="27" t="s">
        <v>7</v>
      </c>
      <c r="AQ563" s="27" t="s">
        <v>8</v>
      </c>
      <c r="AR563" s="27" t="s">
        <v>7</v>
      </c>
      <c r="EH563" s="27" t="s">
        <v>7</v>
      </c>
      <c r="EI563" s="27" t="s">
        <v>8</v>
      </c>
      <c r="HD563" s="27" t="s">
        <v>7</v>
      </c>
      <c r="HE563" s="27" t="s">
        <v>8</v>
      </c>
      <c r="HF563" s="27" t="s">
        <v>7</v>
      </c>
      <c r="HG563" s="27" t="s">
        <v>8</v>
      </c>
      <c r="HH563" s="27" t="s">
        <v>7</v>
      </c>
    </row>
    <row r="564" spans="1:219" x14ac:dyDescent="0.25">
      <c r="A564" s="7">
        <v>1.5768992641913981</v>
      </c>
      <c r="B564"/>
      <c r="C564"/>
      <c r="D564"/>
      <c r="E564"/>
      <c r="AI564" s="27" t="s">
        <v>8</v>
      </c>
      <c r="AJ564" s="27" t="s">
        <v>7</v>
      </c>
      <c r="AM564" s="27" t="s">
        <v>8</v>
      </c>
      <c r="AN564" s="27" t="s">
        <v>7</v>
      </c>
      <c r="AO564" s="27" t="s">
        <v>8</v>
      </c>
      <c r="AP564" s="27" t="s">
        <v>7</v>
      </c>
      <c r="AQ564" s="27" t="s">
        <v>8</v>
      </c>
      <c r="EH564" s="27" t="s">
        <v>7</v>
      </c>
      <c r="HD564" s="27" t="s">
        <v>7</v>
      </c>
      <c r="HE564" s="27" t="s">
        <v>8</v>
      </c>
      <c r="HF564" s="27" t="s">
        <v>7</v>
      </c>
      <c r="HG564" s="27" t="s">
        <v>8</v>
      </c>
      <c r="HH564" s="27" t="s">
        <v>7</v>
      </c>
    </row>
    <row r="565" spans="1:219" x14ac:dyDescent="0.25">
      <c r="A565" s="7">
        <v>1.5459796707758806</v>
      </c>
      <c r="B565"/>
      <c r="C565"/>
      <c r="D565"/>
      <c r="E565"/>
      <c r="AI565" s="27" t="s">
        <v>8</v>
      </c>
      <c r="AJ565" s="27" t="s">
        <v>7</v>
      </c>
      <c r="AK565" s="27" t="s">
        <v>8</v>
      </c>
      <c r="AM565" s="27" t="s">
        <v>8</v>
      </c>
      <c r="AN565" s="27" t="s">
        <v>7</v>
      </c>
      <c r="AP565" s="27" t="s">
        <v>7</v>
      </c>
      <c r="HD565" s="27" t="s">
        <v>7</v>
      </c>
      <c r="HE565" s="27" t="s">
        <v>8</v>
      </c>
      <c r="HF565" s="27" t="s">
        <v>7</v>
      </c>
      <c r="HG565" s="27" t="s">
        <v>8</v>
      </c>
      <c r="HH565" s="27" t="s">
        <v>7</v>
      </c>
    </row>
    <row r="566" spans="1:219" x14ac:dyDescent="0.25">
      <c r="A566" s="7">
        <v>1.5156663438979221</v>
      </c>
      <c r="B566"/>
      <c r="C566"/>
      <c r="D566"/>
      <c r="E566"/>
      <c r="AI566" s="27" t="s">
        <v>8</v>
      </c>
      <c r="AJ566" s="27" t="s">
        <v>7</v>
      </c>
      <c r="AK566" s="27" t="s">
        <v>8</v>
      </c>
      <c r="AL566" s="27" t="s">
        <v>7</v>
      </c>
      <c r="AM566" s="27" t="s">
        <v>8</v>
      </c>
      <c r="HD566" s="27" t="s">
        <v>7</v>
      </c>
      <c r="HE566" s="27" t="s">
        <v>8</v>
      </c>
      <c r="HF566" s="27" t="s">
        <v>7</v>
      </c>
      <c r="HH566" s="27" t="s">
        <v>7</v>
      </c>
    </row>
    <row r="567" spans="1:219" x14ac:dyDescent="0.25">
      <c r="A567" s="7">
        <v>1.4859473959783549</v>
      </c>
      <c r="B567"/>
      <c r="C567"/>
      <c r="D567"/>
      <c r="E567"/>
      <c r="AI567" s="27" t="s">
        <v>8</v>
      </c>
      <c r="AJ567" s="27" t="s">
        <v>7</v>
      </c>
      <c r="AK567" s="27" t="s">
        <v>8</v>
      </c>
      <c r="AL567" s="27" t="s">
        <v>7</v>
      </c>
      <c r="AM567" s="27" t="s">
        <v>8</v>
      </c>
      <c r="HD567" s="27" t="s">
        <v>7</v>
      </c>
      <c r="HE567" s="27" t="s">
        <v>8</v>
      </c>
      <c r="HH567" s="27" t="s">
        <v>7</v>
      </c>
    </row>
    <row r="568" spans="1:219" x14ac:dyDescent="0.25">
      <c r="A568" s="7">
        <v>1.4568111725277988</v>
      </c>
      <c r="B568"/>
      <c r="C568"/>
      <c r="D568"/>
      <c r="E568"/>
      <c r="AI568" s="27" t="s">
        <v>8</v>
      </c>
      <c r="AJ568" s="27" t="s">
        <v>7</v>
      </c>
      <c r="AK568" s="27" t="s">
        <v>8</v>
      </c>
      <c r="AL568" s="27" t="s">
        <v>7</v>
      </c>
      <c r="AM568" s="27" t="s">
        <v>8</v>
      </c>
      <c r="HD568" s="27" t="s">
        <v>7</v>
      </c>
      <c r="HE568" s="27" t="s">
        <v>8</v>
      </c>
      <c r="HH568" s="27" t="s">
        <v>7</v>
      </c>
    </row>
    <row r="569" spans="1:219" x14ac:dyDescent="0.25">
      <c r="A569" s="7">
        <v>1.4282462475762734</v>
      </c>
      <c r="B569"/>
      <c r="C569"/>
      <c r="D569"/>
      <c r="E569"/>
      <c r="AI569" s="27" t="s">
        <v>8</v>
      </c>
      <c r="AJ569" s="27" t="s">
        <v>7</v>
      </c>
      <c r="AK569" s="27" t="s">
        <v>8</v>
      </c>
      <c r="AL569" s="27" t="s">
        <v>7</v>
      </c>
      <c r="AM569" s="27" t="s">
        <v>8</v>
      </c>
      <c r="HD569" s="27" t="s">
        <v>7</v>
      </c>
      <c r="HH569" s="27" t="s">
        <v>7</v>
      </c>
    </row>
    <row r="570" spans="1:219" x14ac:dyDescent="0.25">
      <c r="A570" s="7">
        <v>1.4002414191924248</v>
      </c>
      <c r="B570"/>
      <c r="C570"/>
      <c r="D570"/>
      <c r="E570"/>
      <c r="AI570" s="27" t="s">
        <v>8</v>
      </c>
      <c r="AJ570" s="27" t="s">
        <v>7</v>
      </c>
      <c r="AK570" s="27" t="s">
        <v>8</v>
      </c>
      <c r="AL570" s="27" t="s">
        <v>7</v>
      </c>
      <c r="AM570" s="27" t="s">
        <v>8</v>
      </c>
      <c r="HH570" s="27" t="s">
        <v>7</v>
      </c>
    </row>
    <row r="571" spans="1:219" x14ac:dyDescent="0.25">
      <c r="A571" s="7">
        <v>1.3727857050906125</v>
      </c>
      <c r="B571"/>
      <c r="C571"/>
      <c r="D571"/>
      <c r="E571"/>
      <c r="AI571" s="27" t="s">
        <v>8</v>
      </c>
      <c r="AJ571" s="27" t="s">
        <v>7</v>
      </c>
      <c r="AK571" s="27" t="s">
        <v>8</v>
      </c>
      <c r="AL571" s="27" t="s">
        <v>7</v>
      </c>
      <c r="AM571" s="27" t="s">
        <v>8</v>
      </c>
      <c r="HH571" s="27" t="s">
        <v>7</v>
      </c>
    </row>
    <row r="572" spans="1:219" x14ac:dyDescent="0.25">
      <c r="A572" s="7">
        <v>1.3458683383241299</v>
      </c>
      <c r="B572"/>
      <c r="C572"/>
      <c r="D572"/>
      <c r="E572"/>
      <c r="AI572" s="27" t="s">
        <v>8</v>
      </c>
      <c r="AJ572" s="27" t="s">
        <v>7</v>
      </c>
      <c r="AL572" s="27" t="s">
        <v>7</v>
      </c>
      <c r="AM572" s="27" t="s">
        <v>8</v>
      </c>
      <c r="HH572" s="27" t="s">
        <v>7</v>
      </c>
    </row>
    <row r="573" spans="1:219" x14ac:dyDescent="0.25">
      <c r="A573" s="7">
        <v>1.3194787630628724</v>
      </c>
      <c r="B573"/>
      <c r="C573"/>
      <c r="D573"/>
      <c r="E573"/>
      <c r="AI573" s="27" t="s">
        <v>8</v>
      </c>
      <c r="AL573" s="27" t="s">
        <v>7</v>
      </c>
      <c r="AM573" s="27" t="s">
        <v>8</v>
      </c>
      <c r="HH573" s="27" t="s">
        <v>7</v>
      </c>
    </row>
    <row r="574" spans="1:219" x14ac:dyDescent="0.25">
      <c r="A574" s="7">
        <v>1.2936066304537963</v>
      </c>
      <c r="B574"/>
      <c r="C574"/>
      <c r="D574"/>
      <c r="E574"/>
      <c r="AI574" s="27" t="s">
        <v>8</v>
      </c>
      <c r="AL574" s="27" t="s">
        <v>7</v>
      </c>
      <c r="AM574" s="27" t="s">
        <v>8</v>
      </c>
      <c r="HH574" s="27" t="s">
        <v>7</v>
      </c>
    </row>
    <row r="575" spans="1:219" x14ac:dyDescent="0.25">
      <c r="A575" s="7">
        <v>1.2682417945625455</v>
      </c>
      <c r="B575"/>
      <c r="C575"/>
      <c r="D575"/>
      <c r="E575"/>
      <c r="AI575" s="27" t="s">
        <v>8</v>
      </c>
      <c r="AL575" s="27" t="s">
        <v>7</v>
      </c>
      <c r="AM575" s="27" t="s">
        <v>8</v>
      </c>
      <c r="HH575" s="27" t="s">
        <v>7</v>
      </c>
    </row>
    <row r="576" spans="1:219" x14ac:dyDescent="0.25">
      <c r="A576" s="7">
        <v>1.2433743083946525</v>
      </c>
      <c r="B576"/>
      <c r="C576"/>
      <c r="D576"/>
      <c r="E576"/>
      <c r="AI576" s="27" t="s">
        <v>8</v>
      </c>
      <c r="AL576" s="27" t="s">
        <v>7</v>
      </c>
      <c r="AM576" s="27" t="s">
        <v>8</v>
      </c>
      <c r="HH576" s="27" t="s">
        <v>7</v>
      </c>
      <c r="HK576" s="27" t="s">
        <v>8</v>
      </c>
    </row>
    <row r="577" spans="1:220" x14ac:dyDescent="0.25">
      <c r="A577" s="7">
        <v>1.2189944199947573</v>
      </c>
      <c r="B577"/>
      <c r="C577"/>
      <c r="D577"/>
      <c r="E577"/>
      <c r="AI577" s="27" t="s">
        <v>8</v>
      </c>
      <c r="AL577" s="27" t="s">
        <v>7</v>
      </c>
      <c r="AM577" s="27" t="s">
        <v>8</v>
      </c>
      <c r="HH577" s="27" t="s">
        <v>7</v>
      </c>
      <c r="HK577" s="27" t="s">
        <v>8</v>
      </c>
      <c r="HL577" s="27" t="s">
        <v>7</v>
      </c>
    </row>
    <row r="578" spans="1:220" x14ac:dyDescent="0.25">
      <c r="A578" s="7">
        <v>1.1950925686223111</v>
      </c>
      <c r="B578"/>
      <c r="C578"/>
      <c r="D578"/>
      <c r="E578"/>
      <c r="AI578" s="27" t="s">
        <v>8</v>
      </c>
      <c r="AL578" s="27" t="s">
        <v>7</v>
      </c>
      <c r="AM578" s="27" t="s">
        <v>8</v>
      </c>
      <c r="HH578" s="27" t="s">
        <v>7</v>
      </c>
      <c r="HK578" s="27" t="s">
        <v>8</v>
      </c>
      <c r="HL578" s="27" t="s">
        <v>7</v>
      </c>
    </row>
    <row r="579" spans="1:220" x14ac:dyDescent="0.25">
      <c r="A579" s="7">
        <v>1.1716593810022657</v>
      </c>
      <c r="B579"/>
      <c r="C579"/>
      <c r="D579"/>
      <c r="E579"/>
      <c r="AI579" s="27" t="s">
        <v>8</v>
      </c>
      <c r="AL579" s="27" t="s">
        <v>7</v>
      </c>
      <c r="HH579" s="27" t="s">
        <v>7</v>
      </c>
      <c r="HK579" s="27" t="s">
        <v>8</v>
      </c>
      <c r="HL579" s="27" t="s">
        <v>7</v>
      </c>
    </row>
    <row r="580" spans="1:220" x14ac:dyDescent="0.25">
      <c r="A580" s="7">
        <v>1.14868566764928</v>
      </c>
      <c r="B580"/>
      <c r="C580"/>
      <c r="D580"/>
      <c r="E580"/>
      <c r="AI580" s="27" t="s">
        <v>8</v>
      </c>
      <c r="HH580" s="27" t="s">
        <v>7</v>
      </c>
      <c r="HI580" s="27" t="s">
        <v>8</v>
      </c>
      <c r="HK580" s="27" t="s">
        <v>8</v>
      </c>
      <c r="HL580" s="27" t="s">
        <v>7</v>
      </c>
    </row>
    <row r="581" spans="1:220" x14ac:dyDescent="0.25">
      <c r="A581" s="7">
        <v>1.1261624192640001</v>
      </c>
      <c r="B581"/>
      <c r="C581"/>
      <c r="D581"/>
      <c r="E581"/>
      <c r="AI581" s="27" t="s">
        <v>8</v>
      </c>
      <c r="HH581" s="27" t="s">
        <v>7</v>
      </c>
      <c r="HI581" s="27" t="s">
        <v>8</v>
      </c>
      <c r="HJ581" s="27" t="s">
        <v>7</v>
      </c>
      <c r="HK581" s="27" t="s">
        <v>8</v>
      </c>
      <c r="HL581" s="27" t="s">
        <v>7</v>
      </c>
    </row>
    <row r="582" spans="1:220" x14ac:dyDescent="0.25">
      <c r="A582" s="7">
        <v>1.1040808032</v>
      </c>
      <c r="B582"/>
      <c r="C582"/>
      <c r="D582"/>
      <c r="E582"/>
      <c r="AI582" s="27" t="s">
        <v>8</v>
      </c>
      <c r="HH582" s="27" t="s">
        <v>7</v>
      </c>
      <c r="HI582" s="27" t="s">
        <v>8</v>
      </c>
      <c r="HJ582" s="27" t="s">
        <v>7</v>
      </c>
      <c r="HK582" s="27" t="s">
        <v>8</v>
      </c>
      <c r="HL582" s="27" t="s">
        <v>7</v>
      </c>
    </row>
    <row r="583" spans="1:220" x14ac:dyDescent="0.25">
      <c r="A583" s="7">
        <v>1.08243216</v>
      </c>
      <c r="B583"/>
      <c r="C583"/>
      <c r="D583"/>
      <c r="E583"/>
      <c r="AI583" s="27" t="s">
        <v>8</v>
      </c>
      <c r="HH583" s="27" t="s">
        <v>7</v>
      </c>
      <c r="HI583" s="27" t="s">
        <v>8</v>
      </c>
      <c r="HJ583" s="27" t="s">
        <v>7</v>
      </c>
      <c r="HK583" s="27" t="s">
        <v>8</v>
      </c>
    </row>
    <row r="584" spans="1:220" x14ac:dyDescent="0.25">
      <c r="A584" s="7">
        <v>1.0612079999999999</v>
      </c>
      <c r="B584"/>
      <c r="C584"/>
      <c r="D584"/>
      <c r="E584"/>
      <c r="AE584" s="27" t="s">
        <v>8</v>
      </c>
      <c r="AI584" s="27" t="s">
        <v>8</v>
      </c>
      <c r="HH584" s="27" t="s">
        <v>7</v>
      </c>
      <c r="HI584" s="27" t="s">
        <v>8</v>
      </c>
      <c r="HJ584" s="27" t="s">
        <v>7</v>
      </c>
      <c r="HK584" s="27" t="s">
        <v>8</v>
      </c>
    </row>
    <row r="585" spans="1:220" x14ac:dyDescent="0.25">
      <c r="A585" s="7">
        <v>1.0404</v>
      </c>
      <c r="B585"/>
      <c r="C585"/>
      <c r="D585"/>
      <c r="E585" t="s">
        <v>8</v>
      </c>
      <c r="AC585" s="27" t="s">
        <v>8</v>
      </c>
      <c r="AE585" s="27" t="s">
        <v>8</v>
      </c>
      <c r="AF585" s="27" t="s">
        <v>7</v>
      </c>
      <c r="AI585" s="27" t="s">
        <v>8</v>
      </c>
      <c r="HH585" s="27" t="s">
        <v>7</v>
      </c>
      <c r="HI585" s="27" t="s">
        <v>8</v>
      </c>
      <c r="HJ585" s="27" t="s">
        <v>7</v>
      </c>
      <c r="HK585" s="27" t="s">
        <v>8</v>
      </c>
    </row>
    <row r="586" spans="1:220" x14ac:dyDescent="0.25">
      <c r="A586" s="7">
        <v>1.02</v>
      </c>
      <c r="B586"/>
      <c r="C586"/>
      <c r="D586"/>
      <c r="E586" t="s">
        <v>8</v>
      </c>
      <c r="F586" s="27" t="s">
        <v>7</v>
      </c>
      <c r="AC586" s="27" t="s">
        <v>8</v>
      </c>
      <c r="AD586" s="27" t="s">
        <v>7</v>
      </c>
      <c r="AE586" s="27" t="s">
        <v>8</v>
      </c>
      <c r="AF586" s="27" t="s">
        <v>7</v>
      </c>
      <c r="AI586" s="27" t="s">
        <v>8</v>
      </c>
      <c r="HH586" s="27" t="s">
        <v>7</v>
      </c>
      <c r="HJ586" s="27" t="s">
        <v>7</v>
      </c>
      <c r="HK586" s="27" t="s">
        <v>8</v>
      </c>
    </row>
    <row r="587" spans="1:220" x14ac:dyDescent="0.25">
      <c r="A587" s="7">
        <v>1</v>
      </c>
      <c r="B587"/>
      <c r="C587"/>
      <c r="D587"/>
      <c r="E587" s="29" t="s">
        <v>8</v>
      </c>
      <c r="F587" s="27" t="s">
        <v>7</v>
      </c>
      <c r="AC587" s="27" t="s">
        <v>8</v>
      </c>
      <c r="AD587" s="27" t="s">
        <v>7</v>
      </c>
      <c r="AE587" s="27" t="s">
        <v>8</v>
      </c>
      <c r="AF587" s="27" t="s">
        <v>7</v>
      </c>
      <c r="AI587" s="27" t="s">
        <v>8</v>
      </c>
      <c r="HJ587" s="27" t="s">
        <v>7</v>
      </c>
      <c r="HK587" s="27" t="s">
        <v>8</v>
      </c>
    </row>
    <row r="588" spans="1:220" x14ac:dyDescent="0.25">
      <c r="A588" s="7">
        <v>0.98039215686274506</v>
      </c>
      <c r="B588"/>
      <c r="C588"/>
      <c r="D588"/>
      <c r="E588"/>
      <c r="F588" s="27" t="s">
        <v>7</v>
      </c>
      <c r="AC588" s="27" t="s">
        <v>8</v>
      </c>
      <c r="AD588" s="27" t="s">
        <v>7</v>
      </c>
      <c r="AE588" s="27" t="s">
        <v>8</v>
      </c>
      <c r="AF588" s="27" t="s">
        <v>7</v>
      </c>
      <c r="AI588" s="27" t="s">
        <v>8</v>
      </c>
      <c r="HJ588" s="27" t="s">
        <v>7</v>
      </c>
    </row>
    <row r="589" spans="1:220" x14ac:dyDescent="0.25">
      <c r="A589" s="7">
        <v>0.96116878123798544</v>
      </c>
      <c r="B589"/>
      <c r="C589"/>
      <c r="D589"/>
      <c r="E589"/>
      <c r="F589" s="27" t="s">
        <v>7</v>
      </c>
      <c r="AC589" s="27" t="s">
        <v>8</v>
      </c>
      <c r="AD589" s="27" t="s">
        <v>7</v>
      </c>
      <c r="AE589" s="27" t="s">
        <v>8</v>
      </c>
      <c r="AF589" s="27" t="s">
        <v>7</v>
      </c>
      <c r="AI589" s="27" t="s">
        <v>8</v>
      </c>
    </row>
    <row r="590" spans="1:220" x14ac:dyDescent="0.25">
      <c r="A590" s="7">
        <v>0.94232233454704462</v>
      </c>
      <c r="B590"/>
      <c r="C590"/>
      <c r="D590"/>
      <c r="E590"/>
      <c r="F590" s="27" t="s">
        <v>7</v>
      </c>
      <c r="AC590" s="27" t="s">
        <v>8</v>
      </c>
      <c r="AD590" s="27" t="s">
        <v>7</v>
      </c>
      <c r="AE590" s="27" t="s">
        <v>8</v>
      </c>
      <c r="AF590" s="27" t="s">
        <v>7</v>
      </c>
      <c r="AI590" s="27" t="s">
        <v>8</v>
      </c>
    </row>
    <row r="591" spans="1:220" x14ac:dyDescent="0.25">
      <c r="A591" s="7">
        <v>0.92384542602651432</v>
      </c>
      <c r="B591"/>
      <c r="C591"/>
      <c r="D591"/>
      <c r="E591"/>
      <c r="F591" s="27" t="s">
        <v>7</v>
      </c>
      <c r="AC591" s="27" t="s">
        <v>8</v>
      </c>
      <c r="AD591" s="27" t="s">
        <v>7</v>
      </c>
      <c r="AE591" s="27" t="s">
        <v>8</v>
      </c>
      <c r="AF591" s="27" t="s">
        <v>7</v>
      </c>
      <c r="AG591" s="27" t="s">
        <v>8</v>
      </c>
      <c r="AI591" s="27" t="s">
        <v>8</v>
      </c>
    </row>
    <row r="592" spans="1:220" x14ac:dyDescent="0.25">
      <c r="A592" s="7">
        <v>0.90573080982991594</v>
      </c>
      <c r="B592"/>
      <c r="C592"/>
      <c r="D592"/>
      <c r="E592"/>
      <c r="F592" s="27" t="s">
        <v>7</v>
      </c>
      <c r="AC592" s="27" t="s">
        <v>8</v>
      </c>
      <c r="AD592" s="27" t="s">
        <v>7</v>
      </c>
      <c r="AE592" s="27" t="s">
        <v>8</v>
      </c>
      <c r="AF592" s="27" t="s">
        <v>7</v>
      </c>
      <c r="AG592" s="27" t="s">
        <v>8</v>
      </c>
      <c r="AH592" s="27" t="s">
        <v>7</v>
      </c>
      <c r="AI592" s="27" t="s">
        <v>8</v>
      </c>
    </row>
    <row r="593" spans="1:35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I593" s="27" t="s">
        <v>8</v>
      </c>
      <c r="AC593" s="27" t="s">
        <v>8</v>
      </c>
      <c r="AD593" s="27" t="s">
        <v>7</v>
      </c>
      <c r="AF593" s="27" t="s">
        <v>7</v>
      </c>
      <c r="AG593" s="27" t="s">
        <v>8</v>
      </c>
      <c r="AH593" s="27" t="s">
        <v>7</v>
      </c>
      <c r="AI593" s="27" t="s">
        <v>8</v>
      </c>
    </row>
    <row r="594" spans="1:35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H594" s="27" t="s">
        <v>7</v>
      </c>
      <c r="I594" s="27" t="s">
        <v>8</v>
      </c>
      <c r="J594" s="27" t="s">
        <v>7</v>
      </c>
      <c r="AC594" s="27" t="s">
        <v>8</v>
      </c>
      <c r="AF594" s="27" t="s">
        <v>7</v>
      </c>
      <c r="AG594" s="27" t="s">
        <v>8</v>
      </c>
      <c r="AH594" s="27" t="s">
        <v>7</v>
      </c>
      <c r="AI594" s="27" t="s">
        <v>8</v>
      </c>
    </row>
    <row r="595" spans="1:35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I595" s="27" t="s">
        <v>8</v>
      </c>
      <c r="J595" s="27" t="s">
        <v>7</v>
      </c>
      <c r="U595" s="27" t="s">
        <v>8</v>
      </c>
      <c r="AC595" s="27" t="s">
        <v>8</v>
      </c>
      <c r="AF595" s="27" t="s">
        <v>7</v>
      </c>
      <c r="AG595" s="27" t="s">
        <v>8</v>
      </c>
      <c r="AH595" s="27" t="s">
        <v>7</v>
      </c>
    </row>
    <row r="596" spans="1:35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J596" s="27" t="s">
        <v>7</v>
      </c>
      <c r="K596" s="27" t="s">
        <v>8</v>
      </c>
      <c r="S596" s="27" t="s">
        <v>8</v>
      </c>
      <c r="U596" s="27" t="s">
        <v>8</v>
      </c>
      <c r="V596" s="27" t="s">
        <v>7</v>
      </c>
      <c r="AC596" s="27" t="s">
        <v>8</v>
      </c>
      <c r="AF596" s="27" t="s">
        <v>7</v>
      </c>
      <c r="AG596" s="27" t="s">
        <v>8</v>
      </c>
    </row>
    <row r="597" spans="1:35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J597" s="27" t="s">
        <v>7</v>
      </c>
      <c r="K597" s="27" t="s">
        <v>8</v>
      </c>
      <c r="L597" s="27" t="s">
        <v>7</v>
      </c>
      <c r="S597" s="27" t="s">
        <v>8</v>
      </c>
      <c r="T597" s="27" t="s">
        <v>7</v>
      </c>
      <c r="U597" s="27" t="s">
        <v>8</v>
      </c>
      <c r="V597" s="27" t="s">
        <v>7</v>
      </c>
      <c r="AC597" s="27" t="s">
        <v>8</v>
      </c>
      <c r="AF597" s="27" t="s">
        <v>7</v>
      </c>
      <c r="AG597" s="27" t="s">
        <v>8</v>
      </c>
    </row>
    <row r="598" spans="1:35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J598" s="27" t="s">
        <v>7</v>
      </c>
      <c r="K598" s="27" t="s">
        <v>8</v>
      </c>
      <c r="L598" s="27" t="s">
        <v>7</v>
      </c>
      <c r="M598" s="27" t="s">
        <v>8</v>
      </c>
      <c r="Q598" s="27" t="s">
        <v>8</v>
      </c>
      <c r="S598" s="27" t="s">
        <v>8</v>
      </c>
      <c r="T598" s="27" t="s">
        <v>7</v>
      </c>
      <c r="U598" s="27" t="s">
        <v>8</v>
      </c>
      <c r="V598" s="27" t="s">
        <v>7</v>
      </c>
      <c r="AA598" s="27" t="s">
        <v>8</v>
      </c>
      <c r="AC598" s="27" t="s">
        <v>8</v>
      </c>
      <c r="AF598" s="27" t="s">
        <v>7</v>
      </c>
      <c r="AG598" s="27" t="s">
        <v>8</v>
      </c>
    </row>
    <row r="599" spans="1:35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J599" s="27" t="s">
        <v>7</v>
      </c>
      <c r="L599" s="27" t="s">
        <v>7</v>
      </c>
      <c r="M599" s="27" t="s">
        <v>8</v>
      </c>
      <c r="N599" s="27" t="s">
        <v>7</v>
      </c>
      <c r="O599" s="27" t="s">
        <v>8</v>
      </c>
      <c r="Q599" s="27" t="s">
        <v>8</v>
      </c>
      <c r="R599" s="27" t="s">
        <v>7</v>
      </c>
      <c r="S599" s="27" t="s">
        <v>8</v>
      </c>
      <c r="T599" s="27" t="s">
        <v>7</v>
      </c>
      <c r="U599" s="27" t="s">
        <v>8</v>
      </c>
      <c r="V599" s="27" t="s">
        <v>7</v>
      </c>
      <c r="W599" s="27" t="s">
        <v>8</v>
      </c>
      <c r="Y599" s="27" t="s">
        <v>8</v>
      </c>
      <c r="AA599" s="27" t="s">
        <v>8</v>
      </c>
      <c r="AB599" s="27" t="s">
        <v>7</v>
      </c>
      <c r="AC599" s="27" t="s">
        <v>8</v>
      </c>
      <c r="AF599" s="27" t="s">
        <v>7</v>
      </c>
      <c r="AG599" s="27" t="s">
        <v>8</v>
      </c>
    </row>
    <row r="600" spans="1:35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L600" s="27" t="s">
        <v>7</v>
      </c>
      <c r="M600" s="27" t="s">
        <v>8</v>
      </c>
      <c r="N600" s="27" t="s">
        <v>7</v>
      </c>
      <c r="O600" s="27" t="s">
        <v>8</v>
      </c>
      <c r="P600" s="27" t="s">
        <v>7</v>
      </c>
      <c r="Q600" s="27" t="s">
        <v>8</v>
      </c>
      <c r="R600" s="27" t="s">
        <v>7</v>
      </c>
      <c r="S600" s="27" t="s">
        <v>8</v>
      </c>
      <c r="T600" s="27" t="s">
        <v>7</v>
      </c>
      <c r="V600" s="27" t="s">
        <v>7</v>
      </c>
      <c r="W600" s="27" t="s">
        <v>8</v>
      </c>
      <c r="X600" s="27" t="s">
        <v>7</v>
      </c>
      <c r="Y600" s="27" t="s">
        <v>8</v>
      </c>
      <c r="Z600" s="27" t="s">
        <v>7</v>
      </c>
      <c r="AA600" s="27" t="s">
        <v>8</v>
      </c>
      <c r="AB600" s="27" t="s">
        <v>7</v>
      </c>
      <c r="AC600" s="27" t="s">
        <v>8</v>
      </c>
      <c r="AF600" s="27" t="s">
        <v>7</v>
      </c>
    </row>
    <row r="601" spans="1:35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L601" s="27" t="s">
        <v>7</v>
      </c>
      <c r="N601" s="27" t="s">
        <v>7</v>
      </c>
      <c r="O601" s="27" t="s">
        <v>8</v>
      </c>
      <c r="P601" s="27" t="s">
        <v>7</v>
      </c>
      <c r="Q601" s="27" t="s">
        <v>8</v>
      </c>
      <c r="R601" s="27" t="s">
        <v>7</v>
      </c>
      <c r="V601" s="27" t="s">
        <v>7</v>
      </c>
      <c r="W601" s="27" t="s">
        <v>8</v>
      </c>
      <c r="X601" s="27" t="s">
        <v>7</v>
      </c>
      <c r="Y601" s="27" t="s">
        <v>8</v>
      </c>
      <c r="Z601" s="27" t="s">
        <v>7</v>
      </c>
      <c r="AA601" s="27" t="s">
        <v>8</v>
      </c>
      <c r="AB601" s="27" t="s">
        <v>7</v>
      </c>
      <c r="AC601" s="27" t="s">
        <v>8</v>
      </c>
    </row>
    <row r="602" spans="1:35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N602" s="27" t="s">
        <v>7</v>
      </c>
      <c r="O602" s="27" t="s">
        <v>8</v>
      </c>
      <c r="P602" s="27" t="s">
        <v>7</v>
      </c>
      <c r="Q602" s="27" t="s">
        <v>8</v>
      </c>
      <c r="V602" s="27" t="s">
        <v>7</v>
      </c>
      <c r="W602" s="27" t="s">
        <v>8</v>
      </c>
      <c r="X602" s="27" t="s">
        <v>7</v>
      </c>
      <c r="Y602" s="27" t="s">
        <v>8</v>
      </c>
      <c r="Z602" s="27" t="s">
        <v>7</v>
      </c>
      <c r="AA602" s="27" t="s">
        <v>8</v>
      </c>
      <c r="AB602" s="27" t="s">
        <v>7</v>
      </c>
    </row>
    <row r="603" spans="1:35" x14ac:dyDescent="0.25">
      <c r="A603" s="7">
        <v>0.72844581371423456</v>
      </c>
      <c r="B603"/>
      <c r="C603"/>
      <c r="D603"/>
      <c r="E603"/>
      <c r="F603" s="27" t="s">
        <v>7</v>
      </c>
      <c r="N603" s="27" t="s">
        <v>7</v>
      </c>
      <c r="O603" s="27" t="s">
        <v>8</v>
      </c>
      <c r="P603" s="27" t="s">
        <v>7</v>
      </c>
      <c r="Q603" s="27" t="s">
        <v>8</v>
      </c>
      <c r="V603" s="27" t="s">
        <v>7</v>
      </c>
      <c r="W603" s="27" t="s">
        <v>8</v>
      </c>
      <c r="X603" s="27" t="s">
        <v>7</v>
      </c>
      <c r="Z603" s="27" t="s">
        <v>7</v>
      </c>
      <c r="AA603" s="27" t="s">
        <v>8</v>
      </c>
    </row>
    <row r="604" spans="1:35" x14ac:dyDescent="0.25">
      <c r="A604" s="7">
        <v>0.71416256246493581</v>
      </c>
      <c r="B604"/>
      <c r="C604"/>
      <c r="D604"/>
      <c r="E604"/>
      <c r="N604" s="27" t="s">
        <v>7</v>
      </c>
      <c r="O604" s="27" t="s">
        <v>8</v>
      </c>
      <c r="P604" s="27" t="s">
        <v>7</v>
      </c>
      <c r="V604" s="27" t="s">
        <v>7</v>
      </c>
      <c r="W604" s="27" t="s">
        <v>8</v>
      </c>
      <c r="Z604" s="27" t="s">
        <v>7</v>
      </c>
      <c r="AA604" s="27" t="s">
        <v>8</v>
      </c>
    </row>
    <row r="605" spans="1:35" x14ac:dyDescent="0.25">
      <c r="A605" s="7">
        <v>0.7001593749656233</v>
      </c>
      <c r="B605"/>
      <c r="C605"/>
      <c r="D605"/>
      <c r="E605"/>
      <c r="N605" s="27" t="s">
        <v>7</v>
      </c>
      <c r="V605" s="27" t="s">
        <v>7</v>
      </c>
      <c r="W605" s="27" t="s">
        <v>8</v>
      </c>
      <c r="Z605" s="27" t="s">
        <v>7</v>
      </c>
    </row>
    <row r="606" spans="1:35" x14ac:dyDescent="0.25">
      <c r="A606" s="7">
        <v>0.68643075977021883</v>
      </c>
      <c r="B606"/>
      <c r="C606"/>
      <c r="D606"/>
      <c r="E606"/>
      <c r="V606" s="27" t="s">
        <v>7</v>
      </c>
      <c r="W606" s="27" t="s">
        <v>8</v>
      </c>
    </row>
    <row r="607" spans="1:35" x14ac:dyDescent="0.25">
      <c r="A607" s="7">
        <v>0.67297133310805768</v>
      </c>
      <c r="B607"/>
      <c r="C607"/>
      <c r="D607"/>
      <c r="E607"/>
      <c r="V607" s="27" t="s">
        <v>7</v>
      </c>
      <c r="W607" s="27" t="s">
        <v>8</v>
      </c>
    </row>
    <row r="608" spans="1:35" x14ac:dyDescent="0.25">
      <c r="A608" s="7">
        <v>0.65977581677260566</v>
      </c>
      <c r="B608"/>
      <c r="C608"/>
      <c r="D608"/>
      <c r="E608"/>
      <c r="V608" s="27" t="s">
        <v>7</v>
      </c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35" operator="equal">
      <formula>$U$1</formula>
    </cfRule>
    <cfRule type="cellIs" dxfId="89" priority="836" operator="equal">
      <formula>$S$1</formula>
    </cfRule>
  </conditionalFormatting>
  <conditionalFormatting sqref="D27">
    <cfRule type="cellIs" dxfId="88" priority="833" operator="equal">
      <formula>$S$1</formula>
    </cfRule>
    <cfRule type="cellIs" dxfId="87" priority="834" operator="equal">
      <formula>$U$1</formula>
    </cfRule>
  </conditionalFormatting>
  <conditionalFormatting sqref="C164">
    <cfRule type="cellIs" dxfId="86" priority="831" operator="equal">
      <formula>$U$1</formula>
    </cfRule>
    <cfRule type="cellIs" dxfId="85" priority="832" operator="equal">
      <formula>$S$1</formula>
    </cfRule>
  </conditionalFormatting>
  <conditionalFormatting sqref="D164">
    <cfRule type="cellIs" dxfId="84" priority="829" operator="equal">
      <formula>$S$1</formula>
    </cfRule>
    <cfRule type="cellIs" dxfId="83" priority="830" operator="equal">
      <formula>$U$1</formula>
    </cfRule>
  </conditionalFormatting>
  <conditionalFormatting sqref="C55">
    <cfRule type="cellIs" dxfId="82" priority="827" operator="equal">
      <formula>$U$1</formula>
    </cfRule>
    <cfRule type="cellIs" dxfId="81" priority="828" operator="equal">
      <formula>$S$1</formula>
    </cfRule>
  </conditionalFormatting>
  <conditionalFormatting sqref="D55">
    <cfRule type="cellIs" dxfId="80" priority="825" operator="equal">
      <formula>$S$1</formula>
    </cfRule>
    <cfRule type="cellIs" dxfId="79" priority="826" operator="equal">
      <formula>$U$1</formula>
    </cfRule>
  </conditionalFormatting>
  <conditionalFormatting sqref="C89">
    <cfRule type="cellIs" dxfId="78" priority="823" operator="equal">
      <formula>$U$1</formula>
    </cfRule>
    <cfRule type="cellIs" dxfId="77" priority="824" operator="equal">
      <formula>$S$1</formula>
    </cfRule>
  </conditionalFormatting>
  <conditionalFormatting sqref="D89">
    <cfRule type="cellIs" dxfId="76" priority="821" operator="equal">
      <formula>$S$1</formula>
    </cfRule>
    <cfRule type="cellIs" dxfId="75" priority="822" operator="equal">
      <formula>$U$1</formula>
    </cfRule>
  </conditionalFormatting>
  <conditionalFormatting sqref="C136">
    <cfRule type="cellIs" dxfId="74" priority="819" operator="equal">
      <formula>$U$1</formula>
    </cfRule>
    <cfRule type="cellIs" dxfId="73" priority="820" operator="equal">
      <formula>$S$1</formula>
    </cfRule>
  </conditionalFormatting>
  <conditionalFormatting sqref="D136">
    <cfRule type="cellIs" dxfId="72" priority="817" operator="equal">
      <formula>$S$1</formula>
    </cfRule>
    <cfRule type="cellIs" dxfId="71" priority="818" operator="equal">
      <formula>$U$1</formula>
    </cfRule>
  </conditionalFormatting>
  <conditionalFormatting sqref="C1">
    <cfRule type="cellIs" dxfId="70" priority="81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02" zoomScale="90" zoomScaleNormal="90" workbookViewId="0">
      <pane xSplit="4" topLeftCell="AX1" activePane="topRight" state="frozen"/>
      <selection activeCell="A109" sqref="A109"/>
      <selection pane="topRight" activeCell="DA236" sqref="DA23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$A$235</v>
      </c>
      <c r="D111" s="1" t="str">
        <f>ADDRESS(C121-1,D121,1,1)</f>
        <v>$DA$235</v>
      </c>
      <c r="E111"/>
    </row>
    <row r="112" spans="1:5" x14ac:dyDescent="0.25">
      <c r="A112" s="30">
        <v>515.50191262726139</v>
      </c>
      <c r="C112" s="1" t="str">
        <f>ADDRESS(C121,1,1,1)</f>
        <v>$A$236</v>
      </c>
      <c r="D112" s="1" t="str">
        <f>ADDRESS(C121,D121-1,1,1)</f>
        <v>$CZ$236</v>
      </c>
      <c r="E112"/>
    </row>
    <row r="113" spans="1:5" x14ac:dyDescent="0.25">
      <c r="A113" s="30">
        <v>490.95420250215363</v>
      </c>
      <c r="C113" s="1" t="str">
        <f>ADDRESS(C121+1,1,1,1)</f>
        <v>$A$237</v>
      </c>
      <c r="D113" s="1" t="str">
        <f>ADDRESS(C121-1,D121+1,1,1)</f>
        <v>$DB$235</v>
      </c>
    </row>
    <row r="114" spans="1:5" x14ac:dyDescent="0.25">
      <c r="A114" s="30">
        <v>467.57543095443202</v>
      </c>
      <c r="C114" s="1" t="str">
        <f>ADDRESS(C121,D121,1,1)</f>
        <v>$DA$236</v>
      </c>
      <c r="D114" s="1" t="str">
        <f>ADDRESS(C121+1,D121+1,1,1)</f>
        <v>$DB$237</v>
      </c>
    </row>
    <row r="115" spans="1:5" x14ac:dyDescent="0.25">
      <c r="A115" s="30">
        <v>445.30993424231622</v>
      </c>
      <c r="C115" s="1" t="str">
        <f>ADDRESS(C121+1,D121,1,1)</f>
        <v>$DA$237</v>
      </c>
    </row>
    <row r="116" spans="1:5" x14ac:dyDescent="0.25">
      <c r="A116" s="30">
        <v>424.10469927839637</v>
      </c>
      <c r="C116" s="1">
        <f>C117-1</f>
        <v>235</v>
      </c>
    </row>
    <row r="117" spans="1:5" x14ac:dyDescent="0.25">
      <c r="A117" s="30">
        <v>403.9092374079965</v>
      </c>
      <c r="C117" s="1">
        <f>C121</f>
        <v>236</v>
      </c>
      <c r="D117" s="1">
        <f>D121</f>
        <v>105</v>
      </c>
    </row>
    <row r="118" spans="1:5" x14ac:dyDescent="0.25">
      <c r="A118" s="30">
        <v>384.6754641980919</v>
      </c>
      <c r="C118" s="1">
        <f>C117+1</f>
        <v>237</v>
      </c>
      <c r="D118" s="1">
        <f>D117+1</f>
        <v>106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236</v>
      </c>
      <c r="D121" s="19">
        <v>105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R236</v>
      </c>
      <c r="D123" s="1" t="str">
        <f>"C"&amp;D121</f>
        <v>C105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1.2155062500000002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78" x14ac:dyDescent="0.25">
      <c r="A193" s="30">
        <v>9.9059710923258422</v>
      </c>
      <c r="E193"/>
    </row>
    <row r="194" spans="1:78" x14ac:dyDescent="0.25">
      <c r="A194" s="30">
        <v>9.4342581831674686</v>
      </c>
      <c r="E194"/>
    </row>
    <row r="195" spans="1:78" x14ac:dyDescent="0.25">
      <c r="A195" s="30">
        <v>8.9850077934928265</v>
      </c>
      <c r="E195"/>
    </row>
    <row r="196" spans="1:78" x14ac:dyDescent="0.25">
      <c r="A196" s="30">
        <v>8.5571502795169767</v>
      </c>
      <c r="E196"/>
    </row>
    <row r="197" spans="1:78" x14ac:dyDescent="0.25">
      <c r="A197" s="30">
        <v>8.1496669328733109</v>
      </c>
      <c r="E197"/>
    </row>
    <row r="198" spans="1:78" x14ac:dyDescent="0.25">
      <c r="A198" s="30">
        <v>7.7615875551174378</v>
      </c>
      <c r="E198"/>
    </row>
    <row r="199" spans="1:78" x14ac:dyDescent="0.25">
      <c r="A199" s="30">
        <v>7.3919881477308929</v>
      </c>
      <c r="E199"/>
    </row>
    <row r="200" spans="1:78" x14ac:dyDescent="0.25">
      <c r="A200" s="30">
        <v>7.0399887121246598</v>
      </c>
      <c r="E200"/>
    </row>
    <row r="201" spans="1:78" x14ac:dyDescent="0.25">
      <c r="A201" s="30">
        <v>6.7047511544044376</v>
      </c>
      <c r="E201"/>
    </row>
    <row r="202" spans="1:78" x14ac:dyDescent="0.25">
      <c r="A202" s="30">
        <v>6.3854772899089882</v>
      </c>
      <c r="E202"/>
      <c r="AO202" s="27" t="s">
        <v>8</v>
      </c>
    </row>
    <row r="203" spans="1:78" x14ac:dyDescent="0.25">
      <c r="A203" s="30">
        <v>6.0814069427704647</v>
      </c>
      <c r="C203" s="7"/>
      <c r="D203"/>
      <c r="E203"/>
      <c r="AK203" s="27" t="s">
        <v>8</v>
      </c>
      <c r="AO203" s="27" t="s">
        <v>8</v>
      </c>
      <c r="AP203" s="27" t="s">
        <v>7</v>
      </c>
    </row>
    <row r="204" spans="1:78" x14ac:dyDescent="0.25">
      <c r="A204" s="30">
        <v>5.7918161359718709</v>
      </c>
      <c r="E204"/>
      <c r="AK204" s="27" t="s">
        <v>8</v>
      </c>
      <c r="AL204" s="27" t="s">
        <v>7</v>
      </c>
      <c r="AM204" s="27" t="s">
        <v>8</v>
      </c>
      <c r="AO204" s="27" t="s">
        <v>8</v>
      </c>
      <c r="AP204" s="27" t="s">
        <v>7</v>
      </c>
      <c r="AW204" s="27" t="s">
        <v>8</v>
      </c>
    </row>
    <row r="205" spans="1:78" x14ac:dyDescent="0.25">
      <c r="A205" s="30">
        <v>5.5160153675922574</v>
      </c>
      <c r="E205"/>
      <c r="AK205" s="27" t="s">
        <v>8</v>
      </c>
      <c r="AL205" s="27" t="s">
        <v>7</v>
      </c>
      <c r="AM205" s="27" t="s">
        <v>8</v>
      </c>
      <c r="AN205" s="27" t="s">
        <v>7</v>
      </c>
      <c r="AO205" s="27" t="s">
        <v>8</v>
      </c>
      <c r="AP205" s="27" t="s">
        <v>7</v>
      </c>
      <c r="AQ205" s="27" t="s">
        <v>8</v>
      </c>
      <c r="AU205" s="27" t="s">
        <v>8</v>
      </c>
      <c r="AW205" s="27" t="s">
        <v>8</v>
      </c>
      <c r="AX205" s="27" t="s">
        <v>7</v>
      </c>
      <c r="AY205" s="27" t="s">
        <v>8</v>
      </c>
    </row>
    <row r="206" spans="1:78" x14ac:dyDescent="0.25">
      <c r="A206" s="30">
        <v>5.2533479691354827</v>
      </c>
      <c r="C206"/>
      <c r="D206"/>
      <c r="E206"/>
      <c r="AK206" s="27" t="s">
        <v>8</v>
      </c>
      <c r="AL206" s="27" t="s">
        <v>7</v>
      </c>
      <c r="AM206" s="27" t="s">
        <v>8</v>
      </c>
      <c r="AN206" s="27" t="s">
        <v>7</v>
      </c>
      <c r="AO206" s="27" t="s">
        <v>8</v>
      </c>
      <c r="AP206" s="27" t="s">
        <v>7</v>
      </c>
      <c r="AQ206" s="27" t="s">
        <v>8</v>
      </c>
      <c r="AR206" s="27" t="s">
        <v>7</v>
      </c>
      <c r="AS206" s="27" t="s">
        <v>8</v>
      </c>
      <c r="AU206" s="27" t="s">
        <v>8</v>
      </c>
      <c r="AV206" s="27" t="s">
        <v>7</v>
      </c>
      <c r="AW206" s="27" t="s">
        <v>8</v>
      </c>
      <c r="AX206" s="27" t="s">
        <v>7</v>
      </c>
      <c r="AY206" s="27" t="s">
        <v>8</v>
      </c>
      <c r="AZ206" s="27" t="s">
        <v>7</v>
      </c>
      <c r="BY206" s="27" t="s">
        <v>8</v>
      </c>
    </row>
    <row r="207" spans="1:78" x14ac:dyDescent="0.25">
      <c r="A207" s="30">
        <v>5.0031885420337927</v>
      </c>
      <c r="E207"/>
      <c r="AI207" s="27" t="s">
        <v>8</v>
      </c>
      <c r="AK207" s="27" t="s">
        <v>8</v>
      </c>
      <c r="AL207" s="27" t="s">
        <v>7</v>
      </c>
      <c r="AN207" s="27" t="s">
        <v>7</v>
      </c>
      <c r="AO207" s="27" t="s">
        <v>8</v>
      </c>
      <c r="AP207" s="27" t="s">
        <v>7</v>
      </c>
      <c r="AQ207" s="27" t="s">
        <v>8</v>
      </c>
      <c r="AR207" s="27" t="s">
        <v>7</v>
      </c>
      <c r="AS207" s="27" t="s">
        <v>8</v>
      </c>
      <c r="AT207" s="27" t="s">
        <v>7</v>
      </c>
      <c r="AU207" s="27" t="s">
        <v>8</v>
      </c>
      <c r="AV207" s="27" t="s">
        <v>7</v>
      </c>
      <c r="AW207" s="27" t="s">
        <v>8</v>
      </c>
      <c r="AX207" s="27" t="s">
        <v>7</v>
      </c>
      <c r="AY207" s="27" t="s">
        <v>8</v>
      </c>
      <c r="AZ207" s="27" t="s">
        <v>7</v>
      </c>
      <c r="BY207" s="27" t="s">
        <v>8</v>
      </c>
      <c r="BZ207" s="27" t="s">
        <v>7</v>
      </c>
    </row>
    <row r="208" spans="1:78" x14ac:dyDescent="0.25">
      <c r="A208" s="30">
        <v>4.7649414686036122</v>
      </c>
      <c r="E208"/>
      <c r="AI208" s="27" t="s">
        <v>8</v>
      </c>
      <c r="AJ208" s="27" t="s">
        <v>7</v>
      </c>
      <c r="AK208" s="27" t="s">
        <v>8</v>
      </c>
      <c r="AN208" s="27" t="s">
        <v>7</v>
      </c>
      <c r="AP208" s="27" t="s">
        <v>7</v>
      </c>
      <c r="AQ208" s="27" t="s">
        <v>8</v>
      </c>
      <c r="AR208" s="27" t="s">
        <v>7</v>
      </c>
      <c r="AS208" s="27" t="s">
        <v>8</v>
      </c>
      <c r="AT208" s="27" t="s">
        <v>7</v>
      </c>
      <c r="AU208" s="27" t="s">
        <v>8</v>
      </c>
      <c r="AV208" s="27" t="s">
        <v>7</v>
      </c>
      <c r="AX208" s="27" t="s">
        <v>7</v>
      </c>
      <c r="AZ208" s="27" t="s">
        <v>7</v>
      </c>
      <c r="BY208" s="27" t="s">
        <v>8</v>
      </c>
      <c r="BZ208" s="27" t="s">
        <v>7</v>
      </c>
    </row>
    <row r="209" spans="1:103" x14ac:dyDescent="0.25">
      <c r="A209" s="30">
        <v>4.5380394939082018</v>
      </c>
      <c r="E209"/>
      <c r="AI209" s="27" t="s">
        <v>8</v>
      </c>
      <c r="AJ209" s="27" t="s">
        <v>7</v>
      </c>
      <c r="AK209" s="27" t="s">
        <v>8</v>
      </c>
      <c r="AP209" s="27" t="s">
        <v>7</v>
      </c>
      <c r="AR209" s="27" t="s">
        <v>7</v>
      </c>
      <c r="AT209" s="27" t="s">
        <v>7</v>
      </c>
      <c r="AU209" s="27" t="s">
        <v>8</v>
      </c>
      <c r="AZ209" s="27" t="s">
        <v>7</v>
      </c>
      <c r="BY209" s="27" t="s">
        <v>8</v>
      </c>
      <c r="BZ209" s="27" t="s">
        <v>7</v>
      </c>
    </row>
    <row r="210" spans="1:103" x14ac:dyDescent="0.25">
      <c r="A210" s="30">
        <v>4.3219423751506678</v>
      </c>
      <c r="C210"/>
      <c r="E210"/>
      <c r="AI210" s="27" t="s">
        <v>8</v>
      </c>
      <c r="AJ210" s="27" t="s">
        <v>7</v>
      </c>
      <c r="AK210" s="27" t="s">
        <v>8</v>
      </c>
      <c r="AT210" s="27" t="s">
        <v>7</v>
      </c>
      <c r="AU210" s="27" t="s">
        <v>8</v>
      </c>
      <c r="AZ210" s="27" t="s">
        <v>7</v>
      </c>
      <c r="BY210" s="27" t="s">
        <v>8</v>
      </c>
      <c r="BZ210" s="27" t="s">
        <v>7</v>
      </c>
    </row>
    <row r="211" spans="1:103" x14ac:dyDescent="0.25">
      <c r="A211" s="30">
        <v>4.1161355953815884</v>
      </c>
      <c r="E211"/>
      <c r="AE211" s="27" t="s">
        <v>8</v>
      </c>
      <c r="AG211" s="27" t="s">
        <v>8</v>
      </c>
      <c r="AI211" s="27" t="s">
        <v>8</v>
      </c>
      <c r="AJ211" s="27" t="s">
        <v>7</v>
      </c>
      <c r="AK211" s="27" t="s">
        <v>8</v>
      </c>
      <c r="AT211" s="27" t="s">
        <v>7</v>
      </c>
      <c r="AU211" s="27" t="s">
        <v>8</v>
      </c>
      <c r="AZ211" s="27" t="s">
        <v>7</v>
      </c>
      <c r="BY211" s="27" t="s">
        <v>8</v>
      </c>
      <c r="BZ211" s="27" t="s">
        <v>7</v>
      </c>
      <c r="CA211" s="27" t="s">
        <v>8</v>
      </c>
    </row>
    <row r="212" spans="1:103" x14ac:dyDescent="0.25">
      <c r="A212" s="30">
        <v>3.9201291384586554</v>
      </c>
      <c r="E212"/>
      <c r="AE212" s="27" t="s">
        <v>8</v>
      </c>
      <c r="AF212" s="27" t="s">
        <v>7</v>
      </c>
      <c r="AG212" s="27" t="s">
        <v>8</v>
      </c>
      <c r="AH212" s="27" t="s">
        <v>7</v>
      </c>
      <c r="AI212" s="27" t="s">
        <v>8</v>
      </c>
      <c r="AJ212" s="27" t="s">
        <v>7</v>
      </c>
      <c r="AT212" s="27" t="s">
        <v>7</v>
      </c>
      <c r="AU212" s="27" t="s">
        <v>8</v>
      </c>
      <c r="AZ212" s="27" t="s">
        <v>7</v>
      </c>
      <c r="BA212" s="27" t="s">
        <v>8</v>
      </c>
      <c r="BW212" s="27" t="s">
        <v>8</v>
      </c>
      <c r="BY212" s="27" t="s">
        <v>8</v>
      </c>
      <c r="BZ212" s="27" t="s">
        <v>7</v>
      </c>
      <c r="CA212" s="27" t="s">
        <v>8</v>
      </c>
      <c r="CB212" s="27" t="s">
        <v>7</v>
      </c>
    </row>
    <row r="213" spans="1:103" x14ac:dyDescent="0.25">
      <c r="A213" s="30">
        <v>3.7334563223415764</v>
      </c>
      <c r="E213"/>
      <c r="AE213" s="27" t="s">
        <v>8</v>
      </c>
      <c r="AF213" s="27" t="s">
        <v>7</v>
      </c>
      <c r="AG213" s="27" t="s">
        <v>8</v>
      </c>
      <c r="AH213" s="27" t="s">
        <v>7</v>
      </c>
      <c r="AI213" s="27" t="s">
        <v>8</v>
      </c>
      <c r="AT213" s="27" t="s">
        <v>7</v>
      </c>
      <c r="AU213" s="27" t="s">
        <v>8</v>
      </c>
      <c r="AZ213" s="27" t="s">
        <v>7</v>
      </c>
      <c r="BA213" s="27" t="s">
        <v>8</v>
      </c>
      <c r="BB213" s="27" t="s">
        <v>7</v>
      </c>
      <c r="BK213" s="27" t="s">
        <v>8</v>
      </c>
      <c r="BW213" s="27" t="s">
        <v>8</v>
      </c>
      <c r="BX213" s="27" t="s">
        <v>7</v>
      </c>
      <c r="BY213" s="27" t="s">
        <v>8</v>
      </c>
      <c r="BZ213" s="27" t="s">
        <v>7</v>
      </c>
      <c r="CA213" s="27" t="s">
        <v>8</v>
      </c>
      <c r="CB213" s="27" t="s">
        <v>7</v>
      </c>
    </row>
    <row r="214" spans="1:103" x14ac:dyDescent="0.25">
      <c r="A214" s="30">
        <v>3.5556726879443583</v>
      </c>
      <c r="E214"/>
      <c r="AE214" s="27" t="s">
        <v>8</v>
      </c>
      <c r="AF214" s="27" t="s">
        <v>7</v>
      </c>
      <c r="AH214" s="27" t="s">
        <v>7</v>
      </c>
      <c r="AT214" s="27" t="s">
        <v>7</v>
      </c>
      <c r="AU214" s="27" t="s">
        <v>8</v>
      </c>
      <c r="AZ214" s="27" t="s">
        <v>7</v>
      </c>
      <c r="BA214" s="27" t="s">
        <v>8</v>
      </c>
      <c r="BB214" s="27" t="s">
        <v>7</v>
      </c>
      <c r="BK214" s="27" t="s">
        <v>8</v>
      </c>
      <c r="BL214" s="27" t="s">
        <v>7</v>
      </c>
      <c r="BW214" s="27" t="s">
        <v>8</v>
      </c>
      <c r="BX214" s="27" t="s">
        <v>7</v>
      </c>
      <c r="BY214" s="27" t="s">
        <v>8</v>
      </c>
      <c r="BZ214" s="27" t="s">
        <v>7</v>
      </c>
      <c r="CA214" s="27" t="s">
        <v>8</v>
      </c>
      <c r="CB214" s="27" t="s">
        <v>7</v>
      </c>
      <c r="CG214" s="27" t="s">
        <v>8</v>
      </c>
      <c r="CI214" s="27" t="s">
        <v>8</v>
      </c>
    </row>
    <row r="215" spans="1:103" x14ac:dyDescent="0.25">
      <c r="A215" s="30">
        <v>3.3863549408993889</v>
      </c>
      <c r="E215"/>
      <c r="AC215" s="27" t="s">
        <v>8</v>
      </c>
      <c r="AE215" s="27" t="s">
        <v>8</v>
      </c>
      <c r="AT215" s="27" t="s">
        <v>7</v>
      </c>
      <c r="AZ215" s="27" t="s">
        <v>7</v>
      </c>
      <c r="BA215" s="27" t="s">
        <v>8</v>
      </c>
      <c r="BB215" s="27" t="s">
        <v>7</v>
      </c>
      <c r="BC215" s="27" t="s">
        <v>8</v>
      </c>
      <c r="BE215" s="27" t="s">
        <v>8</v>
      </c>
      <c r="BK215" s="27" t="s">
        <v>8</v>
      </c>
      <c r="BL215" s="27" t="s">
        <v>7</v>
      </c>
      <c r="BW215" s="27" t="s">
        <v>8</v>
      </c>
      <c r="BX215" s="27" t="s">
        <v>7</v>
      </c>
      <c r="BZ215" s="27" t="s">
        <v>7</v>
      </c>
      <c r="CA215" s="27" t="s">
        <v>8</v>
      </c>
      <c r="CB215" s="27" t="s">
        <v>7</v>
      </c>
      <c r="CE215" s="27" t="s">
        <v>8</v>
      </c>
      <c r="CG215" s="27" t="s">
        <v>8</v>
      </c>
      <c r="CH215" s="27" t="s">
        <v>7</v>
      </c>
      <c r="CI215" s="27" t="s">
        <v>8</v>
      </c>
      <c r="CJ215" s="27" t="s">
        <v>7</v>
      </c>
      <c r="CK215" s="27" t="s">
        <v>8</v>
      </c>
    </row>
    <row r="216" spans="1:103" x14ac:dyDescent="0.25">
      <c r="A216" s="30">
        <v>3.2250999437137038</v>
      </c>
      <c r="E216"/>
      <c r="AC216" s="27" t="s">
        <v>8</v>
      </c>
      <c r="AD216" s="27" t="s">
        <v>7</v>
      </c>
      <c r="AE216" s="27" t="s">
        <v>8</v>
      </c>
      <c r="AZ216" s="27" t="s">
        <v>7</v>
      </c>
      <c r="BA216" s="27" t="s">
        <v>8</v>
      </c>
      <c r="BB216" s="27" t="s">
        <v>7</v>
      </c>
      <c r="BC216" s="27" t="s">
        <v>8</v>
      </c>
      <c r="BD216" s="27" t="s">
        <v>7</v>
      </c>
      <c r="BE216" s="27" t="s">
        <v>8</v>
      </c>
      <c r="BF216" s="27" t="s">
        <v>7</v>
      </c>
      <c r="BG216" s="27" t="s">
        <v>8</v>
      </c>
      <c r="BK216" s="27" t="s">
        <v>8</v>
      </c>
      <c r="BL216" s="27" t="s">
        <v>7</v>
      </c>
      <c r="BU216" s="27" t="s">
        <v>8</v>
      </c>
      <c r="BW216" s="27" t="s">
        <v>8</v>
      </c>
      <c r="BZ216" s="27" t="s">
        <v>7</v>
      </c>
      <c r="CB216" s="27" t="s">
        <v>7</v>
      </c>
      <c r="CC216" s="27" t="s">
        <v>8</v>
      </c>
      <c r="CE216" s="27" t="s">
        <v>8</v>
      </c>
      <c r="CF216" s="27" t="s">
        <v>7</v>
      </c>
      <c r="CG216" s="27" t="s">
        <v>8</v>
      </c>
      <c r="CH216" s="27" t="s">
        <v>7</v>
      </c>
      <c r="CI216" s="27" t="s">
        <v>8</v>
      </c>
      <c r="CJ216" s="27" t="s">
        <v>7</v>
      </c>
      <c r="CK216" s="27" t="s">
        <v>8</v>
      </c>
      <c r="CL216" s="27" t="s">
        <v>7</v>
      </c>
    </row>
    <row r="217" spans="1:103" x14ac:dyDescent="0.25">
      <c r="A217" s="30">
        <v>3.0715237559178128</v>
      </c>
      <c r="E217"/>
      <c r="AC217" s="27" t="s">
        <v>8</v>
      </c>
      <c r="AD217" s="27" t="s">
        <v>7</v>
      </c>
      <c r="AE217" s="27" t="s">
        <v>8</v>
      </c>
      <c r="AZ217" s="27" t="s">
        <v>7</v>
      </c>
      <c r="BA217" s="27" t="s">
        <v>8</v>
      </c>
      <c r="BB217" s="27" t="s">
        <v>7</v>
      </c>
      <c r="BC217" s="27" t="s">
        <v>8</v>
      </c>
      <c r="BD217" s="27" t="s">
        <v>7</v>
      </c>
      <c r="BE217" s="27" t="s">
        <v>8</v>
      </c>
      <c r="BF217" s="27" t="s">
        <v>7</v>
      </c>
      <c r="BG217" s="27" t="s">
        <v>8</v>
      </c>
      <c r="BH217" s="27" t="s">
        <v>7</v>
      </c>
      <c r="BK217" s="27" t="s">
        <v>8</v>
      </c>
      <c r="BL217" s="27" t="s">
        <v>7</v>
      </c>
      <c r="BU217" s="27" t="s">
        <v>8</v>
      </c>
      <c r="BV217" s="27" t="s">
        <v>7</v>
      </c>
      <c r="BW217" s="27" t="s">
        <v>8</v>
      </c>
      <c r="CB217" s="27" t="s">
        <v>7</v>
      </c>
      <c r="CC217" s="27" t="s">
        <v>8</v>
      </c>
      <c r="CD217" s="27" t="s">
        <v>7</v>
      </c>
      <c r="CE217" s="27" t="s">
        <v>8</v>
      </c>
      <c r="CF217" s="27" t="s">
        <v>7</v>
      </c>
      <c r="CG217" s="27" t="s">
        <v>8</v>
      </c>
      <c r="CH217" s="27" t="s">
        <v>7</v>
      </c>
      <c r="CI217" s="27" t="s">
        <v>8</v>
      </c>
      <c r="CJ217" s="27" t="s">
        <v>7</v>
      </c>
      <c r="CK217" s="27" t="s">
        <v>8</v>
      </c>
      <c r="CL217" s="27" t="s">
        <v>7</v>
      </c>
      <c r="CM217" s="27" t="s">
        <v>8</v>
      </c>
    </row>
    <row r="218" spans="1:103" x14ac:dyDescent="0.25">
      <c r="A218" s="30">
        <v>2.9252607199217264</v>
      </c>
      <c r="E218"/>
      <c r="AC218" s="27" t="s">
        <v>8</v>
      </c>
      <c r="AD218" s="27" t="s">
        <v>7</v>
      </c>
      <c r="AE218" s="27" t="s">
        <v>8</v>
      </c>
      <c r="AZ218" s="27" t="s">
        <v>7</v>
      </c>
      <c r="BA218" s="27" t="s">
        <v>8</v>
      </c>
      <c r="BB218" s="27" t="s">
        <v>7</v>
      </c>
      <c r="BC218" s="27" t="s">
        <v>8</v>
      </c>
      <c r="BD218" s="27" t="s">
        <v>7</v>
      </c>
      <c r="BE218" s="27" t="s">
        <v>8</v>
      </c>
      <c r="BF218" s="27" t="s">
        <v>7</v>
      </c>
      <c r="BG218" s="27" t="s">
        <v>8</v>
      </c>
      <c r="BH218" s="27" t="s">
        <v>7</v>
      </c>
      <c r="BI218" s="27" t="s">
        <v>8</v>
      </c>
      <c r="BK218" s="27" t="s">
        <v>8</v>
      </c>
      <c r="BL218" s="27" t="s">
        <v>7</v>
      </c>
      <c r="BU218" s="27" t="s">
        <v>8</v>
      </c>
      <c r="BV218" s="27" t="s">
        <v>7</v>
      </c>
      <c r="BW218" s="27" t="s">
        <v>8</v>
      </c>
      <c r="CB218" s="27" t="s">
        <v>7</v>
      </c>
      <c r="CC218" s="27" t="s">
        <v>8</v>
      </c>
      <c r="CD218" s="27" t="s">
        <v>7</v>
      </c>
      <c r="CE218" s="27" t="s">
        <v>8</v>
      </c>
      <c r="CF218" s="27" t="s">
        <v>7</v>
      </c>
      <c r="CG218" s="27" t="s">
        <v>8</v>
      </c>
      <c r="CH218" s="27" t="s">
        <v>7</v>
      </c>
      <c r="CJ218" s="27" t="s">
        <v>7</v>
      </c>
      <c r="CL218" s="27" t="s">
        <v>7</v>
      </c>
      <c r="CM218" s="27" t="s">
        <v>8</v>
      </c>
      <c r="CN218" s="27" t="s">
        <v>7</v>
      </c>
      <c r="CO218" s="27" t="s">
        <v>8</v>
      </c>
    </row>
    <row r="219" spans="1:103" x14ac:dyDescent="0.25">
      <c r="A219" s="30">
        <v>2.7859625904016441</v>
      </c>
      <c r="E219"/>
      <c r="Y219" s="27" t="s">
        <v>8</v>
      </c>
      <c r="AA219" s="27" t="s">
        <v>8</v>
      </c>
      <c r="AC219" s="27" t="s">
        <v>8</v>
      </c>
      <c r="AD219" s="27" t="s">
        <v>7</v>
      </c>
      <c r="AE219" s="27" t="s">
        <v>8</v>
      </c>
      <c r="AZ219" s="27" t="s">
        <v>7</v>
      </c>
      <c r="BA219" s="27" t="s">
        <v>8</v>
      </c>
      <c r="BB219" s="27" t="s">
        <v>7</v>
      </c>
      <c r="BC219" s="27" t="s">
        <v>8</v>
      </c>
      <c r="BD219" s="27" t="s">
        <v>7</v>
      </c>
      <c r="BE219" s="27" t="s">
        <v>8</v>
      </c>
      <c r="BF219" s="27" t="s">
        <v>7</v>
      </c>
      <c r="BG219" s="27" t="s">
        <v>8</v>
      </c>
      <c r="BH219" s="27" t="s">
        <v>7</v>
      </c>
      <c r="BI219" s="27" t="s">
        <v>8</v>
      </c>
      <c r="BJ219" s="27" t="s">
        <v>7</v>
      </c>
      <c r="BK219" s="27" t="s">
        <v>8</v>
      </c>
      <c r="BL219" s="27" t="s">
        <v>7</v>
      </c>
      <c r="BS219" s="27" t="s">
        <v>8</v>
      </c>
      <c r="BU219" s="27" t="s">
        <v>8</v>
      </c>
      <c r="BV219" s="27" t="s">
        <v>7</v>
      </c>
      <c r="CB219" s="27" t="s">
        <v>7</v>
      </c>
      <c r="CC219" s="31" t="s">
        <v>8</v>
      </c>
      <c r="CD219" s="27" t="s">
        <v>7</v>
      </c>
      <c r="CE219" s="27" t="s">
        <v>8</v>
      </c>
      <c r="CF219" s="27" t="s">
        <v>7</v>
      </c>
      <c r="CL219" s="27" t="s">
        <v>7</v>
      </c>
      <c r="CM219" s="27" t="s">
        <v>8</v>
      </c>
      <c r="CN219" s="27" t="s">
        <v>7</v>
      </c>
      <c r="CO219" s="27" t="s">
        <v>8</v>
      </c>
      <c r="CP219" s="27" t="s">
        <v>7</v>
      </c>
    </row>
    <row r="220" spans="1:103" x14ac:dyDescent="0.25">
      <c r="A220" s="30">
        <v>2.6532977051444226</v>
      </c>
      <c r="E220"/>
      <c r="Y220" s="27" t="s">
        <v>8</v>
      </c>
      <c r="Z220" s="27" t="s">
        <v>7</v>
      </c>
      <c r="AA220" s="27" t="s">
        <v>8</v>
      </c>
      <c r="AB220" s="27" t="s">
        <v>7</v>
      </c>
      <c r="AC220" s="27" t="s">
        <v>8</v>
      </c>
      <c r="AD220" s="27" t="s">
        <v>7</v>
      </c>
      <c r="AE220" s="27" t="s">
        <v>8</v>
      </c>
      <c r="AZ220" s="27" t="s">
        <v>7</v>
      </c>
      <c r="BA220" s="27" t="s">
        <v>8</v>
      </c>
      <c r="BB220" s="27" t="s">
        <v>7</v>
      </c>
      <c r="BC220" s="27" t="s">
        <v>8</v>
      </c>
      <c r="BD220" s="27" t="s">
        <v>7</v>
      </c>
      <c r="BF220" s="27" t="s">
        <v>7</v>
      </c>
      <c r="BG220" s="27" t="s">
        <v>8</v>
      </c>
      <c r="BH220" s="27" t="s">
        <v>7</v>
      </c>
      <c r="BI220" s="27" t="s">
        <v>8</v>
      </c>
      <c r="BJ220" s="27" t="s">
        <v>7</v>
      </c>
      <c r="BK220" s="27" t="s">
        <v>8</v>
      </c>
      <c r="BL220" s="27" t="s">
        <v>7</v>
      </c>
      <c r="BS220" s="27" t="s">
        <v>8</v>
      </c>
      <c r="BT220" s="27" t="s">
        <v>7</v>
      </c>
      <c r="BU220" s="27" t="s">
        <v>8</v>
      </c>
      <c r="CB220" s="31" t="s">
        <v>7</v>
      </c>
      <c r="CD220" s="27" t="s">
        <v>7</v>
      </c>
      <c r="CL220" s="27" t="s">
        <v>7</v>
      </c>
      <c r="CN220" s="27" t="s">
        <v>7</v>
      </c>
      <c r="CO220" s="27" t="s">
        <v>8</v>
      </c>
      <c r="CP220" s="27" t="s">
        <v>7</v>
      </c>
    </row>
    <row r="221" spans="1:103" x14ac:dyDescent="0.25">
      <c r="A221" s="30">
        <v>2.5269501953756404</v>
      </c>
      <c r="E221"/>
      <c r="W221" s="27" t="s">
        <v>8</v>
      </c>
      <c r="Y221" s="27" t="s">
        <v>8</v>
      </c>
      <c r="Z221" s="27" t="s">
        <v>7</v>
      </c>
      <c r="AA221" s="27" t="s">
        <v>8</v>
      </c>
      <c r="AB221" s="27" t="s">
        <v>7</v>
      </c>
      <c r="AC221" s="27" t="s">
        <v>8</v>
      </c>
      <c r="AD221" s="27" t="s">
        <v>7</v>
      </c>
      <c r="AE221" s="27" t="s">
        <v>8</v>
      </c>
      <c r="AZ221" s="27" t="s">
        <v>7</v>
      </c>
      <c r="BA221" s="27" t="s">
        <v>8</v>
      </c>
      <c r="BB221" s="27" t="s">
        <v>7</v>
      </c>
      <c r="BF221" s="27" t="s">
        <v>7</v>
      </c>
      <c r="BH221" s="27" t="s">
        <v>7</v>
      </c>
      <c r="BI221" s="27" t="s">
        <v>8</v>
      </c>
      <c r="BJ221" s="27" t="s">
        <v>7</v>
      </c>
      <c r="BK221" s="27" t="s">
        <v>8</v>
      </c>
      <c r="BL221" s="27" t="s">
        <v>7</v>
      </c>
      <c r="BS221" s="27" t="s">
        <v>8</v>
      </c>
      <c r="BT221" s="27" t="s">
        <v>7</v>
      </c>
      <c r="BU221" s="27" t="s">
        <v>8</v>
      </c>
      <c r="CA221" s="31"/>
      <c r="CN221" s="27" t="s">
        <v>7</v>
      </c>
      <c r="CO221" s="27" t="s">
        <v>8</v>
      </c>
      <c r="CP221" s="27" t="s">
        <v>7</v>
      </c>
    </row>
    <row r="222" spans="1:103" x14ac:dyDescent="0.25">
      <c r="A222" s="30">
        <v>2.4066192336910861</v>
      </c>
      <c r="E222"/>
      <c r="W222" s="27" t="s">
        <v>8</v>
      </c>
      <c r="X222" s="27" t="s">
        <v>7</v>
      </c>
      <c r="Y222" s="27" t="s">
        <v>8</v>
      </c>
      <c r="Z222" s="27" t="s">
        <v>7</v>
      </c>
      <c r="AB222" s="27" t="s">
        <v>7</v>
      </c>
      <c r="AC222" s="27" t="s">
        <v>8</v>
      </c>
      <c r="AD222" s="27" t="s">
        <v>7</v>
      </c>
      <c r="AE222" s="27" t="s">
        <v>8</v>
      </c>
      <c r="AZ222" s="27" t="s">
        <v>7</v>
      </c>
      <c r="BH222" s="27" t="s">
        <v>7</v>
      </c>
      <c r="BJ222" s="27" t="s">
        <v>7</v>
      </c>
      <c r="BL222" s="27" t="s">
        <v>7</v>
      </c>
      <c r="BM222" s="27" t="s">
        <v>8</v>
      </c>
      <c r="BO222" s="27" t="s">
        <v>8</v>
      </c>
      <c r="BS222" s="27" t="s">
        <v>8</v>
      </c>
      <c r="BT222" s="27" t="s">
        <v>7</v>
      </c>
      <c r="BZ222" s="31"/>
      <c r="CN222" s="27" t="s">
        <v>7</v>
      </c>
      <c r="CP222" s="27" t="s">
        <v>7</v>
      </c>
    </row>
    <row r="223" spans="1:103" x14ac:dyDescent="0.25">
      <c r="A223" s="30">
        <v>2.2920183178010345</v>
      </c>
      <c r="E223"/>
      <c r="W223" s="27" t="s">
        <v>8</v>
      </c>
      <c r="X223" s="27" t="s">
        <v>7</v>
      </c>
      <c r="Y223" s="27" t="s">
        <v>8</v>
      </c>
      <c r="AB223" s="27" t="s">
        <v>7</v>
      </c>
      <c r="AC223" s="27" t="s">
        <v>8</v>
      </c>
      <c r="AD223" s="27" t="s">
        <v>7</v>
      </c>
      <c r="BL223" s="27" t="s">
        <v>7</v>
      </c>
      <c r="BM223" s="27" t="s">
        <v>8</v>
      </c>
      <c r="BN223" s="27" t="s">
        <v>7</v>
      </c>
      <c r="BO223" s="27" t="s">
        <v>8</v>
      </c>
      <c r="BP223" s="27" t="s">
        <v>7</v>
      </c>
      <c r="BQ223" s="27" t="s">
        <v>8</v>
      </c>
      <c r="BS223" s="27" t="s">
        <v>8</v>
      </c>
      <c r="BY223" s="31"/>
      <c r="CP223" s="27" t="s">
        <v>7</v>
      </c>
      <c r="CQ223" s="27" t="s">
        <v>8</v>
      </c>
    </row>
    <row r="224" spans="1:103" x14ac:dyDescent="0.25">
      <c r="A224" s="30">
        <v>2.1828745883819374</v>
      </c>
      <c r="E224"/>
      <c r="W224" s="27" t="s">
        <v>8</v>
      </c>
      <c r="X224" s="27" t="s">
        <v>7</v>
      </c>
      <c r="Y224" s="27" t="s">
        <v>8</v>
      </c>
      <c r="AB224" s="27" t="s">
        <v>7</v>
      </c>
      <c r="AC224" s="27" t="s">
        <v>8</v>
      </c>
      <c r="BL224" s="27" t="s">
        <v>7</v>
      </c>
      <c r="BM224" s="27" t="s">
        <v>8</v>
      </c>
      <c r="BN224" s="27" t="s">
        <v>7</v>
      </c>
      <c r="BO224" s="27" t="s">
        <v>8</v>
      </c>
      <c r="BP224" s="27" t="s">
        <v>7</v>
      </c>
      <c r="BQ224" s="27" t="s">
        <v>8</v>
      </c>
      <c r="BR224" s="27" t="s">
        <v>7</v>
      </c>
      <c r="BS224" s="27" t="s">
        <v>8</v>
      </c>
      <c r="BX224" s="31"/>
      <c r="CP224" s="27" t="s">
        <v>7</v>
      </c>
      <c r="CQ224" s="27" t="s">
        <v>8</v>
      </c>
      <c r="CR224" s="27" t="s">
        <v>7</v>
      </c>
      <c r="CS224" s="27" t="s">
        <v>8</v>
      </c>
      <c r="CU224" s="27" t="s">
        <v>8</v>
      </c>
      <c r="CY224" s="27" t="s">
        <v>8</v>
      </c>
    </row>
    <row r="225" spans="1:105" x14ac:dyDescent="0.25">
      <c r="A225" s="30">
        <v>2.0789281794113688</v>
      </c>
      <c r="E225"/>
      <c r="W225" s="27" t="s">
        <v>8</v>
      </c>
      <c r="X225" s="27" t="s">
        <v>7</v>
      </c>
      <c r="Y225" s="27" t="s">
        <v>8</v>
      </c>
      <c r="AB225" s="27" t="s">
        <v>7</v>
      </c>
      <c r="AC225" s="27" t="s">
        <v>8</v>
      </c>
      <c r="BL225" s="27" t="s">
        <v>7</v>
      </c>
      <c r="BM225" s="27" t="s">
        <v>8</v>
      </c>
      <c r="BN225" s="27" t="s">
        <v>7</v>
      </c>
      <c r="BP225" s="27" t="s">
        <v>7</v>
      </c>
      <c r="BQ225" s="27" t="s">
        <v>8</v>
      </c>
      <c r="BR225" s="27" t="s">
        <v>7</v>
      </c>
      <c r="BS225" s="27" t="s">
        <v>8</v>
      </c>
      <c r="BW225" s="31"/>
      <c r="CP225" s="27" t="s">
        <v>7</v>
      </c>
      <c r="CQ225" s="27" t="s">
        <v>8</v>
      </c>
      <c r="CR225" s="27" t="s">
        <v>7</v>
      </c>
      <c r="CS225" s="27" t="s">
        <v>8</v>
      </c>
      <c r="CT225" s="27" t="s">
        <v>7</v>
      </c>
      <c r="CU225" s="27" t="s">
        <v>8</v>
      </c>
      <c r="CV225" s="27" t="s">
        <v>7</v>
      </c>
      <c r="CY225" s="27" t="s">
        <v>8</v>
      </c>
      <c r="CZ225" s="27" t="s">
        <v>7</v>
      </c>
    </row>
    <row r="226" spans="1:105" x14ac:dyDescent="0.25">
      <c r="A226" s="30">
        <v>1.9799315994393987</v>
      </c>
      <c r="E226"/>
      <c r="U226" s="27" t="s">
        <v>8</v>
      </c>
      <c r="W226" s="27" t="s">
        <v>8</v>
      </c>
      <c r="X226" s="27" t="s">
        <v>7</v>
      </c>
      <c r="AB226" s="27" t="s">
        <v>7</v>
      </c>
      <c r="BL226" s="27" t="s">
        <v>7</v>
      </c>
      <c r="BM226" s="27" t="s">
        <v>8</v>
      </c>
      <c r="BP226" s="27" t="s">
        <v>7</v>
      </c>
      <c r="BQ226" s="27" t="s">
        <v>8</v>
      </c>
      <c r="BR226" s="27" t="s">
        <v>7</v>
      </c>
      <c r="BS226" s="27" t="s">
        <v>8</v>
      </c>
      <c r="BV226" s="31"/>
      <c r="CP226" s="27" t="s">
        <v>7</v>
      </c>
      <c r="CQ226" s="27" t="s">
        <v>8</v>
      </c>
      <c r="CR226" s="27" t="s">
        <v>7</v>
      </c>
      <c r="CS226" s="27" t="s">
        <v>8</v>
      </c>
      <c r="CT226" s="27" t="s">
        <v>7</v>
      </c>
      <c r="CU226" s="27" t="s">
        <v>8</v>
      </c>
      <c r="CV226" s="27" t="s">
        <v>7</v>
      </c>
      <c r="CW226" s="27" t="s">
        <v>8</v>
      </c>
      <c r="CY226" s="27" t="s">
        <v>8</v>
      </c>
      <c r="CZ226" s="27" t="s">
        <v>7</v>
      </c>
    </row>
    <row r="227" spans="1:105" x14ac:dyDescent="0.25">
      <c r="A227" s="30">
        <v>1.8856491423232367</v>
      </c>
      <c r="E227"/>
      <c r="Q227" s="27" t="s">
        <v>8</v>
      </c>
      <c r="U227" s="27" t="s">
        <v>8</v>
      </c>
      <c r="V227" s="27" t="s">
        <v>7</v>
      </c>
      <c r="W227" s="27" t="s">
        <v>8</v>
      </c>
      <c r="BL227" s="27" t="s">
        <v>7</v>
      </c>
      <c r="BP227" s="27" t="s">
        <v>7</v>
      </c>
      <c r="BR227" s="27" t="s">
        <v>7</v>
      </c>
      <c r="BS227" s="27" t="s">
        <v>8</v>
      </c>
      <c r="BU227" s="31"/>
      <c r="CP227" s="27" t="s">
        <v>7</v>
      </c>
      <c r="CR227" s="27" t="s">
        <v>7</v>
      </c>
      <c r="CS227" s="27" t="s">
        <v>8</v>
      </c>
      <c r="CT227" s="27" t="s">
        <v>7</v>
      </c>
      <c r="CU227" s="27" t="s">
        <v>8</v>
      </c>
      <c r="CV227" s="27" t="s">
        <v>7</v>
      </c>
      <c r="CW227" s="27" t="s">
        <v>8</v>
      </c>
      <c r="CX227" s="27" t="s">
        <v>7</v>
      </c>
      <c r="CY227" s="27" t="s">
        <v>8</v>
      </c>
      <c r="CZ227" s="27" t="s">
        <v>7</v>
      </c>
    </row>
    <row r="228" spans="1:105" x14ac:dyDescent="0.25">
      <c r="A228" s="30">
        <v>1.7958563260221301</v>
      </c>
      <c r="C228" s="7"/>
      <c r="D228"/>
      <c r="E228"/>
      <c r="Q228" s="27" t="s">
        <v>8</v>
      </c>
      <c r="R228" s="27" t="s">
        <v>7</v>
      </c>
      <c r="S228" s="27" t="s">
        <v>8</v>
      </c>
      <c r="U228" s="27" t="s">
        <v>8</v>
      </c>
      <c r="V228" s="27" t="s">
        <v>7</v>
      </c>
      <c r="W228" s="27" t="s">
        <v>8</v>
      </c>
      <c r="BR228" s="18" t="s">
        <v>7</v>
      </c>
      <c r="BS228" s="27" t="s">
        <v>8</v>
      </c>
      <c r="BT228" s="31"/>
      <c r="CR228" s="27" t="s">
        <v>7</v>
      </c>
      <c r="CS228" s="27" t="s">
        <v>8</v>
      </c>
      <c r="CT228" s="27" t="s">
        <v>7</v>
      </c>
      <c r="CU228" s="27" t="s">
        <v>8</v>
      </c>
      <c r="CV228" s="27" t="s">
        <v>7</v>
      </c>
      <c r="CW228" s="27" t="s">
        <v>8</v>
      </c>
      <c r="CX228" s="27" t="s">
        <v>7</v>
      </c>
      <c r="CY228" s="27" t="s">
        <v>8</v>
      </c>
      <c r="CZ228" s="27" t="s">
        <v>7</v>
      </c>
    </row>
    <row r="229" spans="1:105" x14ac:dyDescent="0.25">
      <c r="A229" s="30">
        <v>1.7103393581163142</v>
      </c>
      <c r="E229"/>
      <c r="Q229" s="27" t="s">
        <v>8</v>
      </c>
      <c r="R229" s="27" t="s">
        <v>7</v>
      </c>
      <c r="S229" s="27" t="s">
        <v>8</v>
      </c>
      <c r="T229" s="27" t="s">
        <v>7</v>
      </c>
      <c r="U229" s="27" t="s">
        <v>8</v>
      </c>
      <c r="V229" s="27" t="s">
        <v>7</v>
      </c>
      <c r="BR229" s="27" t="s">
        <v>7</v>
      </c>
      <c r="BS229" s="31" t="s">
        <v>8</v>
      </c>
      <c r="CR229" s="27" t="s">
        <v>7</v>
      </c>
      <c r="CT229" s="27" t="s">
        <v>7</v>
      </c>
      <c r="CV229" s="27" t="s">
        <v>7</v>
      </c>
      <c r="CX229" s="27" t="s">
        <v>7</v>
      </c>
      <c r="CZ229" s="27" t="s">
        <v>7</v>
      </c>
    </row>
    <row r="230" spans="1:105" x14ac:dyDescent="0.25">
      <c r="A230" s="30">
        <v>1.628894626777442</v>
      </c>
      <c r="E230"/>
      <c r="Q230" s="27" t="s">
        <v>8</v>
      </c>
      <c r="R230" s="27" t="s">
        <v>7</v>
      </c>
      <c r="S230" s="27" t="s">
        <v>8</v>
      </c>
      <c r="T230" s="27" t="s">
        <v>7</v>
      </c>
      <c r="U230" s="27" t="s">
        <v>8</v>
      </c>
      <c r="BR230" s="31" t="s">
        <v>7</v>
      </c>
      <c r="CZ230" s="27" t="s">
        <v>7</v>
      </c>
    </row>
    <row r="231" spans="1:105" x14ac:dyDescent="0.25">
      <c r="A231" s="30">
        <v>1.5513282159785162</v>
      </c>
      <c r="C231"/>
      <c r="D231"/>
      <c r="E231"/>
      <c r="M231" s="27" t="s">
        <v>8</v>
      </c>
      <c r="O231" s="27" t="s">
        <v>8</v>
      </c>
      <c r="Q231" s="27" t="s">
        <v>8</v>
      </c>
      <c r="R231" s="27" t="s">
        <v>7</v>
      </c>
      <c r="T231" s="27" t="s">
        <v>7</v>
      </c>
      <c r="CZ231" s="27" t="s">
        <v>7</v>
      </c>
    </row>
    <row r="232" spans="1:105" x14ac:dyDescent="0.25">
      <c r="A232" s="30">
        <v>1.477455443789063</v>
      </c>
      <c r="E232"/>
      <c r="M232" s="27" t="s">
        <v>8</v>
      </c>
      <c r="N232" s="27" t="s">
        <v>7</v>
      </c>
      <c r="O232" s="27" t="s">
        <v>8</v>
      </c>
      <c r="P232" s="27" t="s">
        <v>7</v>
      </c>
      <c r="Q232" s="27" t="s">
        <v>8</v>
      </c>
      <c r="CZ232" s="27" t="s">
        <v>7</v>
      </c>
    </row>
    <row r="233" spans="1:105" x14ac:dyDescent="0.25">
      <c r="A233" s="30">
        <v>1.4071004226562505</v>
      </c>
      <c r="E233"/>
      <c r="M233" s="27" t="s">
        <v>8</v>
      </c>
      <c r="N233" s="27" t="s">
        <v>7</v>
      </c>
      <c r="O233" s="27" t="s">
        <v>8</v>
      </c>
      <c r="P233" s="27" t="s">
        <v>7</v>
      </c>
      <c r="Q233" s="27" t="s">
        <v>8</v>
      </c>
      <c r="CZ233" s="27" t="s">
        <v>7</v>
      </c>
    </row>
    <row r="234" spans="1:105" x14ac:dyDescent="0.25">
      <c r="A234" s="30">
        <v>1.3400956406250004</v>
      </c>
      <c r="E234"/>
      <c r="M234" s="27" t="s">
        <v>8</v>
      </c>
      <c r="N234" s="27" t="s">
        <v>7</v>
      </c>
      <c r="O234" s="27" t="s">
        <v>8</v>
      </c>
      <c r="P234" s="27" t="s">
        <v>7</v>
      </c>
      <c r="Q234" s="27" t="s">
        <v>8</v>
      </c>
      <c r="CZ234" s="27" t="s">
        <v>7</v>
      </c>
    </row>
    <row r="235" spans="1:105" x14ac:dyDescent="0.25">
      <c r="A235" s="30">
        <v>1.2762815625000004</v>
      </c>
      <c r="C235"/>
      <c r="E235"/>
      <c r="M235" s="27" t="s">
        <v>8</v>
      </c>
      <c r="N235" s="27" t="s">
        <v>7</v>
      </c>
      <c r="P235" s="27" t="s">
        <v>7</v>
      </c>
      <c r="Q235" s="27" t="s">
        <v>8</v>
      </c>
      <c r="CZ235" s="27" t="s">
        <v>7</v>
      </c>
    </row>
    <row r="236" spans="1:105" x14ac:dyDescent="0.25">
      <c r="A236" s="30">
        <v>1.2155062500000002</v>
      </c>
      <c r="E236"/>
      <c r="M236" s="27" t="s">
        <v>8</v>
      </c>
      <c r="P236" s="27" t="s">
        <v>7</v>
      </c>
      <c r="CZ236" s="27" t="s">
        <v>7</v>
      </c>
      <c r="DA236" s="27" t="s">
        <v>8</v>
      </c>
    </row>
    <row r="237" spans="1:10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M237" s="27" t="s">
        <v>8</v>
      </c>
      <c r="CZ237" s="27" t="s">
        <v>7</v>
      </c>
      <c r="DA237" s="27" t="s">
        <v>8</v>
      </c>
    </row>
    <row r="238" spans="1:105" x14ac:dyDescent="0.25">
      <c r="A238" s="30">
        <v>1.1025</v>
      </c>
      <c r="E238"/>
      <c r="M238" s="27" t="s">
        <v>8</v>
      </c>
      <c r="CZ238" s="27" t="s">
        <v>7</v>
      </c>
      <c r="DA238" s="27" t="s">
        <v>8</v>
      </c>
    </row>
    <row r="239" spans="1:105" x14ac:dyDescent="0.25">
      <c r="A239" s="30">
        <v>1.05</v>
      </c>
      <c r="E239"/>
      <c r="K239" s="27" t="s">
        <v>8</v>
      </c>
      <c r="M239" s="27" t="s">
        <v>8</v>
      </c>
      <c r="CZ239" s="27" t="s">
        <v>7</v>
      </c>
      <c r="DA239" s="27" t="s">
        <v>8</v>
      </c>
    </row>
    <row r="240" spans="1:105" x14ac:dyDescent="0.25">
      <c r="A240" s="30">
        <v>1</v>
      </c>
      <c r="E240" s="29" t="s">
        <v>8</v>
      </c>
      <c r="K240" s="27" t="s">
        <v>8</v>
      </c>
      <c r="L240" s="27" t="s">
        <v>7</v>
      </c>
      <c r="M240" s="27" t="s">
        <v>8</v>
      </c>
      <c r="CZ240" s="27" t="s">
        <v>7</v>
      </c>
    </row>
    <row r="241" spans="1:13" x14ac:dyDescent="0.25">
      <c r="A241" s="30">
        <v>0.952380952380952</v>
      </c>
      <c r="B241"/>
      <c r="C241"/>
      <c r="D241"/>
      <c r="E241"/>
      <c r="F241" s="27" t="s">
        <v>7</v>
      </c>
      <c r="K241" s="27" t="s">
        <v>8</v>
      </c>
      <c r="L241" s="27" t="s">
        <v>7</v>
      </c>
      <c r="M241" s="27" t="s">
        <v>8</v>
      </c>
    </row>
    <row r="242" spans="1:13" x14ac:dyDescent="0.25">
      <c r="A242" s="30">
        <v>0.90702947845804915</v>
      </c>
      <c r="B242"/>
      <c r="C242"/>
      <c r="D242"/>
      <c r="E242"/>
      <c r="F242" s="27" t="s">
        <v>7</v>
      </c>
      <c r="K242" s="27" t="s">
        <v>8</v>
      </c>
      <c r="L242" s="27" t="s">
        <v>7</v>
      </c>
      <c r="M242" s="27" t="s">
        <v>8</v>
      </c>
    </row>
    <row r="243" spans="1:13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K243" s="27" t="s">
        <v>8</v>
      </c>
      <c r="L243" s="27" t="s">
        <v>7</v>
      </c>
      <c r="M243" s="27" t="s">
        <v>8</v>
      </c>
    </row>
    <row r="244" spans="1:13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I244" s="27" t="s">
        <v>8</v>
      </c>
      <c r="K244" s="27" t="s">
        <v>8</v>
      </c>
      <c r="L244" s="27" t="s">
        <v>7</v>
      </c>
      <c r="M244" s="27" t="s">
        <v>8</v>
      </c>
    </row>
    <row r="245" spans="1:13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I245" s="27" t="s">
        <v>8</v>
      </c>
      <c r="J245" s="27" t="s">
        <v>7</v>
      </c>
      <c r="K245" s="27" t="s">
        <v>8</v>
      </c>
      <c r="L245" s="27" t="s">
        <v>7</v>
      </c>
    </row>
    <row r="246" spans="1:13" x14ac:dyDescent="0.25">
      <c r="A246" s="30">
        <v>0.74621539663662584</v>
      </c>
      <c r="B246"/>
      <c r="C246"/>
      <c r="D246"/>
      <c r="E246"/>
      <c r="F246" s="27" t="s">
        <v>7</v>
      </c>
      <c r="H246" s="27" t="s">
        <v>7</v>
      </c>
      <c r="I246" s="27" t="s">
        <v>8</v>
      </c>
      <c r="J246" s="27" t="s">
        <v>7</v>
      </c>
      <c r="K246" s="27" t="s">
        <v>8</v>
      </c>
    </row>
    <row r="247" spans="1:13" x14ac:dyDescent="0.25">
      <c r="A247" s="30">
        <v>0.71068133013011958</v>
      </c>
      <c r="B247"/>
      <c r="C247"/>
      <c r="D247"/>
      <c r="E247"/>
      <c r="H247" s="27" t="s">
        <v>7</v>
      </c>
      <c r="J247" s="27" t="s">
        <v>7</v>
      </c>
      <c r="K247" s="27" t="s">
        <v>8</v>
      </c>
    </row>
    <row r="248" spans="1:13" x14ac:dyDescent="0.25">
      <c r="A248" s="30">
        <v>0.676839362028685</v>
      </c>
      <c r="B248"/>
      <c r="C248"/>
      <c r="D248"/>
      <c r="E248"/>
      <c r="J248" s="27" t="s">
        <v>7</v>
      </c>
    </row>
    <row r="249" spans="1:13" x14ac:dyDescent="0.25">
      <c r="A249" s="30">
        <v>0.64460891621779492</v>
      </c>
      <c r="B249"/>
      <c r="C249"/>
      <c r="D249"/>
      <c r="E249"/>
    </row>
    <row r="250" spans="1:13" x14ac:dyDescent="0.25">
      <c r="A250" s="30">
        <v>0.61391325354075688</v>
      </c>
      <c r="B250"/>
      <c r="C250"/>
      <c r="D250"/>
      <c r="E250"/>
    </row>
    <row r="251" spans="1:13" x14ac:dyDescent="0.25">
      <c r="A251" s="30">
        <v>0.58467928908643485</v>
      </c>
      <c r="B251"/>
      <c r="C251"/>
      <c r="D251"/>
      <c r="E251"/>
    </row>
    <row r="252" spans="1:13" x14ac:dyDescent="0.25">
      <c r="A252" s="30">
        <v>0.55683741817755672</v>
      </c>
      <c r="B252"/>
      <c r="C252"/>
      <c r="D252"/>
      <c r="E252"/>
    </row>
    <row r="253" spans="1:13" x14ac:dyDescent="0.25">
      <c r="A253" s="30">
        <v>0.53032135064529184</v>
      </c>
      <c r="B253"/>
      <c r="C253"/>
      <c r="D253"/>
      <c r="E253"/>
    </row>
    <row r="254" spans="1:13" x14ac:dyDescent="0.25">
      <c r="A254" s="30">
        <v>0.50506795299551588</v>
      </c>
      <c r="B254"/>
      <c r="C254"/>
      <c r="D254"/>
      <c r="E254"/>
    </row>
    <row r="255" spans="1:13" x14ac:dyDescent="0.25">
      <c r="A255" s="30">
        <v>0.48101709809096732</v>
      </c>
      <c r="E255"/>
    </row>
    <row r="256" spans="1:13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0" operator="equal">
      <formula>$U$1</formula>
    </cfRule>
    <cfRule type="cellIs" dxfId="67" priority="851" operator="equal">
      <formula>$S$1</formula>
    </cfRule>
  </conditionalFormatting>
  <conditionalFormatting sqref="D136">
    <cfRule type="cellIs" dxfId="66" priority="848" operator="equal">
      <formula>$S$1</formula>
    </cfRule>
    <cfRule type="cellIs" dxfId="65" priority="849" operator="equal">
      <formula>$U$1</formula>
    </cfRule>
  </conditionalFormatting>
  <conditionalFormatting sqref="C162">
    <cfRule type="cellIs" dxfId="64" priority="846" operator="equal">
      <formula>$U$1</formula>
    </cfRule>
    <cfRule type="cellIs" dxfId="63" priority="847" operator="equal">
      <formula>$S$1</formula>
    </cfRule>
  </conditionalFormatting>
  <conditionalFormatting sqref="D162">
    <cfRule type="cellIs" dxfId="62" priority="844" operator="equal">
      <formula>$S$1</formula>
    </cfRule>
    <cfRule type="cellIs" dxfId="61" priority="845" operator="equal">
      <formula>$U$1</formula>
    </cfRule>
  </conditionalFormatting>
  <conditionalFormatting sqref="C187">
    <cfRule type="cellIs" dxfId="60" priority="842" operator="equal">
      <formula>$U$1</formula>
    </cfRule>
    <cfRule type="cellIs" dxfId="59" priority="843" operator="equal">
      <formula>$S$1</formula>
    </cfRule>
  </conditionalFormatting>
  <conditionalFormatting sqref="D187">
    <cfRule type="cellIs" dxfId="58" priority="840" operator="equal">
      <formula>$S$1</formula>
    </cfRule>
    <cfRule type="cellIs" dxfId="57" priority="841" operator="equal">
      <formula>$U$1</formula>
    </cfRule>
  </conditionalFormatting>
  <conditionalFormatting sqref="C212">
    <cfRule type="cellIs" dxfId="56" priority="838" operator="equal">
      <formula>$U$1</formula>
    </cfRule>
    <cfRule type="cellIs" dxfId="55" priority="839" operator="equal">
      <formula>$S$1</formula>
    </cfRule>
  </conditionalFormatting>
  <conditionalFormatting sqref="D212">
    <cfRule type="cellIs" dxfId="54" priority="836" operator="equal">
      <formula>$S$1</formula>
    </cfRule>
    <cfRule type="cellIs" dxfId="53" priority="837" operator="equal">
      <formula>$U$1</formula>
    </cfRule>
  </conditionalFormatting>
  <conditionalFormatting sqref="C237">
    <cfRule type="cellIs" dxfId="52" priority="834" operator="equal">
      <formula>$U$1</formula>
    </cfRule>
    <cfRule type="cellIs" dxfId="51" priority="835" operator="equal">
      <formula>$S$1</formula>
    </cfRule>
  </conditionalFormatting>
  <conditionalFormatting sqref="D237">
    <cfRule type="cellIs" dxfId="50" priority="832" operator="equal">
      <formula>$S$1</formula>
    </cfRule>
    <cfRule type="cellIs" dxfId="49" priority="833" operator="equal">
      <formula>$U$1</formula>
    </cfRule>
  </conditionalFormatting>
  <conditionalFormatting sqref="C106">
    <cfRule type="cellIs" dxfId="48" priority="830" operator="equal">
      <formula>$U$1</formula>
    </cfRule>
    <cfRule type="cellIs" dxfId="47" priority="831" operator="equal">
      <formula>$S$1</formula>
    </cfRule>
  </conditionalFormatting>
  <conditionalFormatting sqref="D106">
    <cfRule type="cellIs" dxfId="46" priority="828" operator="equal">
      <formula>$S$1</formula>
    </cfRule>
    <cfRule type="cellIs" dxfId="45" priority="829" operator="equal">
      <formula>$U$1</formula>
    </cfRule>
  </conditionalFormatting>
  <conditionalFormatting sqref="C81">
    <cfRule type="cellIs" dxfId="44" priority="826" operator="equal">
      <formula>$U$1</formula>
    </cfRule>
    <cfRule type="cellIs" dxfId="43" priority="827" operator="equal">
      <formula>$S$1</formula>
    </cfRule>
  </conditionalFormatting>
  <conditionalFormatting sqref="D81">
    <cfRule type="cellIs" dxfId="42" priority="824" operator="equal">
      <formula>$S$1</formula>
    </cfRule>
    <cfRule type="cellIs" dxfId="41" priority="825" operator="equal">
      <formula>$U$1</formula>
    </cfRule>
  </conditionalFormatting>
  <conditionalFormatting sqref="C56">
    <cfRule type="cellIs" dxfId="40" priority="822" operator="equal">
      <formula>$U$1</formula>
    </cfRule>
    <cfRule type="cellIs" dxfId="39" priority="823" operator="equal">
      <formula>$S$1</formula>
    </cfRule>
  </conditionalFormatting>
  <conditionalFormatting sqref="D56">
    <cfRule type="cellIs" dxfId="38" priority="820" operator="equal">
      <formula>$S$1</formula>
    </cfRule>
    <cfRule type="cellIs" dxfId="37" priority="821" operator="equal">
      <formula>$U$1</formula>
    </cfRule>
  </conditionalFormatting>
  <conditionalFormatting sqref="C31">
    <cfRule type="cellIs" dxfId="36" priority="818" operator="equal">
      <formula>$U$1</formula>
    </cfRule>
    <cfRule type="cellIs" dxfId="35" priority="819" operator="equal">
      <formula>$S$1</formula>
    </cfRule>
  </conditionalFormatting>
  <conditionalFormatting sqref="D31">
    <cfRule type="cellIs" dxfId="34" priority="816" operator="equal">
      <formula>$S$1</formula>
    </cfRule>
    <cfRule type="cellIs" dxfId="33" priority="81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X121" sqref="X12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24" x14ac:dyDescent="0.25">
      <c r="A97" s="30">
        <v>9.849732675807628</v>
      </c>
      <c r="E97"/>
    </row>
    <row r="98" spans="1:24" x14ac:dyDescent="0.25">
      <c r="A98" s="30">
        <v>8.9543024325523888</v>
      </c>
      <c r="C98" s="1" t="s">
        <v>13</v>
      </c>
      <c r="E98"/>
    </row>
    <row r="99" spans="1:24" x14ac:dyDescent="0.25">
      <c r="A99" s="30">
        <v>8.140274938683989</v>
      </c>
      <c r="C99" s="1">
        <f>C88</f>
        <v>0</v>
      </c>
      <c r="E99"/>
    </row>
    <row r="100" spans="1:24" x14ac:dyDescent="0.25">
      <c r="A100" s="30">
        <v>7.4002499442581717</v>
      </c>
      <c r="C100"/>
      <c r="D100"/>
      <c r="E100"/>
    </row>
    <row r="101" spans="1:24" x14ac:dyDescent="0.25">
      <c r="A101" s="30">
        <v>6.72749994932561</v>
      </c>
      <c r="C101" s="1" t="s">
        <v>14</v>
      </c>
      <c r="E101"/>
    </row>
    <row r="102" spans="1:2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M102" s="27" t="s">
        <v>8</v>
      </c>
    </row>
    <row r="103" spans="1:24" x14ac:dyDescent="0.25">
      <c r="A103" s="30">
        <v>5.5599173134922388</v>
      </c>
      <c r="E103"/>
      <c r="M103" s="27" t="s">
        <v>8</v>
      </c>
      <c r="N103" s="27" t="s">
        <v>7</v>
      </c>
      <c r="O103" s="27" t="s">
        <v>8</v>
      </c>
    </row>
    <row r="104" spans="1:24" x14ac:dyDescent="0.25">
      <c r="A104" s="30">
        <v>5.0544702849929442</v>
      </c>
      <c r="E104"/>
      <c r="M104" s="27" t="s">
        <v>8</v>
      </c>
      <c r="N104" s="27" t="s">
        <v>7</v>
      </c>
      <c r="O104" s="27" t="s">
        <v>8</v>
      </c>
      <c r="P104" s="27" t="s">
        <v>7</v>
      </c>
      <c r="W104" s="27" t="s">
        <v>8</v>
      </c>
    </row>
    <row r="105" spans="1:24" x14ac:dyDescent="0.25">
      <c r="A105" s="30">
        <v>4.594972986357222</v>
      </c>
      <c r="E105"/>
      <c r="M105" s="27" t="s">
        <v>8</v>
      </c>
      <c r="N105" s="27" t="s">
        <v>7</v>
      </c>
      <c r="O105" s="27" t="s">
        <v>8</v>
      </c>
      <c r="P105" s="27" t="s">
        <v>7</v>
      </c>
      <c r="W105" s="27" t="s">
        <v>8</v>
      </c>
      <c r="X105" s="27" t="s">
        <v>7</v>
      </c>
    </row>
    <row r="106" spans="1:24" x14ac:dyDescent="0.25">
      <c r="A106" s="30">
        <v>4.1772481694156562</v>
      </c>
      <c r="E106"/>
      <c r="M106" s="27" t="s">
        <v>8</v>
      </c>
      <c r="N106" s="27" t="s">
        <v>7</v>
      </c>
      <c r="O106" s="27" t="s">
        <v>8</v>
      </c>
      <c r="P106" s="27" t="s">
        <v>7</v>
      </c>
      <c r="W106" s="27" t="s">
        <v>8</v>
      </c>
      <c r="X106" s="27" t="s">
        <v>7</v>
      </c>
    </row>
    <row r="107" spans="1:24" x14ac:dyDescent="0.25">
      <c r="A107" s="30">
        <v>3.7974983358324148</v>
      </c>
      <c r="E107"/>
      <c r="M107" s="27" t="s">
        <v>8</v>
      </c>
      <c r="N107" s="27" t="s">
        <v>7</v>
      </c>
      <c r="O107" s="27" t="s">
        <v>8</v>
      </c>
      <c r="P107" s="27" t="s">
        <v>7</v>
      </c>
      <c r="Q107" s="27" t="s">
        <v>8</v>
      </c>
      <c r="U107" s="27" t="s">
        <v>8</v>
      </c>
      <c r="W107" s="27" t="s">
        <v>8</v>
      </c>
      <c r="X107" s="27" t="s">
        <v>7</v>
      </c>
    </row>
    <row r="108" spans="1:24" x14ac:dyDescent="0.25">
      <c r="A108" s="30">
        <v>3.4522712143931042</v>
      </c>
      <c r="E108"/>
      <c r="K108" s="27" t="s">
        <v>8</v>
      </c>
      <c r="M108" s="27" t="s">
        <v>8</v>
      </c>
      <c r="N108" s="27" t="s">
        <v>7</v>
      </c>
      <c r="P108" s="27" t="s">
        <v>7</v>
      </c>
      <c r="Q108" s="27" t="s">
        <v>8</v>
      </c>
      <c r="R108" s="27" t="s">
        <v>7</v>
      </c>
      <c r="U108" s="27" t="s">
        <v>8</v>
      </c>
      <c r="V108" s="27" t="s">
        <v>7</v>
      </c>
      <c r="W108" s="27" t="s">
        <v>8</v>
      </c>
      <c r="X108" s="27" t="s">
        <v>7</v>
      </c>
    </row>
    <row r="109" spans="1:24" x14ac:dyDescent="0.25">
      <c r="A109" s="30">
        <v>3.1384283767210035</v>
      </c>
      <c r="E109"/>
      <c r="K109" s="27" t="s">
        <v>8</v>
      </c>
      <c r="L109" s="27" t="s">
        <v>7</v>
      </c>
      <c r="M109" s="27" t="s">
        <v>8</v>
      </c>
      <c r="P109" s="27" t="s">
        <v>7</v>
      </c>
      <c r="Q109" s="27" t="s">
        <v>8</v>
      </c>
      <c r="R109" s="27" t="s">
        <v>7</v>
      </c>
      <c r="S109" s="27" t="s">
        <v>8</v>
      </c>
      <c r="U109" s="27" t="s">
        <v>8</v>
      </c>
      <c r="V109" s="27" t="s">
        <v>7</v>
      </c>
      <c r="W109" s="27" t="s">
        <v>8</v>
      </c>
      <c r="X109" s="27" t="s">
        <v>7</v>
      </c>
    </row>
    <row r="110" spans="1:24" x14ac:dyDescent="0.25">
      <c r="A110" s="30">
        <v>2.8531167061100029</v>
      </c>
      <c r="E110"/>
      <c r="I110" s="27" t="s">
        <v>8</v>
      </c>
      <c r="K110" s="27" t="s">
        <v>8</v>
      </c>
      <c r="L110" s="27" t="s">
        <v>7</v>
      </c>
      <c r="M110" s="27" t="s">
        <v>8</v>
      </c>
      <c r="P110" s="27" t="s">
        <v>7</v>
      </c>
      <c r="Q110" s="27" t="s">
        <v>8</v>
      </c>
      <c r="R110" s="27" t="s">
        <v>7</v>
      </c>
      <c r="S110" s="27" t="s">
        <v>8</v>
      </c>
      <c r="T110" s="27" t="s">
        <v>7</v>
      </c>
      <c r="U110" s="27" t="s">
        <v>8</v>
      </c>
      <c r="V110" s="27" t="s">
        <v>7</v>
      </c>
      <c r="W110" s="27" t="s">
        <v>8</v>
      </c>
      <c r="X110" s="27" t="s">
        <v>7</v>
      </c>
    </row>
    <row r="111" spans="1:24" x14ac:dyDescent="0.25">
      <c r="A111" s="30">
        <v>2.5937424601000023</v>
      </c>
      <c r="C111" s="1" t="str">
        <f>ADDRESS(C121-1,1,1,1)</f>
        <v>$A$120</v>
      </c>
      <c r="D111" s="1" t="str">
        <f>ADDRESS(C121-1,D121,1,1)</f>
        <v>$X$120</v>
      </c>
      <c r="E111"/>
      <c r="G111" s="27" t="s">
        <v>8</v>
      </c>
      <c r="I111" s="27" t="s">
        <v>8</v>
      </c>
      <c r="J111" s="27" t="s">
        <v>7</v>
      </c>
      <c r="K111" s="27" t="s">
        <v>8</v>
      </c>
      <c r="L111" s="27" t="s">
        <v>7</v>
      </c>
      <c r="M111" s="27" t="s">
        <v>8</v>
      </c>
      <c r="P111" s="27" t="s">
        <v>7</v>
      </c>
      <c r="Q111" s="27" t="s">
        <v>8</v>
      </c>
      <c r="R111" s="27" t="s">
        <v>7</v>
      </c>
      <c r="S111" s="27" t="s">
        <v>8</v>
      </c>
      <c r="T111" s="27" t="s">
        <v>7</v>
      </c>
      <c r="U111" s="27" t="s">
        <v>8</v>
      </c>
      <c r="V111" s="27" t="s">
        <v>7</v>
      </c>
      <c r="W111" s="27" t="s">
        <v>8</v>
      </c>
      <c r="X111" s="27" t="s">
        <v>7</v>
      </c>
    </row>
    <row r="112" spans="1:24" x14ac:dyDescent="0.25">
      <c r="A112" s="30">
        <v>2.3579476910000019</v>
      </c>
      <c r="C112" s="1" t="str">
        <f>ADDRESS(C121,1,1,1)</f>
        <v>$A$121</v>
      </c>
      <c r="D112" s="1" t="str">
        <f>ADDRESS(C121,D121-1,1,1)</f>
        <v>$W$121</v>
      </c>
      <c r="E112"/>
      <c r="G112" s="27" t="s">
        <v>8</v>
      </c>
      <c r="H112" s="27" t="s">
        <v>7</v>
      </c>
      <c r="I112" s="27" t="s">
        <v>8</v>
      </c>
      <c r="J112" s="27" t="s">
        <v>7</v>
      </c>
      <c r="K112" s="27" t="s">
        <v>8</v>
      </c>
      <c r="L112" s="27" t="s">
        <v>7</v>
      </c>
      <c r="P112" s="27" t="s">
        <v>7</v>
      </c>
      <c r="R112" s="27" t="s">
        <v>7</v>
      </c>
      <c r="S112" s="27" t="s">
        <v>8</v>
      </c>
      <c r="T112" s="27" t="s">
        <v>7</v>
      </c>
      <c r="V112" s="27" t="s">
        <v>7</v>
      </c>
      <c r="W112" s="27" t="s">
        <v>8</v>
      </c>
      <c r="X112" s="27" t="s">
        <v>7</v>
      </c>
    </row>
    <row r="113" spans="1:24" x14ac:dyDescent="0.25">
      <c r="A113" s="30">
        <v>2.1435888100000016</v>
      </c>
      <c r="C113" s="1" t="str">
        <f>ADDRESS(C121+1,1,1,1)</f>
        <v>$A$122</v>
      </c>
      <c r="D113" s="1" t="str">
        <f>ADDRESS(C121-1,D121+1,1,1)</f>
        <v>$Y$120</v>
      </c>
      <c r="G113" s="27" t="s">
        <v>8</v>
      </c>
      <c r="H113" s="27" t="s">
        <v>7</v>
      </c>
      <c r="I113" s="27" t="s">
        <v>8</v>
      </c>
      <c r="J113" s="27" t="s">
        <v>7</v>
      </c>
      <c r="K113" s="27" t="s">
        <v>8</v>
      </c>
      <c r="R113" s="27" t="s">
        <v>7</v>
      </c>
      <c r="V113" s="27" t="s">
        <v>7</v>
      </c>
      <c r="W113" s="27" t="s">
        <v>8</v>
      </c>
      <c r="X113" s="27" t="s">
        <v>7</v>
      </c>
    </row>
    <row r="114" spans="1:24" x14ac:dyDescent="0.25">
      <c r="A114" s="30">
        <v>1.9487171000000014</v>
      </c>
      <c r="C114" s="1" t="str">
        <f>ADDRESS(C121,D121,1,1)</f>
        <v>$X$121</v>
      </c>
      <c r="D114" s="1" t="str">
        <f>ADDRESS(C121+1,D121+1,1,1)</f>
        <v>$Y$122</v>
      </c>
      <c r="G114" s="27" t="s">
        <v>8</v>
      </c>
      <c r="H114" s="27" t="s">
        <v>7</v>
      </c>
      <c r="J114" s="27" t="s">
        <v>7</v>
      </c>
      <c r="V114" s="27" t="s">
        <v>7</v>
      </c>
      <c r="W114" s="27" t="s">
        <v>8</v>
      </c>
      <c r="X114" s="27" t="s">
        <v>7</v>
      </c>
    </row>
    <row r="115" spans="1:24" x14ac:dyDescent="0.25">
      <c r="A115" s="30">
        <v>1.7715610000000011</v>
      </c>
      <c r="C115" s="1" t="str">
        <f>ADDRESS(C121+1,D121,1,1)</f>
        <v>$X$122</v>
      </c>
      <c r="G115" s="27" t="s">
        <v>8</v>
      </c>
      <c r="V115" s="18" t="s">
        <v>7</v>
      </c>
      <c r="W115" s="27" t="s">
        <v>8</v>
      </c>
      <c r="X115" s="27" t="s">
        <v>7</v>
      </c>
    </row>
    <row r="116" spans="1:24" x14ac:dyDescent="0.25">
      <c r="A116" s="30">
        <v>1.6105100000000008</v>
      </c>
      <c r="C116" s="1">
        <f>C117-1</f>
        <v>120</v>
      </c>
      <c r="G116" s="27" t="s">
        <v>8</v>
      </c>
      <c r="V116" s="27" t="s">
        <v>7</v>
      </c>
      <c r="X116" s="27" t="s">
        <v>7</v>
      </c>
    </row>
    <row r="117" spans="1:24" x14ac:dyDescent="0.25">
      <c r="A117" s="30">
        <v>1.4641000000000006</v>
      </c>
      <c r="C117" s="1">
        <f>C121</f>
        <v>121</v>
      </c>
      <c r="D117" s="1">
        <f>D121</f>
        <v>24</v>
      </c>
      <c r="G117" s="27" t="s">
        <v>8</v>
      </c>
      <c r="X117" s="27" t="s">
        <v>7</v>
      </c>
    </row>
    <row r="118" spans="1:24" x14ac:dyDescent="0.25">
      <c r="A118" s="30">
        <v>1.3310000000000004</v>
      </c>
      <c r="C118" s="1">
        <f>C117+1</f>
        <v>122</v>
      </c>
      <c r="D118" s="1">
        <f>D117+1</f>
        <v>25</v>
      </c>
      <c r="G118" s="27" t="s">
        <v>8</v>
      </c>
      <c r="X118" s="27" t="s">
        <v>7</v>
      </c>
    </row>
    <row r="119" spans="1:24" x14ac:dyDescent="0.25">
      <c r="A119" s="30">
        <v>1.2100000000000002</v>
      </c>
      <c r="G119" s="27" t="s">
        <v>8</v>
      </c>
      <c r="X119" s="27" t="s">
        <v>7</v>
      </c>
    </row>
    <row r="120" spans="1:24" x14ac:dyDescent="0.25">
      <c r="A120" s="30">
        <v>1.1000000000000001</v>
      </c>
      <c r="C120" s="1" t="s">
        <v>9</v>
      </c>
      <c r="G120" s="27" t="s">
        <v>8</v>
      </c>
      <c r="X120" s="27" t="s">
        <v>7</v>
      </c>
    </row>
    <row r="121" spans="1:24" x14ac:dyDescent="0.25">
      <c r="A121" s="30">
        <v>1</v>
      </c>
      <c r="C121" s="18">
        <v>121</v>
      </c>
      <c r="D121" s="19">
        <v>24</v>
      </c>
      <c r="E121" s="18" t="s">
        <v>8</v>
      </c>
      <c r="G121" s="27" t="s">
        <v>8</v>
      </c>
      <c r="X121" s="27" t="s">
        <v>7</v>
      </c>
    </row>
    <row r="122" spans="1:24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</row>
    <row r="123" spans="1:24" x14ac:dyDescent="0.25">
      <c r="A123" s="30">
        <v>0.82644628099173523</v>
      </c>
      <c r="C123" s="1" t="str">
        <f>"R"&amp;C121</f>
        <v>R121</v>
      </c>
      <c r="D123" s="1" t="str">
        <f>"C"&amp;D121</f>
        <v>C24</v>
      </c>
      <c r="F123" s="27" t="s">
        <v>7</v>
      </c>
      <c r="G123" s="27" t="s">
        <v>8</v>
      </c>
    </row>
    <row r="124" spans="1:2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</row>
    <row r="125" spans="1:24" x14ac:dyDescent="0.25">
      <c r="A125" s="30">
        <v>0.68301345536507019</v>
      </c>
      <c r="F125" s="27" t="s">
        <v>7</v>
      </c>
    </row>
    <row r="126" spans="1:24" x14ac:dyDescent="0.25">
      <c r="A126" s="30">
        <v>0.6209213230591546</v>
      </c>
      <c r="C126" s="1" t="s">
        <v>10</v>
      </c>
    </row>
    <row r="127" spans="1:24" x14ac:dyDescent="0.25">
      <c r="A127" s="30">
        <v>0.56447393005377677</v>
      </c>
      <c r="C127" s="30">
        <v>1</v>
      </c>
      <c r="D127"/>
    </row>
    <row r="128" spans="1:24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34" operator="equal">
      <formula>$U$1</formula>
    </cfRule>
    <cfRule type="cellIs" dxfId="30" priority="835" operator="equal">
      <formula>$S$1</formula>
    </cfRule>
  </conditionalFormatting>
  <conditionalFormatting sqref="D136">
    <cfRule type="cellIs" dxfId="29" priority="832" operator="equal">
      <formula>$S$1</formula>
    </cfRule>
    <cfRule type="cellIs" dxfId="28" priority="833" operator="equal">
      <formula>$U$1</formula>
    </cfRule>
  </conditionalFormatting>
  <conditionalFormatting sqref="C102">
    <cfRule type="cellIs" dxfId="27" priority="830" operator="equal">
      <formula>$U$1</formula>
    </cfRule>
    <cfRule type="cellIs" dxfId="26" priority="831" operator="equal">
      <formula>$S$1</formula>
    </cfRule>
  </conditionalFormatting>
  <conditionalFormatting sqref="D102">
    <cfRule type="cellIs" dxfId="25" priority="828" operator="equal">
      <formula>$S$1</formula>
    </cfRule>
    <cfRule type="cellIs" dxfId="24" priority="829" operator="equal">
      <formula>$U$1</formula>
    </cfRule>
  </conditionalFormatting>
  <conditionalFormatting sqref="C77">
    <cfRule type="cellIs" dxfId="23" priority="826" operator="equal">
      <formula>$U$1</formula>
    </cfRule>
    <cfRule type="cellIs" dxfId="22" priority="827" operator="equal">
      <formula>$S$1</formula>
    </cfRule>
  </conditionalFormatting>
  <conditionalFormatting sqref="D77">
    <cfRule type="cellIs" dxfId="21" priority="824" operator="equal">
      <formula>$S$1</formula>
    </cfRule>
    <cfRule type="cellIs" dxfId="20" priority="825" operator="equal">
      <formula>$U$1</formula>
    </cfRule>
  </conditionalFormatting>
  <conditionalFormatting sqref="C52">
    <cfRule type="cellIs" dxfId="19" priority="822" operator="equal">
      <formula>$U$1</formula>
    </cfRule>
    <cfRule type="cellIs" dxfId="18" priority="823" operator="equal">
      <formula>$S$1</formula>
    </cfRule>
  </conditionalFormatting>
  <conditionalFormatting sqref="D52">
    <cfRule type="cellIs" dxfId="17" priority="820" operator="equal">
      <formula>$S$1</formula>
    </cfRule>
    <cfRule type="cellIs" dxfId="16" priority="821" operator="equal">
      <formula>$U$1</formula>
    </cfRule>
  </conditionalFormatting>
  <conditionalFormatting sqref="C26">
    <cfRule type="cellIs" dxfId="15" priority="818" operator="equal">
      <formula>$U$1</formula>
    </cfRule>
    <cfRule type="cellIs" dxfId="14" priority="819" operator="equal">
      <formula>$S$1</formula>
    </cfRule>
  </conditionalFormatting>
  <conditionalFormatting sqref="D26">
    <cfRule type="cellIs" dxfId="13" priority="816" operator="equal">
      <formula>$S$1</formula>
    </cfRule>
    <cfRule type="cellIs" dxfId="12" priority="81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2022-01-28T01:13:57Z</dcterms:modified>
</cp:coreProperties>
</file>