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8628C94-26D6-4338-B4B5-84A5FD0B665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35" i="1"/>
  <c r="Q1035" i="1" s="1"/>
  <c r="R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35" i="1"/>
  <c r="T103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5"/>
  <c r="C122" i="3"/>
  <c r="C133" i="3" s="1"/>
  <c r="C136" i="3" s="1"/>
  <c r="C116" i="3"/>
  <c r="C118" i="3"/>
  <c r="C122" i="4"/>
  <c r="C133" i="4" s="1"/>
  <c r="D136" i="4" s="1"/>
  <c r="C116" i="4"/>
  <c r="D136" i="5"/>
  <c r="C136" i="5"/>
  <c r="R1034" i="1"/>
  <c r="C138" i="5" l="1"/>
  <c r="D136" i="3"/>
  <c r="C138" i="3" s="1"/>
  <c r="C136" i="4"/>
  <c r="C138" i="4" s="1"/>
  <c r="R1033" i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R70" i="1" l="1"/>
  <c r="S71" i="1"/>
  <c r="T71" i="1" s="1"/>
  <c r="R69" i="1" l="1"/>
  <c r="S70" i="1"/>
  <c r="T70" i="1" s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<sst xmlns="http://schemas.openxmlformats.org/spreadsheetml/2006/main" count="9040" uniqueCount="34">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</sst>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2.2240000000000002</c:v>
                </c:pt>
                <c:pt idx="1">
                  <c:v>2.2240000000000002</c:v>
                </c:pt>
                <c:pt idx="2">
                  <c:v>2.2240000000000002</c:v>
                </c:pt>
                <c:pt idx="3">
                  <c:v>2.2240000000000002</c:v>
                </c:pt>
                <c:pt idx="4">
                  <c:v>2.2189999999999999</c:v>
                </c:pt>
                <c:pt idx="5">
                  <c:v>2.0489999999999999</c:v>
                </c:pt>
                <c:pt idx="6">
                  <c:v>2.3159999999999998</c:v>
                </c:pt>
                <c:pt idx="7">
                  <c:v>2.831</c:v>
                </c:pt>
                <c:pt idx="8">
                  <c:v>3.0569999999999999</c:v>
                </c:pt>
                <c:pt idx="9">
                  <c:v>2.927</c:v>
                </c:pt>
                <c:pt idx="10">
                  <c:v>3.0089999999999999</c:v>
                </c:pt>
                <c:pt idx="11">
                  <c:v>3.121</c:v>
                </c:pt>
                <c:pt idx="12">
                  <c:v>3.1179999999999999</c:v>
                </c:pt>
                <c:pt idx="13">
                  <c:v>3.1509999999999998</c:v>
                </c:pt>
                <c:pt idx="14">
                  <c:v>3.0459999999999998</c:v>
                </c:pt>
                <c:pt idx="15">
                  <c:v>3.294</c:v>
                </c:pt>
                <c:pt idx="16">
                  <c:v>3.028</c:v>
                </c:pt>
                <c:pt idx="17">
                  <c:v>2.8839999999999999</c:v>
                </c:pt>
                <c:pt idx="18">
                  <c:v>3</c:v>
                </c:pt>
                <c:pt idx="19">
                  <c:v>3.052</c:v>
                </c:pt>
                <c:pt idx="20">
                  <c:v>3.089</c:v>
                </c:pt>
                <c:pt idx="21">
                  <c:v>3.3570000000000002</c:v>
                </c:pt>
                <c:pt idx="22">
                  <c:v>3.391</c:v>
                </c:pt>
                <c:pt idx="23">
                  <c:v>3.71</c:v>
                </c:pt>
                <c:pt idx="24">
                  <c:v>3.5779999999999998</c:v>
                </c:pt>
                <c:pt idx="25">
                  <c:v>3.57</c:v>
                </c:pt>
                <c:pt idx="26">
                  <c:v>3.5790000000000002</c:v>
                </c:pt>
                <c:pt idx="27">
                  <c:v>3.4060000000000001</c:v>
                </c:pt>
                <c:pt idx="28">
                  <c:v>3.4660000000000002</c:v>
                </c:pt>
                <c:pt idx="29">
                  <c:v>3.4969999999999999</c:v>
                </c:pt>
                <c:pt idx="30">
                  <c:v>3.7559999999999998</c:v>
                </c:pt>
                <c:pt idx="31">
                  <c:v>3.9540000000000002</c:v>
                </c:pt>
                <c:pt idx="32">
                  <c:v>3.859</c:v>
                </c:pt>
                <c:pt idx="33">
                  <c:v>3.7730000000000001</c:v>
                </c:pt>
                <c:pt idx="34">
                  <c:v>3.6480000000000001</c:v>
                </c:pt>
                <c:pt idx="35">
                  <c:v>3.7450000000000001</c:v>
                </c:pt>
                <c:pt idx="36">
                  <c:v>3.4710000000000001</c:v>
                </c:pt>
                <c:pt idx="37">
                  <c:v>3.427</c:v>
                </c:pt>
                <c:pt idx="38">
                  <c:v>3.2919999999999998</c:v>
                </c:pt>
                <c:pt idx="39">
                  <c:v>3.3439999999999999</c:v>
                </c:pt>
                <c:pt idx="40">
                  <c:v>3.3879999999999999</c:v>
                </c:pt>
                <c:pt idx="41">
                  <c:v>3.1920000000000002</c:v>
                </c:pt>
                <c:pt idx="42">
                  <c:v>3.4849999999999999</c:v>
                </c:pt>
                <c:pt idx="43">
                  <c:v>3.548</c:v>
                </c:pt>
                <c:pt idx="44">
                  <c:v>3.512</c:v>
                </c:pt>
                <c:pt idx="45">
                  <c:v>3.5590000000000002</c:v>
                </c:pt>
                <c:pt idx="46">
                  <c:v>3.9279999999999999</c:v>
                </c:pt>
                <c:pt idx="47">
                  <c:v>3.7730000000000001</c:v>
                </c:pt>
                <c:pt idx="48">
                  <c:v>3.702</c:v>
                </c:pt>
                <c:pt idx="49">
                  <c:v>3.6709999999999998</c:v>
                </c:pt>
                <c:pt idx="50">
                  <c:v>4.0709999999999997</c:v>
                </c:pt>
                <c:pt idx="51">
                  <c:v>3.9470000000000001</c:v>
                </c:pt>
                <c:pt idx="52">
                  <c:v>3.952</c:v>
                </c:pt>
                <c:pt idx="53">
                  <c:v>4.0389999999999997</c:v>
                </c:pt>
                <c:pt idx="54">
                  <c:v>4.18</c:v>
                </c:pt>
                <c:pt idx="55">
                  <c:v>4.9359999999999999</c:v>
                </c:pt>
                <c:pt idx="56">
                  <c:v>4.9889999999999999</c:v>
                </c:pt>
                <c:pt idx="57">
                  <c:v>5.0350000000000001</c:v>
                </c:pt>
                <c:pt idx="58">
                  <c:v>4.8600000000000003</c:v>
                </c:pt>
                <c:pt idx="59">
                  <c:v>5.0060000000000002</c:v>
                </c:pt>
                <c:pt idx="60">
                  <c:v>4.82</c:v>
                </c:pt>
                <c:pt idx="61">
                  <c:v>4.907</c:v>
                </c:pt>
                <c:pt idx="62">
                  <c:v>4.8339999999999996</c:v>
                </c:pt>
                <c:pt idx="63">
                  <c:v>5.2990000000000004</c:v>
                </c:pt>
                <c:pt idx="64">
                  <c:v>5.23</c:v>
                </c:pt>
                <c:pt idx="65">
                  <c:v>5.4329999999999998</c:v>
                </c:pt>
                <c:pt idx="66">
                  <c:v>5.218</c:v>
                </c:pt>
                <c:pt idx="67">
                  <c:v>5.391</c:v>
                </c:pt>
                <c:pt idx="68">
                  <c:v>5.5549999999999997</c:v>
                </c:pt>
                <c:pt idx="69">
                  <c:v>5.6059999999999999</c:v>
                </c:pt>
                <c:pt idx="70">
                  <c:v>5.4059999999999997</c:v>
                </c:pt>
                <c:pt idx="71">
                  <c:v>5.9539999999999997</c:v>
                </c:pt>
                <c:pt idx="72">
                  <c:v>5.93</c:v>
                </c:pt>
                <c:pt idx="73">
                  <c:v>6.1630000000000003</c:v>
                </c:pt>
                <c:pt idx="74">
                  <c:v>5.8010000000000002</c:v>
                </c:pt>
                <c:pt idx="75">
                  <c:v>5.7889999999999997</c:v>
                </c:pt>
                <c:pt idx="76">
                  <c:v>5.9130000000000003</c:v>
                </c:pt>
                <c:pt idx="77">
                  <c:v>5.657</c:v>
                </c:pt>
                <c:pt idx="78">
                  <c:v>5.7359999999999998</c:v>
                </c:pt>
                <c:pt idx="79">
                  <c:v>5.8710000000000004</c:v>
                </c:pt>
                <c:pt idx="80">
                  <c:v>5.9279999999999999</c:v>
                </c:pt>
                <c:pt idx="81">
                  <c:v>5.6849999999999996</c:v>
                </c:pt>
                <c:pt idx="82">
                  <c:v>5.7039999999999997</c:v>
                </c:pt>
                <c:pt idx="83">
                  <c:v>5.7080000000000002</c:v>
                </c:pt>
                <c:pt idx="84">
                  <c:v>5.7939999999999996</c:v>
                </c:pt>
                <c:pt idx="85">
                  <c:v>6.024</c:v>
                </c:pt>
                <c:pt idx="86">
                  <c:v>6.1280000000000001</c:v>
                </c:pt>
                <c:pt idx="87">
                  <c:v>6.0350000000000001</c:v>
                </c:pt>
                <c:pt idx="88">
                  <c:v>6.2329999999999997</c:v>
                </c:pt>
                <c:pt idx="89">
                  <c:v>5.774</c:v>
                </c:pt>
                <c:pt idx="90">
                  <c:v>5.8879999999999999</c:v>
                </c:pt>
                <c:pt idx="91">
                  <c:v>5.1420000000000003</c:v>
                </c:pt>
                <c:pt idx="92">
                  <c:v>5.03</c:v>
                </c:pt>
                <c:pt idx="93">
                  <c:v>5.4610000000000003</c:v>
                </c:pt>
                <c:pt idx="94">
                  <c:v>5.633</c:v>
                </c:pt>
                <c:pt idx="95">
                  <c:v>5.3369999999999997</c:v>
                </c:pt>
                <c:pt idx="96">
                  <c:v>5.4669999999999996</c:v>
                </c:pt>
                <c:pt idx="97">
                  <c:v>5.39</c:v>
                </c:pt>
                <c:pt idx="98">
                  <c:v>5.3129999999999997</c:v>
                </c:pt>
                <c:pt idx="99">
                  <c:v>5.5220000000000002</c:v>
                </c:pt>
                <c:pt idx="100">
                  <c:v>5.2039999999999997</c:v>
                </c:pt>
                <c:pt idx="101">
                  <c:v>5.2530000000000001</c:v>
                </c:pt>
                <c:pt idx="102">
                  <c:v>5.391</c:v>
                </c:pt>
                <c:pt idx="103">
                  <c:v>5.3849999999999998</c:v>
                </c:pt>
                <c:pt idx="104">
                  <c:v>5.3959999999999999</c:v>
                </c:pt>
                <c:pt idx="105">
                  <c:v>5.3440000000000003</c:v>
                </c:pt>
                <c:pt idx="106">
                  <c:v>5.2480000000000002</c:v>
                </c:pt>
                <c:pt idx="107">
                  <c:v>5.0940000000000003</c:v>
                </c:pt>
                <c:pt idx="108">
                  <c:v>5.2089999999999996</c:v>
                </c:pt>
                <c:pt idx="109">
                  <c:v>5.2569999999999997</c:v>
                </c:pt>
                <c:pt idx="110">
                  <c:v>5.5129999999999999</c:v>
                </c:pt>
                <c:pt idx="111">
                  <c:v>5.3550000000000004</c:v>
                </c:pt>
                <c:pt idx="112">
                  <c:v>5.3440000000000003</c:v>
                </c:pt>
                <c:pt idx="113">
                  <c:v>5.3929999999999998</c:v>
                </c:pt>
                <c:pt idx="114">
                  <c:v>5.5609999999999999</c:v>
                </c:pt>
                <c:pt idx="115">
                  <c:v>5.415</c:v>
                </c:pt>
                <c:pt idx="116">
                  <c:v>5.7309999999999999</c:v>
                </c:pt>
                <c:pt idx="117">
                  <c:v>4.9080000000000004</c:v>
                </c:pt>
                <c:pt idx="118">
                  <c:v>4.7430000000000003</c:v>
                </c:pt>
                <c:pt idx="119">
                  <c:v>4.4409999999999998</c:v>
                </c:pt>
                <c:pt idx="120">
                  <c:v>4.2469999999999999</c:v>
                </c:pt>
                <c:pt idx="121">
                  <c:v>4.1760000000000002</c:v>
                </c:pt>
                <c:pt idx="122">
                  <c:v>4.2009999999999996</c:v>
                </c:pt>
                <c:pt idx="123">
                  <c:v>4.53</c:v>
                </c:pt>
                <c:pt idx="124">
                  <c:v>4.6340000000000003</c:v>
                </c:pt>
                <c:pt idx="125">
                  <c:v>4.7249999999999996</c:v>
                </c:pt>
                <c:pt idx="126">
                  <c:v>5.1029999999999998</c:v>
                </c:pt>
                <c:pt idx="127">
                  <c:v>4.9619999999999997</c:v>
                </c:pt>
                <c:pt idx="128">
                  <c:v>4.3819999999999997</c:v>
                </c:pt>
                <c:pt idx="129">
                  <c:v>4.9249999999999998</c:v>
                </c:pt>
                <c:pt idx="130">
                  <c:v>5.492</c:v>
                </c:pt>
                <c:pt idx="131">
                  <c:v>5.5869999999999997</c:v>
                </c:pt>
                <c:pt idx="132">
                  <c:v>5.4020000000000001</c:v>
                </c:pt>
                <c:pt idx="133">
                  <c:v>5.6550000000000002</c:v>
                </c:pt>
                <c:pt idx="134">
                  <c:v>5.923</c:v>
                </c:pt>
                <c:pt idx="135">
                  <c:v>5.593</c:v>
                </c:pt>
                <c:pt idx="136">
                  <c:v>5.3810000000000002</c:v>
                </c:pt>
                <c:pt idx="137">
                  <c:v>5.7779999999999996</c:v>
                </c:pt>
                <c:pt idx="138">
                  <c:v>5.7670000000000003</c:v>
                </c:pt>
                <c:pt idx="139">
                  <c:v>5.3559999999999999</c:v>
                </c:pt>
                <c:pt idx="140">
                  <c:v>5.81</c:v>
                </c:pt>
                <c:pt idx="141">
                  <c:v>5.6970000000000001</c:v>
                </c:pt>
                <c:pt idx="142">
                  <c:v>5.875</c:v>
                </c:pt>
                <c:pt idx="143">
                  <c:v>7.3</c:v>
                </c:pt>
                <c:pt idx="144">
                  <c:v>7.2489999999999997</c:v>
                </c:pt>
                <c:pt idx="145">
                  <c:v>6.7370000000000001</c:v>
                </c:pt>
                <c:pt idx="146">
                  <c:v>6.7779999999999996</c:v>
                </c:pt>
                <c:pt idx="147">
                  <c:v>6.6849999999999996</c:v>
                </c:pt>
                <c:pt idx="148">
                  <c:v>6.7190000000000003</c:v>
                </c:pt>
                <c:pt idx="149">
                  <c:v>6.4139999999999997</c:v>
                </c:pt>
                <c:pt idx="150">
                  <c:v>6.4189999999999996</c:v>
                </c:pt>
                <c:pt idx="151">
                  <c:v>6.6779999999999999</c:v>
                </c:pt>
                <c:pt idx="152">
                  <c:v>6.4889999999999999</c:v>
                </c:pt>
                <c:pt idx="153">
                  <c:v>6.6319999999999997</c:v>
                </c:pt>
                <c:pt idx="154">
                  <c:v>6.2679999999999998</c:v>
                </c:pt>
                <c:pt idx="155">
                  <c:v>6.7179000000000002</c:v>
                </c:pt>
                <c:pt idx="156">
                  <c:v>6.3196000000000003</c:v>
                </c:pt>
                <c:pt idx="157">
                  <c:v>7.0125000000000002</c:v>
                </c:pt>
                <c:pt idx="158">
                  <c:v>6.1791999999999998</c:v>
                </c:pt>
                <c:pt idx="159">
                  <c:v>6.1319999999999997</c:v>
                </c:pt>
                <c:pt idx="160">
                  <c:v>6.4010999999999996</c:v>
                </c:pt>
                <c:pt idx="161">
                  <c:v>6.0879000000000003</c:v>
                </c:pt>
                <c:pt idx="162">
                  <c:v>5.6637000000000004</c:v>
                </c:pt>
                <c:pt idx="163">
                  <c:v>5.83</c:v>
                </c:pt>
                <c:pt idx="164">
                  <c:v>6.2224000000000004</c:v>
                </c:pt>
                <c:pt idx="165">
                  <c:v>6.375</c:v>
                </c:pt>
                <c:pt idx="166">
                  <c:v>6.4370000000000003</c:v>
                </c:pt>
                <c:pt idx="167">
                  <c:v>6.7199</c:v>
                </c:pt>
                <c:pt idx="168">
                  <c:v>6.3625999999999996</c:v>
                </c:pt>
                <c:pt idx="169">
                  <c:v>5.7503000000000002</c:v>
                </c:pt>
                <c:pt idx="170">
                  <c:v>5.3034999999999997</c:v>
                </c:pt>
                <c:pt idx="171">
                  <c:v>5.2023000000000001</c:v>
                </c:pt>
                <c:pt idx="172">
                  <c:v>4.9090999999999996</c:v>
                </c:pt>
                <c:pt idx="173">
                  <c:v>5.1424000000000003</c:v>
                </c:pt>
                <c:pt idx="174">
                  <c:v>4.7906000000000004</c:v>
                </c:pt>
                <c:pt idx="175">
                  <c:v>4.5701999999999998</c:v>
                </c:pt>
                <c:pt idx="176">
                  <c:v>4.5098000000000003</c:v>
                </c:pt>
                <c:pt idx="177">
                  <c:v>4.2888000000000002</c:v>
                </c:pt>
                <c:pt idx="178">
                  <c:v>4.3548999999999998</c:v>
                </c:pt>
                <c:pt idx="179">
                  <c:v>4.3299000000000003</c:v>
                </c:pt>
                <c:pt idx="180">
                  <c:v>4.3522999999999996</c:v>
                </c:pt>
                <c:pt idx="181">
                  <c:v>4.3791000000000002</c:v>
                </c:pt>
                <c:pt idx="182">
                  <c:v>4.3430999999999997</c:v>
                </c:pt>
                <c:pt idx="183">
                  <c:v>4.0475000000000003</c:v>
                </c:pt>
                <c:pt idx="184">
                  <c:v>4.1218000000000004</c:v>
                </c:pt>
                <c:pt idx="185">
                  <c:v>4.0275999999999996</c:v>
                </c:pt>
                <c:pt idx="186">
                  <c:v>3.9165999999999999</c:v>
                </c:pt>
                <c:pt idx="187">
                  <c:v>3.8868999999999998</c:v>
                </c:pt>
                <c:pt idx="188">
                  <c:v>3.8414000000000001</c:v>
                </c:pt>
                <c:pt idx="189">
                  <c:v>3.5430999999999999</c:v>
                </c:pt>
                <c:pt idx="190">
                  <c:v>3.5320999999999998</c:v>
                </c:pt>
                <c:pt idx="191">
                  <c:v>3.2241</c:v>
                </c:pt>
                <c:pt idx="192">
                  <c:v>3.5198</c:v>
                </c:pt>
                <c:pt idx="193">
                  <c:v>3.7869999999999999</c:v>
                </c:pt>
                <c:pt idx="194">
                  <c:v>3.7562000000000002</c:v>
                </c:pt>
                <c:pt idx="195">
                  <c:v>3.7513000000000001</c:v>
                </c:pt>
                <c:pt idx="196">
                  <c:v>3.9929000000000001</c:v>
                </c:pt>
                <c:pt idx="197">
                  <c:v>4.1539999999999999</c:v>
                </c:pt>
                <c:pt idx="198">
                  <c:v>4.2169999999999996</c:v>
                </c:pt>
                <c:pt idx="199">
                  <c:v>4.3880999999999997</c:v>
                </c:pt>
                <c:pt idx="200">
                  <c:v>4.7744</c:v>
                </c:pt>
                <c:pt idx="201">
                  <c:v>4.3160999999999996</c:v>
                </c:pt>
                <c:pt idx="202">
                  <c:v>4.4356999999999998</c:v>
                </c:pt>
                <c:pt idx="203">
                  <c:v>4.3573000000000004</c:v>
                </c:pt>
                <c:pt idx="204">
                  <c:v>4.6239999999999997</c:v>
                </c:pt>
                <c:pt idx="205">
                  <c:v>4.6216999999999997</c:v>
                </c:pt>
                <c:pt idx="206">
                  <c:v>4.5839999999999996</c:v>
                </c:pt>
                <c:pt idx="207">
                  <c:v>4.9340999999999999</c:v>
                </c:pt>
                <c:pt idx="208">
                  <c:v>4.9451000000000001</c:v>
                </c:pt>
                <c:pt idx="209">
                  <c:v>4.8773</c:v>
                </c:pt>
                <c:pt idx="210">
                  <c:v>4.8418999999999999</c:v>
                </c:pt>
                <c:pt idx="211">
                  <c:v>5.1731999999999996</c:v>
                </c:pt>
                <c:pt idx="212">
                  <c:v>5.2495000000000003</c:v>
                </c:pt>
                <c:pt idx="213">
                  <c:v>4.8800999999999997</c:v>
                </c:pt>
                <c:pt idx="214">
                  <c:v>4.9168000000000003</c:v>
                </c:pt>
                <c:pt idx="215">
                  <c:v>4.6155999999999997</c:v>
                </c:pt>
                <c:pt idx="216">
                  <c:v>4.5824999999999996</c:v>
                </c:pt>
                <c:pt idx="217">
                  <c:v>5.0133000000000001</c:v>
                </c:pt>
                <c:pt idx="218">
                  <c:v>4.6493000000000002</c:v>
                </c:pt>
                <c:pt idx="219">
                  <c:v>4.282</c:v>
                </c:pt>
                <c:pt idx="220">
                  <c:v>4.6128</c:v>
                </c:pt>
                <c:pt idx="221">
                  <c:v>5.8493000000000004</c:v>
                </c:pt>
                <c:pt idx="222">
                  <c:v>5.7271000000000001</c:v>
                </c:pt>
                <c:pt idx="223">
                  <c:v>5.9420000000000002</c:v>
                </c:pt>
                <c:pt idx="224">
                  <c:v>6.0255000000000001</c:v>
                </c:pt>
                <c:pt idx="225">
                  <c:v>6.0490000000000004</c:v>
                </c:pt>
                <c:pt idx="226">
                  <c:v>6.4237000000000002</c:v>
                </c:pt>
                <c:pt idx="227">
                  <c:v>6.9386000000000001</c:v>
                </c:pt>
                <c:pt idx="228">
                  <c:v>6.5340999999999996</c:v>
                </c:pt>
                <c:pt idx="229">
                  <c:v>6.0785999999999998</c:v>
                </c:pt>
                <c:pt idx="230">
                  <c:v>6.0766999999999998</c:v>
                </c:pt>
                <c:pt idx="231">
                  <c:v>6.4805999999999999</c:v>
                </c:pt>
                <c:pt idx="232">
                  <c:v>7.1576000000000004</c:v>
                </c:pt>
                <c:pt idx="233">
                  <c:v>6.9486999999999997</c:v>
                </c:pt>
                <c:pt idx="234">
                  <c:v>6.8562000000000003</c:v>
                </c:pt>
                <c:pt idx="235">
                  <c:v>7.5491000000000001</c:v>
                </c:pt>
                <c:pt idx="236">
                  <c:v>7.5191999999999997</c:v>
                </c:pt>
                <c:pt idx="237">
                  <c:v>7.8091999999999997</c:v>
                </c:pt>
                <c:pt idx="238">
                  <c:v>8.9442000000000004</c:v>
                </c:pt>
                <c:pt idx="239">
                  <c:v>7.3754</c:v>
                </c:pt>
                <c:pt idx="240">
                  <c:v>7.1393000000000004</c:v>
                </c:pt>
                <c:pt idx="241">
                  <c:v>7.3493000000000004</c:v>
                </c:pt>
                <c:pt idx="242">
                  <c:v>6.883</c:v>
                </c:pt>
                <c:pt idx="243">
                  <c:v>6.6352000000000002</c:v>
                </c:pt>
                <c:pt idx="244">
                  <c:v>6.9526000000000003</c:v>
                </c:pt>
                <c:pt idx="245">
                  <c:v>8.1574000000000009</c:v>
                </c:pt>
                <c:pt idx="246">
                  <c:v>8.1981999999999999</c:v>
                </c:pt>
                <c:pt idx="247">
                  <c:v>7.2621000000000002</c:v>
                </c:pt>
                <c:pt idx="248">
                  <c:v>7.4306000000000001</c:v>
                </c:pt>
                <c:pt idx="249">
                  <c:v>5.7789000000000001</c:v>
                </c:pt>
                <c:pt idx="250">
                  <c:v>6.5666000000000002</c:v>
                </c:pt>
                <c:pt idx="251">
                  <c:v>7.4297000000000004</c:v>
                </c:pt>
                <c:pt idx="252">
                  <c:v>8.8853000000000009</c:v>
                </c:pt>
                <c:pt idx="253">
                  <c:v>6.3876999999999997</c:v>
                </c:pt>
                <c:pt idx="254">
                  <c:v>9.9621999999999993</c:v>
                </c:pt>
                <c:pt idx="255">
                  <c:v>10.071199999999999</c:v>
                </c:pt>
                <c:pt idx="256">
                  <c:v>10.455399999999999</c:v>
                </c:pt>
                <c:pt idx="257">
                  <c:v>10.662599999999999</c:v>
                </c:pt>
                <c:pt idx="258">
                  <c:v>12.35</c:v>
                </c:pt>
                <c:pt idx="259">
                  <c:v>11.6821</c:v>
                </c:pt>
                <c:pt idx="260">
                  <c:v>9.9015000000000004</c:v>
                </c:pt>
                <c:pt idx="261">
                  <c:v>8.9829000000000008</c:v>
                </c:pt>
                <c:pt idx="262">
                  <c:v>8.5631000000000004</c:v>
                </c:pt>
                <c:pt idx="263">
                  <c:v>9.4783000000000008</c:v>
                </c:pt>
                <c:pt idx="264">
                  <c:v>9.8405000000000005</c:v>
                </c:pt>
                <c:pt idx="265">
                  <c:v>10.087899999999999</c:v>
                </c:pt>
                <c:pt idx="266">
                  <c:v>9.9781999999999993</c:v>
                </c:pt>
                <c:pt idx="267">
                  <c:v>9.7006999999999994</c:v>
                </c:pt>
                <c:pt idx="268">
                  <c:v>8.68</c:v>
                </c:pt>
                <c:pt idx="269">
                  <c:v>10.066000000000001</c:v>
                </c:pt>
                <c:pt idx="270">
                  <c:v>10.0953</c:v>
                </c:pt>
                <c:pt idx="271">
                  <c:v>10.4346</c:v>
                </c:pt>
                <c:pt idx="272">
                  <c:v>8.4781999999999993</c:v>
                </c:pt>
                <c:pt idx="273">
                  <c:v>7.98</c:v>
                </c:pt>
                <c:pt idx="274">
                  <c:v>8.0699000000000005</c:v>
                </c:pt>
                <c:pt idx="275">
                  <c:v>8.3307000000000002</c:v>
                </c:pt>
                <c:pt idx="276">
                  <c:v>8.1999999999999993</c:v>
                </c:pt>
                <c:pt idx="277">
                  <c:v>7.0351999999999997</c:v>
                </c:pt>
                <c:pt idx="278">
                  <c:v>7.2755000000000001</c:v>
                </c:pt>
                <c:pt idx="279">
                  <c:v>8.1205999999999996</c:v>
                </c:pt>
                <c:pt idx="280">
                  <c:v>7.51</c:v>
                </c:pt>
                <c:pt idx="281">
                  <c:v>8.68</c:v>
                </c:pt>
                <c:pt idx="282">
                  <c:v>8.6129999999999995</c:v>
                </c:pt>
                <c:pt idx="283">
                  <c:v>9.5745000000000005</c:v>
                </c:pt>
                <c:pt idx="284">
                  <c:v>11.38</c:v>
                </c:pt>
                <c:pt idx="285">
                  <c:v>12.680300000000001</c:v>
                </c:pt>
                <c:pt idx="286">
                  <c:v>6.1615000000000002</c:v>
                </c:pt>
                <c:pt idx="287">
                  <c:v>5.6966000000000001</c:v>
                </c:pt>
                <c:pt idx="288">
                  <c:v>5.4608999999999996</c:v>
                </c:pt>
                <c:pt idx="289">
                  <c:v>5.7526000000000002</c:v>
                </c:pt>
                <c:pt idx="290">
                  <c:v>5.7195</c:v>
                </c:pt>
                <c:pt idx="291">
                  <c:v>5.8346999999999998</c:v>
                </c:pt>
                <c:pt idx="292">
                  <c:v>6.0621</c:v>
                </c:pt>
                <c:pt idx="293">
                  <c:v>6.1840000000000002</c:v>
                </c:pt>
                <c:pt idx="294">
                  <c:v>5.9119999999999999</c:v>
                </c:pt>
                <c:pt idx="295">
                  <c:v>5.2519</c:v>
                </c:pt>
                <c:pt idx="296">
                  <c:v>5.7554999999999996</c:v>
                </c:pt>
                <c:pt idx="297">
                  <c:v>5.7009999999999996</c:v>
                </c:pt>
                <c:pt idx="298">
                  <c:v>5.3598999999999997</c:v>
                </c:pt>
                <c:pt idx="299">
                  <c:v>5.0021000000000004</c:v>
                </c:pt>
                <c:pt idx="300">
                  <c:v>5.0914000000000001</c:v>
                </c:pt>
                <c:pt idx="301">
                  <c:v>5.1032000000000002</c:v>
                </c:pt>
                <c:pt idx="302">
                  <c:v>5.2164999999999999</c:v>
                </c:pt>
                <c:pt idx="303">
                  <c:v>4.8494999999999999</c:v>
                </c:pt>
                <c:pt idx="304">
                  <c:v>4.7807000000000004</c:v>
                </c:pt>
                <c:pt idx="305">
                  <c:v>4.5225999999999997</c:v>
                </c:pt>
                <c:pt idx="306">
                  <c:v>4.4579000000000004</c:v>
                </c:pt>
                <c:pt idx="307">
                  <c:v>4.4501999999999997</c:v>
                </c:pt>
                <c:pt idx="308">
                  <c:v>4.1405000000000003</c:v>
                </c:pt>
                <c:pt idx="309">
                  <c:v>4.5015999999999998</c:v>
                </c:pt>
                <c:pt idx="310">
                  <c:v>4.8536999999999999</c:v>
                </c:pt>
                <c:pt idx="311">
                  <c:v>4.7621000000000002</c:v>
                </c:pt>
                <c:pt idx="312">
                  <c:v>5.0057</c:v>
                </c:pt>
                <c:pt idx="313">
                  <c:v>5.0698999999999996</c:v>
                </c:pt>
                <c:pt idx="314">
                  <c:v>5.0880000000000001</c:v>
                </c:pt>
                <c:pt idx="315">
                  <c:v>5.0335999999999999</c:v>
                </c:pt>
                <c:pt idx="316">
                  <c:v>5.2072000000000003</c:v>
                </c:pt>
                <c:pt idx="317">
                  <c:v>4.9775</c:v>
                </c:pt>
                <c:pt idx="318">
                  <c:v>4.9363000000000001</c:v>
                </c:pt>
                <c:pt idx="319">
                  <c:v>5.0536000000000003</c:v>
                </c:pt>
                <c:pt idx="320">
                  <c:v>5.3436000000000003</c:v>
                </c:pt>
                <c:pt idx="321">
                  <c:v>5.0785</c:v>
                </c:pt>
                <c:pt idx="322">
                  <c:v>5.5</c:v>
                </c:pt>
                <c:pt idx="323">
                  <c:v>5.6429999999999998</c:v>
                </c:pt>
                <c:pt idx="324">
                  <c:v>5.9099000000000004</c:v>
                </c:pt>
                <c:pt idx="325">
                  <c:v>5.7500999999999998</c:v>
                </c:pt>
                <c:pt idx="326">
                  <c:v>5.18</c:v>
                </c:pt>
                <c:pt idx="327">
                  <c:v>5.1159999999999997</c:v>
                </c:pt>
                <c:pt idx="328">
                  <c:v>5.1501999999999999</c:v>
                </c:pt>
                <c:pt idx="329">
                  <c:v>5.1283000000000003</c:v>
                </c:pt>
                <c:pt idx="330">
                  <c:v>5.4039000000000001</c:v>
                </c:pt>
                <c:pt idx="331">
                  <c:v>5.0781999999999998</c:v>
                </c:pt>
                <c:pt idx="332">
                  <c:v>5.3160999999999996</c:v>
                </c:pt>
                <c:pt idx="333">
                  <c:v>4.9497999999999998</c:v>
                </c:pt>
                <c:pt idx="334">
                  <c:v>5.1360000000000001</c:v>
                </c:pt>
                <c:pt idx="335">
                  <c:v>5.1532</c:v>
                </c:pt>
                <c:pt idx="336">
                  <c:v>5.2083000000000004</c:v>
                </c:pt>
                <c:pt idx="337">
                  <c:v>5.7842000000000002</c:v>
                </c:pt>
                <c:pt idx="338">
                  <c:v>5.1679000000000004</c:v>
                </c:pt>
                <c:pt idx="339">
                  <c:v>6.3581000000000003</c:v>
                </c:pt>
                <c:pt idx="340">
                  <c:v>6.83</c:v>
                </c:pt>
                <c:pt idx="341">
                  <c:v>6.8795000000000002</c:v>
                </c:pt>
                <c:pt idx="342">
                  <c:v>7.2115</c:v>
                </c:pt>
                <c:pt idx="343">
                  <c:v>7.47</c:v>
                </c:pt>
                <c:pt idx="344">
                  <c:v>6.4016000000000002</c:v>
                </c:pt>
                <c:pt idx="345">
                  <c:v>6.3724999999999996</c:v>
                </c:pt>
                <c:pt idx="346">
                  <c:v>6.3620000000000001</c:v>
                </c:pt>
                <c:pt idx="347">
                  <c:v>5.8506</c:v>
                </c:pt>
                <c:pt idx="348">
                  <c:v>6.5216000000000003</c:v>
                </c:pt>
                <c:pt idx="349">
                  <c:v>6.7881</c:v>
                </c:pt>
                <c:pt idx="350">
                  <c:v>5.9672999999999998</c:v>
                </c:pt>
                <c:pt idx="351">
                  <c:v>4.5220000000000002</c:v>
                </c:pt>
                <c:pt idx="352">
                  <c:v>4.6219999999999999</c:v>
                </c:pt>
                <c:pt idx="353">
                  <c:v>3.8149999999999999</c:v>
                </c:pt>
                <c:pt idx="354">
                  <c:v>3.5825999999999998</c:v>
                </c:pt>
                <c:pt idx="355">
                  <c:v>3.6511</c:v>
                </c:pt>
                <c:pt idx="356">
                  <c:v>3.7808999999999999</c:v>
                </c:pt>
                <c:pt idx="357">
                  <c:v>3.4512</c:v>
                </c:pt>
                <c:pt idx="358">
                  <c:v>3.6107999999999998</c:v>
                </c:pt>
                <c:pt idx="359">
                  <c:v>3.53</c:v>
                </c:pt>
                <c:pt idx="360">
                  <c:v>3.5301</c:v>
                </c:pt>
                <c:pt idx="361">
                  <c:v>3.4335</c:v>
                </c:pt>
                <c:pt idx="362">
                  <c:v>3.6112000000000002</c:v>
                </c:pt>
                <c:pt idx="363">
                  <c:v>3.871</c:v>
                </c:pt>
                <c:pt idx="364">
                  <c:v>3.9243999999999999</c:v>
                </c:pt>
                <c:pt idx="365">
                  <c:v>2.8974000000000002</c:v>
                </c:pt>
                <c:pt idx="366">
                  <c:v>3.2121</c:v>
                </c:pt>
                <c:pt idx="367">
                  <c:v>3.1785999999999999</c:v>
                </c:pt>
                <c:pt idx="368">
                  <c:v>3.3679000000000001</c:v>
                </c:pt>
                <c:pt idx="369">
                  <c:v>3.1642000000000001</c:v>
                </c:pt>
                <c:pt idx="370">
                  <c:v>3.1894999999999998</c:v>
                </c:pt>
                <c:pt idx="371">
                  <c:v>2.9161999999999999</c:v>
                </c:pt>
                <c:pt idx="372">
                  <c:v>3.4007000000000001</c:v>
                </c:pt>
                <c:pt idx="373">
                  <c:v>3.5</c:v>
                </c:pt>
                <c:pt idx="374">
                  <c:v>3.6</c:v>
                </c:pt>
                <c:pt idx="375">
                  <c:v>3.4159999999999999</c:v>
                </c:pt>
                <c:pt idx="376">
                  <c:v>3.343</c:v>
                </c:pt>
                <c:pt idx="377">
                  <c:v>3.1682999999999999</c:v>
                </c:pt>
                <c:pt idx="378">
                  <c:v>3.3311999999999999</c:v>
                </c:pt>
                <c:pt idx="379">
                  <c:v>3.55</c:v>
                </c:pt>
                <c:pt idx="380">
                  <c:v>3.4824999999999999</c:v>
                </c:pt>
                <c:pt idx="381">
                  <c:v>2.8266</c:v>
                </c:pt>
                <c:pt idx="382">
                  <c:v>3.2054</c:v>
                </c:pt>
                <c:pt idx="383">
                  <c:v>3.54</c:v>
                </c:pt>
                <c:pt idx="384">
                  <c:v>4.0475000000000003</c:v>
                </c:pt>
                <c:pt idx="385">
                  <c:v>4.3385999999999996</c:v>
                </c:pt>
                <c:pt idx="386">
                  <c:v>2.5503999999999998</c:v>
                </c:pt>
                <c:pt idx="387">
                  <c:v>1.5347999999999999</c:v>
                </c:pt>
                <c:pt idx="388">
                  <c:v>1.49</c:v>
                </c:pt>
                <c:pt idx="389">
                  <c:v>1.7129000000000001</c:v>
                </c:pt>
                <c:pt idx="390">
                  <c:v>1.0468999999999999</c:v>
                </c:pt>
                <c:pt idx="391">
                  <c:v>1.0336000000000001</c:v>
                </c:pt>
                <c:pt idx="392">
                  <c:v>1.0253000000000001</c:v>
                </c:pt>
                <c:pt idx="393">
                  <c:v>1.0621</c:v>
                </c:pt>
                <c:pt idx="394">
                  <c:v>1.0630999999999999</c:v>
                </c:pt>
                <c:pt idx="395">
                  <c:v>1.0721000000000001</c:v>
                </c:pt>
                <c:pt idx="396">
                  <c:v>1.1146</c:v>
                </c:pt>
                <c:pt idx="397">
                  <c:v>1.0278</c:v>
                </c:pt>
                <c:pt idx="398">
                  <c:v>1.06</c:v>
                </c:pt>
                <c:pt idx="399">
                  <c:v>1.0539000000000001</c:v>
                </c:pt>
                <c:pt idx="400">
                  <c:v>0.96840000000000004</c:v>
                </c:pt>
                <c:pt idx="401">
                  <c:v>1.0797000000000001</c:v>
                </c:pt>
                <c:pt idx="402">
                  <c:v>1.0391999999999999</c:v>
                </c:pt>
                <c:pt idx="403">
                  <c:v>1.0826</c:v>
                </c:pt>
                <c:pt idx="404">
                  <c:v>1.1324000000000001</c:v>
                </c:pt>
                <c:pt idx="405">
                  <c:v>1.1479999999999999</c:v>
                </c:pt>
                <c:pt idx="406">
                  <c:v>1.1509</c:v>
                </c:pt>
                <c:pt idx="407">
                  <c:v>1.1658999999999999</c:v>
                </c:pt>
                <c:pt idx="408">
                  <c:v>1.0685</c:v>
                </c:pt>
                <c:pt idx="409">
                  <c:v>1.0643</c:v>
                </c:pt>
                <c:pt idx="410">
                  <c:v>1.0883</c:v>
                </c:pt>
                <c:pt idx="411">
                  <c:v>1.0056</c:v>
                </c:pt>
                <c:pt idx="412">
                  <c:v>0.92710000000000004</c:v>
                </c:pt>
                <c:pt idx="413">
                  <c:v>0.9909</c:v>
                </c:pt>
                <c:pt idx="414">
                  <c:v>1.0497000000000001</c:v>
                </c:pt>
                <c:pt idx="415">
                  <c:v>0.97199999999999998</c:v>
                </c:pt>
                <c:pt idx="416">
                  <c:v>1.0573999999999999</c:v>
                </c:pt>
                <c:pt idx="417">
                  <c:v>1.0898000000000001</c:v>
                </c:pt>
                <c:pt idx="418">
                  <c:v>1.1155999999999999</c:v>
                </c:pt>
                <c:pt idx="419">
                  <c:v>1.0516000000000001</c:v>
                </c:pt>
                <c:pt idx="420">
                  <c:v>1.1714</c:v>
                </c:pt>
                <c:pt idx="421">
                  <c:v>1.1616</c:v>
                </c:pt>
                <c:pt idx="422">
                  <c:v>1.1631</c:v>
                </c:pt>
                <c:pt idx="423">
                  <c:v>1.1989000000000001</c:v>
                </c:pt>
                <c:pt idx="424">
                  <c:v>1.175</c:v>
                </c:pt>
                <c:pt idx="425">
                  <c:v>1.1738999999999999</c:v>
                </c:pt>
                <c:pt idx="426">
                  <c:v>1.1200000000000001</c:v>
                </c:pt>
                <c:pt idx="427">
                  <c:v>1.0175000000000001</c:v>
                </c:pt>
                <c:pt idx="428">
                  <c:v>1.1917</c:v>
                </c:pt>
                <c:pt idx="429">
                  <c:v>1.3744000000000001</c:v>
                </c:pt>
                <c:pt idx="430">
                  <c:v>1.1771</c:v>
                </c:pt>
                <c:pt idx="431">
                  <c:v>0.8528</c:v>
                </c:pt>
                <c:pt idx="432">
                  <c:v>0.86499999999999999</c:v>
                </c:pt>
                <c:pt idx="433">
                  <c:v>0.76219999999999999</c:v>
                </c:pt>
                <c:pt idx="434">
                  <c:v>0.73599999999999999</c:v>
                </c:pt>
                <c:pt idx="435">
                  <c:v>0.73409999999999997</c:v>
                </c:pt>
                <c:pt idx="436">
                  <c:v>0.75339999999999996</c:v>
                </c:pt>
                <c:pt idx="437">
                  <c:v>0.7399</c:v>
                </c:pt>
                <c:pt idx="438">
                  <c:v>0.73740000000000006</c:v>
                </c:pt>
                <c:pt idx="439">
                  <c:v>0.75519999999999998</c:v>
                </c:pt>
                <c:pt idx="440">
                  <c:v>0.78300000000000003</c:v>
                </c:pt>
                <c:pt idx="441">
                  <c:v>0.75839999999999996</c:v>
                </c:pt>
                <c:pt idx="442">
                  <c:v>0.79339999999999999</c:v>
                </c:pt>
                <c:pt idx="443">
                  <c:v>0.75409999999999999</c:v>
                </c:pt>
                <c:pt idx="444">
                  <c:v>0.745</c:v>
                </c:pt>
                <c:pt idx="445">
                  <c:v>0.78439999999999999</c:v>
                </c:pt>
                <c:pt idx="446">
                  <c:v>0.7369</c:v>
                </c:pt>
                <c:pt idx="447">
                  <c:v>0.78180000000000005</c:v>
                </c:pt>
                <c:pt idx="448">
                  <c:v>0.72350000000000003</c:v>
                </c:pt>
                <c:pt idx="449">
                  <c:v>0.70079999999999998</c:v>
                </c:pt>
                <c:pt idx="450">
                  <c:v>0.73060000000000003</c:v>
                </c:pt>
                <c:pt idx="451">
                  <c:v>0.71009999999999995</c:v>
                </c:pt>
                <c:pt idx="452">
                  <c:v>0.74229999999999996</c:v>
                </c:pt>
                <c:pt idx="453">
                  <c:v>0.74550000000000005</c:v>
                </c:pt>
                <c:pt idx="454">
                  <c:v>0.73270000000000002</c:v>
                </c:pt>
                <c:pt idx="455">
                  <c:v>0.77359999999999995</c:v>
                </c:pt>
                <c:pt idx="456">
                  <c:v>0.76249999999999996</c:v>
                </c:pt>
                <c:pt idx="457">
                  <c:v>0.80979999999999996</c:v>
                </c:pt>
                <c:pt idx="458">
                  <c:v>0.84470000000000001</c:v>
                </c:pt>
                <c:pt idx="459">
                  <c:v>0.84319999999999995</c:v>
                </c:pt>
                <c:pt idx="460">
                  <c:v>0.86609999999999998</c:v>
                </c:pt>
                <c:pt idx="461">
                  <c:v>0.86160000000000003</c:v>
                </c:pt>
                <c:pt idx="462">
                  <c:v>0.88890000000000002</c:v>
                </c:pt>
                <c:pt idx="463">
                  <c:v>0.89300000000000002</c:v>
                </c:pt>
                <c:pt idx="464">
                  <c:v>0.88019999999999998</c:v>
                </c:pt>
                <c:pt idx="465">
                  <c:v>0.83809999999999996</c:v>
                </c:pt>
                <c:pt idx="466">
                  <c:v>0.81769999999999998</c:v>
                </c:pt>
                <c:pt idx="467">
                  <c:v>0.80689999999999995</c:v>
                </c:pt>
                <c:pt idx="468">
                  <c:v>0.80059999999999998</c:v>
                </c:pt>
                <c:pt idx="469">
                  <c:v>0.80500000000000005</c:v>
                </c:pt>
                <c:pt idx="470">
                  <c:v>0.79869999999999997</c:v>
                </c:pt>
                <c:pt idx="471">
                  <c:v>0.81330000000000002</c:v>
                </c:pt>
                <c:pt idx="472">
                  <c:v>0.82599999999999996</c:v>
                </c:pt>
                <c:pt idx="473">
                  <c:v>0.8256</c:v>
                </c:pt>
                <c:pt idx="474">
                  <c:v>0.82030000000000003</c:v>
                </c:pt>
                <c:pt idx="475">
                  <c:v>0.82150000000000001</c:v>
                </c:pt>
                <c:pt idx="476">
                  <c:v>0.74060000000000004</c:v>
                </c:pt>
                <c:pt idx="477">
                  <c:v>0.71819999999999995</c:v>
                </c:pt>
                <c:pt idx="478">
                  <c:v>0.72219999999999995</c:v>
                </c:pt>
                <c:pt idx="479">
                  <c:v>0.76480000000000004</c:v>
                </c:pt>
                <c:pt idx="480">
                  <c:v>0.76900000000000002</c:v>
                </c:pt>
                <c:pt idx="481">
                  <c:v>0.77110000000000001</c:v>
                </c:pt>
                <c:pt idx="482">
                  <c:v>0.78390000000000004</c:v>
                </c:pt>
                <c:pt idx="483">
                  <c:v>0.81499999999999995</c:v>
                </c:pt>
                <c:pt idx="484">
                  <c:v>0.82699999999999996</c:v>
                </c:pt>
                <c:pt idx="485">
                  <c:v>0.81689999999999996</c:v>
                </c:pt>
                <c:pt idx="486">
                  <c:v>0.81679999999999997</c:v>
                </c:pt>
                <c:pt idx="487">
                  <c:v>0.82709999999999995</c:v>
                </c:pt>
                <c:pt idx="488">
                  <c:v>0.8286</c:v>
                </c:pt>
                <c:pt idx="489">
                  <c:v>0.76680000000000004</c:v>
                </c:pt>
                <c:pt idx="490">
                  <c:v>0.74860000000000004</c:v>
                </c:pt>
                <c:pt idx="491">
                  <c:v>0.67730000000000001</c:v>
                </c:pt>
                <c:pt idx="492">
                  <c:v>0.75070000000000003</c:v>
                </c:pt>
                <c:pt idx="493">
                  <c:v>0.72499999999999998</c:v>
                </c:pt>
                <c:pt idx="494">
                  <c:v>0.79600000000000004</c:v>
                </c:pt>
                <c:pt idx="495">
                  <c:v>0.8417</c:v>
                </c:pt>
                <c:pt idx="496">
                  <c:v>0.83799999999999997</c:v>
                </c:pt>
                <c:pt idx="497">
                  <c:v>0.86</c:v>
                </c:pt>
                <c:pt idx="498">
                  <c:v>0.86260000000000003</c:v>
                </c:pt>
                <c:pt idx="499">
                  <c:v>0.86570000000000003</c:v>
                </c:pt>
                <c:pt idx="500">
                  <c:v>0.88759999999999994</c:v>
                </c:pt>
                <c:pt idx="501">
                  <c:v>0.87539999999999996</c:v>
                </c:pt>
                <c:pt idx="502">
                  <c:v>0.93859999999999999</c:v>
                </c:pt>
                <c:pt idx="503">
                  <c:v>0.88900000000000001</c:v>
                </c:pt>
                <c:pt idx="504">
                  <c:v>0.86809999999999998</c:v>
                </c:pt>
                <c:pt idx="505">
                  <c:v>0.83650000000000002</c:v>
                </c:pt>
                <c:pt idx="506">
                  <c:v>0.81840000000000002</c:v>
                </c:pt>
                <c:pt idx="507">
                  <c:v>0.85270000000000001</c:v>
                </c:pt>
                <c:pt idx="508">
                  <c:v>0.83979999999999999</c:v>
                </c:pt>
                <c:pt idx="509">
                  <c:v>0.81279999999999997</c:v>
                </c:pt>
                <c:pt idx="510">
                  <c:v>0.88009999999999999</c:v>
                </c:pt>
                <c:pt idx="511">
                  <c:v>0.81599999999999995</c:v>
                </c:pt>
                <c:pt idx="512">
                  <c:v>1.0550999999999999</c:v>
                </c:pt>
                <c:pt idx="513">
                  <c:v>1.1240000000000001</c:v>
                </c:pt>
                <c:pt idx="514">
                  <c:v>1.1371</c:v>
                </c:pt>
                <c:pt idx="515">
                  <c:v>1.1714</c:v>
                </c:pt>
                <c:pt idx="516">
                  <c:v>1.1599999999999999</c:v>
                </c:pt>
                <c:pt idx="517">
                  <c:v>1.1666000000000001</c:v>
                </c:pt>
                <c:pt idx="518">
                  <c:v>1.1480999999999999</c:v>
                </c:pt>
                <c:pt idx="519">
                  <c:v>1.2215</c:v>
                </c:pt>
                <c:pt idx="520">
                  <c:v>1.1912</c:v>
                </c:pt>
                <c:pt idx="521">
                  <c:v>1.2918000000000001</c:v>
                </c:pt>
                <c:pt idx="522">
                  <c:v>1.3053999999999999</c:v>
                </c:pt>
                <c:pt idx="523">
                  <c:v>1.3813</c:v>
                </c:pt>
                <c:pt idx="524">
                  <c:v>1.19</c:v>
                </c:pt>
                <c:pt idx="525">
                  <c:v>1.2391000000000001</c:v>
                </c:pt>
                <c:pt idx="526">
                  <c:v>1.1783999999999999</c:v>
                </c:pt>
                <c:pt idx="527">
                  <c:v>1.3067</c:v>
                </c:pt>
                <c:pt idx="528">
                  <c:v>1.2354000000000001</c:v>
                </c:pt>
                <c:pt idx="529">
                  <c:v>1.1629</c:v>
                </c:pt>
                <c:pt idx="530">
                  <c:v>1.1121000000000001</c:v>
                </c:pt>
                <c:pt idx="531">
                  <c:v>1.1497999999999999</c:v>
                </c:pt>
                <c:pt idx="532">
                  <c:v>1.1511</c:v>
                </c:pt>
                <c:pt idx="533">
                  <c:v>1.1220000000000001</c:v>
                </c:pt>
                <c:pt idx="534">
                  <c:v>1.0920000000000001</c:v>
                </c:pt>
                <c:pt idx="535">
                  <c:v>1.1961999999999999</c:v>
                </c:pt>
                <c:pt idx="536">
                  <c:v>1.0551999999999999</c:v>
                </c:pt>
                <c:pt idx="537">
                  <c:v>1.0428999999999999</c:v>
                </c:pt>
                <c:pt idx="538">
                  <c:v>1.0199</c:v>
                </c:pt>
                <c:pt idx="539">
                  <c:v>1.0370999999999999</c:v>
                </c:pt>
                <c:pt idx="540">
                  <c:v>1.0170999999999999</c:v>
                </c:pt>
                <c:pt idx="541">
                  <c:v>1.0003</c:v>
                </c:pt>
                <c:pt idx="542">
                  <c:v>1.0152000000000001</c:v>
                </c:pt>
                <c:pt idx="543">
                  <c:v>0.97789999999999999</c:v>
                </c:pt>
                <c:pt idx="544">
                  <c:v>0.99119999999999997</c:v>
                </c:pt>
                <c:pt idx="545">
                  <c:v>0.93230000000000002</c:v>
                </c:pt>
                <c:pt idx="546">
                  <c:v>0.93369999999999997</c:v>
                </c:pt>
                <c:pt idx="547">
                  <c:v>0.94430000000000003</c:v>
                </c:pt>
                <c:pt idx="548">
                  <c:v>0.94899999999999995</c:v>
                </c:pt>
                <c:pt idx="549">
                  <c:v>0.92710000000000004</c:v>
                </c:pt>
                <c:pt idx="550">
                  <c:v>0.95709999999999995</c:v>
                </c:pt>
                <c:pt idx="551">
                  <c:v>0.99490000000000001</c:v>
                </c:pt>
                <c:pt idx="552">
                  <c:v>0.98740000000000006</c:v>
                </c:pt>
                <c:pt idx="553">
                  <c:v>1.0152000000000001</c:v>
                </c:pt>
                <c:pt idx="554">
                  <c:v>1.0414000000000001</c:v>
                </c:pt>
                <c:pt idx="555">
                  <c:v>1.0048999999999999</c:v>
                </c:pt>
                <c:pt idx="556">
                  <c:v>1.0165</c:v>
                </c:pt>
                <c:pt idx="557">
                  <c:v>1.0187999999999999</c:v>
                </c:pt>
                <c:pt idx="558">
                  <c:v>0.99050000000000005</c:v>
                </c:pt>
                <c:pt idx="559">
                  <c:v>0.98780000000000001</c:v>
                </c:pt>
                <c:pt idx="560">
                  <c:v>0.98260000000000003</c:v>
                </c:pt>
                <c:pt idx="561">
                  <c:v>1.0417000000000001</c:v>
                </c:pt>
                <c:pt idx="562">
                  <c:v>0.99939999999999996</c:v>
                </c:pt>
                <c:pt idx="563">
                  <c:v>0.9919</c:v>
                </c:pt>
                <c:pt idx="564">
                  <c:v>1.0461</c:v>
                </c:pt>
                <c:pt idx="565">
                  <c:v>1.0145999999999999</c:v>
                </c:pt>
                <c:pt idx="566">
                  <c:v>1.0074000000000001</c:v>
                </c:pt>
                <c:pt idx="567">
                  <c:v>1.0343</c:v>
                </c:pt>
                <c:pt idx="568">
                  <c:v>1.0775999999999999</c:v>
                </c:pt>
                <c:pt idx="569">
                  <c:v>0.99750000000000005</c:v>
                </c:pt>
                <c:pt idx="570">
                  <c:v>0.97460000000000002</c:v>
                </c:pt>
                <c:pt idx="571">
                  <c:v>0.92869999999999997</c:v>
                </c:pt>
                <c:pt idx="572">
                  <c:v>0.96099999999999997</c:v>
                </c:pt>
                <c:pt idx="573">
                  <c:v>0.92920000000000003</c:v>
                </c:pt>
                <c:pt idx="574">
                  <c:v>0.92290000000000005</c:v>
                </c:pt>
                <c:pt idx="575">
                  <c:v>0.96650000000000003</c:v>
                </c:pt>
                <c:pt idx="576">
                  <c:v>0.9365</c:v>
                </c:pt>
                <c:pt idx="577">
                  <c:v>0.96279999999999999</c:v>
                </c:pt>
                <c:pt idx="578">
                  <c:v>0.97160000000000002</c:v>
                </c:pt>
                <c:pt idx="579">
                  <c:v>0.95650000000000002</c:v>
                </c:pt>
                <c:pt idx="580">
                  <c:v>1.0410999999999999</c:v>
                </c:pt>
                <c:pt idx="581">
                  <c:v>1.0790999999999999</c:v>
                </c:pt>
                <c:pt idx="582">
                  <c:v>1.0587</c:v>
                </c:pt>
                <c:pt idx="583">
                  <c:v>1.1151</c:v>
                </c:pt>
                <c:pt idx="584">
                  <c:v>1.1426000000000001</c:v>
                </c:pt>
                <c:pt idx="585">
                  <c:v>1.0771999999999999</c:v>
                </c:pt>
                <c:pt idx="586">
                  <c:v>1.1198999999999999</c:v>
                </c:pt>
                <c:pt idx="587">
                  <c:v>1.1512</c:v>
                </c:pt>
                <c:pt idx="588">
                  <c:v>1.1575</c:v>
                </c:pt>
                <c:pt idx="589">
                  <c:v>1.2250000000000001</c:v>
                </c:pt>
                <c:pt idx="590">
                  <c:v>1.1216999999999999</c:v>
                </c:pt>
                <c:pt idx="591">
                  <c:v>1.1073</c:v>
                </c:pt>
                <c:pt idx="592">
                  <c:v>1.0470999999999999</c:v>
                </c:pt>
                <c:pt idx="593">
                  <c:v>1.1349</c:v>
                </c:pt>
                <c:pt idx="594">
                  <c:v>1.1082000000000001</c:v>
                </c:pt>
                <c:pt idx="595">
                  <c:v>1.05</c:v>
                </c:pt>
                <c:pt idx="596">
                  <c:v>1.1781999999999999</c:v>
                </c:pt>
                <c:pt idx="597">
                  <c:v>1.1966000000000001</c:v>
                </c:pt>
                <c:pt idx="598">
                  <c:v>1.0459000000000001</c:v>
                </c:pt>
                <c:pt idx="599">
                  <c:v>1.0564</c:v>
                </c:pt>
                <c:pt idx="600">
                  <c:v>1.0105999999999999</c:v>
                </c:pt>
                <c:pt idx="601">
                  <c:v>0.95720000000000005</c:v>
                </c:pt>
                <c:pt idx="602">
                  <c:v>0.89710000000000001</c:v>
                </c:pt>
                <c:pt idx="603">
                  <c:v>0.88900000000000001</c:v>
                </c:pt>
                <c:pt idx="604">
                  <c:v>0.88449999999999995</c:v>
                </c:pt>
                <c:pt idx="605">
                  <c:v>0.91490000000000005</c:v>
                </c:pt>
                <c:pt idx="606">
                  <c:v>0.87280000000000002</c:v>
                </c:pt>
                <c:pt idx="607">
                  <c:v>0.89839999999999998</c:v>
                </c:pt>
                <c:pt idx="608">
                  <c:v>0.89219999999999999</c:v>
                </c:pt>
                <c:pt idx="609">
                  <c:v>0.90010000000000001</c:v>
                </c:pt>
                <c:pt idx="610">
                  <c:v>0.91059999999999997</c:v>
                </c:pt>
                <c:pt idx="611">
                  <c:v>0.89359999999999995</c:v>
                </c:pt>
                <c:pt idx="612">
                  <c:v>0.93979999999999997</c:v>
                </c:pt>
                <c:pt idx="613">
                  <c:v>0.88149999999999995</c:v>
                </c:pt>
                <c:pt idx="614">
                  <c:v>0.94779999999999998</c:v>
                </c:pt>
                <c:pt idx="615">
                  <c:v>0.95420000000000005</c:v>
                </c:pt>
                <c:pt idx="616">
                  <c:v>0.82120000000000004</c:v>
                </c:pt>
                <c:pt idx="617">
                  <c:v>0.89400000000000002</c:v>
                </c:pt>
                <c:pt idx="618">
                  <c:v>0.90859999999999996</c:v>
                </c:pt>
                <c:pt idx="619">
                  <c:v>0.80410000000000004</c:v>
                </c:pt>
                <c:pt idx="620">
                  <c:v>0.73160000000000003</c:v>
                </c:pt>
                <c:pt idx="621">
                  <c:v>0.74870000000000003</c:v>
                </c:pt>
                <c:pt idx="622">
                  <c:v>0.72040000000000004</c:v>
                </c:pt>
                <c:pt idx="623">
                  <c:v>0.69650000000000001</c:v>
                </c:pt>
                <c:pt idx="624">
                  <c:v>0.69730000000000003</c:v>
                </c:pt>
                <c:pt idx="625">
                  <c:v>0.62629999999999997</c:v>
                </c:pt>
                <c:pt idx="626">
                  <c:v>0.59430000000000005</c:v>
                </c:pt>
                <c:pt idx="627">
                  <c:v>0.60570000000000002</c:v>
                </c:pt>
                <c:pt idx="628">
                  <c:v>0.65559999999999996</c:v>
                </c:pt>
                <c:pt idx="629">
                  <c:v>0.70189999999999997</c:v>
                </c:pt>
                <c:pt idx="630">
                  <c:v>0.6351</c:v>
                </c:pt>
                <c:pt idx="631">
                  <c:v>0.61180000000000001</c:v>
                </c:pt>
                <c:pt idx="632">
                  <c:v>0.62939999999999996</c:v>
                </c:pt>
                <c:pt idx="633">
                  <c:v>0.63800000000000001</c:v>
                </c:pt>
                <c:pt idx="634">
                  <c:v>0.64670000000000005</c:v>
                </c:pt>
                <c:pt idx="635">
                  <c:v>0.63929999999999998</c:v>
                </c:pt>
                <c:pt idx="636">
                  <c:v>0.62980000000000003</c:v>
                </c:pt>
                <c:pt idx="637">
                  <c:v>0.62419999999999998</c:v>
                </c:pt>
                <c:pt idx="638">
                  <c:v>0.63470000000000004</c:v>
                </c:pt>
                <c:pt idx="639">
                  <c:v>0.5978</c:v>
                </c:pt>
                <c:pt idx="640">
                  <c:v>0.59250000000000003</c:v>
                </c:pt>
                <c:pt idx="641">
                  <c:v>0.60250000000000004</c:v>
                </c:pt>
                <c:pt idx="642">
                  <c:v>0.58630000000000004</c:v>
                </c:pt>
                <c:pt idx="643">
                  <c:v>0.58499999999999996</c:v>
                </c:pt>
                <c:pt idx="644">
                  <c:v>0.57350000000000001</c:v>
                </c:pt>
                <c:pt idx="645">
                  <c:v>0.56459999999999999</c:v>
                </c:pt>
                <c:pt idx="646">
                  <c:v>0.53790000000000004</c:v>
                </c:pt>
                <c:pt idx="647">
                  <c:v>0.5444</c:v>
                </c:pt>
                <c:pt idx="648">
                  <c:v>0.57909999999999995</c:v>
                </c:pt>
                <c:pt idx="649">
                  <c:v>0.59160000000000001</c:v>
                </c:pt>
                <c:pt idx="650">
                  <c:v>0.56200000000000006</c:v>
                </c:pt>
                <c:pt idx="651">
                  <c:v>0.55769999999999997</c:v>
                </c:pt>
                <c:pt idx="652">
                  <c:v>0.52500000000000002</c:v>
                </c:pt>
                <c:pt idx="653">
                  <c:v>0.55669999999999997</c:v>
                </c:pt>
                <c:pt idx="654">
                  <c:v>0.54100000000000004</c:v>
                </c:pt>
                <c:pt idx="655">
                  <c:v>0.53600000000000003</c:v>
                </c:pt>
                <c:pt idx="656">
                  <c:v>0.54049999999999998</c:v>
                </c:pt>
                <c:pt idx="657">
                  <c:v>0.54490000000000005</c:v>
                </c:pt>
                <c:pt idx="658">
                  <c:v>0.58550000000000002</c:v>
                </c:pt>
                <c:pt idx="659">
                  <c:v>0.59870000000000001</c:v>
                </c:pt>
                <c:pt idx="660">
                  <c:v>0.59809999999999997</c:v>
                </c:pt>
                <c:pt idx="661">
                  <c:v>0.61829999999999996</c:v>
                </c:pt>
                <c:pt idx="662">
                  <c:v>0.59740000000000004</c:v>
                </c:pt>
                <c:pt idx="663">
                  <c:v>0.6401</c:v>
                </c:pt>
                <c:pt idx="664">
                  <c:v>0.54590000000000005</c:v>
                </c:pt>
                <c:pt idx="665">
                  <c:v>0.5363</c:v>
                </c:pt>
                <c:pt idx="666">
                  <c:v>0.49270000000000003</c:v>
                </c:pt>
                <c:pt idx="667">
                  <c:v>0.46939999999999998</c:v>
                </c:pt>
                <c:pt idx="668">
                  <c:v>0.46</c:v>
                </c:pt>
                <c:pt idx="669">
                  <c:v>0.43530000000000002</c:v>
                </c:pt>
                <c:pt idx="670">
                  <c:v>0.46579999999999999</c:v>
                </c:pt>
                <c:pt idx="671">
                  <c:v>0.47139999999999999</c:v>
                </c:pt>
                <c:pt idx="672">
                  <c:v>0.50570000000000004</c:v>
                </c:pt>
                <c:pt idx="673">
                  <c:v>0.51070000000000004</c:v>
                </c:pt>
                <c:pt idx="674">
                  <c:v>0.49580000000000002</c:v>
                </c:pt>
                <c:pt idx="675">
                  <c:v>0.50019999999999998</c:v>
                </c:pt>
                <c:pt idx="676">
                  <c:v>0.40089999999999998</c:v>
                </c:pt>
                <c:pt idx="677">
                  <c:v>0.44180000000000003</c:v>
                </c:pt>
                <c:pt idx="678">
                  <c:v>0.4451</c:v>
                </c:pt>
                <c:pt idx="679">
                  <c:v>0.47610000000000002</c:v>
                </c:pt>
                <c:pt idx="680">
                  <c:v>0.40160000000000001</c:v>
                </c:pt>
                <c:pt idx="681">
                  <c:v>0.3735</c:v>
                </c:pt>
                <c:pt idx="682">
                  <c:v>0.35249999999999998</c:v>
                </c:pt>
                <c:pt idx="683">
                  <c:v>0.40660000000000002</c:v>
                </c:pt>
                <c:pt idx="684">
                  <c:v>0.38619999999999999</c:v>
                </c:pt>
                <c:pt idx="685">
                  <c:v>0.41239999999999999</c:v>
                </c:pt>
                <c:pt idx="686">
                  <c:v>0.36249999999999999</c:v>
                </c:pt>
                <c:pt idx="687">
                  <c:v>0.68030000000000002</c:v>
                </c:pt>
                <c:pt idx="688">
                  <c:v>0.68579999999999997</c:v>
                </c:pt>
                <c:pt idx="689">
                  <c:v>0.68559999999999999</c:v>
                </c:pt>
                <c:pt idx="690">
                  <c:v>0.67290000000000005</c:v>
                </c:pt>
                <c:pt idx="691">
                  <c:v>0.78949999999999998</c:v>
                </c:pt>
                <c:pt idx="692">
                  <c:v>0.82450000000000001</c:v>
                </c:pt>
                <c:pt idx="693">
                  <c:v>0.82789999999999997</c:v>
                </c:pt>
                <c:pt idx="694">
                  <c:v>0.77339999999999998</c:v>
                </c:pt>
                <c:pt idx="695">
                  <c:v>0.7772</c:v>
                </c:pt>
                <c:pt idx="696">
                  <c:v>0.78790000000000004</c:v>
                </c:pt>
                <c:pt idx="697">
                  <c:v>0.72060000000000002</c:v>
                </c:pt>
                <c:pt idx="698">
                  <c:v>0.73619999999999997</c:v>
                </c:pt>
                <c:pt idx="699">
                  <c:v>0.75819999999999999</c:v>
                </c:pt>
                <c:pt idx="700">
                  <c:v>0.78800000000000003</c:v>
                </c:pt>
                <c:pt idx="701">
                  <c:v>0.7873</c:v>
                </c:pt>
                <c:pt idx="702">
                  <c:v>0.83230000000000004</c:v>
                </c:pt>
                <c:pt idx="703">
                  <c:v>0.90739999999999998</c:v>
                </c:pt>
                <c:pt idx="704">
                  <c:v>0.97629999999999995</c:v>
                </c:pt>
                <c:pt idx="705">
                  <c:v>0.95399999999999996</c:v>
                </c:pt>
                <c:pt idx="706">
                  <c:v>0.97289999999999999</c:v>
                </c:pt>
                <c:pt idx="707">
                  <c:v>0.93320000000000003</c:v>
                </c:pt>
                <c:pt idx="708">
                  <c:v>0.92769999999999997</c:v>
                </c:pt>
                <c:pt idx="709">
                  <c:v>1.012</c:v>
                </c:pt>
                <c:pt idx="710">
                  <c:v>0.99850000000000005</c:v>
                </c:pt>
                <c:pt idx="711">
                  <c:v>1.07</c:v>
                </c:pt>
                <c:pt idx="712">
                  <c:v>1.1197999999999999</c:v>
                </c:pt>
                <c:pt idx="713">
                  <c:v>1.1273</c:v>
                </c:pt>
                <c:pt idx="714">
                  <c:v>1.08</c:v>
                </c:pt>
                <c:pt idx="715">
                  <c:v>1.1376999999999999</c:v>
                </c:pt>
                <c:pt idx="716">
                  <c:v>1.0549999999999999</c:v>
                </c:pt>
                <c:pt idx="717">
                  <c:v>0.99019999999999997</c:v>
                </c:pt>
                <c:pt idx="718">
                  <c:v>0.96930000000000005</c:v>
                </c:pt>
                <c:pt idx="719">
                  <c:v>0.91259999999999997</c:v>
                </c:pt>
                <c:pt idx="720">
                  <c:v>0.9395</c:v>
                </c:pt>
                <c:pt idx="721">
                  <c:v>0.97489999999999999</c:v>
                </c:pt>
                <c:pt idx="722">
                  <c:v>0.92500000000000004</c:v>
                </c:pt>
                <c:pt idx="723">
                  <c:v>0.88129999999999997</c:v>
                </c:pt>
                <c:pt idx="724">
                  <c:v>0.81310000000000004</c:v>
                </c:pt>
                <c:pt idx="725">
                  <c:v>0.82740000000000002</c:v>
                </c:pt>
                <c:pt idx="726">
                  <c:v>0.80400000000000005</c:v>
                </c:pt>
                <c:pt idx="727">
                  <c:v>0.77700000000000002</c:v>
                </c:pt>
                <c:pt idx="728">
                  <c:v>0.74039999999999995</c:v>
                </c:pt>
                <c:pt idx="729">
                  <c:v>0.72209999999999996</c:v>
                </c:pt>
                <c:pt idx="730">
                  <c:v>0.70489999999999997</c:v>
                </c:pt>
                <c:pt idx="731">
                  <c:v>0.68769999999999998</c:v>
                </c:pt>
                <c:pt idx="732">
                  <c:v>0.68989999999999996</c:v>
                </c:pt>
                <c:pt idx="733">
                  <c:v>0.66659999999999997</c:v>
                </c:pt>
                <c:pt idx="734">
                  <c:v>0.66549999999999998</c:v>
                </c:pt>
                <c:pt idx="735">
                  <c:v>0.6714</c:v>
                </c:pt>
                <c:pt idx="736">
                  <c:v>0.70099999999999996</c:v>
                </c:pt>
                <c:pt idx="737">
                  <c:v>0.6966</c:v>
                </c:pt>
                <c:pt idx="738">
                  <c:v>0.67730000000000001</c:v>
                </c:pt>
                <c:pt idx="739">
                  <c:v>0.67979999999999996</c:v>
                </c:pt>
                <c:pt idx="740">
                  <c:v>0.73809999999999998</c:v>
                </c:pt>
                <c:pt idx="741">
                  <c:v>0.73870000000000002</c:v>
                </c:pt>
                <c:pt idx="742">
                  <c:v>0.69079999999999997</c:v>
                </c:pt>
                <c:pt idx="743">
                  <c:v>0.69799999999999995</c:v>
                </c:pt>
                <c:pt idx="744">
                  <c:v>0.6643</c:v>
                </c:pt>
                <c:pt idx="745">
                  <c:v>0.61960000000000004</c:v>
                </c:pt>
                <c:pt idx="746">
                  <c:v>0.63290000000000002</c:v>
                </c:pt>
                <c:pt idx="747">
                  <c:v>0.62939999999999996</c:v>
                </c:pt>
                <c:pt idx="748">
                  <c:v>0.62260000000000004</c:v>
                </c:pt>
                <c:pt idx="749">
                  <c:v>0.61770000000000003</c:v>
                </c:pt>
                <c:pt idx="750">
                  <c:v>0.63200000000000001</c:v>
                </c:pt>
                <c:pt idx="751">
                  <c:v>0.65159999999999996</c:v>
                </c:pt>
                <c:pt idx="752">
                  <c:v>0.68859999999999999</c:v>
                </c:pt>
                <c:pt idx="753">
                  <c:v>0.66039999999999999</c:v>
                </c:pt>
                <c:pt idx="754">
                  <c:v>0.65600000000000003</c:v>
                </c:pt>
                <c:pt idx="755">
                  <c:v>0.66169999999999995</c:v>
                </c:pt>
                <c:pt idx="756">
                  <c:v>0.62680000000000002</c:v>
                </c:pt>
                <c:pt idx="757">
                  <c:v>0.67279999999999995</c:v>
                </c:pt>
                <c:pt idx="758">
                  <c:v>0.65359999999999996</c:v>
                </c:pt>
                <c:pt idx="759">
                  <c:v>0.67879999999999996</c:v>
                </c:pt>
                <c:pt idx="760">
                  <c:v>0.66</c:v>
                </c:pt>
                <c:pt idx="761">
                  <c:v>0.65059999999999996</c:v>
                </c:pt>
                <c:pt idx="762">
                  <c:v>0.64549999999999996</c:v>
                </c:pt>
                <c:pt idx="763">
                  <c:v>0.65300000000000002</c:v>
                </c:pt>
                <c:pt idx="764">
                  <c:v>0.64810000000000001</c:v>
                </c:pt>
                <c:pt idx="765">
                  <c:v>0.6532</c:v>
                </c:pt>
                <c:pt idx="766">
                  <c:v>0.66210000000000002</c:v>
                </c:pt>
                <c:pt idx="767">
                  <c:v>0.68059999999999998</c:v>
                </c:pt>
                <c:pt idx="768">
                  <c:v>0.67079999999999995</c:v>
                </c:pt>
                <c:pt idx="769">
                  <c:v>0.7097</c:v>
                </c:pt>
                <c:pt idx="770">
                  <c:v>0.67320000000000002</c:v>
                </c:pt>
                <c:pt idx="771">
                  <c:v>0.70209999999999995</c:v>
                </c:pt>
                <c:pt idx="772">
                  <c:v>0.63170000000000004</c:v>
                </c:pt>
                <c:pt idx="773">
                  <c:v>0.70069999999999999</c:v>
                </c:pt>
                <c:pt idx="774">
                  <c:v>0.74299999999999999</c:v>
                </c:pt>
                <c:pt idx="775">
                  <c:v>0.73229999999999995</c:v>
                </c:pt>
                <c:pt idx="776">
                  <c:v>0.78100000000000003</c:v>
                </c:pt>
                <c:pt idx="777">
                  <c:v>0.79620000000000002</c:v>
                </c:pt>
                <c:pt idx="778">
                  <c:v>0.80479999999999996</c:v>
                </c:pt>
                <c:pt idx="779">
                  <c:v>0.79810000000000003</c:v>
                </c:pt>
                <c:pt idx="780">
                  <c:v>0.81440000000000001</c:v>
                </c:pt>
                <c:pt idx="781">
                  <c:v>0.83450000000000002</c:v>
                </c:pt>
                <c:pt idx="782">
                  <c:v>0.82410000000000005</c:v>
                </c:pt>
                <c:pt idx="783">
                  <c:v>0.82310000000000005</c:v>
                </c:pt>
                <c:pt idx="784">
                  <c:v>0.81899999999999995</c:v>
                </c:pt>
                <c:pt idx="785">
                  <c:v>0.80530000000000002</c:v>
                </c:pt>
                <c:pt idx="786">
                  <c:v>0.84509999999999996</c:v>
                </c:pt>
                <c:pt idx="787">
                  <c:v>0.84</c:v>
                </c:pt>
                <c:pt idx="788">
                  <c:v>0.88500000000000001</c:v>
                </c:pt>
                <c:pt idx="789">
                  <c:v>0.88919999999999999</c:v>
                </c:pt>
                <c:pt idx="790">
                  <c:v>0.90790000000000004</c:v>
                </c:pt>
                <c:pt idx="791">
                  <c:v>0.82579999999999998</c:v>
                </c:pt>
                <c:pt idx="792">
                  <c:v>0.8337</c:v>
                </c:pt>
                <c:pt idx="793">
                  <c:v>0.80559999999999998</c:v>
                </c:pt>
                <c:pt idx="794">
                  <c:v>0.77300000000000002</c:v>
                </c:pt>
                <c:pt idx="795">
                  <c:v>0.754</c:v>
                </c:pt>
                <c:pt idx="796">
                  <c:v>0.80510000000000004</c:v>
                </c:pt>
                <c:pt idx="797">
                  <c:v>0.79490000000000005</c:v>
                </c:pt>
                <c:pt idx="798">
                  <c:v>0.86680000000000001</c:v>
                </c:pt>
                <c:pt idx="799">
                  <c:v>0.90180000000000005</c:v>
                </c:pt>
                <c:pt idx="800">
                  <c:v>0.86799999999999999</c:v>
                </c:pt>
                <c:pt idx="801">
                  <c:v>0.87</c:v>
                </c:pt>
                <c:pt idx="802">
                  <c:v>0.91890000000000005</c:v>
                </c:pt>
                <c:pt idx="803">
                  <c:v>0.93079999999999996</c:v>
                </c:pt>
                <c:pt idx="804">
                  <c:v>0.93269999999999997</c:v>
                </c:pt>
                <c:pt idx="805">
                  <c:v>0.98460000000000003</c:v>
                </c:pt>
                <c:pt idx="806">
                  <c:v>0.99170000000000003</c:v>
                </c:pt>
                <c:pt idx="807">
                  <c:v>1.0290999999999999</c:v>
                </c:pt>
                <c:pt idx="808">
                  <c:v>1.0244</c:v>
                </c:pt>
                <c:pt idx="809">
                  <c:v>1.044</c:v>
                </c:pt>
                <c:pt idx="810">
                  <c:v>0.97819999999999996</c:v>
                </c:pt>
                <c:pt idx="811">
                  <c:v>0.97070000000000001</c:v>
                </c:pt>
                <c:pt idx="812">
                  <c:v>1.0142</c:v>
                </c:pt>
                <c:pt idx="813">
                  <c:v>1.0289999999999999</c:v>
                </c:pt>
                <c:pt idx="814">
                  <c:v>0.97440000000000004</c:v>
                </c:pt>
                <c:pt idx="815">
                  <c:v>0.91990000000000005</c:v>
                </c:pt>
                <c:pt idx="816">
                  <c:v>0.85170000000000001</c:v>
                </c:pt>
                <c:pt idx="817">
                  <c:v>0.86</c:v>
                </c:pt>
                <c:pt idx="818">
                  <c:v>0.86109999999999998</c:v>
                </c:pt>
                <c:pt idx="819">
                  <c:v>0.85870000000000002</c:v>
                </c:pt>
                <c:pt idx="820">
                  <c:v>0.86660000000000004</c:v>
                </c:pt>
                <c:pt idx="821">
                  <c:v>0.86990000000000001</c:v>
                </c:pt>
                <c:pt idx="822">
                  <c:v>0.8286</c:v>
                </c:pt>
                <c:pt idx="823">
                  <c:v>0.84989999999999999</c:v>
                </c:pt>
                <c:pt idx="824">
                  <c:v>0.79979999999999996</c:v>
                </c:pt>
                <c:pt idx="825">
                  <c:v>0.81899999999999995</c:v>
                </c:pt>
                <c:pt idx="826">
                  <c:v>0.75660000000000005</c:v>
                </c:pt>
                <c:pt idx="827">
                  <c:v>0.72160000000000002</c:v>
                </c:pt>
                <c:pt idx="828">
                  <c:v>0.79300000000000004</c:v>
                </c:pt>
                <c:pt idx="829">
                  <c:v>0.81020000000000003</c:v>
                </c:pt>
                <c:pt idx="830">
                  <c:v>0.80659999999999998</c:v>
                </c:pt>
                <c:pt idx="831">
                  <c:v>0.78169999999999995</c:v>
                </c:pt>
                <c:pt idx="832">
                  <c:v>0.79810000000000003</c:v>
                </c:pt>
                <c:pt idx="833">
                  <c:v>0.84199999999999997</c:v>
                </c:pt>
                <c:pt idx="834">
                  <c:v>0.81489999999999996</c:v>
                </c:pt>
                <c:pt idx="835">
                  <c:v>0.86360000000000003</c:v>
                </c:pt>
                <c:pt idx="836">
                  <c:v>0.78700000000000003</c:v>
                </c:pt>
                <c:pt idx="837">
                  <c:v>0.77170000000000005</c:v>
                </c:pt>
                <c:pt idx="838">
                  <c:v>0.77380000000000004</c:v>
                </c:pt>
                <c:pt idx="839">
                  <c:v>0.77529999999999999</c:v>
                </c:pt>
                <c:pt idx="840">
                  <c:v>0.77500000000000002</c:v>
                </c:pt>
                <c:pt idx="841">
                  <c:v>0.8145</c:v>
                </c:pt>
                <c:pt idx="842">
                  <c:v>0.8014</c:v>
                </c:pt>
                <c:pt idx="843">
                  <c:v>0.75729999999999997</c:v>
                </c:pt>
                <c:pt idx="844">
                  <c:v>0.71609999999999996</c:v>
                </c:pt>
                <c:pt idx="845">
                  <c:v>0.75590000000000002</c:v>
                </c:pt>
                <c:pt idx="846">
                  <c:v>0.73550000000000004</c:v>
                </c:pt>
                <c:pt idx="847">
                  <c:v>0.7429</c:v>
                </c:pt>
                <c:pt idx="848">
                  <c:v>0.74739999999999995</c:v>
                </c:pt>
                <c:pt idx="849">
                  <c:v>0.73409999999999997</c:v>
                </c:pt>
                <c:pt idx="850">
                  <c:v>0.7429</c:v>
                </c:pt>
                <c:pt idx="851">
                  <c:v>0.71619999999999995</c:v>
                </c:pt>
                <c:pt idx="852">
                  <c:v>0.73819999999999997</c:v>
                </c:pt>
                <c:pt idx="853">
                  <c:v>0.73550000000000004</c:v>
                </c:pt>
                <c:pt idx="854">
                  <c:v>0.75380000000000003</c:v>
                </c:pt>
                <c:pt idx="855">
                  <c:v>0.75619999999999998</c:v>
                </c:pt>
                <c:pt idx="856">
                  <c:v>0.74790000000000001</c:v>
                </c:pt>
                <c:pt idx="857">
                  <c:v>0.87560000000000004</c:v>
                </c:pt>
                <c:pt idx="858">
                  <c:v>0.89739999999999998</c:v>
                </c:pt>
                <c:pt idx="859">
                  <c:v>0.92359999999999998</c:v>
                </c:pt>
                <c:pt idx="860">
                  <c:v>0.94699999999999995</c:v>
                </c:pt>
                <c:pt idx="861">
                  <c:v>0.94989999999999997</c:v>
                </c:pt>
                <c:pt idx="862">
                  <c:v>0.95679999999999998</c:v>
                </c:pt>
                <c:pt idx="863">
                  <c:v>0.9</c:v>
                </c:pt>
                <c:pt idx="864">
                  <c:v>0.89100000000000001</c:v>
                </c:pt>
                <c:pt idx="865">
                  <c:v>0.90539999999999998</c:v>
                </c:pt>
                <c:pt idx="866">
                  <c:v>0.90139999999999998</c:v>
                </c:pt>
                <c:pt idx="867">
                  <c:v>0.8982</c:v>
                </c:pt>
                <c:pt idx="868">
                  <c:v>0.8821</c:v>
                </c:pt>
                <c:pt idx="869">
                  <c:v>0.91959999999999997</c:v>
                </c:pt>
                <c:pt idx="870">
                  <c:v>0.90439999999999998</c:v>
                </c:pt>
                <c:pt idx="871">
                  <c:v>0.92</c:v>
                </c:pt>
                <c:pt idx="872">
                  <c:v>0.9254</c:v>
                </c:pt>
                <c:pt idx="873">
                  <c:v>0.93049999999999999</c:v>
                </c:pt>
                <c:pt idx="874">
                  <c:v>0.88580000000000003</c:v>
                </c:pt>
                <c:pt idx="875">
                  <c:v>0.92649999999999999</c:v>
                </c:pt>
                <c:pt idx="876">
                  <c:v>0.96050000000000002</c:v>
                </c:pt>
                <c:pt idx="877">
                  <c:v>0.97319999999999995</c:v>
                </c:pt>
                <c:pt idx="878">
                  <c:v>1.0093000000000001</c:v>
                </c:pt>
                <c:pt idx="879">
                  <c:v>0.97319999999999995</c:v>
                </c:pt>
                <c:pt idx="880">
                  <c:v>0.95630000000000004</c:v>
                </c:pt>
                <c:pt idx="881">
                  <c:v>0.97629999999999995</c:v>
                </c:pt>
                <c:pt idx="882">
                  <c:v>0.95609999999999995</c:v>
                </c:pt>
                <c:pt idx="883">
                  <c:v>0.95850000000000002</c:v>
                </c:pt>
                <c:pt idx="884">
                  <c:v>1.0259</c:v>
                </c:pt>
                <c:pt idx="885">
                  <c:v>1.0354000000000001</c:v>
                </c:pt>
                <c:pt idx="886">
                  <c:v>1.0287999999999999</c:v>
                </c:pt>
                <c:pt idx="887">
                  <c:v>1.0317000000000001</c:v>
                </c:pt>
                <c:pt idx="888">
                  <c:v>1.032</c:v>
                </c:pt>
                <c:pt idx="889">
                  <c:v>1.0298</c:v>
                </c:pt>
                <c:pt idx="890">
                  <c:v>1.0169999999999999</c:v>
                </c:pt>
                <c:pt idx="891">
                  <c:v>1.0416000000000001</c:v>
                </c:pt>
                <c:pt idx="892">
                  <c:v>1.0809</c:v>
                </c:pt>
                <c:pt idx="893">
                  <c:v>1.0322</c:v>
                </c:pt>
                <c:pt idx="894">
                  <c:v>1.0225</c:v>
                </c:pt>
                <c:pt idx="895">
                  <c:v>1.0283</c:v>
                </c:pt>
                <c:pt idx="896">
                  <c:v>1.0398000000000001</c:v>
                </c:pt>
                <c:pt idx="897">
                  <c:v>0.99</c:v>
                </c:pt>
                <c:pt idx="898">
                  <c:v>1.0653999999999999</c:v>
                </c:pt>
                <c:pt idx="899">
                  <c:v>1.1079000000000001</c:v>
                </c:pt>
                <c:pt idx="900">
                  <c:v>1.1246</c:v>
                </c:pt>
                <c:pt idx="901">
                  <c:v>1.1200000000000001</c:v>
                </c:pt>
                <c:pt idx="902">
                  <c:v>1.1296999999999999</c:v>
                </c:pt>
                <c:pt idx="903">
                  <c:v>1.0658000000000001</c:v>
                </c:pt>
                <c:pt idx="904">
                  <c:v>1.081</c:v>
                </c:pt>
                <c:pt idx="905">
                  <c:v>1.0938000000000001</c:v>
                </c:pt>
                <c:pt idx="906">
                  <c:v>1.1464000000000001</c:v>
                </c:pt>
                <c:pt idx="907">
                  <c:v>1.1705000000000001</c:v>
                </c:pt>
                <c:pt idx="908">
                  <c:v>1.1222000000000001</c:v>
                </c:pt>
                <c:pt idx="909">
                  <c:v>1.1577</c:v>
                </c:pt>
                <c:pt idx="910">
                  <c:v>1.1892</c:v>
                </c:pt>
                <c:pt idx="911">
                  <c:v>1.2751999999999999</c:v>
                </c:pt>
                <c:pt idx="912">
                  <c:v>1.2955000000000001</c:v>
                </c:pt>
                <c:pt idx="913">
                  <c:v>1.3428</c:v>
                </c:pt>
                <c:pt idx="914">
                  <c:v>1.3545</c:v>
                </c:pt>
                <c:pt idx="915">
                  <c:v>1.2875000000000001</c:v>
                </c:pt>
                <c:pt idx="916">
                  <c:v>1.3671</c:v>
                </c:pt>
                <c:pt idx="917">
                  <c:v>1.3835</c:v>
                </c:pt>
                <c:pt idx="918">
                  <c:v>1.2072000000000001</c:v>
                </c:pt>
                <c:pt idx="919">
                  <c:v>1.1596</c:v>
                </c:pt>
                <c:pt idx="920">
                  <c:v>1.2081</c:v>
                </c:pt>
                <c:pt idx="921">
                  <c:v>1.2497</c:v>
                </c:pt>
                <c:pt idx="922">
                  <c:v>1.1888000000000001</c:v>
                </c:pt>
                <c:pt idx="923">
                  <c:v>1.1035999999999999</c:v>
                </c:pt>
                <c:pt idx="924">
                  <c:v>1.1044</c:v>
                </c:pt>
                <c:pt idx="925">
                  <c:v>1.1299999999999999</c:v>
                </c:pt>
                <c:pt idx="926">
                  <c:v>0.90500000000000003</c:v>
                </c:pt>
                <c:pt idx="927">
                  <c:v>1.0190999999999999</c:v>
                </c:pt>
                <c:pt idx="928">
                  <c:v>1.0142</c:v>
                </c:pt>
                <c:pt idx="929">
                  <c:v>1.1628000000000001</c:v>
                </c:pt>
                <c:pt idx="930">
                  <c:v>1.1892</c:v>
                </c:pt>
                <c:pt idx="931">
                  <c:v>1.1001000000000001</c:v>
                </c:pt>
                <c:pt idx="932">
                  <c:v>1.2412000000000001</c:v>
                </c:pt>
                <c:pt idx="933">
                  <c:v>1.3817999999999999</c:v>
                </c:pt>
                <c:pt idx="934">
                  <c:v>1.3826000000000001</c:v>
                </c:pt>
                <c:pt idx="935">
                  <c:v>1.3404</c:v>
                </c:pt>
                <c:pt idx="936">
                  <c:v>1.2423</c:v>
                </c:pt>
                <c:pt idx="937">
                  <c:v>1.2287999999999999</c:v>
                </c:pt>
                <c:pt idx="938">
                  <c:v>1.218</c:v>
                </c:pt>
                <c:pt idx="939">
                  <c:v>1.3028999999999999</c:v>
                </c:pt>
                <c:pt idx="940">
                  <c:v>1.2611000000000001</c:v>
                </c:pt>
                <c:pt idx="941">
                  <c:v>1.3371</c:v>
                </c:pt>
                <c:pt idx="942">
                  <c:v>1.2371000000000001</c:v>
                </c:pt>
                <c:pt idx="943">
                  <c:v>1.3718999999999999</c:v>
                </c:pt>
                <c:pt idx="944">
                  <c:v>1.2997000000000001</c:v>
                </c:pt>
                <c:pt idx="945">
                  <c:v>1.2806</c:v>
                </c:pt>
                <c:pt idx="946">
                  <c:v>1.3936999999999999</c:v>
                </c:pt>
                <c:pt idx="947">
                  <c:v>1.4297</c:v>
                </c:pt>
                <c:pt idx="948">
                  <c:v>1.4652000000000001</c:v>
                </c:pt>
                <c:pt idx="949">
                  <c:v>1.5085999999999999</c:v>
                </c:pt>
                <c:pt idx="950">
                  <c:v>1.5732999999999999</c:v>
                </c:pt>
                <c:pt idx="951">
                  <c:v>1.4447000000000001</c:v>
                </c:pt>
                <c:pt idx="952">
                  <c:v>1.4550000000000001</c:v>
                </c:pt>
                <c:pt idx="953">
                  <c:v>1.5551999999999999</c:v>
                </c:pt>
                <c:pt idx="954">
                  <c:v>1.5209999999999999</c:v>
                </c:pt>
                <c:pt idx="955">
                  <c:v>1.5727</c:v>
                </c:pt>
                <c:pt idx="956">
                  <c:v>1.569</c:v>
                </c:pt>
                <c:pt idx="957">
                  <c:v>1.5589</c:v>
                </c:pt>
                <c:pt idx="958">
                  <c:v>1.5649999999999999</c:v>
                </c:pt>
                <c:pt idx="959">
                  <c:v>1.7565</c:v>
                </c:pt>
                <c:pt idx="960">
                  <c:v>1.5772999999999999</c:v>
                </c:pt>
                <c:pt idx="961">
                  <c:v>1.56</c:v>
                </c:pt>
                <c:pt idx="962">
                  <c:v>1.5883</c:v>
                </c:pt>
                <c:pt idx="963">
                  <c:v>1.5081</c:v>
                </c:pt>
                <c:pt idx="964">
                  <c:v>1.5964</c:v>
                </c:pt>
                <c:pt idx="965">
                  <c:v>1.5946</c:v>
                </c:pt>
                <c:pt idx="966">
                  <c:v>1.4952000000000001</c:v>
                </c:pt>
                <c:pt idx="967">
                  <c:v>1.4934000000000001</c:v>
                </c:pt>
                <c:pt idx="968">
                  <c:v>1.4884999999999999</c:v>
                </c:pt>
                <c:pt idx="969">
                  <c:v>1.62</c:v>
                </c:pt>
                <c:pt idx="970">
                  <c:v>1.7808999999999999</c:v>
                </c:pt>
                <c:pt idx="971">
                  <c:v>1.6777</c:v>
                </c:pt>
                <c:pt idx="972">
                  <c:v>1.7278</c:v>
                </c:pt>
                <c:pt idx="973">
                  <c:v>1.6508</c:v>
                </c:pt>
                <c:pt idx="974">
                  <c:v>1.7769999999999999</c:v>
                </c:pt>
                <c:pt idx="975">
                  <c:v>1.7527999999999999</c:v>
                </c:pt>
                <c:pt idx="976">
                  <c:v>1.7907999999999999</c:v>
                </c:pt>
                <c:pt idx="977">
                  <c:v>1.7185999999999999</c:v>
                </c:pt>
                <c:pt idx="978">
                  <c:v>1.6748000000000001</c:v>
                </c:pt>
                <c:pt idx="979">
                  <c:v>1.6629</c:v>
                </c:pt>
                <c:pt idx="980">
                  <c:v>1.6679999999999999</c:v>
                </c:pt>
                <c:pt idx="981">
                  <c:v>1.6451</c:v>
                </c:pt>
                <c:pt idx="982">
                  <c:v>1.7355</c:v>
                </c:pt>
                <c:pt idx="983">
                  <c:v>1.7043999999999999</c:v>
                </c:pt>
                <c:pt idx="984">
                  <c:v>1.8022</c:v>
                </c:pt>
                <c:pt idx="985">
                  <c:v>1.6779999999999999</c:v>
                </c:pt>
                <c:pt idx="986">
                  <c:v>1.7579</c:v>
                </c:pt>
                <c:pt idx="987">
                  <c:v>1.8225</c:v>
                </c:pt>
                <c:pt idx="988">
                  <c:v>1.8796999999999999</c:v>
                </c:pt>
                <c:pt idx="989">
                  <c:v>1.6992</c:v>
                </c:pt>
                <c:pt idx="990">
                  <c:v>1.6482000000000001</c:v>
                </c:pt>
                <c:pt idx="991">
                  <c:v>1.6099000000000001</c:v>
                </c:pt>
                <c:pt idx="992">
                  <c:v>1.591</c:v>
                </c:pt>
                <c:pt idx="993">
                  <c:v>1.4711000000000001</c:v>
                </c:pt>
                <c:pt idx="994">
                  <c:v>1.427</c:v>
                </c:pt>
                <c:pt idx="995">
                  <c:v>1.5032000000000001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DC-4B20-9030-132272422F4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-0.26634380717194078</c:v>
                </c:pt>
                <c:pt idx="1">
                  <c:v>-0.26634380717194078</c:v>
                </c:pt>
                <c:pt idx="2">
                  <c:v>-0.26634380717194078</c:v>
                </c:pt>
                <c:pt idx="3">
                  <c:v>-0.26634380717194078</c:v>
                </c:pt>
                <c:pt idx="4">
                  <c:v>-0.26692244866743631</c:v>
                </c:pt>
                <c:pt idx="5">
                  <c:v>-0.26663393806000923</c:v>
                </c:pt>
                <c:pt idx="6">
                  <c:v>-0.26139610229551652</c:v>
                </c:pt>
                <c:pt idx="7">
                  <c:v>-0.24816438151873352</c:v>
                </c:pt>
                <c:pt idx="8">
                  <c:v>-0.24089776981908681</c:v>
                </c:pt>
                <c:pt idx="9">
                  <c:v>-0.24638063397242013</c:v>
                </c:pt>
                <c:pt idx="10">
                  <c:v>-0.24613465340179869</c:v>
                </c:pt>
                <c:pt idx="11">
                  <c:v>-0.24493851220179866</c:v>
                </c:pt>
                <c:pt idx="12">
                  <c:v>-0.24384009316179867</c:v>
                </c:pt>
                <c:pt idx="13">
                  <c:v>-0.24250910410297513</c:v>
                </c:pt>
                <c:pt idx="14">
                  <c:v>-0.24817982696572025</c:v>
                </c:pt>
                <c:pt idx="15">
                  <c:v>-0.24457976176195848</c:v>
                </c:pt>
                <c:pt idx="16">
                  <c:v>-0.2532668697619585</c:v>
                </c:pt>
                <c:pt idx="17">
                  <c:v>-0.25606505863799156</c:v>
                </c:pt>
                <c:pt idx="18">
                  <c:v>-0.25535339620787573</c:v>
                </c:pt>
                <c:pt idx="19">
                  <c:v>-0.25367811724971673</c:v>
                </c:pt>
                <c:pt idx="20">
                  <c:v>-0.25301487396584577</c:v>
                </c:pt>
                <c:pt idx="21">
                  <c:v>-0.24908746787047792</c:v>
                </c:pt>
                <c:pt idx="22">
                  <c:v>-0.24963896605871325</c:v>
                </c:pt>
                <c:pt idx="23">
                  <c:v>-0.24299522497482062</c:v>
                </c:pt>
                <c:pt idx="24">
                  <c:v>-0.24136993555621594</c:v>
                </c:pt>
                <c:pt idx="25">
                  <c:v>-0.2387310907326865</c:v>
                </c:pt>
                <c:pt idx="26">
                  <c:v>-0.23907322135430811</c:v>
                </c:pt>
                <c:pt idx="27">
                  <c:v>-0.24245835401546514</c:v>
                </c:pt>
                <c:pt idx="28">
                  <c:v>-0.23777681611546514</c:v>
                </c:pt>
                <c:pt idx="29">
                  <c:v>-0.23563592567978053</c:v>
                </c:pt>
                <c:pt idx="30">
                  <c:v>-0.23080621784597774</c:v>
                </c:pt>
                <c:pt idx="31">
                  <c:v>-0.22700861635778874</c:v>
                </c:pt>
                <c:pt idx="32">
                  <c:v>-0.22577844427543581</c:v>
                </c:pt>
                <c:pt idx="33">
                  <c:v>-0.22681661639988024</c:v>
                </c:pt>
                <c:pt idx="34">
                  <c:v>-0.22689007904923086</c:v>
                </c:pt>
                <c:pt idx="35">
                  <c:v>-0.22131384985410896</c:v>
                </c:pt>
                <c:pt idx="36">
                  <c:v>-0.22934321809618388</c:v>
                </c:pt>
                <c:pt idx="37">
                  <c:v>-0.22485530628183789</c:v>
                </c:pt>
                <c:pt idx="38">
                  <c:v>-0.22554217722739661</c:v>
                </c:pt>
                <c:pt idx="39">
                  <c:v>-0.22818683612263471</c:v>
                </c:pt>
                <c:pt idx="40">
                  <c:v>-0.22676800498749955</c:v>
                </c:pt>
                <c:pt idx="41">
                  <c:v>-0.23005105334276271</c:v>
                </c:pt>
                <c:pt idx="42">
                  <c:v>-0.22205847135613169</c:v>
                </c:pt>
                <c:pt idx="43">
                  <c:v>-0.21693282316517692</c:v>
                </c:pt>
                <c:pt idx="44">
                  <c:v>-0.22001700401024737</c:v>
                </c:pt>
                <c:pt idx="45">
                  <c:v>-0.21770048557153768</c:v>
                </c:pt>
                <c:pt idx="46">
                  <c:v>-0.21311045470440343</c:v>
                </c:pt>
                <c:pt idx="47">
                  <c:v>-0.2165325028775483</c:v>
                </c:pt>
                <c:pt idx="48">
                  <c:v>-0.2169128134754319</c:v>
                </c:pt>
                <c:pt idx="49">
                  <c:v>-0.21213944255679676</c:v>
                </c:pt>
                <c:pt idx="50">
                  <c:v>-0.20476171680624486</c:v>
                </c:pt>
                <c:pt idx="51">
                  <c:v>-0.20761006035943633</c:v>
                </c:pt>
                <c:pt idx="52">
                  <c:v>-0.2103921047227322</c:v>
                </c:pt>
                <c:pt idx="53">
                  <c:v>-0.21788445246858854</c:v>
                </c:pt>
                <c:pt idx="54">
                  <c:v>-0.2152024787642407</c:v>
                </c:pt>
                <c:pt idx="55">
                  <c:v>-0.21260104041783445</c:v>
                </c:pt>
                <c:pt idx="56">
                  <c:v>-0.20915526247715646</c:v>
                </c:pt>
                <c:pt idx="57">
                  <c:v>-0.20888508636713204</c:v>
                </c:pt>
                <c:pt idx="58">
                  <c:v>-0.20803505238198353</c:v>
                </c:pt>
                <c:pt idx="59">
                  <c:v>-0.20287625538198356</c:v>
                </c:pt>
                <c:pt idx="60">
                  <c:v>-0.20416949130841408</c:v>
                </c:pt>
                <c:pt idx="61">
                  <c:v>-0.2086828219024735</c:v>
                </c:pt>
                <c:pt idx="62">
                  <c:v>-0.20898914131299981</c:v>
                </c:pt>
                <c:pt idx="63">
                  <c:v>-0.2005812862735025</c:v>
                </c:pt>
                <c:pt idx="64">
                  <c:v>-0.20421953787766919</c:v>
                </c:pt>
                <c:pt idx="65">
                  <c:v>-0.2028878933213778</c:v>
                </c:pt>
                <c:pt idx="66">
                  <c:v>-0.20836628052678316</c:v>
                </c:pt>
                <c:pt idx="67">
                  <c:v>-0.20553113254852226</c:v>
                </c:pt>
                <c:pt idx="68">
                  <c:v>-0.2002453108818556</c:v>
                </c:pt>
                <c:pt idx="69">
                  <c:v>-0.20163281414013376</c:v>
                </c:pt>
                <c:pt idx="70">
                  <c:v>-0.2057502147115623</c:v>
                </c:pt>
                <c:pt idx="71">
                  <c:v>-0.19336291744976986</c:v>
                </c:pt>
                <c:pt idx="72">
                  <c:v>-0.19256021856836825</c:v>
                </c:pt>
                <c:pt idx="73">
                  <c:v>-0.18908046643546195</c:v>
                </c:pt>
                <c:pt idx="74">
                  <c:v>-0.18754242950067937</c:v>
                </c:pt>
                <c:pt idx="75">
                  <c:v>-0.19205727581951995</c:v>
                </c:pt>
                <c:pt idx="76">
                  <c:v>-0.18387211651225735</c:v>
                </c:pt>
                <c:pt idx="77">
                  <c:v>-0.19041538845511452</c:v>
                </c:pt>
                <c:pt idx="78">
                  <c:v>-0.18939757145511454</c:v>
                </c:pt>
                <c:pt idx="79">
                  <c:v>-0.18891930726992937</c:v>
                </c:pt>
                <c:pt idx="80">
                  <c:v>-0.18414602224135795</c:v>
                </c:pt>
                <c:pt idx="81">
                  <c:v>-0.19175951811396941</c:v>
                </c:pt>
                <c:pt idx="82">
                  <c:v>-0.18934981389657807</c:v>
                </c:pt>
                <c:pt idx="83">
                  <c:v>-0.19201410646800665</c:v>
                </c:pt>
                <c:pt idx="84">
                  <c:v>-0.18794656311506547</c:v>
                </c:pt>
                <c:pt idx="85">
                  <c:v>-0.18305215456961091</c:v>
                </c:pt>
                <c:pt idx="86">
                  <c:v>-0.17599233531379696</c:v>
                </c:pt>
                <c:pt idx="87">
                  <c:v>-0.17756353882599207</c:v>
                </c:pt>
                <c:pt idx="88">
                  <c:v>-0.17708563929518642</c:v>
                </c:pt>
                <c:pt idx="89">
                  <c:v>-0.18866276154518632</c:v>
                </c:pt>
                <c:pt idx="90">
                  <c:v>-0.11265986619960876</c:v>
                </c:pt>
                <c:pt idx="91">
                  <c:v>-0.12630896852193885</c:v>
                </c:pt>
                <c:pt idx="92">
                  <c:v>-0.12512941154884469</c:v>
                </c:pt>
                <c:pt idx="93">
                  <c:v>-0.11525843107936112</c:v>
                </c:pt>
                <c:pt idx="94">
                  <c:v>-0.10189330650308995</c:v>
                </c:pt>
                <c:pt idx="95">
                  <c:v>-0.1065431947272279</c:v>
                </c:pt>
                <c:pt idx="96">
                  <c:v>-0.10487661287736193</c:v>
                </c:pt>
                <c:pt idx="97">
                  <c:v>-0.10784415328185627</c:v>
                </c:pt>
                <c:pt idx="98">
                  <c:v>-0.1043440814130038</c:v>
                </c:pt>
                <c:pt idx="99">
                  <c:v>-9.737931480401503E-2</c:v>
                </c:pt>
                <c:pt idx="100">
                  <c:v>-0.10450781966224289</c:v>
                </c:pt>
                <c:pt idx="101">
                  <c:v>-0.10265321675587583</c:v>
                </c:pt>
                <c:pt idx="102">
                  <c:v>-0.10136790956318481</c:v>
                </c:pt>
                <c:pt idx="103">
                  <c:v>-0.10442888404318479</c:v>
                </c:pt>
                <c:pt idx="104">
                  <c:v>-9.7177578391010863E-2</c:v>
                </c:pt>
                <c:pt idx="105">
                  <c:v>-9.1342721794236678E-2</c:v>
                </c:pt>
                <c:pt idx="106">
                  <c:v>-9.1451446260639849E-2</c:v>
                </c:pt>
                <c:pt idx="107">
                  <c:v>-9.4668688968669062E-2</c:v>
                </c:pt>
                <c:pt idx="108">
                  <c:v>-9.779755270919388E-2</c:v>
                </c:pt>
                <c:pt idx="109">
                  <c:v>-9.5502428731293318E-2</c:v>
                </c:pt>
                <c:pt idx="110">
                  <c:v>-8.7335828375562072E-2</c:v>
                </c:pt>
                <c:pt idx="111">
                  <c:v>-8.8012731762658863E-2</c:v>
                </c:pt>
                <c:pt idx="112">
                  <c:v>-8.4758194841310558E-2</c:v>
                </c:pt>
                <c:pt idx="113">
                  <c:v>-8.2843872698453405E-2</c:v>
                </c:pt>
                <c:pt idx="114">
                  <c:v>-8.7485376606174683E-2</c:v>
                </c:pt>
                <c:pt idx="115">
                  <c:v>-9.3730092175552657E-2</c:v>
                </c:pt>
                <c:pt idx="116">
                  <c:v>-8.414877561157165E-2</c:v>
                </c:pt>
                <c:pt idx="117">
                  <c:v>-9.8456115388431145E-2</c:v>
                </c:pt>
                <c:pt idx="118">
                  <c:v>-9.8794802349470134E-2</c:v>
                </c:pt>
                <c:pt idx="119">
                  <c:v>-0.10603038938995599</c:v>
                </c:pt>
                <c:pt idx="120">
                  <c:v>-0.11186351852864208</c:v>
                </c:pt>
                <c:pt idx="121">
                  <c:v>-0.10996999379837892</c:v>
                </c:pt>
                <c:pt idx="122">
                  <c:v>-0.10555611596690485</c:v>
                </c:pt>
                <c:pt idx="123">
                  <c:v>-9.4569005878109888E-2</c:v>
                </c:pt>
                <c:pt idx="124">
                  <c:v>-9.9844531212147952E-2</c:v>
                </c:pt>
                <c:pt idx="125">
                  <c:v>-9.5341894587148007E-2</c:v>
                </c:pt>
                <c:pt idx="126">
                  <c:v>-9.462327943744038E-2</c:v>
                </c:pt>
                <c:pt idx="127">
                  <c:v>-9.5607704030988741E-2</c:v>
                </c:pt>
                <c:pt idx="128">
                  <c:v>-0.10592379251190479</c:v>
                </c:pt>
                <c:pt idx="129">
                  <c:v>-9.6553462099246534E-2</c:v>
                </c:pt>
                <c:pt idx="130">
                  <c:v>-9.1095048019246519E-2</c:v>
                </c:pt>
                <c:pt idx="131">
                  <c:v>-8.5057255403861887E-2</c:v>
                </c:pt>
                <c:pt idx="132">
                  <c:v>-8.7216354314631123E-2</c:v>
                </c:pt>
                <c:pt idx="133">
                  <c:v>-8.41936522061974E-2</c:v>
                </c:pt>
                <c:pt idx="134">
                  <c:v>-8.0699602525832123E-2</c:v>
                </c:pt>
                <c:pt idx="135">
                  <c:v>-8.7877258619582135E-2</c:v>
                </c:pt>
                <c:pt idx="136">
                  <c:v>-9.1992207496677095E-2</c:v>
                </c:pt>
                <c:pt idx="137">
                  <c:v>-8.7060360386051194E-2</c:v>
                </c:pt>
                <c:pt idx="138">
                  <c:v>-8.6048458145901091E-2</c:v>
                </c:pt>
                <c:pt idx="139">
                  <c:v>-8.7705211758336329E-2</c:v>
                </c:pt>
                <c:pt idx="140">
                  <c:v>-7.638249895833632E-2</c:v>
                </c:pt>
                <c:pt idx="141">
                  <c:v>-7.7844926448269194E-2</c:v>
                </c:pt>
                <c:pt idx="142">
                  <c:v>-8.6694949174944622E-2</c:v>
                </c:pt>
                <c:pt idx="143">
                  <c:v>-7.6376434349903433E-2</c:v>
                </c:pt>
                <c:pt idx="144">
                  <c:v>-7.3347720573120653E-2</c:v>
                </c:pt>
                <c:pt idx="145">
                  <c:v>-9.2830042256751094E-2</c:v>
                </c:pt>
                <c:pt idx="146">
                  <c:v>-9.0068797662465394E-2</c:v>
                </c:pt>
                <c:pt idx="147">
                  <c:v>-9.1657355490259926E-2</c:v>
                </c:pt>
                <c:pt idx="148">
                  <c:v>-8.41054336970396E-2</c:v>
                </c:pt>
                <c:pt idx="149">
                  <c:v>-9.091113014615107E-2</c:v>
                </c:pt>
                <c:pt idx="150">
                  <c:v>-7.0634549948546246E-2</c:v>
                </c:pt>
                <c:pt idx="151">
                  <c:v>-5.7330140526859502E-2</c:v>
                </c:pt>
                <c:pt idx="152">
                  <c:v>-5.5929652237827233E-2</c:v>
                </c:pt>
                <c:pt idx="153">
                  <c:v>-5.2966926253637511E-2</c:v>
                </c:pt>
                <c:pt idx="154">
                  <c:v>-5.91262149459452E-2</c:v>
                </c:pt>
                <c:pt idx="155">
                  <c:v>-4.3398652988920379E-2</c:v>
                </c:pt>
                <c:pt idx="156">
                  <c:v>-4.9060895946006496E-2</c:v>
                </c:pt>
                <c:pt idx="157">
                  <c:v>-3.1148238504297855E-2</c:v>
                </c:pt>
                <c:pt idx="158">
                  <c:v>-9.9056038625842096E-3</c:v>
                </c:pt>
                <c:pt idx="159">
                  <c:v>-1.0361854439340269E-2</c:v>
                </c:pt>
                <c:pt idx="160">
                  <c:v>-2.3103490034303304E-3</c:v>
                </c:pt>
                <c:pt idx="161">
                  <c:v>-1.0276815756134067E-2</c:v>
                </c:pt>
                <c:pt idx="162">
                  <c:v>-1.4804211070125736E-2</c:v>
                </c:pt>
                <c:pt idx="163">
                  <c:v>-7.6536149090374664E-3</c:v>
                </c:pt>
                <c:pt idx="164">
                  <c:v>2.2654335143986993E-3</c:v>
                </c:pt>
                <c:pt idx="165">
                  <c:v>1.5559483446649014E-2</c:v>
                </c:pt>
                <c:pt idx="166">
                  <c:v>1.0284465299719074E-2</c:v>
                </c:pt>
                <c:pt idx="167">
                  <c:v>9.9955007172978366E-3</c:v>
                </c:pt>
                <c:pt idx="168">
                  <c:v>-8.0663704802736054E-3</c:v>
                </c:pt>
                <c:pt idx="169">
                  <c:v>-6.9600332571393498E-3</c:v>
                </c:pt>
                <c:pt idx="170">
                  <c:v>-1.477687641100083E-2</c:v>
                </c:pt>
                <c:pt idx="171">
                  <c:v>-2.021805866653642E-2</c:v>
                </c:pt>
                <c:pt idx="172">
                  <c:v>-2.6482946606334747E-2</c:v>
                </c:pt>
                <c:pt idx="173">
                  <c:v>-1.3679715888469673E-2</c:v>
                </c:pt>
                <c:pt idx="174">
                  <c:v>-2.1645961779663964E-2</c:v>
                </c:pt>
                <c:pt idx="175">
                  <c:v>-3.996195657016776E-2</c:v>
                </c:pt>
                <c:pt idx="176">
                  <c:v>-4.671906253040934E-2</c:v>
                </c:pt>
                <c:pt idx="177">
                  <c:v>-8.7501379308958571E-2</c:v>
                </c:pt>
                <c:pt idx="178">
                  <c:v>-8.0629963214666575E-2</c:v>
                </c:pt>
                <c:pt idx="179">
                  <c:v>-8.0663628848983662E-2</c:v>
                </c:pt>
                <c:pt idx="180">
                  <c:v>-6.6285143131459084E-2</c:v>
                </c:pt>
                <c:pt idx="181">
                  <c:v>-6.8347092189316699E-2</c:v>
                </c:pt>
                <c:pt idx="182">
                  <c:v>-7.7748832132029919E-2</c:v>
                </c:pt>
                <c:pt idx="183">
                  <c:v>-0.10406446312336433</c:v>
                </c:pt>
                <c:pt idx="184">
                  <c:v>-0.10134712290456237</c:v>
                </c:pt>
                <c:pt idx="185">
                  <c:v>-0.10319918085094389</c:v>
                </c:pt>
                <c:pt idx="186">
                  <c:v>-9.539079787845138E-2</c:v>
                </c:pt>
                <c:pt idx="187">
                  <c:v>-9.9236959452621121E-2</c:v>
                </c:pt>
                <c:pt idx="188">
                  <c:v>-9.7927793868756011E-2</c:v>
                </c:pt>
                <c:pt idx="189">
                  <c:v>-0.10601643366288781</c:v>
                </c:pt>
                <c:pt idx="190">
                  <c:v>-0.10514084112495678</c:v>
                </c:pt>
                <c:pt idx="191">
                  <c:v>-0.11072828552101047</c:v>
                </c:pt>
                <c:pt idx="192">
                  <c:v>-0.10312587728960033</c:v>
                </c:pt>
                <c:pt idx="193">
                  <c:v>-9.5849915490190313E-2</c:v>
                </c:pt>
                <c:pt idx="194">
                  <c:v>-9.3920303804850877E-2</c:v>
                </c:pt>
                <c:pt idx="195">
                  <c:v>-9.2292860287468484E-2</c:v>
                </c:pt>
                <c:pt idx="196">
                  <c:v>-8.0878940019722678E-2</c:v>
                </c:pt>
                <c:pt idx="197">
                  <c:v>-7.6500556067912409E-2</c:v>
                </c:pt>
                <c:pt idx="198">
                  <c:v>-7.8775866835125524E-2</c:v>
                </c:pt>
                <c:pt idx="199">
                  <c:v>-6.9238582878926244E-2</c:v>
                </c:pt>
                <c:pt idx="200">
                  <c:v>-5.2320801974788257E-2</c:v>
                </c:pt>
                <c:pt idx="201">
                  <c:v>-5.8226275819960288E-2</c:v>
                </c:pt>
                <c:pt idx="202">
                  <c:v>-5.5561608178509837E-2</c:v>
                </c:pt>
                <c:pt idx="203">
                  <c:v>-5.8822156151640451E-2</c:v>
                </c:pt>
                <c:pt idx="204">
                  <c:v>-5.4592939125771352E-2</c:v>
                </c:pt>
                <c:pt idx="205">
                  <c:v>-4.8988083771895376E-2</c:v>
                </c:pt>
                <c:pt idx="206">
                  <c:v>-4.8012321373972724E-2</c:v>
                </c:pt>
                <c:pt idx="207">
                  <c:v>-4.1911939259354755E-2</c:v>
                </c:pt>
                <c:pt idx="208">
                  <c:v>-4.377062316447481E-2</c:v>
                </c:pt>
                <c:pt idx="209">
                  <c:v>-4.4762368448301934E-2</c:v>
                </c:pt>
                <c:pt idx="210">
                  <c:v>-4.9673552963729072E-2</c:v>
                </c:pt>
                <c:pt idx="211">
                  <c:v>-4.5726934927527788E-2</c:v>
                </c:pt>
                <c:pt idx="212">
                  <c:v>-5.3547850898173294E-2</c:v>
                </c:pt>
                <c:pt idx="213">
                  <c:v>-5.78684819450902E-2</c:v>
                </c:pt>
                <c:pt idx="214">
                  <c:v>-5.9455306611526544E-2</c:v>
                </c:pt>
                <c:pt idx="215">
                  <c:v>-7.1989655185839205E-2</c:v>
                </c:pt>
                <c:pt idx="216">
                  <c:v>-8.368438875237677E-2</c:v>
                </c:pt>
                <c:pt idx="217">
                  <c:v>-5.1981825322143328E-2</c:v>
                </c:pt>
                <c:pt idx="218">
                  <c:v>-6.4625232871410671E-2</c:v>
                </c:pt>
                <c:pt idx="219">
                  <c:v>-7.0693103746977931E-2</c:v>
                </c:pt>
                <c:pt idx="220">
                  <c:v>-6.6784172696853467E-2</c:v>
                </c:pt>
                <c:pt idx="221">
                  <c:v>-4.2818954485403904E-2</c:v>
                </c:pt>
                <c:pt idx="222">
                  <c:v>-5.1251840806580386E-2</c:v>
                </c:pt>
                <c:pt idx="223">
                  <c:v>-4.3130100262649754E-2</c:v>
                </c:pt>
                <c:pt idx="224">
                  <c:v>-4.8975568315146573E-2</c:v>
                </c:pt>
                <c:pt idx="225">
                  <c:v>-4.4788829095601002E-2</c:v>
                </c:pt>
                <c:pt idx="226">
                  <c:v>-3.6772162826150839E-2</c:v>
                </c:pt>
                <c:pt idx="227">
                  <c:v>-2.6949695762766089E-2</c:v>
                </c:pt>
                <c:pt idx="228">
                  <c:v>-3.7954556623969113E-2</c:v>
                </c:pt>
                <c:pt idx="229">
                  <c:v>-4.6545096469039531E-2</c:v>
                </c:pt>
                <c:pt idx="230">
                  <c:v>-4.734058178799587E-2</c:v>
                </c:pt>
                <c:pt idx="231">
                  <c:v>-3.460049507839752E-2</c:v>
                </c:pt>
                <c:pt idx="232">
                  <c:v>-2.1033120503618951E-2</c:v>
                </c:pt>
                <c:pt idx="233">
                  <c:v>-3.3427287823421831E-2</c:v>
                </c:pt>
                <c:pt idx="234">
                  <c:v>-4.2859854247595294E-2</c:v>
                </c:pt>
                <c:pt idx="235">
                  <c:v>-3.1894493806795446E-2</c:v>
                </c:pt>
                <c:pt idx="236">
                  <c:v>-2.723617492558484E-2</c:v>
                </c:pt>
                <c:pt idx="237">
                  <c:v>-1.09808402498174E-2</c:v>
                </c:pt>
                <c:pt idx="238">
                  <c:v>4.6318641295191192E-2</c:v>
                </c:pt>
                <c:pt idx="239">
                  <c:v>2.4403008066122691E-2</c:v>
                </c:pt>
                <c:pt idx="240">
                  <c:v>1.9828589860922424E-2</c:v>
                </c:pt>
                <c:pt idx="241">
                  <c:v>2.6213609816548605E-2</c:v>
                </c:pt>
                <c:pt idx="242">
                  <c:v>1.6689464388569327E-2</c:v>
                </c:pt>
                <c:pt idx="243">
                  <c:v>1.2098517028383066E-2</c:v>
                </c:pt>
                <c:pt idx="244">
                  <c:v>1.5739838953391788E-2</c:v>
                </c:pt>
                <c:pt idx="245">
                  <c:v>3.1379859411990514E-2</c:v>
                </c:pt>
                <c:pt idx="246">
                  <c:v>3.5511474471881188E-2</c:v>
                </c:pt>
                <c:pt idx="247">
                  <c:v>2.0223889373696277E-2</c:v>
                </c:pt>
                <c:pt idx="248">
                  <c:v>1.2165296860845451E-2</c:v>
                </c:pt>
                <c:pt idx="249">
                  <c:v>-1.7378368580653631E-2</c:v>
                </c:pt>
                <c:pt idx="250">
                  <c:v>-1.7966273302291166E-2</c:v>
                </c:pt>
                <c:pt idx="251">
                  <c:v>2.6899133478616734E-3</c:v>
                </c:pt>
                <c:pt idx="252">
                  <c:v>1.437921154648854E-2</c:v>
                </c:pt>
                <c:pt idx="253">
                  <c:v>-2.3218425102676861E-2</c:v>
                </c:pt>
                <c:pt idx="254">
                  <c:v>4.9145408112576837E-3</c:v>
                </c:pt>
                <c:pt idx="255">
                  <c:v>3.6658905351022661E-2</c:v>
                </c:pt>
                <c:pt idx="256">
                  <c:v>4.0869389441482155E-2</c:v>
                </c:pt>
                <c:pt idx="257">
                  <c:v>4.8127861275784632E-2</c:v>
                </c:pt>
                <c:pt idx="258">
                  <c:v>9.9620831487631512E-2</c:v>
                </c:pt>
                <c:pt idx="259">
                  <c:v>8.4186850889990672E-2</c:v>
                </c:pt>
                <c:pt idx="260">
                  <c:v>0.24719795693334598</c:v>
                </c:pt>
                <c:pt idx="261">
                  <c:v>0.28562674334922328</c:v>
                </c:pt>
                <c:pt idx="262">
                  <c:v>0.2721271471809551</c:v>
                </c:pt>
                <c:pt idx="263">
                  <c:v>0.28731189548376457</c:v>
                </c:pt>
                <c:pt idx="264">
                  <c:v>0.29595410004692713</c:v>
                </c:pt>
                <c:pt idx="265">
                  <c:v>0.30851151086008755</c:v>
                </c:pt>
                <c:pt idx="266">
                  <c:v>0.31682139413636162</c:v>
                </c:pt>
                <c:pt idx="267">
                  <c:v>0.31035444932221418</c:v>
                </c:pt>
                <c:pt idx="268">
                  <c:v>0.30454082210267125</c:v>
                </c:pt>
                <c:pt idx="269">
                  <c:v>0.34465483696871924</c:v>
                </c:pt>
                <c:pt idx="270">
                  <c:v>0.38853628322297773</c:v>
                </c:pt>
                <c:pt idx="271">
                  <c:v>0.49550258744746539</c:v>
                </c:pt>
                <c:pt idx="272">
                  <c:v>0.48324125265333889</c:v>
                </c:pt>
                <c:pt idx="273">
                  <c:v>0.47366434172801097</c:v>
                </c:pt>
                <c:pt idx="274">
                  <c:v>0.47097884614626523</c:v>
                </c:pt>
                <c:pt idx="275">
                  <c:v>0.47166404798659944</c:v>
                </c:pt>
                <c:pt idx="276">
                  <c:v>0.48161448072229202</c:v>
                </c:pt>
                <c:pt idx="277">
                  <c:v>0.45634217333405674</c:v>
                </c:pt>
                <c:pt idx="278">
                  <c:v>0.46028608501513718</c:v>
                </c:pt>
                <c:pt idx="279">
                  <c:v>0.49564646701888981</c:v>
                </c:pt>
                <c:pt idx="280">
                  <c:v>0.46997499934088205</c:v>
                </c:pt>
                <c:pt idx="281">
                  <c:v>0.50982314109872851</c:v>
                </c:pt>
                <c:pt idx="282">
                  <c:v>0.57224792872448327</c:v>
                </c:pt>
                <c:pt idx="283">
                  <c:v>0.59300504083400596</c:v>
                </c:pt>
                <c:pt idx="284">
                  <c:v>0.70684949018832743</c:v>
                </c:pt>
                <c:pt idx="285">
                  <c:v>0.74484936726496187</c:v>
                </c:pt>
                <c:pt idx="286">
                  <c:v>0.27640497713620937</c:v>
                </c:pt>
                <c:pt idx="287">
                  <c:v>0.25706267272274458</c:v>
                </c:pt>
                <c:pt idx="288">
                  <c:v>0.25154111567545118</c:v>
                </c:pt>
                <c:pt idx="289">
                  <c:v>0.25441964855570881</c:v>
                </c:pt>
                <c:pt idx="290">
                  <c:v>0.24773004451650449</c:v>
                </c:pt>
                <c:pt idx="291">
                  <c:v>0.26077355356122195</c:v>
                </c:pt>
                <c:pt idx="292">
                  <c:v>0.26968105222040439</c:v>
                </c:pt>
                <c:pt idx="293">
                  <c:v>0.2701443162611426</c:v>
                </c:pt>
                <c:pt idx="294">
                  <c:v>0.26477653137911034</c:v>
                </c:pt>
                <c:pt idx="295">
                  <c:v>0.25457286877438356</c:v>
                </c:pt>
                <c:pt idx="296">
                  <c:v>0.27171676196106215</c:v>
                </c:pt>
                <c:pt idx="297">
                  <c:v>0.26570616058197449</c:v>
                </c:pt>
                <c:pt idx="298">
                  <c:v>0.25448522587193323</c:v>
                </c:pt>
                <c:pt idx="299">
                  <c:v>0.24298164751291892</c:v>
                </c:pt>
                <c:pt idx="300">
                  <c:v>0.27583498186109706</c:v>
                </c:pt>
                <c:pt idx="301">
                  <c:v>0.28154706890463582</c:v>
                </c:pt>
                <c:pt idx="302">
                  <c:v>0.2835574842132072</c:v>
                </c:pt>
                <c:pt idx="303">
                  <c:v>0.27366992864405237</c:v>
                </c:pt>
                <c:pt idx="304">
                  <c:v>0.27399393643309555</c:v>
                </c:pt>
                <c:pt idx="305">
                  <c:v>0.26958199792246229</c:v>
                </c:pt>
                <c:pt idx="306">
                  <c:v>0.27037217867000651</c:v>
                </c:pt>
                <c:pt idx="307">
                  <c:v>0.27143560280551415</c:v>
                </c:pt>
                <c:pt idx="308">
                  <c:v>0.2660593460872126</c:v>
                </c:pt>
                <c:pt idx="309">
                  <c:v>0.27819886825233092</c:v>
                </c:pt>
                <c:pt idx="310">
                  <c:v>0.28884753785519829</c:v>
                </c:pt>
                <c:pt idx="311">
                  <c:v>0.29048689862235944</c:v>
                </c:pt>
                <c:pt idx="312">
                  <c:v>0.29984554335103247</c:v>
                </c:pt>
                <c:pt idx="313">
                  <c:v>0.29936726828206323</c:v>
                </c:pt>
                <c:pt idx="314">
                  <c:v>0.30801391230327363</c:v>
                </c:pt>
                <c:pt idx="315">
                  <c:v>0.30807592246355903</c:v>
                </c:pt>
                <c:pt idx="316">
                  <c:v>0.31408256246933003</c:v>
                </c:pt>
                <c:pt idx="317">
                  <c:v>0.3060304515963776</c:v>
                </c:pt>
                <c:pt idx="318">
                  <c:v>0.30168965632087907</c:v>
                </c:pt>
                <c:pt idx="319">
                  <c:v>0.30307122711529955</c:v>
                </c:pt>
                <c:pt idx="320">
                  <c:v>0.30860817569690596</c:v>
                </c:pt>
                <c:pt idx="321">
                  <c:v>0.30355499133427671</c:v>
                </c:pt>
                <c:pt idx="322">
                  <c:v>0.30784200095815073</c:v>
                </c:pt>
                <c:pt idx="323">
                  <c:v>0.30683603798771181</c:v>
                </c:pt>
                <c:pt idx="324">
                  <c:v>0.31135402515110522</c:v>
                </c:pt>
                <c:pt idx="325">
                  <c:v>0.31370784360138465</c:v>
                </c:pt>
                <c:pt idx="326">
                  <c:v>0.29822842259793464</c:v>
                </c:pt>
                <c:pt idx="327">
                  <c:v>0.29966866530952624</c:v>
                </c:pt>
                <c:pt idx="328">
                  <c:v>0.29985397379952633</c:v>
                </c:pt>
                <c:pt idx="329">
                  <c:v>0.29787127104377414</c:v>
                </c:pt>
                <c:pt idx="330">
                  <c:v>0.30323725297668142</c:v>
                </c:pt>
                <c:pt idx="331">
                  <c:v>0.30207673831310689</c:v>
                </c:pt>
                <c:pt idx="332">
                  <c:v>0.30507909829025232</c:v>
                </c:pt>
                <c:pt idx="333">
                  <c:v>0.29748018781345525</c:v>
                </c:pt>
                <c:pt idx="334">
                  <c:v>0.29623920015218957</c:v>
                </c:pt>
                <c:pt idx="335">
                  <c:v>0.30031564768476532</c:v>
                </c:pt>
                <c:pt idx="336">
                  <c:v>0.29773779292966812</c:v>
                </c:pt>
                <c:pt idx="337">
                  <c:v>0.31444504745444052</c:v>
                </c:pt>
                <c:pt idx="338">
                  <c:v>0.30467254084327705</c:v>
                </c:pt>
                <c:pt idx="339">
                  <c:v>0.31079297005783674</c:v>
                </c:pt>
                <c:pt idx="340">
                  <c:v>0.29293093361277595</c:v>
                </c:pt>
                <c:pt idx="341">
                  <c:v>0.29724997948163046</c:v>
                </c:pt>
                <c:pt idx="342">
                  <c:v>0.30635452486236764</c:v>
                </c:pt>
                <c:pt idx="343">
                  <c:v>0.3059252355816367</c:v>
                </c:pt>
                <c:pt idx="344">
                  <c:v>0.28100873754037708</c:v>
                </c:pt>
                <c:pt idx="345">
                  <c:v>0.27222622086496023</c:v>
                </c:pt>
                <c:pt idx="346">
                  <c:v>0.28309725719122042</c:v>
                </c:pt>
                <c:pt idx="347">
                  <c:v>0.26260555594360135</c:v>
                </c:pt>
                <c:pt idx="348">
                  <c:v>0.27314124660576161</c:v>
                </c:pt>
                <c:pt idx="349">
                  <c:v>0.26879056239449317</c:v>
                </c:pt>
                <c:pt idx="350">
                  <c:v>0.28936725678965142</c:v>
                </c:pt>
                <c:pt idx="351">
                  <c:v>0.24366778892373384</c:v>
                </c:pt>
                <c:pt idx="352">
                  <c:v>0.23574080632656011</c:v>
                </c:pt>
                <c:pt idx="353">
                  <c:v>0.20289176727312627</c:v>
                </c:pt>
                <c:pt idx="354">
                  <c:v>0.18784600745233032</c:v>
                </c:pt>
                <c:pt idx="355">
                  <c:v>0.19248265186979815</c:v>
                </c:pt>
                <c:pt idx="356">
                  <c:v>0.19305897273345488</c:v>
                </c:pt>
                <c:pt idx="357">
                  <c:v>0.19730466693911972</c:v>
                </c:pt>
                <c:pt idx="358">
                  <c:v>0.20945907832987837</c:v>
                </c:pt>
                <c:pt idx="359">
                  <c:v>0.21223067530641082</c:v>
                </c:pt>
                <c:pt idx="360">
                  <c:v>0.21674426767365418</c:v>
                </c:pt>
                <c:pt idx="361">
                  <c:v>0.21143892958807523</c:v>
                </c:pt>
                <c:pt idx="362">
                  <c:v>0.21834175402023284</c:v>
                </c:pt>
                <c:pt idx="363">
                  <c:v>0.24252544610085683</c:v>
                </c:pt>
                <c:pt idx="364">
                  <c:v>0.26859559309275888</c:v>
                </c:pt>
                <c:pt idx="365">
                  <c:v>0.23583221031137958</c:v>
                </c:pt>
                <c:pt idx="366">
                  <c:v>0.24697484273250833</c:v>
                </c:pt>
                <c:pt idx="367">
                  <c:v>0.24570471873635047</c:v>
                </c:pt>
                <c:pt idx="368">
                  <c:v>0.26276456490117822</c:v>
                </c:pt>
                <c:pt idx="369">
                  <c:v>0.25823667500842329</c:v>
                </c:pt>
                <c:pt idx="370">
                  <c:v>0.26558584779653299</c:v>
                </c:pt>
                <c:pt idx="371">
                  <c:v>0.25811233990387228</c:v>
                </c:pt>
                <c:pt idx="372">
                  <c:v>0.27602988748557605</c:v>
                </c:pt>
                <c:pt idx="373">
                  <c:v>0.26958106212030003</c:v>
                </c:pt>
                <c:pt idx="374">
                  <c:v>0.28661331070643814</c:v>
                </c:pt>
                <c:pt idx="375">
                  <c:v>0.29031435864616417</c:v>
                </c:pt>
                <c:pt idx="376">
                  <c:v>0.29119329361598856</c:v>
                </c:pt>
                <c:pt idx="377">
                  <c:v>0.31304969186466786</c:v>
                </c:pt>
                <c:pt idx="378">
                  <c:v>0.31177078279876635</c:v>
                </c:pt>
                <c:pt idx="379">
                  <c:v>0.3231156902069835</c:v>
                </c:pt>
                <c:pt idx="380">
                  <c:v>0.28808467965562851</c:v>
                </c:pt>
                <c:pt idx="381">
                  <c:v>0.26264858566027971</c:v>
                </c:pt>
                <c:pt idx="382">
                  <c:v>0.24371167008021027</c:v>
                </c:pt>
                <c:pt idx="383">
                  <c:v>0.26242644806304843</c:v>
                </c:pt>
                <c:pt idx="384">
                  <c:v>0.29465431332769965</c:v>
                </c:pt>
                <c:pt idx="385">
                  <c:v>0.26494106509091531</c:v>
                </c:pt>
                <c:pt idx="386">
                  <c:v>0.12344957498237126</c:v>
                </c:pt>
                <c:pt idx="387">
                  <c:v>6.4564461231525858E-2</c:v>
                </c:pt>
                <c:pt idx="388">
                  <c:v>6.3181124799946906E-2</c:v>
                </c:pt>
                <c:pt idx="389">
                  <c:v>7.2018873980058962E-2</c:v>
                </c:pt>
                <c:pt idx="390">
                  <c:v>-2.0626324546480373E-2</c:v>
                </c:pt>
                <c:pt idx="391">
                  <c:v>-2.1426743417068579E-2</c:v>
                </c:pt>
                <c:pt idx="392">
                  <c:v>-2.3970791096394786E-2</c:v>
                </c:pt>
                <c:pt idx="393">
                  <c:v>-2.0937733629728138E-2</c:v>
                </c:pt>
                <c:pt idx="394">
                  <c:v>-2.1663048945424361E-2</c:v>
                </c:pt>
                <c:pt idx="395">
                  <c:v>-1.9251475108458805E-2</c:v>
                </c:pt>
                <c:pt idx="396">
                  <c:v>-1.2608425330439234E-2</c:v>
                </c:pt>
                <c:pt idx="397">
                  <c:v>-1.7809960511834595E-2</c:v>
                </c:pt>
                <c:pt idx="398">
                  <c:v>-1.3741452907733657E-2</c:v>
                </c:pt>
                <c:pt idx="399">
                  <c:v>-1.6151039974400323E-2</c:v>
                </c:pt>
                <c:pt idx="400">
                  <c:v>-1.9839587255997281E-2</c:v>
                </c:pt>
                <c:pt idx="401">
                  <c:v>-1.2626632107746741E-2</c:v>
                </c:pt>
                <c:pt idx="402">
                  <c:v>-1.7759170293953654E-2</c:v>
                </c:pt>
                <c:pt idx="403">
                  <c:v>-1.4994447859665519E-2</c:v>
                </c:pt>
                <c:pt idx="404">
                  <c:v>-1.2983214268756425E-2</c:v>
                </c:pt>
                <c:pt idx="405">
                  <c:v>-1.0038030177385865E-2</c:v>
                </c:pt>
                <c:pt idx="406">
                  <c:v>-1.2390967314086178E-2</c:v>
                </c:pt>
                <c:pt idx="407">
                  <c:v>-8.1985084432972654E-3</c:v>
                </c:pt>
                <c:pt idx="408">
                  <c:v>-1.4244281223246329E-2</c:v>
                </c:pt>
                <c:pt idx="409">
                  <c:v>-1.5204204731778756E-2</c:v>
                </c:pt>
                <c:pt idx="410">
                  <c:v>-1.1154989224278751E-2</c:v>
                </c:pt>
                <c:pt idx="411">
                  <c:v>-1.4174507922634505E-2</c:v>
                </c:pt>
                <c:pt idx="412">
                  <c:v>-1.7691405030433125E-2</c:v>
                </c:pt>
                <c:pt idx="413">
                  <c:v>-1.4827699640254556E-2</c:v>
                </c:pt>
                <c:pt idx="414">
                  <c:v>-1.2633673150520714E-2</c:v>
                </c:pt>
                <c:pt idx="415">
                  <c:v>-1.7838977026726512E-2</c:v>
                </c:pt>
                <c:pt idx="416">
                  <c:v>-1.2017237765883135E-2</c:v>
                </c:pt>
                <c:pt idx="417">
                  <c:v>-1.05246191702977E-2</c:v>
                </c:pt>
                <c:pt idx="418">
                  <c:v>-9.3265531385830092E-3</c:v>
                </c:pt>
                <c:pt idx="419">
                  <c:v>-1.1947013353609844E-2</c:v>
                </c:pt>
                <c:pt idx="420">
                  <c:v>-4.4117260111334556E-3</c:v>
                </c:pt>
                <c:pt idx="421">
                  <c:v>-4.8548037314286741E-3</c:v>
                </c:pt>
                <c:pt idx="422">
                  <c:v>-6.5418791195367742E-3</c:v>
                </c:pt>
                <c:pt idx="423">
                  <c:v>2.5054461126145238E-3</c:v>
                </c:pt>
                <c:pt idx="424">
                  <c:v>1.7011171893417715E-3</c:v>
                </c:pt>
                <c:pt idx="425">
                  <c:v>6.9169426089496049E-3</c:v>
                </c:pt>
                <c:pt idx="426">
                  <c:v>8.0675488512740434E-3</c:v>
                </c:pt>
                <c:pt idx="427">
                  <c:v>4.8722966377719125E-3</c:v>
                </c:pt>
                <c:pt idx="428">
                  <c:v>1.7817090870375616E-2</c:v>
                </c:pt>
                <c:pt idx="429">
                  <c:v>3.6185226121199156E-2</c:v>
                </c:pt>
                <c:pt idx="430">
                  <c:v>1.381207858247082E-2</c:v>
                </c:pt>
                <c:pt idx="431">
                  <c:v>-1.8271932550632239E-2</c:v>
                </c:pt>
                <c:pt idx="432">
                  <c:v>-9.6678677169932722E-3</c:v>
                </c:pt>
                <c:pt idx="433">
                  <c:v>-1.9240195520206126E-2</c:v>
                </c:pt>
                <c:pt idx="434">
                  <c:v>-2.3911105760206133E-2</c:v>
                </c:pt>
                <c:pt idx="435">
                  <c:v>-2.500343360826815E-2</c:v>
                </c:pt>
                <c:pt idx="436">
                  <c:v>-2.4401467781928858E-2</c:v>
                </c:pt>
                <c:pt idx="437">
                  <c:v>-2.6968455808810562E-2</c:v>
                </c:pt>
                <c:pt idx="438">
                  <c:v>-2.8619456653516447E-2</c:v>
                </c:pt>
                <c:pt idx="439">
                  <c:v>-2.7916454795334639E-2</c:v>
                </c:pt>
                <c:pt idx="440">
                  <c:v>-2.644771787723119E-2</c:v>
                </c:pt>
                <c:pt idx="441">
                  <c:v>-2.6720690599305659E-2</c:v>
                </c:pt>
                <c:pt idx="442">
                  <c:v>-2.2945966993025455E-2</c:v>
                </c:pt>
                <c:pt idx="443">
                  <c:v>-2.4366407149692123E-2</c:v>
                </c:pt>
                <c:pt idx="444">
                  <c:v>-2.3912449556166934E-2</c:v>
                </c:pt>
                <c:pt idx="445">
                  <c:v>-2.3516439845962852E-2</c:v>
                </c:pt>
                <c:pt idx="446">
                  <c:v>-2.5640045442694881E-2</c:v>
                </c:pt>
                <c:pt idx="447">
                  <c:v>-2.3916632118831244E-2</c:v>
                </c:pt>
                <c:pt idx="448">
                  <c:v>-2.7112141035174737E-2</c:v>
                </c:pt>
                <c:pt idx="449">
                  <c:v>-3.0180501758975128E-2</c:v>
                </c:pt>
                <c:pt idx="450">
                  <c:v>-2.991734582008624E-2</c:v>
                </c:pt>
                <c:pt idx="451">
                  <c:v>-3.0120380857080461E-2</c:v>
                </c:pt>
                <c:pt idx="452">
                  <c:v>-2.8353627552267627E-2</c:v>
                </c:pt>
                <c:pt idx="453">
                  <c:v>-2.8802014111202982E-2</c:v>
                </c:pt>
                <c:pt idx="454">
                  <c:v>-2.928352221885171E-2</c:v>
                </c:pt>
                <c:pt idx="455">
                  <c:v>-2.706319818495341E-2</c:v>
                </c:pt>
                <c:pt idx="456">
                  <c:v>-2.759021012190993E-2</c:v>
                </c:pt>
                <c:pt idx="457">
                  <c:v>-2.3462150689931602E-2</c:v>
                </c:pt>
                <c:pt idx="458">
                  <c:v>-2.1457040244770301E-2</c:v>
                </c:pt>
                <c:pt idx="459">
                  <c:v>-2.3894477570685791E-2</c:v>
                </c:pt>
                <c:pt idx="460">
                  <c:v>-2.1630281361836218E-2</c:v>
                </c:pt>
                <c:pt idx="461">
                  <c:v>-2.4378526341836213E-2</c:v>
                </c:pt>
                <c:pt idx="462">
                  <c:v>-2.1608154136549877E-2</c:v>
                </c:pt>
                <c:pt idx="463">
                  <c:v>-1.9676288279328678E-2</c:v>
                </c:pt>
                <c:pt idx="464">
                  <c:v>-1.1434871877075155E-2</c:v>
                </c:pt>
                <c:pt idx="465">
                  <c:v>-1.1004747725378542E-2</c:v>
                </c:pt>
                <c:pt idx="466">
                  <c:v>-1.313128884076315E-2</c:v>
                </c:pt>
                <c:pt idx="467">
                  <c:v>-1.4376331255361691E-2</c:v>
                </c:pt>
                <c:pt idx="468">
                  <c:v>-1.5752243287829214E-2</c:v>
                </c:pt>
                <c:pt idx="469">
                  <c:v>-1.7365815436494833E-2</c:v>
                </c:pt>
                <c:pt idx="470">
                  <c:v>-1.7730374764803054E-2</c:v>
                </c:pt>
                <c:pt idx="471">
                  <c:v>-1.6290627971506967E-2</c:v>
                </c:pt>
                <c:pt idx="472">
                  <c:v>-1.5195832273585492E-2</c:v>
                </c:pt>
                <c:pt idx="473">
                  <c:v>-1.5795557560735404E-2</c:v>
                </c:pt>
                <c:pt idx="474">
                  <c:v>-1.6688772333697637E-2</c:v>
                </c:pt>
                <c:pt idx="475">
                  <c:v>-1.612947010022216E-2</c:v>
                </c:pt>
                <c:pt idx="476">
                  <c:v>-2.1156828885268885E-2</c:v>
                </c:pt>
                <c:pt idx="477">
                  <c:v>-2.1914325301098426E-2</c:v>
                </c:pt>
                <c:pt idx="478">
                  <c:v>-2.3549684962863124E-2</c:v>
                </c:pt>
                <c:pt idx="479">
                  <c:v>-2.1563451697247979E-2</c:v>
                </c:pt>
                <c:pt idx="480">
                  <c:v>-2.179999896182197E-2</c:v>
                </c:pt>
                <c:pt idx="481">
                  <c:v>-2.1541348556715589E-2</c:v>
                </c:pt>
                <c:pt idx="482">
                  <c:v>-2.0106225234807467E-2</c:v>
                </c:pt>
                <c:pt idx="483">
                  <c:v>-2.019020867570618E-2</c:v>
                </c:pt>
                <c:pt idx="484">
                  <c:v>-2.0020668300548543E-2</c:v>
                </c:pt>
                <c:pt idx="485">
                  <c:v>-2.2707325451217755E-2</c:v>
                </c:pt>
                <c:pt idx="486">
                  <c:v>-2.3121469689511759E-2</c:v>
                </c:pt>
                <c:pt idx="487">
                  <c:v>-1.6987342236681562E-2</c:v>
                </c:pt>
                <c:pt idx="488">
                  <c:v>-1.7805238099538701E-2</c:v>
                </c:pt>
                <c:pt idx="489">
                  <c:v>-1.8603144516205365E-2</c:v>
                </c:pt>
                <c:pt idx="490">
                  <c:v>-2.2468265016205368E-2</c:v>
                </c:pt>
                <c:pt idx="491">
                  <c:v>-2.7207115524901029E-2</c:v>
                </c:pt>
                <c:pt idx="492">
                  <c:v>-2.269687653217552E-2</c:v>
                </c:pt>
                <c:pt idx="493">
                  <c:v>-2.5148530944441284E-2</c:v>
                </c:pt>
                <c:pt idx="494">
                  <c:v>-2.2555770618548424E-2</c:v>
                </c:pt>
                <c:pt idx="495">
                  <c:v>-2.0887531067746948E-2</c:v>
                </c:pt>
                <c:pt idx="496">
                  <c:v>-2.325236655239114E-2</c:v>
                </c:pt>
                <c:pt idx="497">
                  <c:v>-2.1642596245754982E-2</c:v>
                </c:pt>
                <c:pt idx="498">
                  <c:v>-2.228390319768481E-2</c:v>
                </c:pt>
                <c:pt idx="499">
                  <c:v>-2.4808034700043301E-2</c:v>
                </c:pt>
                <c:pt idx="500">
                  <c:v>-2.0184034470932796E-2</c:v>
                </c:pt>
                <c:pt idx="501">
                  <c:v>-1.9548197605580679E-2</c:v>
                </c:pt>
                <c:pt idx="502">
                  <c:v>-1.7518840458271897E-2</c:v>
                </c:pt>
                <c:pt idx="503">
                  <c:v>-2.1529474312257903E-2</c:v>
                </c:pt>
                <c:pt idx="504">
                  <c:v>-2.4528564507910085E-2</c:v>
                </c:pt>
                <c:pt idx="505">
                  <c:v>-2.4491401778303775E-2</c:v>
                </c:pt>
                <c:pt idx="506">
                  <c:v>-2.7400107808618013E-2</c:v>
                </c:pt>
                <c:pt idx="507">
                  <c:v>-2.6682501247823967E-2</c:v>
                </c:pt>
                <c:pt idx="508">
                  <c:v>-3.6985583310092017E-2</c:v>
                </c:pt>
                <c:pt idx="509">
                  <c:v>-4.0353675473728375E-2</c:v>
                </c:pt>
                <c:pt idx="510">
                  <c:v>-3.3325861525832577E-2</c:v>
                </c:pt>
                <c:pt idx="511">
                  <c:v>-3.828857204691366E-2</c:v>
                </c:pt>
                <c:pt idx="512">
                  <c:v>-2.1192109291202361E-2</c:v>
                </c:pt>
                <c:pt idx="513">
                  <c:v>-1.7411613300377514E-2</c:v>
                </c:pt>
                <c:pt idx="514">
                  <c:v>-1.3652780414507962E-2</c:v>
                </c:pt>
                <c:pt idx="515">
                  <c:v>-1.2175510629379742E-2</c:v>
                </c:pt>
                <c:pt idx="516">
                  <c:v>-1.225655397712748E-2</c:v>
                </c:pt>
                <c:pt idx="517">
                  <c:v>-1.3081916677127431E-2</c:v>
                </c:pt>
                <c:pt idx="518">
                  <c:v>-1.2011145383818905E-2</c:v>
                </c:pt>
                <c:pt idx="519">
                  <c:v>-6.7985633729540163E-4</c:v>
                </c:pt>
                <c:pt idx="520">
                  <c:v>-5.067864694842588E-3</c:v>
                </c:pt>
                <c:pt idx="521">
                  <c:v>4.9420681051573854E-3</c:v>
                </c:pt>
                <c:pt idx="522">
                  <c:v>1.4787448880722346E-2</c:v>
                </c:pt>
                <c:pt idx="523">
                  <c:v>2.7550216626450116E-2</c:v>
                </c:pt>
                <c:pt idx="524">
                  <c:v>9.7808266134348128E-3</c:v>
                </c:pt>
                <c:pt idx="525">
                  <c:v>3.0973825844502777E-2</c:v>
                </c:pt>
                <c:pt idx="526">
                  <c:v>2.2260989716755809E-2</c:v>
                </c:pt>
                <c:pt idx="527">
                  <c:v>3.5253438577799737E-2</c:v>
                </c:pt>
                <c:pt idx="528">
                  <c:v>4.4229969384523615E-2</c:v>
                </c:pt>
                <c:pt idx="529">
                  <c:v>3.9160954626104867E-2</c:v>
                </c:pt>
                <c:pt idx="530">
                  <c:v>3.345527825925404E-2</c:v>
                </c:pt>
                <c:pt idx="531">
                  <c:v>3.8409686621192991E-2</c:v>
                </c:pt>
                <c:pt idx="532">
                  <c:v>4.3567420411340783E-2</c:v>
                </c:pt>
                <c:pt idx="533">
                  <c:v>4.1380395353437273E-2</c:v>
                </c:pt>
                <c:pt idx="534">
                  <c:v>3.6118562773825608E-2</c:v>
                </c:pt>
                <c:pt idx="535">
                  <c:v>4.3299764433939555E-2</c:v>
                </c:pt>
                <c:pt idx="536">
                  <c:v>2.2760916039506463E-2</c:v>
                </c:pt>
                <c:pt idx="537">
                  <c:v>1.7724174806036243E-2</c:v>
                </c:pt>
                <c:pt idx="538">
                  <c:v>1.0932237239709725E-2</c:v>
                </c:pt>
                <c:pt idx="539">
                  <c:v>1.1695081912978633E-2</c:v>
                </c:pt>
                <c:pt idx="540">
                  <c:v>9.1205584771988334E-3</c:v>
                </c:pt>
                <c:pt idx="541">
                  <c:v>6.5035426211851018E-3</c:v>
                </c:pt>
                <c:pt idx="542">
                  <c:v>1.3264574281601788E-2</c:v>
                </c:pt>
                <c:pt idx="543">
                  <c:v>1.2628939957956442E-2</c:v>
                </c:pt>
                <c:pt idx="544">
                  <c:v>7.7616598001194513E-3</c:v>
                </c:pt>
                <c:pt idx="545">
                  <c:v>1.0738031643141453E-3</c:v>
                </c:pt>
                <c:pt idx="546">
                  <c:v>1.2803396915030841E-3</c:v>
                </c:pt>
                <c:pt idx="547">
                  <c:v>3.6986728115031057E-3</c:v>
                </c:pt>
                <c:pt idx="548">
                  <c:v>7.5261673661467191E-3</c:v>
                </c:pt>
                <c:pt idx="549">
                  <c:v>8.5891095127220655E-3</c:v>
                </c:pt>
                <c:pt idx="550">
                  <c:v>1.0318217539221353E-2</c:v>
                </c:pt>
                <c:pt idx="551">
                  <c:v>1.3338456950632779E-2</c:v>
                </c:pt>
                <c:pt idx="552">
                  <c:v>1.2936829797691587E-2</c:v>
                </c:pt>
                <c:pt idx="553">
                  <c:v>1.8113139714147256E-2</c:v>
                </c:pt>
                <c:pt idx="554">
                  <c:v>3.4917680775066705E-2</c:v>
                </c:pt>
                <c:pt idx="555">
                  <c:v>2.8642576712380085E-2</c:v>
                </c:pt>
                <c:pt idx="556">
                  <c:v>2.9234613759664452E-2</c:v>
                </c:pt>
                <c:pt idx="557">
                  <c:v>3.180606571365218E-2</c:v>
                </c:pt>
                <c:pt idx="558">
                  <c:v>3.1277803333652203E-2</c:v>
                </c:pt>
                <c:pt idx="559">
                  <c:v>3.1376211162933959E-2</c:v>
                </c:pt>
                <c:pt idx="560">
                  <c:v>3.1161760438796027E-2</c:v>
                </c:pt>
                <c:pt idx="561">
                  <c:v>3.5186568711850892E-2</c:v>
                </c:pt>
                <c:pt idx="562">
                  <c:v>3.222806062214649E-2</c:v>
                </c:pt>
                <c:pt idx="563">
                  <c:v>2.7889215322348528E-2</c:v>
                </c:pt>
                <c:pt idx="564">
                  <c:v>3.1946059608908332E-2</c:v>
                </c:pt>
                <c:pt idx="565">
                  <c:v>2.9394582441997649E-2</c:v>
                </c:pt>
                <c:pt idx="566">
                  <c:v>2.8092968097997668E-2</c:v>
                </c:pt>
                <c:pt idx="567">
                  <c:v>2.9110520889713616E-2</c:v>
                </c:pt>
                <c:pt idx="568">
                  <c:v>3.3662079594263192E-2</c:v>
                </c:pt>
                <c:pt idx="569">
                  <c:v>2.4912354949671599E-2</c:v>
                </c:pt>
                <c:pt idx="570">
                  <c:v>2.8125649098834447E-2</c:v>
                </c:pt>
                <c:pt idx="571">
                  <c:v>2.2507876462397186E-2</c:v>
                </c:pt>
                <c:pt idx="572">
                  <c:v>2.544840575122401E-2</c:v>
                </c:pt>
                <c:pt idx="573">
                  <c:v>2.2330563828557356E-2</c:v>
                </c:pt>
                <c:pt idx="574">
                  <c:v>2.0964747871739162E-2</c:v>
                </c:pt>
                <c:pt idx="575">
                  <c:v>2.4543602182761991E-2</c:v>
                </c:pt>
                <c:pt idx="576">
                  <c:v>2.0588444416147818E-2</c:v>
                </c:pt>
                <c:pt idx="577">
                  <c:v>2.3055011377672959E-2</c:v>
                </c:pt>
                <c:pt idx="578">
                  <c:v>2.3080080808360787E-2</c:v>
                </c:pt>
                <c:pt idx="579">
                  <c:v>2.0574841262906242E-2</c:v>
                </c:pt>
                <c:pt idx="580">
                  <c:v>2.254249127376597E-2</c:v>
                </c:pt>
                <c:pt idx="581">
                  <c:v>2.3692866914481879E-2</c:v>
                </c:pt>
                <c:pt idx="582">
                  <c:v>2.0318223276510197E-2</c:v>
                </c:pt>
                <c:pt idx="583">
                  <c:v>2.8491029755710186E-2</c:v>
                </c:pt>
                <c:pt idx="584">
                  <c:v>3.0288766270797247E-2</c:v>
                </c:pt>
                <c:pt idx="585">
                  <c:v>2.7226722373140978E-2</c:v>
                </c:pt>
                <c:pt idx="586">
                  <c:v>3.0573294575957904E-2</c:v>
                </c:pt>
                <c:pt idx="587">
                  <c:v>3.1619689678742742E-2</c:v>
                </c:pt>
                <c:pt idx="588">
                  <c:v>3.4284700180349667E-2</c:v>
                </c:pt>
                <c:pt idx="589">
                  <c:v>5.1331177932034289E-2</c:v>
                </c:pt>
                <c:pt idx="590">
                  <c:v>4.2127442573416718E-2</c:v>
                </c:pt>
                <c:pt idx="591">
                  <c:v>3.4229169441579457E-2</c:v>
                </c:pt>
                <c:pt idx="592">
                  <c:v>1.3257391842879341E-2</c:v>
                </c:pt>
                <c:pt idx="593">
                  <c:v>1.8052988953711838E-2</c:v>
                </c:pt>
                <c:pt idx="594">
                  <c:v>1.2908054537446083E-2</c:v>
                </c:pt>
                <c:pt idx="595">
                  <c:v>1.2236715679870308E-2</c:v>
                </c:pt>
                <c:pt idx="596">
                  <c:v>4.1707627772246833E-2</c:v>
                </c:pt>
                <c:pt idx="597">
                  <c:v>6.9472865457286259E-2</c:v>
                </c:pt>
                <c:pt idx="598">
                  <c:v>4.9119921327576081E-2</c:v>
                </c:pt>
                <c:pt idx="599">
                  <c:v>5.1565397413729903E-2</c:v>
                </c:pt>
                <c:pt idx="600">
                  <c:v>5.2617381213811924E-2</c:v>
                </c:pt>
                <c:pt idx="601">
                  <c:v>5.2276143591035919E-2</c:v>
                </c:pt>
                <c:pt idx="602">
                  <c:v>4.897476143274445E-2</c:v>
                </c:pt>
                <c:pt idx="603">
                  <c:v>4.5884760715732005E-2</c:v>
                </c:pt>
                <c:pt idx="604">
                  <c:v>4.3990178849383554E-2</c:v>
                </c:pt>
                <c:pt idx="605">
                  <c:v>4.5046410312973309E-2</c:v>
                </c:pt>
                <c:pt idx="606">
                  <c:v>4.0364754449336931E-2</c:v>
                </c:pt>
                <c:pt idx="607">
                  <c:v>4.3624443532631584E-2</c:v>
                </c:pt>
                <c:pt idx="608">
                  <c:v>3.695262626795074E-2</c:v>
                </c:pt>
                <c:pt idx="609">
                  <c:v>3.8959850093104133E-2</c:v>
                </c:pt>
                <c:pt idx="610">
                  <c:v>3.508269435241447E-2</c:v>
                </c:pt>
                <c:pt idx="611">
                  <c:v>3.1459896874995126E-2</c:v>
                </c:pt>
                <c:pt idx="612">
                  <c:v>3.9213809964193186E-2</c:v>
                </c:pt>
                <c:pt idx="613">
                  <c:v>3.1009136377896488E-2</c:v>
                </c:pt>
                <c:pt idx="614">
                  <c:v>4.4494339144978357E-2</c:v>
                </c:pt>
                <c:pt idx="615">
                  <c:v>4.7910232390692656E-2</c:v>
                </c:pt>
                <c:pt idx="616">
                  <c:v>3.2902110465112495E-2</c:v>
                </c:pt>
                <c:pt idx="617">
                  <c:v>4.7806974581179634E-2</c:v>
                </c:pt>
                <c:pt idx="618">
                  <c:v>5.4969603206094279E-2</c:v>
                </c:pt>
                <c:pt idx="619">
                  <c:v>4.3943893769890982E-2</c:v>
                </c:pt>
                <c:pt idx="620">
                  <c:v>3.6227055680701781E-2</c:v>
                </c:pt>
                <c:pt idx="621">
                  <c:v>4.1064204282116878E-2</c:v>
                </c:pt>
                <c:pt idx="622">
                  <c:v>4.2077287727233792E-2</c:v>
                </c:pt>
                <c:pt idx="623">
                  <c:v>3.771322033653611E-2</c:v>
                </c:pt>
                <c:pt idx="624">
                  <c:v>4.4301630295323975E-2</c:v>
                </c:pt>
                <c:pt idx="625">
                  <c:v>3.9654121797995379E-2</c:v>
                </c:pt>
                <c:pt idx="626">
                  <c:v>3.8495697833173248E-2</c:v>
                </c:pt>
                <c:pt idx="627">
                  <c:v>3.7711678156089896E-2</c:v>
                </c:pt>
                <c:pt idx="628">
                  <c:v>3.8921415073536705E-2</c:v>
                </c:pt>
                <c:pt idx="629">
                  <c:v>4.6951095868826564E-2</c:v>
                </c:pt>
                <c:pt idx="630">
                  <c:v>3.9227541030923338E-2</c:v>
                </c:pt>
                <c:pt idx="631">
                  <c:v>3.6059031413379489E-2</c:v>
                </c:pt>
                <c:pt idx="632">
                  <c:v>3.7752891397955318E-2</c:v>
                </c:pt>
                <c:pt idx="633">
                  <c:v>3.7362433372661201E-2</c:v>
                </c:pt>
                <c:pt idx="634">
                  <c:v>3.6037374019637941E-2</c:v>
                </c:pt>
                <c:pt idx="635">
                  <c:v>3.6974932624343794E-2</c:v>
                </c:pt>
                <c:pt idx="636">
                  <c:v>3.584900328670939E-2</c:v>
                </c:pt>
                <c:pt idx="637">
                  <c:v>3.5310005681646085E-2</c:v>
                </c:pt>
                <c:pt idx="638">
                  <c:v>4.0170559148984368E-2</c:v>
                </c:pt>
                <c:pt idx="639">
                  <c:v>4.0170559148984347E-2</c:v>
                </c:pt>
                <c:pt idx="640">
                  <c:v>3.8901394656676656E-2</c:v>
                </c:pt>
                <c:pt idx="641">
                  <c:v>3.8820676875800153E-2</c:v>
                </c:pt>
                <c:pt idx="642">
                  <c:v>3.6714356506412402E-2</c:v>
                </c:pt>
                <c:pt idx="643">
                  <c:v>3.7857735786061504E-2</c:v>
                </c:pt>
                <c:pt idx="644">
                  <c:v>3.6815609766438877E-2</c:v>
                </c:pt>
                <c:pt idx="645">
                  <c:v>3.8387977907185372E-2</c:v>
                </c:pt>
                <c:pt idx="646">
                  <c:v>3.6997573617058792E-2</c:v>
                </c:pt>
                <c:pt idx="647">
                  <c:v>3.8567450617058782E-2</c:v>
                </c:pt>
                <c:pt idx="648">
                  <c:v>4.022588325528164E-2</c:v>
                </c:pt>
                <c:pt idx="649">
                  <c:v>4.0617194915583146E-2</c:v>
                </c:pt>
                <c:pt idx="650">
                  <c:v>3.9794822463635096E-2</c:v>
                </c:pt>
                <c:pt idx="651">
                  <c:v>3.9638538534926937E-2</c:v>
                </c:pt>
                <c:pt idx="652">
                  <c:v>3.6254137881312487E-2</c:v>
                </c:pt>
                <c:pt idx="653">
                  <c:v>3.9345964150854271E-2</c:v>
                </c:pt>
                <c:pt idx="654">
                  <c:v>3.7403905359734597E-2</c:v>
                </c:pt>
                <c:pt idx="655">
                  <c:v>3.5234369320418353E-2</c:v>
                </c:pt>
                <c:pt idx="656">
                  <c:v>3.837325390041834E-2</c:v>
                </c:pt>
                <c:pt idx="657">
                  <c:v>3.9130433351467299E-2</c:v>
                </c:pt>
                <c:pt idx="658">
                  <c:v>4.0980521469416012E-2</c:v>
                </c:pt>
                <c:pt idx="659">
                  <c:v>4.0936302971613804E-2</c:v>
                </c:pt>
                <c:pt idx="660">
                  <c:v>3.9573733534404493E-2</c:v>
                </c:pt>
                <c:pt idx="661">
                  <c:v>4.27599504719045E-2</c:v>
                </c:pt>
                <c:pt idx="662">
                  <c:v>3.2269356962587759E-2</c:v>
                </c:pt>
                <c:pt idx="663">
                  <c:v>3.6665854158055171E-2</c:v>
                </c:pt>
                <c:pt idx="664">
                  <c:v>2.5294715581442879E-2</c:v>
                </c:pt>
                <c:pt idx="665">
                  <c:v>2.3467726084051566E-2</c:v>
                </c:pt>
                <c:pt idx="666">
                  <c:v>1.7154616861152067E-2</c:v>
                </c:pt>
                <c:pt idx="667">
                  <c:v>1.3873294071152063E-2</c:v>
                </c:pt>
                <c:pt idx="668">
                  <c:v>1.2881095071152069E-2</c:v>
                </c:pt>
                <c:pt idx="669">
                  <c:v>1.0108922193161627E-2</c:v>
                </c:pt>
                <c:pt idx="670">
                  <c:v>1.1927272025247184E-2</c:v>
                </c:pt>
                <c:pt idx="671">
                  <c:v>1.1302796717337582E-2</c:v>
                </c:pt>
                <c:pt idx="672">
                  <c:v>1.415729863515135E-2</c:v>
                </c:pt>
                <c:pt idx="673">
                  <c:v>1.2799856244193898E-2</c:v>
                </c:pt>
                <c:pt idx="674">
                  <c:v>-2.7201002590414834E-4</c:v>
                </c:pt>
                <c:pt idx="675">
                  <c:v>4.3113600120520627E-3</c:v>
                </c:pt>
                <c:pt idx="676">
                  <c:v>-5.0630744963268111E-3</c:v>
                </c:pt>
                <c:pt idx="677">
                  <c:v>2.3401403957867646E-3</c:v>
                </c:pt>
                <c:pt idx="678">
                  <c:v>2.6359475197432038E-3</c:v>
                </c:pt>
                <c:pt idx="679">
                  <c:v>7.9433378543226369E-3</c:v>
                </c:pt>
                <c:pt idx="680">
                  <c:v>1.6794867232380922E-3</c:v>
                </c:pt>
                <c:pt idx="681">
                  <c:v>-4.6585250307345106E-3</c:v>
                </c:pt>
                <c:pt idx="682">
                  <c:v>-1.087210596851227E-2</c:v>
                </c:pt>
                <c:pt idx="683">
                  <c:v>-9.0799180383812662E-3</c:v>
                </c:pt>
                <c:pt idx="684">
                  <c:v>-8.4774280117146054E-3</c:v>
                </c:pt>
                <c:pt idx="685">
                  <c:v>-4.9935838763131455E-3</c:v>
                </c:pt>
                <c:pt idx="686">
                  <c:v>-1.1005582509820998E-2</c:v>
                </c:pt>
                <c:pt idx="687">
                  <c:v>4.0785287466044116E-3</c:v>
                </c:pt>
                <c:pt idx="688">
                  <c:v>2.0476526434965465E-3</c:v>
                </c:pt>
                <c:pt idx="689">
                  <c:v>2.4670759637346407E-3</c:v>
                </c:pt>
                <c:pt idx="690">
                  <c:v>1.9390628301497329E-3</c:v>
                </c:pt>
                <c:pt idx="691">
                  <c:v>8.9652938015216573E-3</c:v>
                </c:pt>
                <c:pt idx="692">
                  <c:v>1.0139429964721662E-2</c:v>
                </c:pt>
                <c:pt idx="693">
                  <c:v>1.0323276719414218E-2</c:v>
                </c:pt>
                <c:pt idx="694">
                  <c:v>6.3478538944142194E-3</c:v>
                </c:pt>
                <c:pt idx="695">
                  <c:v>5.9384447631642256E-3</c:v>
                </c:pt>
                <c:pt idx="696">
                  <c:v>6.1718067631642212E-3</c:v>
                </c:pt>
                <c:pt idx="697">
                  <c:v>3.8907229127509973E-3</c:v>
                </c:pt>
                <c:pt idx="698">
                  <c:v>6.1986814829989223E-3</c:v>
                </c:pt>
                <c:pt idx="699">
                  <c:v>7.7186638185129429E-3</c:v>
                </c:pt>
                <c:pt idx="700">
                  <c:v>8.2537424936837828E-3</c:v>
                </c:pt>
                <c:pt idx="701">
                  <c:v>7.1428445882613318E-3</c:v>
                </c:pt>
                <c:pt idx="702">
                  <c:v>5.8237422455794689E-3</c:v>
                </c:pt>
                <c:pt idx="703">
                  <c:v>1.0079971470918832E-2</c:v>
                </c:pt>
                <c:pt idx="704">
                  <c:v>1.1881870257184124E-2</c:v>
                </c:pt>
                <c:pt idx="705">
                  <c:v>1.1028526242246366E-2</c:v>
                </c:pt>
                <c:pt idx="706">
                  <c:v>1.1582524689204248E-2</c:v>
                </c:pt>
                <c:pt idx="707">
                  <c:v>1.0502233037056108E-2</c:v>
                </c:pt>
                <c:pt idx="708">
                  <c:v>7.9474297944400647E-3</c:v>
                </c:pt>
                <c:pt idx="709">
                  <c:v>1.012267510454893E-2</c:v>
                </c:pt>
                <c:pt idx="710">
                  <c:v>7.4197105219173448E-3</c:v>
                </c:pt>
                <c:pt idx="711">
                  <c:v>5.9184065102385105E-3</c:v>
                </c:pt>
                <c:pt idx="712">
                  <c:v>5.8107125442844309E-3</c:v>
                </c:pt>
                <c:pt idx="713">
                  <c:v>6.6676122510890027E-3</c:v>
                </c:pt>
                <c:pt idx="714">
                  <c:v>4.0151532867124242E-3</c:v>
                </c:pt>
                <c:pt idx="715">
                  <c:v>4.4706212508633597E-3</c:v>
                </c:pt>
                <c:pt idx="716">
                  <c:v>8.8827739081203294E-4</c:v>
                </c:pt>
                <c:pt idx="717">
                  <c:v>-2.8029743514818737E-3</c:v>
                </c:pt>
                <c:pt idx="718">
                  <c:v>-6.4392627162902297E-3</c:v>
                </c:pt>
                <c:pt idx="719">
                  <c:v>-8.1322327772225447E-3</c:v>
                </c:pt>
                <c:pt idx="720">
                  <c:v>-1.0012978185987481E-2</c:v>
                </c:pt>
                <c:pt idx="721">
                  <c:v>-5.8158288364420288E-3</c:v>
                </c:pt>
                <c:pt idx="722">
                  <c:v>-7.9322666143290099E-3</c:v>
                </c:pt>
                <c:pt idx="723">
                  <c:v>-9.7248468145312416E-3</c:v>
                </c:pt>
                <c:pt idx="724">
                  <c:v>-1.502738815440465E-2</c:v>
                </c:pt>
                <c:pt idx="725">
                  <c:v>-1.4121729504404651E-2</c:v>
                </c:pt>
                <c:pt idx="726">
                  <c:v>-1.39493498900182E-2</c:v>
                </c:pt>
                <c:pt idx="727">
                  <c:v>-1.7296939636574034E-2</c:v>
                </c:pt>
                <c:pt idx="728">
                  <c:v>-2.044728066084588E-2</c:v>
                </c:pt>
                <c:pt idx="729">
                  <c:v>-2.2807339429777907E-2</c:v>
                </c:pt>
                <c:pt idx="730">
                  <c:v>-2.5349407292990331E-2</c:v>
                </c:pt>
                <c:pt idx="731">
                  <c:v>-2.8871083536312785E-2</c:v>
                </c:pt>
                <c:pt idx="732">
                  <c:v>-2.8194892966312776E-2</c:v>
                </c:pt>
                <c:pt idx="733">
                  <c:v>-2.9148090330709055E-2</c:v>
                </c:pt>
                <c:pt idx="734">
                  <c:v>-2.9340961438663597E-2</c:v>
                </c:pt>
                <c:pt idx="735">
                  <c:v>-2.9641446848106691E-2</c:v>
                </c:pt>
                <c:pt idx="736">
                  <c:v>-2.8696992943940024E-2</c:v>
                </c:pt>
                <c:pt idx="737">
                  <c:v>-2.8999975939654303E-2</c:v>
                </c:pt>
                <c:pt idx="738">
                  <c:v>-2.9309941055348464E-2</c:v>
                </c:pt>
                <c:pt idx="739">
                  <c:v>-2.986472520233642E-2</c:v>
                </c:pt>
                <c:pt idx="740">
                  <c:v>-2.7418817339048739E-2</c:v>
                </c:pt>
                <c:pt idx="741">
                  <c:v>-2.8563716375206924E-2</c:v>
                </c:pt>
                <c:pt idx="742">
                  <c:v>-3.0209228114264165E-2</c:v>
                </c:pt>
                <c:pt idx="743">
                  <c:v>-3.1700904501764167E-2</c:v>
                </c:pt>
                <c:pt idx="744">
                  <c:v>-3.1507626202541071E-2</c:v>
                </c:pt>
                <c:pt idx="745">
                  <c:v>-3.5126319063199643E-2</c:v>
                </c:pt>
                <c:pt idx="746">
                  <c:v>-3.4027369134897768E-2</c:v>
                </c:pt>
                <c:pt idx="747">
                  <c:v>-3.4239465247800999E-2</c:v>
                </c:pt>
                <c:pt idx="748">
                  <c:v>-3.2666241547800991E-2</c:v>
                </c:pt>
                <c:pt idx="749">
                  <c:v>-3.5394334600432578E-2</c:v>
                </c:pt>
                <c:pt idx="750">
                  <c:v>-3.397720847370448E-2</c:v>
                </c:pt>
                <c:pt idx="751">
                  <c:v>-3.1172247613486498E-2</c:v>
                </c:pt>
                <c:pt idx="752">
                  <c:v>-2.7614954543806639E-2</c:v>
                </c:pt>
                <c:pt idx="753">
                  <c:v>-2.8887950096254188E-2</c:v>
                </c:pt>
                <c:pt idx="754">
                  <c:v>-2.8361366939587521E-2</c:v>
                </c:pt>
                <c:pt idx="755">
                  <c:v>-2.8457903336139245E-2</c:v>
                </c:pt>
                <c:pt idx="756">
                  <c:v>-2.930419817093137E-2</c:v>
                </c:pt>
                <c:pt idx="757">
                  <c:v>-2.8301653740874656E-2</c:v>
                </c:pt>
                <c:pt idx="758">
                  <c:v>-2.8936230601471664E-2</c:v>
                </c:pt>
                <c:pt idx="759">
                  <c:v>-2.8010450248826819E-2</c:v>
                </c:pt>
                <c:pt idx="760">
                  <c:v>-2.9048134498508349E-2</c:v>
                </c:pt>
                <c:pt idx="761">
                  <c:v>-2.9048134498508352E-2</c:v>
                </c:pt>
                <c:pt idx="762">
                  <c:v>-2.9399565842037761E-2</c:v>
                </c:pt>
                <c:pt idx="763">
                  <c:v>-2.9316570829096583E-2</c:v>
                </c:pt>
                <c:pt idx="764">
                  <c:v>-2.9326991819324601E-2</c:v>
                </c:pt>
                <c:pt idx="765">
                  <c:v>-2.9443741247708884E-2</c:v>
                </c:pt>
                <c:pt idx="766">
                  <c:v>-2.8869392221193727E-2</c:v>
                </c:pt>
                <c:pt idx="767">
                  <c:v>-2.8092547178133226E-2</c:v>
                </c:pt>
                <c:pt idx="768">
                  <c:v>-2.8667116442839105E-2</c:v>
                </c:pt>
                <c:pt idx="769">
                  <c:v>-2.7717031328120489E-2</c:v>
                </c:pt>
                <c:pt idx="770">
                  <c:v>-2.8928776118724513E-2</c:v>
                </c:pt>
                <c:pt idx="771">
                  <c:v>-2.8482530195195102E-2</c:v>
                </c:pt>
                <c:pt idx="772">
                  <c:v>-2.9638544126623676E-2</c:v>
                </c:pt>
                <c:pt idx="773">
                  <c:v>-2.8103752235534567E-2</c:v>
                </c:pt>
                <c:pt idx="774">
                  <c:v>-2.6191334632663755E-2</c:v>
                </c:pt>
                <c:pt idx="775">
                  <c:v>-2.6428778355193399E-2</c:v>
                </c:pt>
                <c:pt idx="776">
                  <c:v>-2.5172699034565593E-2</c:v>
                </c:pt>
                <c:pt idx="777">
                  <c:v>-2.4796850585427663E-2</c:v>
                </c:pt>
                <c:pt idx="778">
                  <c:v>-2.4855255164973115E-2</c:v>
                </c:pt>
                <c:pt idx="779">
                  <c:v>-2.4792901188749342E-2</c:v>
                </c:pt>
                <c:pt idx="780">
                  <c:v>-2.5029772376924154E-2</c:v>
                </c:pt>
                <c:pt idx="781">
                  <c:v>-2.4487103970726971E-2</c:v>
                </c:pt>
                <c:pt idx="782">
                  <c:v>-2.4893518733558832E-2</c:v>
                </c:pt>
                <c:pt idx="783">
                  <c:v>-2.4730178536552849E-2</c:v>
                </c:pt>
                <c:pt idx="784">
                  <c:v>-2.5419776167857205E-2</c:v>
                </c:pt>
                <c:pt idx="785">
                  <c:v>-2.5490198342275807E-2</c:v>
                </c:pt>
                <c:pt idx="786">
                  <c:v>-2.4610018139607046E-2</c:v>
                </c:pt>
                <c:pt idx="787">
                  <c:v>-2.5231094491458893E-2</c:v>
                </c:pt>
                <c:pt idx="788">
                  <c:v>-2.3906727849373227E-2</c:v>
                </c:pt>
                <c:pt idx="789">
                  <c:v>-2.4248864231319452E-2</c:v>
                </c:pt>
                <c:pt idx="790">
                  <c:v>-2.5088262770179559E-2</c:v>
                </c:pt>
                <c:pt idx="791">
                  <c:v>-2.6786759621783059E-2</c:v>
                </c:pt>
                <c:pt idx="792">
                  <c:v>-2.6360089155116388E-2</c:v>
                </c:pt>
                <c:pt idx="793">
                  <c:v>-2.7860797235193014E-2</c:v>
                </c:pt>
                <c:pt idx="794">
                  <c:v>-2.9172767735193013E-2</c:v>
                </c:pt>
                <c:pt idx="795">
                  <c:v>-3.1105608534295056E-2</c:v>
                </c:pt>
                <c:pt idx="796">
                  <c:v>-3.0182184403227098E-2</c:v>
                </c:pt>
                <c:pt idx="797">
                  <c:v>-3.0991446789192013E-2</c:v>
                </c:pt>
                <c:pt idx="798">
                  <c:v>-3.0701367148080905E-2</c:v>
                </c:pt>
                <c:pt idx="799">
                  <c:v>-2.8163249557171817E-2</c:v>
                </c:pt>
                <c:pt idx="800">
                  <c:v>-2.8020366347966803E-2</c:v>
                </c:pt>
                <c:pt idx="801">
                  <c:v>-2.8906313447966802E-2</c:v>
                </c:pt>
                <c:pt idx="802">
                  <c:v>-2.7116147397670945E-2</c:v>
                </c:pt>
                <c:pt idx="803">
                  <c:v>-2.6277484140528093E-2</c:v>
                </c:pt>
                <c:pt idx="804">
                  <c:v>-2.6185691254441132E-2</c:v>
                </c:pt>
                <c:pt idx="805">
                  <c:v>-2.4285417298328275E-2</c:v>
                </c:pt>
                <c:pt idx="806">
                  <c:v>-2.6844196352244495E-2</c:v>
                </c:pt>
                <c:pt idx="807">
                  <c:v>-2.5109506082244493E-2</c:v>
                </c:pt>
                <c:pt idx="808">
                  <c:v>-2.5503990137800046E-2</c:v>
                </c:pt>
                <c:pt idx="809">
                  <c:v>-2.4113607076698202E-2</c:v>
                </c:pt>
                <c:pt idx="810">
                  <c:v>-2.5995304008103161E-2</c:v>
                </c:pt>
                <c:pt idx="811">
                  <c:v>-2.5966358629531734E-2</c:v>
                </c:pt>
                <c:pt idx="812">
                  <c:v>-2.4784391907170373E-2</c:v>
                </c:pt>
                <c:pt idx="813">
                  <c:v>-2.6986085073837037E-2</c:v>
                </c:pt>
                <c:pt idx="814">
                  <c:v>-2.6986085073837016E-2</c:v>
                </c:pt>
                <c:pt idx="815">
                  <c:v>-3.1759750280586571E-2</c:v>
                </c:pt>
                <c:pt idx="816">
                  <c:v>-3.4058547477274471E-2</c:v>
                </c:pt>
                <c:pt idx="817">
                  <c:v>-3.3797370577815018E-2</c:v>
                </c:pt>
                <c:pt idx="818">
                  <c:v>-3.3506072146905923E-2</c:v>
                </c:pt>
                <c:pt idx="819">
                  <c:v>-3.406850422662943E-2</c:v>
                </c:pt>
                <c:pt idx="820">
                  <c:v>-3.3827641183015719E-2</c:v>
                </c:pt>
                <c:pt idx="821">
                  <c:v>-3.4897471704754858E-2</c:v>
                </c:pt>
                <c:pt idx="822">
                  <c:v>-3.5523202631392414E-2</c:v>
                </c:pt>
                <c:pt idx="823">
                  <c:v>-3.2610580784801502E-2</c:v>
                </c:pt>
                <c:pt idx="824">
                  <c:v>-3.4950299493868166E-2</c:v>
                </c:pt>
                <c:pt idx="825">
                  <c:v>-3.2522364238012302E-2</c:v>
                </c:pt>
                <c:pt idx="826">
                  <c:v>-3.4512848597422735E-2</c:v>
                </c:pt>
                <c:pt idx="827">
                  <c:v>-3.5260703508089401E-2</c:v>
                </c:pt>
                <c:pt idx="828">
                  <c:v>-3.3449846885867184E-2</c:v>
                </c:pt>
                <c:pt idx="829">
                  <c:v>-3.2465505134102478E-2</c:v>
                </c:pt>
                <c:pt idx="830">
                  <c:v>-3.2497254485501975E-2</c:v>
                </c:pt>
                <c:pt idx="831">
                  <c:v>-3.2689799307862213E-2</c:v>
                </c:pt>
                <c:pt idx="832">
                  <c:v>-3.1846656507862205E-2</c:v>
                </c:pt>
                <c:pt idx="833">
                  <c:v>-3.0712202452263748E-2</c:v>
                </c:pt>
                <c:pt idx="834">
                  <c:v>-3.1296144989825934E-2</c:v>
                </c:pt>
                <c:pt idx="835">
                  <c:v>-3.0906024936634437E-2</c:v>
                </c:pt>
                <c:pt idx="836">
                  <c:v>-3.1231478504158555E-2</c:v>
                </c:pt>
                <c:pt idx="837">
                  <c:v>-3.1575461875718192E-2</c:v>
                </c:pt>
                <c:pt idx="838">
                  <c:v>-3.0946015189511299E-2</c:v>
                </c:pt>
                <c:pt idx="839">
                  <c:v>-3.0638489919662056E-2</c:v>
                </c:pt>
                <c:pt idx="840">
                  <c:v>-3.0764638641466568E-2</c:v>
                </c:pt>
                <c:pt idx="841">
                  <c:v>-2.983251853293576E-2</c:v>
                </c:pt>
                <c:pt idx="842">
                  <c:v>-3.1059146409126236E-2</c:v>
                </c:pt>
                <c:pt idx="843">
                  <c:v>-3.3848147489887764E-2</c:v>
                </c:pt>
                <c:pt idx="844">
                  <c:v>-3.5916659912615029E-2</c:v>
                </c:pt>
                <c:pt idx="845">
                  <c:v>-3.4828391058448357E-2</c:v>
                </c:pt>
                <c:pt idx="846">
                  <c:v>-3.6537004278306522E-2</c:v>
                </c:pt>
                <c:pt idx="847">
                  <c:v>-3.6985098720542543E-2</c:v>
                </c:pt>
                <c:pt idx="848">
                  <c:v>-3.7632924476173939E-2</c:v>
                </c:pt>
                <c:pt idx="849">
                  <c:v>-3.8266070756346353E-2</c:v>
                </c:pt>
                <c:pt idx="850">
                  <c:v>-3.7095463670265769E-2</c:v>
                </c:pt>
                <c:pt idx="851">
                  <c:v>-3.8225476359154652E-2</c:v>
                </c:pt>
                <c:pt idx="852">
                  <c:v>-3.825327482279102E-2</c:v>
                </c:pt>
                <c:pt idx="853">
                  <c:v>-3.8723223147791017E-2</c:v>
                </c:pt>
                <c:pt idx="854">
                  <c:v>-3.8582109429609199E-2</c:v>
                </c:pt>
                <c:pt idx="855">
                  <c:v>-3.8690224852341686E-2</c:v>
                </c:pt>
                <c:pt idx="856">
                  <c:v>-3.9323742854597325E-2</c:v>
                </c:pt>
                <c:pt idx="857">
                  <c:v>-3.8478486899269262E-2</c:v>
                </c:pt>
                <c:pt idx="858">
                  <c:v>-3.7804318808524348E-2</c:v>
                </c:pt>
                <c:pt idx="859">
                  <c:v>-3.6198482667180142E-2</c:v>
                </c:pt>
                <c:pt idx="860">
                  <c:v>-3.5822930641557373E-2</c:v>
                </c:pt>
                <c:pt idx="861">
                  <c:v>-3.6154358997242488E-2</c:v>
                </c:pt>
                <c:pt idx="862">
                  <c:v>-3.721498883158593E-2</c:v>
                </c:pt>
                <c:pt idx="863">
                  <c:v>-3.89340449073435E-2</c:v>
                </c:pt>
                <c:pt idx="864">
                  <c:v>-3.892036222373197E-2</c:v>
                </c:pt>
                <c:pt idx="865">
                  <c:v>-3.9000258868040913E-2</c:v>
                </c:pt>
                <c:pt idx="866">
                  <c:v>-3.8827494198686072E-2</c:v>
                </c:pt>
                <c:pt idx="867">
                  <c:v>-3.9167415817497948E-2</c:v>
                </c:pt>
                <c:pt idx="868">
                  <c:v>-3.932195180719894E-2</c:v>
                </c:pt>
                <c:pt idx="869">
                  <c:v>-3.8564410476078607E-2</c:v>
                </c:pt>
                <c:pt idx="870">
                  <c:v>-3.9744846735330172E-2</c:v>
                </c:pt>
                <c:pt idx="871">
                  <c:v>-3.9422225622308057E-2</c:v>
                </c:pt>
                <c:pt idx="872">
                  <c:v>-3.9667894669927102E-2</c:v>
                </c:pt>
                <c:pt idx="873">
                  <c:v>-3.9779025835609758E-2</c:v>
                </c:pt>
                <c:pt idx="874">
                  <c:v>-4.050556009640003E-2</c:v>
                </c:pt>
                <c:pt idx="875">
                  <c:v>-3.9884179278767792E-2</c:v>
                </c:pt>
                <c:pt idx="876">
                  <c:v>-4.0018101712275642E-2</c:v>
                </c:pt>
                <c:pt idx="877">
                  <c:v>-3.9499757097187921E-2</c:v>
                </c:pt>
                <c:pt idx="878">
                  <c:v>-3.7882086877833079E-2</c:v>
                </c:pt>
                <c:pt idx="879">
                  <c:v>-3.8383690158127204E-2</c:v>
                </c:pt>
                <c:pt idx="880">
                  <c:v>-3.8766781278867936E-2</c:v>
                </c:pt>
                <c:pt idx="881">
                  <c:v>-3.8687747654242668E-2</c:v>
                </c:pt>
                <c:pt idx="882">
                  <c:v>-3.9445025917507974E-2</c:v>
                </c:pt>
                <c:pt idx="883">
                  <c:v>-4.0606208494474265E-2</c:v>
                </c:pt>
                <c:pt idx="884">
                  <c:v>-3.9782267040265509E-2</c:v>
                </c:pt>
                <c:pt idx="885">
                  <c:v>-3.987665507780818E-2</c:v>
                </c:pt>
                <c:pt idx="886">
                  <c:v>-3.9848046340598887E-2</c:v>
                </c:pt>
                <c:pt idx="887">
                  <c:v>-3.832400919147607E-2</c:v>
                </c:pt>
                <c:pt idx="888">
                  <c:v>-3.926230587790823E-2</c:v>
                </c:pt>
                <c:pt idx="889">
                  <c:v>-3.9586628684062077E-2</c:v>
                </c:pt>
                <c:pt idx="890">
                  <c:v>-3.991014141531208E-2</c:v>
                </c:pt>
                <c:pt idx="891">
                  <c:v>-4.0434306042884095E-2</c:v>
                </c:pt>
                <c:pt idx="892">
                  <c:v>-3.9597910644270581E-2</c:v>
                </c:pt>
                <c:pt idx="893">
                  <c:v>-3.9030526566451951E-2</c:v>
                </c:pt>
                <c:pt idx="894">
                  <c:v>-3.9239818593118619E-2</c:v>
                </c:pt>
                <c:pt idx="895">
                  <c:v>-3.9431994026212142E-2</c:v>
                </c:pt>
                <c:pt idx="896">
                  <c:v>-4.094337869983361E-2</c:v>
                </c:pt>
                <c:pt idx="897">
                  <c:v>-4.1724086594407253E-2</c:v>
                </c:pt>
                <c:pt idx="898">
                  <c:v>-3.9103642083869142E-2</c:v>
                </c:pt>
                <c:pt idx="899">
                  <c:v>-3.6446577957446886E-2</c:v>
                </c:pt>
                <c:pt idx="900">
                  <c:v>-3.2675655257446881E-2</c:v>
                </c:pt>
                <c:pt idx="901">
                  <c:v>-3.2644198759846893E-2</c:v>
                </c:pt>
                <c:pt idx="902">
                  <c:v>-3.1032544508882719E-2</c:v>
                </c:pt>
                <c:pt idx="903">
                  <c:v>-3.4069270296999993E-2</c:v>
                </c:pt>
                <c:pt idx="904">
                  <c:v>-3.2615867045618793E-2</c:v>
                </c:pt>
                <c:pt idx="905">
                  <c:v>-2.9551838258888928E-2</c:v>
                </c:pt>
                <c:pt idx="906">
                  <c:v>-2.6626934000268252E-2</c:v>
                </c:pt>
                <c:pt idx="907">
                  <c:v>-2.3498824090323511E-2</c:v>
                </c:pt>
                <c:pt idx="908">
                  <c:v>-2.3561981663262201E-2</c:v>
                </c:pt>
                <c:pt idx="909">
                  <c:v>-2.1711672865195427E-2</c:v>
                </c:pt>
                <c:pt idx="910">
                  <c:v>-2.2525532620913186E-2</c:v>
                </c:pt>
                <c:pt idx="911">
                  <c:v>-1.8349616493616598E-2</c:v>
                </c:pt>
                <c:pt idx="912">
                  <c:v>-1.6826065228910704E-2</c:v>
                </c:pt>
                <c:pt idx="913">
                  <c:v>-1.5370345002417199E-2</c:v>
                </c:pt>
                <c:pt idx="914">
                  <c:v>-1.0429939045643006E-2</c:v>
                </c:pt>
                <c:pt idx="915">
                  <c:v>-1.3039283992284798E-2</c:v>
                </c:pt>
                <c:pt idx="916">
                  <c:v>-8.2878276477498375E-3</c:v>
                </c:pt>
                <c:pt idx="917">
                  <c:v>-6.7452042339036988E-3</c:v>
                </c:pt>
                <c:pt idx="918">
                  <c:v>-1.3039862183172544E-2</c:v>
                </c:pt>
                <c:pt idx="919">
                  <c:v>-1.5150994781124765E-2</c:v>
                </c:pt>
                <c:pt idx="920">
                  <c:v>-1.4365545441083902E-2</c:v>
                </c:pt>
                <c:pt idx="921">
                  <c:v>-1.2766414641764165E-2</c:v>
                </c:pt>
                <c:pt idx="922">
                  <c:v>-1.8339274612249067E-2</c:v>
                </c:pt>
                <c:pt idx="923">
                  <c:v>-2.075489030098918E-2</c:v>
                </c:pt>
                <c:pt idx="924">
                  <c:v>-2.3038542754692876E-2</c:v>
                </c:pt>
                <c:pt idx="925">
                  <c:v>-2.164161081955775E-2</c:v>
                </c:pt>
                <c:pt idx="926">
                  <c:v>-3.1342822413366056E-2</c:v>
                </c:pt>
                <c:pt idx="927">
                  <c:v>-2.7542846162359347E-2</c:v>
                </c:pt>
                <c:pt idx="928">
                  <c:v>-2.8443775767487547E-2</c:v>
                </c:pt>
                <c:pt idx="929">
                  <c:v>-2.5509684005707443E-2</c:v>
                </c:pt>
                <c:pt idx="930">
                  <c:v>-2.4709544967647282E-2</c:v>
                </c:pt>
                <c:pt idx="931">
                  <c:v>-2.7292560092734154E-2</c:v>
                </c:pt>
                <c:pt idx="932">
                  <c:v>-2.2926462584688185E-2</c:v>
                </c:pt>
                <c:pt idx="933">
                  <c:v>-1.8241854788486344E-2</c:v>
                </c:pt>
                <c:pt idx="934">
                  <c:v>-1.8518089256567827E-2</c:v>
                </c:pt>
                <c:pt idx="935">
                  <c:v>-1.8456652693451463E-2</c:v>
                </c:pt>
                <c:pt idx="936">
                  <c:v>-2.2251247937044995E-2</c:v>
                </c:pt>
                <c:pt idx="937">
                  <c:v>-2.2994999401833728E-2</c:v>
                </c:pt>
                <c:pt idx="938">
                  <c:v>-2.3187929966069012E-2</c:v>
                </c:pt>
                <c:pt idx="939">
                  <c:v>-2.0580220674790525E-2</c:v>
                </c:pt>
                <c:pt idx="940">
                  <c:v>-2.5810838506193357E-2</c:v>
                </c:pt>
                <c:pt idx="941">
                  <c:v>-2.38370491655071E-2</c:v>
                </c:pt>
                <c:pt idx="942">
                  <c:v>-3.0847060384673757E-2</c:v>
                </c:pt>
                <c:pt idx="943">
                  <c:v>-2.5210822281974032E-2</c:v>
                </c:pt>
                <c:pt idx="944">
                  <c:v>-3.1394693618434319E-2</c:v>
                </c:pt>
                <c:pt idx="945">
                  <c:v>-3.2898187797504086E-2</c:v>
                </c:pt>
                <c:pt idx="946">
                  <c:v>-2.9543732388429673E-2</c:v>
                </c:pt>
                <c:pt idx="947">
                  <c:v>-2.5148129953696828E-2</c:v>
                </c:pt>
                <c:pt idx="948">
                  <c:v>-2.0004890702590618E-2</c:v>
                </c:pt>
                <c:pt idx="949">
                  <c:v>-1.7794723873003859E-2</c:v>
                </c:pt>
                <c:pt idx="950">
                  <c:v>-1.2937468604918748E-2</c:v>
                </c:pt>
                <c:pt idx="951">
                  <c:v>-2.2440030085024831E-2</c:v>
                </c:pt>
                <c:pt idx="952">
                  <c:v>-2.2235153930691191E-2</c:v>
                </c:pt>
                <c:pt idx="953">
                  <c:v>-1.8798460800785923E-2</c:v>
                </c:pt>
                <c:pt idx="954">
                  <c:v>-1.6926972482753124E-2</c:v>
                </c:pt>
                <c:pt idx="955">
                  <c:v>-1.5539189221103334E-2</c:v>
                </c:pt>
                <c:pt idx="956">
                  <c:v>-1.7515313824516314E-2</c:v>
                </c:pt>
                <c:pt idx="957">
                  <c:v>-1.8463286480424088E-2</c:v>
                </c:pt>
                <c:pt idx="958">
                  <c:v>-1.5730145720041916E-2</c:v>
                </c:pt>
                <c:pt idx="959">
                  <c:v>-1.022367671989164E-2</c:v>
                </c:pt>
                <c:pt idx="960">
                  <c:v>-1.6563299807595407E-2</c:v>
                </c:pt>
                <c:pt idx="961">
                  <c:v>-1.7913060685720395E-2</c:v>
                </c:pt>
                <c:pt idx="962">
                  <c:v>-1.92134988423469E-2</c:v>
                </c:pt>
                <c:pt idx="963">
                  <c:v>-2.2098415659859774E-2</c:v>
                </c:pt>
                <c:pt idx="964">
                  <c:v>-2.0681386127875966E-2</c:v>
                </c:pt>
                <c:pt idx="965">
                  <c:v>-2.1972414680241911E-2</c:v>
                </c:pt>
                <c:pt idx="966">
                  <c:v>-2.6017398844889704E-2</c:v>
                </c:pt>
                <c:pt idx="967">
                  <c:v>-2.7926089846301894E-2</c:v>
                </c:pt>
                <c:pt idx="968">
                  <c:v>-2.8497111356446832E-2</c:v>
                </c:pt>
                <c:pt idx="969">
                  <c:v>-2.5901788011340875E-2</c:v>
                </c:pt>
                <c:pt idx="970">
                  <c:v>-2.2324878115920155E-2</c:v>
                </c:pt>
                <c:pt idx="971">
                  <c:v>-2.7681599806418301E-2</c:v>
                </c:pt>
                <c:pt idx="972">
                  <c:v>-2.5057894467979871E-2</c:v>
                </c:pt>
                <c:pt idx="973">
                  <c:v>-2.9950075063071027E-2</c:v>
                </c:pt>
                <c:pt idx="974">
                  <c:v>-2.1149264231324991E-2</c:v>
                </c:pt>
                <c:pt idx="975">
                  <c:v>-2.3669378523367427E-2</c:v>
                </c:pt>
                <c:pt idx="976">
                  <c:v>-2.2872520482551093E-2</c:v>
                </c:pt>
                <c:pt idx="977">
                  <c:v>-2.5181829900860951E-2</c:v>
                </c:pt>
                <c:pt idx="978">
                  <c:v>-2.6892983677103289E-2</c:v>
                </c:pt>
                <c:pt idx="979">
                  <c:v>-2.6823730239914422E-2</c:v>
                </c:pt>
                <c:pt idx="980">
                  <c:v>-2.4444638578529816E-2</c:v>
                </c:pt>
                <c:pt idx="981">
                  <c:v>-2.7025989514115719E-2</c:v>
                </c:pt>
                <c:pt idx="982">
                  <c:v>-2.5098654511741834E-2</c:v>
                </c:pt>
                <c:pt idx="983">
                  <c:v>-2.5137251375587994E-2</c:v>
                </c:pt>
                <c:pt idx="984">
                  <c:v>-2.4295576537581038E-2</c:v>
                </c:pt>
                <c:pt idx="985">
                  <c:v>-2.5875613793050992E-2</c:v>
                </c:pt>
                <c:pt idx="986">
                  <c:v>-2.3469207052291489E-2</c:v>
                </c:pt>
                <c:pt idx="987">
                  <c:v>-2.6919706815502323E-2</c:v>
                </c:pt>
                <c:pt idx="988">
                  <c:v>-2.1196603121801535E-2</c:v>
                </c:pt>
                <c:pt idx="989">
                  <c:v>-2.584998529356726E-2</c:v>
                </c:pt>
                <c:pt idx="990">
                  <c:v>-2.8938669704782202E-2</c:v>
                </c:pt>
                <c:pt idx="991">
                  <c:v>-2.7044627457582217E-2</c:v>
                </c:pt>
                <c:pt idx="992">
                  <c:v>-2.3019255746441983E-2</c:v>
                </c:pt>
                <c:pt idx="993">
                  <c:v>-2.4096466471529392E-2</c:v>
                </c:pt>
                <c:pt idx="994">
                  <c:v>-2.2850253251354598E-2</c:v>
                </c:pt>
                <c:pt idx="995">
                  <c:v>-2.1164228662351667E-2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DC-4B20-9030-132272422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652432"/>
        <c:axId val="508652848"/>
      </c:lineChart>
      <c:dateAx>
        <c:axId val="508652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52848"/>
        <c:crosses val="autoZero"/>
        <c:auto val="1"/>
        <c:lblOffset val="100"/>
        <c:baseTimeUnit val="days"/>
      </c:dateAx>
      <c:valAx>
        <c:axId val="50865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5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84E2C3D-E0C9-477F-A2C1-F8E9B654924B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9411A2-FAD0-494F-90E0-42A4F46855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17.7</v>
      </c>
      <c r="D2" s="4">
        <f>MIN(D3:D1912)</f>
        <v>0.25619999999999998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2.2240000000000002</v>
      </c>
      <c r="C5">
        <v>2.2240000000000002</v>
      </c>
      <c r="D5">
        <v>2.2240000000000002</v>
      </c>
      <c r="E5">
        <v>2.2240000000000002</v>
      </c>
      <c r="F5">
        <v>0</v>
      </c>
      <c r="G5">
        <v>2.2240000000000002</v>
      </c>
      <c r="L5" t="s">
        <v>7</v>
      </c>
      <c r="M5" t="s">
        <v>8</v>
      </c>
      <c r="N5" t="s">
        <v>7</v>
      </c>
      <c r="P5">
        <f t="shared" ref="P5" si="0">IF(C5=D5,0,((E5-D5)-(C5-E5))/(C5-D5))</f>
        <v>0</v>
      </c>
      <c r="Q5">
        <f t="shared" ref="Q5" si="1">F5*P5</f>
        <v>0</v>
      </c>
      <c r="R5">
        <f t="shared" ref="R5" si="2">R6+Q5</f>
        <v>-26634380.71719408</v>
      </c>
      <c r="S5">
        <f t="shared" ref="S5" si="3">R5/100000</f>
        <v>-266.3438071719408</v>
      </c>
      <c r="T5">
        <f t="shared" ref="T5" si="4">S5/1000</f>
        <v>-0.26634380717194078</v>
      </c>
    </row>
    <row r="6" spans="1:20" x14ac:dyDescent="0.25">
      <c r="A6" s="5">
        <v>44587</v>
      </c>
      <c r="B6">
        <v>2.2240000000000002</v>
      </c>
      <c r="C6">
        <v>2.2240000000000002</v>
      </c>
      <c r="D6">
        <v>2.2240000000000002</v>
      </c>
      <c r="E6">
        <v>2.2240000000000002</v>
      </c>
      <c r="F6">
        <v>0</v>
      </c>
      <c r="G6">
        <v>2.2240000000000002</v>
      </c>
      <c r="L6" t="s">
        <v>7</v>
      </c>
      <c r="M6" t="s">
        <v>8</v>
      </c>
      <c r="N6" t="s">
        <v>7</v>
      </c>
      <c r="P6">
        <f t="shared" ref="P6" si="5">IF(C6=D6,0,((E6-D6)-(C6-E6))/(C6-D6))</f>
        <v>0</v>
      </c>
      <c r="Q6">
        <f t="shared" ref="Q6" si="6">F6*P6</f>
        <v>0</v>
      </c>
      <c r="R6">
        <f t="shared" ref="R6" si="7">R7+Q6</f>
        <v>-26634380.71719408</v>
      </c>
      <c r="S6">
        <f t="shared" ref="S6" si="8">R6/100000</f>
        <v>-266.3438071719408</v>
      </c>
      <c r="T6">
        <f t="shared" ref="T6" si="9">S6/1000</f>
        <v>-0.26634380717194078</v>
      </c>
    </row>
    <row r="7" spans="1:20" x14ac:dyDescent="0.25">
      <c r="A7" s="5">
        <v>44586</v>
      </c>
      <c r="B7">
        <v>2.2240000000000002</v>
      </c>
      <c r="C7">
        <v>2.2240000000000002</v>
      </c>
      <c r="D7">
        <v>2.2240000000000002</v>
      </c>
      <c r="E7">
        <v>2.2240000000000002</v>
      </c>
      <c r="F7">
        <v>0</v>
      </c>
      <c r="G7">
        <v>2.2240000000000002</v>
      </c>
      <c r="L7" t="s">
        <v>7</v>
      </c>
      <c r="M7" t="s">
        <v>8</v>
      </c>
      <c r="N7" t="s">
        <v>7</v>
      </c>
      <c r="P7">
        <f t="shared" ref="P7" si="10">IF(C7=D7,0,((E7-D7)-(C7-E7))/(C7-D7))</f>
        <v>0</v>
      </c>
      <c r="Q7">
        <f t="shared" ref="Q7" si="11">F7*P7</f>
        <v>0</v>
      </c>
      <c r="R7">
        <f t="shared" ref="R7" si="12">R8+Q7</f>
        <v>-26634380.71719408</v>
      </c>
      <c r="S7">
        <f t="shared" ref="S7" si="13">R7/100000</f>
        <v>-266.3438071719408</v>
      </c>
      <c r="T7">
        <f t="shared" ref="T7" si="14">S7/1000</f>
        <v>-0.26634380717194078</v>
      </c>
    </row>
    <row r="8" spans="1:20" x14ac:dyDescent="0.25">
      <c r="A8" s="5">
        <v>44585</v>
      </c>
      <c r="B8">
        <v>2.2170000000000001</v>
      </c>
      <c r="C8">
        <v>2.2589999999999999</v>
      </c>
      <c r="D8">
        <v>2.1480000000000001</v>
      </c>
      <c r="E8">
        <v>2.2240000000000002</v>
      </c>
      <c r="F8">
        <v>156656.6</v>
      </c>
      <c r="G8">
        <v>2.2240000000000002</v>
      </c>
      <c r="L8" t="s">
        <v>7</v>
      </c>
      <c r="M8" t="s">
        <v>8</v>
      </c>
      <c r="N8" t="s">
        <v>7</v>
      </c>
      <c r="P8">
        <f t="shared" ref="P8" si="15">IF(C8=D8,0,((E8-D8)-(C8-E8))/(C8-D8))</f>
        <v>0.36936936936937348</v>
      </c>
      <c r="Q8">
        <f t="shared" ref="Q8" si="16">F8*P8</f>
        <v>57864.149549550195</v>
      </c>
      <c r="R8">
        <f t="shared" ref="R8" si="17">R9+Q8</f>
        <v>-26634380.71719408</v>
      </c>
      <c r="S8">
        <f t="shared" ref="S8" si="18">R8/100000</f>
        <v>-266.3438071719408</v>
      </c>
      <c r="T8">
        <f t="shared" ref="T8" si="19">S8/1000</f>
        <v>-0.26634380717194078</v>
      </c>
    </row>
    <row r="9" spans="1:20" x14ac:dyDescent="0.25">
      <c r="A9" s="5">
        <v>44584</v>
      </c>
      <c r="B9">
        <v>2.0409999999999999</v>
      </c>
      <c r="C9">
        <v>2.411</v>
      </c>
      <c r="D9">
        <v>2.0339999999999998</v>
      </c>
      <c r="E9">
        <v>2.2189999999999999</v>
      </c>
      <c r="F9">
        <v>1553835.7</v>
      </c>
      <c r="G9">
        <v>2.2189999999999999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-1.8567639257294731E-2</v>
      </c>
      <c r="Q9">
        <f t="shared" ref="Q9" si="21">F9*P9</f>
        <v>-28851.060742706039</v>
      </c>
      <c r="R9">
        <f t="shared" ref="R9" si="22">R10+Q9</f>
        <v>-26692244.866743632</v>
      </c>
      <c r="S9">
        <f t="shared" ref="S9" si="23">R9/100000</f>
        <v>-266.9224486674363</v>
      </c>
      <c r="T9">
        <f t="shared" ref="T9" si="24">S9/1000</f>
        <v>-0.26692244866743631</v>
      </c>
    </row>
    <row r="10" spans="1:20" x14ac:dyDescent="0.25">
      <c r="A10" s="5">
        <v>44583</v>
      </c>
      <c r="B10">
        <v>2.3180000000000001</v>
      </c>
      <c r="C10">
        <v>2.411</v>
      </c>
      <c r="D10">
        <v>1.859</v>
      </c>
      <c r="E10">
        <v>2.0489999999999999</v>
      </c>
      <c r="F10">
        <v>1680979.85</v>
      </c>
      <c r="G10">
        <v>2.0489999999999999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-0.311594202898551</v>
      </c>
      <c r="Q10">
        <f t="shared" ref="Q10" si="26">F10*P10</f>
        <v>-523783.57644927583</v>
      </c>
      <c r="R10">
        <f t="shared" ref="R10" si="27">R11+Q10</f>
        <v>-26663393.806000926</v>
      </c>
      <c r="S10">
        <f t="shared" ref="S10" si="28">R10/100000</f>
        <v>-266.63393806000926</v>
      </c>
      <c r="T10">
        <f t="shared" ref="T10" si="29">S10/1000</f>
        <v>-0.26663393806000923</v>
      </c>
    </row>
    <row r="11" spans="1:20" x14ac:dyDescent="0.25">
      <c r="A11" s="5">
        <v>44582</v>
      </c>
      <c r="B11">
        <v>2.8250000000000002</v>
      </c>
      <c r="C11">
        <v>2.9</v>
      </c>
      <c r="D11">
        <v>2.2410000000000001</v>
      </c>
      <c r="E11">
        <v>2.3159999999999998</v>
      </c>
      <c r="F11">
        <v>1713104.91</v>
      </c>
      <c r="G11">
        <v>2.3159999999999998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-0.7723823975720796</v>
      </c>
      <c r="Q11">
        <f t="shared" ref="Q11" si="31">F11*P11</f>
        <v>-1323172.0776783016</v>
      </c>
      <c r="R11">
        <f t="shared" ref="R11" si="32">R12+Q11</f>
        <v>-26139610.229551651</v>
      </c>
      <c r="S11">
        <f t="shared" ref="S11" si="33">R11/100000</f>
        <v>-261.39610229551653</v>
      </c>
      <c r="T11">
        <f t="shared" ref="T11" si="34">S11/1000</f>
        <v>-0.26139610229551652</v>
      </c>
    </row>
    <row r="12" spans="1:20" x14ac:dyDescent="0.25">
      <c r="A12" s="5">
        <v>44581</v>
      </c>
      <c r="B12">
        <v>3.05</v>
      </c>
      <c r="C12">
        <v>3.0960000000000001</v>
      </c>
      <c r="D12">
        <v>2.8130000000000002</v>
      </c>
      <c r="E12">
        <v>2.831</v>
      </c>
      <c r="F12">
        <v>832571.3</v>
      </c>
      <c r="G12">
        <v>2.831</v>
      </c>
      <c r="L12" t="s">
        <v>7</v>
      </c>
      <c r="M12" t="s">
        <v>8</v>
      </c>
      <c r="N12" t="s">
        <v>7</v>
      </c>
      <c r="P12">
        <f t="shared" ref="P12" si="35">IF(C12=D12,0,((E12-D12)-(C12-E12))/(C12-D12))</f>
        <v>-0.8727915194346304</v>
      </c>
      <c r="Q12">
        <f t="shared" ref="Q12" si="36">F12*P12</f>
        <v>-726661.16996466555</v>
      </c>
      <c r="R12">
        <f t="shared" ref="R12" si="37">R13+Q12</f>
        <v>-24816438.15187335</v>
      </c>
      <c r="S12">
        <f t="shared" ref="S12" si="38">R12/100000</f>
        <v>-248.16438151873351</v>
      </c>
      <c r="T12">
        <f t="shared" ref="T12" si="39">S12/1000</f>
        <v>-0.24816438151873352</v>
      </c>
    </row>
    <row r="13" spans="1:20" x14ac:dyDescent="0.25">
      <c r="A13" s="5">
        <v>44580</v>
      </c>
      <c r="B13">
        <v>2.9340000000000002</v>
      </c>
      <c r="C13">
        <v>3.14</v>
      </c>
      <c r="D13">
        <v>2.84</v>
      </c>
      <c r="E13">
        <v>3.0569999999999999</v>
      </c>
      <c r="F13">
        <v>1227506.8999999999</v>
      </c>
      <c r="G13">
        <v>3.0569999999999999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0.44666666666666593</v>
      </c>
      <c r="Q13">
        <f t="shared" ref="Q13" si="41">F13*P13</f>
        <v>548286.41533333238</v>
      </c>
      <c r="R13">
        <f t="shared" ref="R13" si="42">R14+Q13</f>
        <v>-24089776.981908683</v>
      </c>
      <c r="S13">
        <f t="shared" ref="S13" si="43">R13/100000</f>
        <v>-240.89776981908682</v>
      </c>
      <c r="T13">
        <f t="shared" ref="T13" si="44">S13/1000</f>
        <v>-0.24089776981908681</v>
      </c>
    </row>
    <row r="14" spans="1:20" x14ac:dyDescent="0.25">
      <c r="A14" s="5">
        <v>44579</v>
      </c>
      <c r="B14">
        <v>3.0089999999999999</v>
      </c>
      <c r="C14">
        <v>3.0209999999999999</v>
      </c>
      <c r="D14">
        <v>2.8439999999999999</v>
      </c>
      <c r="E14">
        <v>2.927</v>
      </c>
      <c r="F14">
        <v>395805.1</v>
      </c>
      <c r="G14">
        <v>2.927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-6.2146892655365389E-2</v>
      </c>
      <c r="Q14">
        <f t="shared" ref="Q14" si="46">F14*P14</f>
        <v>-24598.057062146163</v>
      </c>
      <c r="R14">
        <f t="shared" ref="R14" si="47">R15+Q14</f>
        <v>-24638063.397242013</v>
      </c>
      <c r="S14">
        <f t="shared" ref="S14" si="48">R14/100000</f>
        <v>-246.38063397242013</v>
      </c>
      <c r="T14">
        <f t="shared" ref="T14" si="49">S14/1000</f>
        <v>-0.24638063397242013</v>
      </c>
    </row>
    <row r="15" spans="1:20" x14ac:dyDescent="0.25">
      <c r="A15" s="5">
        <v>44578</v>
      </c>
      <c r="B15">
        <v>3.1240000000000001</v>
      </c>
      <c r="C15">
        <v>3.13</v>
      </c>
      <c r="D15">
        <v>2.95</v>
      </c>
      <c r="E15">
        <v>3.0089999999999999</v>
      </c>
      <c r="F15">
        <v>347266.8</v>
      </c>
      <c r="G15">
        <v>3.0089999999999999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-0.34444444444444655</v>
      </c>
      <c r="Q15">
        <f t="shared" ref="Q15" si="51">F15*P15</f>
        <v>-119614.12000000072</v>
      </c>
      <c r="R15">
        <f t="shared" ref="R15" si="52">R16+Q15</f>
        <v>-24613465.340179868</v>
      </c>
      <c r="S15">
        <f t="shared" ref="S15" si="53">R15/100000</f>
        <v>-246.13465340179869</v>
      </c>
      <c r="T15">
        <f t="shared" ref="T15" si="54">S15/1000</f>
        <v>-0.24613465340179869</v>
      </c>
    </row>
    <row r="16" spans="1:20" x14ac:dyDescent="0.25">
      <c r="A16" s="5">
        <v>44577</v>
      </c>
      <c r="B16">
        <v>3.121</v>
      </c>
      <c r="C16">
        <v>3.1890000000000001</v>
      </c>
      <c r="D16">
        <v>3.089</v>
      </c>
      <c r="E16">
        <v>3.121</v>
      </c>
      <c r="F16">
        <v>305116.40000000002</v>
      </c>
      <c r="G16">
        <v>3.121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-0.36</v>
      </c>
      <c r="Q16">
        <f t="shared" ref="Q16" si="56">F16*P16</f>
        <v>-109841.90400000001</v>
      </c>
      <c r="R16">
        <f t="shared" ref="R16" si="57">R17+Q16</f>
        <v>-24493851.220179867</v>
      </c>
      <c r="S16">
        <f t="shared" ref="S16" si="58">R16/100000</f>
        <v>-244.93851220179866</v>
      </c>
      <c r="T16">
        <f t="shared" ref="T16" si="59">S16/1000</f>
        <v>-0.24493851220179866</v>
      </c>
    </row>
    <row r="17" spans="1:20" x14ac:dyDescent="0.25">
      <c r="A17" s="5">
        <v>44576</v>
      </c>
      <c r="B17">
        <v>3.1469999999999998</v>
      </c>
      <c r="C17">
        <v>3.2</v>
      </c>
      <c r="D17">
        <v>3.0640000000000001</v>
      </c>
      <c r="E17">
        <v>3.1179999999999999</v>
      </c>
      <c r="F17">
        <v>646480.4</v>
      </c>
      <c r="G17">
        <v>3.1179999999999999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-0.20588235294117974</v>
      </c>
      <c r="Q17">
        <f t="shared" ref="Q17" si="61">F17*P17</f>
        <v>-133098.90588235506</v>
      </c>
      <c r="R17">
        <f t="shared" ref="R17" si="62">R18+Q17</f>
        <v>-24384009.316179868</v>
      </c>
      <c r="S17">
        <f t="shared" ref="S17" si="63">R17/100000</f>
        <v>-243.84009316179868</v>
      </c>
      <c r="T17">
        <f t="shared" ref="T17" si="64">S17/1000</f>
        <v>-0.24384009316179867</v>
      </c>
    </row>
    <row r="18" spans="1:20" x14ac:dyDescent="0.25">
      <c r="A18" s="5">
        <v>44575</v>
      </c>
      <c r="B18">
        <v>3.0470000000000002</v>
      </c>
      <c r="C18">
        <v>3.1709999999999998</v>
      </c>
      <c r="D18">
        <v>2.9670000000000001</v>
      </c>
      <c r="E18">
        <v>3.1509999999999998</v>
      </c>
      <c r="F18">
        <v>705382.6</v>
      </c>
      <c r="G18">
        <v>3.1509999999999998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0.80392156862745057</v>
      </c>
      <c r="Q18">
        <f t="shared" ref="Q18" si="66">F18*P18</f>
        <v>567072.2862745095</v>
      </c>
      <c r="R18">
        <f t="shared" ref="R18" si="67">R19+Q18</f>
        <v>-24250910.410297513</v>
      </c>
      <c r="S18">
        <f t="shared" ref="S18" si="68">R18/100000</f>
        <v>-242.50910410297513</v>
      </c>
      <c r="T18">
        <f t="shared" ref="T18" si="69">S18/1000</f>
        <v>-0.24250910410297513</v>
      </c>
    </row>
    <row r="19" spans="1:20" x14ac:dyDescent="0.25">
      <c r="A19" s="5">
        <v>44574</v>
      </c>
      <c r="B19">
        <v>3.294</v>
      </c>
      <c r="C19">
        <v>3.298</v>
      </c>
      <c r="D19">
        <v>2.9790000000000001</v>
      </c>
      <c r="E19">
        <v>3.0459999999999998</v>
      </c>
      <c r="F19">
        <v>620768</v>
      </c>
      <c r="G19">
        <v>3.0459999999999998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-0.5799373040752368</v>
      </c>
      <c r="Q19">
        <f t="shared" ref="Q19" si="71">F19*P19</f>
        <v>-360006.52037617657</v>
      </c>
      <c r="R19">
        <f t="shared" ref="R19" si="72">R20+Q19</f>
        <v>-24817982.696572024</v>
      </c>
      <c r="S19">
        <f t="shared" ref="S19" si="73">R19/100000</f>
        <v>-248.17982696572025</v>
      </c>
      <c r="T19">
        <f t="shared" ref="T19" si="74">S19/1000</f>
        <v>-0.24817982696572025</v>
      </c>
    </row>
    <row r="20" spans="1:20" x14ac:dyDescent="0.25">
      <c r="A20" s="5">
        <v>44573</v>
      </c>
      <c r="B20">
        <v>3.0329999999999999</v>
      </c>
      <c r="C20">
        <v>3.294</v>
      </c>
      <c r="D20">
        <v>3.028</v>
      </c>
      <c r="E20">
        <v>3.294</v>
      </c>
      <c r="F20">
        <v>868710.8</v>
      </c>
      <c r="G20">
        <v>3.294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1</v>
      </c>
      <c r="Q20">
        <f t="shared" ref="Q20" si="76">F20*P20</f>
        <v>868710.8</v>
      </c>
      <c r="R20">
        <f t="shared" ref="R20" si="77">R21+Q20</f>
        <v>-24457976.176195849</v>
      </c>
      <c r="S20">
        <f t="shared" ref="S20" si="78">R20/100000</f>
        <v>-244.57976176195848</v>
      </c>
      <c r="T20">
        <f t="shared" ref="T20" si="79">S20/1000</f>
        <v>-0.24457976176195848</v>
      </c>
    </row>
    <row r="21" spans="1:20" x14ac:dyDescent="0.25">
      <c r="A21" s="5">
        <v>44572</v>
      </c>
      <c r="B21">
        <v>2.8839999999999999</v>
      </c>
      <c r="C21">
        <v>3.0960000000000001</v>
      </c>
      <c r="D21">
        <v>2.8540000000000001</v>
      </c>
      <c r="E21">
        <v>3.028</v>
      </c>
      <c r="F21">
        <v>638831.80000000005</v>
      </c>
      <c r="G21">
        <v>3.028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0.43801652892561932</v>
      </c>
      <c r="Q21">
        <f t="shared" ref="Q21" si="81">F21*P21</f>
        <v>279818.88760330545</v>
      </c>
      <c r="R21">
        <f t="shared" ref="R21" si="82">R22+Q21</f>
        <v>-25326686.976195849</v>
      </c>
      <c r="S21">
        <f t="shared" ref="S21" si="83">R21/100000</f>
        <v>-253.2668697619585</v>
      </c>
      <c r="T21">
        <f t="shared" ref="T21" si="84">S21/1000</f>
        <v>-0.2532668697619585</v>
      </c>
    </row>
    <row r="22" spans="1:20" x14ac:dyDescent="0.25">
      <c r="A22" s="5">
        <v>44571</v>
      </c>
      <c r="B22">
        <v>3.0049999999999999</v>
      </c>
      <c r="C22">
        <v>3.0249999999999999</v>
      </c>
      <c r="D22">
        <v>2.766</v>
      </c>
      <c r="E22">
        <v>2.8839999999999999</v>
      </c>
      <c r="F22">
        <v>801393.78</v>
      </c>
      <c r="G22">
        <v>2.8839999999999999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-8.8803088803089347E-2</v>
      </c>
      <c r="Q22">
        <f t="shared" ref="Q22" si="86">F22*P22</f>
        <v>-71166.243011583443</v>
      </c>
      <c r="R22">
        <f t="shared" ref="R22" si="87">R23+Q22</f>
        <v>-25606505.863799155</v>
      </c>
      <c r="S22">
        <f t="shared" ref="S22" si="88">R22/100000</f>
        <v>-256.06505863799157</v>
      </c>
      <c r="T22">
        <f t="shared" ref="T22" si="89">S22/1000</f>
        <v>-0.25606505863799156</v>
      </c>
    </row>
    <row r="23" spans="1:20" x14ac:dyDescent="0.25">
      <c r="A23" s="5">
        <v>44570</v>
      </c>
      <c r="B23">
        <v>3.052</v>
      </c>
      <c r="C23">
        <v>3.1589999999999998</v>
      </c>
      <c r="D23">
        <v>2.92</v>
      </c>
      <c r="E23">
        <v>3</v>
      </c>
      <c r="F23">
        <v>506824.9</v>
      </c>
      <c r="G23">
        <v>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-0.33054393305439239</v>
      </c>
      <c r="Q23">
        <f t="shared" ref="Q23" si="91">F23*P23</f>
        <v>-167527.89581589913</v>
      </c>
      <c r="R23">
        <f t="shared" ref="R23" si="92">R24+Q23</f>
        <v>-25535339.620787572</v>
      </c>
      <c r="S23">
        <f t="shared" ref="S23" si="93">R23/100000</f>
        <v>-255.35339620787573</v>
      </c>
      <c r="T23">
        <f t="shared" ref="T23" si="94">S23/1000</f>
        <v>-0.25535339620787573</v>
      </c>
    </row>
    <row r="24" spans="1:20" x14ac:dyDescent="0.25">
      <c r="A24" s="5">
        <v>44569</v>
      </c>
      <c r="B24">
        <v>3.0990000000000002</v>
      </c>
      <c r="C24">
        <v>3.23</v>
      </c>
      <c r="D24">
        <v>2.92</v>
      </c>
      <c r="E24">
        <v>3.052</v>
      </c>
      <c r="F24">
        <v>446968.3</v>
      </c>
      <c r="G24">
        <v>3.052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-0.14838709677419293</v>
      </c>
      <c r="Q24">
        <f t="shared" ref="Q24" si="96">F24*P24</f>
        <v>-66324.328387096495</v>
      </c>
      <c r="R24">
        <f t="shared" ref="R24" si="97">R25+Q24</f>
        <v>-25367811.724971674</v>
      </c>
      <c r="S24">
        <f t="shared" ref="S24" si="98">R24/100000</f>
        <v>-253.67811724971673</v>
      </c>
      <c r="T24">
        <f t="shared" ref="T24" si="99">S24/1000</f>
        <v>-0.25367811724971673</v>
      </c>
    </row>
    <row r="25" spans="1:20" x14ac:dyDescent="0.25">
      <c r="A25" s="5">
        <v>44568</v>
      </c>
      <c r="B25">
        <v>3.3570000000000002</v>
      </c>
      <c r="C25">
        <v>3.367</v>
      </c>
      <c r="D25">
        <v>3</v>
      </c>
      <c r="E25">
        <v>3.089</v>
      </c>
      <c r="F25">
        <v>762623.3</v>
      </c>
      <c r="G25">
        <v>3.089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-0.51498637602179853</v>
      </c>
      <c r="Q25">
        <f t="shared" ref="Q25" si="101">F25*P25</f>
        <v>-392740.60953678488</v>
      </c>
      <c r="R25">
        <f t="shared" ref="R25" si="102">R26+Q25</f>
        <v>-25301487.396584578</v>
      </c>
      <c r="S25">
        <f t="shared" ref="S25" si="103">R25/100000</f>
        <v>-253.01487396584577</v>
      </c>
      <c r="T25">
        <f t="shared" ref="T25" si="104">S25/1000</f>
        <v>-0.25301487396584577</v>
      </c>
    </row>
    <row r="26" spans="1:20" x14ac:dyDescent="0.25">
      <c r="A26" s="5">
        <v>44567</v>
      </c>
      <c r="B26">
        <v>3.3889999999999998</v>
      </c>
      <c r="C26">
        <v>3.4329999999999998</v>
      </c>
      <c r="D26">
        <v>3.2629999999999999</v>
      </c>
      <c r="E26">
        <v>3.3570000000000002</v>
      </c>
      <c r="F26">
        <v>520859.4</v>
      </c>
      <c r="G26">
        <v>3.3570000000000002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0.10588235294118052</v>
      </c>
      <c r="Q26">
        <f t="shared" ref="Q26" si="106">F26*P26</f>
        <v>55149.818823531525</v>
      </c>
      <c r="R26">
        <f t="shared" ref="R26" si="107">R27+Q26</f>
        <v>-24908746.787047792</v>
      </c>
      <c r="S26">
        <f t="shared" ref="S26" si="108">R26/100000</f>
        <v>-249.08746787047792</v>
      </c>
      <c r="T26">
        <f t="shared" ref="T26" si="109">S26/1000</f>
        <v>-0.24908746787047792</v>
      </c>
    </row>
    <row r="27" spans="1:20" x14ac:dyDescent="0.25">
      <c r="A27" s="5">
        <v>44566</v>
      </c>
      <c r="B27">
        <v>3.71</v>
      </c>
      <c r="C27">
        <v>3.8919999999999999</v>
      </c>
      <c r="D27">
        <v>3.2959999999999998</v>
      </c>
      <c r="E27">
        <v>3.391</v>
      </c>
      <c r="F27">
        <v>975288.1</v>
      </c>
      <c r="G27">
        <v>3.391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-0.68120805369127457</v>
      </c>
      <c r="Q27">
        <f t="shared" ref="Q27" si="111">F27*P27</f>
        <v>-664374.10838926118</v>
      </c>
      <c r="R27">
        <f t="shared" ref="R27" si="112">R28+Q27</f>
        <v>-24963896.605871323</v>
      </c>
      <c r="S27">
        <f t="shared" ref="S27" si="113">R27/100000</f>
        <v>-249.63896605871324</v>
      </c>
      <c r="T27">
        <f t="shared" ref="T27" si="114">S27/1000</f>
        <v>-0.24963896605871325</v>
      </c>
    </row>
    <row r="28" spans="1:20" x14ac:dyDescent="0.25">
      <c r="A28" s="5">
        <v>44565</v>
      </c>
      <c r="B28">
        <v>3.5720000000000001</v>
      </c>
      <c r="C28">
        <v>3.95</v>
      </c>
      <c r="D28">
        <v>3.52</v>
      </c>
      <c r="E28">
        <v>3.71</v>
      </c>
      <c r="F28">
        <v>1397748.9</v>
      </c>
      <c r="G28">
        <v>3.71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-0.11627906976744244</v>
      </c>
      <c r="Q28">
        <f t="shared" ref="Q28" si="116">F28*P28</f>
        <v>-162528.94186046591</v>
      </c>
      <c r="R28">
        <f t="shared" ref="R28" si="117">R29+Q28</f>
        <v>-24299522.497482061</v>
      </c>
      <c r="S28">
        <f t="shared" ref="S28" si="118">R28/100000</f>
        <v>-242.99522497482062</v>
      </c>
      <c r="T28">
        <f t="shared" ref="T28" si="119">S28/1000</f>
        <v>-0.24299522497482062</v>
      </c>
    </row>
    <row r="29" spans="1:20" x14ac:dyDescent="0.25">
      <c r="A29" s="5">
        <v>44564</v>
      </c>
      <c r="B29">
        <v>3.569</v>
      </c>
      <c r="C29">
        <v>3.7389999999999999</v>
      </c>
      <c r="D29">
        <v>3.5179999999999998</v>
      </c>
      <c r="E29">
        <v>3.5779999999999998</v>
      </c>
      <c r="F29">
        <v>577410.6</v>
      </c>
      <c r="G29">
        <v>3.5779999999999998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-0.45701357466063319</v>
      </c>
      <c r="Q29">
        <f t="shared" ref="Q29" si="121">F29*P29</f>
        <v>-263884.48235294101</v>
      </c>
      <c r="R29">
        <f t="shared" ref="R29" si="122">R30+Q29</f>
        <v>-24136993.555621594</v>
      </c>
      <c r="S29">
        <f t="shared" ref="S29" si="123">R29/100000</f>
        <v>-241.36993555621595</v>
      </c>
      <c r="T29">
        <f t="shared" ref="T29" si="124">S29/1000</f>
        <v>-0.24136993555621594</v>
      </c>
    </row>
    <row r="30" spans="1:20" x14ac:dyDescent="0.25">
      <c r="A30" s="5">
        <v>44563</v>
      </c>
      <c r="B30">
        <v>3.5779999999999998</v>
      </c>
      <c r="C30">
        <v>3.6549999999999998</v>
      </c>
      <c r="D30">
        <v>3.47</v>
      </c>
      <c r="E30">
        <v>3.57</v>
      </c>
      <c r="F30">
        <v>421961.1</v>
      </c>
      <c r="G30">
        <v>3.57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8.1081081081079517E-2</v>
      </c>
      <c r="Q30">
        <f t="shared" ref="Q30" si="126">F30*P30</f>
        <v>34213.062162161499</v>
      </c>
      <c r="R30">
        <f t="shared" ref="R30" si="127">R31+Q30</f>
        <v>-23873109.073268652</v>
      </c>
      <c r="S30">
        <f t="shared" ref="S30" si="128">R30/100000</f>
        <v>-238.73109073268651</v>
      </c>
      <c r="T30">
        <f t="shared" ref="T30" si="129">S30/1000</f>
        <v>-0.2387310907326865</v>
      </c>
    </row>
    <row r="31" spans="1:20" x14ac:dyDescent="0.25">
      <c r="A31" s="5">
        <v>44562</v>
      </c>
      <c r="B31">
        <v>3.4009999999999998</v>
      </c>
      <c r="C31">
        <v>3.6059999999999999</v>
      </c>
      <c r="D31">
        <v>3.3639999999999999</v>
      </c>
      <c r="E31">
        <v>3.5790000000000002</v>
      </c>
      <c r="F31">
        <v>435745.8</v>
      </c>
      <c r="G31">
        <v>3.5790000000000002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0.77685950413223392</v>
      </c>
      <c r="Q31">
        <f t="shared" ref="Q31" si="131">F31*P31</f>
        <v>338513.26611570356</v>
      </c>
      <c r="R31">
        <f t="shared" ref="R31" si="132">R32+Q31</f>
        <v>-23907322.135430813</v>
      </c>
      <c r="S31">
        <f t="shared" ref="S31" si="133">R31/100000</f>
        <v>-239.07322135430812</v>
      </c>
      <c r="T31">
        <f t="shared" ref="T31" si="134">S31/1000</f>
        <v>-0.23907322135430811</v>
      </c>
    </row>
    <row r="32" spans="1:20" x14ac:dyDescent="0.25">
      <c r="A32" s="5">
        <v>44561</v>
      </c>
      <c r="B32">
        <v>3.4660000000000002</v>
      </c>
      <c r="C32">
        <v>3.68</v>
      </c>
      <c r="D32">
        <v>3.4</v>
      </c>
      <c r="E32">
        <v>3.4060000000000001</v>
      </c>
      <c r="F32">
        <v>489115.9</v>
      </c>
      <c r="G32">
        <v>3.4060000000000001</v>
      </c>
      <c r="L32" t="s">
        <v>8</v>
      </c>
      <c r="M32" t="s">
        <v>8</v>
      </c>
      <c r="N32" t="s">
        <v>7</v>
      </c>
      <c r="P32">
        <f t="shared" ref="P32" si="135">IF(C32=D32,0,((E32-D32)-(C32-E32))/(C32-D32))</f>
        <v>-0.95714285714285552</v>
      </c>
      <c r="Q32">
        <f t="shared" ref="Q32" si="136">F32*P32</f>
        <v>-468153.78999999922</v>
      </c>
      <c r="R32">
        <f t="shared" ref="R32" si="137">R33+Q32</f>
        <v>-24245835.401546516</v>
      </c>
      <c r="S32">
        <f t="shared" ref="S32" si="138">R32/100000</f>
        <v>-242.45835401546515</v>
      </c>
      <c r="T32">
        <f t="shared" ref="T32" si="139">S32/1000</f>
        <v>-0.24245835401546514</v>
      </c>
    </row>
    <row r="33" spans="1:20" x14ac:dyDescent="0.25">
      <c r="A33" s="5">
        <v>44560</v>
      </c>
      <c r="B33">
        <v>3.488</v>
      </c>
      <c r="C33">
        <v>3.6339999999999999</v>
      </c>
      <c r="D33">
        <v>3.3929999999999998</v>
      </c>
      <c r="E33">
        <v>3.4660000000000002</v>
      </c>
      <c r="F33">
        <v>543110.1</v>
      </c>
      <c r="G33">
        <v>3.4660000000000002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-0.39419087136929154</v>
      </c>
      <c r="Q33">
        <f t="shared" ref="Q33" si="141">F33*P33</f>
        <v>-214089.04356846306</v>
      </c>
      <c r="R33">
        <f t="shared" ref="R33" si="142">R34+Q33</f>
        <v>-23777681.611546516</v>
      </c>
      <c r="S33">
        <f t="shared" ref="S33" si="143">R33/100000</f>
        <v>-237.77681611546515</v>
      </c>
      <c r="T33">
        <f t="shared" ref="T33" si="144">S33/1000</f>
        <v>-0.23777681611546514</v>
      </c>
    </row>
    <row r="34" spans="1:20" x14ac:dyDescent="0.25">
      <c r="A34" s="5">
        <v>44559</v>
      </c>
      <c r="B34">
        <v>3.754</v>
      </c>
      <c r="C34">
        <v>3.7749999999999999</v>
      </c>
      <c r="D34">
        <v>3.42</v>
      </c>
      <c r="E34">
        <v>3.4969999999999999</v>
      </c>
      <c r="F34">
        <v>853008.1</v>
      </c>
      <c r="G34">
        <v>3.4969999999999999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-0.56619718309859179</v>
      </c>
      <c r="Q34">
        <f t="shared" ref="Q34" si="146">F34*P34</f>
        <v>-482970.78338028188</v>
      </c>
      <c r="R34">
        <f t="shared" ref="R34" si="147">R35+Q34</f>
        <v>-23563592.567978054</v>
      </c>
      <c r="S34">
        <f t="shared" ref="S34" si="148">R34/100000</f>
        <v>-235.63592567978054</v>
      </c>
      <c r="T34">
        <f t="shared" ref="T34" si="149">S34/1000</f>
        <v>-0.23563592567978053</v>
      </c>
    </row>
    <row r="35" spans="1:20" x14ac:dyDescent="0.25">
      <c r="A35" s="5">
        <v>44558</v>
      </c>
      <c r="B35">
        <v>3.9590000000000001</v>
      </c>
      <c r="C35">
        <v>4.016</v>
      </c>
      <c r="D35">
        <v>3.6349999999999998</v>
      </c>
      <c r="E35">
        <v>3.7559999999999998</v>
      </c>
      <c r="F35">
        <v>1040925.3</v>
      </c>
      <c r="G35">
        <v>3.7559999999999998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-0.36482939632545974</v>
      </c>
      <c r="Q35">
        <f t="shared" ref="Q35" si="151">F35*P35</f>
        <v>-379760.14881889807</v>
      </c>
      <c r="R35">
        <f t="shared" ref="R35" si="152">R36+Q35</f>
        <v>-23080621.784597773</v>
      </c>
      <c r="S35">
        <f t="shared" ref="S35" si="153">R35/100000</f>
        <v>-230.80621784597773</v>
      </c>
      <c r="T35">
        <f t="shared" ref="T35" si="154">S35/1000</f>
        <v>-0.23080621784597774</v>
      </c>
    </row>
    <row r="36" spans="1:20" x14ac:dyDescent="0.25">
      <c r="A36" s="5">
        <v>44557</v>
      </c>
      <c r="B36">
        <v>3.859</v>
      </c>
      <c r="C36">
        <v>4.0999999999999996</v>
      </c>
      <c r="D36">
        <v>3.8450000000000002</v>
      </c>
      <c r="E36">
        <v>3.9540000000000002</v>
      </c>
      <c r="F36">
        <v>847821.3</v>
      </c>
      <c r="G36">
        <v>3.9540000000000002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-0.14509803921568454</v>
      </c>
      <c r="Q36">
        <f t="shared" ref="Q36" si="156">F36*P36</f>
        <v>-123017.20823529265</v>
      </c>
      <c r="R36">
        <f t="shared" ref="R36" si="157">R37+Q36</f>
        <v>-22700861.635778874</v>
      </c>
      <c r="S36">
        <f t="shared" ref="S36" si="158">R36/100000</f>
        <v>-227.00861635778875</v>
      </c>
      <c r="T36">
        <f t="shared" ref="T36" si="159">S36/1000</f>
        <v>-0.22700861635778874</v>
      </c>
    </row>
    <row r="37" spans="1:20" x14ac:dyDescent="0.25">
      <c r="A37" s="5">
        <v>44556</v>
      </c>
      <c r="B37">
        <v>3.7690000000000001</v>
      </c>
      <c r="C37">
        <v>3.95</v>
      </c>
      <c r="D37">
        <v>3.7250000000000001</v>
      </c>
      <c r="E37">
        <v>3.859</v>
      </c>
      <c r="F37">
        <v>543229.6</v>
      </c>
      <c r="G37">
        <v>3.859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0.19111111111110973</v>
      </c>
      <c r="Q37">
        <f t="shared" ref="Q37" si="161">F37*P37</f>
        <v>103817.21244444369</v>
      </c>
      <c r="R37">
        <f t="shared" ref="R37" si="162">R38+Q37</f>
        <v>-22577844.427543581</v>
      </c>
      <c r="S37">
        <f t="shared" ref="S37" si="163">R37/100000</f>
        <v>-225.77844427543582</v>
      </c>
      <c r="T37">
        <f t="shared" ref="T37" si="164">S37/1000</f>
        <v>-0.22577844427543581</v>
      </c>
    </row>
    <row r="38" spans="1:20" x14ac:dyDescent="0.25">
      <c r="A38" s="5">
        <v>44555</v>
      </c>
      <c r="B38">
        <v>3.641</v>
      </c>
      <c r="C38">
        <v>3.9249999999999998</v>
      </c>
      <c r="D38">
        <v>3.617</v>
      </c>
      <c r="E38">
        <v>3.7730000000000001</v>
      </c>
      <c r="F38">
        <v>565662.4</v>
      </c>
      <c r="G38">
        <v>3.7730000000000001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1.2987012987014447E-2</v>
      </c>
      <c r="Q38">
        <f t="shared" ref="Q38" si="166">F38*P38</f>
        <v>7346.2649350657612</v>
      </c>
      <c r="R38">
        <f t="shared" ref="R38" si="167">R39+Q38</f>
        <v>-22681661.639988024</v>
      </c>
      <c r="S38">
        <f t="shared" ref="S38" si="168">R38/100000</f>
        <v>-226.81661639988025</v>
      </c>
      <c r="T38">
        <f t="shared" ref="T38" si="169">S38/1000</f>
        <v>-0.22681661639988024</v>
      </c>
    </row>
    <row r="39" spans="1:20" x14ac:dyDescent="0.25">
      <c r="A39" s="5">
        <v>44554</v>
      </c>
      <c r="B39">
        <v>3.7469999999999999</v>
      </c>
      <c r="C39">
        <v>3.835</v>
      </c>
      <c r="D39">
        <v>3.63</v>
      </c>
      <c r="E39">
        <v>3.6480000000000001</v>
      </c>
      <c r="F39">
        <v>676406.5</v>
      </c>
      <c r="G39">
        <v>3.6480000000000001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-0.82439024390243676</v>
      </c>
      <c r="Q39">
        <f t="shared" ref="Q39" si="171">F39*P39</f>
        <v>-557622.91951219353</v>
      </c>
      <c r="R39">
        <f t="shared" ref="R39" si="172">R40+Q39</f>
        <v>-22689007.904923089</v>
      </c>
      <c r="S39">
        <f t="shared" ref="S39" si="173">R39/100000</f>
        <v>-226.89007904923088</v>
      </c>
      <c r="T39">
        <f t="shared" ref="T39" si="174">S39/1000</f>
        <v>-0.22689007904923086</v>
      </c>
    </row>
    <row r="40" spans="1:20" x14ac:dyDescent="0.25">
      <c r="A40" s="5">
        <v>44553</v>
      </c>
      <c r="B40">
        <v>3.4670000000000001</v>
      </c>
      <c r="C40">
        <v>3.7650000000000001</v>
      </c>
      <c r="D40">
        <v>3.4180000000000001</v>
      </c>
      <c r="E40">
        <v>3.7450000000000001</v>
      </c>
      <c r="F40">
        <v>907554</v>
      </c>
      <c r="G40">
        <v>3.7450000000000001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0.88472622478386154</v>
      </c>
      <c r="Q40">
        <f t="shared" ref="Q40" si="176">F40*P40</f>
        <v>802936.82420749264</v>
      </c>
      <c r="R40">
        <f t="shared" ref="R40" si="177">R41+Q40</f>
        <v>-22131384.985410895</v>
      </c>
      <c r="S40">
        <f t="shared" ref="S40" si="178">R40/100000</f>
        <v>-221.31384985410895</v>
      </c>
      <c r="T40">
        <f t="shared" ref="T40" si="179">S40/1000</f>
        <v>-0.22131384985410896</v>
      </c>
    </row>
    <row r="41" spans="1:20" x14ac:dyDescent="0.25">
      <c r="A41" s="5">
        <v>44552</v>
      </c>
      <c r="B41">
        <v>3.4220000000000002</v>
      </c>
      <c r="C41">
        <v>3.6459999999999999</v>
      </c>
      <c r="D41">
        <v>3.4089999999999998</v>
      </c>
      <c r="E41">
        <v>3.4710000000000001</v>
      </c>
      <c r="F41">
        <v>941270</v>
      </c>
      <c r="G41">
        <v>3.4710000000000001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-0.47679324894514558</v>
      </c>
      <c r="Q41">
        <f t="shared" ref="Q41" si="181">F41*P41</f>
        <v>-448791.18143459718</v>
      </c>
      <c r="R41">
        <f t="shared" ref="R41" si="182">R42+Q41</f>
        <v>-22934321.809618387</v>
      </c>
      <c r="S41">
        <f t="shared" ref="S41" si="183">R41/100000</f>
        <v>-229.34321809618388</v>
      </c>
      <c r="T41">
        <f t="shared" ref="T41" si="184">S41/1000</f>
        <v>-0.22934321809618388</v>
      </c>
    </row>
    <row r="42" spans="1:20" x14ac:dyDescent="0.25">
      <c r="A42" s="5">
        <v>44551</v>
      </c>
      <c r="B42">
        <v>3.294</v>
      </c>
      <c r="C42">
        <v>3.59</v>
      </c>
      <c r="D42">
        <v>3.2410000000000001</v>
      </c>
      <c r="E42">
        <v>3.427</v>
      </c>
      <c r="F42">
        <v>1042252</v>
      </c>
      <c r="G42">
        <v>3.427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6.5902578796562028E-2</v>
      </c>
      <c r="Q42">
        <f t="shared" ref="Q42" si="186">F42*P42</f>
        <v>68687.09455587437</v>
      </c>
      <c r="R42">
        <f t="shared" ref="R42" si="187">R43+Q42</f>
        <v>-22485530.62818379</v>
      </c>
      <c r="S42">
        <f t="shared" ref="S42" si="188">R42/100000</f>
        <v>-224.8553062818379</v>
      </c>
      <c r="T42">
        <f t="shared" ref="T42" si="189">S42/1000</f>
        <v>-0.22485530628183789</v>
      </c>
    </row>
    <row r="43" spans="1:20" x14ac:dyDescent="0.25">
      <c r="A43" s="5">
        <v>44550</v>
      </c>
      <c r="B43">
        <v>3.3380000000000001</v>
      </c>
      <c r="C43">
        <v>3.3540000000000001</v>
      </c>
      <c r="D43">
        <v>3.1440000000000001</v>
      </c>
      <c r="E43">
        <v>3.2919999999999998</v>
      </c>
      <c r="F43">
        <v>645788.80000000005</v>
      </c>
      <c r="G43">
        <v>3.2919999999999998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0.40952380952380679</v>
      </c>
      <c r="Q43">
        <f t="shared" ref="Q43" si="191">F43*P43</f>
        <v>264465.8895238078</v>
      </c>
      <c r="R43">
        <f t="shared" ref="R43" si="192">R44+Q43</f>
        <v>-22554217.722739663</v>
      </c>
      <c r="S43">
        <f t="shared" ref="S43" si="193">R43/100000</f>
        <v>-225.54217722739662</v>
      </c>
      <c r="T43">
        <f t="shared" ref="T43" si="194">S43/1000</f>
        <v>-0.22554217722739661</v>
      </c>
    </row>
    <row r="44" spans="1:20" x14ac:dyDescent="0.25">
      <c r="A44" s="5">
        <v>44549</v>
      </c>
      <c r="B44">
        <v>3.3879999999999999</v>
      </c>
      <c r="C44">
        <v>3.4830000000000001</v>
      </c>
      <c r="D44">
        <v>3.2610000000000001</v>
      </c>
      <c r="E44">
        <v>3.3439999999999999</v>
      </c>
      <c r="F44">
        <v>562465.19999999995</v>
      </c>
      <c r="G44">
        <v>3.3439999999999999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-0.25225225225225451</v>
      </c>
      <c r="Q44">
        <f t="shared" ref="Q44" si="196">F44*P44</f>
        <v>-141883.11351351478</v>
      </c>
      <c r="R44">
        <f t="shared" ref="R44" si="197">R45+Q44</f>
        <v>-22818683.612263471</v>
      </c>
      <c r="S44">
        <f t="shared" ref="S44" si="198">R44/100000</f>
        <v>-228.1868361226347</v>
      </c>
      <c r="T44">
        <f t="shared" ref="T44" si="199">S44/1000</f>
        <v>-0.22818683612263471</v>
      </c>
    </row>
    <row r="45" spans="1:20" x14ac:dyDescent="0.25">
      <c r="A45" s="5">
        <v>44548</v>
      </c>
      <c r="B45">
        <v>3.1970000000000001</v>
      </c>
      <c r="C45">
        <v>3.47</v>
      </c>
      <c r="D45">
        <v>3.1659999999999999</v>
      </c>
      <c r="E45">
        <v>3.3879999999999999</v>
      </c>
      <c r="F45">
        <v>712890.5</v>
      </c>
      <c r="G45">
        <v>3.3879999999999999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0.46052631578947223</v>
      </c>
      <c r="Q45">
        <f t="shared" ref="Q45" si="201">F45*P45</f>
        <v>328304.83552631474</v>
      </c>
      <c r="R45">
        <f t="shared" ref="R45" si="202">R46+Q45</f>
        <v>-22676800.498749956</v>
      </c>
      <c r="S45">
        <f t="shared" ref="S45" si="203">R45/100000</f>
        <v>-226.76800498749955</v>
      </c>
      <c r="T45">
        <f t="shared" ref="T45" si="204">S45/1000</f>
        <v>-0.22676800498749955</v>
      </c>
    </row>
    <row r="46" spans="1:20" x14ac:dyDescent="0.25">
      <c r="A46" s="5">
        <v>44547</v>
      </c>
      <c r="B46">
        <v>3.4820000000000002</v>
      </c>
      <c r="C46">
        <v>3.524</v>
      </c>
      <c r="D46">
        <v>3.15</v>
      </c>
      <c r="E46">
        <v>3.1920000000000002</v>
      </c>
      <c r="F46">
        <v>1030767.47</v>
      </c>
      <c r="G46">
        <v>3.1920000000000002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-0.77540106951871524</v>
      </c>
      <c r="Q46">
        <f t="shared" ref="Q46" si="206">F46*P46</f>
        <v>-799258.19866310025</v>
      </c>
      <c r="R46">
        <f t="shared" ref="R46" si="207">R47+Q46</f>
        <v>-23005105.33427627</v>
      </c>
      <c r="S46">
        <f t="shared" ref="S46" si="208">R46/100000</f>
        <v>-230.05105334276271</v>
      </c>
      <c r="T46">
        <f t="shared" ref="T46" si="209">S46/1000</f>
        <v>-0.23005105334276271</v>
      </c>
    </row>
    <row r="47" spans="1:20" x14ac:dyDescent="0.25">
      <c r="A47" s="5">
        <v>44546</v>
      </c>
      <c r="B47">
        <v>3.548</v>
      </c>
      <c r="C47">
        <v>3.65</v>
      </c>
      <c r="D47">
        <v>3.4510000000000001</v>
      </c>
      <c r="E47">
        <v>3.4849999999999999</v>
      </c>
      <c r="F47">
        <v>778629</v>
      </c>
      <c r="G47">
        <v>3.4849999999999999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-0.65829145728643379</v>
      </c>
      <c r="Q47">
        <f t="shared" ref="Q47" si="211">F47*P47</f>
        <v>-512564.81909547868</v>
      </c>
      <c r="R47">
        <f t="shared" ref="R47" si="212">R48+Q47</f>
        <v>-22205847.13561317</v>
      </c>
      <c r="S47">
        <f t="shared" ref="S47" si="213">R47/100000</f>
        <v>-222.05847135613169</v>
      </c>
      <c r="T47">
        <f t="shared" ref="T47" si="214">S47/1000</f>
        <v>-0.22205847135613169</v>
      </c>
    </row>
    <row r="48" spans="1:20" x14ac:dyDescent="0.25">
      <c r="A48" s="5">
        <v>44545</v>
      </c>
      <c r="B48">
        <v>3.512</v>
      </c>
      <c r="C48">
        <v>3.6179999999999999</v>
      </c>
      <c r="D48">
        <v>3.3340000000000001</v>
      </c>
      <c r="E48">
        <v>3.548</v>
      </c>
      <c r="F48">
        <v>608269</v>
      </c>
      <c r="G48">
        <v>3.548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0.50704225352112753</v>
      </c>
      <c r="Q48">
        <f t="shared" ref="Q48" si="216">F48*P48</f>
        <v>308418.08450704272</v>
      </c>
      <c r="R48">
        <f t="shared" ref="R48" si="217">R49+Q48</f>
        <v>-21693282.316517692</v>
      </c>
      <c r="S48">
        <f t="shared" ref="S48" si="218">R48/100000</f>
        <v>-216.93282316517693</v>
      </c>
      <c r="T48">
        <f t="shared" ref="T48" si="219">S48/1000</f>
        <v>-0.21693282316517692</v>
      </c>
    </row>
    <row r="49" spans="1:20" x14ac:dyDescent="0.25">
      <c r="A49" s="5">
        <v>44544</v>
      </c>
      <c r="B49">
        <v>3.5590000000000002</v>
      </c>
      <c r="C49">
        <v>3.7040000000000002</v>
      </c>
      <c r="D49">
        <v>3.3940000000000001</v>
      </c>
      <c r="E49">
        <v>3.512</v>
      </c>
      <c r="F49">
        <v>970433.4</v>
      </c>
      <c r="G49">
        <v>3.512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-0.23870967741935573</v>
      </c>
      <c r="Q49">
        <f t="shared" ref="Q49" si="221">F49*P49</f>
        <v>-231651.84387096862</v>
      </c>
      <c r="R49">
        <f t="shared" ref="R49" si="222">R50+Q49</f>
        <v>-22001700.401024736</v>
      </c>
      <c r="S49">
        <f t="shared" ref="S49" si="223">R49/100000</f>
        <v>-220.01700401024738</v>
      </c>
      <c r="T49">
        <f t="shared" ref="T49" si="224">S49/1000</f>
        <v>-0.22001700401024737</v>
      </c>
    </row>
    <row r="50" spans="1:20" x14ac:dyDescent="0.25">
      <c r="A50" s="5">
        <v>44543</v>
      </c>
      <c r="B50">
        <v>3.9249999999999998</v>
      </c>
      <c r="C50">
        <v>3.9369999999999998</v>
      </c>
      <c r="D50">
        <v>3.4380000000000002</v>
      </c>
      <c r="E50">
        <v>3.5590000000000002</v>
      </c>
      <c r="F50">
        <v>891216.11</v>
      </c>
      <c r="G50">
        <v>3.5590000000000002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-0.51503006012024022</v>
      </c>
      <c r="Q50">
        <f t="shared" ref="Q50" si="226">F50*P50</f>
        <v>-459003.08671342663</v>
      </c>
      <c r="R50">
        <f t="shared" ref="R50" si="227">R51+Q50</f>
        <v>-21770048.557153769</v>
      </c>
      <c r="S50">
        <f t="shared" ref="S50" si="228">R50/100000</f>
        <v>-217.70048557153768</v>
      </c>
      <c r="T50">
        <f t="shared" ref="T50" si="229">S50/1000</f>
        <v>-0.21770048557153768</v>
      </c>
    </row>
    <row r="51" spans="1:20" x14ac:dyDescent="0.25">
      <c r="A51" s="5">
        <v>44542</v>
      </c>
      <c r="B51">
        <v>3.7909999999999999</v>
      </c>
      <c r="C51">
        <v>4.0030000000000001</v>
      </c>
      <c r="D51">
        <v>3.72</v>
      </c>
      <c r="E51">
        <v>3.9279999999999999</v>
      </c>
      <c r="F51">
        <v>728150.1</v>
      </c>
      <c r="G51">
        <v>3.9279999999999999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0.46996466431095263</v>
      </c>
      <c r="Q51">
        <f t="shared" ref="Q51" si="231">F51*P51</f>
        <v>342204.8173144866</v>
      </c>
      <c r="R51">
        <f t="shared" ref="R51" si="232">R52+Q51</f>
        <v>-21311045.470440343</v>
      </c>
      <c r="S51">
        <f t="shared" ref="S51" si="233">R51/100000</f>
        <v>-213.11045470440342</v>
      </c>
      <c r="T51">
        <f t="shared" ref="T51" si="234">S51/1000</f>
        <v>-0.21311045470440343</v>
      </c>
    </row>
    <row r="52" spans="1:20" x14ac:dyDescent="0.25">
      <c r="A52" s="5">
        <v>44541</v>
      </c>
      <c r="B52">
        <v>3.694</v>
      </c>
      <c r="C52">
        <v>3.8279999999999998</v>
      </c>
      <c r="D52">
        <v>3.6389999999999998</v>
      </c>
      <c r="E52">
        <v>3.7730000000000001</v>
      </c>
      <c r="F52">
        <v>90985.7</v>
      </c>
      <c r="G52">
        <v>3.7730000000000001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0.41798941798942119</v>
      </c>
      <c r="Q52">
        <f t="shared" ref="Q52" si="236">F52*P52</f>
        <v>38031.059788360079</v>
      </c>
      <c r="R52">
        <f t="shared" ref="R52" si="237">R53+Q52</f>
        <v>-21653250.28775483</v>
      </c>
      <c r="S52">
        <f t="shared" ref="S52" si="238">R52/100000</f>
        <v>-216.5325028775483</v>
      </c>
      <c r="T52">
        <f t="shared" ref="T52" si="239">S52/1000</f>
        <v>-0.2165325028775483</v>
      </c>
    </row>
    <row r="53" spans="1:20" x14ac:dyDescent="0.25">
      <c r="A53" s="5">
        <v>44540</v>
      </c>
      <c r="B53">
        <v>3.6619999999999999</v>
      </c>
      <c r="C53">
        <v>3.9820000000000002</v>
      </c>
      <c r="D53">
        <v>3.601</v>
      </c>
      <c r="E53">
        <v>3.702</v>
      </c>
      <c r="F53">
        <v>1016008</v>
      </c>
      <c r="G53">
        <v>3.702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-0.46981627296587969</v>
      </c>
      <c r="Q53">
        <f t="shared" ref="Q53" si="241">F53*P53</f>
        <v>-477337.09186351747</v>
      </c>
      <c r="R53">
        <f t="shared" ref="R53" si="242">R54+Q53</f>
        <v>-21691281.347543191</v>
      </c>
      <c r="S53">
        <f t="shared" ref="S53" si="243">R53/100000</f>
        <v>-216.9128134754319</v>
      </c>
      <c r="T53">
        <f t="shared" ref="T53" si="244">S53/1000</f>
        <v>-0.2169128134754319</v>
      </c>
    </row>
    <row r="54" spans="1:20" x14ac:dyDescent="0.25">
      <c r="A54" s="5">
        <v>44539</v>
      </c>
      <c r="B54">
        <v>4.0709999999999997</v>
      </c>
      <c r="C54">
        <v>4.1130000000000004</v>
      </c>
      <c r="D54">
        <v>3.66</v>
      </c>
      <c r="E54">
        <v>3.6709999999999998</v>
      </c>
      <c r="F54">
        <v>775431.5</v>
      </c>
      <c r="G54">
        <v>3.6709999999999998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-0.95143487858719789</v>
      </c>
      <c r="Q54">
        <f t="shared" ref="Q54" si="246">F54*P54</f>
        <v>-737772.57505518873</v>
      </c>
      <c r="R54">
        <f t="shared" ref="R54" si="247">R55+Q54</f>
        <v>-21213944.255679674</v>
      </c>
      <c r="S54">
        <f t="shared" ref="S54" si="248">R54/100000</f>
        <v>-212.13944255679675</v>
      </c>
      <c r="T54">
        <f t="shared" ref="T54" si="249">S54/1000</f>
        <v>-0.21213944255679676</v>
      </c>
    </row>
    <row r="55" spans="1:20" x14ac:dyDescent="0.25">
      <c r="A55" s="5">
        <v>44538</v>
      </c>
      <c r="B55">
        <v>3.9409999999999998</v>
      </c>
      <c r="C55">
        <v>4.2990000000000004</v>
      </c>
      <c r="D55">
        <v>3.7349999999999999</v>
      </c>
      <c r="E55">
        <v>4.0709999999999997</v>
      </c>
      <c r="F55">
        <v>1487468.3</v>
      </c>
      <c r="G55">
        <v>4.0709999999999997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0.19148936170212608</v>
      </c>
      <c r="Q55">
        <f t="shared" ref="Q55" si="251">F55*P55</f>
        <v>284834.35531914659</v>
      </c>
      <c r="R55">
        <f t="shared" ref="R55" si="252">R56+Q55</f>
        <v>-20476171.680624485</v>
      </c>
      <c r="S55">
        <f t="shared" ref="S55" si="253">R55/100000</f>
        <v>-204.76171680624486</v>
      </c>
      <c r="T55">
        <f t="shared" ref="T55" si="254">S55/1000</f>
        <v>-0.20476171680624486</v>
      </c>
    </row>
    <row r="56" spans="1:20" x14ac:dyDescent="0.25">
      <c r="A56" s="5">
        <v>44537</v>
      </c>
      <c r="B56">
        <v>3.9390000000000001</v>
      </c>
      <c r="C56">
        <v>4.05</v>
      </c>
      <c r="D56">
        <v>3.7829999999999999</v>
      </c>
      <c r="E56">
        <v>3.9470000000000001</v>
      </c>
      <c r="F56">
        <v>1217714.5</v>
      </c>
      <c r="G56">
        <v>3.9470000000000001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0.22846441947565696</v>
      </c>
      <c r="Q56">
        <f t="shared" ref="Q56" si="256">F56*P56</f>
        <v>278204.43632958987</v>
      </c>
      <c r="R56">
        <f t="shared" ref="R56" si="257">R57+Q56</f>
        <v>-20761006.035943631</v>
      </c>
      <c r="S56">
        <f t="shared" ref="S56" si="258">R56/100000</f>
        <v>-207.61006035943632</v>
      </c>
      <c r="T56">
        <f t="shared" ref="T56" si="259">S56/1000</f>
        <v>-0.20761006035943633</v>
      </c>
    </row>
    <row r="57" spans="1:20" x14ac:dyDescent="0.25">
      <c r="A57" s="5">
        <v>44536</v>
      </c>
      <c r="B57">
        <v>4.0330000000000004</v>
      </c>
      <c r="C57">
        <v>4.0869999999999997</v>
      </c>
      <c r="D57">
        <v>3.544</v>
      </c>
      <c r="E57">
        <v>3.952</v>
      </c>
      <c r="F57">
        <v>1490236.2</v>
      </c>
      <c r="G57">
        <v>3.952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0.50276243093922701</v>
      </c>
      <c r="Q57">
        <f t="shared" ref="Q57" si="261">F57*P57</f>
        <v>749234.7745856361</v>
      </c>
      <c r="R57">
        <f t="shared" ref="R57" si="262">R58+Q57</f>
        <v>-21039210.472273219</v>
      </c>
      <c r="S57">
        <f t="shared" ref="S57" si="263">R57/100000</f>
        <v>-210.3921047227322</v>
      </c>
      <c r="T57">
        <f t="shared" ref="T57" si="264">S57/1000</f>
        <v>-0.2103921047227322</v>
      </c>
    </row>
    <row r="58" spans="1:20" x14ac:dyDescent="0.25">
      <c r="A58" s="5">
        <v>44535</v>
      </c>
      <c r="B58">
        <v>4.1779999999999999</v>
      </c>
      <c r="C58">
        <v>4.2699999999999996</v>
      </c>
      <c r="D58">
        <v>3.9249999999999998</v>
      </c>
      <c r="E58">
        <v>4.0389999999999997</v>
      </c>
      <c r="F58">
        <v>790838.4</v>
      </c>
      <c r="G58">
        <v>4.0389999999999997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-0.3391304347826089</v>
      </c>
      <c r="Q58">
        <f t="shared" ref="Q58" si="266">F58*P58</f>
        <v>-268197.37043478276</v>
      </c>
      <c r="R58">
        <f t="shared" ref="R58" si="267">R59+Q58</f>
        <v>-21788445.246858854</v>
      </c>
      <c r="S58">
        <f t="shared" ref="S58" si="268">R58/100000</f>
        <v>-217.88445246858853</v>
      </c>
      <c r="T58">
        <f t="shared" ref="T58" si="269">S58/1000</f>
        <v>-0.21788445246858854</v>
      </c>
    </row>
    <row r="59" spans="1:20" x14ac:dyDescent="0.25">
      <c r="A59" s="5">
        <v>44534</v>
      </c>
      <c r="B59">
        <v>4.9269999999999996</v>
      </c>
      <c r="C59">
        <v>4.9370000000000003</v>
      </c>
      <c r="D59">
        <v>3.657</v>
      </c>
      <c r="E59">
        <v>4.18</v>
      </c>
      <c r="F59">
        <v>1423009.01</v>
      </c>
      <c r="G59">
        <v>4.18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-0.18281250000000066</v>
      </c>
      <c r="Q59">
        <f t="shared" ref="Q59" si="271">F59*P59</f>
        <v>-260143.83464062592</v>
      </c>
      <c r="R59">
        <f t="shared" ref="R59" si="272">R60+Q59</f>
        <v>-21520247.87642407</v>
      </c>
      <c r="S59">
        <f t="shared" ref="S59" si="273">R59/100000</f>
        <v>-215.20247876424071</v>
      </c>
      <c r="T59">
        <f t="shared" ref="T59" si="274">S59/1000</f>
        <v>-0.2152024787642407</v>
      </c>
    </row>
    <row r="60" spans="1:20" x14ac:dyDescent="0.25">
      <c r="A60" s="5">
        <v>44533</v>
      </c>
      <c r="B60">
        <v>4.9909999999999997</v>
      </c>
      <c r="C60">
        <v>5.234</v>
      </c>
      <c r="D60">
        <v>4.7619999999999996</v>
      </c>
      <c r="E60">
        <v>4.9359999999999999</v>
      </c>
      <c r="F60">
        <v>1311618.7</v>
      </c>
      <c r="G60">
        <v>4.9359999999999999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-0.26271186440677874</v>
      </c>
      <c r="Q60">
        <f t="shared" ref="Q60" si="276">F60*P60</f>
        <v>-344577.79406779539</v>
      </c>
      <c r="R60">
        <f t="shared" ref="R60" si="277">R61+Q60</f>
        <v>-21260104.041783445</v>
      </c>
      <c r="S60">
        <f t="shared" ref="S60" si="278">R60/100000</f>
        <v>-212.60104041783444</v>
      </c>
      <c r="T60">
        <f t="shared" ref="T60" si="279">S60/1000</f>
        <v>-0.21260104041783445</v>
      </c>
    </row>
    <row r="61" spans="1:20" x14ac:dyDescent="0.25">
      <c r="A61" s="5">
        <v>44532</v>
      </c>
      <c r="B61">
        <v>5.0369999999999999</v>
      </c>
      <c r="C61">
        <v>5.1989999999999998</v>
      </c>
      <c r="D61">
        <v>4.79</v>
      </c>
      <c r="E61">
        <v>4.9889999999999999</v>
      </c>
      <c r="F61">
        <v>1004563.9</v>
      </c>
      <c r="G61">
        <v>4.9889999999999999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-2.6894865525672679E-2</v>
      </c>
      <c r="Q61">
        <f t="shared" ref="Q61" si="281">F61*P61</f>
        <v>-27017.611002445297</v>
      </c>
      <c r="R61">
        <f t="shared" ref="R61" si="282">R62+Q61</f>
        <v>-20915526.247715648</v>
      </c>
      <c r="S61">
        <f t="shared" ref="S61" si="283">R61/100000</f>
        <v>-209.15526247715647</v>
      </c>
      <c r="T61">
        <f t="shared" ref="T61" si="284">S61/1000</f>
        <v>-0.20915526247715646</v>
      </c>
    </row>
    <row r="62" spans="1:20" x14ac:dyDescent="0.25">
      <c r="A62" s="5">
        <v>44531</v>
      </c>
      <c r="B62">
        <v>4.8689999999999998</v>
      </c>
      <c r="C62">
        <v>5.2480000000000002</v>
      </c>
      <c r="D62">
        <v>4.8440000000000003</v>
      </c>
      <c r="E62">
        <v>5.0350000000000001</v>
      </c>
      <c r="F62">
        <v>1560971.5</v>
      </c>
      <c r="G62">
        <v>5.0350000000000001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-5.4455445544555066E-2</v>
      </c>
      <c r="Q62">
        <f t="shared" ref="Q62" si="286">F62*P62</f>
        <v>-85003.398514852437</v>
      </c>
      <c r="R62">
        <f t="shared" ref="R62" si="287">R63+Q62</f>
        <v>-20888508.636713203</v>
      </c>
      <c r="S62">
        <f t="shared" ref="S62" si="288">R62/100000</f>
        <v>-208.88508636713203</v>
      </c>
      <c r="T62">
        <f t="shared" ref="T62" si="289">S62/1000</f>
        <v>-0.20888508636713204</v>
      </c>
    </row>
    <row r="63" spans="1:20" x14ac:dyDescent="0.25">
      <c r="A63" s="5">
        <v>44530</v>
      </c>
      <c r="B63">
        <v>5.0049999999999999</v>
      </c>
      <c r="C63">
        <v>5.08</v>
      </c>
      <c r="D63">
        <v>4.8499999999999996</v>
      </c>
      <c r="E63">
        <v>4.8600000000000003</v>
      </c>
      <c r="F63">
        <v>565011.1</v>
      </c>
      <c r="G63">
        <v>4.8600000000000003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-0.91304347826086385</v>
      </c>
      <c r="Q63">
        <f t="shared" ref="Q63" si="291">F63*P63</f>
        <v>-515879.69999999675</v>
      </c>
      <c r="R63">
        <f t="shared" ref="R63" si="292">R64+Q63</f>
        <v>-20803505.238198351</v>
      </c>
      <c r="S63">
        <f t="shared" ref="S63" si="293">R63/100000</f>
        <v>-208.03505238198352</v>
      </c>
      <c r="T63">
        <f t="shared" ref="T63" si="294">S63/1000</f>
        <v>-0.20803505238198353</v>
      </c>
    </row>
    <row r="64" spans="1:20" x14ac:dyDescent="0.25">
      <c r="A64" s="5">
        <v>44529</v>
      </c>
      <c r="B64">
        <v>4.8250000000000002</v>
      </c>
      <c r="C64">
        <v>5.157</v>
      </c>
      <c r="D64">
        <v>4.79</v>
      </c>
      <c r="E64">
        <v>5.0060000000000002</v>
      </c>
      <c r="F64">
        <v>730180.9</v>
      </c>
      <c r="G64">
        <v>5.0060000000000002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0.17711171662125447</v>
      </c>
      <c r="Q64">
        <f t="shared" ref="Q64" si="296">F64*P64</f>
        <v>129323.59264305254</v>
      </c>
      <c r="R64">
        <f t="shared" ref="R64" si="297">R65+Q64</f>
        <v>-20287625.538198356</v>
      </c>
      <c r="S64">
        <f t="shared" ref="S64" si="298">R64/100000</f>
        <v>-202.87625538198355</v>
      </c>
      <c r="T64">
        <f t="shared" ref="T64" si="299">S64/1000</f>
        <v>-0.20287625538198356</v>
      </c>
    </row>
    <row r="65" spans="1:20" x14ac:dyDescent="0.25">
      <c r="A65" s="5">
        <v>44528</v>
      </c>
      <c r="B65">
        <v>4.8979999999999997</v>
      </c>
      <c r="C65">
        <v>4.9039999999999999</v>
      </c>
      <c r="D65">
        <v>4.5</v>
      </c>
      <c r="E65">
        <v>4.82</v>
      </c>
      <c r="F65">
        <v>772621</v>
      </c>
      <c r="G65">
        <v>4.82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0.5841584158415859</v>
      </c>
      <c r="Q65">
        <f t="shared" ref="Q65" si="301">F65*P65</f>
        <v>451333.05940594192</v>
      </c>
      <c r="R65">
        <f t="shared" ref="R65" si="302">R66+Q65</f>
        <v>-20416949.130841408</v>
      </c>
      <c r="S65">
        <f t="shared" ref="S65" si="303">R65/100000</f>
        <v>-204.16949130841408</v>
      </c>
      <c r="T65">
        <f t="shared" ref="T65" si="304">S65/1000</f>
        <v>-0.20416949130841408</v>
      </c>
    </row>
    <row r="66" spans="1:20" x14ac:dyDescent="0.25">
      <c r="A66" s="5">
        <v>44527</v>
      </c>
      <c r="B66">
        <v>4.8250000000000002</v>
      </c>
      <c r="C66">
        <v>5.0430000000000001</v>
      </c>
      <c r="D66">
        <v>4.758</v>
      </c>
      <c r="E66">
        <v>4.907</v>
      </c>
      <c r="F66">
        <v>671546.4</v>
      </c>
      <c r="G66">
        <v>4.907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4.5614035087718927E-2</v>
      </c>
      <c r="Q66">
        <f t="shared" ref="Q66" si="306">F66*P66</f>
        <v>30631.94105263133</v>
      </c>
      <c r="R66">
        <f t="shared" ref="R66" si="307">R67+Q66</f>
        <v>-20868282.190247349</v>
      </c>
      <c r="S66">
        <f t="shared" ref="S66" si="308">R66/100000</f>
        <v>-208.68282190247351</v>
      </c>
      <c r="T66">
        <f t="shared" ref="T66" si="309">S66/1000</f>
        <v>-0.2086828219024735</v>
      </c>
    </row>
    <row r="67" spans="1:20" x14ac:dyDescent="0.25">
      <c r="A67" s="5">
        <v>44526</v>
      </c>
      <c r="B67">
        <v>5.3</v>
      </c>
      <c r="C67">
        <v>5.3179999999999996</v>
      </c>
      <c r="D67">
        <v>4.7610000000000001</v>
      </c>
      <c r="E67">
        <v>4.8339999999999996</v>
      </c>
      <c r="F67">
        <v>1139458.7</v>
      </c>
      <c r="G67">
        <v>4.8339999999999996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-0.73788150807899611</v>
      </c>
      <c r="Q67">
        <f t="shared" ref="Q67" si="311">F67*P67</f>
        <v>-840785.5039497324</v>
      </c>
      <c r="R67">
        <f t="shared" ref="R67" si="312">R68+Q67</f>
        <v>-20898914.13129998</v>
      </c>
      <c r="S67">
        <f t="shared" ref="S67" si="313">R67/100000</f>
        <v>-208.98914131299981</v>
      </c>
      <c r="T67">
        <f t="shared" ref="T67" si="314">S67/1000</f>
        <v>-0.20898914131299981</v>
      </c>
    </row>
    <row r="68" spans="1:20" x14ac:dyDescent="0.25">
      <c r="A68" s="5">
        <v>44525</v>
      </c>
      <c r="B68">
        <v>5.1079999999999997</v>
      </c>
      <c r="C68">
        <v>5.4139999999999997</v>
      </c>
      <c r="D68">
        <v>5.03</v>
      </c>
      <c r="E68">
        <v>5.2990000000000004</v>
      </c>
      <c r="F68">
        <v>907200.4</v>
      </c>
      <c r="G68">
        <v>5.2990000000000004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0.40104166666666935</v>
      </c>
      <c r="Q68">
        <f t="shared" ref="Q68" si="316">F68*P68</f>
        <v>363825.1604166691</v>
      </c>
      <c r="R68">
        <f t="shared" ref="R68" si="317">R69+Q68</f>
        <v>-20058128.627350248</v>
      </c>
      <c r="S68">
        <f t="shared" ref="S68" si="318">R68/100000</f>
        <v>-200.58128627350249</v>
      </c>
      <c r="T68">
        <f t="shared" ref="T68" si="319">S68/1000</f>
        <v>-0.2005812862735025</v>
      </c>
    </row>
    <row r="69" spans="1:20" x14ac:dyDescent="0.25">
      <c r="A69" s="5">
        <v>44524</v>
      </c>
      <c r="B69">
        <v>5.4370000000000003</v>
      </c>
      <c r="C69">
        <v>5.4729999999999999</v>
      </c>
      <c r="D69">
        <v>5.1710000000000003</v>
      </c>
      <c r="E69">
        <v>5.23</v>
      </c>
      <c r="F69">
        <v>218563.4</v>
      </c>
      <c r="G69">
        <v>5.23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-0.6092715231788064</v>
      </c>
      <c r="Q69">
        <f t="shared" ref="Q69" si="321">F69*P69</f>
        <v>-133164.45562913874</v>
      </c>
      <c r="R69">
        <f t="shared" ref="R69" si="322">R70+Q69</f>
        <v>-20421953.787766919</v>
      </c>
      <c r="S69">
        <f t="shared" ref="S69" si="323">R69/100000</f>
        <v>-204.21953787766918</v>
      </c>
      <c r="T69">
        <f t="shared" ref="T69" si="324">S69/1000</f>
        <v>-0.20421953787766919</v>
      </c>
    </row>
    <row r="70" spans="1:20" x14ac:dyDescent="0.25">
      <c r="A70" s="5">
        <v>44523</v>
      </c>
      <c r="B70">
        <v>5.2240000000000002</v>
      </c>
      <c r="C70">
        <v>5.5049999999999999</v>
      </c>
      <c r="D70">
        <v>5.1349999999999998</v>
      </c>
      <c r="E70">
        <v>5.4329999999999998</v>
      </c>
      <c r="F70">
        <v>896904.1</v>
      </c>
      <c r="G70">
        <v>5.4329999999999998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0.61081081081081057</v>
      </c>
      <c r="Q70">
        <f t="shared" ref="Q70" si="326">F70*P70</f>
        <v>547838.72054054029</v>
      </c>
      <c r="R70">
        <f t="shared" ref="R70" si="327">R71+Q70</f>
        <v>-20288789.332137778</v>
      </c>
      <c r="S70">
        <f t="shared" ref="S70" si="328">R70/100000</f>
        <v>-202.88789332137779</v>
      </c>
      <c r="T70">
        <f t="shared" ref="T70" si="329">S70/1000</f>
        <v>-0.2028878933213778</v>
      </c>
    </row>
    <row r="71" spans="1:20" x14ac:dyDescent="0.25">
      <c r="A71" s="5">
        <v>44522</v>
      </c>
      <c r="B71">
        <v>5.3970000000000002</v>
      </c>
      <c r="C71">
        <v>5.399</v>
      </c>
      <c r="D71">
        <v>5.1230000000000002</v>
      </c>
      <c r="E71">
        <v>5.218</v>
      </c>
      <c r="F71">
        <v>909884.7</v>
      </c>
      <c r="G71">
        <v>5.218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-0.31159420289855205</v>
      </c>
      <c r="Q71">
        <f t="shared" ref="Q71" si="331">F71*P71</f>
        <v>-283514.79782608815</v>
      </c>
      <c r="R71">
        <f t="shared" ref="R71" si="332">R72+Q71</f>
        <v>-20836628.052678317</v>
      </c>
      <c r="S71">
        <f t="shared" ref="S71" si="333">R71/100000</f>
        <v>-208.36628052678316</v>
      </c>
      <c r="T71">
        <f t="shared" ref="T71" si="334">S71/1000</f>
        <v>-0.20836628052678316</v>
      </c>
    </row>
    <row r="72" spans="1:20" x14ac:dyDescent="0.25">
      <c r="A72" s="5">
        <v>44521</v>
      </c>
      <c r="B72">
        <v>5.5549999999999997</v>
      </c>
      <c r="C72">
        <v>5.6289999999999996</v>
      </c>
      <c r="D72">
        <v>5.3230000000000004</v>
      </c>
      <c r="E72">
        <v>5.391</v>
      </c>
      <c r="F72">
        <v>951447.9</v>
      </c>
      <c r="G72">
        <v>5.391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-0.5555555555555568</v>
      </c>
      <c r="Q72">
        <f t="shared" ref="Q72" si="336">F72*P72</f>
        <v>-528582.16666666791</v>
      </c>
      <c r="R72">
        <f t="shared" ref="R72" si="337">R73+Q72</f>
        <v>-20553113.254852228</v>
      </c>
      <c r="S72">
        <f t="shared" ref="S72" si="338">R72/100000</f>
        <v>-205.53113254852227</v>
      </c>
      <c r="T72">
        <f t="shared" ref="T72" si="339">S72/1000</f>
        <v>-0.20553113254852226</v>
      </c>
    </row>
    <row r="73" spans="1:20" x14ac:dyDescent="0.25">
      <c r="A73" s="5">
        <v>44520</v>
      </c>
      <c r="B73">
        <v>5.601</v>
      </c>
      <c r="C73">
        <v>5.68</v>
      </c>
      <c r="D73">
        <v>5.3780000000000001</v>
      </c>
      <c r="E73">
        <v>5.5549999999999997</v>
      </c>
      <c r="F73">
        <v>805819.2</v>
      </c>
      <c r="G73">
        <v>5.5549999999999997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0.17218543046357507</v>
      </c>
      <c r="Q73">
        <f t="shared" ref="Q73" si="341">F73*P73</f>
        <v>138750.32582781368</v>
      </c>
      <c r="R73">
        <f t="shared" ref="R73" si="342">R74+Q73</f>
        <v>-20024531.08818556</v>
      </c>
      <c r="S73">
        <f t="shared" ref="S73" si="343">R73/100000</f>
        <v>-200.2453108818556</v>
      </c>
      <c r="T73">
        <f t="shared" ref="T73" si="344">S73/1000</f>
        <v>-0.2002453108818556</v>
      </c>
    </row>
    <row r="74" spans="1:20" x14ac:dyDescent="0.25">
      <c r="A74" s="5">
        <v>44519</v>
      </c>
      <c r="B74">
        <v>5.4080000000000004</v>
      </c>
      <c r="C74">
        <v>5.7679999999999998</v>
      </c>
      <c r="D74">
        <v>5.2009999999999996</v>
      </c>
      <c r="E74">
        <v>5.6059999999999999</v>
      </c>
      <c r="F74">
        <v>960726.8</v>
      </c>
      <c r="G74">
        <v>5.6059999999999999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0.42857142857142899</v>
      </c>
      <c r="Q74">
        <f t="shared" ref="Q74" si="346">F74*P74</f>
        <v>411740.05714285758</v>
      </c>
      <c r="R74">
        <f t="shared" ref="R74" si="347">R75+Q74</f>
        <v>-20163281.414013375</v>
      </c>
      <c r="S74">
        <f t="shared" ref="S74" si="348">R74/100000</f>
        <v>-201.63281414013375</v>
      </c>
      <c r="T74">
        <f t="shared" ref="T74" si="349">S74/1000</f>
        <v>-0.20163281414013376</v>
      </c>
    </row>
    <row r="75" spans="1:20" x14ac:dyDescent="0.25">
      <c r="A75" s="5">
        <v>44518</v>
      </c>
      <c r="B75">
        <v>5.952</v>
      </c>
      <c r="C75">
        <v>6.1189999999999998</v>
      </c>
      <c r="D75">
        <v>5.2709999999999999</v>
      </c>
      <c r="E75">
        <v>5.4059999999999997</v>
      </c>
      <c r="F75">
        <v>1817375.1</v>
      </c>
      <c r="G75">
        <v>5.4059999999999997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-0.68160377358490609</v>
      </c>
      <c r="Q75">
        <f t="shared" ref="Q75" si="351">F75*P75</f>
        <v>-1238729.7261792461</v>
      </c>
      <c r="R75">
        <f t="shared" ref="R75" si="352">R76+Q75</f>
        <v>-20575021.471156232</v>
      </c>
      <c r="S75">
        <f t="shared" ref="S75" si="353">R75/100000</f>
        <v>-205.75021471156231</v>
      </c>
      <c r="T75">
        <f t="shared" ref="T75" si="354">S75/1000</f>
        <v>-0.2057502147115623</v>
      </c>
    </row>
    <row r="76" spans="1:20" x14ac:dyDescent="0.25">
      <c r="A76" s="5">
        <v>44517</v>
      </c>
      <c r="B76">
        <v>5.93</v>
      </c>
      <c r="C76">
        <v>6.34</v>
      </c>
      <c r="D76">
        <v>5.5979999999999999</v>
      </c>
      <c r="E76">
        <v>5.9539999999999997</v>
      </c>
      <c r="F76">
        <v>1985341.9</v>
      </c>
      <c r="G76">
        <v>5.9539999999999997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-4.0431266846361523E-2</v>
      </c>
      <c r="Q76">
        <f t="shared" ref="Q76" si="356">F76*P76</f>
        <v>-80269.888140162395</v>
      </c>
      <c r="R76">
        <f t="shared" ref="R76" si="357">R77+Q76</f>
        <v>-19336291.744976986</v>
      </c>
      <c r="S76">
        <f t="shared" ref="S76" si="358">R76/100000</f>
        <v>-193.36291744976987</v>
      </c>
      <c r="T76">
        <f t="shared" ref="T76" si="359">S76/1000</f>
        <v>-0.19336291744976986</v>
      </c>
    </row>
    <row r="77" spans="1:20" x14ac:dyDescent="0.25">
      <c r="A77" s="5">
        <v>44516</v>
      </c>
      <c r="B77">
        <v>6.16</v>
      </c>
      <c r="C77">
        <v>6.6</v>
      </c>
      <c r="D77">
        <v>5.351</v>
      </c>
      <c r="E77">
        <v>5.93</v>
      </c>
      <c r="F77">
        <v>4776055.4000000004</v>
      </c>
      <c r="G77">
        <v>5.93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-7.2858286629303617E-2</v>
      </c>
      <c r="Q77">
        <f t="shared" ref="Q77" si="361">F77*P77</f>
        <v>-347975.21329063334</v>
      </c>
      <c r="R77">
        <f t="shared" ref="R77" si="362">R78+Q77</f>
        <v>-19256021.856836826</v>
      </c>
      <c r="S77">
        <f t="shared" ref="S77" si="363">R77/100000</f>
        <v>-192.56021856836824</v>
      </c>
      <c r="T77">
        <f t="shared" ref="T77" si="364">S77/1000</f>
        <v>-0.19256021856836825</v>
      </c>
    </row>
    <row r="78" spans="1:20" x14ac:dyDescent="0.25">
      <c r="A78" s="5">
        <v>44515</v>
      </c>
      <c r="B78">
        <v>5.8129999999999997</v>
      </c>
      <c r="C78">
        <v>6.64</v>
      </c>
      <c r="D78">
        <v>5.72</v>
      </c>
      <c r="E78">
        <v>6.1630000000000003</v>
      </c>
      <c r="F78">
        <v>4161747</v>
      </c>
      <c r="G78">
        <v>6.1630000000000003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-3.6956521739129264E-2</v>
      </c>
      <c r="Q78">
        <f t="shared" ref="Q78" si="366">F78*P78</f>
        <v>-153803.693478256</v>
      </c>
      <c r="R78">
        <f t="shared" ref="R78" si="367">R79+Q78</f>
        <v>-18908046.643546194</v>
      </c>
      <c r="S78">
        <f t="shared" ref="S78" si="368">R78/100000</f>
        <v>-189.08046643546194</v>
      </c>
      <c r="T78">
        <f t="shared" ref="T78" si="369">S78/1000</f>
        <v>-0.18908046643546195</v>
      </c>
    </row>
    <row r="79" spans="1:20" x14ac:dyDescent="0.25">
      <c r="A79" s="5">
        <v>44514</v>
      </c>
      <c r="B79">
        <v>5.7939999999999996</v>
      </c>
      <c r="C79">
        <v>5.8410000000000002</v>
      </c>
      <c r="D79">
        <v>5.6340000000000003</v>
      </c>
      <c r="E79">
        <v>5.8010000000000002</v>
      </c>
      <c r="F79">
        <v>735884.4</v>
      </c>
      <c r="G79">
        <v>5.8010000000000002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0.61352657004830857</v>
      </c>
      <c r="Q79">
        <f t="shared" ref="Q79" si="371">F79*P79</f>
        <v>451484.63188405754</v>
      </c>
      <c r="R79">
        <f t="shared" ref="R79" si="372">R80+Q79</f>
        <v>-18754242.950067937</v>
      </c>
      <c r="S79">
        <f t="shared" ref="S79" si="373">R79/100000</f>
        <v>-187.54242950067936</v>
      </c>
      <c r="T79">
        <f t="shared" ref="T79" si="374">S79/1000</f>
        <v>-0.18754242950067937</v>
      </c>
    </row>
    <row r="80" spans="1:20" x14ac:dyDescent="0.25">
      <c r="A80" s="5">
        <v>44513</v>
      </c>
      <c r="B80">
        <v>5.9130000000000003</v>
      </c>
      <c r="C80">
        <v>6.06</v>
      </c>
      <c r="D80">
        <v>5.702</v>
      </c>
      <c r="E80">
        <v>5.7889999999999997</v>
      </c>
      <c r="F80">
        <v>1592547.3</v>
      </c>
      <c r="G80">
        <v>5.7889999999999997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-0.51396648044692828</v>
      </c>
      <c r="Q80">
        <f t="shared" ref="Q80" si="376">F80*P80</f>
        <v>-818515.93072625843</v>
      </c>
      <c r="R80">
        <f t="shared" ref="R80" si="377">R81+Q80</f>
        <v>-19205727.581951994</v>
      </c>
      <c r="S80">
        <f t="shared" ref="S80" si="378">R80/100000</f>
        <v>-192.05727581951996</v>
      </c>
      <c r="T80">
        <f t="shared" ref="T80" si="379">S80/1000</f>
        <v>-0.19205727581951995</v>
      </c>
    </row>
    <row r="81" spans="1:20" x14ac:dyDescent="0.25">
      <c r="A81" s="5">
        <v>44512</v>
      </c>
      <c r="B81">
        <v>5.6520000000000001</v>
      </c>
      <c r="C81">
        <v>6.04</v>
      </c>
      <c r="D81">
        <v>5.55</v>
      </c>
      <c r="E81">
        <v>5.9130000000000003</v>
      </c>
      <c r="F81">
        <v>1358560.7</v>
      </c>
      <c r="G81">
        <v>5.9130000000000003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0.4816326530612256</v>
      </c>
      <c r="Q81">
        <f t="shared" ref="Q81" si="381">F81*P81</f>
        <v>654327.19428571581</v>
      </c>
      <c r="R81">
        <f t="shared" ref="R81" si="382">R82+Q81</f>
        <v>-18387211.651225735</v>
      </c>
      <c r="S81">
        <f t="shared" ref="S81" si="383">R81/100000</f>
        <v>-183.87211651225735</v>
      </c>
      <c r="T81">
        <f t="shared" ref="T81" si="384">S81/1000</f>
        <v>-0.18387211651225735</v>
      </c>
    </row>
    <row r="82" spans="1:20" x14ac:dyDescent="0.25">
      <c r="A82" s="5">
        <v>44511</v>
      </c>
      <c r="B82">
        <v>5.7270000000000003</v>
      </c>
      <c r="C82">
        <v>5.8369999999999997</v>
      </c>
      <c r="D82">
        <v>5.5129999999999999</v>
      </c>
      <c r="E82">
        <v>5.657</v>
      </c>
      <c r="F82">
        <v>916035.3</v>
      </c>
      <c r="G82">
        <v>5.657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-0.1111111111111099</v>
      </c>
      <c r="Q82">
        <f t="shared" ref="Q82" si="386">F82*P82</f>
        <v>-101781.69999999889</v>
      </c>
      <c r="R82">
        <f t="shared" ref="R82" si="387">R83+Q82</f>
        <v>-19041538.845511451</v>
      </c>
      <c r="S82">
        <f t="shared" ref="S82" si="388">R82/100000</f>
        <v>-190.41538845511451</v>
      </c>
      <c r="T82">
        <f t="shared" ref="T82" si="389">S82/1000</f>
        <v>-0.19041538845511452</v>
      </c>
    </row>
    <row r="83" spans="1:20" x14ac:dyDescent="0.25">
      <c r="A83" s="5">
        <v>44510</v>
      </c>
      <c r="B83">
        <v>5.8659999999999997</v>
      </c>
      <c r="C83">
        <v>6.1</v>
      </c>
      <c r="D83">
        <v>5.3979999999999997</v>
      </c>
      <c r="E83">
        <v>5.7359999999999998</v>
      </c>
      <c r="F83">
        <v>1291313.3</v>
      </c>
      <c r="G83">
        <v>5.7359999999999998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-3.7037037037036757E-2</v>
      </c>
      <c r="Q83">
        <f t="shared" ref="Q83" si="391">F83*P83</f>
        <v>-47826.418518518156</v>
      </c>
      <c r="R83">
        <f t="shared" ref="R83" si="392">R84+Q83</f>
        <v>-18939757.145511452</v>
      </c>
      <c r="S83">
        <f t="shared" ref="S83" si="393">R83/100000</f>
        <v>-189.39757145511453</v>
      </c>
      <c r="T83">
        <f t="shared" ref="T83" si="394">S83/1000</f>
        <v>-0.18939757145511454</v>
      </c>
    </row>
    <row r="84" spans="1:20" x14ac:dyDescent="0.25">
      <c r="A84" s="5">
        <v>44509</v>
      </c>
      <c r="B84">
        <v>5.9480000000000004</v>
      </c>
      <c r="C84">
        <v>6.0750000000000002</v>
      </c>
      <c r="D84">
        <v>5.7949999999999999</v>
      </c>
      <c r="E84">
        <v>5.8710000000000004</v>
      </c>
      <c r="F84">
        <v>1044156.1</v>
      </c>
      <c r="G84">
        <v>5.8710000000000004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-0.45714285714285396</v>
      </c>
      <c r="Q84">
        <f t="shared" ref="Q84" si="396">F84*P84</f>
        <v>-477328.50285713951</v>
      </c>
      <c r="R84">
        <f t="shared" ref="R84" si="397">R85+Q84</f>
        <v>-18891930.726992935</v>
      </c>
      <c r="S84">
        <f t="shared" ref="S84" si="398">R84/100000</f>
        <v>-188.91930726992936</v>
      </c>
      <c r="T84">
        <f t="shared" ref="T84" si="399">S84/1000</f>
        <v>-0.18891930726992937</v>
      </c>
    </row>
    <row r="85" spans="1:20" x14ac:dyDescent="0.25">
      <c r="A85" s="5">
        <v>44508</v>
      </c>
      <c r="B85">
        <v>5.6820000000000004</v>
      </c>
      <c r="C85">
        <v>5.976</v>
      </c>
      <c r="D85">
        <v>5.6619999999999999</v>
      </c>
      <c r="E85">
        <v>5.9279999999999999</v>
      </c>
      <c r="F85">
        <v>1096622.8</v>
      </c>
      <c r="G85">
        <v>5.9279999999999999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0.69426751592356661</v>
      </c>
      <c r="Q85">
        <f t="shared" ref="Q85" si="401">F85*P85</f>
        <v>761349.58726114628</v>
      </c>
      <c r="R85">
        <f t="shared" ref="R85" si="402">R86+Q85</f>
        <v>-18414602.224135794</v>
      </c>
      <c r="S85">
        <f t="shared" ref="S85" si="403">R85/100000</f>
        <v>-184.14602224135794</v>
      </c>
      <c r="T85">
        <f t="shared" ref="T85" si="404">S85/1000</f>
        <v>-0.18414602224135795</v>
      </c>
    </row>
    <row r="86" spans="1:20" x14ac:dyDescent="0.25">
      <c r="A86" s="5">
        <v>44507</v>
      </c>
      <c r="B86">
        <v>5.6970000000000001</v>
      </c>
      <c r="C86">
        <v>5.7969999999999997</v>
      </c>
      <c r="D86">
        <v>5.6360000000000001</v>
      </c>
      <c r="E86">
        <v>5.6849999999999996</v>
      </c>
      <c r="F86">
        <v>615813.30000000005</v>
      </c>
      <c r="G86">
        <v>5.6849999999999996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-0.39130434782609175</v>
      </c>
      <c r="Q86">
        <f t="shared" ref="Q86" si="406">F86*P86</f>
        <v>-240970.4217391334</v>
      </c>
      <c r="R86">
        <f t="shared" ref="R86" si="407">R87+Q86</f>
        <v>-19175951.811396942</v>
      </c>
      <c r="S86">
        <f t="shared" ref="S86" si="408">R86/100000</f>
        <v>-191.75951811396942</v>
      </c>
      <c r="T86">
        <f t="shared" ref="T86" si="409">S86/1000</f>
        <v>-0.19175951811396941</v>
      </c>
    </row>
    <row r="87" spans="1:20" x14ac:dyDescent="0.25">
      <c r="A87" s="5">
        <v>44506</v>
      </c>
      <c r="B87">
        <v>5.7039999999999997</v>
      </c>
      <c r="C87">
        <v>5.78</v>
      </c>
      <c r="D87">
        <v>5.5</v>
      </c>
      <c r="E87">
        <v>5.7039999999999997</v>
      </c>
      <c r="F87">
        <v>582814</v>
      </c>
      <c r="G87">
        <v>5.7039999999999997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0.45714285714285396</v>
      </c>
      <c r="Q87">
        <f t="shared" ref="Q87" si="411">F87*P87</f>
        <v>266429.25714285526</v>
      </c>
      <c r="R87">
        <f t="shared" ref="R87" si="412">R88+Q87</f>
        <v>-18934981.389657807</v>
      </c>
      <c r="S87">
        <f t="shared" ref="S87" si="413">R87/100000</f>
        <v>-189.34981389657807</v>
      </c>
      <c r="T87">
        <f t="shared" ref="T87" si="414">S87/1000</f>
        <v>-0.18934981389657807</v>
      </c>
    </row>
    <row r="88" spans="1:20" x14ac:dyDescent="0.25">
      <c r="A88" s="5">
        <v>44505</v>
      </c>
      <c r="B88">
        <v>5.79</v>
      </c>
      <c r="C88">
        <v>5.9249999999999998</v>
      </c>
      <c r="D88">
        <v>5.67</v>
      </c>
      <c r="E88">
        <v>5.7080000000000002</v>
      </c>
      <c r="F88">
        <v>579454.5</v>
      </c>
      <c r="G88">
        <v>5.7080000000000002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-0.70196078431372333</v>
      </c>
      <c r="Q88">
        <f t="shared" ref="Q88" si="416">F88*P88</f>
        <v>-406754.3352941164</v>
      </c>
      <c r="R88">
        <f t="shared" ref="R88" si="417">R89+Q88</f>
        <v>-19201410.646800663</v>
      </c>
      <c r="S88">
        <f t="shared" ref="S88" si="418">R88/100000</f>
        <v>-192.01410646800664</v>
      </c>
      <c r="T88">
        <f t="shared" ref="T88" si="419">S88/1000</f>
        <v>-0.19201410646800665</v>
      </c>
    </row>
    <row r="89" spans="1:20" x14ac:dyDescent="0.25">
      <c r="A89" s="5">
        <v>44504</v>
      </c>
      <c r="B89">
        <v>6.0190000000000001</v>
      </c>
      <c r="C89">
        <v>6.1</v>
      </c>
      <c r="D89">
        <v>5.66</v>
      </c>
      <c r="E89">
        <v>5.7939999999999996</v>
      </c>
      <c r="F89">
        <v>1252058</v>
      </c>
      <c r="G89">
        <v>5.7939999999999996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-0.3909090909090927</v>
      </c>
      <c r="Q89">
        <f t="shared" ref="Q89" si="421">F89*P89</f>
        <v>-489440.85454545676</v>
      </c>
      <c r="R89">
        <f t="shared" ref="R89" si="422">R90+Q89</f>
        <v>-18794656.311506547</v>
      </c>
      <c r="S89">
        <f t="shared" ref="S89" si="423">R89/100000</f>
        <v>-187.94656311506546</v>
      </c>
      <c r="T89">
        <f t="shared" ref="T89" si="424">S89/1000</f>
        <v>-0.18794656311506547</v>
      </c>
    </row>
    <row r="90" spans="1:20" x14ac:dyDescent="0.25">
      <c r="A90" s="5">
        <v>44503</v>
      </c>
      <c r="B90">
        <v>6.1239999999999997</v>
      </c>
      <c r="C90">
        <v>6.4</v>
      </c>
      <c r="D90">
        <v>5.8840000000000003</v>
      </c>
      <c r="E90">
        <v>6.024</v>
      </c>
      <c r="F90">
        <v>1543587.6</v>
      </c>
      <c r="G90">
        <v>6.024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-0.45736434108527257</v>
      </c>
      <c r="Q90">
        <f t="shared" ref="Q90" si="426">F90*P90</f>
        <v>-705981.92558139737</v>
      </c>
      <c r="R90">
        <f t="shared" ref="R90" si="427">R91+Q90</f>
        <v>-18305215.456961092</v>
      </c>
      <c r="S90">
        <f t="shared" ref="S90" si="428">R90/100000</f>
        <v>-183.05215456961091</v>
      </c>
      <c r="T90">
        <f t="shared" ref="T90" si="429">S90/1000</f>
        <v>-0.18305215456961091</v>
      </c>
    </row>
    <row r="91" spans="1:20" x14ac:dyDescent="0.25">
      <c r="A91" s="5">
        <v>44502</v>
      </c>
      <c r="B91">
        <v>6.0350000000000001</v>
      </c>
      <c r="C91">
        <v>6.27</v>
      </c>
      <c r="D91">
        <v>5.9420000000000002</v>
      </c>
      <c r="E91">
        <v>6.1280000000000001</v>
      </c>
      <c r="F91">
        <v>1171260.8</v>
      </c>
      <c r="G91">
        <v>6.1280000000000001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0.13414634146341636</v>
      </c>
      <c r="Q91">
        <f t="shared" ref="Q91" si="431">F91*P91</f>
        <v>157120.35121951424</v>
      </c>
      <c r="R91">
        <f t="shared" ref="R91" si="432">R92+Q91</f>
        <v>-17599233.531379696</v>
      </c>
      <c r="S91">
        <f t="shared" ref="S91" si="433">R91/100000</f>
        <v>-175.99233531379696</v>
      </c>
      <c r="T91">
        <f t="shared" ref="T91" si="434">S91/1000</f>
        <v>-0.17599233531379696</v>
      </c>
    </row>
    <row r="92" spans="1:20" x14ac:dyDescent="0.25">
      <c r="A92" s="5">
        <v>44501</v>
      </c>
      <c r="B92">
        <v>6.2320000000000002</v>
      </c>
      <c r="C92">
        <v>6.2549999999999999</v>
      </c>
      <c r="D92">
        <v>5.8330000000000002</v>
      </c>
      <c r="E92">
        <v>6.0350000000000001</v>
      </c>
      <c r="F92">
        <v>1120408.8999999999</v>
      </c>
      <c r="G92">
        <v>6.0350000000000001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-4.2654028436018496E-2</v>
      </c>
      <c r="Q92">
        <f t="shared" ref="Q92" si="436">F92*P92</f>
        <v>-47789.953080568201</v>
      </c>
      <c r="R92">
        <f t="shared" ref="R92" si="437">R93+Q92</f>
        <v>-17756353.882599209</v>
      </c>
      <c r="S92">
        <f t="shared" ref="S92" si="438">R92/100000</f>
        <v>-177.56353882599208</v>
      </c>
      <c r="T92">
        <f t="shared" ref="T92" si="439">S92/1000</f>
        <v>-0.17756353882599207</v>
      </c>
    </row>
    <row r="93" spans="1:20" x14ac:dyDescent="0.25">
      <c r="A93" s="5">
        <v>44500</v>
      </c>
      <c r="B93">
        <v>5.7709999999999999</v>
      </c>
      <c r="C93">
        <v>6.4980000000000002</v>
      </c>
      <c r="D93">
        <v>5.65</v>
      </c>
      <c r="E93">
        <v>6.2329999999999997</v>
      </c>
      <c r="F93">
        <v>3087232.6</v>
      </c>
      <c r="G93">
        <v>6.2329999999999997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0.37499999999999856</v>
      </c>
      <c r="Q93">
        <f t="shared" ref="Q93" si="441">F93*P93</f>
        <v>1157712.2249999957</v>
      </c>
      <c r="R93">
        <f t="shared" ref="R93" si="442">R94+Q93</f>
        <v>-17708563.92951864</v>
      </c>
      <c r="S93">
        <f t="shared" ref="S93" si="443">R93/100000</f>
        <v>-177.08563929518641</v>
      </c>
      <c r="T93">
        <f t="shared" ref="T93" si="444">S93/1000</f>
        <v>-0.17708563929518642</v>
      </c>
    </row>
    <row r="94" spans="1:20" x14ac:dyDescent="0.25">
      <c r="A94" s="5">
        <v>44499</v>
      </c>
      <c r="B94">
        <v>5.8860000000000001</v>
      </c>
      <c r="C94">
        <v>7.5</v>
      </c>
      <c r="D94">
        <v>5.431</v>
      </c>
      <c r="E94">
        <v>5.774</v>
      </c>
      <c r="F94">
        <v>11370209</v>
      </c>
      <c r="G94">
        <v>5.774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-0.66843885935234415</v>
      </c>
      <c r="Q94">
        <f t="shared" ref="Q94" si="446">F94*P94</f>
        <v>-7600289.5345577579</v>
      </c>
      <c r="R94">
        <f t="shared" ref="R94" si="447">R95+Q94</f>
        <v>-18866276.154518634</v>
      </c>
      <c r="S94">
        <f t="shared" ref="S94" si="448">R94/100000</f>
        <v>-188.66276154518633</v>
      </c>
      <c r="T94">
        <f t="shared" ref="T94" si="449">S94/1000</f>
        <v>-0.18866276154518632</v>
      </c>
    </row>
    <row r="95" spans="1:20" x14ac:dyDescent="0.25">
      <c r="A95" s="5">
        <v>44498</v>
      </c>
      <c r="B95">
        <v>5.1349999999999998</v>
      </c>
      <c r="C95">
        <v>6.1550000000000002</v>
      </c>
      <c r="D95">
        <v>5.125</v>
      </c>
      <c r="E95">
        <v>5.8879999999999999</v>
      </c>
      <c r="F95">
        <v>2834390.2</v>
      </c>
      <c r="G95">
        <v>5.8879999999999999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0.48155339805825187</v>
      </c>
      <c r="Q95">
        <f t="shared" ref="Q95" si="451">F95*P95</f>
        <v>1364910.2322330081</v>
      </c>
      <c r="R95">
        <f t="shared" ref="R95" si="452">R96+Q95</f>
        <v>-11265986.619960876</v>
      </c>
      <c r="S95">
        <f t="shared" ref="S95" si="453">R95/100000</f>
        <v>-112.65986619960876</v>
      </c>
      <c r="T95">
        <f t="shared" ref="T95" si="454">S95/1000</f>
        <v>-0.11265986619960876</v>
      </c>
    </row>
    <row r="96" spans="1:20" x14ac:dyDescent="0.25">
      <c r="A96" s="5">
        <v>44497</v>
      </c>
      <c r="B96">
        <v>5.0339999999999998</v>
      </c>
      <c r="C96">
        <v>5.4</v>
      </c>
      <c r="D96">
        <v>4.9539999999999997</v>
      </c>
      <c r="E96">
        <v>5.1420000000000003</v>
      </c>
      <c r="F96">
        <v>751546.3</v>
      </c>
      <c r="G96">
        <v>5.1420000000000003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-0.15695067264573834</v>
      </c>
      <c r="Q96">
        <f t="shared" ref="Q96" si="456">F96*P96</f>
        <v>-117955.69730941586</v>
      </c>
      <c r="R96">
        <f t="shared" ref="R96" si="457">R97+Q96</f>
        <v>-12630896.852193885</v>
      </c>
      <c r="S96">
        <f t="shared" ref="S96" si="458">R96/100000</f>
        <v>-126.30896852193885</v>
      </c>
      <c r="T96">
        <f t="shared" ref="T96" si="459">S96/1000</f>
        <v>-0.12630896852193885</v>
      </c>
    </row>
    <row r="97" spans="1:20" x14ac:dyDescent="0.25">
      <c r="A97" s="5">
        <v>44496</v>
      </c>
      <c r="B97">
        <v>5.4610000000000003</v>
      </c>
      <c r="C97">
        <v>5.6390000000000002</v>
      </c>
      <c r="D97">
        <v>5</v>
      </c>
      <c r="E97">
        <v>5.03</v>
      </c>
      <c r="F97">
        <v>1089388</v>
      </c>
      <c r="G97">
        <v>5.03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-0.90610328638497584</v>
      </c>
      <c r="Q97">
        <f t="shared" ref="Q97" si="461">F97*P97</f>
        <v>-987098.04694835609</v>
      </c>
      <c r="R97">
        <f t="shared" ref="R97" si="462">R98+Q97</f>
        <v>-12512941.154884469</v>
      </c>
      <c r="S97">
        <f t="shared" ref="S97" si="463">R97/100000</f>
        <v>-125.12941154884469</v>
      </c>
      <c r="T97">
        <f t="shared" ref="T97" si="464">S97/1000</f>
        <v>-0.12512941154884469</v>
      </c>
    </row>
    <row r="98" spans="1:20" x14ac:dyDescent="0.25">
      <c r="A98" s="5">
        <v>44495</v>
      </c>
      <c r="B98">
        <v>5.633</v>
      </c>
      <c r="C98">
        <v>5.9269999999999996</v>
      </c>
      <c r="D98">
        <v>5.4550000000000001</v>
      </c>
      <c r="E98">
        <v>5.4610000000000003</v>
      </c>
      <c r="F98">
        <v>1371378</v>
      </c>
      <c r="G98">
        <v>5.4610000000000003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-0.97457627118643964</v>
      </c>
      <c r="Q98">
        <f t="shared" ref="Q98" si="466">F98*P98</f>
        <v>-1336512.4576271172</v>
      </c>
      <c r="R98">
        <f t="shared" ref="R98" si="467">R99+Q98</f>
        <v>-11525843.107936112</v>
      </c>
      <c r="S98">
        <f t="shared" ref="S98" si="468">R98/100000</f>
        <v>-115.25843107936112</v>
      </c>
      <c r="T98">
        <f t="shared" ref="T98" si="469">S98/1000</f>
        <v>-0.11525843107936112</v>
      </c>
    </row>
    <row r="99" spans="1:20" x14ac:dyDescent="0.25">
      <c r="A99" s="5">
        <v>44494</v>
      </c>
      <c r="B99">
        <v>5.3330000000000002</v>
      </c>
      <c r="C99">
        <v>5.68</v>
      </c>
      <c r="D99">
        <v>5.3319999999999999</v>
      </c>
      <c r="E99">
        <v>5.633</v>
      </c>
      <c r="F99">
        <v>637071.30000000005</v>
      </c>
      <c r="G99">
        <v>5.633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0.72988505747126597</v>
      </c>
      <c r="Q99">
        <f t="shared" ref="Q99" si="471">F99*P99</f>
        <v>464988.82241379417</v>
      </c>
      <c r="R99">
        <f t="shared" ref="R99" si="472">R100+Q99</f>
        <v>-10189330.650308995</v>
      </c>
      <c r="S99">
        <f t="shared" ref="S99" si="473">R99/100000</f>
        <v>-101.89330650308995</v>
      </c>
      <c r="T99">
        <f t="shared" ref="T99" si="474">S99/1000</f>
        <v>-0.10189330650308995</v>
      </c>
    </row>
    <row r="100" spans="1:20" x14ac:dyDescent="0.25">
      <c r="A100" s="5">
        <v>44493</v>
      </c>
      <c r="B100">
        <v>5.468</v>
      </c>
      <c r="C100">
        <v>5.5810000000000004</v>
      </c>
      <c r="D100">
        <v>5.2080000000000002</v>
      </c>
      <c r="E100">
        <v>5.3369999999999997</v>
      </c>
      <c r="F100">
        <v>540552.19999999995</v>
      </c>
      <c r="G100">
        <v>5.3369999999999997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-0.30831099195710732</v>
      </c>
      <c r="Q100">
        <f t="shared" ref="Q100" si="476">F100*P100</f>
        <v>-166658.18498659667</v>
      </c>
      <c r="R100">
        <f t="shared" ref="R100" si="477">R101+Q100</f>
        <v>-10654319.472722789</v>
      </c>
      <c r="S100">
        <f t="shared" ref="S100" si="478">R100/100000</f>
        <v>-106.5431947272279</v>
      </c>
      <c r="T100">
        <f t="shared" ref="T100" si="479">S100/1000</f>
        <v>-0.1065431947272279</v>
      </c>
    </row>
    <row r="101" spans="1:20" x14ac:dyDescent="0.25">
      <c r="A101" s="5">
        <v>44492</v>
      </c>
      <c r="B101">
        <v>5.39</v>
      </c>
      <c r="C101">
        <v>5.48</v>
      </c>
      <c r="D101">
        <v>5.3019999999999996</v>
      </c>
      <c r="E101">
        <v>5.4669999999999996</v>
      </c>
      <c r="F101">
        <v>347514.6</v>
      </c>
      <c r="G101">
        <v>5.4669999999999996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0.85393258426965468</v>
      </c>
      <c r="Q101">
        <f t="shared" ref="Q101" si="481">F101*P101</f>
        <v>296754.0404494353</v>
      </c>
      <c r="R101">
        <f t="shared" ref="R101" si="482">R102+Q101</f>
        <v>-10487661.287736192</v>
      </c>
      <c r="S101">
        <f t="shared" ref="S101" si="483">R101/100000</f>
        <v>-104.87661287736192</v>
      </c>
      <c r="T101">
        <f t="shared" ref="T101" si="484">S101/1000</f>
        <v>-0.10487661287736193</v>
      </c>
    </row>
    <row r="102" spans="1:20" x14ac:dyDescent="0.25">
      <c r="A102" s="5">
        <v>44491</v>
      </c>
      <c r="B102">
        <v>5.3070000000000004</v>
      </c>
      <c r="C102">
        <v>5.71</v>
      </c>
      <c r="D102">
        <v>5.2830000000000004</v>
      </c>
      <c r="E102">
        <v>5.39</v>
      </c>
      <c r="F102">
        <v>701657.59999999998</v>
      </c>
      <c r="G102">
        <v>5.39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-0.49882903981264909</v>
      </c>
      <c r="Q102">
        <f t="shared" ref="Q102" si="486">F102*P102</f>
        <v>-350007.18688524782</v>
      </c>
      <c r="R102">
        <f t="shared" ref="R102" si="487">R103+Q102</f>
        <v>-10784415.328185627</v>
      </c>
      <c r="S102">
        <f t="shared" ref="S102" si="488">R102/100000</f>
        <v>-107.84415328185628</v>
      </c>
      <c r="T102">
        <f t="shared" ref="T102" si="489">S102/1000</f>
        <v>-0.10784415328185627</v>
      </c>
    </row>
    <row r="103" spans="1:20" x14ac:dyDescent="0.25">
      <c r="A103" s="5">
        <v>44490</v>
      </c>
      <c r="B103">
        <v>5.5229999999999997</v>
      </c>
      <c r="C103">
        <v>5.7</v>
      </c>
      <c r="D103">
        <v>5.2549999999999999</v>
      </c>
      <c r="E103">
        <v>5.3129999999999997</v>
      </c>
      <c r="F103">
        <v>942042.9</v>
      </c>
      <c r="G103">
        <v>5.3129999999999997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-0.73932584269663015</v>
      </c>
      <c r="Q103">
        <f t="shared" ref="Q103" si="491">F103*P103</f>
        <v>-696476.66089887731</v>
      </c>
      <c r="R103">
        <f t="shared" ref="R103" si="492">R104+Q103</f>
        <v>-10434408.14130038</v>
      </c>
      <c r="S103">
        <f t="shared" ref="S103" si="493">R103/100000</f>
        <v>-104.34408141300381</v>
      </c>
      <c r="T103">
        <f t="shared" ref="T103" si="494">S103/1000</f>
        <v>-0.1043440814130038</v>
      </c>
    </row>
    <row r="104" spans="1:20" x14ac:dyDescent="0.25">
      <c r="A104" s="5">
        <v>44489</v>
      </c>
      <c r="B104">
        <v>5.2030000000000003</v>
      </c>
      <c r="C104">
        <v>5.54</v>
      </c>
      <c r="D104">
        <v>5.1449999999999996</v>
      </c>
      <c r="E104">
        <v>5.5220000000000002</v>
      </c>
      <c r="F104">
        <v>784334.1</v>
      </c>
      <c r="G104">
        <v>5.5220000000000002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0.90886075949367207</v>
      </c>
      <c r="Q104">
        <f t="shared" ref="Q104" si="496">F104*P104</f>
        <v>712850.48582278576</v>
      </c>
      <c r="R104">
        <f t="shared" ref="R104" si="497">R105+Q104</f>
        <v>-9737931.4804015029</v>
      </c>
      <c r="S104">
        <f t="shared" ref="S104" si="498">R104/100000</f>
        <v>-97.379314804015024</v>
      </c>
      <c r="T104">
        <f t="shared" ref="T104" si="499">S104/1000</f>
        <v>-9.737931480401503E-2</v>
      </c>
    </row>
    <row r="105" spans="1:20" x14ac:dyDescent="0.25">
      <c r="A105" s="5">
        <v>44488</v>
      </c>
      <c r="B105">
        <v>5.2549999999999999</v>
      </c>
      <c r="C105">
        <v>5.367</v>
      </c>
      <c r="D105">
        <v>5.0999999999999996</v>
      </c>
      <c r="E105">
        <v>5.2039999999999997</v>
      </c>
      <c r="F105">
        <v>839286.4</v>
      </c>
      <c r="G105">
        <v>5.2039999999999997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-0.2209737827715359</v>
      </c>
      <c r="Q105">
        <f t="shared" ref="Q105" si="501">F105*P105</f>
        <v>-185460.29063670439</v>
      </c>
      <c r="R105">
        <f t="shared" ref="R105" si="502">R106+Q105</f>
        <v>-10450781.966224289</v>
      </c>
      <c r="S105">
        <f t="shared" ref="S105" si="503">R105/100000</f>
        <v>-104.50781966224288</v>
      </c>
      <c r="T105">
        <f t="shared" ref="T105" si="504">S105/1000</f>
        <v>-0.10450781966224289</v>
      </c>
    </row>
    <row r="106" spans="1:20" x14ac:dyDescent="0.25">
      <c r="A106" s="5">
        <v>44487</v>
      </c>
      <c r="B106">
        <v>5.399</v>
      </c>
      <c r="C106">
        <v>5.423</v>
      </c>
      <c r="D106">
        <v>5.1219999999999999</v>
      </c>
      <c r="E106">
        <v>5.2530000000000001</v>
      </c>
      <c r="F106">
        <v>991993.5</v>
      </c>
      <c r="G106">
        <v>5.2530000000000001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-0.12956810631229129</v>
      </c>
      <c r="Q106">
        <f t="shared" ref="Q106" si="506">F106*P106</f>
        <v>-128530.71926910193</v>
      </c>
      <c r="R106">
        <f t="shared" ref="R106" si="507">R107+Q106</f>
        <v>-10265321.675587583</v>
      </c>
      <c r="S106">
        <f t="shared" ref="S106" si="508">R106/100000</f>
        <v>-102.65321675587583</v>
      </c>
      <c r="T106">
        <f t="shared" ref="T106" si="509">S106/1000</f>
        <v>-0.10265321675587583</v>
      </c>
    </row>
    <row r="107" spans="1:20" x14ac:dyDescent="0.25">
      <c r="A107" s="5">
        <v>44486</v>
      </c>
      <c r="B107">
        <v>5.3840000000000003</v>
      </c>
      <c r="C107">
        <v>5.5460000000000003</v>
      </c>
      <c r="D107">
        <v>5.0460000000000003</v>
      </c>
      <c r="E107">
        <v>5.391</v>
      </c>
      <c r="F107">
        <v>805519.6</v>
      </c>
      <c r="G107">
        <v>5.391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0.37999999999999901</v>
      </c>
      <c r="Q107">
        <f t="shared" ref="Q107" si="511">F107*P107</f>
        <v>306097.44799999922</v>
      </c>
      <c r="R107">
        <f t="shared" ref="R107" si="512">R108+Q107</f>
        <v>-10136790.956318481</v>
      </c>
      <c r="S107">
        <f t="shared" ref="S107" si="513">R107/100000</f>
        <v>-101.36790956318481</v>
      </c>
      <c r="T107">
        <f t="shared" ref="T107" si="514">S107/1000</f>
        <v>-0.10136790956318481</v>
      </c>
    </row>
    <row r="108" spans="1:20" x14ac:dyDescent="0.25">
      <c r="A108" s="5">
        <v>44485</v>
      </c>
      <c r="B108">
        <v>5.3949999999999996</v>
      </c>
      <c r="C108">
        <v>5.7</v>
      </c>
      <c r="D108">
        <v>5.3319999999999999</v>
      </c>
      <c r="E108">
        <v>5.3849999999999998</v>
      </c>
      <c r="F108">
        <v>1018504</v>
      </c>
      <c r="G108">
        <v>5.3849999999999998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-0.71195652173913104</v>
      </c>
      <c r="Q108">
        <f t="shared" ref="Q108" si="516">F108*P108</f>
        <v>-725130.56521739194</v>
      </c>
      <c r="R108">
        <f t="shared" ref="R108" si="517">R109+Q108</f>
        <v>-10442888.40431848</v>
      </c>
      <c r="S108">
        <f t="shared" ref="S108" si="518">R108/100000</f>
        <v>-104.42888404318479</v>
      </c>
      <c r="T108">
        <f t="shared" ref="T108" si="519">S108/1000</f>
        <v>-0.10442888404318479</v>
      </c>
    </row>
    <row r="109" spans="1:20" x14ac:dyDescent="0.25">
      <c r="A109" s="5">
        <v>44484</v>
      </c>
      <c r="B109">
        <v>5.343</v>
      </c>
      <c r="C109">
        <v>5.76</v>
      </c>
      <c r="D109">
        <v>5.2640000000000002</v>
      </c>
      <c r="E109">
        <v>5.3959999999999999</v>
      </c>
      <c r="F109">
        <v>1247452.1000000001</v>
      </c>
      <c r="G109">
        <v>5.3959999999999999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-0.46774193548387183</v>
      </c>
      <c r="Q109">
        <f t="shared" ref="Q109" si="521">F109*P109</f>
        <v>-583485.65967742051</v>
      </c>
      <c r="R109">
        <f t="shared" ref="R109" si="522">R110+Q109</f>
        <v>-9717757.8391010873</v>
      </c>
      <c r="S109">
        <f t="shared" ref="S109" si="523">R109/100000</f>
        <v>-97.177578391010869</v>
      </c>
      <c r="T109">
        <f t="shared" ref="T109" si="524">S109/1000</f>
        <v>-9.7177578391010863E-2</v>
      </c>
    </row>
    <row r="110" spans="1:20" x14ac:dyDescent="0.25">
      <c r="A110" s="5">
        <v>44483</v>
      </c>
      <c r="B110">
        <v>5.2480000000000002</v>
      </c>
      <c r="C110">
        <v>5.468</v>
      </c>
      <c r="D110">
        <v>5.2149999999999999</v>
      </c>
      <c r="E110">
        <v>5.3440000000000003</v>
      </c>
      <c r="F110">
        <v>550145.80000000005</v>
      </c>
      <c r="G110">
        <v>5.3440000000000003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1.9762845849805453E-2</v>
      </c>
      <c r="Q110">
        <f t="shared" ref="Q110" si="526">F110*P110</f>
        <v>10872.446640317901</v>
      </c>
      <c r="R110">
        <f t="shared" ref="R110" si="527">R111+Q110</f>
        <v>-9134272.1794236675</v>
      </c>
      <c r="S110">
        <f t="shared" ref="S110" si="528">R110/100000</f>
        <v>-91.342721794236681</v>
      </c>
      <c r="T110">
        <f t="shared" ref="T110" si="529">S110/1000</f>
        <v>-9.1342721794236678E-2</v>
      </c>
    </row>
    <row r="111" spans="1:20" x14ac:dyDescent="0.25">
      <c r="A111" s="5">
        <v>44482</v>
      </c>
      <c r="B111">
        <v>5.1029999999999998</v>
      </c>
      <c r="C111">
        <v>5.335</v>
      </c>
      <c r="D111">
        <v>4.9240000000000004</v>
      </c>
      <c r="E111">
        <v>5.2480000000000002</v>
      </c>
      <c r="F111">
        <v>557926.9</v>
      </c>
      <c r="G111">
        <v>5.2480000000000002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0.57664233576642421</v>
      </c>
      <c r="Q111">
        <f t="shared" ref="Q111" si="531">F111*P111</f>
        <v>321724.27080292022</v>
      </c>
      <c r="R111">
        <f t="shared" ref="R111" si="532">R112+Q111</f>
        <v>-9145144.6260639858</v>
      </c>
      <c r="S111">
        <f t="shared" ref="S111" si="533">R111/100000</f>
        <v>-91.451446260639855</v>
      </c>
      <c r="T111">
        <f t="shared" ref="T111" si="534">S111/1000</f>
        <v>-9.1451446260639849E-2</v>
      </c>
    </row>
    <row r="112" spans="1:20" x14ac:dyDescent="0.25">
      <c r="A112" s="5">
        <v>44481</v>
      </c>
      <c r="B112">
        <v>5.2089999999999996</v>
      </c>
      <c r="C112">
        <v>5.2119999999999997</v>
      </c>
      <c r="D112">
        <v>4.8689999999999998</v>
      </c>
      <c r="E112">
        <v>5.0940000000000003</v>
      </c>
      <c r="F112">
        <v>1002990.9</v>
      </c>
      <c r="G112">
        <v>5.0940000000000003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0.3119533527696825</v>
      </c>
      <c r="Q112">
        <f t="shared" ref="Q112" si="536">F112*P112</f>
        <v>312886.37405248138</v>
      </c>
      <c r="R112">
        <f t="shared" ref="R112" si="537">R113+Q112</f>
        <v>-9466868.8968669064</v>
      </c>
      <c r="S112">
        <f t="shared" ref="S112" si="538">R112/100000</f>
        <v>-94.668688968669059</v>
      </c>
      <c r="T112">
        <f t="shared" ref="T112" si="539">S112/1000</f>
        <v>-9.4668688968669062E-2</v>
      </c>
    </row>
    <row r="113" spans="1:20" x14ac:dyDescent="0.25">
      <c r="A113" s="5">
        <v>44480</v>
      </c>
      <c r="B113">
        <v>5.25</v>
      </c>
      <c r="C113">
        <v>5.47</v>
      </c>
      <c r="D113">
        <v>5.1079999999999997</v>
      </c>
      <c r="E113">
        <v>5.2089999999999996</v>
      </c>
      <c r="F113">
        <v>519271.8</v>
      </c>
      <c r="G113">
        <v>5.2089999999999996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-0.44198895027624335</v>
      </c>
      <c r="Q113">
        <f t="shared" ref="Q113" si="541">F113*P113</f>
        <v>-229512.39779005537</v>
      </c>
      <c r="R113">
        <f t="shared" ref="R113" si="542">R114+Q113</f>
        <v>-9779755.2709193882</v>
      </c>
      <c r="S113">
        <f t="shared" ref="S113" si="543">R113/100000</f>
        <v>-97.79755270919388</v>
      </c>
      <c r="T113">
        <f t="shared" ref="T113" si="544">S113/1000</f>
        <v>-9.779755270919388E-2</v>
      </c>
    </row>
    <row r="114" spans="1:20" x14ac:dyDescent="0.25">
      <c r="A114" s="5">
        <v>44479</v>
      </c>
      <c r="B114">
        <v>5.5129999999999999</v>
      </c>
      <c r="C114">
        <v>5.72</v>
      </c>
      <c r="D114">
        <v>5.2140000000000004</v>
      </c>
      <c r="E114">
        <v>5.2569999999999997</v>
      </c>
      <c r="F114">
        <v>983880.9</v>
      </c>
      <c r="G114">
        <v>5.2569999999999997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-0.83003952569170225</v>
      </c>
      <c r="Q114">
        <f t="shared" ref="Q114" si="546">F114*P114</f>
        <v>-816660.03557312512</v>
      </c>
      <c r="R114">
        <f t="shared" ref="R114" si="547">R115+Q114</f>
        <v>-9550242.8731293324</v>
      </c>
      <c r="S114">
        <f t="shared" ref="S114" si="548">R114/100000</f>
        <v>-95.502428731293321</v>
      </c>
      <c r="T114">
        <f t="shared" ref="T114" si="549">S114/1000</f>
        <v>-9.5502428731293318E-2</v>
      </c>
    </row>
    <row r="115" spans="1:20" x14ac:dyDescent="0.25">
      <c r="A115" s="5">
        <v>44478</v>
      </c>
      <c r="B115">
        <v>5.3550000000000004</v>
      </c>
      <c r="C115">
        <v>5.7249999999999996</v>
      </c>
      <c r="D115">
        <v>5.26</v>
      </c>
      <c r="E115">
        <v>5.5129999999999999</v>
      </c>
      <c r="F115">
        <v>767707.5</v>
      </c>
      <c r="G115">
        <v>5.5129999999999999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8.8172043010753515E-2</v>
      </c>
      <c r="Q115">
        <f t="shared" ref="Q115" si="551">F115*P115</f>
        <v>67690.33870967805</v>
      </c>
      <c r="R115">
        <f t="shared" ref="R115" si="552">R116+Q115</f>
        <v>-8733582.8375562076</v>
      </c>
      <c r="S115">
        <f t="shared" ref="S115" si="553">R115/100000</f>
        <v>-87.335828375562073</v>
      </c>
      <c r="T115">
        <f t="shared" ref="T115" si="554">S115/1000</f>
        <v>-8.7335828375562072E-2</v>
      </c>
    </row>
    <row r="116" spans="1:20" x14ac:dyDescent="0.25">
      <c r="A116" s="5">
        <v>44477</v>
      </c>
      <c r="B116">
        <v>5.3470000000000004</v>
      </c>
      <c r="C116">
        <v>5.4980000000000002</v>
      </c>
      <c r="D116">
        <v>5.32</v>
      </c>
      <c r="E116">
        <v>5.3550000000000004</v>
      </c>
      <c r="F116">
        <v>536395.9</v>
      </c>
      <c r="G116">
        <v>5.3550000000000004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-0.60674157303370613</v>
      </c>
      <c r="Q116">
        <f t="shared" ref="Q116" si="556">F116*P116</f>
        <v>-325453.69213483052</v>
      </c>
      <c r="R116">
        <f t="shared" ref="R116" si="557">R117+Q116</f>
        <v>-8801273.1762658861</v>
      </c>
      <c r="S116">
        <f t="shared" ref="S116" si="558">R116/100000</f>
        <v>-88.012731762658859</v>
      </c>
      <c r="T116">
        <f t="shared" ref="T116" si="559">S116/1000</f>
        <v>-8.8012731762658863E-2</v>
      </c>
    </row>
    <row r="117" spans="1:20" x14ac:dyDescent="0.25">
      <c r="A117" s="5">
        <v>44476</v>
      </c>
      <c r="B117">
        <v>5.3929999999999998</v>
      </c>
      <c r="C117">
        <v>5.5780000000000003</v>
      </c>
      <c r="D117">
        <v>5.2</v>
      </c>
      <c r="E117">
        <v>5.3440000000000003</v>
      </c>
      <c r="F117">
        <v>804015.3</v>
      </c>
      <c r="G117">
        <v>5.3440000000000003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-0.23809523809523764</v>
      </c>
      <c r="Q117">
        <f t="shared" ref="Q117" si="561">F117*P117</f>
        <v>-191432.21428571394</v>
      </c>
      <c r="R117">
        <f t="shared" ref="R117" si="562">R118+Q117</f>
        <v>-8475819.484131055</v>
      </c>
      <c r="S117">
        <f t="shared" ref="S117" si="563">R117/100000</f>
        <v>-84.758194841310555</v>
      </c>
      <c r="T117">
        <f t="shared" ref="T117" si="564">S117/1000</f>
        <v>-8.4758194841310558E-2</v>
      </c>
    </row>
    <row r="118" spans="1:20" x14ac:dyDescent="0.25">
      <c r="A118" s="5">
        <v>44475</v>
      </c>
      <c r="B118">
        <v>5.5640000000000001</v>
      </c>
      <c r="C118">
        <v>5.5709999999999997</v>
      </c>
      <c r="D118">
        <v>5.04</v>
      </c>
      <c r="E118">
        <v>5.3929999999999998</v>
      </c>
      <c r="F118">
        <v>1408364.9</v>
      </c>
      <c r="G118">
        <v>5.3929999999999998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0.32956685499058364</v>
      </c>
      <c r="Q118">
        <f t="shared" ref="Q118" si="566">F118*P118</f>
        <v>464150.39077212778</v>
      </c>
      <c r="R118">
        <f t="shared" ref="R118" si="567">R119+Q118</f>
        <v>-8284387.2698453413</v>
      </c>
      <c r="S118">
        <f t="shared" ref="S118" si="568">R118/100000</f>
        <v>-82.84387269845341</v>
      </c>
      <c r="T118">
        <f t="shared" ref="T118" si="569">S118/1000</f>
        <v>-8.2843872698453405E-2</v>
      </c>
    </row>
    <row r="119" spans="1:20" x14ac:dyDescent="0.25">
      <c r="A119" s="5">
        <v>44474</v>
      </c>
      <c r="B119">
        <v>5.3979999999999997</v>
      </c>
      <c r="C119">
        <v>5.6630000000000003</v>
      </c>
      <c r="D119">
        <v>5.2450000000000001</v>
      </c>
      <c r="E119">
        <v>5.5609999999999999</v>
      </c>
      <c r="F119">
        <v>1219762.2</v>
      </c>
      <c r="G119">
        <v>5.5609999999999999</v>
      </c>
      <c r="L119" t="s">
        <v>8</v>
      </c>
      <c r="M119" t="s">
        <v>7</v>
      </c>
      <c r="N119" t="s">
        <v>8</v>
      </c>
      <c r="P119">
        <f t="shared" ref="P119" si="570">IF(C119=D119,0,((E119-D119)-(C119-E119))/(C119-D119))</f>
        <v>0.51196172248803695</v>
      </c>
      <c r="Q119">
        <f t="shared" ref="Q119" si="571">F119*P119</f>
        <v>624471.55693779746</v>
      </c>
      <c r="R119">
        <f t="shared" ref="R119" si="572">R120+Q119</f>
        <v>-8748537.6606174689</v>
      </c>
      <c r="S119">
        <f t="shared" ref="S119" si="573">R119/100000</f>
        <v>-87.485376606174682</v>
      </c>
      <c r="T119">
        <f t="shared" ref="T119" si="574">S119/1000</f>
        <v>-8.7485376606174683E-2</v>
      </c>
    </row>
    <row r="120" spans="1:20" x14ac:dyDescent="0.25">
      <c r="A120" s="5">
        <v>44473</v>
      </c>
      <c r="B120">
        <v>5.7110000000000003</v>
      </c>
      <c r="C120">
        <v>5.85</v>
      </c>
      <c r="D120">
        <v>5.2169999999999996</v>
      </c>
      <c r="E120">
        <v>5.415</v>
      </c>
      <c r="F120">
        <v>2559060.5</v>
      </c>
      <c r="G120">
        <v>5.415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-0.37440758293838738</v>
      </c>
      <c r="Q120">
        <f t="shared" ref="Q120" si="576">F120*P120</f>
        <v>-958131.65639810113</v>
      </c>
      <c r="R120">
        <f t="shared" ref="R120" si="577">R121+Q120</f>
        <v>-9373009.2175552659</v>
      </c>
      <c r="S120">
        <f t="shared" ref="S120" si="578">R120/100000</f>
        <v>-93.730092175552656</v>
      </c>
      <c r="T120">
        <f t="shared" ref="T120" si="579">S120/1000</f>
        <v>-9.3730092175552657E-2</v>
      </c>
    </row>
    <row r="121" spans="1:20" x14ac:dyDescent="0.25">
      <c r="A121" s="5">
        <v>44472</v>
      </c>
      <c r="B121">
        <v>4.9020000000000001</v>
      </c>
      <c r="C121">
        <v>6.274</v>
      </c>
      <c r="D121">
        <v>4.8220000000000001</v>
      </c>
      <c r="E121">
        <v>5.7309999999999999</v>
      </c>
      <c r="F121">
        <v>5676026.5999999996</v>
      </c>
      <c r="G121">
        <v>5.7309999999999999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0.25206611570247911</v>
      </c>
      <c r="Q121">
        <f t="shared" ref="Q121" si="581">F121*P121</f>
        <v>1430733.9776859491</v>
      </c>
      <c r="R121">
        <f t="shared" ref="R121" si="582">R122+Q121</f>
        <v>-8414877.5611571651</v>
      </c>
      <c r="S121">
        <f t="shared" ref="S121" si="583">R121/100000</f>
        <v>-84.148775611571651</v>
      </c>
      <c r="T121">
        <f t="shared" ref="T121" si="584">S121/1000</f>
        <v>-8.414877561157165E-2</v>
      </c>
    </row>
    <row r="122" spans="1:20" x14ac:dyDescent="0.25">
      <c r="A122" s="5">
        <v>44471</v>
      </c>
      <c r="B122">
        <v>4.7450000000000001</v>
      </c>
      <c r="C122">
        <v>5.1310000000000002</v>
      </c>
      <c r="D122">
        <v>4.6689999999999996</v>
      </c>
      <c r="E122">
        <v>4.9080000000000004</v>
      </c>
      <c r="F122">
        <v>977958.6</v>
      </c>
      <c r="G122">
        <v>4.9080000000000004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3.463203463203654E-2</v>
      </c>
      <c r="Q122">
        <f t="shared" ref="Q122" si="586">F122*P122</f>
        <v>33868.696103897972</v>
      </c>
      <c r="R122">
        <f t="shared" ref="R122" si="587">R123+Q122</f>
        <v>-9845611.5388431139</v>
      </c>
      <c r="S122">
        <f t="shared" ref="S122" si="588">R122/100000</f>
        <v>-98.456115388431144</v>
      </c>
      <c r="T122">
        <f t="shared" ref="T122" si="589">S122/1000</f>
        <v>-9.8456115388431145E-2</v>
      </c>
    </row>
    <row r="123" spans="1:20" x14ac:dyDescent="0.25">
      <c r="A123" s="5">
        <v>44470</v>
      </c>
      <c r="B123">
        <v>4.4420000000000002</v>
      </c>
      <c r="C123">
        <v>4.8289999999999997</v>
      </c>
      <c r="D123">
        <v>4.335</v>
      </c>
      <c r="E123">
        <v>4.7430000000000003</v>
      </c>
      <c r="F123">
        <v>1110055.8999999999</v>
      </c>
      <c r="G123">
        <v>4.7430000000000003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0.6518218623481804</v>
      </c>
      <c r="Q123">
        <f t="shared" ref="Q123" si="591">F123*P123</f>
        <v>723558.7040485855</v>
      </c>
      <c r="R123">
        <f t="shared" ref="R123" si="592">R124+Q123</f>
        <v>-9879480.2349470127</v>
      </c>
      <c r="S123">
        <f t="shared" ref="S123" si="593">R123/100000</f>
        <v>-98.794802349470132</v>
      </c>
      <c r="T123">
        <f t="shared" ref="T123" si="594">S123/1000</f>
        <v>-9.8794802349470134E-2</v>
      </c>
    </row>
    <row r="124" spans="1:20" x14ac:dyDescent="0.25">
      <c r="A124" s="5">
        <v>44469</v>
      </c>
      <c r="B124">
        <v>4.2469999999999999</v>
      </c>
      <c r="C124">
        <v>4.4790000000000001</v>
      </c>
      <c r="D124">
        <v>4.2050000000000001</v>
      </c>
      <c r="E124">
        <v>4.4409999999999998</v>
      </c>
      <c r="F124">
        <v>807210.8</v>
      </c>
      <c r="G124">
        <v>4.4409999999999998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0.72262773722627549</v>
      </c>
      <c r="Q124">
        <f t="shared" ref="Q124" si="596">F124*P124</f>
        <v>583312.91386861168</v>
      </c>
      <c r="R124">
        <f t="shared" ref="R124" si="597">R125+Q124</f>
        <v>-10603038.938995598</v>
      </c>
      <c r="S124">
        <f t="shared" ref="S124" si="598">R124/100000</f>
        <v>-106.03038938995599</v>
      </c>
      <c r="T124">
        <f t="shared" ref="T124" si="599">S124/1000</f>
        <v>-0.10603038938995599</v>
      </c>
    </row>
    <row r="125" spans="1:20" x14ac:dyDescent="0.25">
      <c r="A125" s="5">
        <v>44468</v>
      </c>
      <c r="B125">
        <v>4.1769999999999996</v>
      </c>
      <c r="C125">
        <v>4.4480000000000004</v>
      </c>
      <c r="D125">
        <v>4.1440000000000001</v>
      </c>
      <c r="E125">
        <v>4.2469999999999999</v>
      </c>
      <c r="F125">
        <v>587379.1</v>
      </c>
      <c r="G125">
        <v>4.2469999999999999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-0.32236842105263375</v>
      </c>
      <c r="Q125">
        <f t="shared" ref="Q125" si="601">F125*P125</f>
        <v>-189352.47302631705</v>
      </c>
      <c r="R125">
        <f t="shared" ref="R125" si="602">R126+Q125</f>
        <v>-11186351.85286421</v>
      </c>
      <c r="S125">
        <f t="shared" ref="S125" si="603">R125/100000</f>
        <v>-111.86351852864209</v>
      </c>
      <c r="T125">
        <f t="shared" ref="T125" si="604">S125/1000</f>
        <v>-0.11186351852864208</v>
      </c>
    </row>
    <row r="126" spans="1:20" x14ac:dyDescent="0.25">
      <c r="A126" s="5">
        <v>44467</v>
      </c>
      <c r="B126">
        <v>4.2050000000000001</v>
      </c>
      <c r="C126">
        <v>4.367</v>
      </c>
      <c r="D126">
        <v>4.1159999999999997</v>
      </c>
      <c r="E126">
        <v>4.1760000000000002</v>
      </c>
      <c r="F126">
        <v>845712.47</v>
      </c>
      <c r="G126">
        <v>4.1760000000000002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-0.52191235059760621</v>
      </c>
      <c r="Q126">
        <f t="shared" ref="Q126" si="606">F126*P126</f>
        <v>-441387.78314740752</v>
      </c>
      <c r="R126">
        <f t="shared" ref="R126" si="607">R127+Q126</f>
        <v>-10996999.379837893</v>
      </c>
      <c r="S126">
        <f t="shared" ref="S126" si="608">R126/100000</f>
        <v>-109.96999379837892</v>
      </c>
      <c r="T126">
        <f t="shared" ref="T126" si="609">S126/1000</f>
        <v>-0.10996999379837892</v>
      </c>
    </row>
    <row r="127" spans="1:20" x14ac:dyDescent="0.25">
      <c r="A127" s="5">
        <v>44466</v>
      </c>
      <c r="B127">
        <v>4.5229999999999997</v>
      </c>
      <c r="C127">
        <v>4.657</v>
      </c>
      <c r="D127">
        <v>4.1840000000000002</v>
      </c>
      <c r="E127">
        <v>4.2009999999999996</v>
      </c>
      <c r="F127">
        <v>1183804.8</v>
      </c>
      <c r="G127">
        <v>4.2009999999999996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-0.9281183932346746</v>
      </c>
      <c r="Q127">
        <f t="shared" ref="Q127" si="611">F127*P127</f>
        <v>-1098711.0088794953</v>
      </c>
      <c r="R127">
        <f t="shared" ref="R127" si="612">R128+Q127</f>
        <v>-10555611.596690485</v>
      </c>
      <c r="S127">
        <f t="shared" ref="S127" si="613">R127/100000</f>
        <v>-105.55611596690485</v>
      </c>
      <c r="T127">
        <f t="shared" ref="T127" si="614">S127/1000</f>
        <v>-0.10555611596690485</v>
      </c>
    </row>
    <row r="128" spans="1:20" x14ac:dyDescent="0.25">
      <c r="A128" s="5">
        <v>44465</v>
      </c>
      <c r="B128">
        <v>4.6340000000000003</v>
      </c>
      <c r="C128">
        <v>4.649</v>
      </c>
      <c r="D128">
        <v>4.1760000000000002</v>
      </c>
      <c r="E128">
        <v>4.53</v>
      </c>
      <c r="F128">
        <v>1061839.78</v>
      </c>
      <c r="G128">
        <v>4.53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0.49682875264270693</v>
      </c>
      <c r="Q128">
        <f t="shared" ref="Q128" si="616">F128*P128</f>
        <v>527552.53340380639</v>
      </c>
      <c r="R128">
        <f t="shared" ref="R128" si="617">R129+Q128</f>
        <v>-9456900.5878109895</v>
      </c>
      <c r="S128">
        <f t="shared" ref="S128" si="618">R128/100000</f>
        <v>-94.569005878109891</v>
      </c>
      <c r="T128">
        <f t="shared" ref="T128" si="619">S128/1000</f>
        <v>-9.4569005878109888E-2</v>
      </c>
    </row>
    <row r="129" spans="1:20" x14ac:dyDescent="0.25">
      <c r="A129" s="5">
        <v>44464</v>
      </c>
      <c r="B129">
        <v>4.7190000000000003</v>
      </c>
      <c r="C129">
        <v>4.891</v>
      </c>
      <c r="D129">
        <v>4.4909999999999997</v>
      </c>
      <c r="E129">
        <v>4.6340000000000003</v>
      </c>
      <c r="F129">
        <v>1579872.5</v>
      </c>
      <c r="G129">
        <v>4.6340000000000003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-0.2849999999999972</v>
      </c>
      <c r="Q129">
        <f t="shared" ref="Q129" si="621">F129*P129</f>
        <v>-450263.66249999555</v>
      </c>
      <c r="R129">
        <f t="shared" ref="R129" si="622">R130+Q129</f>
        <v>-9984453.1212147959</v>
      </c>
      <c r="S129">
        <f t="shared" ref="S129" si="623">R129/100000</f>
        <v>-99.844531212147956</v>
      </c>
      <c r="T129">
        <f t="shared" ref="T129" si="624">S129/1000</f>
        <v>-9.9844531212147952E-2</v>
      </c>
    </row>
    <row r="130" spans="1:20" x14ac:dyDescent="0.25">
      <c r="A130" s="5">
        <v>44463</v>
      </c>
      <c r="B130">
        <v>5.1029999999999998</v>
      </c>
      <c r="C130">
        <v>5.1669999999999998</v>
      </c>
      <c r="D130">
        <v>4.3120000000000003</v>
      </c>
      <c r="E130">
        <v>4.7249999999999996</v>
      </c>
      <c r="F130">
        <v>2118675.7000000002</v>
      </c>
      <c r="G130">
        <v>4.7249999999999996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-3.3918128654971715E-2</v>
      </c>
      <c r="Q130">
        <f t="shared" ref="Q130" si="626">F130*P130</f>
        <v>-71861.514970762262</v>
      </c>
      <c r="R130">
        <f t="shared" ref="R130" si="627">R131+Q130</f>
        <v>-9534189.4587148</v>
      </c>
      <c r="S130">
        <f t="shared" ref="S130" si="628">R130/100000</f>
        <v>-95.341894587148005</v>
      </c>
      <c r="T130">
        <f t="shared" ref="T130" si="629">S130/1000</f>
        <v>-9.5341894587148007E-2</v>
      </c>
    </row>
    <row r="131" spans="1:20" x14ac:dyDescent="0.25">
      <c r="A131" s="5">
        <v>44462</v>
      </c>
      <c r="B131">
        <v>4.9589999999999996</v>
      </c>
      <c r="C131">
        <v>5.327</v>
      </c>
      <c r="D131">
        <v>4.8620000000000001</v>
      </c>
      <c r="E131">
        <v>5.1029999999999998</v>
      </c>
      <c r="F131">
        <v>2692690.8</v>
      </c>
      <c r="G131">
        <v>5.1029999999999998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3.6559139784945086E-2</v>
      </c>
      <c r="Q131">
        <f t="shared" ref="Q131" si="631">F131*P131</f>
        <v>98442.459354835606</v>
      </c>
      <c r="R131">
        <f t="shared" ref="R131" si="632">R132+Q131</f>
        <v>-9462327.9437440373</v>
      </c>
      <c r="S131">
        <f t="shared" ref="S131" si="633">R131/100000</f>
        <v>-94.623279437440374</v>
      </c>
      <c r="T131">
        <f t="shared" ref="T131" si="634">S131/1000</f>
        <v>-9.462327943744038E-2</v>
      </c>
    </row>
    <row r="132" spans="1:20" x14ac:dyDescent="0.25">
      <c r="A132" s="5">
        <v>44461</v>
      </c>
      <c r="B132">
        <v>4.3860000000000001</v>
      </c>
      <c r="C132">
        <v>5.2089999999999996</v>
      </c>
      <c r="D132">
        <v>4.2919999999999998</v>
      </c>
      <c r="E132">
        <v>4.9619999999999997</v>
      </c>
      <c r="F132">
        <v>2236371.9</v>
      </c>
      <c r="G132">
        <v>4.9619999999999997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0.46128680479825535</v>
      </c>
      <c r="Q132">
        <f t="shared" ref="Q132" si="636">F132*P132</f>
        <v>1031608.8480916034</v>
      </c>
      <c r="R132">
        <f t="shared" ref="R132" si="637">R133+Q132</f>
        <v>-9560770.4030988738</v>
      </c>
      <c r="S132">
        <f t="shared" ref="S132" si="638">R132/100000</f>
        <v>-95.607704030988742</v>
      </c>
      <c r="T132">
        <f t="shared" ref="T132" si="639">S132/1000</f>
        <v>-9.5607704030988741E-2</v>
      </c>
    </row>
    <row r="133" spans="1:20" x14ac:dyDescent="0.25">
      <c r="A133" s="5">
        <v>44460</v>
      </c>
      <c r="B133">
        <v>4.83</v>
      </c>
      <c r="C133">
        <v>4.992</v>
      </c>
      <c r="D133">
        <v>4.202</v>
      </c>
      <c r="E133">
        <v>4.3819999999999997</v>
      </c>
      <c r="F133">
        <v>1721525.82</v>
      </c>
      <c r="G133">
        <v>4.3819999999999997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-0.54430379746835522</v>
      </c>
      <c r="Q133">
        <f t="shared" ref="Q133" si="641">F133*P133</f>
        <v>-937033.04126582423</v>
      </c>
      <c r="R133">
        <f t="shared" ref="R133" si="642">R134+Q133</f>
        <v>-10592379.251190478</v>
      </c>
      <c r="S133">
        <f t="shared" ref="S133" si="643">R133/100000</f>
        <v>-105.92379251190478</v>
      </c>
      <c r="T133">
        <f t="shared" ref="T133" si="644">S133/1000</f>
        <v>-0.10592379251190479</v>
      </c>
    </row>
    <row r="134" spans="1:20" x14ac:dyDescent="0.25">
      <c r="A134" s="5">
        <v>44459</v>
      </c>
      <c r="B134">
        <v>5.492</v>
      </c>
      <c r="C134">
        <v>5.5209999999999999</v>
      </c>
      <c r="D134">
        <v>4.8410000000000002</v>
      </c>
      <c r="E134">
        <v>4.9249999999999998</v>
      </c>
      <c r="F134">
        <v>724945.62</v>
      </c>
      <c r="G134">
        <v>4.9249999999999998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-0.75294117647058922</v>
      </c>
      <c r="Q134">
        <f t="shared" ref="Q134" si="646">F134*P134</f>
        <v>-545841.40800000075</v>
      </c>
      <c r="R134">
        <f t="shared" ref="R134" si="647">R135+Q134</f>
        <v>-9655346.2099246532</v>
      </c>
      <c r="S134">
        <f t="shared" ref="S134" si="648">R134/100000</f>
        <v>-96.553462099246531</v>
      </c>
      <c r="T134">
        <f t="shared" ref="T134" si="649">S134/1000</f>
        <v>-9.6553462099246534E-2</v>
      </c>
    </row>
    <row r="135" spans="1:20" x14ac:dyDescent="0.25">
      <c r="A135" s="5">
        <v>44458</v>
      </c>
      <c r="B135">
        <v>5.5869999999999997</v>
      </c>
      <c r="C135">
        <v>5.8730000000000002</v>
      </c>
      <c r="D135">
        <v>5.4180000000000001</v>
      </c>
      <c r="E135">
        <v>5.492</v>
      </c>
      <c r="F135">
        <v>894852</v>
      </c>
      <c r="G135">
        <v>5.492</v>
      </c>
      <c r="L135" t="s">
        <v>8</v>
      </c>
      <c r="M135" t="s">
        <v>7</v>
      </c>
      <c r="N135" t="s">
        <v>7</v>
      </c>
      <c r="P135">
        <f t="shared" ref="P135" si="650">IF(C135=D135,0,((E135-D135)-(C135-E135))/(C135-D135))</f>
        <v>-0.67472527472527544</v>
      </c>
      <c r="Q135">
        <f t="shared" ref="Q135" si="651">F135*P135</f>
        <v>-603779.26153846213</v>
      </c>
      <c r="R135">
        <f t="shared" ref="R135" si="652">R136+Q135</f>
        <v>-9109504.8019246515</v>
      </c>
      <c r="S135">
        <f t="shared" ref="S135" si="653">R135/100000</f>
        <v>-91.095048019246519</v>
      </c>
      <c r="T135">
        <f t="shared" ref="T135" si="654">S135/1000</f>
        <v>-9.1095048019246519E-2</v>
      </c>
    </row>
    <row r="136" spans="1:20" x14ac:dyDescent="0.25">
      <c r="A136" s="5">
        <v>44457</v>
      </c>
      <c r="B136">
        <v>5.4020000000000001</v>
      </c>
      <c r="C136">
        <v>5.694</v>
      </c>
      <c r="D136">
        <v>5.3689999999999998</v>
      </c>
      <c r="E136">
        <v>5.5869999999999997</v>
      </c>
      <c r="F136">
        <v>632168.6</v>
      </c>
      <c r="G136">
        <v>5.5869999999999997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0.34153846153846062</v>
      </c>
      <c r="Q136">
        <f t="shared" ref="Q136" si="656">F136*P136</f>
        <v>215909.8910769225</v>
      </c>
      <c r="R136">
        <f t="shared" ref="R136" si="657">R137+Q136</f>
        <v>-8505725.5403861888</v>
      </c>
      <c r="S136">
        <f t="shared" ref="S136" si="658">R136/100000</f>
        <v>-85.057255403861888</v>
      </c>
      <c r="T136">
        <f t="shared" ref="T136" si="659">S136/1000</f>
        <v>-8.5057255403861887E-2</v>
      </c>
    </row>
    <row r="137" spans="1:20" x14ac:dyDescent="0.25">
      <c r="A137" s="5">
        <v>44456</v>
      </c>
      <c r="B137">
        <v>5.6550000000000002</v>
      </c>
      <c r="C137">
        <v>5.7089999999999996</v>
      </c>
      <c r="D137">
        <v>5.2939999999999996</v>
      </c>
      <c r="E137">
        <v>5.4020000000000001</v>
      </c>
      <c r="F137">
        <v>630362.5</v>
      </c>
      <c r="G137">
        <v>5.4020000000000001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-0.47951807228915405</v>
      </c>
      <c r="Q137">
        <f t="shared" ref="Q137" si="661">F137*P137</f>
        <v>-302270.21084337187</v>
      </c>
      <c r="R137">
        <f t="shared" ref="R137" si="662">R138+Q137</f>
        <v>-8721635.4314631112</v>
      </c>
      <c r="S137">
        <f t="shared" ref="S137" si="663">R137/100000</f>
        <v>-87.216354314631118</v>
      </c>
      <c r="T137">
        <f t="shared" ref="T137" si="664">S137/1000</f>
        <v>-8.7216354314631123E-2</v>
      </c>
    </row>
    <row r="138" spans="1:20" x14ac:dyDescent="0.25">
      <c r="A138" s="5">
        <v>44455</v>
      </c>
      <c r="B138">
        <v>5.9279999999999999</v>
      </c>
      <c r="C138">
        <v>5.9690000000000003</v>
      </c>
      <c r="D138">
        <v>5.5309999999999997</v>
      </c>
      <c r="E138">
        <v>5.6550000000000002</v>
      </c>
      <c r="F138">
        <v>805470.4</v>
      </c>
      <c r="G138">
        <v>5.6550000000000002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-0.4337899543378978</v>
      </c>
      <c r="Q138">
        <f t="shared" ref="Q138" si="666">F138*P138</f>
        <v>-349404.96803652827</v>
      </c>
      <c r="R138">
        <f t="shared" ref="R138" si="667">R139+Q138</f>
        <v>-8419365.22061974</v>
      </c>
      <c r="S138">
        <f t="shared" ref="S138" si="668">R138/100000</f>
        <v>-84.193652206197399</v>
      </c>
      <c r="T138">
        <f t="shared" ref="T138" si="669">S138/1000</f>
        <v>-8.41936522061974E-2</v>
      </c>
    </row>
    <row r="139" spans="1:20" x14ac:dyDescent="0.25">
      <c r="A139" s="5">
        <v>44454</v>
      </c>
      <c r="B139">
        <v>5.5949999999999998</v>
      </c>
      <c r="C139">
        <v>5.9989999999999997</v>
      </c>
      <c r="D139">
        <v>5.4870000000000001</v>
      </c>
      <c r="E139">
        <v>5.923</v>
      </c>
      <c r="F139">
        <v>1020822.2</v>
      </c>
      <c r="G139">
        <v>5.923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0.70312500000000122</v>
      </c>
      <c r="Q139">
        <f t="shared" ref="Q139" si="671">F139*P139</f>
        <v>717765.60937500116</v>
      </c>
      <c r="R139">
        <f t="shared" ref="R139" si="672">R140+Q139</f>
        <v>-8069960.2525832122</v>
      </c>
      <c r="S139">
        <f t="shared" ref="S139" si="673">R139/100000</f>
        <v>-80.69960252583212</v>
      </c>
      <c r="T139">
        <f t="shared" ref="T139" si="674">S139/1000</f>
        <v>-8.0699602525832123E-2</v>
      </c>
    </row>
    <row r="140" spans="1:20" x14ac:dyDescent="0.25">
      <c r="A140" s="5">
        <v>44453</v>
      </c>
      <c r="B140">
        <v>5.383</v>
      </c>
      <c r="C140">
        <v>5.6909999999999998</v>
      </c>
      <c r="D140">
        <v>5.3330000000000002</v>
      </c>
      <c r="E140">
        <v>5.593</v>
      </c>
      <c r="F140">
        <v>909352.9</v>
      </c>
      <c r="G140">
        <v>5.593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0.45251396648044717</v>
      </c>
      <c r="Q140">
        <f t="shared" ref="Q140" si="676">F140*P140</f>
        <v>411494.88770949742</v>
      </c>
      <c r="R140">
        <f t="shared" ref="R140" si="677">R141+Q140</f>
        <v>-8787725.8619582132</v>
      </c>
      <c r="S140">
        <f t="shared" ref="S140" si="678">R140/100000</f>
        <v>-87.877258619582136</v>
      </c>
      <c r="T140">
        <f t="shared" ref="T140" si="679">S140/1000</f>
        <v>-8.7877258619582135E-2</v>
      </c>
    </row>
    <row r="141" spans="1:20" x14ac:dyDescent="0.25">
      <c r="A141" s="5">
        <v>44452</v>
      </c>
      <c r="B141">
        <v>5.7729999999999997</v>
      </c>
      <c r="C141">
        <v>5.8570000000000002</v>
      </c>
      <c r="D141">
        <v>5.17</v>
      </c>
      <c r="E141">
        <v>5.3810000000000002</v>
      </c>
      <c r="F141">
        <v>1278558.1000000001</v>
      </c>
      <c r="G141">
        <v>5.3810000000000002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-0.38573508005822355</v>
      </c>
      <c r="Q141">
        <f t="shared" ref="Q141" si="681">F141*P141</f>
        <v>-493184.71106259024</v>
      </c>
      <c r="R141">
        <f t="shared" ref="R141" si="682">R142+Q141</f>
        <v>-9199220.7496677097</v>
      </c>
      <c r="S141">
        <f t="shared" ref="S141" si="683">R141/100000</f>
        <v>-91.992207496677096</v>
      </c>
      <c r="T141">
        <f t="shared" ref="T141" si="684">S141/1000</f>
        <v>-9.1992207496677095E-2</v>
      </c>
    </row>
    <row r="142" spans="1:20" x14ac:dyDescent="0.25">
      <c r="A142" s="5">
        <v>44451</v>
      </c>
      <c r="B142">
        <v>5.7720000000000002</v>
      </c>
      <c r="C142">
        <v>6.0679999999999996</v>
      </c>
      <c r="D142">
        <v>5.5350000000000001</v>
      </c>
      <c r="E142">
        <v>5.7779999999999996</v>
      </c>
      <c r="F142">
        <v>1147540.2</v>
      </c>
      <c r="G142">
        <v>5.7779999999999996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-8.8180112570357683E-2</v>
      </c>
      <c r="Q142">
        <f t="shared" ref="Q142" si="686">F142*P142</f>
        <v>-101190.22401501077</v>
      </c>
      <c r="R142">
        <f t="shared" ref="R142" si="687">R143+Q142</f>
        <v>-8706036.03860512</v>
      </c>
      <c r="S142">
        <f t="shared" ref="S142" si="688">R142/100000</f>
        <v>-87.060360386051201</v>
      </c>
      <c r="T142">
        <f t="shared" ref="T142" si="689">S142/1000</f>
        <v>-8.7060360386051194E-2</v>
      </c>
    </row>
    <row r="143" spans="1:20" x14ac:dyDescent="0.25">
      <c r="A143" s="5">
        <v>44450</v>
      </c>
      <c r="B143">
        <v>5.3529999999999998</v>
      </c>
      <c r="C143">
        <v>6.2</v>
      </c>
      <c r="D143">
        <v>5.2350000000000003</v>
      </c>
      <c r="E143">
        <v>5.7670000000000003</v>
      </c>
      <c r="F143">
        <v>1614916.4</v>
      </c>
      <c r="G143">
        <v>5.7670000000000003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0.10259067357512976</v>
      </c>
      <c r="Q143">
        <f t="shared" ref="Q143" si="691">F143*P143</f>
        <v>165675.36124352366</v>
      </c>
      <c r="R143">
        <f t="shared" ref="R143" si="692">R144+Q143</f>
        <v>-8604845.8145901095</v>
      </c>
      <c r="S143">
        <f t="shared" ref="S143" si="693">R143/100000</f>
        <v>-86.048458145901094</v>
      </c>
      <c r="T143">
        <f t="shared" ref="T143" si="694">S143/1000</f>
        <v>-8.6048458145901091E-2</v>
      </c>
    </row>
    <row r="144" spans="1:20" x14ac:dyDescent="0.25">
      <c r="A144" s="5">
        <v>44449</v>
      </c>
      <c r="B144">
        <v>5.8010000000000002</v>
      </c>
      <c r="C144">
        <v>6.24</v>
      </c>
      <c r="D144">
        <v>5.2</v>
      </c>
      <c r="E144">
        <v>5.3559999999999999</v>
      </c>
      <c r="F144">
        <v>1617530.4</v>
      </c>
      <c r="G144">
        <v>5.3559999999999999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-0.70000000000000062</v>
      </c>
      <c r="Q144">
        <f t="shared" ref="Q144" si="696">F144*P144</f>
        <v>-1132271.280000001</v>
      </c>
      <c r="R144">
        <f t="shared" ref="R144" si="697">R145+Q144</f>
        <v>-8770521.1758336332</v>
      </c>
      <c r="S144">
        <f t="shared" ref="S144" si="698">R144/100000</f>
        <v>-87.705211758336333</v>
      </c>
      <c r="T144">
        <f t="shared" ref="T144" si="699">S144/1000</f>
        <v>-8.7705211758336329E-2</v>
      </c>
    </row>
    <row r="145" spans="1:20" x14ac:dyDescent="0.25">
      <c r="A145" s="5">
        <v>44448</v>
      </c>
      <c r="B145">
        <v>5.6879999999999997</v>
      </c>
      <c r="C145">
        <v>6.0759999999999996</v>
      </c>
      <c r="D145">
        <v>5.48</v>
      </c>
      <c r="E145">
        <v>5.81</v>
      </c>
      <c r="F145">
        <v>1361885.6</v>
      </c>
      <c r="G145">
        <v>5.81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0.10738255033556922</v>
      </c>
      <c r="Q145">
        <f t="shared" ref="Q145" si="701">F145*P145</f>
        <v>146242.74899328689</v>
      </c>
      <c r="R145">
        <f t="shared" ref="R145" si="702">R146+Q145</f>
        <v>-7638249.895833632</v>
      </c>
      <c r="S145">
        <f t="shared" ref="S145" si="703">R145/100000</f>
        <v>-76.382498958336313</v>
      </c>
      <c r="T145">
        <f t="shared" ref="T145" si="704">S145/1000</f>
        <v>-7.638249895833632E-2</v>
      </c>
    </row>
    <row r="146" spans="1:20" x14ac:dyDescent="0.25">
      <c r="A146" s="5">
        <v>44447</v>
      </c>
      <c r="B146">
        <v>5.8840000000000003</v>
      </c>
      <c r="C146">
        <v>5.9169999999999998</v>
      </c>
      <c r="D146">
        <v>5.1559999999999997</v>
      </c>
      <c r="E146">
        <v>5.6970000000000001</v>
      </c>
      <c r="F146">
        <v>2098089.5</v>
      </c>
      <c r="G146">
        <v>5.6970000000000001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0.42181340341655793</v>
      </c>
      <c r="Q146">
        <f t="shared" ref="Q146" si="706">F146*P146</f>
        <v>885002.27266754431</v>
      </c>
      <c r="R146">
        <f t="shared" ref="R146" si="707">R147+Q146</f>
        <v>-7784492.6448269188</v>
      </c>
      <c r="S146">
        <f t="shared" ref="S146" si="708">R146/100000</f>
        <v>-77.844926448269192</v>
      </c>
      <c r="T146">
        <f t="shared" ref="T146" si="709">S146/1000</f>
        <v>-7.7844926448269194E-2</v>
      </c>
    </row>
    <row r="147" spans="1:20" x14ac:dyDescent="0.25">
      <c r="A147" s="5">
        <v>44446</v>
      </c>
      <c r="B147">
        <v>7.2919999999999998</v>
      </c>
      <c r="C147">
        <v>7.5060000000000002</v>
      </c>
      <c r="D147">
        <v>5.0780000000000003</v>
      </c>
      <c r="E147">
        <v>5.875</v>
      </c>
      <c r="F147">
        <v>3003999.28</v>
      </c>
      <c r="G147">
        <v>5.875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-0.34349258649093928</v>
      </c>
      <c r="Q147">
        <f t="shared" ref="Q147" si="711">F147*P147</f>
        <v>-1031851.4825041193</v>
      </c>
      <c r="R147">
        <f t="shared" ref="R147" si="712">R148+Q147</f>
        <v>-8669494.9174944628</v>
      </c>
      <c r="S147">
        <f t="shared" ref="S147" si="713">R147/100000</f>
        <v>-86.694949174944625</v>
      </c>
      <c r="T147">
        <f t="shared" ref="T147" si="714">S147/1000</f>
        <v>-8.6694949174944622E-2</v>
      </c>
    </row>
    <row r="148" spans="1:20" x14ac:dyDescent="0.25">
      <c r="A148" s="5">
        <v>44445</v>
      </c>
      <c r="B148">
        <v>7.2469999999999999</v>
      </c>
      <c r="C148">
        <v>7.6459999999999999</v>
      </c>
      <c r="D148">
        <v>7.0430000000000001</v>
      </c>
      <c r="E148">
        <v>7.3</v>
      </c>
      <c r="F148">
        <v>2052038.66</v>
      </c>
      <c r="G148">
        <v>7.3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-0.14759535655058117</v>
      </c>
      <c r="Q148">
        <f t="shared" ref="Q148" si="716">F148*P148</f>
        <v>-302871.3776782768</v>
      </c>
      <c r="R148">
        <f t="shared" ref="R148" si="717">R149+Q148</f>
        <v>-7637643.4349903427</v>
      </c>
      <c r="S148">
        <f t="shared" ref="S148" si="718">R148/100000</f>
        <v>-76.376434349903434</v>
      </c>
      <c r="T148">
        <f t="shared" ref="T148" si="719">S148/1000</f>
        <v>-7.6376434349903433E-2</v>
      </c>
    </row>
    <row r="149" spans="1:20" x14ac:dyDescent="0.25">
      <c r="A149" s="5">
        <v>44444</v>
      </c>
      <c r="B149">
        <v>6.7370000000000001</v>
      </c>
      <c r="C149">
        <v>7.2930000000000001</v>
      </c>
      <c r="D149">
        <v>6.6760000000000002</v>
      </c>
      <c r="E149">
        <v>7.2489999999999997</v>
      </c>
      <c r="F149">
        <v>2272323.7200000002</v>
      </c>
      <c r="G149">
        <v>7.2489999999999997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0.85737439222041978</v>
      </c>
      <c r="Q149">
        <f t="shared" ref="Q149" si="721">F149*P149</f>
        <v>1948232.1683630436</v>
      </c>
      <c r="R149">
        <f t="shared" ref="R149" si="722">R150+Q149</f>
        <v>-7334772.0573120657</v>
      </c>
      <c r="S149">
        <f t="shared" ref="S149" si="723">R149/100000</f>
        <v>-73.347720573120654</v>
      </c>
      <c r="T149">
        <f t="shared" ref="T149" si="724">S149/1000</f>
        <v>-7.3347720573120653E-2</v>
      </c>
    </row>
    <row r="150" spans="1:20" x14ac:dyDescent="0.25">
      <c r="A150" s="5">
        <v>44443</v>
      </c>
      <c r="B150">
        <v>6.7709999999999999</v>
      </c>
      <c r="C150">
        <v>6.95</v>
      </c>
      <c r="D150">
        <v>6.6</v>
      </c>
      <c r="E150">
        <v>6.7370000000000001</v>
      </c>
      <c r="F150">
        <v>1271625.8</v>
      </c>
      <c r="G150">
        <v>6.7370000000000001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-0.21714285714285575</v>
      </c>
      <c r="Q150">
        <f t="shared" ref="Q150" si="726">F150*P150</f>
        <v>-276124.45942856965</v>
      </c>
      <c r="R150">
        <f t="shared" ref="R150" si="727">R151+Q150</f>
        <v>-9283004.2256751098</v>
      </c>
      <c r="S150">
        <f t="shared" ref="S150" si="728">R150/100000</f>
        <v>-92.830042256751099</v>
      </c>
      <c r="T150">
        <f t="shared" ref="T150" si="729">S150/1000</f>
        <v>-9.2830042256751094E-2</v>
      </c>
    </row>
    <row r="151" spans="1:20" x14ac:dyDescent="0.25">
      <c r="A151" s="5">
        <v>44442</v>
      </c>
      <c r="B151">
        <v>6.6980000000000004</v>
      </c>
      <c r="C151">
        <v>6.92</v>
      </c>
      <c r="D151">
        <v>6.5890000000000004</v>
      </c>
      <c r="E151">
        <v>6.7779999999999996</v>
      </c>
      <c r="F151">
        <v>1118750.3</v>
      </c>
      <c r="G151">
        <v>6.7779999999999996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0.14199395770392415</v>
      </c>
      <c r="Q151">
        <f t="shared" ref="Q151" si="731">F151*P151</f>
        <v>158855.78277945245</v>
      </c>
      <c r="R151">
        <f t="shared" ref="R151" si="732">R152+Q151</f>
        <v>-9006879.7662465405</v>
      </c>
      <c r="S151">
        <f t="shared" ref="S151" si="733">R151/100000</f>
        <v>-90.0687976624654</v>
      </c>
      <c r="T151">
        <f t="shared" ref="T151" si="734">S151/1000</f>
        <v>-9.0068797662465394E-2</v>
      </c>
    </row>
    <row r="152" spans="1:20" x14ac:dyDescent="0.25">
      <c r="A152" s="5">
        <v>44441</v>
      </c>
      <c r="B152">
        <v>6.7080000000000002</v>
      </c>
      <c r="C152">
        <v>6.9240000000000004</v>
      </c>
      <c r="D152">
        <v>6.6289999999999996</v>
      </c>
      <c r="E152">
        <v>6.6849999999999996</v>
      </c>
      <c r="F152">
        <v>1217386.3</v>
      </c>
      <c r="G152">
        <v>6.6849999999999996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-0.62033898305084822</v>
      </c>
      <c r="Q152">
        <f t="shared" ref="Q152" si="736">F152*P152</f>
        <v>-755192.17932203482</v>
      </c>
      <c r="R152">
        <f t="shared" ref="R152" si="737">R153+Q152</f>
        <v>-9165735.5490259938</v>
      </c>
      <c r="S152">
        <f t="shared" ref="S152" si="738">R152/100000</f>
        <v>-91.657355490259931</v>
      </c>
      <c r="T152">
        <f t="shared" ref="T152" si="739">S152/1000</f>
        <v>-9.1657355490259926E-2</v>
      </c>
    </row>
    <row r="153" spans="1:20" x14ac:dyDescent="0.25">
      <c r="A153" s="5">
        <v>44440</v>
      </c>
      <c r="B153">
        <v>6.4139999999999997</v>
      </c>
      <c r="C153">
        <v>6.883</v>
      </c>
      <c r="D153">
        <v>6.2640000000000002</v>
      </c>
      <c r="E153">
        <v>6.7190000000000003</v>
      </c>
      <c r="F153">
        <v>1447672.2</v>
      </c>
      <c r="G153">
        <v>6.7190000000000003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0.47011308562197168</v>
      </c>
      <c r="Q153">
        <f t="shared" ref="Q153" si="741">F153*P153</f>
        <v>680569.64491114812</v>
      </c>
      <c r="R153">
        <f t="shared" ref="R153" si="742">R154+Q153</f>
        <v>-8410543.3697039597</v>
      </c>
      <c r="S153">
        <f t="shared" ref="S153" si="743">R153/100000</f>
        <v>-84.105433697039601</v>
      </c>
      <c r="T153">
        <f t="shared" ref="T153" si="744">S153/1000</f>
        <v>-8.41054336970396E-2</v>
      </c>
    </row>
    <row r="154" spans="1:20" x14ac:dyDescent="0.25">
      <c r="A154" s="5">
        <v>44439</v>
      </c>
      <c r="B154">
        <v>6.4180000000000001</v>
      </c>
      <c r="C154">
        <v>6.8490000000000002</v>
      </c>
      <c r="D154">
        <v>6.3479999999999999</v>
      </c>
      <c r="E154">
        <v>6.4139999999999997</v>
      </c>
      <c r="F154">
        <v>2752999.1</v>
      </c>
      <c r="G154">
        <v>6.4139999999999997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-0.73652694610778524</v>
      </c>
      <c r="Q154">
        <f t="shared" ref="Q154" si="746">F154*P154</f>
        <v>-2027658.0197604813</v>
      </c>
      <c r="R154">
        <f t="shared" ref="R154" si="747">R155+Q154</f>
        <v>-9091113.0146151073</v>
      </c>
      <c r="S154">
        <f t="shared" ref="S154" si="748">R154/100000</f>
        <v>-90.911130146151066</v>
      </c>
      <c r="T154">
        <f t="shared" ref="T154" si="749">S154/1000</f>
        <v>-9.091113014615107E-2</v>
      </c>
    </row>
    <row r="155" spans="1:20" x14ac:dyDescent="0.25">
      <c r="A155" s="5">
        <v>44438</v>
      </c>
      <c r="B155">
        <v>6.6859999999999999</v>
      </c>
      <c r="C155">
        <v>7.02</v>
      </c>
      <c r="D155">
        <v>6.3559999999999999</v>
      </c>
      <c r="E155">
        <v>6.4189999999999996</v>
      </c>
      <c r="F155">
        <v>1642031.2</v>
      </c>
      <c r="G155">
        <v>6.4189999999999996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-0.81024096385542244</v>
      </c>
      <c r="Q155">
        <f t="shared" ref="Q155" si="751">F155*P155</f>
        <v>-1330440.9421686758</v>
      </c>
      <c r="R155">
        <f t="shared" ref="R155" si="752">R156+Q155</f>
        <v>-7063454.9948546253</v>
      </c>
      <c r="S155">
        <f t="shared" ref="S155" si="753">R155/100000</f>
        <v>-70.634549948546251</v>
      </c>
      <c r="T155">
        <f t="shared" ref="T155" si="754">S155/1000</f>
        <v>-7.0634549948546246E-2</v>
      </c>
    </row>
    <row r="156" spans="1:20" x14ac:dyDescent="0.25">
      <c r="A156" s="5">
        <v>44437</v>
      </c>
      <c r="B156">
        <v>6.4889999999999999</v>
      </c>
      <c r="C156">
        <v>7.02</v>
      </c>
      <c r="D156">
        <v>6.4</v>
      </c>
      <c r="E156">
        <v>6.6779999999999999</v>
      </c>
      <c r="F156">
        <v>1356723.03</v>
      </c>
      <c r="G156">
        <v>6.6779999999999999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-0.10322580645161313</v>
      </c>
      <c r="Q156">
        <f t="shared" ref="Q156" si="756">F156*P156</f>
        <v>-140048.82890322612</v>
      </c>
      <c r="R156">
        <f t="shared" ref="R156" si="757">R157+Q156</f>
        <v>-5733014.05268595</v>
      </c>
      <c r="S156">
        <f t="shared" ref="S156" si="758">R156/100000</f>
        <v>-57.330140526859502</v>
      </c>
      <c r="T156">
        <f t="shared" ref="T156" si="759">S156/1000</f>
        <v>-5.7330140526859502E-2</v>
      </c>
    </row>
    <row r="157" spans="1:20" x14ac:dyDescent="0.25">
      <c r="A157" s="5">
        <v>44436</v>
      </c>
      <c r="B157">
        <v>6.6319999999999997</v>
      </c>
      <c r="C157">
        <v>6.67</v>
      </c>
      <c r="D157">
        <v>6.4169999999999998</v>
      </c>
      <c r="E157">
        <v>6.4889999999999999</v>
      </c>
      <c r="F157">
        <v>687678.6</v>
      </c>
      <c r="G157">
        <v>6.4889999999999999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-0.43083003952569143</v>
      </c>
      <c r="Q157">
        <f t="shared" ref="Q157" si="761">F157*P157</f>
        <v>-296272.59841897216</v>
      </c>
      <c r="R157">
        <f t="shared" ref="R157" si="762">R158+Q157</f>
        <v>-5592965.2237827238</v>
      </c>
      <c r="S157">
        <f t="shared" ref="S157" si="763">R157/100000</f>
        <v>-55.929652237827234</v>
      </c>
      <c r="T157">
        <f t="shared" ref="T157" si="764">S157/1000</f>
        <v>-5.5929652237827233E-2</v>
      </c>
    </row>
    <row r="158" spans="1:20" x14ac:dyDescent="0.25">
      <c r="A158" s="5">
        <v>44435</v>
      </c>
      <c r="B158">
        <v>6.2549999999999999</v>
      </c>
      <c r="C158">
        <v>6.8179999999999996</v>
      </c>
      <c r="D158">
        <v>6.194</v>
      </c>
      <c r="E158">
        <v>6.6319999999999997</v>
      </c>
      <c r="F158">
        <v>1525157.2</v>
      </c>
      <c r="G158">
        <v>6.6319999999999997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0.40384615384615369</v>
      </c>
      <c r="Q158">
        <f t="shared" ref="Q158" si="766">F158*P158</f>
        <v>615928.86923076899</v>
      </c>
      <c r="R158">
        <f t="shared" ref="R158" si="767">R159+Q158</f>
        <v>-5296692.6253637513</v>
      </c>
      <c r="S158">
        <f t="shared" ref="S158" si="768">R158/100000</f>
        <v>-52.96692625363751</v>
      </c>
      <c r="T158">
        <f t="shared" ref="T158" si="769">S158/1000</f>
        <v>-5.2966926253637511E-2</v>
      </c>
    </row>
    <row r="159" spans="1:20" x14ac:dyDescent="0.25">
      <c r="A159" s="5">
        <v>44434</v>
      </c>
      <c r="B159">
        <v>6.7196999999999996</v>
      </c>
      <c r="C159">
        <v>6.9050000000000002</v>
      </c>
      <c r="D159">
        <v>6.1790000000000003</v>
      </c>
      <c r="E159">
        <v>6.2679999999999998</v>
      </c>
      <c r="F159">
        <v>2083614.96</v>
      </c>
      <c r="G159">
        <v>6.2679999999999998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-0.75482093663911976</v>
      </c>
      <c r="Q159">
        <f t="shared" ref="Q159" si="771">F159*P159</f>
        <v>-1572756.195702482</v>
      </c>
      <c r="R159">
        <f t="shared" ref="R159" si="772">R160+Q159</f>
        <v>-5912621.49459452</v>
      </c>
      <c r="S159">
        <f t="shared" ref="S159" si="773">R159/100000</f>
        <v>-59.1262149459452</v>
      </c>
      <c r="T159">
        <f t="shared" ref="T159" si="774">S159/1000</f>
        <v>-5.91262149459452E-2</v>
      </c>
    </row>
    <row r="160" spans="1:20" x14ac:dyDescent="0.25">
      <c r="A160" s="5">
        <v>44433</v>
      </c>
      <c r="B160">
        <v>6.3196000000000003</v>
      </c>
      <c r="C160">
        <v>7</v>
      </c>
      <c r="D160">
        <v>6.1440999999999999</v>
      </c>
      <c r="E160">
        <v>6.7179000000000002</v>
      </c>
      <c r="F160">
        <v>1661403.41</v>
      </c>
      <c r="G160">
        <v>6.7179000000000002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0.34081084238813003</v>
      </c>
      <c r="Q160">
        <f t="shared" ref="Q160" si="776">F160*P160</f>
        <v>566224.29570861172</v>
      </c>
      <c r="R160">
        <f t="shared" ref="R160" si="777">R161+Q160</f>
        <v>-4339865.2988920379</v>
      </c>
      <c r="S160">
        <f t="shared" ref="S160" si="778">R160/100000</f>
        <v>-43.398652988920382</v>
      </c>
      <c r="T160">
        <f t="shared" ref="T160" si="779">S160/1000</f>
        <v>-4.3398652988920379E-2</v>
      </c>
    </row>
    <row r="161" spans="1:20" x14ac:dyDescent="0.25">
      <c r="A161" s="5">
        <v>44432</v>
      </c>
      <c r="B161">
        <v>7.0098000000000003</v>
      </c>
      <c r="C161">
        <v>7.1334</v>
      </c>
      <c r="D161">
        <v>6.3</v>
      </c>
      <c r="E161">
        <v>6.3196000000000003</v>
      </c>
      <c r="F161">
        <v>1879678.76</v>
      </c>
      <c r="G161">
        <v>6.3196000000000003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-0.95296376289896689</v>
      </c>
      <c r="Q161">
        <f t="shared" ref="Q161" si="781">F161*P161</f>
        <v>-1791265.7441708641</v>
      </c>
      <c r="R161">
        <f t="shared" ref="R161" si="782">R162+Q161</f>
        <v>-4906089.5946006496</v>
      </c>
      <c r="S161">
        <f t="shared" ref="S161" si="783">R161/100000</f>
        <v>-49.060895946006497</v>
      </c>
      <c r="T161">
        <f t="shared" ref="T161" si="784">S161/1000</f>
        <v>-4.9060895946006496E-2</v>
      </c>
    </row>
    <row r="162" spans="1:20" x14ac:dyDescent="0.25">
      <c r="A162" s="5">
        <v>44431</v>
      </c>
      <c r="B162">
        <v>7.1970000000000001</v>
      </c>
      <c r="C162">
        <v>7.7</v>
      </c>
      <c r="D162">
        <v>6.8666999999999998</v>
      </c>
      <c r="E162">
        <v>7.0125000000000002</v>
      </c>
      <c r="F162">
        <v>3267765.82</v>
      </c>
      <c r="G162">
        <v>7.0125000000000002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-0.65006600264010483</v>
      </c>
      <c r="Q162">
        <f t="shared" ref="Q162" si="786">F162*P162</f>
        <v>-2124263.4641713644</v>
      </c>
      <c r="R162">
        <f t="shared" ref="R162" si="787">R163+Q162</f>
        <v>-3114823.8504297854</v>
      </c>
      <c r="S162">
        <f t="shared" ref="S162" si="788">R162/100000</f>
        <v>-31.148238504297854</v>
      </c>
      <c r="T162">
        <f t="shared" ref="T162" si="789">S162/1000</f>
        <v>-3.1148238504297855E-2</v>
      </c>
    </row>
    <row r="163" spans="1:20" x14ac:dyDescent="0.25">
      <c r="A163" s="5">
        <v>44430</v>
      </c>
      <c r="B163">
        <v>6.1365999999999996</v>
      </c>
      <c r="C163">
        <v>6.2366000000000001</v>
      </c>
      <c r="D163">
        <v>6.08</v>
      </c>
      <c r="E163">
        <v>6.1791999999999998</v>
      </c>
      <c r="F163">
        <v>170930.24</v>
      </c>
      <c r="G163">
        <v>6.1791999999999998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0.2669220945082974</v>
      </c>
      <c r="Q163">
        <f t="shared" ref="Q163" si="791">F163*P163</f>
        <v>45625.057675605953</v>
      </c>
      <c r="R163">
        <f t="shared" ref="R163" si="792">R164+Q163</f>
        <v>-990560.386258421</v>
      </c>
      <c r="S163">
        <f t="shared" ref="S163" si="793">R163/100000</f>
        <v>-9.9056038625842096</v>
      </c>
      <c r="T163">
        <f t="shared" ref="T163" si="794">S163/1000</f>
        <v>-9.9056038625842096E-3</v>
      </c>
    </row>
    <row r="164" spans="1:20" x14ac:dyDescent="0.25">
      <c r="A164" s="5">
        <v>44429</v>
      </c>
      <c r="B164">
        <v>6.4108000000000001</v>
      </c>
      <c r="C164">
        <v>6.4550999999999998</v>
      </c>
      <c r="D164">
        <v>6.1265000000000001</v>
      </c>
      <c r="E164">
        <v>6.1319999999999997</v>
      </c>
      <c r="F164">
        <v>833036.74</v>
      </c>
      <c r="G164">
        <v>6.1319999999999997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-0.96652465003043442</v>
      </c>
      <c r="Q164">
        <f t="shared" ref="Q164" si="796">F164*P164</f>
        <v>-805150.54359099397</v>
      </c>
      <c r="R164">
        <f t="shared" ref="R164" si="797">R165+Q164</f>
        <v>-1036185.443934027</v>
      </c>
      <c r="S164">
        <f t="shared" ref="S164" si="798">R164/100000</f>
        <v>-10.36185443934027</v>
      </c>
      <c r="T164">
        <f t="shared" ref="T164" si="799">S164/1000</f>
        <v>-1.0361854439340269E-2</v>
      </c>
    </row>
    <row r="165" spans="1:20" x14ac:dyDescent="0.25">
      <c r="A165" s="5">
        <v>44428</v>
      </c>
      <c r="B165">
        <v>6.0971000000000002</v>
      </c>
      <c r="C165">
        <v>6.4573999999999998</v>
      </c>
      <c r="D165">
        <v>6.0709</v>
      </c>
      <c r="E165">
        <v>6.4010999999999996</v>
      </c>
      <c r="F165">
        <v>1124147.28</v>
      </c>
      <c r="G165">
        <v>6.4010999999999996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0.70866752910737252</v>
      </c>
      <c r="Q165">
        <f t="shared" ref="Q165" si="801">F165*P165</f>
        <v>796646.6752703737</v>
      </c>
      <c r="R165">
        <f t="shared" ref="R165" si="802">R166+Q165</f>
        <v>-231034.90034303302</v>
      </c>
      <c r="S165">
        <f t="shared" ref="S165" si="803">R165/100000</f>
        <v>-2.3103490034303302</v>
      </c>
      <c r="T165">
        <f t="shared" ref="T165" si="804">S165/1000</f>
        <v>-2.3103490034303304E-3</v>
      </c>
    </row>
    <row r="166" spans="1:20" x14ac:dyDescent="0.25">
      <c r="A166" s="5">
        <v>44427</v>
      </c>
      <c r="B166">
        <v>5.6623000000000001</v>
      </c>
      <c r="C166">
        <v>6.32</v>
      </c>
      <c r="D166">
        <v>5.5523999999999996</v>
      </c>
      <c r="E166">
        <v>6.0879000000000003</v>
      </c>
      <c r="F166">
        <v>1145428.03</v>
      </c>
      <c r="G166">
        <v>6.0879000000000003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0.39525794684731697</v>
      </c>
      <c r="Q166">
        <f t="shared" ref="Q166" si="806">F166*P166</f>
        <v>452739.53139916697</v>
      </c>
      <c r="R166">
        <f t="shared" ref="R166" si="807">R167+Q166</f>
        <v>-1027681.5756134067</v>
      </c>
      <c r="S166">
        <f t="shared" ref="S166" si="808">R166/100000</f>
        <v>-10.276815756134067</v>
      </c>
      <c r="T166">
        <f t="shared" ref="T166" si="809">S166/1000</f>
        <v>-1.0276815756134067E-2</v>
      </c>
    </row>
    <row r="167" spans="1:20" x14ac:dyDescent="0.25">
      <c r="A167" s="5">
        <v>44426</v>
      </c>
      <c r="B167">
        <v>5.8307000000000002</v>
      </c>
      <c r="C167">
        <v>6.0777999999999999</v>
      </c>
      <c r="D167">
        <v>5.5669000000000004</v>
      </c>
      <c r="E167">
        <v>5.6637000000000004</v>
      </c>
      <c r="F167">
        <v>1151351.8999999999</v>
      </c>
      <c r="G167">
        <v>5.6637000000000004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-0.62106087296926948</v>
      </c>
      <c r="Q167">
        <f t="shared" ref="Q167" si="811">F167*P167</f>
        <v>-715059.61610882706</v>
      </c>
      <c r="R167">
        <f t="shared" ref="R167" si="812">R168+Q167</f>
        <v>-1480421.1070125736</v>
      </c>
      <c r="S167">
        <f t="shared" ref="S167" si="813">R167/100000</f>
        <v>-14.804211070125737</v>
      </c>
      <c r="T167">
        <f t="shared" ref="T167" si="814">S167/1000</f>
        <v>-1.4804211070125736E-2</v>
      </c>
    </row>
    <row r="168" spans="1:20" x14ac:dyDescent="0.25">
      <c r="A168" s="5">
        <v>44425</v>
      </c>
      <c r="B168">
        <v>6.2363999999999997</v>
      </c>
      <c r="C168">
        <v>6.4432999999999998</v>
      </c>
      <c r="D168">
        <v>5.7366999999999999</v>
      </c>
      <c r="E168">
        <v>5.83</v>
      </c>
      <c r="F168">
        <v>1347846.08</v>
      </c>
      <c r="G168">
        <v>5.83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-0.73591848287574246</v>
      </c>
      <c r="Q168">
        <f t="shared" ref="Q168" si="816">F168*P168</f>
        <v>-991904.84234361665</v>
      </c>
      <c r="R168">
        <f t="shared" ref="R168" si="817">R169+Q168</f>
        <v>-765361.49090374669</v>
      </c>
      <c r="S168">
        <f t="shared" ref="S168" si="818">R168/100000</f>
        <v>-7.6536149090374668</v>
      </c>
      <c r="T168">
        <f t="shared" ref="T168" si="819">S168/1000</f>
        <v>-7.6536149090374664E-3</v>
      </c>
    </row>
    <row r="169" spans="1:20" x14ac:dyDescent="0.25">
      <c r="A169" s="5">
        <v>44424</v>
      </c>
      <c r="B169">
        <v>6.375</v>
      </c>
      <c r="C169">
        <v>6.8326000000000002</v>
      </c>
      <c r="D169">
        <v>6.1646999999999998</v>
      </c>
      <c r="E169">
        <v>6.2224000000000004</v>
      </c>
      <c r="F169">
        <v>1607076.19</v>
      </c>
      <c r="G169">
        <v>6.2224000000000004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-0.82721964365922895</v>
      </c>
      <c r="Q169">
        <f t="shared" ref="Q169" si="821">F169*P169</f>
        <v>-1329404.9932250313</v>
      </c>
      <c r="R169">
        <f t="shared" ref="R169" si="822">R170+Q169</f>
        <v>226543.35143986996</v>
      </c>
      <c r="S169">
        <f t="shared" ref="S169" si="823">R169/100000</f>
        <v>2.2654335143986994</v>
      </c>
      <c r="T169">
        <f t="shared" ref="T169" si="824">S169/1000</f>
        <v>2.2654335143986993E-3</v>
      </c>
    </row>
    <row r="170" spans="1:20" x14ac:dyDescent="0.25">
      <c r="A170" s="5">
        <v>44423</v>
      </c>
      <c r="B170">
        <v>6.4370000000000003</v>
      </c>
      <c r="C170">
        <v>6.45</v>
      </c>
      <c r="D170">
        <v>6.1031000000000004</v>
      </c>
      <c r="E170">
        <v>6.375</v>
      </c>
      <c r="F170">
        <v>929356.93</v>
      </c>
      <c r="G170">
        <v>6.375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0.56759873162294483</v>
      </c>
      <c r="Q170">
        <f t="shared" ref="Q170" si="826">F170*P170</f>
        <v>527501.814692994</v>
      </c>
      <c r="R170">
        <f t="shared" ref="R170" si="827">R171+Q170</f>
        <v>1555948.3446649013</v>
      </c>
      <c r="S170">
        <f t="shared" ref="S170" si="828">R170/100000</f>
        <v>15.559483446649013</v>
      </c>
      <c r="T170">
        <f t="shared" ref="T170" si="829">S170/1000</f>
        <v>1.5559483446649014E-2</v>
      </c>
    </row>
    <row r="171" spans="1:20" x14ac:dyDescent="0.25">
      <c r="A171" s="5">
        <v>44422</v>
      </c>
      <c r="B171">
        <v>6.7225000000000001</v>
      </c>
      <c r="C171">
        <v>6.7323000000000004</v>
      </c>
      <c r="D171">
        <v>6.1292999999999997</v>
      </c>
      <c r="E171">
        <v>6.4370000000000003</v>
      </c>
      <c r="F171">
        <v>1405206.8</v>
      </c>
      <c r="G171">
        <v>6.4370000000000003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2.0563847429519732E-2</v>
      </c>
      <c r="Q171">
        <f t="shared" ref="Q171" si="831">F171*P171</f>
        <v>28896.458242123648</v>
      </c>
      <c r="R171">
        <f t="shared" ref="R171" si="832">R172+Q171</f>
        <v>1028446.5299719073</v>
      </c>
      <c r="S171">
        <f t="shared" ref="S171" si="833">R171/100000</f>
        <v>10.284465299719074</v>
      </c>
      <c r="T171">
        <f t="shared" ref="T171" si="834">S171/1000</f>
        <v>1.0284465299719074E-2</v>
      </c>
    </row>
    <row r="172" spans="1:20" x14ac:dyDescent="0.25">
      <c r="A172" s="5">
        <v>44421</v>
      </c>
      <c r="B172">
        <v>6.3602999999999996</v>
      </c>
      <c r="C172">
        <v>6.76</v>
      </c>
      <c r="D172">
        <v>6.2</v>
      </c>
      <c r="E172">
        <v>6.7199</v>
      </c>
      <c r="F172">
        <v>2108096.6800000002</v>
      </c>
      <c r="G172">
        <v>6.7199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0.85678571428571493</v>
      </c>
      <c r="Q172">
        <f t="shared" ref="Q172" si="836">F172*P172</f>
        <v>1806187.1197571442</v>
      </c>
      <c r="R172">
        <f t="shared" ref="R172" si="837">R173+Q172</f>
        <v>999550.07172978367</v>
      </c>
      <c r="S172">
        <f t="shared" ref="S172" si="838">R172/100000</f>
        <v>9.995500717297837</v>
      </c>
      <c r="T172">
        <f t="shared" ref="T172" si="839">S172/1000</f>
        <v>9.9955007172978366E-3</v>
      </c>
    </row>
    <row r="173" spans="1:20" x14ac:dyDescent="0.25">
      <c r="A173" s="5">
        <v>44420</v>
      </c>
      <c r="B173">
        <v>5.7587999999999999</v>
      </c>
      <c r="C173">
        <v>7.1646999999999998</v>
      </c>
      <c r="D173">
        <v>5.5808999999999997</v>
      </c>
      <c r="E173">
        <v>6.3625999999999996</v>
      </c>
      <c r="F173">
        <v>8589298.5</v>
      </c>
      <c r="G173">
        <v>6.3625999999999996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-1.288041419371159E-2</v>
      </c>
      <c r="Q173">
        <f t="shared" ref="Q173" si="841">F173*P173</f>
        <v>-110633.72231342566</v>
      </c>
      <c r="R173">
        <f t="shared" ref="R173" si="842">R174+Q173</f>
        <v>-806637.04802736058</v>
      </c>
      <c r="S173">
        <f t="shared" ref="S173" si="843">R173/100000</f>
        <v>-8.0663704802736049</v>
      </c>
      <c r="T173">
        <f t="shared" ref="T173" si="844">S173/1000</f>
        <v>-8.0663704802736054E-3</v>
      </c>
    </row>
    <row r="174" spans="1:20" x14ac:dyDescent="0.25">
      <c r="A174" s="5">
        <v>44419</v>
      </c>
      <c r="B174">
        <v>5.3037000000000001</v>
      </c>
      <c r="C174">
        <v>5.9893000000000001</v>
      </c>
      <c r="D174">
        <v>5.2862</v>
      </c>
      <c r="E174">
        <v>5.7503000000000002</v>
      </c>
      <c r="F174">
        <v>2441591.48</v>
      </c>
      <c r="G174">
        <v>5.7503000000000002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0.32015360546152793</v>
      </c>
      <c r="Q174">
        <f t="shared" ref="Q174" si="846">F174*P174</f>
        <v>781684.31538614805</v>
      </c>
      <c r="R174">
        <f t="shared" ref="R174" si="847">R175+Q174</f>
        <v>-696003.32571393496</v>
      </c>
      <c r="S174">
        <f t="shared" ref="S174" si="848">R174/100000</f>
        <v>-6.9600332571393499</v>
      </c>
      <c r="T174">
        <f t="shared" ref="T174" si="849">S174/1000</f>
        <v>-6.9600332571393498E-3</v>
      </c>
    </row>
    <row r="175" spans="1:20" x14ac:dyDescent="0.25">
      <c r="A175" s="5">
        <v>44418</v>
      </c>
      <c r="B175">
        <v>5.1978</v>
      </c>
      <c r="C175">
        <v>5.3959999999999999</v>
      </c>
      <c r="D175">
        <v>5.0617999999999999</v>
      </c>
      <c r="E175">
        <v>5.3034999999999997</v>
      </c>
      <c r="F175">
        <v>1218795.6499999999</v>
      </c>
      <c r="G175">
        <v>5.3034999999999997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0.44643925792938222</v>
      </c>
      <c r="Q175">
        <f t="shared" ref="Q175" si="851">F175*P175</f>
        <v>544118.22555355902</v>
      </c>
      <c r="R175">
        <f t="shared" ref="R175" si="852">R176+Q175</f>
        <v>-1477687.641100083</v>
      </c>
      <c r="S175">
        <f t="shared" ref="S175" si="853">R175/100000</f>
        <v>-14.776876411000829</v>
      </c>
      <c r="T175">
        <f t="shared" ref="T175" si="854">S175/1000</f>
        <v>-1.477687641100083E-2</v>
      </c>
    </row>
    <row r="176" spans="1:20" x14ac:dyDescent="0.25">
      <c r="A176" s="5">
        <v>44417</v>
      </c>
      <c r="B176">
        <v>4.9088000000000003</v>
      </c>
      <c r="C176">
        <v>5.3048999999999999</v>
      </c>
      <c r="D176">
        <v>4.7099000000000002</v>
      </c>
      <c r="E176">
        <v>5.2023000000000001</v>
      </c>
      <c r="F176">
        <v>956287.41</v>
      </c>
      <c r="G176">
        <v>5.2023000000000001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0.65512605042016858</v>
      </c>
      <c r="Q176">
        <f t="shared" ref="Q176" si="856">F176*P176</f>
        <v>626488.79397983244</v>
      </c>
      <c r="R176">
        <f t="shared" ref="R176" si="857">R177+Q176</f>
        <v>-2021805.8666536422</v>
      </c>
      <c r="S176">
        <f t="shared" ref="S176" si="858">R176/100000</f>
        <v>-20.218058666536422</v>
      </c>
      <c r="T176">
        <f t="shared" ref="T176" si="859">S176/1000</f>
        <v>-2.021805866653642E-2</v>
      </c>
    </row>
    <row r="177" spans="1:20" x14ac:dyDescent="0.25">
      <c r="A177" s="5">
        <v>44416</v>
      </c>
      <c r="B177">
        <v>5.1417999999999999</v>
      </c>
      <c r="C177">
        <v>5.55</v>
      </c>
      <c r="D177">
        <v>4.7836999999999996</v>
      </c>
      <c r="E177">
        <v>4.9090999999999996</v>
      </c>
      <c r="F177">
        <v>1903223.22</v>
      </c>
      <c r="G177">
        <v>4.9090999999999996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-0.67271303666971183</v>
      </c>
      <c r="Q177">
        <f t="shared" ref="Q177" si="861">F177*P177</f>
        <v>-1280323.071786507</v>
      </c>
      <c r="R177">
        <f t="shared" ref="R177" si="862">R178+Q177</f>
        <v>-2648294.6606334746</v>
      </c>
      <c r="S177">
        <f t="shared" ref="S177" si="863">R177/100000</f>
        <v>-26.482946606334746</v>
      </c>
      <c r="T177">
        <f t="shared" ref="T177" si="864">S177/1000</f>
        <v>-2.6482946606334747E-2</v>
      </c>
    </row>
    <row r="178" spans="1:20" x14ac:dyDescent="0.25">
      <c r="A178" s="5">
        <v>44415</v>
      </c>
      <c r="B178">
        <v>4.7967000000000004</v>
      </c>
      <c r="C178">
        <v>5.3253000000000004</v>
      </c>
      <c r="D178">
        <v>4.7643000000000004</v>
      </c>
      <c r="E178">
        <v>5.1424000000000003</v>
      </c>
      <c r="F178">
        <v>2289479.48</v>
      </c>
      <c r="G178">
        <v>5.1424000000000003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0.34795008912655945</v>
      </c>
      <c r="Q178">
        <f t="shared" ref="Q178" si="866">F178*P178</f>
        <v>796624.589119429</v>
      </c>
      <c r="R178">
        <f t="shared" ref="R178" si="867">R179+Q178</f>
        <v>-1367971.5888469673</v>
      </c>
      <c r="S178">
        <f t="shared" ref="S178" si="868">R178/100000</f>
        <v>-13.679715888469673</v>
      </c>
      <c r="T178">
        <f t="shared" ref="T178" si="869">S178/1000</f>
        <v>-1.3679715888469673E-2</v>
      </c>
    </row>
    <row r="179" spans="1:20" x14ac:dyDescent="0.25">
      <c r="A179" s="5">
        <v>44414</v>
      </c>
      <c r="B179">
        <v>4.5757000000000003</v>
      </c>
      <c r="C179">
        <v>4.8105000000000002</v>
      </c>
      <c r="D179">
        <v>4.4650999999999996</v>
      </c>
      <c r="E179">
        <v>4.7906000000000004</v>
      </c>
      <c r="F179">
        <v>2070138.94</v>
      </c>
      <c r="G179">
        <v>4.7906000000000004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0.88477127967573954</v>
      </c>
      <c r="Q179">
        <f t="shared" ref="Q179" si="871">F179*P179</f>
        <v>1831599.479050379</v>
      </c>
      <c r="R179">
        <f t="shared" ref="R179" si="872">R180+Q179</f>
        <v>-2164596.1779663963</v>
      </c>
      <c r="S179">
        <f t="shared" ref="S179" si="873">R179/100000</f>
        <v>-21.645961779663963</v>
      </c>
      <c r="T179">
        <f t="shared" ref="T179" si="874">S179/1000</f>
        <v>-2.1645961779663964E-2</v>
      </c>
    </row>
    <row r="180" spans="1:20" x14ac:dyDescent="0.25">
      <c r="A180" s="5">
        <v>44413</v>
      </c>
      <c r="B180">
        <v>4.5167999999999999</v>
      </c>
      <c r="C180">
        <v>4.6875</v>
      </c>
      <c r="D180">
        <v>4.3150000000000004</v>
      </c>
      <c r="E180">
        <v>4.5701999999999998</v>
      </c>
      <c r="F180">
        <v>1825251.61</v>
      </c>
      <c r="G180">
        <v>4.5701999999999998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0.37020134228187757</v>
      </c>
      <c r="Q180">
        <f t="shared" ref="Q180" si="876">F180*P180</f>
        <v>675710.59602415818</v>
      </c>
      <c r="R180">
        <f t="shared" ref="R180" si="877">R181+Q180</f>
        <v>-3996195.6570167756</v>
      </c>
      <c r="S180">
        <f t="shared" ref="S180" si="878">R180/100000</f>
        <v>-39.961956570167757</v>
      </c>
      <c r="T180">
        <f t="shared" ref="T180" si="879">S180/1000</f>
        <v>-3.996195657016776E-2</v>
      </c>
    </row>
    <row r="181" spans="1:20" x14ac:dyDescent="0.25">
      <c r="A181" s="5">
        <v>44412</v>
      </c>
      <c r="B181">
        <v>4.2975000000000003</v>
      </c>
      <c r="C181">
        <v>4.556</v>
      </c>
      <c r="D181">
        <v>4.2031000000000001</v>
      </c>
      <c r="E181">
        <v>4.5098000000000003</v>
      </c>
      <c r="F181">
        <v>5524790.6299999999</v>
      </c>
      <c r="G181">
        <v>4.5098000000000003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0.73816945310286319</v>
      </c>
      <c r="Q181">
        <f t="shared" ref="Q181" si="881">F181*P181</f>
        <v>4078231.6778549231</v>
      </c>
      <c r="R181">
        <f t="shared" ref="R181" si="882">R182+Q181</f>
        <v>-4671906.253040934</v>
      </c>
      <c r="S181">
        <f t="shared" ref="S181" si="883">R181/100000</f>
        <v>-46.719062530409339</v>
      </c>
      <c r="T181">
        <f t="shared" ref="T181" si="884">S181/1000</f>
        <v>-4.671906253040934E-2</v>
      </c>
    </row>
    <row r="182" spans="1:20" x14ac:dyDescent="0.25">
      <c r="A182" s="5">
        <v>44411</v>
      </c>
      <c r="B182">
        <v>4.3559000000000001</v>
      </c>
      <c r="C182">
        <v>4.4481000000000002</v>
      </c>
      <c r="D182">
        <v>4.1748000000000003</v>
      </c>
      <c r="E182">
        <v>4.2888000000000002</v>
      </c>
      <c r="F182">
        <v>4145602.69</v>
      </c>
      <c r="G182">
        <v>4.2888000000000002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-0.16575192096597197</v>
      </c>
      <c r="Q182">
        <f t="shared" ref="Q182" si="886">F182*P182</f>
        <v>-687141.60942920076</v>
      </c>
      <c r="R182">
        <f t="shared" ref="R182" si="887">R183+Q182</f>
        <v>-8750137.9308958575</v>
      </c>
      <c r="S182">
        <f t="shared" ref="S182" si="888">R182/100000</f>
        <v>-87.501379308958576</v>
      </c>
      <c r="T182">
        <f t="shared" ref="T182" si="889">S182/1000</f>
        <v>-8.7501379308958571E-2</v>
      </c>
    </row>
    <row r="183" spans="1:20" x14ac:dyDescent="0.25">
      <c r="A183" s="5">
        <v>44410</v>
      </c>
      <c r="B183">
        <v>4.3346</v>
      </c>
      <c r="C183">
        <v>4.5</v>
      </c>
      <c r="D183">
        <v>4.2085999999999997</v>
      </c>
      <c r="E183">
        <v>4.3548999999999998</v>
      </c>
      <c r="F183">
        <v>817513.82</v>
      </c>
      <c r="G183">
        <v>4.3548999999999998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4.1180507892926094E-3</v>
      </c>
      <c r="Q183">
        <f t="shared" ref="Q183" si="891">F183*P183</f>
        <v>3366.563431708616</v>
      </c>
      <c r="R183">
        <f t="shared" ref="R183" si="892">R184+Q183</f>
        <v>-8062996.3214666573</v>
      </c>
      <c r="S183">
        <f t="shared" ref="S183" si="893">R183/100000</f>
        <v>-80.629963214666574</v>
      </c>
      <c r="T183">
        <f t="shared" ref="T183" si="894">S183/1000</f>
        <v>-8.0629963214666575E-2</v>
      </c>
    </row>
    <row r="184" spans="1:20" x14ac:dyDescent="0.25">
      <c r="A184" s="5">
        <v>44409</v>
      </c>
      <c r="B184">
        <v>4.3506</v>
      </c>
      <c r="C184">
        <v>4.649</v>
      </c>
      <c r="D184">
        <v>4.3032000000000004</v>
      </c>
      <c r="E184">
        <v>4.3299000000000003</v>
      </c>
      <c r="F184">
        <v>1700437.88</v>
      </c>
      <c r="G184">
        <v>4.3299000000000003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-0.84557547715442472</v>
      </c>
      <c r="Q184">
        <f t="shared" ref="Q184" si="896">F184*P184</f>
        <v>-1437848.5717524583</v>
      </c>
      <c r="R184">
        <f t="shared" ref="R184" si="897">R185+Q184</f>
        <v>-8066362.8848983664</v>
      </c>
      <c r="S184">
        <f t="shared" ref="S184" si="898">R184/100000</f>
        <v>-80.663628848983663</v>
      </c>
      <c r="T184">
        <f t="shared" ref="T184" si="899">S184/1000</f>
        <v>-8.0663628848983662E-2</v>
      </c>
    </row>
    <row r="185" spans="1:20" x14ac:dyDescent="0.25">
      <c r="A185" s="5">
        <v>44408</v>
      </c>
      <c r="B185">
        <v>4.3724999999999996</v>
      </c>
      <c r="C185">
        <v>4.4000000000000004</v>
      </c>
      <c r="D185">
        <v>4.2721</v>
      </c>
      <c r="E185">
        <v>4.3522999999999996</v>
      </c>
      <c r="F185">
        <v>811456.26</v>
      </c>
      <c r="G185">
        <v>4.3522999999999996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0.25410476935104592</v>
      </c>
      <c r="Q185">
        <f t="shared" ref="Q185" si="901">F185*P185</f>
        <v>206194.90578576236</v>
      </c>
      <c r="R185">
        <f t="shared" ref="R185" si="902">R186+Q185</f>
        <v>-6628514.3131459076</v>
      </c>
      <c r="S185">
        <f t="shared" ref="S185" si="903">R185/100000</f>
        <v>-66.28514313145908</v>
      </c>
      <c r="T185">
        <f t="shared" ref="T185" si="904">S185/1000</f>
        <v>-6.6285143131459084E-2</v>
      </c>
    </row>
    <row r="186" spans="1:20" x14ac:dyDescent="0.25">
      <c r="A186" s="5">
        <v>44407</v>
      </c>
      <c r="B186">
        <v>4.3476999999999997</v>
      </c>
      <c r="C186">
        <v>4.4676999999999998</v>
      </c>
      <c r="D186">
        <v>4.0608000000000004</v>
      </c>
      <c r="E186">
        <v>4.3791000000000002</v>
      </c>
      <c r="F186">
        <v>1665462.77</v>
      </c>
      <c r="G186">
        <v>4.3791000000000002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0.56451216515114422</v>
      </c>
      <c r="Q186">
        <f t="shared" ref="Q186" si="906">F186*P186</f>
        <v>940173.99427132215</v>
      </c>
      <c r="R186">
        <f t="shared" ref="R186" si="907">R187+Q186</f>
        <v>-6834709.2189316703</v>
      </c>
      <c r="S186">
        <f t="shared" ref="S186" si="908">R186/100000</f>
        <v>-68.347092189316697</v>
      </c>
      <c r="T186">
        <f t="shared" ref="T186" si="909">S186/1000</f>
        <v>-6.8347092189316699E-2</v>
      </c>
    </row>
    <row r="187" spans="1:20" x14ac:dyDescent="0.25">
      <c r="A187" s="5">
        <v>44406</v>
      </c>
      <c r="B187">
        <v>4.0475000000000003</v>
      </c>
      <c r="C187">
        <v>4.5</v>
      </c>
      <c r="D187">
        <v>3.9807000000000001</v>
      </c>
      <c r="E187">
        <v>4.3430999999999997</v>
      </c>
      <c r="F187">
        <v>6649979.1600000001</v>
      </c>
      <c r="G187">
        <v>4.3430999999999997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0.39572501444251762</v>
      </c>
      <c r="Q187">
        <f t="shared" ref="Q187" si="911">F187*P187</f>
        <v>2631563.0991334412</v>
      </c>
      <c r="R187">
        <f t="shared" ref="R187" si="912">R188+Q187</f>
        <v>-7774883.2132029925</v>
      </c>
      <c r="S187">
        <f t="shared" ref="S187" si="913">R187/100000</f>
        <v>-77.748832132029918</v>
      </c>
      <c r="T187">
        <f t="shared" ref="T187" si="914">S187/1000</f>
        <v>-7.7748832132029919E-2</v>
      </c>
    </row>
    <row r="188" spans="1:20" x14ac:dyDescent="0.25">
      <c r="A188" s="5">
        <v>44405</v>
      </c>
      <c r="B188">
        <v>4.1189999999999998</v>
      </c>
      <c r="C188">
        <v>4.1966999999999999</v>
      </c>
      <c r="D188">
        <v>3.9563000000000001</v>
      </c>
      <c r="E188">
        <v>4.0475000000000003</v>
      </c>
      <c r="F188">
        <v>1126290.67</v>
      </c>
      <c r="G188">
        <v>4.0475000000000003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-0.24126455906821737</v>
      </c>
      <c r="Q188">
        <f t="shared" ref="Q188" si="916">F188*P188</f>
        <v>-271734.02188019711</v>
      </c>
      <c r="R188">
        <f t="shared" ref="R188" si="917">R189+Q188</f>
        <v>-10406446.312336434</v>
      </c>
      <c r="S188">
        <f t="shared" ref="S188" si="918">R188/100000</f>
        <v>-104.06446312336433</v>
      </c>
      <c r="T188">
        <f t="shared" ref="T188" si="919">S188/1000</f>
        <v>-0.10406446312336433</v>
      </c>
    </row>
    <row r="189" spans="1:20" x14ac:dyDescent="0.25">
      <c r="A189" s="5">
        <v>44404</v>
      </c>
      <c r="B189">
        <v>4.0130999999999997</v>
      </c>
      <c r="C189">
        <v>4.3</v>
      </c>
      <c r="D189">
        <v>3.8675000000000002</v>
      </c>
      <c r="E189">
        <v>4.1218000000000004</v>
      </c>
      <c r="F189">
        <v>1052582.21</v>
      </c>
      <c r="G189">
        <v>4.1218000000000004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0.17595375722543533</v>
      </c>
      <c r="Q189">
        <f t="shared" ref="Q189" si="921">F189*P189</f>
        <v>185205.79463815218</v>
      </c>
      <c r="R189">
        <f t="shared" ref="R189" si="922">R190+Q189</f>
        <v>-10134712.290456237</v>
      </c>
      <c r="S189">
        <f t="shared" ref="S189" si="923">R189/100000</f>
        <v>-101.34712290456237</v>
      </c>
      <c r="T189">
        <f t="shared" ref="T189" si="924">S189/1000</f>
        <v>-0.10134712290456237</v>
      </c>
    </row>
    <row r="190" spans="1:20" x14ac:dyDescent="0.25">
      <c r="A190" s="5">
        <v>44403</v>
      </c>
      <c r="B190">
        <v>3.9228000000000001</v>
      </c>
      <c r="C190">
        <v>4.359</v>
      </c>
      <c r="D190">
        <v>3.8944000000000001</v>
      </c>
      <c r="E190">
        <v>4.0275999999999996</v>
      </c>
      <c r="F190">
        <v>1830360.61</v>
      </c>
      <c r="G190">
        <v>4.0275999999999996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-0.42660352991821104</v>
      </c>
      <c r="Q190">
        <f t="shared" ref="Q190" si="926">F190*P190</f>
        <v>-780838.29724925011</v>
      </c>
      <c r="R190">
        <f t="shared" ref="R190" si="927">R191+Q190</f>
        <v>-10319918.085094389</v>
      </c>
      <c r="S190">
        <f t="shared" ref="S190" si="928">R190/100000</f>
        <v>-103.19918085094389</v>
      </c>
      <c r="T190">
        <f t="shared" ref="T190" si="929">S190/1000</f>
        <v>-0.10319918085094389</v>
      </c>
    </row>
    <row r="191" spans="1:20" x14ac:dyDescent="0.25">
      <c r="A191" s="5">
        <v>44402</v>
      </c>
      <c r="B191">
        <v>3.8893</v>
      </c>
      <c r="C191">
        <v>4</v>
      </c>
      <c r="D191">
        <v>3.7290000000000001</v>
      </c>
      <c r="E191">
        <v>3.9165999999999999</v>
      </c>
      <c r="F191">
        <v>1000297.3</v>
      </c>
      <c r="G191">
        <v>3.9165999999999999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0.38450184501844892</v>
      </c>
      <c r="Q191">
        <f t="shared" ref="Q191" si="931">F191*P191</f>
        <v>384616.15741697291</v>
      </c>
      <c r="R191">
        <f t="shared" ref="R191" si="932">R192+Q191</f>
        <v>-9539079.7878451385</v>
      </c>
      <c r="S191">
        <f t="shared" ref="S191" si="933">R191/100000</f>
        <v>-95.39079787845138</v>
      </c>
      <c r="T191">
        <f t="shared" ref="T191:T197" si="934">S191/1000</f>
        <v>-9.539079787845138E-2</v>
      </c>
    </row>
    <row r="192" spans="1:20" x14ac:dyDescent="0.25">
      <c r="A192" s="5">
        <v>44401</v>
      </c>
      <c r="B192">
        <v>3.847</v>
      </c>
      <c r="C192">
        <v>4.0670999999999999</v>
      </c>
      <c r="D192">
        <v>3.738</v>
      </c>
      <c r="E192">
        <v>3.8868999999999998</v>
      </c>
      <c r="F192">
        <v>1376506.05</v>
      </c>
      <c r="G192">
        <v>3.8868999999999998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-9.5107869948344984E-2</v>
      </c>
      <c r="Q192">
        <f t="shared" ref="Q192" si="936">F192*P192</f>
        <v>-130916.55838651006</v>
      </c>
      <c r="R192">
        <f t="shared" ref="R192" si="937">R193+Q192</f>
        <v>-9923695.9452621117</v>
      </c>
      <c r="S192">
        <f t="shared" ref="S192" si="938">R192/100000</f>
        <v>-99.236959452621122</v>
      </c>
      <c r="T192">
        <f t="shared" si="934"/>
        <v>-9.9236959452621121E-2</v>
      </c>
    </row>
    <row r="193" spans="1:20" x14ac:dyDescent="0.25">
      <c r="A193" s="5">
        <v>44400</v>
      </c>
      <c r="B193">
        <v>3.5419999999999998</v>
      </c>
      <c r="C193">
        <v>3.8803000000000001</v>
      </c>
      <c r="D193">
        <v>3.4645000000000001</v>
      </c>
      <c r="E193">
        <v>3.8414000000000001</v>
      </c>
      <c r="F193">
        <v>995046.28</v>
      </c>
      <c r="G193">
        <v>3.8414000000000001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0.81289081289081322</v>
      </c>
      <c r="Q193">
        <f t="shared" ref="Q193" si="940">F193*P193</f>
        <v>808863.9794131798</v>
      </c>
      <c r="R193">
        <f t="shared" ref="R193" si="941">R194+Q193</f>
        <v>-9792779.3868756015</v>
      </c>
      <c r="S193">
        <f t="shared" ref="S193" si="942">R193/100000</f>
        <v>-97.927793868756012</v>
      </c>
      <c r="T193">
        <f t="shared" si="934"/>
        <v>-9.7927793868756011E-2</v>
      </c>
    </row>
    <row r="194" spans="1:20" x14ac:dyDescent="0.25">
      <c r="A194" s="5">
        <v>44399</v>
      </c>
      <c r="B194">
        <v>3.5335000000000001</v>
      </c>
      <c r="C194">
        <v>3.6999</v>
      </c>
      <c r="D194">
        <v>3.4157000000000002</v>
      </c>
      <c r="E194">
        <v>3.5430999999999999</v>
      </c>
      <c r="F194">
        <v>846406.12</v>
      </c>
      <c r="G194">
        <v>3.5430999999999999</v>
      </c>
      <c r="L194" t="s">
        <v>7</v>
      </c>
      <c r="M194" t="s">
        <v>7</v>
      </c>
      <c r="N194" t="s">
        <v>7</v>
      </c>
      <c r="P194">
        <f t="shared" ref="P194" si="943">IF(C194=D194,0,((E194-D194)-(C194-E194))/(C194-D194))</f>
        <v>-0.10344827586207016</v>
      </c>
      <c r="Q194">
        <f t="shared" ref="Q194" si="944">F194*P194</f>
        <v>-87559.25379310445</v>
      </c>
      <c r="R194">
        <f t="shared" ref="R194" si="945">R195+Q194</f>
        <v>-10601643.366288781</v>
      </c>
      <c r="S194">
        <f t="shared" ref="S194" si="946">R194/100000</f>
        <v>-106.01643366288781</v>
      </c>
      <c r="T194">
        <f t="shared" si="934"/>
        <v>-0.10601643366288781</v>
      </c>
    </row>
    <row r="195" spans="1:20" x14ac:dyDescent="0.25">
      <c r="A195" s="5">
        <v>44398</v>
      </c>
      <c r="B195">
        <v>3.2223000000000002</v>
      </c>
      <c r="C195">
        <v>3.7263000000000002</v>
      </c>
      <c r="D195">
        <v>3.1156000000000001</v>
      </c>
      <c r="E195">
        <v>3.5320999999999998</v>
      </c>
      <c r="F195">
        <v>1534976.29</v>
      </c>
      <c r="G195">
        <v>3.5320999999999998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0.36400851481905888</v>
      </c>
      <c r="Q195">
        <f t="shared" ref="Q195" si="948">F195*P195</f>
        <v>558744.439605369</v>
      </c>
      <c r="R195">
        <f t="shared" ref="R195" si="949">R196+Q195</f>
        <v>-10514084.112495678</v>
      </c>
      <c r="S195">
        <f t="shared" ref="S195" si="950">R195/100000</f>
        <v>-105.14084112495678</v>
      </c>
      <c r="T195">
        <f t="shared" si="934"/>
        <v>-0.10514084112495678</v>
      </c>
    </row>
    <row r="196" spans="1:20" x14ac:dyDescent="0.25">
      <c r="A196" s="5">
        <v>44397</v>
      </c>
      <c r="B196">
        <v>3.5173999999999999</v>
      </c>
      <c r="C196">
        <v>3.5644999999999998</v>
      </c>
      <c r="D196">
        <v>3.1</v>
      </c>
      <c r="E196">
        <v>3.2241</v>
      </c>
      <c r="F196">
        <v>1632602.23</v>
      </c>
      <c r="G196">
        <v>3.2241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-0.46566200215285269</v>
      </c>
      <c r="Q196">
        <f t="shared" ref="Q196" si="952">F196*P196</f>
        <v>-760240.82314101211</v>
      </c>
      <c r="R196">
        <f t="shared" ref="R196" si="953">R197+Q196</f>
        <v>-11072828.552101046</v>
      </c>
      <c r="S196">
        <f t="shared" ref="S196" si="954">R196/100000</f>
        <v>-110.72828552101046</v>
      </c>
      <c r="T196">
        <f t="shared" si="934"/>
        <v>-0.11072828552101047</v>
      </c>
    </row>
    <row r="197" spans="1:20" x14ac:dyDescent="0.25">
      <c r="A197" s="5">
        <v>44396</v>
      </c>
      <c r="B197">
        <v>3.7799</v>
      </c>
      <c r="C197">
        <v>3.8050999999999999</v>
      </c>
      <c r="D197">
        <v>3.5</v>
      </c>
      <c r="E197">
        <v>3.5198</v>
      </c>
      <c r="F197">
        <v>836119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-0.87020648967551595</v>
      </c>
      <c r="Q197">
        <f t="shared" ref="Q197" si="956">F197*P197</f>
        <v>-727596.17994100275</v>
      </c>
      <c r="R197">
        <f t="shared" ref="R197" si="957">R198+Q197</f>
        <v>-10312587.728960034</v>
      </c>
      <c r="S197">
        <f t="shared" ref="S197" si="958">R197/100000</f>
        <v>-103.12587728960034</v>
      </c>
      <c r="T197">
        <f t="shared" si="934"/>
        <v>-0.10312587728960033</v>
      </c>
    </row>
    <row r="198" spans="1:20" x14ac:dyDescent="0.25">
      <c r="A198" s="5">
        <v>44395</v>
      </c>
      <c r="B198">
        <v>3.75</v>
      </c>
      <c r="C198">
        <v>3.9411999999999998</v>
      </c>
      <c r="D198">
        <v>3.7010999999999998</v>
      </c>
      <c r="E198">
        <v>3.7869999999999999</v>
      </c>
      <c r="F198">
        <v>678330.55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-0.28446480633069476</v>
      </c>
      <c r="Q198">
        <f t="shared" ref="Q198:Q261" si="960">F198*P198</f>
        <v>-192961.16853394368</v>
      </c>
      <c r="R198">
        <f t="shared" ref="R198:R261" si="961">R199+Q198</f>
        <v>-9584991.5490190312</v>
      </c>
      <c r="S198">
        <f t="shared" ref="S198:S261" si="962">R198/100000</f>
        <v>-95.849915490190313</v>
      </c>
      <c r="T198">
        <f t="shared" ref="T198:T261" si="963">S198/1000</f>
        <v>-9.5849915490190313E-2</v>
      </c>
    </row>
    <row r="199" spans="1:20" x14ac:dyDescent="0.25">
      <c r="A199" s="5">
        <v>44394</v>
      </c>
      <c r="B199">
        <v>3.7490000000000001</v>
      </c>
      <c r="C199">
        <v>3.8740000000000001</v>
      </c>
      <c r="D199">
        <v>3.6783999999999999</v>
      </c>
      <c r="E199">
        <v>3.7562000000000002</v>
      </c>
      <c r="F199">
        <v>795819.88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-0.20449897750511015</v>
      </c>
      <c r="Q199">
        <f t="shared" si="960"/>
        <v>-162744.35173823946</v>
      </c>
      <c r="R199">
        <f t="shared" si="961"/>
        <v>-9392030.3804850876</v>
      </c>
      <c r="S199">
        <f t="shared" si="962"/>
        <v>-93.920303804850874</v>
      </c>
      <c r="T199">
        <f t="shared" si="963"/>
        <v>-9.3920303804850877E-2</v>
      </c>
    </row>
    <row r="200" spans="1:20" x14ac:dyDescent="0.25">
      <c r="A200" s="5">
        <v>44393</v>
      </c>
      <c r="B200">
        <v>3.9903</v>
      </c>
      <c r="C200">
        <v>4.07</v>
      </c>
      <c r="D200">
        <v>3.7364000000000002</v>
      </c>
      <c r="E200">
        <v>3.7513000000000001</v>
      </c>
      <c r="F200">
        <v>1253352.1399999999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-0.91067146282973677</v>
      </c>
      <c r="Q200">
        <f t="shared" si="960"/>
        <v>-1141392.0267745808</v>
      </c>
      <c r="R200">
        <f t="shared" si="961"/>
        <v>-9229286.0287468489</v>
      </c>
      <c r="S200">
        <f t="shared" si="962"/>
        <v>-92.292860287468486</v>
      </c>
      <c r="T200">
        <f t="shared" si="963"/>
        <v>-9.2292860287468484E-2</v>
      </c>
    </row>
    <row r="201" spans="1:20" x14ac:dyDescent="0.25">
      <c r="A201" s="5">
        <v>44392</v>
      </c>
      <c r="B201">
        <v>4.1627999999999998</v>
      </c>
      <c r="C201">
        <v>4.2789999999999999</v>
      </c>
      <c r="D201">
        <v>3.9226999999999999</v>
      </c>
      <c r="E201">
        <v>3.9929000000000001</v>
      </c>
      <c r="F201">
        <v>722565.17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-0.6059500420993531</v>
      </c>
      <c r="Q201">
        <f t="shared" si="960"/>
        <v>-437838.39518102625</v>
      </c>
      <c r="R201">
        <f t="shared" si="961"/>
        <v>-8087894.0019722674</v>
      </c>
      <c r="S201">
        <f t="shared" si="962"/>
        <v>-80.878940019722677</v>
      </c>
      <c r="T201">
        <f t="shared" si="963"/>
        <v>-8.0878940019722678E-2</v>
      </c>
    </row>
    <row r="202" spans="1:20" x14ac:dyDescent="0.25">
      <c r="A202" s="5">
        <v>44391</v>
      </c>
      <c r="B202">
        <v>4.2168999999999999</v>
      </c>
      <c r="C202">
        <v>4.2793999999999999</v>
      </c>
      <c r="D202">
        <v>3.9317000000000002</v>
      </c>
      <c r="E202">
        <v>4.1539999999999999</v>
      </c>
      <c r="F202">
        <v>816435.04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0.27868852459016352</v>
      </c>
      <c r="Q202">
        <f t="shared" si="960"/>
        <v>227531.07672131114</v>
      </c>
      <c r="R202">
        <f t="shared" si="961"/>
        <v>-7650055.6067912411</v>
      </c>
      <c r="S202">
        <f t="shared" si="962"/>
        <v>-76.500556067912413</v>
      </c>
      <c r="T202">
        <f t="shared" si="963"/>
        <v>-7.6500556067912409E-2</v>
      </c>
    </row>
    <row r="203" spans="1:20" x14ac:dyDescent="0.25">
      <c r="A203" s="5">
        <v>44390</v>
      </c>
      <c r="B203">
        <v>4.3872</v>
      </c>
      <c r="C203">
        <v>4.4313000000000002</v>
      </c>
      <c r="D203">
        <v>4.1482000000000001</v>
      </c>
      <c r="E203">
        <v>4.2169999999999996</v>
      </c>
      <c r="F203">
        <v>1855673.6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-0.51395266690215824</v>
      </c>
      <c r="Q203">
        <f t="shared" si="960"/>
        <v>-953728.39561992884</v>
      </c>
      <c r="R203">
        <f t="shared" si="961"/>
        <v>-7877586.6835125526</v>
      </c>
      <c r="S203">
        <f t="shared" si="962"/>
        <v>-78.775866835125527</v>
      </c>
      <c r="T203">
        <f t="shared" si="963"/>
        <v>-7.8775866835125524E-2</v>
      </c>
    </row>
    <row r="204" spans="1:20" x14ac:dyDescent="0.25">
      <c r="A204" s="5">
        <v>44389</v>
      </c>
      <c r="B204">
        <v>4.7744</v>
      </c>
      <c r="C204">
        <v>4.9400000000000004</v>
      </c>
      <c r="D204">
        <v>4.3600000000000003</v>
      </c>
      <c r="E204">
        <v>4.3880999999999997</v>
      </c>
      <c r="F204">
        <v>1873293.8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-0.90310344827586431</v>
      </c>
      <c r="Q204">
        <f t="shared" si="960"/>
        <v>-1691778.0904137974</v>
      </c>
      <c r="R204">
        <f t="shared" si="961"/>
        <v>-6923858.2878926238</v>
      </c>
      <c r="S204">
        <f t="shared" si="962"/>
        <v>-69.238582878926238</v>
      </c>
      <c r="T204">
        <f t="shared" si="963"/>
        <v>-6.9238582878926244E-2</v>
      </c>
    </row>
    <row r="205" spans="1:20" x14ac:dyDescent="0.25">
      <c r="A205" s="5">
        <v>44388</v>
      </c>
      <c r="B205">
        <v>4.3209</v>
      </c>
      <c r="C205">
        <v>5.08</v>
      </c>
      <c r="D205">
        <v>4.2980999999999998</v>
      </c>
      <c r="E205">
        <v>4.7744</v>
      </c>
      <c r="F205">
        <v>2705032.22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0.21831436245044125</v>
      </c>
      <c r="Q205">
        <f t="shared" si="960"/>
        <v>590547.3845172018</v>
      </c>
      <c r="R205">
        <f t="shared" si="961"/>
        <v>-5232080.1974788262</v>
      </c>
      <c r="S205">
        <f t="shared" si="962"/>
        <v>-52.32080197478826</v>
      </c>
      <c r="T205">
        <f t="shared" si="963"/>
        <v>-5.2320801974788257E-2</v>
      </c>
    </row>
    <row r="206" spans="1:20" x14ac:dyDescent="0.25">
      <c r="A206" s="5">
        <v>44387</v>
      </c>
      <c r="B206">
        <v>4.4393000000000002</v>
      </c>
      <c r="C206">
        <v>4.5563000000000002</v>
      </c>
      <c r="D206">
        <v>4.2557</v>
      </c>
      <c r="E206">
        <v>4.3160999999999996</v>
      </c>
      <c r="F206">
        <v>445494.49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-0.59813705921490667</v>
      </c>
      <c r="Q206">
        <f t="shared" si="960"/>
        <v>-266466.76414504467</v>
      </c>
      <c r="R206">
        <f t="shared" si="961"/>
        <v>-5822627.5819960283</v>
      </c>
      <c r="S206">
        <f t="shared" si="962"/>
        <v>-58.226275819960286</v>
      </c>
      <c r="T206">
        <f t="shared" si="963"/>
        <v>-5.8226275819960288E-2</v>
      </c>
    </row>
    <row r="207" spans="1:20" x14ac:dyDescent="0.25">
      <c r="A207" s="5">
        <v>44386</v>
      </c>
      <c r="B207">
        <v>4.3593999999999999</v>
      </c>
      <c r="C207">
        <v>4.5137</v>
      </c>
      <c r="D207">
        <v>4.1913999999999998</v>
      </c>
      <c r="E207">
        <v>4.4356999999999998</v>
      </c>
      <c r="F207">
        <v>631914.98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0.51597890164442928</v>
      </c>
      <c r="Q207">
        <f t="shared" si="960"/>
        <v>326054.79731306148</v>
      </c>
      <c r="R207">
        <f t="shared" si="961"/>
        <v>-5556160.8178509837</v>
      </c>
      <c r="S207">
        <f t="shared" si="962"/>
        <v>-55.561608178509836</v>
      </c>
      <c r="T207">
        <f t="shared" si="963"/>
        <v>-5.5561608178509837E-2</v>
      </c>
    </row>
    <row r="208" spans="1:20" x14ac:dyDescent="0.25">
      <c r="A208" s="5">
        <v>44385</v>
      </c>
      <c r="B208">
        <v>4.6193</v>
      </c>
      <c r="C208">
        <v>4.6470000000000002</v>
      </c>
      <c r="D208">
        <v>4.2557999999999998</v>
      </c>
      <c r="E208">
        <v>4.3573000000000004</v>
      </c>
      <c r="F208">
        <v>879101.86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-0.48108384458077463</v>
      </c>
      <c r="Q208">
        <f t="shared" si="960"/>
        <v>-422921.70258690987</v>
      </c>
      <c r="R208">
        <f t="shared" si="961"/>
        <v>-5882215.6151640452</v>
      </c>
      <c r="S208">
        <f t="shared" si="962"/>
        <v>-58.822156151640449</v>
      </c>
      <c r="T208">
        <f t="shared" si="963"/>
        <v>-5.8822156151640451E-2</v>
      </c>
    </row>
    <row r="209" spans="1:20" x14ac:dyDescent="0.25">
      <c r="A209" s="5">
        <v>44384</v>
      </c>
      <c r="B209">
        <v>4.62</v>
      </c>
      <c r="C209">
        <v>4.8224999999999998</v>
      </c>
      <c r="D209">
        <v>4.5644999999999998</v>
      </c>
      <c r="E209">
        <v>4.6239999999999997</v>
      </c>
      <c r="F209">
        <v>1040325.67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-0.53875968992248147</v>
      </c>
      <c r="Q209">
        <f t="shared" si="960"/>
        <v>-560485.53538759775</v>
      </c>
      <c r="R209">
        <f t="shared" si="961"/>
        <v>-5459293.9125771355</v>
      </c>
      <c r="S209">
        <f t="shared" si="962"/>
        <v>-54.592939125771352</v>
      </c>
      <c r="T209">
        <f t="shared" si="963"/>
        <v>-5.4592939125771352E-2</v>
      </c>
    </row>
    <row r="210" spans="1:20" x14ac:dyDescent="0.25">
      <c r="A210" s="5">
        <v>44383</v>
      </c>
      <c r="B210">
        <v>4.5853000000000002</v>
      </c>
      <c r="C210">
        <v>4.7779999999999996</v>
      </c>
      <c r="D210">
        <v>4.4988000000000001</v>
      </c>
      <c r="E210">
        <v>4.6216999999999997</v>
      </c>
      <c r="F210">
        <v>815667.25</v>
      </c>
      <c r="G210">
        <v>0</v>
      </c>
      <c r="L210" t="s">
        <v>7</v>
      </c>
      <c r="M210" t="s">
        <v>7</v>
      </c>
      <c r="N210" t="s">
        <v>8</v>
      </c>
      <c r="P210">
        <f t="shared" si="959"/>
        <v>-0.11962750716332515</v>
      </c>
      <c r="Q210">
        <f t="shared" si="960"/>
        <v>-97576.239792264721</v>
      </c>
      <c r="R210">
        <f t="shared" si="961"/>
        <v>-4898808.3771895375</v>
      </c>
      <c r="S210">
        <f t="shared" si="962"/>
        <v>-48.988083771895376</v>
      </c>
      <c r="T210">
        <f t="shared" si="963"/>
        <v>-4.8988083771895376E-2</v>
      </c>
    </row>
    <row r="211" spans="1:20" x14ac:dyDescent="0.25">
      <c r="A211" s="5">
        <v>44382</v>
      </c>
      <c r="B211">
        <v>4.9298999999999999</v>
      </c>
      <c r="C211">
        <v>4.9349999999999996</v>
      </c>
      <c r="D211">
        <v>4.4835000000000003</v>
      </c>
      <c r="E211">
        <v>4.5839999999999996</v>
      </c>
      <c r="F211">
        <v>1099529.95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-0.5548172757475105</v>
      </c>
      <c r="Q211">
        <f t="shared" si="960"/>
        <v>-610038.21146179643</v>
      </c>
      <c r="R211">
        <f t="shared" si="961"/>
        <v>-4801232.1373972725</v>
      </c>
      <c r="S211">
        <f t="shared" si="962"/>
        <v>-48.012321373972725</v>
      </c>
      <c r="T211">
        <f t="shared" si="963"/>
        <v>-4.8012321373972724E-2</v>
      </c>
    </row>
    <row r="212" spans="1:20" x14ac:dyDescent="0.25">
      <c r="A212" s="5">
        <v>44381</v>
      </c>
      <c r="B212">
        <v>4.9537000000000004</v>
      </c>
      <c r="C212">
        <v>5.0656999999999996</v>
      </c>
      <c r="D212">
        <v>4.72</v>
      </c>
      <c r="E212">
        <v>4.9340999999999999</v>
      </c>
      <c r="F212">
        <v>778844.88</v>
      </c>
      <c r="G212">
        <v>0</v>
      </c>
      <c r="L212" t="s">
        <v>7</v>
      </c>
      <c r="M212" t="s">
        <v>7</v>
      </c>
      <c r="N212" t="s">
        <v>8</v>
      </c>
      <c r="P212">
        <f t="shared" si="959"/>
        <v>0.23864622505062333</v>
      </c>
      <c r="Q212">
        <f t="shared" si="960"/>
        <v>185868.39051200572</v>
      </c>
      <c r="R212">
        <f t="shared" si="961"/>
        <v>-4191193.9259354756</v>
      </c>
      <c r="S212">
        <f t="shared" si="962"/>
        <v>-41.911939259354753</v>
      </c>
      <c r="T212">
        <f t="shared" si="963"/>
        <v>-4.1911939259354755E-2</v>
      </c>
    </row>
    <row r="213" spans="1:20" x14ac:dyDescent="0.25">
      <c r="A213" s="5">
        <v>44380</v>
      </c>
      <c r="B213">
        <v>4.8855000000000004</v>
      </c>
      <c r="C213">
        <v>5.0979000000000001</v>
      </c>
      <c r="D213">
        <v>4.7300000000000004</v>
      </c>
      <c r="E213">
        <v>4.9451000000000001</v>
      </c>
      <c r="F213">
        <v>585655.04000000004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0.16933949442783267</v>
      </c>
      <c r="Q213">
        <f t="shared" si="960"/>
        <v>99174.528382712117</v>
      </c>
      <c r="R213">
        <f t="shared" si="961"/>
        <v>-4377062.3164474815</v>
      </c>
      <c r="S213">
        <f t="shared" si="962"/>
        <v>-43.770623164474813</v>
      </c>
      <c r="T213">
        <f t="shared" si="963"/>
        <v>-4.377062316447481E-2</v>
      </c>
    </row>
    <row r="214" spans="1:20" x14ac:dyDescent="0.25">
      <c r="A214" s="5">
        <v>44379</v>
      </c>
      <c r="B214">
        <v>4.8301999999999996</v>
      </c>
      <c r="C214">
        <v>4.9394</v>
      </c>
      <c r="D214">
        <v>4.5414000000000003</v>
      </c>
      <c r="E214">
        <v>4.8773</v>
      </c>
      <c r="F214">
        <v>713897.53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0.68793969849246184</v>
      </c>
      <c r="Q214">
        <f t="shared" si="960"/>
        <v>491118.45154271327</v>
      </c>
      <c r="R214">
        <f t="shared" si="961"/>
        <v>-4476236.8448301936</v>
      </c>
      <c r="S214">
        <f t="shared" si="962"/>
        <v>-44.762368448301935</v>
      </c>
      <c r="T214">
        <f t="shared" si="963"/>
        <v>-4.4762368448301934E-2</v>
      </c>
    </row>
    <row r="215" spans="1:20" x14ac:dyDescent="0.25">
      <c r="A215" s="5">
        <v>44378</v>
      </c>
      <c r="B215">
        <v>5.1775000000000002</v>
      </c>
      <c r="C215">
        <v>5.1783000000000001</v>
      </c>
      <c r="D215">
        <v>4.6576000000000004</v>
      </c>
      <c r="E215">
        <v>4.8418999999999999</v>
      </c>
      <c r="F215">
        <v>1351087.45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-0.29210677933551155</v>
      </c>
      <c r="Q215">
        <f t="shared" si="960"/>
        <v>-394661.80362012895</v>
      </c>
      <c r="R215">
        <f t="shared" si="961"/>
        <v>-4967355.2963729072</v>
      </c>
      <c r="S215">
        <f t="shared" si="962"/>
        <v>-49.673552963729072</v>
      </c>
      <c r="T215">
        <f t="shared" si="963"/>
        <v>-4.9673552963729072E-2</v>
      </c>
    </row>
    <row r="216" spans="1:20" x14ac:dyDescent="0.25">
      <c r="A216" s="5">
        <v>44377</v>
      </c>
      <c r="B216">
        <v>5.2474999999999996</v>
      </c>
      <c r="C216">
        <v>5.3446999999999996</v>
      </c>
      <c r="D216">
        <v>4.7900999999999998</v>
      </c>
      <c r="E216">
        <v>5.1731999999999996</v>
      </c>
      <c r="F216">
        <v>2049848.77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0.3815362423368191</v>
      </c>
      <c r="Q216">
        <f t="shared" si="960"/>
        <v>782091.59706455062</v>
      </c>
      <c r="R216">
        <f t="shared" si="961"/>
        <v>-4572693.4927527783</v>
      </c>
      <c r="S216">
        <f t="shared" si="962"/>
        <v>-45.726934927527786</v>
      </c>
      <c r="T216">
        <f t="shared" si="963"/>
        <v>-4.5726934927527788E-2</v>
      </c>
    </row>
    <row r="217" spans="1:20" x14ac:dyDescent="0.25">
      <c r="A217" s="5">
        <v>44376</v>
      </c>
      <c r="B217">
        <v>4.8795000000000002</v>
      </c>
      <c r="C217">
        <v>5.55</v>
      </c>
      <c r="D217">
        <v>4.8040000000000003</v>
      </c>
      <c r="E217">
        <v>5.2495000000000003</v>
      </c>
      <c r="F217">
        <v>2222890.1800000002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0.19436997319034927</v>
      </c>
      <c r="Q217">
        <f t="shared" si="960"/>
        <v>432063.10469169071</v>
      </c>
      <c r="R217">
        <f t="shared" si="961"/>
        <v>-5354785.0898173293</v>
      </c>
      <c r="S217">
        <f t="shared" si="962"/>
        <v>-53.547850898173294</v>
      </c>
      <c r="T217">
        <f t="shared" si="963"/>
        <v>-5.3547850898173294E-2</v>
      </c>
    </row>
    <row r="218" spans="1:20" x14ac:dyDescent="0.25">
      <c r="A218" s="5">
        <v>44375</v>
      </c>
      <c r="B218">
        <v>4.9146000000000001</v>
      </c>
      <c r="C218">
        <v>5.0373999999999999</v>
      </c>
      <c r="D218">
        <v>4.6900000000000004</v>
      </c>
      <c r="E218">
        <v>4.8800999999999997</v>
      </c>
      <c r="F218">
        <v>1680679.54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9.4415659182495976E-2</v>
      </c>
      <c r="Q218">
        <f t="shared" si="960"/>
        <v>158682.46664363411</v>
      </c>
      <c r="R218">
        <f t="shared" si="961"/>
        <v>-5786848.1945090201</v>
      </c>
      <c r="S218">
        <f t="shared" si="962"/>
        <v>-57.868481945090203</v>
      </c>
      <c r="T218">
        <f t="shared" si="963"/>
        <v>-5.78684819450902E-2</v>
      </c>
    </row>
    <row r="219" spans="1:20" x14ac:dyDescent="0.25">
      <c r="A219" s="5">
        <v>44374</v>
      </c>
      <c r="B219">
        <v>4.6280000000000001</v>
      </c>
      <c r="C219">
        <v>4.9291999999999998</v>
      </c>
      <c r="D219">
        <v>4.42</v>
      </c>
      <c r="E219">
        <v>4.9168000000000003</v>
      </c>
      <c r="F219">
        <v>1317607.4099999999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0.9512961508248251</v>
      </c>
      <c r="Q219">
        <f t="shared" si="960"/>
        <v>1253434.8574312672</v>
      </c>
      <c r="R219">
        <f t="shared" si="961"/>
        <v>-5945530.6611526543</v>
      </c>
      <c r="S219">
        <f t="shared" si="962"/>
        <v>-59.455306611526545</v>
      </c>
      <c r="T219">
        <f t="shared" si="963"/>
        <v>-5.9455306611526544E-2</v>
      </c>
    </row>
    <row r="220" spans="1:20" x14ac:dyDescent="0.25">
      <c r="A220" s="5">
        <v>44373</v>
      </c>
      <c r="B220">
        <v>4.5796999999999999</v>
      </c>
      <c r="C220">
        <v>4.7511999999999999</v>
      </c>
      <c r="D220">
        <v>4.2605000000000004</v>
      </c>
      <c r="E220">
        <v>4.6155999999999997</v>
      </c>
      <c r="F220">
        <v>2614398.98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0.44732015488078131</v>
      </c>
      <c r="Q220">
        <f t="shared" si="960"/>
        <v>1169473.3566537567</v>
      </c>
      <c r="R220">
        <f t="shared" si="961"/>
        <v>-7198965.5185839217</v>
      </c>
      <c r="S220">
        <f t="shared" si="962"/>
        <v>-71.989655185839212</v>
      </c>
      <c r="T220">
        <f t="shared" si="963"/>
        <v>-7.1989655185839205E-2</v>
      </c>
    </row>
    <row r="221" spans="1:20" x14ac:dyDescent="0.25">
      <c r="A221" s="5">
        <v>44372</v>
      </c>
      <c r="B221">
        <v>5.0125000000000002</v>
      </c>
      <c r="C221">
        <v>5.6074999999999999</v>
      </c>
      <c r="D221">
        <v>4.5622999999999996</v>
      </c>
      <c r="E221">
        <v>4.5824999999999996</v>
      </c>
      <c r="F221">
        <v>3297722.86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-0.96134711060084199</v>
      </c>
      <c r="Q221">
        <f t="shared" si="960"/>
        <v>-3170256.3430233449</v>
      </c>
      <c r="R221">
        <f t="shared" si="961"/>
        <v>-8368438.8752376782</v>
      </c>
      <c r="S221">
        <f t="shared" si="962"/>
        <v>-83.684388752376776</v>
      </c>
      <c r="T221">
        <f t="shared" si="963"/>
        <v>-8.368438875237677E-2</v>
      </c>
    </row>
    <row r="222" spans="1:20" x14ac:dyDescent="0.25">
      <c r="A222" s="5">
        <v>44371</v>
      </c>
      <c r="B222">
        <v>4.6486000000000001</v>
      </c>
      <c r="C222">
        <v>5.0999999999999996</v>
      </c>
      <c r="D222">
        <v>4.3425000000000002</v>
      </c>
      <c r="E222">
        <v>5.0133000000000001</v>
      </c>
      <c r="F222">
        <v>1639681.77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0.77108910891089211</v>
      </c>
      <c r="Q222">
        <f t="shared" si="960"/>
        <v>1264340.7549267344</v>
      </c>
      <c r="R222">
        <f t="shared" si="961"/>
        <v>-5198182.5322143333</v>
      </c>
      <c r="S222">
        <f t="shared" si="962"/>
        <v>-51.98182532214333</v>
      </c>
      <c r="T222">
        <f t="shared" si="963"/>
        <v>-5.1981825322143328E-2</v>
      </c>
    </row>
    <row r="223" spans="1:20" x14ac:dyDescent="0.25">
      <c r="A223" s="5">
        <v>44370</v>
      </c>
      <c r="B223">
        <v>4.2778</v>
      </c>
      <c r="C223">
        <v>4.92</v>
      </c>
      <c r="D223">
        <v>4.0826000000000002</v>
      </c>
      <c r="E223">
        <v>4.6493000000000002</v>
      </c>
      <c r="F223">
        <v>1716633.47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0.35347504179603578</v>
      </c>
      <c r="Q223">
        <f t="shared" si="960"/>
        <v>606787.08755672397</v>
      </c>
      <c r="R223">
        <f t="shared" si="961"/>
        <v>-6462523.2871410679</v>
      </c>
      <c r="S223">
        <f t="shared" si="962"/>
        <v>-64.625232871410674</v>
      </c>
      <c r="T223">
        <f t="shared" si="963"/>
        <v>-6.4625232871410671E-2</v>
      </c>
    </row>
    <row r="224" spans="1:20" x14ac:dyDescent="0.25">
      <c r="A224" s="5">
        <v>44369</v>
      </c>
      <c r="B224">
        <v>4.6104000000000003</v>
      </c>
      <c r="C224">
        <v>4.9874000000000001</v>
      </c>
      <c r="D224">
        <v>3.7018</v>
      </c>
      <c r="E224">
        <v>4.282</v>
      </c>
      <c r="F224">
        <v>4013835.27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-9.7386434349719955E-2</v>
      </c>
      <c r="Q224">
        <f t="shared" si="960"/>
        <v>-390893.10501244548</v>
      </c>
      <c r="R224">
        <f t="shared" si="961"/>
        <v>-7069310.3746977923</v>
      </c>
      <c r="S224">
        <f t="shared" si="962"/>
        <v>-70.693103746977926</v>
      </c>
      <c r="T224">
        <f t="shared" si="963"/>
        <v>-7.0693103746977931E-2</v>
      </c>
    </row>
    <row r="225" spans="1:20" x14ac:dyDescent="0.25">
      <c r="A225" s="5">
        <v>44368</v>
      </c>
      <c r="B225">
        <v>5.8434999999999997</v>
      </c>
      <c r="C225">
        <v>5.8841000000000001</v>
      </c>
      <c r="D225">
        <v>4.5906000000000002</v>
      </c>
      <c r="E225">
        <v>4.6128</v>
      </c>
      <c r="F225">
        <v>2481707.61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-0.9656745264785469</v>
      </c>
      <c r="Q225">
        <f t="shared" si="960"/>
        <v>-2396521.8211449562</v>
      </c>
      <c r="R225">
        <f t="shared" si="961"/>
        <v>-6678417.2696853466</v>
      </c>
      <c r="S225">
        <f t="shared" si="962"/>
        <v>-66.78417269685346</v>
      </c>
      <c r="T225">
        <f t="shared" si="963"/>
        <v>-6.6784172696853467E-2</v>
      </c>
    </row>
    <row r="226" spans="1:20" x14ac:dyDescent="0.25">
      <c r="A226" s="5">
        <v>44367</v>
      </c>
      <c r="B226">
        <v>5.7271999999999998</v>
      </c>
      <c r="C226">
        <v>5.9420000000000002</v>
      </c>
      <c r="D226">
        <v>5.33</v>
      </c>
      <c r="E226">
        <v>5.8493000000000004</v>
      </c>
      <c r="F226">
        <v>1209781.1599999999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0.69705882352941251</v>
      </c>
      <c r="Q226">
        <f t="shared" si="960"/>
        <v>843288.63211764791</v>
      </c>
      <c r="R226">
        <f t="shared" si="961"/>
        <v>-4281895.4485403905</v>
      </c>
      <c r="S226">
        <f t="shared" si="962"/>
        <v>-42.818954485403907</v>
      </c>
      <c r="T226">
        <f t="shared" si="963"/>
        <v>-4.2818954485403904E-2</v>
      </c>
    </row>
    <row r="227" spans="1:20" x14ac:dyDescent="0.25">
      <c r="A227" s="5">
        <v>44366</v>
      </c>
      <c r="B227">
        <v>5.9367000000000001</v>
      </c>
      <c r="C227">
        <v>6.0514999999999999</v>
      </c>
      <c r="D227">
        <v>5.7054999999999998</v>
      </c>
      <c r="E227">
        <v>5.7271000000000001</v>
      </c>
      <c r="F227">
        <v>928045.65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-0.87514450867051863</v>
      </c>
      <c r="Q227">
        <f t="shared" si="960"/>
        <v>-812174.05439306214</v>
      </c>
      <c r="R227">
        <f t="shared" si="961"/>
        <v>-5125184.0806580381</v>
      </c>
      <c r="S227">
        <f t="shared" si="962"/>
        <v>-51.251840806580383</v>
      </c>
      <c r="T227">
        <f t="shared" si="963"/>
        <v>-5.1251840806580386E-2</v>
      </c>
    </row>
    <row r="228" spans="1:20" x14ac:dyDescent="0.25">
      <c r="A228" s="5">
        <v>44365</v>
      </c>
      <c r="B228">
        <v>6.0317999999999996</v>
      </c>
      <c r="C228">
        <v>6.077</v>
      </c>
      <c r="D228">
        <v>5.6083999999999996</v>
      </c>
      <c r="E228">
        <v>5.9420000000000002</v>
      </c>
      <c r="F228">
        <v>1379247.9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0.42381562099872094</v>
      </c>
      <c r="Q228">
        <f t="shared" si="960"/>
        <v>584546.8052496817</v>
      </c>
      <c r="R228">
        <f t="shared" si="961"/>
        <v>-4313010.0262649758</v>
      </c>
      <c r="S228">
        <f t="shared" si="962"/>
        <v>-43.130100262649755</v>
      </c>
      <c r="T228">
        <f t="shared" si="963"/>
        <v>-4.3130100262649754E-2</v>
      </c>
    </row>
    <row r="229" spans="1:20" x14ac:dyDescent="0.25">
      <c r="A229" s="5">
        <v>44364</v>
      </c>
      <c r="B229">
        <v>6.0484999999999998</v>
      </c>
      <c r="C229">
        <v>6.2876000000000003</v>
      </c>
      <c r="D229">
        <v>5.9222999999999999</v>
      </c>
      <c r="E229">
        <v>6.0255000000000001</v>
      </c>
      <c r="F229">
        <v>962502.1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-0.43498494388174069</v>
      </c>
      <c r="Q229">
        <f t="shared" si="960"/>
        <v>-418673.92195455753</v>
      </c>
      <c r="R229">
        <f t="shared" si="961"/>
        <v>-4897556.8315146575</v>
      </c>
      <c r="S229">
        <f t="shared" si="962"/>
        <v>-48.975568315146575</v>
      </c>
      <c r="T229">
        <f t="shared" si="963"/>
        <v>-4.8975568315146573E-2</v>
      </c>
    </row>
    <row r="230" spans="1:20" x14ac:dyDescent="0.25">
      <c r="A230" s="5">
        <v>44363</v>
      </c>
      <c r="B230">
        <v>6.4279999999999999</v>
      </c>
      <c r="C230">
        <v>6.5328999999999997</v>
      </c>
      <c r="D230">
        <v>6</v>
      </c>
      <c r="E230">
        <v>6.0490000000000004</v>
      </c>
      <c r="F230">
        <v>982313.51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-0.8161005817226481</v>
      </c>
      <c r="Q230">
        <f t="shared" si="960"/>
        <v>-801666.62694501632</v>
      </c>
      <c r="R230">
        <f t="shared" si="961"/>
        <v>-4478882.9095601002</v>
      </c>
      <c r="S230">
        <f t="shared" si="962"/>
        <v>-44.788829095601002</v>
      </c>
      <c r="T230">
        <f t="shared" si="963"/>
        <v>-4.4788829095601002E-2</v>
      </c>
    </row>
    <row r="231" spans="1:20" x14ac:dyDescent="0.25">
      <c r="A231" s="5">
        <v>44362</v>
      </c>
      <c r="B231">
        <v>6.9412000000000003</v>
      </c>
      <c r="C231">
        <v>6.9687000000000001</v>
      </c>
      <c r="D231">
        <v>6.34</v>
      </c>
      <c r="E231">
        <v>6.4237000000000002</v>
      </c>
      <c r="F231">
        <v>1338691.75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-0.73373628121520507</v>
      </c>
      <c r="Q231">
        <f t="shared" si="960"/>
        <v>-982246.70633847499</v>
      </c>
      <c r="R231">
        <f t="shared" si="961"/>
        <v>-3677216.2826150842</v>
      </c>
      <c r="S231">
        <f t="shared" si="962"/>
        <v>-36.77216282615084</v>
      </c>
      <c r="T231">
        <f t="shared" si="963"/>
        <v>-3.6772162826150839E-2</v>
      </c>
    </row>
    <row r="232" spans="1:20" x14ac:dyDescent="0.25">
      <c r="A232" s="5">
        <v>44361</v>
      </c>
      <c r="B232">
        <v>6.5260999999999996</v>
      </c>
      <c r="C232">
        <v>6.98</v>
      </c>
      <c r="D232">
        <v>6.3333000000000004</v>
      </c>
      <c r="E232">
        <v>6.9386000000000001</v>
      </c>
      <c r="F232">
        <v>1262075.46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0.87196536261017377</v>
      </c>
      <c r="Q232">
        <f t="shared" si="960"/>
        <v>1100486.0861203019</v>
      </c>
      <c r="R232">
        <f t="shared" si="961"/>
        <v>-2694969.5762766092</v>
      </c>
      <c r="S232">
        <f t="shared" si="962"/>
        <v>-26.94969576276609</v>
      </c>
      <c r="T232">
        <f t="shared" si="963"/>
        <v>-2.6949695762766089E-2</v>
      </c>
    </row>
    <row r="233" spans="1:20" x14ac:dyDescent="0.25">
      <c r="A233" s="5">
        <v>44360</v>
      </c>
      <c r="B233">
        <v>6.0757000000000003</v>
      </c>
      <c r="C233">
        <v>6.6082999999999998</v>
      </c>
      <c r="D233">
        <v>5.9124999999999996</v>
      </c>
      <c r="E233">
        <v>6.5340999999999996</v>
      </c>
      <c r="F233">
        <v>1091943.3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0.78672032193158881</v>
      </c>
      <c r="Q233">
        <f t="shared" si="960"/>
        <v>859053.98450704152</v>
      </c>
      <c r="R233">
        <f t="shared" si="961"/>
        <v>-3795455.6623969111</v>
      </c>
      <c r="S233">
        <f t="shared" si="962"/>
        <v>-37.954556623969111</v>
      </c>
      <c r="T233">
        <f t="shared" si="963"/>
        <v>-3.7954556623969113E-2</v>
      </c>
    </row>
    <row r="234" spans="1:20" x14ac:dyDescent="0.25">
      <c r="A234" s="5">
        <v>44359</v>
      </c>
      <c r="B234">
        <v>6.0827999999999998</v>
      </c>
      <c r="C234">
        <v>6.3879999999999999</v>
      </c>
      <c r="D234">
        <v>5.7306999999999997</v>
      </c>
      <c r="E234">
        <v>6.0785999999999998</v>
      </c>
      <c r="F234">
        <v>1358110.39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5.8572949946751815E-2</v>
      </c>
      <c r="Q234">
        <f t="shared" si="960"/>
        <v>79548.531895633583</v>
      </c>
      <c r="R234">
        <f t="shared" si="961"/>
        <v>-4654509.6469039526</v>
      </c>
      <c r="S234">
        <f t="shared" si="962"/>
        <v>-46.545096469039528</v>
      </c>
      <c r="T234">
        <f t="shared" si="963"/>
        <v>-4.6545096469039531E-2</v>
      </c>
    </row>
    <row r="235" spans="1:20" x14ac:dyDescent="0.25">
      <c r="A235" s="5">
        <v>44358</v>
      </c>
      <c r="B235">
        <v>6.4850000000000003</v>
      </c>
      <c r="C235">
        <v>6.7298999999999998</v>
      </c>
      <c r="D235">
        <v>6.0204000000000004</v>
      </c>
      <c r="E235">
        <v>6.0766999999999998</v>
      </c>
      <c r="F235">
        <v>1514339.34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-0.84129668780831746</v>
      </c>
      <c r="Q235">
        <f t="shared" si="960"/>
        <v>-1274008.6709598335</v>
      </c>
      <c r="R235">
        <f t="shared" si="961"/>
        <v>-4734058.1787995864</v>
      </c>
      <c r="S235">
        <f t="shared" si="962"/>
        <v>-47.340581787995866</v>
      </c>
      <c r="T235">
        <f t="shared" si="963"/>
        <v>-4.734058178799587E-2</v>
      </c>
    </row>
    <row r="236" spans="1:20" x14ac:dyDescent="0.25">
      <c r="A236" s="5">
        <v>44357</v>
      </c>
      <c r="B236">
        <v>7.1483999999999996</v>
      </c>
      <c r="C236">
        <v>7.2112999999999996</v>
      </c>
      <c r="D236">
        <v>6.4547999999999996</v>
      </c>
      <c r="E236">
        <v>6.4805999999999999</v>
      </c>
      <c r="F236">
        <v>1456053.18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-0.93179114342366087</v>
      </c>
      <c r="Q236">
        <f t="shared" si="960"/>
        <v>-1356737.4574778574</v>
      </c>
      <c r="R236">
        <f t="shared" si="961"/>
        <v>-3460049.5078397524</v>
      </c>
      <c r="S236">
        <f t="shared" si="962"/>
        <v>-34.600495078397522</v>
      </c>
      <c r="T236">
        <f t="shared" si="963"/>
        <v>-3.460049507839752E-2</v>
      </c>
    </row>
    <row r="237" spans="1:20" x14ac:dyDescent="0.25">
      <c r="A237" s="5">
        <v>44356</v>
      </c>
      <c r="B237">
        <v>6.9447999999999999</v>
      </c>
      <c r="C237">
        <v>7.2329999999999997</v>
      </c>
      <c r="D237">
        <v>6.5431999999999997</v>
      </c>
      <c r="E237">
        <v>7.1576000000000004</v>
      </c>
      <c r="F237">
        <v>1586177.48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0.78138590895912075</v>
      </c>
      <c r="Q237">
        <f t="shared" si="960"/>
        <v>1239416.7319802875</v>
      </c>
      <c r="R237">
        <f t="shared" si="961"/>
        <v>-2103312.050361895</v>
      </c>
      <c r="S237">
        <f t="shared" si="962"/>
        <v>-21.033120503618949</v>
      </c>
      <c r="T237">
        <f t="shared" si="963"/>
        <v>-2.1033120503618951E-2</v>
      </c>
    </row>
    <row r="238" spans="1:20" x14ac:dyDescent="0.25">
      <c r="A238" s="5">
        <v>44355</v>
      </c>
      <c r="B238">
        <v>6.8502000000000001</v>
      </c>
      <c r="C238">
        <v>7.23</v>
      </c>
      <c r="D238">
        <v>6.1924999999999999</v>
      </c>
      <c r="E238">
        <v>6.9486999999999997</v>
      </c>
      <c r="F238">
        <v>2060704.92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0.45773493975903495</v>
      </c>
      <c r="Q238">
        <f t="shared" si="960"/>
        <v>943256.64241734694</v>
      </c>
      <c r="R238">
        <f t="shared" si="961"/>
        <v>-3342728.7823421825</v>
      </c>
      <c r="S238">
        <f t="shared" si="962"/>
        <v>-33.427287823421828</v>
      </c>
      <c r="T238">
        <f t="shared" si="963"/>
        <v>-3.3427287823421831E-2</v>
      </c>
    </row>
    <row r="239" spans="1:20" x14ac:dyDescent="0.25">
      <c r="A239" s="5">
        <v>44354</v>
      </c>
      <c r="B239">
        <v>7.5491000000000001</v>
      </c>
      <c r="C239">
        <v>7.84</v>
      </c>
      <c r="D239">
        <v>6.7122999999999999</v>
      </c>
      <c r="E239">
        <v>6.8562000000000003</v>
      </c>
      <c r="F239">
        <v>1472274.91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-0.74479028110312961</v>
      </c>
      <c r="Q239">
        <f t="shared" si="960"/>
        <v>-1096536.0440799848</v>
      </c>
      <c r="R239">
        <f t="shared" si="961"/>
        <v>-4285985.4247595295</v>
      </c>
      <c r="S239">
        <f t="shared" si="962"/>
        <v>-42.859854247595294</v>
      </c>
      <c r="T239">
        <f t="shared" si="963"/>
        <v>-4.2859854247595294E-2</v>
      </c>
    </row>
    <row r="240" spans="1:20" x14ac:dyDescent="0.25">
      <c r="A240" s="5">
        <v>44353</v>
      </c>
      <c r="B240">
        <v>7.5144000000000002</v>
      </c>
      <c r="C240">
        <v>7.7713000000000001</v>
      </c>
      <c r="D240">
        <v>7.4541000000000004</v>
      </c>
      <c r="E240">
        <v>7.5491000000000001</v>
      </c>
      <c r="F240">
        <v>1161649.96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-0.40100882723833642</v>
      </c>
      <c r="Q240">
        <f t="shared" si="960"/>
        <v>-465831.88812106039</v>
      </c>
      <c r="R240">
        <f t="shared" si="961"/>
        <v>-3189449.3806795445</v>
      </c>
      <c r="S240">
        <f t="shared" si="962"/>
        <v>-31.894493806795445</v>
      </c>
      <c r="T240">
        <f t="shared" si="963"/>
        <v>-3.1894493806795446E-2</v>
      </c>
    </row>
    <row r="241" spans="1:20" x14ac:dyDescent="0.25">
      <c r="A241" s="5">
        <v>44352</v>
      </c>
      <c r="B241">
        <v>7.8131000000000004</v>
      </c>
      <c r="C241">
        <v>8.4076000000000004</v>
      </c>
      <c r="D241">
        <v>7.3</v>
      </c>
      <c r="E241">
        <v>7.5191999999999997</v>
      </c>
      <c r="F241">
        <v>2690437.64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-0.60418923799205537</v>
      </c>
      <c r="Q241">
        <f t="shared" si="960"/>
        <v>-1625533.4675767438</v>
      </c>
      <c r="R241">
        <f t="shared" si="961"/>
        <v>-2723617.492558484</v>
      </c>
      <c r="S241">
        <f t="shared" si="962"/>
        <v>-27.236174925584841</v>
      </c>
      <c r="T241">
        <f t="shared" si="963"/>
        <v>-2.723617492558484E-2</v>
      </c>
    </row>
    <row r="242" spans="1:20" x14ac:dyDescent="0.25">
      <c r="A242" s="5">
        <v>44351</v>
      </c>
      <c r="B242">
        <v>8.9598999999999993</v>
      </c>
      <c r="C242">
        <v>9.4694000000000003</v>
      </c>
      <c r="D242">
        <v>7.6593</v>
      </c>
      <c r="E242">
        <v>7.8091999999999997</v>
      </c>
      <c r="F242">
        <v>6867363.54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-0.83437379150323221</v>
      </c>
      <c r="Q242">
        <f t="shared" si="960"/>
        <v>-5729948.1545008589</v>
      </c>
      <c r="R242">
        <f t="shared" si="961"/>
        <v>-1098084.0249817399</v>
      </c>
      <c r="S242">
        <f t="shared" si="962"/>
        <v>-10.980840249817399</v>
      </c>
      <c r="T242">
        <f t="shared" si="963"/>
        <v>-1.09808402498174E-2</v>
      </c>
    </row>
    <row r="243" spans="1:20" x14ac:dyDescent="0.25">
      <c r="A243" s="5">
        <v>44350</v>
      </c>
      <c r="B243">
        <v>7.3771000000000004</v>
      </c>
      <c r="C243">
        <v>9.25</v>
      </c>
      <c r="D243">
        <v>7.2553999999999998</v>
      </c>
      <c r="E243">
        <v>8.9442000000000004</v>
      </c>
      <c r="F243">
        <v>3160731.89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0.69337210468264354</v>
      </c>
      <c r="Q243">
        <f t="shared" si="960"/>
        <v>2191563.3229068499</v>
      </c>
      <c r="R243">
        <f t="shared" si="961"/>
        <v>4631864.1295191189</v>
      </c>
      <c r="S243">
        <f t="shared" si="962"/>
        <v>46.318641295191192</v>
      </c>
      <c r="T243">
        <f t="shared" si="963"/>
        <v>4.6318641295191192E-2</v>
      </c>
    </row>
    <row r="244" spans="1:20" x14ac:dyDescent="0.25">
      <c r="A244" s="5">
        <v>44349</v>
      </c>
      <c r="B244">
        <v>7.1554000000000002</v>
      </c>
      <c r="C244">
        <v>7.5387000000000004</v>
      </c>
      <c r="D244">
        <v>6.9695</v>
      </c>
      <c r="E244">
        <v>7.3754</v>
      </c>
      <c r="F244">
        <v>1073272.3999999999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0.42621222768798195</v>
      </c>
      <c r="Q244">
        <f t="shared" si="960"/>
        <v>457441.82052002678</v>
      </c>
      <c r="R244">
        <f t="shared" si="961"/>
        <v>2440300.806612269</v>
      </c>
      <c r="S244">
        <f t="shared" si="962"/>
        <v>24.403008066122691</v>
      </c>
      <c r="T244">
        <f t="shared" si="963"/>
        <v>2.4403008066122691E-2</v>
      </c>
    </row>
    <row r="245" spans="1:20" x14ac:dyDescent="0.25">
      <c r="A245" s="5">
        <v>44348</v>
      </c>
      <c r="B245">
        <v>7.3491999999999997</v>
      </c>
      <c r="C245">
        <v>7.6341000000000001</v>
      </c>
      <c r="D245">
        <v>7.0049000000000001</v>
      </c>
      <c r="E245">
        <v>7.1393000000000004</v>
      </c>
      <c r="F245">
        <v>1114721.02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-0.57279084551811732</v>
      </c>
      <c r="Q245">
        <f t="shared" si="960"/>
        <v>-638501.99556261813</v>
      </c>
      <c r="R245">
        <f t="shared" si="961"/>
        <v>1982858.9860922424</v>
      </c>
      <c r="S245">
        <f t="shared" si="962"/>
        <v>19.828589860922424</v>
      </c>
      <c r="T245">
        <f t="shared" si="963"/>
        <v>1.9828589860922424E-2</v>
      </c>
    </row>
    <row r="246" spans="1:20" x14ac:dyDescent="0.25">
      <c r="A246" s="5">
        <v>44347</v>
      </c>
      <c r="B246">
        <v>6.883</v>
      </c>
      <c r="C246">
        <v>7.49</v>
      </c>
      <c r="D246">
        <v>6.5250000000000004</v>
      </c>
      <c r="E246">
        <v>7.3493000000000004</v>
      </c>
      <c r="F246">
        <v>1344470.5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0.70839378238341999</v>
      </c>
      <c r="Q246">
        <f t="shared" si="960"/>
        <v>952414.54279792786</v>
      </c>
      <c r="R246">
        <f t="shared" si="961"/>
        <v>2621360.9816548605</v>
      </c>
      <c r="S246">
        <f t="shared" si="962"/>
        <v>26.213609816548605</v>
      </c>
      <c r="T246">
        <f t="shared" si="963"/>
        <v>2.6213609816548605E-2</v>
      </c>
    </row>
    <row r="247" spans="1:20" x14ac:dyDescent="0.25">
      <c r="A247" s="5">
        <v>44346</v>
      </c>
      <c r="B247">
        <v>6.6101000000000001</v>
      </c>
      <c r="C247">
        <v>7.2</v>
      </c>
      <c r="D247">
        <v>6.1692</v>
      </c>
      <c r="E247">
        <v>6.883</v>
      </c>
      <c r="F247">
        <v>1192628.1599999999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0.38494373302289459</v>
      </c>
      <c r="Q247">
        <f t="shared" si="960"/>
        <v>459094.73601862596</v>
      </c>
      <c r="R247">
        <f t="shared" si="961"/>
        <v>1668946.4388569326</v>
      </c>
      <c r="S247">
        <f t="shared" si="962"/>
        <v>16.689464388569327</v>
      </c>
      <c r="T247">
        <f t="shared" si="963"/>
        <v>1.6689464388569327E-2</v>
      </c>
    </row>
    <row r="248" spans="1:20" x14ac:dyDescent="0.25">
      <c r="A248" s="5">
        <v>44345</v>
      </c>
      <c r="B248">
        <v>6.9524999999999997</v>
      </c>
      <c r="C248">
        <v>7.3479999999999999</v>
      </c>
      <c r="D248">
        <v>6.2027999999999999</v>
      </c>
      <c r="E248">
        <v>6.6352000000000002</v>
      </c>
      <c r="F248">
        <v>1487176.13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-0.24484806147397775</v>
      </c>
      <c r="Q248">
        <f t="shared" si="960"/>
        <v>-364132.1925008723</v>
      </c>
      <c r="R248">
        <f t="shared" si="961"/>
        <v>1209851.7028383065</v>
      </c>
      <c r="S248">
        <f t="shared" si="962"/>
        <v>12.098517028383066</v>
      </c>
      <c r="T248">
        <f t="shared" si="963"/>
        <v>1.2098517028383066E-2</v>
      </c>
    </row>
    <row r="249" spans="1:20" x14ac:dyDescent="0.25">
      <c r="A249" s="5">
        <v>44344</v>
      </c>
      <c r="B249">
        <v>8.1687999999999992</v>
      </c>
      <c r="C249">
        <v>8.2757000000000005</v>
      </c>
      <c r="D249">
        <v>6.69</v>
      </c>
      <c r="E249">
        <v>6.9526000000000003</v>
      </c>
      <c r="F249">
        <v>2338555.44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-0.66878980891719753</v>
      </c>
      <c r="Q249">
        <f t="shared" si="960"/>
        <v>-1564002.0458598728</v>
      </c>
      <c r="R249">
        <f t="shared" si="961"/>
        <v>1573983.8953391789</v>
      </c>
      <c r="S249">
        <f t="shared" si="962"/>
        <v>15.739838953391789</v>
      </c>
      <c r="T249">
        <f t="shared" si="963"/>
        <v>1.5739838953391788E-2</v>
      </c>
    </row>
    <row r="250" spans="1:20" x14ac:dyDescent="0.25">
      <c r="A250" s="5">
        <v>44343</v>
      </c>
      <c r="B250">
        <v>8.1982999999999997</v>
      </c>
      <c r="C250">
        <v>9</v>
      </c>
      <c r="D250">
        <v>7.5359999999999996</v>
      </c>
      <c r="E250">
        <v>8.1574000000000009</v>
      </c>
      <c r="F250">
        <v>2734486.64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-0.15109289617486188</v>
      </c>
      <c r="Q250">
        <f t="shared" si="960"/>
        <v>-413161.50598906691</v>
      </c>
      <c r="R250">
        <f t="shared" si="961"/>
        <v>3137985.9411990517</v>
      </c>
      <c r="S250">
        <f t="shared" si="962"/>
        <v>31.379859411990516</v>
      </c>
      <c r="T250">
        <f t="shared" si="963"/>
        <v>3.1379859411990514E-2</v>
      </c>
    </row>
    <row r="251" spans="1:20" x14ac:dyDescent="0.25">
      <c r="A251" s="5">
        <v>44342</v>
      </c>
      <c r="B251">
        <v>7.2619999999999996</v>
      </c>
      <c r="C251">
        <v>8.5500000000000007</v>
      </c>
      <c r="D251">
        <v>7.0293999999999999</v>
      </c>
      <c r="E251">
        <v>8.1981999999999999</v>
      </c>
      <c r="F251">
        <v>2845324.59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0.53728791266605214</v>
      </c>
      <c r="Q251">
        <f t="shared" si="960"/>
        <v>1528758.5098184906</v>
      </c>
      <c r="R251">
        <f t="shared" si="961"/>
        <v>3551147.4471881185</v>
      </c>
      <c r="S251">
        <f t="shared" si="962"/>
        <v>35.511474471881186</v>
      </c>
      <c r="T251">
        <f t="shared" si="963"/>
        <v>3.5511474471881188E-2</v>
      </c>
    </row>
    <row r="252" spans="1:20" x14ac:dyDescent="0.25">
      <c r="A252" s="5">
        <v>44341</v>
      </c>
      <c r="B252">
        <v>7.4306000000000001</v>
      </c>
      <c r="C252">
        <v>7.68</v>
      </c>
      <c r="D252">
        <v>6.4614000000000003</v>
      </c>
      <c r="E252">
        <v>7.2621000000000002</v>
      </c>
      <c r="F252">
        <v>2565360.7200000002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0.31413096996553475</v>
      </c>
      <c r="Q252">
        <f t="shared" si="960"/>
        <v>805859.25128508266</v>
      </c>
      <c r="R252">
        <f t="shared" si="961"/>
        <v>2022388.9373696279</v>
      </c>
      <c r="S252">
        <f t="shared" si="962"/>
        <v>20.223889373696277</v>
      </c>
      <c r="T252">
        <f t="shared" si="963"/>
        <v>2.0223889373696277E-2</v>
      </c>
    </row>
    <row r="253" spans="1:20" x14ac:dyDescent="0.25">
      <c r="A253" s="5">
        <v>44340</v>
      </c>
      <c r="B253">
        <v>5.7530999999999999</v>
      </c>
      <c r="C253">
        <v>7.8418000000000001</v>
      </c>
      <c r="D253">
        <v>5.5096999999999996</v>
      </c>
      <c r="E253">
        <v>7.4306000000000001</v>
      </c>
      <c r="F253">
        <v>4563739.96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0.64735645984306001</v>
      </c>
      <c r="Q253">
        <f t="shared" si="960"/>
        <v>2954366.5441499082</v>
      </c>
      <c r="R253">
        <f t="shared" si="961"/>
        <v>1216529.6860845452</v>
      </c>
      <c r="S253">
        <f t="shared" si="962"/>
        <v>12.165296860845451</v>
      </c>
      <c r="T253">
        <f t="shared" si="963"/>
        <v>1.2165296860845451E-2</v>
      </c>
    </row>
    <row r="254" spans="1:20" x14ac:dyDescent="0.25">
      <c r="A254" s="5">
        <v>44339</v>
      </c>
      <c r="B254">
        <v>6.5666000000000002</v>
      </c>
      <c r="C254">
        <v>6.8681999999999999</v>
      </c>
      <c r="D254">
        <v>4.66</v>
      </c>
      <c r="E254">
        <v>5.7789000000000001</v>
      </c>
      <c r="F254">
        <v>4385848.67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1.3404582918214064E-2</v>
      </c>
      <c r="Q254">
        <f t="shared" si="960"/>
        <v>58790.472163753868</v>
      </c>
      <c r="R254">
        <f t="shared" si="961"/>
        <v>-1737836.858065363</v>
      </c>
      <c r="S254">
        <f t="shared" si="962"/>
        <v>-17.378368580653632</v>
      </c>
      <c r="T254">
        <f t="shared" si="963"/>
        <v>-1.7378368580653631E-2</v>
      </c>
    </row>
    <row r="255" spans="1:20" x14ac:dyDescent="0.25">
      <c r="A255" s="5">
        <v>44338</v>
      </c>
      <c r="B255">
        <v>7.4313000000000002</v>
      </c>
      <c r="C255">
        <v>7.7370000000000001</v>
      </c>
      <c r="D255">
        <v>6.3303000000000003</v>
      </c>
      <c r="E255">
        <v>6.5666000000000002</v>
      </c>
      <c r="F255">
        <v>3110700.97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-0.66403639724177155</v>
      </c>
      <c r="Q255">
        <f t="shared" si="960"/>
        <v>-2065618.6650152842</v>
      </c>
      <c r="R255">
        <f t="shared" si="961"/>
        <v>-1796627.3302291168</v>
      </c>
      <c r="S255">
        <f t="shared" si="962"/>
        <v>-17.966273302291167</v>
      </c>
      <c r="T255">
        <f t="shared" si="963"/>
        <v>-1.7966273302291166E-2</v>
      </c>
    </row>
    <row r="256" spans="1:20" x14ac:dyDescent="0.25">
      <c r="A256" s="5">
        <v>44337</v>
      </c>
      <c r="B256">
        <v>8.9260999999999999</v>
      </c>
      <c r="C256">
        <v>9.3917999999999999</v>
      </c>
      <c r="D256">
        <v>6.1</v>
      </c>
      <c r="E256">
        <v>7.4297000000000004</v>
      </c>
      <c r="F256">
        <v>6084571.7599999998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-0.19211373716507646</v>
      </c>
      <c r="Q256">
        <f t="shared" si="960"/>
        <v>-1168929.8198626866</v>
      </c>
      <c r="R256">
        <f t="shared" si="961"/>
        <v>268991.33478616737</v>
      </c>
      <c r="S256">
        <f t="shared" si="962"/>
        <v>2.6899133478616735</v>
      </c>
      <c r="T256">
        <f t="shared" si="963"/>
        <v>2.6899133478616734E-3</v>
      </c>
    </row>
    <row r="257" spans="1:20" x14ac:dyDescent="0.25">
      <c r="A257" s="5">
        <v>44336</v>
      </c>
      <c r="B257">
        <v>6.4206000000000003</v>
      </c>
      <c r="C257">
        <v>10.328799999999999</v>
      </c>
      <c r="D257">
        <v>5.8</v>
      </c>
      <c r="E257">
        <v>8.8853000000000009</v>
      </c>
      <c r="F257">
        <v>10371066.93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0.36252428899487782</v>
      </c>
      <c r="Q257">
        <f t="shared" si="960"/>
        <v>3759763.66491654</v>
      </c>
      <c r="R257">
        <f t="shared" si="961"/>
        <v>1437921.1546488539</v>
      </c>
      <c r="S257">
        <f t="shared" si="962"/>
        <v>14.379211546488539</v>
      </c>
      <c r="T257">
        <f t="shared" si="963"/>
        <v>1.437921154648854E-2</v>
      </c>
    </row>
    <row r="258" spans="1:20" x14ac:dyDescent="0.25">
      <c r="A258" s="5">
        <v>44335</v>
      </c>
      <c r="B258">
        <v>9.9623000000000008</v>
      </c>
      <c r="C258">
        <v>10.1</v>
      </c>
      <c r="D258">
        <v>4.5999999999999996</v>
      </c>
      <c r="E258">
        <v>6.3876999999999997</v>
      </c>
      <c r="F258">
        <v>8039660.8399999999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-0.3499272727272727</v>
      </c>
      <c r="Q258">
        <f t="shared" si="960"/>
        <v>-2813296.5913934545</v>
      </c>
      <c r="R258">
        <f t="shared" si="961"/>
        <v>-2321842.5102676861</v>
      </c>
      <c r="S258">
        <f t="shared" si="962"/>
        <v>-23.218425102676861</v>
      </c>
      <c r="T258">
        <f t="shared" si="963"/>
        <v>-2.3218425102676861E-2</v>
      </c>
    </row>
    <row r="259" spans="1:20" x14ac:dyDescent="0.25">
      <c r="A259" s="5">
        <v>44334</v>
      </c>
      <c r="B259">
        <v>10.0716</v>
      </c>
      <c r="C259">
        <v>11.492900000000001</v>
      </c>
      <c r="D259">
        <v>9.7401</v>
      </c>
      <c r="E259">
        <v>9.9621999999999993</v>
      </c>
      <c r="F259">
        <v>4251988.55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-0.74657690552259326</v>
      </c>
      <c r="Q259">
        <f t="shared" si="960"/>
        <v>-3174436.453976498</v>
      </c>
      <c r="R259">
        <f t="shared" si="961"/>
        <v>491454.08112576837</v>
      </c>
      <c r="S259">
        <f t="shared" si="962"/>
        <v>4.9145408112576838</v>
      </c>
      <c r="T259">
        <f t="shared" si="963"/>
        <v>4.9145408112576837E-3</v>
      </c>
    </row>
    <row r="260" spans="1:20" x14ac:dyDescent="0.25">
      <c r="A260" s="5">
        <v>44333</v>
      </c>
      <c r="B260">
        <v>10.443</v>
      </c>
      <c r="C260">
        <v>11.139099999999999</v>
      </c>
      <c r="D260">
        <v>9.1999999999999993</v>
      </c>
      <c r="E260">
        <v>10.071199999999999</v>
      </c>
      <c r="F260">
        <v>4150762.43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-0.1014388118199164</v>
      </c>
      <c r="Q260">
        <f t="shared" si="960"/>
        <v>-421048.40904594894</v>
      </c>
      <c r="R260">
        <f t="shared" si="961"/>
        <v>3665890.5351022664</v>
      </c>
      <c r="S260">
        <f t="shared" si="962"/>
        <v>36.658905351022661</v>
      </c>
      <c r="T260">
        <f t="shared" si="963"/>
        <v>3.6658905351022661E-2</v>
      </c>
    </row>
    <row r="261" spans="1:20" x14ac:dyDescent="0.25">
      <c r="A261" s="5">
        <v>44332</v>
      </c>
      <c r="B261">
        <v>10.6706</v>
      </c>
      <c r="C261">
        <v>11.7621</v>
      </c>
      <c r="D261">
        <v>9.5401000000000007</v>
      </c>
      <c r="E261">
        <v>10.455399999999999</v>
      </c>
      <c r="F261">
        <v>4120675.63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-0.17614761476147736</v>
      </c>
      <c r="Q261">
        <f t="shared" si="960"/>
        <v>-725847.18343024806</v>
      </c>
      <c r="R261">
        <f t="shared" si="961"/>
        <v>4086938.9441482155</v>
      </c>
      <c r="S261">
        <f t="shared" si="962"/>
        <v>40.869389441482156</v>
      </c>
      <c r="T261">
        <f t="shared" si="963"/>
        <v>4.0869389441482155E-2</v>
      </c>
    </row>
    <row r="262" spans="1:20" x14ac:dyDescent="0.25">
      <c r="A262" s="5">
        <v>44331</v>
      </c>
      <c r="B262">
        <v>12.381600000000001</v>
      </c>
      <c r="C262">
        <v>12.499599999999999</v>
      </c>
      <c r="D262">
        <v>10.566599999999999</v>
      </c>
      <c r="E262">
        <v>10.662599999999999</v>
      </c>
      <c r="F262">
        <v>5717168.9500000002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-0.90067252974650791</v>
      </c>
      <c r="Q262">
        <f t="shared" ref="Q262:Q325" si="965">F262*P262</f>
        <v>-5149297.0211846866</v>
      </c>
      <c r="R262">
        <f t="shared" ref="R262:R325" si="966">R263+Q262</f>
        <v>4812786.1275784634</v>
      </c>
      <c r="S262">
        <f t="shared" ref="S262:S325" si="967">R262/100000</f>
        <v>48.127861275784632</v>
      </c>
      <c r="T262">
        <f t="shared" ref="T262:T325" si="968">S262/1000</f>
        <v>4.8127861275784632E-2</v>
      </c>
    </row>
    <row r="263" spans="1:20" x14ac:dyDescent="0.25">
      <c r="A263" s="5">
        <v>44330</v>
      </c>
      <c r="B263">
        <v>11.6515</v>
      </c>
      <c r="C263">
        <v>13.6524</v>
      </c>
      <c r="D263">
        <v>10.77</v>
      </c>
      <c r="E263">
        <v>12.35</v>
      </c>
      <c r="F263">
        <v>16025542.390000001</v>
      </c>
      <c r="G263">
        <v>0</v>
      </c>
      <c r="L263" t="s">
        <v>7</v>
      </c>
      <c r="M263" t="s">
        <v>7</v>
      </c>
      <c r="N263" t="s">
        <v>7</v>
      </c>
      <c r="P263">
        <f t="shared" si="964"/>
        <v>9.6308631695808902E-2</v>
      </c>
      <c r="Q263">
        <f t="shared" si="965"/>
        <v>1543398.0597640832</v>
      </c>
      <c r="R263">
        <f t="shared" si="966"/>
        <v>9962083.14876315</v>
      </c>
      <c r="S263">
        <f t="shared" si="967"/>
        <v>99.620831487631506</v>
      </c>
      <c r="T263">
        <f t="shared" si="968"/>
        <v>9.9620831487631512E-2</v>
      </c>
    </row>
    <row r="264" spans="1:20" x14ac:dyDescent="0.25">
      <c r="A264" s="5">
        <v>44329</v>
      </c>
      <c r="B264">
        <v>9.9016000000000002</v>
      </c>
      <c r="C264">
        <v>17.7</v>
      </c>
      <c r="D264">
        <v>8.3000000000000007</v>
      </c>
      <c r="E264">
        <v>11.6821</v>
      </c>
      <c r="F264">
        <v>58134319.630000003</v>
      </c>
      <c r="G264">
        <v>0</v>
      </c>
      <c r="L264" t="s">
        <v>8</v>
      </c>
      <c r="M264" t="s">
        <v>8</v>
      </c>
      <c r="N264" t="s">
        <v>8</v>
      </c>
      <c r="P264">
        <f t="shared" si="964"/>
        <v>-0.28040425531914892</v>
      </c>
      <c r="Q264">
        <f t="shared" si="965"/>
        <v>-16301110.604335532</v>
      </c>
      <c r="R264">
        <f t="shared" si="966"/>
        <v>8418685.0889990665</v>
      </c>
      <c r="S264">
        <f t="shared" si="967"/>
        <v>84.186850889990666</v>
      </c>
      <c r="T264">
        <f t="shared" si="968"/>
        <v>8.4186850889990672E-2</v>
      </c>
    </row>
    <row r="265" spans="1:20" x14ac:dyDescent="0.25">
      <c r="A265" s="5">
        <v>44328</v>
      </c>
      <c r="B265">
        <v>8.9993999999999996</v>
      </c>
      <c r="C265">
        <v>13.9</v>
      </c>
      <c r="D265">
        <v>8.0299999999999994</v>
      </c>
      <c r="E265">
        <v>9.9015000000000004</v>
      </c>
      <c r="F265">
        <v>10605405.560000001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-0.36235093696763176</v>
      </c>
      <c r="Q265">
        <f t="shared" si="965"/>
        <v>-3842878.6415877314</v>
      </c>
      <c r="R265">
        <f t="shared" si="966"/>
        <v>24719795.693334598</v>
      </c>
      <c r="S265">
        <f t="shared" si="967"/>
        <v>247.19795693334598</v>
      </c>
      <c r="T265">
        <f t="shared" si="968"/>
        <v>0.24719795693334598</v>
      </c>
    </row>
    <row r="266" spans="1:20" x14ac:dyDescent="0.25">
      <c r="A266" s="5">
        <v>44327</v>
      </c>
      <c r="B266">
        <v>8.5516000000000005</v>
      </c>
      <c r="C266">
        <v>9.2946000000000009</v>
      </c>
      <c r="D266">
        <v>8</v>
      </c>
      <c r="E266">
        <v>8.9829000000000008</v>
      </c>
      <c r="F266">
        <v>2603780.87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0.51846130078788832</v>
      </c>
      <c r="Q266">
        <f t="shared" si="965"/>
        <v>1349959.6168268195</v>
      </c>
      <c r="R266">
        <f t="shared" si="966"/>
        <v>28562674.334922329</v>
      </c>
      <c r="S266">
        <f t="shared" si="967"/>
        <v>285.62674334922326</v>
      </c>
      <c r="T266">
        <f t="shared" si="968"/>
        <v>0.28562674334922328</v>
      </c>
    </row>
    <row r="267" spans="1:20" x14ac:dyDescent="0.25">
      <c r="A267" s="5">
        <v>44326</v>
      </c>
      <c r="B267">
        <v>9.4700000000000006</v>
      </c>
      <c r="C267">
        <v>9.8800000000000008</v>
      </c>
      <c r="D267">
        <v>8.1999999999999993</v>
      </c>
      <c r="E267">
        <v>8.5631000000000004</v>
      </c>
      <c r="F267">
        <v>2674604.44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-0.56773809523809438</v>
      </c>
      <c r="Q267">
        <f t="shared" si="965"/>
        <v>-1518474.8302809501</v>
      </c>
      <c r="R267">
        <f t="shared" si="966"/>
        <v>27212714.718095507</v>
      </c>
      <c r="S267">
        <f t="shared" si="967"/>
        <v>272.12714718095509</v>
      </c>
      <c r="T267">
        <f t="shared" si="968"/>
        <v>0.2721271471809551</v>
      </c>
    </row>
    <row r="268" spans="1:20" x14ac:dyDescent="0.25">
      <c r="A268" s="5">
        <v>44325</v>
      </c>
      <c r="B268">
        <v>9.8405000000000005</v>
      </c>
      <c r="C268">
        <v>10.031000000000001</v>
      </c>
      <c r="D268">
        <v>9.2481000000000009</v>
      </c>
      <c r="E268">
        <v>9.4783000000000008</v>
      </c>
      <c r="F268">
        <v>2097978.9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-0.41193000383190692</v>
      </c>
      <c r="Q268">
        <f t="shared" si="965"/>
        <v>-864220.45631625981</v>
      </c>
      <c r="R268">
        <f t="shared" si="966"/>
        <v>28731189.548376456</v>
      </c>
      <c r="S268">
        <f t="shared" si="967"/>
        <v>287.31189548376454</v>
      </c>
      <c r="T268">
        <f t="shared" si="968"/>
        <v>0.28731189548376457</v>
      </c>
    </row>
    <row r="269" spans="1:20" x14ac:dyDescent="0.25">
      <c r="A269" s="5">
        <v>44324</v>
      </c>
      <c r="B269">
        <v>10.085800000000001</v>
      </c>
      <c r="C269">
        <v>10.601800000000001</v>
      </c>
      <c r="D269">
        <v>9.6648999999999994</v>
      </c>
      <c r="E269">
        <v>9.8405000000000005</v>
      </c>
      <c r="F269">
        <v>2008714.05</v>
      </c>
      <c r="G269">
        <v>0</v>
      </c>
      <c r="L269" t="s">
        <v>7</v>
      </c>
      <c r="M269" t="s">
        <v>8</v>
      </c>
      <c r="N269" t="s">
        <v>7</v>
      </c>
      <c r="P269">
        <f t="shared" si="964"/>
        <v>-0.62514676059344476</v>
      </c>
      <c r="Q269">
        <f t="shared" si="965"/>
        <v>-1255741.081316039</v>
      </c>
      <c r="R269">
        <f t="shared" si="966"/>
        <v>29595410.004692715</v>
      </c>
      <c r="S269">
        <f t="shared" si="967"/>
        <v>295.95410004692712</v>
      </c>
      <c r="T269">
        <f t="shared" si="968"/>
        <v>0.29595410004692713</v>
      </c>
    </row>
    <row r="270" spans="1:20" x14ac:dyDescent="0.25">
      <c r="A270" s="5">
        <v>44323</v>
      </c>
      <c r="B270">
        <v>9.9781999999999993</v>
      </c>
      <c r="C270">
        <v>11.239800000000001</v>
      </c>
      <c r="D270">
        <v>9.3186999999999998</v>
      </c>
      <c r="E270">
        <v>10.087899999999999</v>
      </c>
      <c r="F270">
        <v>4171444.15</v>
      </c>
      <c r="G270">
        <v>0</v>
      </c>
      <c r="L270" t="s">
        <v>8</v>
      </c>
      <c r="M270" t="s">
        <v>8</v>
      </c>
      <c r="N270" t="s">
        <v>7</v>
      </c>
      <c r="P270">
        <f t="shared" si="964"/>
        <v>-0.19920878663265912</v>
      </c>
      <c r="Q270">
        <f t="shared" si="965"/>
        <v>-830988.32762740401</v>
      </c>
      <c r="R270">
        <f t="shared" si="966"/>
        <v>30851151.086008754</v>
      </c>
      <c r="S270">
        <f t="shared" si="967"/>
        <v>308.51151086008753</v>
      </c>
      <c r="T270">
        <f t="shared" si="968"/>
        <v>0.30851151086008755</v>
      </c>
    </row>
    <row r="271" spans="1:20" x14ac:dyDescent="0.25">
      <c r="A271" s="5">
        <v>44322</v>
      </c>
      <c r="B271">
        <v>9.7103000000000002</v>
      </c>
      <c r="C271">
        <v>10.49</v>
      </c>
      <c r="D271">
        <v>9.2190999999999992</v>
      </c>
      <c r="E271">
        <v>9.9781999999999993</v>
      </c>
      <c r="F271">
        <v>3323429.1</v>
      </c>
      <c r="G271">
        <v>0</v>
      </c>
      <c r="L271" t="s">
        <v>8</v>
      </c>
      <c r="M271" t="s">
        <v>8</v>
      </c>
      <c r="N271" t="s">
        <v>7</v>
      </c>
      <c r="P271">
        <f t="shared" si="964"/>
        <v>0.19458651349437328</v>
      </c>
      <c r="Q271">
        <f t="shared" si="965"/>
        <v>646694.48141474288</v>
      </c>
      <c r="R271">
        <f t="shared" si="966"/>
        <v>31682139.413636159</v>
      </c>
      <c r="S271">
        <f t="shared" si="967"/>
        <v>316.82139413636162</v>
      </c>
      <c r="T271">
        <f t="shared" si="968"/>
        <v>0.31682139413636162</v>
      </c>
    </row>
    <row r="272" spans="1:20" x14ac:dyDescent="0.25">
      <c r="A272" s="5">
        <v>44321</v>
      </c>
      <c r="B272">
        <v>8.6980000000000004</v>
      </c>
      <c r="C272">
        <v>10.494999999999999</v>
      </c>
      <c r="D272">
        <v>8.6221999999999994</v>
      </c>
      <c r="E272">
        <v>9.7006999999999994</v>
      </c>
      <c r="F272">
        <v>3831020.78</v>
      </c>
      <c r="G272">
        <v>0</v>
      </c>
      <c r="L272" t="s">
        <v>7</v>
      </c>
      <c r="M272" t="s">
        <v>8</v>
      </c>
      <c r="N272" t="s">
        <v>7</v>
      </c>
      <c r="P272">
        <f t="shared" si="964"/>
        <v>0.15175138829560031</v>
      </c>
      <c r="Q272">
        <f t="shared" si="965"/>
        <v>581362.72195429355</v>
      </c>
      <c r="R272">
        <f t="shared" si="966"/>
        <v>31035444.932221416</v>
      </c>
      <c r="S272">
        <f t="shared" si="967"/>
        <v>310.35444932221418</v>
      </c>
      <c r="T272">
        <f t="shared" si="968"/>
        <v>0.31035444932221418</v>
      </c>
    </row>
    <row r="273" spans="1:20" x14ac:dyDescent="0.25">
      <c r="A273" s="5">
        <v>44320</v>
      </c>
      <c r="B273">
        <v>10.052</v>
      </c>
      <c r="C273">
        <v>10.0745</v>
      </c>
      <c r="D273">
        <v>8.6737000000000002</v>
      </c>
      <c r="E273">
        <v>8.68</v>
      </c>
      <c r="F273">
        <v>4047810.98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-0.99100513992004635</v>
      </c>
      <c r="Q273">
        <f t="shared" si="965"/>
        <v>-4011401.4866048</v>
      </c>
      <c r="R273">
        <f t="shared" si="966"/>
        <v>30454082.210267123</v>
      </c>
      <c r="S273">
        <f t="shared" si="967"/>
        <v>304.54082210267126</v>
      </c>
      <c r="T273">
        <f t="shared" si="968"/>
        <v>0.30454082210267125</v>
      </c>
    </row>
    <row r="274" spans="1:20" x14ac:dyDescent="0.25">
      <c r="A274" s="5">
        <v>44319</v>
      </c>
      <c r="B274">
        <v>10.1014</v>
      </c>
      <c r="C274">
        <v>10.8949</v>
      </c>
      <c r="D274">
        <v>10.039</v>
      </c>
      <c r="E274">
        <v>10.066000000000001</v>
      </c>
      <c r="F274">
        <v>4683642.58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-0.93690851735015535</v>
      </c>
      <c r="Q274">
        <f t="shared" si="965"/>
        <v>-4388144.6254258566</v>
      </c>
      <c r="R274">
        <f t="shared" si="966"/>
        <v>34465483.696871921</v>
      </c>
      <c r="S274">
        <f t="shared" si="967"/>
        <v>344.65483696871922</v>
      </c>
      <c r="T274">
        <f t="shared" si="968"/>
        <v>0.34465483696871924</v>
      </c>
    </row>
    <row r="275" spans="1:20" x14ac:dyDescent="0.25">
      <c r="A275" s="5">
        <v>44318</v>
      </c>
      <c r="B275">
        <v>10.4976</v>
      </c>
      <c r="C275">
        <v>11.7</v>
      </c>
      <c r="D275">
        <v>9.9088999999999992</v>
      </c>
      <c r="E275">
        <v>10.0953</v>
      </c>
      <c r="F275">
        <v>13508238.560000001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-0.79185975099101025</v>
      </c>
      <c r="Q275">
        <f t="shared" si="965"/>
        <v>-10696630.422448764</v>
      </c>
      <c r="R275">
        <f t="shared" si="966"/>
        <v>38853628.322297774</v>
      </c>
      <c r="S275">
        <f t="shared" si="967"/>
        <v>388.53628322297772</v>
      </c>
      <c r="T275">
        <f t="shared" si="968"/>
        <v>0.38853628322297773</v>
      </c>
    </row>
    <row r="276" spans="1:20" x14ac:dyDescent="0.25">
      <c r="A276" s="5">
        <v>44317</v>
      </c>
      <c r="B276">
        <v>8.4700000000000006</v>
      </c>
      <c r="C276">
        <v>12.2112</v>
      </c>
      <c r="D276">
        <v>8.1999999999999993</v>
      </c>
      <c r="E276">
        <v>10.4346</v>
      </c>
      <c r="F276">
        <v>10738573.390000001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0.11418029517351419</v>
      </c>
      <c r="Q276">
        <f t="shared" si="965"/>
        <v>1226133.4794126449</v>
      </c>
      <c r="R276">
        <f t="shared" si="966"/>
        <v>49550258.744746536</v>
      </c>
      <c r="S276">
        <f t="shared" si="967"/>
        <v>495.50258744746537</v>
      </c>
      <c r="T276">
        <f t="shared" si="968"/>
        <v>0.49550258744746539</v>
      </c>
    </row>
    <row r="277" spans="1:20" x14ac:dyDescent="0.25">
      <c r="A277" s="5">
        <v>44316</v>
      </c>
      <c r="B277">
        <v>7.98</v>
      </c>
      <c r="C277">
        <v>8.75</v>
      </c>
      <c r="D277">
        <v>7.8581000000000003</v>
      </c>
      <c r="E277">
        <v>8.4781999999999993</v>
      </c>
      <c r="F277">
        <v>2452382.1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0.3905146316851647</v>
      </c>
      <c r="Q277">
        <f t="shared" si="965"/>
        <v>957691.09253279085</v>
      </c>
      <c r="R277">
        <f t="shared" si="966"/>
        <v>48324125.265333891</v>
      </c>
      <c r="S277">
        <f t="shared" si="967"/>
        <v>483.2412526533389</v>
      </c>
      <c r="T277">
        <f t="shared" si="968"/>
        <v>0.48324125265333889</v>
      </c>
    </row>
    <row r="278" spans="1:20" x14ac:dyDescent="0.25">
      <c r="A278" s="5">
        <v>44315</v>
      </c>
      <c r="B278">
        <v>8.0609999999999999</v>
      </c>
      <c r="C278">
        <v>8.3523999999999994</v>
      </c>
      <c r="D278">
        <v>7.5</v>
      </c>
      <c r="E278">
        <v>7.98</v>
      </c>
      <c r="F278">
        <v>2127431.63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0.12623181604880521</v>
      </c>
      <c r="Q278">
        <f t="shared" si="965"/>
        <v>268549.5581745698</v>
      </c>
      <c r="R278">
        <f t="shared" si="966"/>
        <v>47366434.1728011</v>
      </c>
      <c r="S278">
        <f t="shared" si="967"/>
        <v>473.66434172801098</v>
      </c>
      <c r="T278">
        <f t="shared" si="968"/>
        <v>0.47366434172801097</v>
      </c>
    </row>
    <row r="279" spans="1:20" x14ac:dyDescent="0.25">
      <c r="A279" s="5">
        <v>44314</v>
      </c>
      <c r="B279">
        <v>8.3184000000000005</v>
      </c>
      <c r="C279">
        <v>8.6</v>
      </c>
      <c r="D279">
        <v>7.5705999999999998</v>
      </c>
      <c r="E279">
        <v>8.0699000000000005</v>
      </c>
      <c r="F279">
        <v>2290086.9300000002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-2.9920341946763539E-2</v>
      </c>
      <c r="Q279">
        <f t="shared" si="965"/>
        <v>-68520.184033413942</v>
      </c>
      <c r="R279">
        <f t="shared" si="966"/>
        <v>47097884.614626527</v>
      </c>
      <c r="S279">
        <f t="shared" si="967"/>
        <v>470.97884614626525</v>
      </c>
      <c r="T279">
        <f t="shared" si="968"/>
        <v>0.47097884614626523</v>
      </c>
    </row>
    <row r="280" spans="1:20" x14ac:dyDescent="0.25">
      <c r="A280" s="5">
        <v>44313</v>
      </c>
      <c r="B280">
        <v>8.1999999999999993</v>
      </c>
      <c r="C280">
        <v>8.9499999999999993</v>
      </c>
      <c r="D280">
        <v>8.0288000000000004</v>
      </c>
      <c r="E280">
        <v>8.3307000000000002</v>
      </c>
      <c r="F280">
        <v>2887945.38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-0.34455058619192314</v>
      </c>
      <c r="Q280">
        <f t="shared" si="965"/>
        <v>-995043.27356925618</v>
      </c>
      <c r="R280">
        <f t="shared" si="966"/>
        <v>47166404.798659943</v>
      </c>
      <c r="S280">
        <f t="shared" si="967"/>
        <v>471.66404798659943</v>
      </c>
      <c r="T280">
        <f t="shared" si="968"/>
        <v>0.47166404798659944</v>
      </c>
    </row>
    <row r="281" spans="1:20" x14ac:dyDescent="0.25">
      <c r="A281" s="5">
        <v>44312</v>
      </c>
      <c r="B281">
        <v>7.0473999999999997</v>
      </c>
      <c r="C281">
        <v>8.4504000000000001</v>
      </c>
      <c r="D281">
        <v>6.9</v>
      </c>
      <c r="E281">
        <v>8.1999999999999993</v>
      </c>
      <c r="F281">
        <v>3733058.82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0.67698658410732604</v>
      </c>
      <c r="Q281">
        <f t="shared" si="965"/>
        <v>2527230.7388235251</v>
      </c>
      <c r="R281">
        <f t="shared" si="966"/>
        <v>48161448.072229199</v>
      </c>
      <c r="S281">
        <f t="shared" si="967"/>
        <v>481.614480722292</v>
      </c>
      <c r="T281">
        <f t="shared" si="968"/>
        <v>0.48161448072229202</v>
      </c>
    </row>
    <row r="282" spans="1:20" x14ac:dyDescent="0.25">
      <c r="A282" s="5">
        <v>44311</v>
      </c>
      <c r="B282">
        <v>7.2887000000000004</v>
      </c>
      <c r="C282">
        <v>7.7549999999999999</v>
      </c>
      <c r="D282">
        <v>6.5054999999999996</v>
      </c>
      <c r="E282">
        <v>7.0351999999999997</v>
      </c>
      <c r="F282">
        <v>2592276.5099999998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-0.1521408563425371</v>
      </c>
      <c r="Q282">
        <f t="shared" si="965"/>
        <v>-394391.16810804338</v>
      </c>
      <c r="R282">
        <f t="shared" si="966"/>
        <v>45634217.333405674</v>
      </c>
      <c r="S282">
        <f t="shared" si="967"/>
        <v>456.34217333405672</v>
      </c>
      <c r="T282">
        <f t="shared" si="968"/>
        <v>0.45634217333405674</v>
      </c>
    </row>
    <row r="283" spans="1:20" x14ac:dyDescent="0.25">
      <c r="A283" s="5">
        <v>44310</v>
      </c>
      <c r="B283">
        <v>8.1218000000000004</v>
      </c>
      <c r="C283">
        <v>8.5</v>
      </c>
      <c r="D283">
        <v>7.2129000000000003</v>
      </c>
      <c r="E283">
        <v>7.2755000000000001</v>
      </c>
      <c r="F283">
        <v>3917062.37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-0.90272706083443433</v>
      </c>
      <c r="Q283">
        <f t="shared" si="965"/>
        <v>-3536038.2003752636</v>
      </c>
      <c r="R283">
        <f t="shared" si="966"/>
        <v>46028608.50151372</v>
      </c>
      <c r="S283">
        <f t="shared" si="967"/>
        <v>460.28608501513719</v>
      </c>
      <c r="T283">
        <f t="shared" si="968"/>
        <v>0.46028608501513718</v>
      </c>
    </row>
    <row r="284" spans="1:20" x14ac:dyDescent="0.25">
      <c r="A284" s="5">
        <v>44309</v>
      </c>
      <c r="B284">
        <v>7.5103</v>
      </c>
      <c r="C284">
        <v>8.89</v>
      </c>
      <c r="D284">
        <v>6.2236000000000002</v>
      </c>
      <c r="E284">
        <v>8.1205999999999996</v>
      </c>
      <c r="F284">
        <v>6070450.6399999997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0.42289228922892225</v>
      </c>
      <c r="Q284">
        <f t="shared" si="965"/>
        <v>2567146.7678007758</v>
      </c>
      <c r="R284">
        <f t="shared" si="966"/>
        <v>49564646.701888986</v>
      </c>
      <c r="S284">
        <f t="shared" si="967"/>
        <v>495.64646701888984</v>
      </c>
      <c r="T284">
        <f t="shared" si="968"/>
        <v>0.49564646701888981</v>
      </c>
    </row>
    <row r="285" spans="1:20" x14ac:dyDescent="0.25">
      <c r="A285" s="5">
        <v>44308</v>
      </c>
      <c r="B285">
        <v>8.6983999999999995</v>
      </c>
      <c r="C285">
        <v>9.1897000000000002</v>
      </c>
      <c r="D285">
        <v>7.35</v>
      </c>
      <c r="E285">
        <v>7.51</v>
      </c>
      <c r="F285">
        <v>4823888.03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-0.82605859651030045</v>
      </c>
      <c r="Q285">
        <f t="shared" si="965"/>
        <v>-3984814.1757846382</v>
      </c>
      <c r="R285">
        <f t="shared" si="966"/>
        <v>46997499.934088208</v>
      </c>
      <c r="S285">
        <f t="shared" si="967"/>
        <v>469.97499934088205</v>
      </c>
      <c r="T285">
        <f t="shared" si="968"/>
        <v>0.46997499934088205</v>
      </c>
    </row>
    <row r="286" spans="1:20" x14ac:dyDescent="0.25">
      <c r="A286" s="5">
        <v>44307</v>
      </c>
      <c r="B286">
        <v>8.6129999999999995</v>
      </c>
      <c r="C286">
        <v>10.4376</v>
      </c>
      <c r="D286">
        <v>8.5164000000000009</v>
      </c>
      <c r="E286">
        <v>8.68</v>
      </c>
      <c r="F286">
        <v>7523870.8899999997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-0.82968977722257031</v>
      </c>
      <c r="Q286">
        <f t="shared" si="965"/>
        <v>-6242478.7625754811</v>
      </c>
      <c r="R286">
        <f t="shared" si="966"/>
        <v>50982314.109872848</v>
      </c>
      <c r="S286">
        <f t="shared" si="967"/>
        <v>509.82314109872846</v>
      </c>
      <c r="T286">
        <f t="shared" si="968"/>
        <v>0.50982314109872851</v>
      </c>
    </row>
    <row r="287" spans="1:20" x14ac:dyDescent="0.25">
      <c r="A287" s="5">
        <v>44306</v>
      </c>
      <c r="B287">
        <v>9.5836000000000006</v>
      </c>
      <c r="C287">
        <v>9.6064000000000007</v>
      </c>
      <c r="D287">
        <v>8.0228000000000002</v>
      </c>
      <c r="E287">
        <v>8.6129999999999995</v>
      </c>
      <c r="F287">
        <v>8152520.5199999996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-0.25460974993685376</v>
      </c>
      <c r="Q287">
        <f t="shared" si="965"/>
        <v>-2075711.2109522689</v>
      </c>
      <c r="R287">
        <f t="shared" si="966"/>
        <v>57224792.872448325</v>
      </c>
      <c r="S287">
        <f t="shared" si="967"/>
        <v>572.24792872448324</v>
      </c>
      <c r="T287">
        <f t="shared" si="968"/>
        <v>0.57224792872448327</v>
      </c>
    </row>
    <row r="288" spans="1:20" x14ac:dyDescent="0.25">
      <c r="A288" s="5">
        <v>44305</v>
      </c>
      <c r="B288">
        <v>11.3812</v>
      </c>
      <c r="C288">
        <v>11.645799999999999</v>
      </c>
      <c r="D288">
        <v>9.1999999999999993</v>
      </c>
      <c r="E288">
        <v>9.5745000000000005</v>
      </c>
      <c r="F288">
        <v>16409756.85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-0.69376073268460126</v>
      </c>
      <c r="Q288">
        <f t="shared" si="965"/>
        <v>-11384444.935432155</v>
      </c>
      <c r="R288">
        <f t="shared" si="966"/>
        <v>59300504.083400592</v>
      </c>
      <c r="S288">
        <f t="shared" si="967"/>
        <v>593.00504083400597</v>
      </c>
      <c r="T288">
        <f t="shared" si="968"/>
        <v>0.59300504083400596</v>
      </c>
    </row>
    <row r="289" spans="1:20" x14ac:dyDescent="0.25">
      <c r="A289" s="5">
        <v>44304</v>
      </c>
      <c r="B289">
        <v>12.7159</v>
      </c>
      <c r="C289">
        <v>14.2438</v>
      </c>
      <c r="D289">
        <v>8.9</v>
      </c>
      <c r="E289">
        <v>11.38</v>
      </c>
      <c r="F289">
        <v>52908739.740000002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-7.1821550207717175E-2</v>
      </c>
      <c r="Q289">
        <f t="shared" si="965"/>
        <v>-3799987.7076634509</v>
      </c>
      <c r="R289">
        <f t="shared" si="966"/>
        <v>70684949.018832743</v>
      </c>
      <c r="S289">
        <f t="shared" si="967"/>
        <v>706.84949018832742</v>
      </c>
      <c r="T289">
        <f t="shared" si="968"/>
        <v>0.70684949018832743</v>
      </c>
    </row>
    <row r="290" spans="1:20" x14ac:dyDescent="0.25">
      <c r="A290" s="5">
        <v>44303</v>
      </c>
      <c r="B290">
        <v>6.1608999999999998</v>
      </c>
      <c r="C290">
        <v>14.446300000000001</v>
      </c>
      <c r="D290">
        <v>6.0591999999999997</v>
      </c>
      <c r="E290">
        <v>12.680300000000001</v>
      </c>
      <c r="F290">
        <v>80922945.859999999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0.57887708504727509</v>
      </c>
      <c r="Q290">
        <f t="shared" si="965"/>
        <v>46844439.012875259</v>
      </c>
      <c r="R290">
        <f t="shared" si="966"/>
        <v>74484936.72649619</v>
      </c>
      <c r="S290">
        <f t="shared" si="967"/>
        <v>744.84936726496187</v>
      </c>
      <c r="T290">
        <f t="shared" si="968"/>
        <v>0.74484936726496187</v>
      </c>
    </row>
    <row r="291" spans="1:20" x14ac:dyDescent="0.25">
      <c r="A291" s="5">
        <v>44302</v>
      </c>
      <c r="B291">
        <v>5.7016999999999998</v>
      </c>
      <c r="C291">
        <v>6.3949999999999996</v>
      </c>
      <c r="D291">
        <v>5.1769999999999996</v>
      </c>
      <c r="E291">
        <v>6.1615000000000002</v>
      </c>
      <c r="F291">
        <v>3137007.56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0.6165845648604279</v>
      </c>
      <c r="Q291">
        <f t="shared" si="965"/>
        <v>1934230.4413464726</v>
      </c>
      <c r="R291">
        <f t="shared" si="966"/>
        <v>27640497.713620935</v>
      </c>
      <c r="S291">
        <f t="shared" si="967"/>
        <v>276.40497713620937</v>
      </c>
      <c r="T291">
        <f t="shared" si="968"/>
        <v>0.27640497713620937</v>
      </c>
    </row>
    <row r="292" spans="1:20" x14ac:dyDescent="0.25">
      <c r="A292" s="5">
        <v>44301</v>
      </c>
      <c r="B292">
        <v>5.4687999999999999</v>
      </c>
      <c r="C292">
        <v>5.827</v>
      </c>
      <c r="D292">
        <v>5.4058000000000002</v>
      </c>
      <c r="E292">
        <v>5.6966000000000001</v>
      </c>
      <c r="F292">
        <v>1449925.08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0.38081671415004792</v>
      </c>
      <c r="Q292">
        <f t="shared" si="965"/>
        <v>552155.70472934539</v>
      </c>
      <c r="R292">
        <f t="shared" si="966"/>
        <v>25706267.272274461</v>
      </c>
      <c r="S292">
        <f t="shared" si="967"/>
        <v>257.06267272274459</v>
      </c>
      <c r="T292">
        <f t="shared" si="968"/>
        <v>0.25706267272274458</v>
      </c>
    </row>
    <row r="293" spans="1:20" x14ac:dyDescent="0.25">
      <c r="A293" s="5">
        <v>44300</v>
      </c>
      <c r="B293">
        <v>5.7689000000000004</v>
      </c>
      <c r="C293">
        <v>5.7973999999999997</v>
      </c>
      <c r="D293">
        <v>5.2229999999999999</v>
      </c>
      <c r="E293">
        <v>5.4608999999999996</v>
      </c>
      <c r="F293">
        <v>1676905.97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-0.17165738161559937</v>
      </c>
      <c r="Q293">
        <f t="shared" si="965"/>
        <v>-287853.28802576684</v>
      </c>
      <c r="R293">
        <f t="shared" si="966"/>
        <v>25154111.567545116</v>
      </c>
      <c r="S293">
        <f t="shared" si="967"/>
        <v>251.54111567545115</v>
      </c>
      <c r="T293">
        <f t="shared" si="968"/>
        <v>0.25154111567545118</v>
      </c>
    </row>
    <row r="294" spans="1:20" x14ac:dyDescent="0.25">
      <c r="A294" s="5">
        <v>44299</v>
      </c>
      <c r="B294">
        <v>5.6947999999999999</v>
      </c>
      <c r="C294">
        <v>5.95</v>
      </c>
      <c r="D294">
        <v>5.3617999999999997</v>
      </c>
      <c r="E294">
        <v>5.7526000000000002</v>
      </c>
      <c r="F294">
        <v>2034552.79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0.32879972798367951</v>
      </c>
      <c r="Q294">
        <f t="shared" si="965"/>
        <v>668960.40392043628</v>
      </c>
      <c r="R294">
        <f t="shared" si="966"/>
        <v>25441964.855570883</v>
      </c>
      <c r="S294">
        <f t="shared" si="967"/>
        <v>254.41964855570882</v>
      </c>
      <c r="T294">
        <f t="shared" si="968"/>
        <v>0.25441964855570881</v>
      </c>
    </row>
    <row r="295" spans="1:20" x14ac:dyDescent="0.25">
      <c r="A295" s="5">
        <v>44298</v>
      </c>
      <c r="B295">
        <v>5.8234000000000004</v>
      </c>
      <c r="C295">
        <v>6.1993</v>
      </c>
      <c r="D295">
        <v>5.5603999999999996</v>
      </c>
      <c r="E295">
        <v>5.7195</v>
      </c>
      <c r="F295">
        <v>2598533.81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-0.50195648771325607</v>
      </c>
      <c r="Q295">
        <f t="shared" si="965"/>
        <v>-1304350.9044717455</v>
      </c>
      <c r="R295">
        <f t="shared" si="966"/>
        <v>24773004.451650448</v>
      </c>
      <c r="S295">
        <f t="shared" si="967"/>
        <v>247.73004451650448</v>
      </c>
      <c r="T295">
        <f t="shared" si="968"/>
        <v>0.24773004451650449</v>
      </c>
    </row>
    <row r="296" spans="1:20" x14ac:dyDescent="0.25">
      <c r="A296" s="5">
        <v>44297</v>
      </c>
      <c r="B296">
        <v>6.0617999999999999</v>
      </c>
      <c r="C296">
        <v>6.1524000000000001</v>
      </c>
      <c r="D296">
        <v>5.8000999999999996</v>
      </c>
      <c r="E296">
        <v>5.8346999999999998</v>
      </c>
      <c r="F296">
        <v>1108481.73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-0.80357649730343383</v>
      </c>
      <c r="Q296">
        <f t="shared" si="965"/>
        <v>-890749.86591825064</v>
      </c>
      <c r="R296">
        <f t="shared" si="966"/>
        <v>26077355.356122192</v>
      </c>
      <c r="S296">
        <f t="shared" si="967"/>
        <v>260.77355356122195</v>
      </c>
      <c r="T296">
        <f t="shared" si="968"/>
        <v>0.26077355356122195</v>
      </c>
    </row>
    <row r="297" spans="1:20" x14ac:dyDescent="0.25">
      <c r="A297" s="5">
        <v>44296</v>
      </c>
      <c r="B297">
        <v>6.1840000000000002</v>
      </c>
      <c r="C297">
        <v>6.2815000000000003</v>
      </c>
      <c r="D297">
        <v>5.8533999999999997</v>
      </c>
      <c r="E297">
        <v>6.0621</v>
      </c>
      <c r="F297">
        <v>1853489.12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-2.4994160242933699E-2</v>
      </c>
      <c r="Q297">
        <f t="shared" si="965"/>
        <v>-46326.40407381417</v>
      </c>
      <c r="R297">
        <f t="shared" si="966"/>
        <v>26968105.222040441</v>
      </c>
      <c r="S297">
        <f t="shared" si="967"/>
        <v>269.68105222040441</v>
      </c>
      <c r="T297">
        <f t="shared" si="968"/>
        <v>0.26968105222040439</v>
      </c>
    </row>
    <row r="298" spans="1:20" x14ac:dyDescent="0.25">
      <c r="A298" s="5">
        <v>44295</v>
      </c>
      <c r="B298">
        <v>5.9141000000000004</v>
      </c>
      <c r="C298">
        <v>6.44</v>
      </c>
      <c r="D298">
        <v>5.7521000000000004</v>
      </c>
      <c r="E298">
        <v>6.1840000000000002</v>
      </c>
      <c r="F298">
        <v>2099203.65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0.2557057711876719</v>
      </c>
      <c r="Q298">
        <f t="shared" si="965"/>
        <v>536778.48820322566</v>
      </c>
      <c r="R298">
        <f t="shared" si="966"/>
        <v>27014431.626114257</v>
      </c>
      <c r="S298">
        <f t="shared" si="967"/>
        <v>270.14431626114259</v>
      </c>
      <c r="T298">
        <f t="shared" si="968"/>
        <v>0.2701443162611426</v>
      </c>
    </row>
    <row r="299" spans="1:20" x14ac:dyDescent="0.25">
      <c r="A299" s="5">
        <v>44294</v>
      </c>
      <c r="B299">
        <v>5.2735000000000003</v>
      </c>
      <c r="C299">
        <v>6.1478000000000002</v>
      </c>
      <c r="D299">
        <v>5.2</v>
      </c>
      <c r="E299">
        <v>5.9119999999999999</v>
      </c>
      <c r="F299">
        <v>2030875.98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0.50242667229373239</v>
      </c>
      <c r="Q299">
        <f t="shared" si="965"/>
        <v>1020366.2604726726</v>
      </c>
      <c r="R299">
        <f t="shared" si="966"/>
        <v>26477653.137911033</v>
      </c>
      <c r="S299">
        <f t="shared" si="967"/>
        <v>264.77653137911034</v>
      </c>
      <c r="T299">
        <f t="shared" si="968"/>
        <v>0.26477653137911034</v>
      </c>
    </row>
    <row r="300" spans="1:20" x14ac:dyDescent="0.25">
      <c r="A300" s="5">
        <v>44293</v>
      </c>
      <c r="B300">
        <v>5.7554999999999996</v>
      </c>
      <c r="C300">
        <v>6.2430000000000003</v>
      </c>
      <c r="D300">
        <v>5.12</v>
      </c>
      <c r="E300">
        <v>5.2519</v>
      </c>
      <c r="F300">
        <v>2240757.92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-0.76509349955476424</v>
      </c>
      <c r="Q300">
        <f t="shared" si="965"/>
        <v>-1714389.3186678544</v>
      </c>
      <c r="R300">
        <f t="shared" si="966"/>
        <v>25457286.877438359</v>
      </c>
      <c r="S300">
        <f t="shared" si="967"/>
        <v>254.57286877438358</v>
      </c>
      <c r="T300">
        <f t="shared" si="968"/>
        <v>0.25457286877438356</v>
      </c>
    </row>
    <row r="301" spans="1:20" x14ac:dyDescent="0.25">
      <c r="A301" s="5">
        <v>44292</v>
      </c>
      <c r="B301">
        <v>5.7009999999999996</v>
      </c>
      <c r="C301">
        <v>5.9326999999999996</v>
      </c>
      <c r="D301">
        <v>5.4</v>
      </c>
      <c r="E301">
        <v>5.7554999999999996</v>
      </c>
      <c r="F301">
        <v>1795764.08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0.33470996808710246</v>
      </c>
      <c r="Q301">
        <f t="shared" si="965"/>
        <v>601060.13790876488</v>
      </c>
      <c r="R301">
        <f t="shared" si="966"/>
        <v>27171676.196106214</v>
      </c>
      <c r="S301">
        <f t="shared" si="967"/>
        <v>271.71676196106216</v>
      </c>
      <c r="T301">
        <f t="shared" si="968"/>
        <v>0.27171676196106215</v>
      </c>
    </row>
    <row r="302" spans="1:20" x14ac:dyDescent="0.25">
      <c r="A302" s="5">
        <v>44291</v>
      </c>
      <c r="B302">
        <v>5.3589000000000002</v>
      </c>
      <c r="C302">
        <v>5.8803000000000001</v>
      </c>
      <c r="D302">
        <v>5.1532999999999998</v>
      </c>
      <c r="E302">
        <v>5.7009999999999996</v>
      </c>
      <c r="F302">
        <v>2214337.5499999998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0.50674002751031533</v>
      </c>
      <c r="Q302">
        <f t="shared" si="965"/>
        <v>1122093.471004124</v>
      </c>
      <c r="R302">
        <f t="shared" si="966"/>
        <v>26570616.05819745</v>
      </c>
      <c r="S302">
        <f t="shared" si="967"/>
        <v>265.70616058197447</v>
      </c>
      <c r="T302">
        <f t="shared" si="968"/>
        <v>0.26570616058197449</v>
      </c>
    </row>
    <row r="303" spans="1:20" x14ac:dyDescent="0.25">
      <c r="A303" s="5">
        <v>44290</v>
      </c>
      <c r="B303">
        <v>5.0023</v>
      </c>
      <c r="C303">
        <v>5.4</v>
      </c>
      <c r="D303">
        <v>4.9130000000000003</v>
      </c>
      <c r="E303">
        <v>5.3598999999999997</v>
      </c>
      <c r="F303">
        <v>1377149.13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0.83531827515400126</v>
      </c>
      <c r="Q303">
        <f t="shared" si="965"/>
        <v>1150357.8359014334</v>
      </c>
      <c r="R303">
        <f t="shared" si="966"/>
        <v>25448522.587193325</v>
      </c>
      <c r="S303">
        <f t="shared" si="967"/>
        <v>254.48522587193324</v>
      </c>
      <c r="T303">
        <f t="shared" si="968"/>
        <v>0.25448522587193323</v>
      </c>
    </row>
    <row r="304" spans="1:20" x14ac:dyDescent="0.25">
      <c r="A304" s="5">
        <v>44289</v>
      </c>
      <c r="B304">
        <v>5.1036999999999999</v>
      </c>
      <c r="C304">
        <v>5.83</v>
      </c>
      <c r="D304">
        <v>4.9901999999999997</v>
      </c>
      <c r="E304">
        <v>5.0021000000000004</v>
      </c>
      <c r="F304">
        <v>3381155.66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-0.97165991902833848</v>
      </c>
      <c r="Q304">
        <f t="shared" si="965"/>
        <v>-3285333.4348178087</v>
      </c>
      <c r="R304">
        <f t="shared" si="966"/>
        <v>24298164.751291893</v>
      </c>
      <c r="S304">
        <f t="shared" si="967"/>
        <v>242.98164751291893</v>
      </c>
      <c r="T304">
        <f t="shared" si="968"/>
        <v>0.24298164751291892</v>
      </c>
    </row>
    <row r="305" spans="1:20" x14ac:dyDescent="0.25">
      <c r="A305" s="5">
        <v>44288</v>
      </c>
      <c r="B305">
        <v>5.1029</v>
      </c>
      <c r="C305">
        <v>5.29</v>
      </c>
      <c r="D305">
        <v>4.9882</v>
      </c>
      <c r="E305">
        <v>5.0914000000000001</v>
      </c>
      <c r="F305">
        <v>1807031.31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-0.31610337972166896</v>
      </c>
      <c r="Q305">
        <f t="shared" si="965"/>
        <v>-571208.7043538749</v>
      </c>
      <c r="R305">
        <f t="shared" si="966"/>
        <v>27583498.186109703</v>
      </c>
      <c r="S305">
        <f t="shared" si="967"/>
        <v>275.83498186109705</v>
      </c>
      <c r="T305">
        <f t="shared" si="968"/>
        <v>0.27583498186109706</v>
      </c>
    </row>
    <row r="306" spans="1:20" x14ac:dyDescent="0.25">
      <c r="A306" s="5">
        <v>44287</v>
      </c>
      <c r="B306">
        <v>5.2298999999999998</v>
      </c>
      <c r="C306">
        <v>5.3</v>
      </c>
      <c r="D306">
        <v>4.95</v>
      </c>
      <c r="E306">
        <v>5.1032000000000002</v>
      </c>
      <c r="F306">
        <v>1613865.5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-0.12457142857142767</v>
      </c>
      <c r="Q306">
        <f t="shared" si="965"/>
        <v>-201041.53085714139</v>
      </c>
      <c r="R306">
        <f t="shared" si="966"/>
        <v>28154706.890463579</v>
      </c>
      <c r="S306">
        <f t="shared" si="967"/>
        <v>281.54706890463581</v>
      </c>
      <c r="T306">
        <f t="shared" si="968"/>
        <v>0.28154706890463582</v>
      </c>
    </row>
    <row r="307" spans="1:20" x14ac:dyDescent="0.25">
      <c r="A307" s="5">
        <v>44286</v>
      </c>
      <c r="B307">
        <v>4.8489000000000004</v>
      </c>
      <c r="C307">
        <v>5.6246999999999998</v>
      </c>
      <c r="D307">
        <v>4.6119000000000003</v>
      </c>
      <c r="E307">
        <v>5.2164999999999999</v>
      </c>
      <c r="F307">
        <v>5098837.21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0.19391785150078969</v>
      </c>
      <c r="Q307">
        <f t="shared" si="965"/>
        <v>988755.55691548076</v>
      </c>
      <c r="R307">
        <f t="shared" si="966"/>
        <v>28355748.421320722</v>
      </c>
      <c r="S307">
        <f t="shared" si="967"/>
        <v>283.5574842132072</v>
      </c>
      <c r="T307">
        <f t="shared" si="968"/>
        <v>0.2835574842132072</v>
      </c>
    </row>
    <row r="308" spans="1:20" x14ac:dyDescent="0.25">
      <c r="A308" s="5">
        <v>44285</v>
      </c>
      <c r="B308">
        <v>4.7824999999999998</v>
      </c>
      <c r="C308">
        <v>4.99</v>
      </c>
      <c r="D308">
        <v>4.7161999999999997</v>
      </c>
      <c r="E308">
        <v>4.8494999999999999</v>
      </c>
      <c r="F308">
        <v>1232129.6200000001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-2.6296566837107679E-2</v>
      </c>
      <c r="Q308">
        <f t="shared" si="965"/>
        <v>-32400.778904310089</v>
      </c>
      <c r="R308">
        <f t="shared" si="966"/>
        <v>27366992.864405241</v>
      </c>
      <c r="S308">
        <f t="shared" si="967"/>
        <v>273.66992864405239</v>
      </c>
      <c r="T308">
        <f t="shared" si="968"/>
        <v>0.27366992864405237</v>
      </c>
    </row>
    <row r="309" spans="1:20" x14ac:dyDescent="0.25">
      <c r="A309" s="5">
        <v>44284</v>
      </c>
      <c r="B309">
        <v>4.5373999999999999</v>
      </c>
      <c r="C309">
        <v>4.95</v>
      </c>
      <c r="D309">
        <v>4.4478</v>
      </c>
      <c r="E309">
        <v>4.7807000000000004</v>
      </c>
      <c r="F309">
        <v>1354324.89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0.32576662684189678</v>
      </c>
      <c r="Q309">
        <f t="shared" si="965"/>
        <v>441193.85106332286</v>
      </c>
      <c r="R309">
        <f t="shared" si="966"/>
        <v>27399393.643309552</v>
      </c>
      <c r="S309">
        <f t="shared" si="967"/>
        <v>273.99393643309554</v>
      </c>
      <c r="T309">
        <f t="shared" si="968"/>
        <v>0.27399393643309555</v>
      </c>
    </row>
    <row r="310" spans="1:20" x14ac:dyDescent="0.25">
      <c r="A310" s="5">
        <v>44283</v>
      </c>
      <c r="B310">
        <v>4.4527000000000001</v>
      </c>
      <c r="C310">
        <v>4.74</v>
      </c>
      <c r="D310">
        <v>4.3327999999999998</v>
      </c>
      <c r="E310">
        <v>4.5225999999999997</v>
      </c>
      <c r="F310">
        <v>1165802.8999999999</v>
      </c>
      <c r="G310">
        <v>0</v>
      </c>
      <c r="L310" t="s">
        <v>8</v>
      </c>
      <c r="M310" t="s">
        <v>7</v>
      </c>
      <c r="N310" t="s">
        <v>7</v>
      </c>
      <c r="P310">
        <f t="shared" si="964"/>
        <v>-6.777996070727034E-2</v>
      </c>
      <c r="Q310">
        <f t="shared" si="965"/>
        <v>-79018.074754421803</v>
      </c>
      <c r="R310">
        <f t="shared" si="966"/>
        <v>26958199.79224623</v>
      </c>
      <c r="S310">
        <f t="shared" si="967"/>
        <v>269.58199792246228</v>
      </c>
      <c r="T310">
        <f t="shared" si="968"/>
        <v>0.26958199792246229</v>
      </c>
    </row>
    <row r="311" spans="1:20" x14ac:dyDescent="0.25">
      <c r="A311" s="5">
        <v>44282</v>
      </c>
      <c r="B311">
        <v>4.4579000000000004</v>
      </c>
      <c r="C311">
        <v>4.54</v>
      </c>
      <c r="D311">
        <v>4.3913000000000002</v>
      </c>
      <c r="E311">
        <v>4.4579000000000004</v>
      </c>
      <c r="F311">
        <v>1020201.09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-0.10423671822460942</v>
      </c>
      <c r="Q311">
        <f t="shared" si="965"/>
        <v>-106342.41355076939</v>
      </c>
      <c r="R311">
        <f t="shared" si="966"/>
        <v>27037217.867000651</v>
      </c>
      <c r="S311">
        <f t="shared" si="967"/>
        <v>270.37217867000652</v>
      </c>
      <c r="T311">
        <f t="shared" si="968"/>
        <v>0.27037217867000651</v>
      </c>
    </row>
    <row r="312" spans="1:20" x14ac:dyDescent="0.25">
      <c r="A312" s="5">
        <v>44281</v>
      </c>
      <c r="B312">
        <v>4.1390000000000002</v>
      </c>
      <c r="C312">
        <v>4.5476999999999999</v>
      </c>
      <c r="D312">
        <v>4.1379000000000001</v>
      </c>
      <c r="E312">
        <v>4.4501999999999997</v>
      </c>
      <c r="F312">
        <v>1025693.67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0.52415812591507949</v>
      </c>
      <c r="Q312">
        <f t="shared" si="965"/>
        <v>537625.67183015996</v>
      </c>
      <c r="R312">
        <f t="shared" si="966"/>
        <v>27143560.280551419</v>
      </c>
      <c r="S312">
        <f t="shared" si="967"/>
        <v>271.43560280551418</v>
      </c>
      <c r="T312">
        <f t="shared" si="968"/>
        <v>0.27143560280551415</v>
      </c>
    </row>
    <row r="313" spans="1:20" x14ac:dyDescent="0.25">
      <c r="A313" s="5">
        <v>44280</v>
      </c>
      <c r="B313">
        <v>4.5180999999999996</v>
      </c>
      <c r="C313">
        <v>4.5568999999999997</v>
      </c>
      <c r="D313">
        <v>4.1005000000000003</v>
      </c>
      <c r="E313">
        <v>4.1405000000000003</v>
      </c>
      <c r="F313">
        <v>1471965.44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-0.82471516213847462</v>
      </c>
      <c r="Q313">
        <f t="shared" si="965"/>
        <v>-1213952.2165118312</v>
      </c>
      <c r="R313">
        <f t="shared" si="966"/>
        <v>26605934.60872126</v>
      </c>
      <c r="S313">
        <f t="shared" si="967"/>
        <v>266.05934608721259</v>
      </c>
      <c r="T313">
        <f t="shared" si="968"/>
        <v>0.2660593460872126</v>
      </c>
    </row>
    <row r="314" spans="1:20" x14ac:dyDescent="0.25">
      <c r="A314" s="5">
        <v>44279</v>
      </c>
      <c r="B314">
        <v>4.8414999999999999</v>
      </c>
      <c r="C314">
        <v>5.15</v>
      </c>
      <c r="D314">
        <v>4.4804000000000004</v>
      </c>
      <c r="E314">
        <v>4.5015999999999998</v>
      </c>
      <c r="F314">
        <v>1136854.1399999999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-0.9366786140979706</v>
      </c>
      <c r="Q314">
        <f t="shared" si="965"/>
        <v>-1064866.9602867402</v>
      </c>
      <c r="R314">
        <f t="shared" si="966"/>
        <v>27819886.825233091</v>
      </c>
      <c r="S314">
        <f t="shared" si="967"/>
        <v>278.1988682523309</v>
      </c>
      <c r="T314">
        <f t="shared" si="968"/>
        <v>0.27819886825233092</v>
      </c>
    </row>
    <row r="315" spans="1:20" x14ac:dyDescent="0.25">
      <c r="A315" s="5">
        <v>44278</v>
      </c>
      <c r="B315">
        <v>4.7615999999999996</v>
      </c>
      <c r="C315">
        <v>5.1798000000000002</v>
      </c>
      <c r="D315">
        <v>4.5999999999999996</v>
      </c>
      <c r="E315">
        <v>4.8536999999999999</v>
      </c>
      <c r="F315">
        <v>1312847.2</v>
      </c>
      <c r="G315">
        <v>0</v>
      </c>
      <c r="L315" t="s">
        <v>8</v>
      </c>
      <c r="M315" t="s">
        <v>7</v>
      </c>
      <c r="N315" t="s">
        <v>8</v>
      </c>
      <c r="P315">
        <f t="shared" si="964"/>
        <v>-0.12487064505001716</v>
      </c>
      <c r="Q315">
        <f t="shared" si="965"/>
        <v>-163936.07671610889</v>
      </c>
      <c r="R315">
        <f t="shared" si="966"/>
        <v>28884753.785519831</v>
      </c>
      <c r="S315">
        <f t="shared" si="967"/>
        <v>288.84753785519831</v>
      </c>
      <c r="T315">
        <f t="shared" si="968"/>
        <v>0.28884753785519829</v>
      </c>
    </row>
    <row r="316" spans="1:20" x14ac:dyDescent="0.25">
      <c r="A316" s="5">
        <v>44277</v>
      </c>
      <c r="B316">
        <v>5.0057</v>
      </c>
      <c r="C316">
        <v>5.2999000000000001</v>
      </c>
      <c r="D316">
        <v>4.6254</v>
      </c>
      <c r="E316">
        <v>4.7621000000000002</v>
      </c>
      <c r="F316">
        <v>1573773.59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-0.59466271312082952</v>
      </c>
      <c r="Q316">
        <f t="shared" si="965"/>
        <v>-935864.47286730807</v>
      </c>
      <c r="R316">
        <f t="shared" si="966"/>
        <v>29048689.862235941</v>
      </c>
      <c r="S316">
        <f t="shared" si="967"/>
        <v>290.48689862235943</v>
      </c>
      <c r="T316">
        <f t="shared" si="968"/>
        <v>0.29048689862235944</v>
      </c>
    </row>
    <row r="317" spans="1:20" x14ac:dyDescent="0.25">
      <c r="A317" s="5">
        <v>44276</v>
      </c>
      <c r="B317">
        <v>5.0567000000000002</v>
      </c>
      <c r="C317">
        <v>5.1375999999999999</v>
      </c>
      <c r="D317">
        <v>4.8611000000000004</v>
      </c>
      <c r="E317">
        <v>5.0057</v>
      </c>
      <c r="F317">
        <v>1041283.91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4.5931283905966486E-2</v>
      </c>
      <c r="Q317">
        <f t="shared" si="965"/>
        <v>47827.506896924853</v>
      </c>
      <c r="R317">
        <f t="shared" si="966"/>
        <v>29984554.335103247</v>
      </c>
      <c r="S317">
        <f t="shared" si="967"/>
        <v>299.84554335103246</v>
      </c>
      <c r="T317">
        <f t="shared" si="968"/>
        <v>0.29984554335103247</v>
      </c>
    </row>
    <row r="318" spans="1:20" x14ac:dyDescent="0.25">
      <c r="A318" s="5">
        <v>44275</v>
      </c>
      <c r="B318">
        <v>5.0984999999999996</v>
      </c>
      <c r="C318">
        <v>5.41</v>
      </c>
      <c r="D318">
        <v>5.0564</v>
      </c>
      <c r="E318">
        <v>5.0698999999999996</v>
      </c>
      <c r="F318">
        <v>936146.15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-0.92364253393665374</v>
      </c>
      <c r="Q318">
        <f t="shared" si="965"/>
        <v>-864664.40212104272</v>
      </c>
      <c r="R318">
        <f t="shared" si="966"/>
        <v>29936726.828206323</v>
      </c>
      <c r="S318">
        <f t="shared" si="967"/>
        <v>299.36726828206321</v>
      </c>
      <c r="T318">
        <f t="shared" si="968"/>
        <v>0.29936726828206323</v>
      </c>
    </row>
    <row r="319" spans="1:20" x14ac:dyDescent="0.25">
      <c r="A319" s="5">
        <v>44274</v>
      </c>
      <c r="B319">
        <v>5.0225999999999997</v>
      </c>
      <c r="C319">
        <v>5.2577999999999996</v>
      </c>
      <c r="D319">
        <v>4.9214000000000002</v>
      </c>
      <c r="E319">
        <v>5.0880000000000001</v>
      </c>
      <c r="F319">
        <v>651881.81000000006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-9.5124851367409443E-3</v>
      </c>
      <c r="Q319">
        <f t="shared" si="965"/>
        <v>-6201.0160285367847</v>
      </c>
      <c r="R319">
        <f t="shared" si="966"/>
        <v>30801391.230327364</v>
      </c>
      <c r="S319">
        <f t="shared" si="967"/>
        <v>308.01391230327363</v>
      </c>
      <c r="T319">
        <f t="shared" si="968"/>
        <v>0.30801391230327363</v>
      </c>
    </row>
    <row r="320" spans="1:20" x14ac:dyDescent="0.25">
      <c r="A320" s="5">
        <v>44273</v>
      </c>
      <c r="B320">
        <v>5.1966000000000001</v>
      </c>
      <c r="C320">
        <v>5.3</v>
      </c>
      <c r="D320">
        <v>4.9725000000000001</v>
      </c>
      <c r="E320">
        <v>5.0335999999999999</v>
      </c>
      <c r="F320">
        <v>958195.13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-0.626870229007635</v>
      </c>
      <c r="Q320">
        <f t="shared" si="965"/>
        <v>-600664.00057710055</v>
      </c>
      <c r="R320">
        <f t="shared" si="966"/>
        <v>30807592.246355902</v>
      </c>
      <c r="S320">
        <f t="shared" si="967"/>
        <v>308.07592246355904</v>
      </c>
      <c r="T320">
        <f t="shared" si="968"/>
        <v>0.30807592246355903</v>
      </c>
    </row>
    <row r="321" spans="1:20" x14ac:dyDescent="0.25">
      <c r="A321" s="5">
        <v>44272</v>
      </c>
      <c r="B321">
        <v>4.9768999999999997</v>
      </c>
      <c r="C321">
        <v>5.22</v>
      </c>
      <c r="D321">
        <v>4.8</v>
      </c>
      <c r="E321">
        <v>5.2072000000000003</v>
      </c>
      <c r="F321">
        <v>857476.31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0.93904761904762157</v>
      </c>
      <c r="Q321">
        <f t="shared" si="965"/>
        <v>805211.08729524026</v>
      </c>
      <c r="R321">
        <f t="shared" si="966"/>
        <v>31408256.246933002</v>
      </c>
      <c r="S321">
        <f t="shared" si="967"/>
        <v>314.08256246933001</v>
      </c>
      <c r="T321">
        <f t="shared" si="968"/>
        <v>0.31408256246933003</v>
      </c>
    </row>
    <row r="322" spans="1:20" x14ac:dyDescent="0.25">
      <c r="A322" s="5">
        <v>44271</v>
      </c>
      <c r="B322">
        <v>4.9394999999999998</v>
      </c>
      <c r="C322">
        <v>5.0660999999999996</v>
      </c>
      <c r="D322">
        <v>4.7</v>
      </c>
      <c r="E322">
        <v>4.9775</v>
      </c>
      <c r="F322">
        <v>841273.24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0.51597924064463419</v>
      </c>
      <c r="Q322">
        <f t="shared" si="965"/>
        <v>434079.5275498511</v>
      </c>
      <c r="R322">
        <f t="shared" si="966"/>
        <v>30603045.15963776</v>
      </c>
      <c r="S322">
        <f t="shared" si="967"/>
        <v>306.03045159637759</v>
      </c>
      <c r="T322">
        <f t="shared" si="968"/>
        <v>0.3060304515963776</v>
      </c>
    </row>
    <row r="323" spans="1:20" x14ac:dyDescent="0.25">
      <c r="A323" s="5">
        <v>44270</v>
      </c>
      <c r="B323">
        <v>5.0724999999999998</v>
      </c>
      <c r="C323">
        <v>5.2610000000000001</v>
      </c>
      <c r="D323">
        <v>4.6802999999999999</v>
      </c>
      <c r="E323">
        <v>4.9363000000000001</v>
      </c>
      <c r="F323">
        <v>1167799.3600000001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-0.11830549337007015</v>
      </c>
      <c r="Q323">
        <f t="shared" si="965"/>
        <v>-138157.07944205217</v>
      </c>
      <c r="R323">
        <f t="shared" si="966"/>
        <v>30168965.632087909</v>
      </c>
      <c r="S323">
        <f t="shared" si="967"/>
        <v>301.68965632087907</v>
      </c>
      <c r="T323">
        <f t="shared" si="968"/>
        <v>0.30168965632087907</v>
      </c>
    </row>
    <row r="324" spans="1:20" x14ac:dyDescent="0.25">
      <c r="A324" s="5">
        <v>44269</v>
      </c>
      <c r="B324">
        <v>5.3400999999999996</v>
      </c>
      <c r="C324">
        <v>5.4272999999999998</v>
      </c>
      <c r="D324">
        <v>4.9766000000000004</v>
      </c>
      <c r="E324">
        <v>5.0536000000000003</v>
      </c>
      <c r="F324">
        <v>841086.19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-0.65830929664965587</v>
      </c>
      <c r="Q324">
        <f t="shared" si="965"/>
        <v>-553694.85816063883</v>
      </c>
      <c r="R324">
        <f t="shared" si="966"/>
        <v>30307122.711529959</v>
      </c>
      <c r="S324">
        <f t="shared" si="967"/>
        <v>303.07122711529956</v>
      </c>
      <c r="T324">
        <f t="shared" si="968"/>
        <v>0.30307122711529955</v>
      </c>
    </row>
    <row r="325" spans="1:20" x14ac:dyDescent="0.25">
      <c r="A325" s="5">
        <v>44268</v>
      </c>
      <c r="B325">
        <v>5.0785999999999998</v>
      </c>
      <c r="C325">
        <v>5.4348000000000001</v>
      </c>
      <c r="D325">
        <v>4.9608999999999996</v>
      </c>
      <c r="E325">
        <v>5.3436000000000003</v>
      </c>
      <c r="F325">
        <v>821510.83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0.6151086727157643</v>
      </c>
      <c r="Q325">
        <f t="shared" si="965"/>
        <v>505318.43626292585</v>
      </c>
      <c r="R325">
        <f t="shared" si="966"/>
        <v>30860817.569690596</v>
      </c>
      <c r="S325">
        <f t="shared" si="967"/>
        <v>308.60817569690596</v>
      </c>
      <c r="T325">
        <f t="shared" si="968"/>
        <v>0.30860817569690596</v>
      </c>
    </row>
    <row r="326" spans="1:20" x14ac:dyDescent="0.25">
      <c r="A326" s="5">
        <v>44267</v>
      </c>
      <c r="B326">
        <v>5.4999000000000002</v>
      </c>
      <c r="C326">
        <v>5.5237999999999996</v>
      </c>
      <c r="D326">
        <v>4.8</v>
      </c>
      <c r="E326">
        <v>5.0785</v>
      </c>
      <c r="F326">
        <v>1860274.32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-0.23045040066316586</v>
      </c>
      <c r="Q326">
        <f t="shared" ref="Q326:Q389" si="970">F326*P326</f>
        <v>-428700.96238739841</v>
      </c>
      <c r="R326">
        <f t="shared" ref="R326:R389" si="971">R327+Q326</f>
        <v>30355499.133427672</v>
      </c>
      <c r="S326">
        <f t="shared" ref="S326:S389" si="972">R326/100000</f>
        <v>303.55499133427674</v>
      </c>
      <c r="T326">
        <f t="shared" ref="T326:T389" si="973">S326/1000</f>
        <v>0.30355499133427671</v>
      </c>
    </row>
    <row r="327" spans="1:20" x14ac:dyDescent="0.25">
      <c r="A327" s="5">
        <v>44266</v>
      </c>
      <c r="B327">
        <v>5.6513999999999998</v>
      </c>
      <c r="C327">
        <v>5.7252999999999998</v>
      </c>
      <c r="D327">
        <v>5.2446000000000002</v>
      </c>
      <c r="E327">
        <v>5.5</v>
      </c>
      <c r="F327">
        <v>1606532.89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6.2617016850426532E-2</v>
      </c>
      <c r="Q327">
        <f t="shared" si="970"/>
        <v>100596.29704389443</v>
      </c>
      <c r="R327">
        <f t="shared" si="971"/>
        <v>30784200.09581507</v>
      </c>
      <c r="S327">
        <f t="shared" si="972"/>
        <v>307.84200095815072</v>
      </c>
      <c r="T327">
        <f t="shared" si="973"/>
        <v>0.30784200095815073</v>
      </c>
    </row>
    <row r="328" spans="1:20" x14ac:dyDescent="0.25">
      <c r="A328" s="5">
        <v>44265</v>
      </c>
      <c r="B328">
        <v>5.9099000000000004</v>
      </c>
      <c r="C328">
        <v>5.9828999999999999</v>
      </c>
      <c r="D328">
        <v>5.5002000000000004</v>
      </c>
      <c r="E328">
        <v>5.6429999999999998</v>
      </c>
      <c r="F328">
        <v>1106459.8700000001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-0.40832815413300383</v>
      </c>
      <c r="Q328">
        <f t="shared" si="970"/>
        <v>-451798.7163393434</v>
      </c>
      <c r="R328">
        <f t="shared" si="971"/>
        <v>30683603.798771176</v>
      </c>
      <c r="S328">
        <f t="shared" si="972"/>
        <v>306.83603798771179</v>
      </c>
      <c r="T328">
        <f t="shared" si="973"/>
        <v>0.30683603798771181</v>
      </c>
    </row>
    <row r="329" spans="1:20" x14ac:dyDescent="0.25">
      <c r="A329" s="5">
        <v>44264</v>
      </c>
      <c r="B329">
        <v>5.7431000000000001</v>
      </c>
      <c r="C329">
        <v>6.2798999999999996</v>
      </c>
      <c r="D329">
        <v>5.6001000000000003</v>
      </c>
      <c r="E329">
        <v>5.9099000000000004</v>
      </c>
      <c r="F329">
        <v>2658016.25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-8.8555457487495159E-2</v>
      </c>
      <c r="Q329">
        <f t="shared" si="970"/>
        <v>-235381.84502794631</v>
      </c>
      <c r="R329">
        <f t="shared" si="971"/>
        <v>31135402.515110519</v>
      </c>
      <c r="S329">
        <f t="shared" si="972"/>
        <v>311.35402515110519</v>
      </c>
      <c r="T329">
        <f t="shared" si="973"/>
        <v>0.31135402515110522</v>
      </c>
    </row>
    <row r="330" spans="1:20" x14ac:dyDescent="0.25">
      <c r="A330" s="5">
        <v>44263</v>
      </c>
      <c r="B330">
        <v>5.1905000000000001</v>
      </c>
      <c r="C330">
        <v>5.8</v>
      </c>
      <c r="D330">
        <v>5</v>
      </c>
      <c r="E330">
        <v>5.7500999999999998</v>
      </c>
      <c r="F330">
        <v>1768571.38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0.87524999999999986</v>
      </c>
      <c r="Q330">
        <f t="shared" si="970"/>
        <v>1547942.1003449997</v>
      </c>
      <c r="R330">
        <f t="shared" si="971"/>
        <v>31370784.360138465</v>
      </c>
      <c r="S330">
        <f t="shared" si="972"/>
        <v>313.70784360138464</v>
      </c>
      <c r="T330">
        <f t="shared" si="973"/>
        <v>0.31370784360138465</v>
      </c>
    </row>
    <row r="331" spans="1:20" x14ac:dyDescent="0.25">
      <c r="A331" s="5">
        <v>44262</v>
      </c>
      <c r="B331">
        <v>5.1162000000000001</v>
      </c>
      <c r="C331">
        <v>5.3143000000000002</v>
      </c>
      <c r="D331">
        <v>5.09</v>
      </c>
      <c r="E331">
        <v>5.18</v>
      </c>
      <c r="F331">
        <v>729224.47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-0.19750334373607042</v>
      </c>
      <c r="Q331">
        <f t="shared" si="970"/>
        <v>-144024.27115916376</v>
      </c>
      <c r="R331">
        <f t="shared" si="971"/>
        <v>29822842.259793464</v>
      </c>
      <c r="S331">
        <f t="shared" si="972"/>
        <v>298.22842259793464</v>
      </c>
      <c r="T331">
        <f t="shared" si="973"/>
        <v>0.29822842259793464</v>
      </c>
    </row>
    <row r="332" spans="1:20" x14ac:dyDescent="0.25">
      <c r="A332" s="5">
        <v>44261</v>
      </c>
      <c r="B332">
        <v>5.1489000000000003</v>
      </c>
      <c r="C332">
        <v>5.24</v>
      </c>
      <c r="D332">
        <v>5</v>
      </c>
      <c r="E332">
        <v>5.1159999999999997</v>
      </c>
      <c r="F332">
        <v>555925.47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-3.3333333333337031E-2</v>
      </c>
      <c r="Q332">
        <f t="shared" si="970"/>
        <v>-18530.849000002054</v>
      </c>
      <c r="R332">
        <f t="shared" si="971"/>
        <v>29966866.530952629</v>
      </c>
      <c r="S332">
        <f t="shared" si="972"/>
        <v>299.66866530952626</v>
      </c>
      <c r="T332">
        <f t="shared" si="973"/>
        <v>0.29966866530952624</v>
      </c>
    </row>
    <row r="333" spans="1:20" x14ac:dyDescent="0.25">
      <c r="A333" s="5">
        <v>44260</v>
      </c>
      <c r="B333">
        <v>5.1181000000000001</v>
      </c>
      <c r="C333">
        <v>5.3998999999999997</v>
      </c>
      <c r="D333">
        <v>4.7896999999999998</v>
      </c>
      <c r="E333">
        <v>5.1501999999999999</v>
      </c>
      <c r="F333">
        <v>1091918.07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0.1815798098983944</v>
      </c>
      <c r="Q333">
        <f t="shared" si="970"/>
        <v>198270.27557522172</v>
      </c>
      <c r="R333">
        <f t="shared" si="971"/>
        <v>29985397.379952632</v>
      </c>
      <c r="S333">
        <f t="shared" si="972"/>
        <v>299.85397379952633</v>
      </c>
      <c r="T333">
        <f t="shared" si="973"/>
        <v>0.29985397379952633</v>
      </c>
    </row>
    <row r="334" spans="1:20" x14ac:dyDescent="0.25">
      <c r="A334" s="5">
        <v>44259</v>
      </c>
      <c r="B334">
        <v>5.4035000000000002</v>
      </c>
      <c r="C334">
        <v>5.6877000000000004</v>
      </c>
      <c r="D334">
        <v>4.8738999999999999</v>
      </c>
      <c r="E334">
        <v>5.1283000000000003</v>
      </c>
      <c r="F334">
        <v>1431749.54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-0.37478495944949558</v>
      </c>
      <c r="Q334">
        <f t="shared" si="970"/>
        <v>-536598.19329073397</v>
      </c>
      <c r="R334">
        <f t="shared" si="971"/>
        <v>29787127.104377411</v>
      </c>
      <c r="S334">
        <f t="shared" si="972"/>
        <v>297.87127104377413</v>
      </c>
      <c r="T334">
        <f t="shared" si="973"/>
        <v>0.29787127104377414</v>
      </c>
    </row>
    <row r="335" spans="1:20" x14ac:dyDescent="0.25">
      <c r="A335" s="5">
        <v>44258</v>
      </c>
      <c r="B335">
        <v>5.0933000000000002</v>
      </c>
      <c r="C335">
        <v>5.7351999999999999</v>
      </c>
      <c r="D335">
        <v>5</v>
      </c>
      <c r="E335">
        <v>5.4039000000000001</v>
      </c>
      <c r="F335">
        <v>1175220.9099999999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9.8748639825898335E-2</v>
      </c>
      <c r="Q335">
        <f t="shared" si="970"/>
        <v>116051.46635745447</v>
      </c>
      <c r="R335">
        <f t="shared" si="971"/>
        <v>30323725.297668144</v>
      </c>
      <c r="S335">
        <f t="shared" si="972"/>
        <v>303.23725297668142</v>
      </c>
      <c r="T335">
        <f t="shared" si="973"/>
        <v>0.30323725297668142</v>
      </c>
    </row>
    <row r="336" spans="1:20" x14ac:dyDescent="0.25">
      <c r="A336" s="5">
        <v>44257</v>
      </c>
      <c r="B336">
        <v>5.3240999999999996</v>
      </c>
      <c r="C336">
        <v>5.3769999999999998</v>
      </c>
      <c r="D336">
        <v>4.9272</v>
      </c>
      <c r="E336">
        <v>5.0781999999999998</v>
      </c>
      <c r="F336">
        <v>913708.74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-0.32859048465984936</v>
      </c>
      <c r="Q336">
        <f t="shared" si="970"/>
        <v>-300235.99771454028</v>
      </c>
      <c r="R336">
        <f t="shared" si="971"/>
        <v>30207673.831310689</v>
      </c>
      <c r="S336">
        <f t="shared" si="972"/>
        <v>302.07673831310689</v>
      </c>
      <c r="T336">
        <f t="shared" si="973"/>
        <v>0.30207673831310689</v>
      </c>
    </row>
    <row r="337" spans="1:20" x14ac:dyDescent="0.25">
      <c r="A337" s="5">
        <v>44256</v>
      </c>
      <c r="B337">
        <v>4.9497999999999998</v>
      </c>
      <c r="C337">
        <v>5.3894000000000002</v>
      </c>
      <c r="D337">
        <v>4.9497999999999998</v>
      </c>
      <c r="E337">
        <v>5.3160999999999996</v>
      </c>
      <c r="F337">
        <v>1140095.92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0.66651501364876931</v>
      </c>
      <c r="Q337">
        <f t="shared" si="970"/>
        <v>759891.04767970613</v>
      </c>
      <c r="R337">
        <f t="shared" si="971"/>
        <v>30507909.829025231</v>
      </c>
      <c r="S337">
        <f t="shared" si="972"/>
        <v>305.07909829025232</v>
      </c>
      <c r="T337">
        <f t="shared" si="973"/>
        <v>0.30507909829025232</v>
      </c>
    </row>
    <row r="338" spans="1:20" x14ac:dyDescent="0.25">
      <c r="A338" s="5">
        <v>44255</v>
      </c>
      <c r="B338">
        <v>5.1509999999999998</v>
      </c>
      <c r="C338">
        <v>5.1999000000000004</v>
      </c>
      <c r="D338">
        <v>4.6500000000000004</v>
      </c>
      <c r="E338">
        <v>4.9497999999999998</v>
      </c>
      <c r="F338">
        <v>1373076.69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9.0380069103471072E-2</v>
      </c>
      <c r="Q338">
        <f t="shared" si="970"/>
        <v>124098.76612656533</v>
      </c>
      <c r="R338">
        <f t="shared" si="971"/>
        <v>29748018.781345524</v>
      </c>
      <c r="S338">
        <f t="shared" si="972"/>
        <v>297.48018781345525</v>
      </c>
      <c r="T338">
        <f t="shared" si="973"/>
        <v>0.29748018781345525</v>
      </c>
    </row>
    <row r="339" spans="1:20" x14ac:dyDescent="0.25">
      <c r="A339" s="5">
        <v>44254</v>
      </c>
      <c r="B339">
        <v>5.1765999999999996</v>
      </c>
      <c r="C339">
        <v>5.4634999999999998</v>
      </c>
      <c r="D339">
        <v>4.9619</v>
      </c>
      <c r="E339">
        <v>5.1360000000000001</v>
      </c>
      <c r="F339">
        <v>1332950.51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-0.30582137161084449</v>
      </c>
      <c r="Q339">
        <f t="shared" si="970"/>
        <v>-407644.75325757469</v>
      </c>
      <c r="R339">
        <f t="shared" si="971"/>
        <v>29623920.015218958</v>
      </c>
      <c r="S339">
        <f t="shared" si="972"/>
        <v>296.2392001521896</v>
      </c>
      <c r="T339">
        <f t="shared" si="973"/>
        <v>0.29623920015218957</v>
      </c>
    </row>
    <row r="340" spans="1:20" x14ac:dyDescent="0.25">
      <c r="A340" s="5">
        <v>44253</v>
      </c>
      <c r="B340">
        <v>5.2077999999999998</v>
      </c>
      <c r="C340">
        <v>5.5</v>
      </c>
      <c r="D340">
        <v>4.7290000000000001</v>
      </c>
      <c r="E340">
        <v>5.1532</v>
      </c>
      <c r="F340">
        <v>2567863.0699999998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0.10038910505836565</v>
      </c>
      <c r="Q340">
        <f t="shared" si="970"/>
        <v>257785.47550972734</v>
      </c>
      <c r="R340">
        <f t="shared" si="971"/>
        <v>30031564.768476535</v>
      </c>
      <c r="S340">
        <f t="shared" si="972"/>
        <v>300.31564768476534</v>
      </c>
      <c r="T340">
        <f t="shared" si="973"/>
        <v>0.30031564768476532</v>
      </c>
    </row>
    <row r="341" spans="1:20" x14ac:dyDescent="0.25">
      <c r="A341" s="5">
        <v>44252</v>
      </c>
      <c r="B341">
        <v>5.8032000000000004</v>
      </c>
      <c r="C341">
        <v>6.1036999999999999</v>
      </c>
      <c r="D341">
        <v>5.0819999999999999</v>
      </c>
      <c r="E341">
        <v>5.2083000000000004</v>
      </c>
      <c r="F341">
        <v>2219451.56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-0.75276499951061859</v>
      </c>
      <c r="Q341">
        <f t="shared" si="970"/>
        <v>-1670725.4524772416</v>
      </c>
      <c r="R341">
        <f t="shared" si="971"/>
        <v>29773779.292966809</v>
      </c>
      <c r="S341">
        <f t="shared" si="972"/>
        <v>297.7377929296681</v>
      </c>
      <c r="T341">
        <f t="shared" si="973"/>
        <v>0.29773779292966812</v>
      </c>
    </row>
    <row r="342" spans="1:20" x14ac:dyDescent="0.25">
      <c r="A342" s="5">
        <v>44251</v>
      </c>
      <c r="B342">
        <v>5.1679000000000004</v>
      </c>
      <c r="C342">
        <v>6.1849999999999996</v>
      </c>
      <c r="D342">
        <v>4.87</v>
      </c>
      <c r="E342">
        <v>5.7842000000000002</v>
      </c>
      <c r="F342">
        <v>2503086.52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0.39041825095057103</v>
      </c>
      <c r="Q342">
        <f t="shared" si="970"/>
        <v>977250.66111635149</v>
      </c>
      <c r="R342">
        <f t="shared" si="971"/>
        <v>31444504.745444052</v>
      </c>
      <c r="S342">
        <f t="shared" si="972"/>
        <v>314.4450474544405</v>
      </c>
      <c r="T342">
        <f t="shared" si="973"/>
        <v>0.31444504745444052</v>
      </c>
    </row>
    <row r="343" spans="1:20" x14ac:dyDescent="0.25">
      <c r="A343" s="5">
        <v>44250</v>
      </c>
      <c r="B343">
        <v>6.3577000000000004</v>
      </c>
      <c r="C343">
        <v>6.3998999999999997</v>
      </c>
      <c r="D343">
        <v>4.2</v>
      </c>
      <c r="E343">
        <v>5.1679000000000004</v>
      </c>
      <c r="F343">
        <v>5098194.71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-0.12005091140506349</v>
      </c>
      <c r="Q343">
        <f t="shared" si="970"/>
        <v>-612042.92145597341</v>
      </c>
      <c r="R343">
        <f t="shared" si="971"/>
        <v>30467254.084327701</v>
      </c>
      <c r="S343">
        <f t="shared" si="972"/>
        <v>304.67254084327703</v>
      </c>
      <c r="T343">
        <f t="shared" si="973"/>
        <v>0.30467254084327705</v>
      </c>
    </row>
    <row r="344" spans="1:20" x14ac:dyDescent="0.25">
      <c r="A344" s="5">
        <v>44249</v>
      </c>
      <c r="B344">
        <v>6.8297999999999996</v>
      </c>
      <c r="C344">
        <v>6.83</v>
      </c>
      <c r="D344">
        <v>5.0199999999999996</v>
      </c>
      <c r="E344">
        <v>6.3581000000000003</v>
      </c>
      <c r="F344">
        <v>3732427.38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0.47856353591160261</v>
      </c>
      <c r="Q344">
        <f t="shared" si="970"/>
        <v>1786203.6445060787</v>
      </c>
      <c r="R344">
        <f t="shared" si="971"/>
        <v>31079297.005783673</v>
      </c>
      <c r="S344">
        <f t="shared" si="972"/>
        <v>310.79297005783673</v>
      </c>
      <c r="T344">
        <f t="shared" si="973"/>
        <v>0.31079297005783674</v>
      </c>
    </row>
    <row r="345" spans="1:20" x14ac:dyDescent="0.25">
      <c r="A345" s="5">
        <v>44248</v>
      </c>
      <c r="B345">
        <v>6.8684000000000003</v>
      </c>
      <c r="C345">
        <v>7.2</v>
      </c>
      <c r="D345">
        <v>6.6439000000000004</v>
      </c>
      <c r="E345">
        <v>6.83</v>
      </c>
      <c r="F345">
        <v>1306047.53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-0.33069591800036047</v>
      </c>
      <c r="Q345">
        <f t="shared" si="970"/>
        <v>-431904.58688545332</v>
      </c>
      <c r="R345">
        <f t="shared" si="971"/>
        <v>29293093.361277595</v>
      </c>
      <c r="S345">
        <f t="shared" si="972"/>
        <v>292.93093361277596</v>
      </c>
      <c r="T345">
        <f t="shared" si="973"/>
        <v>0.29293093361277595</v>
      </c>
    </row>
    <row r="346" spans="1:20" x14ac:dyDescent="0.25">
      <c r="A346" s="5">
        <v>44247</v>
      </c>
      <c r="B346">
        <v>7.2070999999999996</v>
      </c>
      <c r="C346">
        <v>7.5953999999999997</v>
      </c>
      <c r="D346">
        <v>6.6132</v>
      </c>
      <c r="E346">
        <v>6.8795000000000002</v>
      </c>
      <c r="F346">
        <v>1988986.76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-0.45774791284870642</v>
      </c>
      <c r="Q346">
        <f t="shared" si="970"/>
        <v>-910454.53807371098</v>
      </c>
      <c r="R346">
        <f t="shared" si="971"/>
        <v>29724997.948163047</v>
      </c>
      <c r="S346">
        <f t="shared" si="972"/>
        <v>297.24997948163048</v>
      </c>
      <c r="T346">
        <f t="shared" si="973"/>
        <v>0.29724997948163046</v>
      </c>
    </row>
    <row r="347" spans="1:20" x14ac:dyDescent="0.25">
      <c r="A347" s="5">
        <v>44246</v>
      </c>
      <c r="B347">
        <v>7.4683999999999999</v>
      </c>
      <c r="C347">
        <v>7.625</v>
      </c>
      <c r="D347">
        <v>6.7821999999999996</v>
      </c>
      <c r="E347">
        <v>7.2115</v>
      </c>
      <c r="F347">
        <v>2289905.1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1.874703369720037E-2</v>
      </c>
      <c r="Q347">
        <f t="shared" si="970"/>
        <v>42928.928073090981</v>
      </c>
      <c r="R347">
        <f t="shared" si="971"/>
        <v>30635452.486236759</v>
      </c>
      <c r="S347">
        <f t="shared" si="972"/>
        <v>306.35452486236761</v>
      </c>
      <c r="T347">
        <f t="shared" si="973"/>
        <v>0.30635452486236764</v>
      </c>
    </row>
    <row r="348" spans="1:20" x14ac:dyDescent="0.25">
      <c r="A348" s="5">
        <v>44245</v>
      </c>
      <c r="B348">
        <v>6.4157999999999999</v>
      </c>
      <c r="C348">
        <v>7.65</v>
      </c>
      <c r="D348">
        <v>6.4051999999999998</v>
      </c>
      <c r="E348">
        <v>7.47</v>
      </c>
      <c r="F348">
        <v>3505431.37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0.71079691516709431</v>
      </c>
      <c r="Q348">
        <f t="shared" si="970"/>
        <v>2491649.8041259614</v>
      </c>
      <c r="R348">
        <f t="shared" si="971"/>
        <v>30592523.558163669</v>
      </c>
      <c r="S348">
        <f t="shared" si="972"/>
        <v>305.92523558163668</v>
      </c>
      <c r="T348">
        <f t="shared" si="973"/>
        <v>0.3059252355816367</v>
      </c>
    </row>
    <row r="349" spans="1:20" x14ac:dyDescent="0.25">
      <c r="A349" s="5">
        <v>44244</v>
      </c>
      <c r="B349">
        <v>6.3830999999999998</v>
      </c>
      <c r="C349">
        <v>6.5898000000000003</v>
      </c>
      <c r="D349">
        <v>5.9600999999999997</v>
      </c>
      <c r="E349">
        <v>6.4016000000000002</v>
      </c>
      <c r="F349">
        <v>2183320.4700000002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0.40225504208353197</v>
      </c>
      <c r="Q349">
        <f t="shared" si="970"/>
        <v>878251.66754168691</v>
      </c>
      <c r="R349">
        <f t="shared" si="971"/>
        <v>28100873.754037708</v>
      </c>
      <c r="S349">
        <f t="shared" si="972"/>
        <v>281.00873754037707</v>
      </c>
      <c r="T349">
        <f t="shared" si="973"/>
        <v>0.28100873754037708</v>
      </c>
    </row>
    <row r="350" spans="1:20" x14ac:dyDescent="0.25">
      <c r="A350" s="5">
        <v>44243</v>
      </c>
      <c r="B350">
        <v>6.3769999999999998</v>
      </c>
      <c r="C350">
        <v>6.95</v>
      </c>
      <c r="D350">
        <v>6.1266999999999996</v>
      </c>
      <c r="E350">
        <v>6.3724999999999996</v>
      </c>
      <c r="F350">
        <v>2698258.73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-0.40289080529576132</v>
      </c>
      <c r="Q350">
        <f t="shared" si="970"/>
        <v>-1087103.6326260183</v>
      </c>
      <c r="R350">
        <f t="shared" si="971"/>
        <v>27222622.086496022</v>
      </c>
      <c r="S350">
        <f t="shared" si="972"/>
        <v>272.22622086496023</v>
      </c>
      <c r="T350">
        <f t="shared" si="973"/>
        <v>0.27222622086496023</v>
      </c>
    </row>
    <row r="351" spans="1:20" x14ac:dyDescent="0.25">
      <c r="A351" s="5">
        <v>44242</v>
      </c>
      <c r="B351">
        <v>5.8498000000000001</v>
      </c>
      <c r="C351">
        <v>7.05</v>
      </c>
      <c r="D351">
        <v>4.95</v>
      </c>
      <c r="E351">
        <v>6.3620000000000001</v>
      </c>
      <c r="F351">
        <v>5943725.5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0.34476190476190494</v>
      </c>
      <c r="Q351">
        <f t="shared" si="970"/>
        <v>2049170.1247619058</v>
      </c>
      <c r="R351">
        <f t="shared" si="971"/>
        <v>28309725.719122041</v>
      </c>
      <c r="S351">
        <f t="shared" si="972"/>
        <v>283.09725719122042</v>
      </c>
      <c r="T351">
        <f t="shared" si="973"/>
        <v>0.28309725719122042</v>
      </c>
    </row>
    <row r="352" spans="1:20" x14ac:dyDescent="0.25">
      <c r="A352" s="5">
        <v>44241</v>
      </c>
      <c r="B352">
        <v>6.5190999999999999</v>
      </c>
      <c r="C352">
        <v>6.5476999999999999</v>
      </c>
      <c r="D352">
        <v>5.5654000000000003</v>
      </c>
      <c r="E352">
        <v>5.8506</v>
      </c>
      <c r="F352">
        <v>2512553.7599999998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-0.41932199938918902</v>
      </c>
      <c r="Q352">
        <f t="shared" si="970"/>
        <v>-1053569.0662160246</v>
      </c>
      <c r="R352">
        <f t="shared" si="971"/>
        <v>26260555.594360135</v>
      </c>
      <c r="S352">
        <f t="shared" si="972"/>
        <v>262.60555594360136</v>
      </c>
      <c r="T352">
        <f t="shared" si="973"/>
        <v>0.26260555594360135</v>
      </c>
    </row>
    <row r="353" spans="1:20" x14ac:dyDescent="0.25">
      <c r="A353" s="5">
        <v>44240</v>
      </c>
      <c r="B353">
        <v>6.7888000000000002</v>
      </c>
      <c r="C353">
        <v>6.92</v>
      </c>
      <c r="D353">
        <v>6.0156999999999998</v>
      </c>
      <c r="E353">
        <v>6.5216000000000003</v>
      </c>
      <c r="F353">
        <v>3659836.03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0.11887647904456575</v>
      </c>
      <c r="Q353">
        <f t="shared" si="970"/>
        <v>435068.42112684168</v>
      </c>
      <c r="R353">
        <f t="shared" si="971"/>
        <v>27314124.660576161</v>
      </c>
      <c r="S353">
        <f t="shared" si="972"/>
        <v>273.14124660576164</v>
      </c>
      <c r="T353">
        <f t="shared" si="973"/>
        <v>0.27314124660576161</v>
      </c>
    </row>
    <row r="354" spans="1:20" x14ac:dyDescent="0.25">
      <c r="A354" s="5">
        <v>44239</v>
      </c>
      <c r="B354">
        <v>5.9804000000000004</v>
      </c>
      <c r="C354">
        <v>7.9</v>
      </c>
      <c r="D354">
        <v>5.9565000000000001</v>
      </c>
      <c r="E354">
        <v>6.7881</v>
      </c>
      <c r="F354">
        <v>14267144.33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-0.14422433753537453</v>
      </c>
      <c r="Q354">
        <f t="shared" si="970"/>
        <v>-2057669.4395158249</v>
      </c>
      <c r="R354">
        <f t="shared" si="971"/>
        <v>26879056.239449318</v>
      </c>
      <c r="S354">
        <f t="shared" si="972"/>
        <v>268.79056239449318</v>
      </c>
      <c r="T354">
        <f t="shared" si="973"/>
        <v>0.26879056239449317</v>
      </c>
    </row>
    <row r="355" spans="1:20" x14ac:dyDescent="0.25">
      <c r="A355" s="5">
        <v>44238</v>
      </c>
      <c r="B355">
        <v>4.5285000000000002</v>
      </c>
      <c r="C355">
        <v>6.5328999999999997</v>
      </c>
      <c r="D355">
        <v>4.2900999999999998</v>
      </c>
      <c r="E355">
        <v>5.9672999999999998</v>
      </c>
      <c r="F355">
        <v>9220471.9800000004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0.49563046192259685</v>
      </c>
      <c r="Q355">
        <f t="shared" si="970"/>
        <v>4569946.7865917617</v>
      </c>
      <c r="R355">
        <f t="shared" si="971"/>
        <v>28936725.678965144</v>
      </c>
      <c r="S355">
        <f t="shared" si="972"/>
        <v>289.36725678965144</v>
      </c>
      <c r="T355">
        <f t="shared" si="973"/>
        <v>0.28936725678965142</v>
      </c>
    </row>
    <row r="356" spans="1:20" x14ac:dyDescent="0.25">
      <c r="A356" s="5">
        <v>44237</v>
      </c>
      <c r="B356">
        <v>4.6262999999999996</v>
      </c>
      <c r="C356">
        <v>4.84</v>
      </c>
      <c r="D356">
        <v>4.0332999999999997</v>
      </c>
      <c r="E356">
        <v>4.5220000000000002</v>
      </c>
      <c r="F356">
        <v>3746161.02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0.21160282632949165</v>
      </c>
      <c r="Q356">
        <f t="shared" si="970"/>
        <v>792698.25971737131</v>
      </c>
      <c r="R356">
        <f t="shared" si="971"/>
        <v>24366778.892373383</v>
      </c>
      <c r="S356">
        <f t="shared" si="972"/>
        <v>243.66778892373384</v>
      </c>
      <c r="T356">
        <f t="shared" si="973"/>
        <v>0.24366778892373384</v>
      </c>
    </row>
    <row r="357" spans="1:20" x14ac:dyDescent="0.25">
      <c r="A357" s="5">
        <v>44236</v>
      </c>
      <c r="B357">
        <v>3.8071000000000002</v>
      </c>
      <c r="C357">
        <v>4.92</v>
      </c>
      <c r="D357">
        <v>3.726</v>
      </c>
      <c r="E357">
        <v>4.6219999999999999</v>
      </c>
      <c r="F357">
        <v>6558821.5099999998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0.50083752093802336</v>
      </c>
      <c r="Q357">
        <f t="shared" si="970"/>
        <v>3284903.9053433831</v>
      </c>
      <c r="R357">
        <f t="shared" si="971"/>
        <v>23574080.632656012</v>
      </c>
      <c r="S357">
        <f t="shared" si="972"/>
        <v>235.74080632656012</v>
      </c>
      <c r="T357">
        <f t="shared" si="973"/>
        <v>0.23574080632656011</v>
      </c>
    </row>
    <row r="358" spans="1:20" x14ac:dyDescent="0.25">
      <c r="A358" s="5">
        <v>44235</v>
      </c>
      <c r="B358">
        <v>3.5741000000000001</v>
      </c>
      <c r="C358">
        <v>3.85</v>
      </c>
      <c r="D358">
        <v>3.5710999999999999</v>
      </c>
      <c r="E358">
        <v>3.8149999999999999</v>
      </c>
      <c r="F358">
        <v>2008742.18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0.74901398350663229</v>
      </c>
      <c r="Q358">
        <f t="shared" si="970"/>
        <v>1504575.9820795965</v>
      </c>
      <c r="R358">
        <f t="shared" si="971"/>
        <v>20289176.727312628</v>
      </c>
      <c r="S358">
        <f t="shared" si="972"/>
        <v>202.89176727312628</v>
      </c>
      <c r="T358">
        <f t="shared" si="973"/>
        <v>0.20289176727312627</v>
      </c>
    </row>
    <row r="359" spans="1:20" x14ac:dyDescent="0.25">
      <c r="A359" s="5">
        <v>44234</v>
      </c>
      <c r="B359">
        <v>3.6511999999999998</v>
      </c>
      <c r="C359">
        <v>3.9239999999999999</v>
      </c>
      <c r="D359">
        <v>3.3727</v>
      </c>
      <c r="E359">
        <v>3.5825999999999998</v>
      </c>
      <c r="F359">
        <v>1943864.69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-0.23852711772174937</v>
      </c>
      <c r="Q359">
        <f t="shared" si="970"/>
        <v>-463664.44174678181</v>
      </c>
      <c r="R359">
        <f t="shared" si="971"/>
        <v>18784600.745233033</v>
      </c>
      <c r="S359">
        <f t="shared" si="972"/>
        <v>187.84600745233033</v>
      </c>
      <c r="T359">
        <f t="shared" si="973"/>
        <v>0.18784600745233032</v>
      </c>
    </row>
    <row r="360" spans="1:20" x14ac:dyDescent="0.25">
      <c r="A360" s="5">
        <v>44233</v>
      </c>
      <c r="B360">
        <v>3.7723</v>
      </c>
      <c r="C360">
        <v>3.8123999999999998</v>
      </c>
      <c r="D360">
        <v>3.5001000000000002</v>
      </c>
      <c r="E360">
        <v>3.6511</v>
      </c>
      <c r="F360">
        <v>1747427.24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-3.2981107909061766E-2</v>
      </c>
      <c r="Q360">
        <f t="shared" si="970"/>
        <v>-57632.086365673975</v>
      </c>
      <c r="R360">
        <f t="shared" si="971"/>
        <v>19248265.186979815</v>
      </c>
      <c r="S360">
        <f t="shared" si="972"/>
        <v>192.48265186979816</v>
      </c>
      <c r="T360">
        <f t="shared" si="973"/>
        <v>0.19248265186979815</v>
      </c>
    </row>
    <row r="361" spans="1:20" x14ac:dyDescent="0.25">
      <c r="A361" s="5">
        <v>44232</v>
      </c>
      <c r="B361">
        <v>3.4605000000000001</v>
      </c>
      <c r="C361">
        <v>4.2</v>
      </c>
      <c r="D361">
        <v>3.4373999999999998</v>
      </c>
      <c r="E361">
        <v>3.7808999999999999</v>
      </c>
      <c r="F361">
        <v>4282759.79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-9.9134539732494198E-2</v>
      </c>
      <c r="Q361">
        <f t="shared" si="970"/>
        <v>-424569.42056648352</v>
      </c>
      <c r="R361">
        <f t="shared" si="971"/>
        <v>19305897.273345489</v>
      </c>
      <c r="S361">
        <f t="shared" si="972"/>
        <v>193.05897273345488</v>
      </c>
      <c r="T361">
        <f t="shared" si="973"/>
        <v>0.19305897273345488</v>
      </c>
    </row>
    <row r="362" spans="1:20" x14ac:dyDescent="0.25">
      <c r="A362" s="5">
        <v>44231</v>
      </c>
      <c r="B362">
        <v>3.6107999999999998</v>
      </c>
      <c r="C362">
        <v>3.7</v>
      </c>
      <c r="D362">
        <v>3.41</v>
      </c>
      <c r="E362">
        <v>3.4512</v>
      </c>
      <c r="F362">
        <v>1697870.57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-0.71586206896551796</v>
      </c>
      <c r="Q362">
        <f t="shared" si="970"/>
        <v>-1215441.1390758634</v>
      </c>
      <c r="R362">
        <f t="shared" si="971"/>
        <v>19730466.693911973</v>
      </c>
      <c r="S362">
        <f t="shared" si="972"/>
        <v>197.30466693911973</v>
      </c>
      <c r="T362">
        <f t="shared" si="973"/>
        <v>0.19730466693911972</v>
      </c>
    </row>
    <row r="363" spans="1:20" x14ac:dyDescent="0.25">
      <c r="A363" s="5">
        <v>44230</v>
      </c>
      <c r="B363">
        <v>3.5339</v>
      </c>
      <c r="C363">
        <v>3.7484000000000002</v>
      </c>
      <c r="D363">
        <v>3.52</v>
      </c>
      <c r="E363">
        <v>3.6107999999999998</v>
      </c>
      <c r="F363">
        <v>1352634.08</v>
      </c>
      <c r="G363">
        <v>0</v>
      </c>
      <c r="L363" t="s">
        <v>8</v>
      </c>
      <c r="M363" t="s">
        <v>7</v>
      </c>
      <c r="N363" t="s">
        <v>8</v>
      </c>
      <c r="P363">
        <f t="shared" si="969"/>
        <v>-0.2049036777583213</v>
      </c>
      <c r="Q363">
        <f t="shared" si="970"/>
        <v>-277159.69765324343</v>
      </c>
      <c r="R363">
        <f t="shared" si="971"/>
        <v>20945907.832987837</v>
      </c>
      <c r="S363">
        <f t="shared" si="972"/>
        <v>209.45907832987837</v>
      </c>
      <c r="T363">
        <f t="shared" si="973"/>
        <v>0.20945907832987837</v>
      </c>
    </row>
    <row r="364" spans="1:20" x14ac:dyDescent="0.25">
      <c r="A364" s="5">
        <v>44229</v>
      </c>
      <c r="B364">
        <v>3.5375000000000001</v>
      </c>
      <c r="C364">
        <v>3.6949999999999998</v>
      </c>
      <c r="D364">
        <v>3.4348999999999998</v>
      </c>
      <c r="E364">
        <v>3.53</v>
      </c>
      <c r="F364">
        <v>1679521.28</v>
      </c>
      <c r="G364">
        <v>0</v>
      </c>
      <c r="L364" t="s">
        <v>7</v>
      </c>
      <c r="M364" t="s">
        <v>7</v>
      </c>
      <c r="N364" t="s">
        <v>8</v>
      </c>
      <c r="P364">
        <f t="shared" si="969"/>
        <v>-0.26874279123414102</v>
      </c>
      <c r="Q364">
        <f t="shared" si="970"/>
        <v>-451359.23672433733</v>
      </c>
      <c r="R364">
        <f t="shared" si="971"/>
        <v>21223067.530641083</v>
      </c>
      <c r="S364">
        <f t="shared" si="972"/>
        <v>212.23067530641083</v>
      </c>
      <c r="T364">
        <f t="shared" si="973"/>
        <v>0.21223067530641082</v>
      </c>
    </row>
    <row r="365" spans="1:20" x14ac:dyDescent="0.25">
      <c r="A365" s="5">
        <v>44228</v>
      </c>
      <c r="B365">
        <v>3.4224000000000001</v>
      </c>
      <c r="C365">
        <v>3.71</v>
      </c>
      <c r="D365">
        <v>3.2454000000000001</v>
      </c>
      <c r="E365">
        <v>3.5301</v>
      </c>
      <c r="F365">
        <v>2351965.7200000002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0.22557038312526911</v>
      </c>
      <c r="Q365">
        <f t="shared" si="970"/>
        <v>530533.80855789944</v>
      </c>
      <c r="R365">
        <f t="shared" si="971"/>
        <v>21674426.767365418</v>
      </c>
      <c r="S365">
        <f t="shared" si="972"/>
        <v>216.74426767365418</v>
      </c>
      <c r="T365">
        <f t="shared" si="973"/>
        <v>0.21674426767365418</v>
      </c>
    </row>
    <row r="366" spans="1:20" x14ac:dyDescent="0.25">
      <c r="A366" s="5">
        <v>44227</v>
      </c>
      <c r="B366">
        <v>3.6126999999999998</v>
      </c>
      <c r="C366">
        <v>3.75</v>
      </c>
      <c r="D366">
        <v>3.2679999999999998</v>
      </c>
      <c r="E366">
        <v>3.4335</v>
      </c>
      <c r="F366">
        <v>2203418.13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-0.31327800829875463</v>
      </c>
      <c r="Q366">
        <f t="shared" si="970"/>
        <v>-690282.44321576634</v>
      </c>
      <c r="R366">
        <f t="shared" si="971"/>
        <v>21143892.958807521</v>
      </c>
      <c r="S366">
        <f t="shared" si="972"/>
        <v>211.43892958807521</v>
      </c>
      <c r="T366">
        <f t="shared" si="973"/>
        <v>0.21143892958807523</v>
      </c>
    </row>
    <row r="367" spans="1:20" x14ac:dyDescent="0.25">
      <c r="A367" s="5">
        <v>44226</v>
      </c>
      <c r="B367">
        <v>3.8723999999999998</v>
      </c>
      <c r="C367">
        <v>4.2</v>
      </c>
      <c r="D367">
        <v>3.5141</v>
      </c>
      <c r="E367">
        <v>3.6112000000000002</v>
      </c>
      <c r="F367">
        <v>3373519.3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-0.71686834815570732</v>
      </c>
      <c r="Q367">
        <f t="shared" si="970"/>
        <v>-2418369.2080623978</v>
      </c>
      <c r="R367">
        <f t="shared" si="971"/>
        <v>21834175.402023286</v>
      </c>
      <c r="S367">
        <f t="shared" si="972"/>
        <v>218.34175402023286</v>
      </c>
      <c r="T367">
        <f t="shared" si="973"/>
        <v>0.21834175402023284</v>
      </c>
    </row>
    <row r="368" spans="1:20" x14ac:dyDescent="0.25">
      <c r="A368" s="5">
        <v>44225</v>
      </c>
      <c r="B368">
        <v>3.9264999999999999</v>
      </c>
      <c r="C368">
        <v>4.4512</v>
      </c>
      <c r="D368">
        <v>3.5695000000000001</v>
      </c>
      <c r="E368">
        <v>3.871</v>
      </c>
      <c r="F368">
        <v>8247595.4800000004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-0.31609390949302507</v>
      </c>
      <c r="Q368">
        <f t="shared" si="970"/>
        <v>-2607014.6991902026</v>
      </c>
      <c r="R368">
        <f t="shared" si="971"/>
        <v>24252544.610085685</v>
      </c>
      <c r="S368">
        <f t="shared" si="972"/>
        <v>242.52544610085684</v>
      </c>
      <c r="T368">
        <f t="shared" si="973"/>
        <v>0.24252544610085683</v>
      </c>
    </row>
    <row r="369" spans="1:20" x14ac:dyDescent="0.25">
      <c r="A369" s="5">
        <v>44224</v>
      </c>
      <c r="B369">
        <v>2.8919000000000001</v>
      </c>
      <c r="C369">
        <v>4.59</v>
      </c>
      <c r="D369">
        <v>2.85</v>
      </c>
      <c r="E369">
        <v>3.9243999999999999</v>
      </c>
      <c r="F369">
        <v>13945275.449999999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0.23494252873563212</v>
      </c>
      <c r="Q369">
        <f t="shared" si="970"/>
        <v>3276338.2781379302</v>
      </c>
      <c r="R369">
        <f t="shared" si="971"/>
        <v>26859559.309275888</v>
      </c>
      <c r="S369">
        <f t="shared" si="972"/>
        <v>268.59559309275886</v>
      </c>
      <c r="T369">
        <f t="shared" si="973"/>
        <v>0.26859559309275888</v>
      </c>
    </row>
    <row r="370" spans="1:20" x14ac:dyDescent="0.25">
      <c r="A370" s="5">
        <v>44223</v>
      </c>
      <c r="B370">
        <v>3.2118000000000002</v>
      </c>
      <c r="C370">
        <v>3.2206999999999999</v>
      </c>
      <c r="D370">
        <v>2.7989999999999999</v>
      </c>
      <c r="E370">
        <v>2.8974000000000002</v>
      </c>
      <c r="F370">
        <v>2089305.51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-0.53331752430637769</v>
      </c>
      <c r="Q370">
        <f t="shared" si="970"/>
        <v>-1114263.2421128738</v>
      </c>
      <c r="R370">
        <f t="shared" si="971"/>
        <v>23583221.031137958</v>
      </c>
      <c r="S370">
        <f t="shared" si="972"/>
        <v>235.83221031137958</v>
      </c>
      <c r="T370">
        <f t="shared" si="973"/>
        <v>0.23583221031137958</v>
      </c>
    </row>
    <row r="371" spans="1:20" x14ac:dyDescent="0.25">
      <c r="A371" s="5">
        <v>44222</v>
      </c>
      <c r="B371">
        <v>3.1751999999999998</v>
      </c>
      <c r="C371">
        <v>3.34</v>
      </c>
      <c r="D371">
        <v>3.0537000000000001</v>
      </c>
      <c r="E371">
        <v>3.2121</v>
      </c>
      <c r="F371">
        <v>1192250.82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0.10653161019909184</v>
      </c>
      <c r="Q371">
        <f t="shared" si="970"/>
        <v>127012.39961578761</v>
      </c>
      <c r="R371">
        <f t="shared" si="971"/>
        <v>24697484.273250833</v>
      </c>
      <c r="S371">
        <f t="shared" si="972"/>
        <v>246.97484273250834</v>
      </c>
      <c r="T371">
        <f t="shared" si="973"/>
        <v>0.24697484273250833</v>
      </c>
    </row>
    <row r="372" spans="1:20" x14ac:dyDescent="0.25">
      <c r="A372" s="5">
        <v>44221</v>
      </c>
      <c r="B372">
        <v>3.3727</v>
      </c>
      <c r="C372">
        <v>3.55</v>
      </c>
      <c r="D372">
        <v>3.1349</v>
      </c>
      <c r="E372">
        <v>3.1785999999999999</v>
      </c>
      <c r="F372">
        <v>2160983.2599999998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-0.78944832570465007</v>
      </c>
      <c r="Q372">
        <f t="shared" si="970"/>
        <v>-1705984.6164827764</v>
      </c>
      <c r="R372">
        <f t="shared" si="971"/>
        <v>24570471.873635046</v>
      </c>
      <c r="S372">
        <f t="shared" si="972"/>
        <v>245.70471873635046</v>
      </c>
      <c r="T372">
        <f t="shared" si="973"/>
        <v>0.24570471873635047</v>
      </c>
    </row>
    <row r="373" spans="1:20" x14ac:dyDescent="0.25">
      <c r="A373" s="5">
        <v>44220</v>
      </c>
      <c r="B373">
        <v>3.1598999999999999</v>
      </c>
      <c r="C373">
        <v>3.5495000000000001</v>
      </c>
      <c r="D373">
        <v>3.1160999999999999</v>
      </c>
      <c r="E373">
        <v>3.3679000000000001</v>
      </c>
      <c r="F373">
        <v>2795423.76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0.16197508075680717</v>
      </c>
      <c r="Q373">
        <f t="shared" si="970"/>
        <v>452788.9892754975</v>
      </c>
      <c r="R373">
        <f t="shared" si="971"/>
        <v>26276456.490117822</v>
      </c>
      <c r="S373">
        <f t="shared" si="972"/>
        <v>262.76456490117823</v>
      </c>
      <c r="T373">
        <f t="shared" si="973"/>
        <v>0.26276456490117822</v>
      </c>
    </row>
    <row r="374" spans="1:20" x14ac:dyDescent="0.25">
      <c r="A374" s="5">
        <v>44219</v>
      </c>
      <c r="B374">
        <v>3.1892999999999998</v>
      </c>
      <c r="C374">
        <v>3.3574000000000002</v>
      </c>
      <c r="D374">
        <v>3.0950000000000002</v>
      </c>
      <c r="E374">
        <v>3.1642000000000001</v>
      </c>
      <c r="F374">
        <v>1555179.79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-0.47256097560975657</v>
      </c>
      <c r="Q374">
        <f t="shared" si="970"/>
        <v>-734917.27881097642</v>
      </c>
      <c r="R374">
        <f t="shared" si="971"/>
        <v>25823667.500842325</v>
      </c>
      <c r="S374">
        <f t="shared" si="972"/>
        <v>258.23667500842328</v>
      </c>
      <c r="T374">
        <f t="shared" si="973"/>
        <v>0.25823667500842329</v>
      </c>
    </row>
    <row r="375" spans="1:20" x14ac:dyDescent="0.25">
      <c r="A375" s="5">
        <v>44218</v>
      </c>
      <c r="B375">
        <v>2.9241999999999999</v>
      </c>
      <c r="C375">
        <v>3.5</v>
      </c>
      <c r="D375">
        <v>2.6307</v>
      </c>
      <c r="E375">
        <v>3.1894999999999998</v>
      </c>
      <c r="F375">
        <v>2616480.23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0.28563211779592723</v>
      </c>
      <c r="Q375">
        <f t="shared" si="970"/>
        <v>747350.78926607477</v>
      </c>
      <c r="R375">
        <f t="shared" si="971"/>
        <v>26558584.779653303</v>
      </c>
      <c r="S375">
        <f t="shared" si="972"/>
        <v>265.58584779653302</v>
      </c>
      <c r="T375">
        <f t="shared" si="973"/>
        <v>0.26558584779653299</v>
      </c>
    </row>
    <row r="376" spans="1:20" x14ac:dyDescent="0.25">
      <c r="A376" s="5">
        <v>44217</v>
      </c>
      <c r="B376">
        <v>3.4007000000000001</v>
      </c>
      <c r="C376">
        <v>3.4198</v>
      </c>
      <c r="D376">
        <v>2.8</v>
      </c>
      <c r="E376">
        <v>2.9161999999999999</v>
      </c>
      <c r="F376">
        <v>2866622.61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-0.62504033559212635</v>
      </c>
      <c r="Q376">
        <f t="shared" si="970"/>
        <v>-1791754.758170377</v>
      </c>
      <c r="R376">
        <f t="shared" si="971"/>
        <v>25811233.990387227</v>
      </c>
      <c r="S376">
        <f t="shared" si="972"/>
        <v>258.11233990387228</v>
      </c>
      <c r="T376">
        <f t="shared" si="973"/>
        <v>0.25811233990387228</v>
      </c>
    </row>
    <row r="377" spans="1:20" x14ac:dyDescent="0.25">
      <c r="A377" s="5">
        <v>44216</v>
      </c>
      <c r="B377">
        <v>3.5002</v>
      </c>
      <c r="C377">
        <v>3.5746000000000002</v>
      </c>
      <c r="D377">
        <v>3.1</v>
      </c>
      <c r="E377">
        <v>3.4007000000000001</v>
      </c>
      <c r="F377">
        <v>2413732.27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0.26717235566793041</v>
      </c>
      <c r="Q377">
        <f t="shared" si="970"/>
        <v>644882.53652760107</v>
      </c>
      <c r="R377">
        <f t="shared" si="971"/>
        <v>27602988.748557605</v>
      </c>
      <c r="S377">
        <f t="shared" si="972"/>
        <v>276.02988748557607</v>
      </c>
      <c r="T377">
        <f t="shared" si="973"/>
        <v>0.27602988748557605</v>
      </c>
    </row>
    <row r="378" spans="1:20" x14ac:dyDescent="0.25">
      <c r="A378" s="5">
        <v>44215</v>
      </c>
      <c r="B378">
        <v>3.6078999999999999</v>
      </c>
      <c r="C378">
        <v>3.7684000000000002</v>
      </c>
      <c r="D378">
        <v>3.4279000000000002</v>
      </c>
      <c r="E378">
        <v>3.5</v>
      </c>
      <c r="F378">
        <v>2954396.66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-0.57650513950073523</v>
      </c>
      <c r="Q378">
        <f t="shared" si="970"/>
        <v>-1703224.8586138063</v>
      </c>
      <c r="R378">
        <f t="shared" si="971"/>
        <v>26958106.212030005</v>
      </c>
      <c r="S378">
        <f t="shared" si="972"/>
        <v>269.58106212030003</v>
      </c>
      <c r="T378">
        <f t="shared" si="973"/>
        <v>0.26958106212030003</v>
      </c>
    </row>
    <row r="379" spans="1:20" x14ac:dyDescent="0.25">
      <c r="A379" s="5">
        <v>44214</v>
      </c>
      <c r="B379">
        <v>3.4173</v>
      </c>
      <c r="C379">
        <v>3.8919999999999999</v>
      </c>
      <c r="D379">
        <v>3.3591000000000002</v>
      </c>
      <c r="E379">
        <v>3.6</v>
      </c>
      <c r="F379">
        <v>3859664.28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-9.5890410958904021E-2</v>
      </c>
      <c r="Q379">
        <f t="shared" si="970"/>
        <v>-370104.79397260241</v>
      </c>
      <c r="R379">
        <f t="shared" si="971"/>
        <v>28661331.070643812</v>
      </c>
      <c r="S379">
        <f t="shared" si="972"/>
        <v>286.61331070643814</v>
      </c>
      <c r="T379">
        <f t="shared" si="973"/>
        <v>0.28661331070643814</v>
      </c>
    </row>
    <row r="380" spans="1:20" x14ac:dyDescent="0.25">
      <c r="A380" s="5">
        <v>44213</v>
      </c>
      <c r="B380">
        <v>3.3428</v>
      </c>
      <c r="C380">
        <v>3.6242999999999999</v>
      </c>
      <c r="D380">
        <v>3.22</v>
      </c>
      <c r="E380">
        <v>3.4159999999999999</v>
      </c>
      <c r="F380">
        <v>2889052.1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-3.0422953252535766E-2</v>
      </c>
      <c r="Q380">
        <f t="shared" si="970"/>
        <v>-87893.496982440294</v>
      </c>
      <c r="R380">
        <f t="shared" si="971"/>
        <v>29031435.864616416</v>
      </c>
      <c r="S380">
        <f t="shared" si="972"/>
        <v>290.31435864616418</v>
      </c>
      <c r="T380">
        <f t="shared" si="973"/>
        <v>0.29031435864616417</v>
      </c>
    </row>
    <row r="381" spans="1:20" x14ac:dyDescent="0.25">
      <c r="A381" s="5">
        <v>44212</v>
      </c>
      <c r="B381">
        <v>3.1735000000000002</v>
      </c>
      <c r="C381">
        <v>3.95</v>
      </c>
      <c r="D381">
        <v>3.0602999999999998</v>
      </c>
      <c r="E381">
        <v>3.343</v>
      </c>
      <c r="F381">
        <v>5996187.9500000002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-0.36450488928852409</v>
      </c>
      <c r="Q381">
        <f t="shared" si="970"/>
        <v>-2185639.8248679321</v>
      </c>
      <c r="R381">
        <f t="shared" si="971"/>
        <v>29119329.361598857</v>
      </c>
      <c r="S381">
        <f t="shared" si="972"/>
        <v>291.19329361598858</v>
      </c>
      <c r="T381">
        <f t="shared" si="973"/>
        <v>0.29119329361598856</v>
      </c>
    </row>
    <row r="382" spans="1:20" x14ac:dyDescent="0.25">
      <c r="A382" s="5">
        <v>44211</v>
      </c>
      <c r="B382">
        <v>3.3351999999999999</v>
      </c>
      <c r="C382">
        <v>3.53</v>
      </c>
      <c r="D382">
        <v>2.7806999999999999</v>
      </c>
      <c r="E382">
        <v>3.1682999999999999</v>
      </c>
      <c r="F382">
        <v>3699948.12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3.4565594554917978E-2</v>
      </c>
      <c r="Q382">
        <f t="shared" si="970"/>
        <v>127890.90659015102</v>
      </c>
      <c r="R382">
        <f t="shared" si="971"/>
        <v>31304969.186466787</v>
      </c>
      <c r="S382">
        <f t="shared" si="972"/>
        <v>313.04969186466786</v>
      </c>
      <c r="T382">
        <f t="shared" si="973"/>
        <v>0.31304969186466786</v>
      </c>
    </row>
    <row r="383" spans="1:20" x14ac:dyDescent="0.25">
      <c r="A383" s="5">
        <v>44210</v>
      </c>
      <c r="B383">
        <v>3.55</v>
      </c>
      <c r="C383">
        <v>3.6120000000000001</v>
      </c>
      <c r="D383">
        <v>3.2031000000000001</v>
      </c>
      <c r="E383">
        <v>3.3311999999999999</v>
      </c>
      <c r="F383">
        <v>3037938.86</v>
      </c>
      <c r="G383">
        <v>0</v>
      </c>
      <c r="L383" t="s">
        <v>8</v>
      </c>
      <c r="M383" t="s">
        <v>7</v>
      </c>
      <c r="N383" t="s">
        <v>8</v>
      </c>
      <c r="P383">
        <f t="shared" si="969"/>
        <v>-0.37344093910491627</v>
      </c>
      <c r="Q383">
        <f t="shared" si="970"/>
        <v>-1134490.7408217187</v>
      </c>
      <c r="R383">
        <f t="shared" si="971"/>
        <v>31177078.279876634</v>
      </c>
      <c r="S383">
        <f t="shared" si="972"/>
        <v>311.77078279876633</v>
      </c>
      <c r="T383">
        <f t="shared" si="973"/>
        <v>0.31177078279876635</v>
      </c>
    </row>
    <row r="384" spans="1:20" x14ac:dyDescent="0.25">
      <c r="A384" s="5">
        <v>44209</v>
      </c>
      <c r="B384">
        <v>3.4860000000000002</v>
      </c>
      <c r="C384">
        <v>3.62</v>
      </c>
      <c r="D384">
        <v>3.1071</v>
      </c>
      <c r="E384">
        <v>3.55</v>
      </c>
      <c r="F384">
        <v>4818290.51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0.72704230844219042</v>
      </c>
      <c r="Q384">
        <f t="shared" si="970"/>
        <v>3503101.0551354988</v>
      </c>
      <c r="R384">
        <f t="shared" si="971"/>
        <v>32311569.020698354</v>
      </c>
      <c r="S384">
        <f t="shared" si="972"/>
        <v>323.11569020698352</v>
      </c>
      <c r="T384">
        <f t="shared" si="973"/>
        <v>0.3231156902069835</v>
      </c>
    </row>
    <row r="385" spans="1:20" x14ac:dyDescent="0.25">
      <c r="A385" s="5">
        <v>44208</v>
      </c>
      <c r="B385">
        <v>2.8250000000000002</v>
      </c>
      <c r="C385">
        <v>4</v>
      </c>
      <c r="D385">
        <v>2.71</v>
      </c>
      <c r="E385">
        <v>3.4824999999999999</v>
      </c>
      <c r="F385">
        <v>12867671.08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0.19767441860465107</v>
      </c>
      <c r="Q385">
        <f t="shared" si="970"/>
        <v>2543609.3995348825</v>
      </c>
      <c r="R385">
        <f t="shared" si="971"/>
        <v>28808467.965562854</v>
      </c>
      <c r="S385">
        <f t="shared" si="972"/>
        <v>288.08467965562852</v>
      </c>
      <c r="T385">
        <f t="shared" si="973"/>
        <v>0.28808467965562851</v>
      </c>
    </row>
    <row r="386" spans="1:20" x14ac:dyDescent="0.25">
      <c r="A386" s="5">
        <v>44207</v>
      </c>
      <c r="B386">
        <v>3.2124999999999999</v>
      </c>
      <c r="C386">
        <v>3.2454000000000001</v>
      </c>
      <c r="D386">
        <v>2.2088000000000001</v>
      </c>
      <c r="E386">
        <v>2.8266</v>
      </c>
      <c r="F386">
        <v>9864324.9700000007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0.1919737603704417</v>
      </c>
      <c r="Q386">
        <f t="shared" si="970"/>
        <v>1893691.5580069446</v>
      </c>
      <c r="R386">
        <f t="shared" si="971"/>
        <v>26264858.566027973</v>
      </c>
      <c r="S386">
        <f t="shared" si="972"/>
        <v>262.64858566027971</v>
      </c>
      <c r="T386">
        <f t="shared" si="973"/>
        <v>0.26264858566027971</v>
      </c>
    </row>
    <row r="387" spans="1:20" x14ac:dyDescent="0.25">
      <c r="A387" s="5">
        <v>44206</v>
      </c>
      <c r="B387">
        <v>3.5377999999999998</v>
      </c>
      <c r="C387">
        <v>3.9241000000000001</v>
      </c>
      <c r="D387">
        <v>2.81</v>
      </c>
      <c r="E387">
        <v>3.2054</v>
      </c>
      <c r="F387">
        <v>6449159.96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-0.29018939053944898</v>
      </c>
      <c r="Q387">
        <f t="shared" si="970"/>
        <v>-1871477.7982838172</v>
      </c>
      <c r="R387">
        <f t="shared" si="971"/>
        <v>24371167.008021027</v>
      </c>
      <c r="S387">
        <f t="shared" si="972"/>
        <v>243.71167008021027</v>
      </c>
      <c r="T387">
        <f t="shared" si="973"/>
        <v>0.24371167008021027</v>
      </c>
    </row>
    <row r="388" spans="1:20" x14ac:dyDescent="0.25">
      <c r="A388" s="5">
        <v>44205</v>
      </c>
      <c r="B388">
        <v>4.0540000000000003</v>
      </c>
      <c r="C388">
        <v>4.0799000000000003</v>
      </c>
      <c r="D388">
        <v>3.3919000000000001</v>
      </c>
      <c r="E388">
        <v>3.54</v>
      </c>
      <c r="F388">
        <v>5659206.5599999996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-0.56947674418604688</v>
      </c>
      <c r="Q388">
        <f t="shared" si="970"/>
        <v>-3222786.5264651179</v>
      </c>
      <c r="R388">
        <f t="shared" si="971"/>
        <v>26242644.806304846</v>
      </c>
      <c r="S388">
        <f t="shared" si="972"/>
        <v>262.42644806304844</v>
      </c>
      <c r="T388">
        <f t="shared" si="973"/>
        <v>0.26242644806304843</v>
      </c>
    </row>
    <row r="389" spans="1:20" x14ac:dyDescent="0.25">
      <c r="A389" s="5">
        <v>44204</v>
      </c>
      <c r="B389">
        <v>4.3388999999999998</v>
      </c>
      <c r="C389">
        <v>4.75</v>
      </c>
      <c r="D389">
        <v>3.0558000000000001</v>
      </c>
      <c r="E389">
        <v>4.0475000000000003</v>
      </c>
      <c r="F389">
        <v>17406703.030000001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0.17070003541494544</v>
      </c>
      <c r="Q389">
        <f t="shared" si="970"/>
        <v>2971324.8236784381</v>
      </c>
      <c r="R389">
        <f t="shared" si="971"/>
        <v>29465431.332769964</v>
      </c>
      <c r="S389">
        <f t="shared" si="972"/>
        <v>294.65431332769964</v>
      </c>
      <c r="T389">
        <f t="shared" si="973"/>
        <v>0.29465431332769965</v>
      </c>
    </row>
    <row r="390" spans="1:20" x14ac:dyDescent="0.25">
      <c r="A390" s="5">
        <v>44203</v>
      </c>
      <c r="B390">
        <v>2.5525000000000002</v>
      </c>
      <c r="C390">
        <v>5.2</v>
      </c>
      <c r="D390">
        <v>2.4565999999999999</v>
      </c>
      <c r="E390">
        <v>4.3385999999999996</v>
      </c>
      <c r="F390">
        <v>38033289.630000003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0.37202012101771487</v>
      </c>
      <c r="Q390">
        <f t="shared" ref="Q390:Q453" si="975">F390*P390</f>
        <v>14149149.010854401</v>
      </c>
      <c r="R390">
        <f t="shared" ref="R390:R453" si="976">R391+Q390</f>
        <v>26494106.509091526</v>
      </c>
      <c r="S390">
        <f t="shared" ref="S390:S453" si="977">R390/100000</f>
        <v>264.94106509091529</v>
      </c>
      <c r="T390">
        <f t="shared" ref="T390:T453" si="978">S390/1000</f>
        <v>0.26494106509091531</v>
      </c>
    </row>
    <row r="391" spans="1:20" x14ac:dyDescent="0.25">
      <c r="A391" s="5">
        <v>44202</v>
      </c>
      <c r="B391">
        <v>1.5347999999999999</v>
      </c>
      <c r="C391">
        <v>2.7884000000000002</v>
      </c>
      <c r="D391">
        <v>1.5168999999999999</v>
      </c>
      <c r="E391">
        <v>2.5503999999999998</v>
      </c>
      <c r="F391">
        <v>9411995.2400000002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0.62563900904443515</v>
      </c>
      <c r="Q391">
        <f t="shared" si="975"/>
        <v>5888511.3750845408</v>
      </c>
      <c r="R391">
        <f t="shared" si="976"/>
        <v>12344957.498237126</v>
      </c>
      <c r="S391">
        <f t="shared" si="977"/>
        <v>123.44957498237126</v>
      </c>
      <c r="T391">
        <f t="shared" si="978"/>
        <v>0.12344957498237126</v>
      </c>
    </row>
    <row r="392" spans="1:20" x14ac:dyDescent="0.25">
      <c r="A392" s="5">
        <v>44201</v>
      </c>
      <c r="B392">
        <v>1.4923</v>
      </c>
      <c r="C392">
        <v>1.6745000000000001</v>
      </c>
      <c r="D392">
        <v>1.38</v>
      </c>
      <c r="E392">
        <v>1.5347999999999999</v>
      </c>
      <c r="F392">
        <v>2697964.1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5.1273344651952053E-2</v>
      </c>
      <c r="Q392">
        <f t="shared" si="975"/>
        <v>138333.64315789365</v>
      </c>
      <c r="R392">
        <f t="shared" si="976"/>
        <v>6456446.1231525848</v>
      </c>
      <c r="S392">
        <f t="shared" si="977"/>
        <v>64.564461231525854</v>
      </c>
      <c r="T392">
        <f t="shared" si="978"/>
        <v>6.4564461231525858E-2</v>
      </c>
    </row>
    <row r="393" spans="1:20" x14ac:dyDescent="0.25">
      <c r="A393" s="5">
        <v>44200</v>
      </c>
      <c r="B393">
        <v>1.71</v>
      </c>
      <c r="C393">
        <v>1.75</v>
      </c>
      <c r="D393">
        <v>1.2859</v>
      </c>
      <c r="E393">
        <v>1.49</v>
      </c>
      <c r="F393">
        <v>7337387.1100000003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-0.12044817927170882</v>
      </c>
      <c r="Q393">
        <f t="shared" si="975"/>
        <v>-883774.9180112055</v>
      </c>
      <c r="R393">
        <f t="shared" si="976"/>
        <v>6318112.479994691</v>
      </c>
      <c r="S393">
        <f t="shared" si="977"/>
        <v>63.181124799946907</v>
      </c>
      <c r="T393">
        <f t="shared" si="978"/>
        <v>6.3181124799946906E-2</v>
      </c>
    </row>
    <row r="394" spans="1:20" x14ac:dyDescent="0.25">
      <c r="A394" s="5">
        <v>44199</v>
      </c>
      <c r="B394">
        <v>1.0468999999999999</v>
      </c>
      <c r="C394">
        <v>1.8777999999999999</v>
      </c>
      <c r="D394">
        <v>1.03</v>
      </c>
      <c r="E394">
        <v>1.7129000000000001</v>
      </c>
      <c r="F394">
        <v>15163050.060000001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0.61099315876385973</v>
      </c>
      <c r="Q394">
        <f t="shared" si="975"/>
        <v>9264519.8526539337</v>
      </c>
      <c r="R394">
        <f t="shared" si="976"/>
        <v>7201887.3980058962</v>
      </c>
      <c r="S394">
        <f t="shared" si="977"/>
        <v>72.018873980058956</v>
      </c>
      <c r="T394">
        <f t="shared" si="978"/>
        <v>7.2018873980058962E-2</v>
      </c>
    </row>
    <row r="395" spans="1:20" x14ac:dyDescent="0.25">
      <c r="A395" s="5">
        <v>44198</v>
      </c>
      <c r="B395">
        <v>1.0333000000000001</v>
      </c>
      <c r="C395">
        <v>1.0799000000000001</v>
      </c>
      <c r="D395">
        <v>1.0051000000000001</v>
      </c>
      <c r="E395">
        <v>1.0468999999999999</v>
      </c>
      <c r="F395">
        <v>680356.04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0.1176470588235254</v>
      </c>
      <c r="Q395">
        <f t="shared" si="975"/>
        <v>80041.887058820808</v>
      </c>
      <c r="R395">
        <f t="shared" si="976"/>
        <v>-2062632.4546480372</v>
      </c>
      <c r="S395">
        <f t="shared" si="977"/>
        <v>-20.626324546480372</v>
      </c>
      <c r="T395">
        <f t="shared" si="978"/>
        <v>-2.0626324546480373E-2</v>
      </c>
    </row>
    <row r="396" spans="1:20" x14ac:dyDescent="0.25">
      <c r="A396" s="5">
        <v>44197</v>
      </c>
      <c r="B396">
        <v>1.0215000000000001</v>
      </c>
      <c r="C396">
        <v>1.0548999999999999</v>
      </c>
      <c r="D396">
        <v>0.98960000000000004</v>
      </c>
      <c r="E396">
        <v>1.0336000000000001</v>
      </c>
      <c r="F396">
        <v>731833.98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0.34762633996937509</v>
      </c>
      <c r="Q396">
        <f t="shared" si="975"/>
        <v>254404.76793262083</v>
      </c>
      <c r="R396">
        <f t="shared" si="976"/>
        <v>-2142674.341706858</v>
      </c>
      <c r="S396">
        <f t="shared" si="977"/>
        <v>-21.426743417068579</v>
      </c>
      <c r="T396">
        <f t="shared" si="978"/>
        <v>-2.1426743417068579E-2</v>
      </c>
    </row>
    <row r="397" spans="1:20" x14ac:dyDescent="0.25">
      <c r="A397" s="5">
        <v>44196</v>
      </c>
      <c r="B397">
        <v>1.0654999999999999</v>
      </c>
      <c r="C397">
        <v>1.0876999999999999</v>
      </c>
      <c r="D397">
        <v>1.0013000000000001</v>
      </c>
      <c r="E397">
        <v>1.0253000000000001</v>
      </c>
      <c r="F397">
        <v>682437.93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-0.44444444444444275</v>
      </c>
      <c r="Q397">
        <f t="shared" si="975"/>
        <v>-303305.74666666554</v>
      </c>
      <c r="R397">
        <f t="shared" si="976"/>
        <v>-2397079.1096394788</v>
      </c>
      <c r="S397">
        <f t="shared" si="977"/>
        <v>-23.970791096394787</v>
      </c>
      <c r="T397">
        <f t="shared" si="978"/>
        <v>-2.3970791096394786E-2</v>
      </c>
    </row>
    <row r="398" spans="1:20" x14ac:dyDescent="0.25">
      <c r="A398" s="5">
        <v>44195</v>
      </c>
      <c r="B398">
        <v>1.0630999999999999</v>
      </c>
      <c r="C398">
        <v>1.0794999999999999</v>
      </c>
      <c r="D398">
        <v>1.04</v>
      </c>
      <c r="E398">
        <v>1.0621</v>
      </c>
      <c r="F398">
        <v>609573.51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0.11898734177215606</v>
      </c>
      <c r="Q398">
        <f t="shared" si="975"/>
        <v>72531.531569622792</v>
      </c>
      <c r="R398">
        <f t="shared" si="976"/>
        <v>-2093773.3629728134</v>
      </c>
      <c r="S398">
        <f t="shared" si="977"/>
        <v>-20.937733629728136</v>
      </c>
      <c r="T398">
        <f t="shared" si="978"/>
        <v>-2.0937733629728138E-2</v>
      </c>
    </row>
    <row r="399" spans="1:20" x14ac:dyDescent="0.25">
      <c r="A399" s="5">
        <v>44194</v>
      </c>
      <c r="B399">
        <v>1.0683</v>
      </c>
      <c r="C399">
        <v>1.1100000000000001</v>
      </c>
      <c r="D399">
        <v>1.0375000000000001</v>
      </c>
      <c r="E399">
        <v>1.0630999999999999</v>
      </c>
      <c r="F399">
        <v>820840.86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-0.29379310344828025</v>
      </c>
      <c r="Q399">
        <f t="shared" si="975"/>
        <v>-241157.38369655531</v>
      </c>
      <c r="R399">
        <f t="shared" si="976"/>
        <v>-2166304.8945424361</v>
      </c>
      <c r="S399">
        <f t="shared" si="977"/>
        <v>-21.663048945424361</v>
      </c>
      <c r="T399">
        <f t="shared" si="978"/>
        <v>-2.1663048945424361E-2</v>
      </c>
    </row>
    <row r="400" spans="1:20" x14ac:dyDescent="0.25">
      <c r="A400" s="5">
        <v>44193</v>
      </c>
      <c r="B400">
        <v>1.1154999999999999</v>
      </c>
      <c r="C400">
        <v>1.1439999999999999</v>
      </c>
      <c r="D400">
        <v>1.0521</v>
      </c>
      <c r="E400">
        <v>1.0721000000000001</v>
      </c>
      <c r="F400">
        <v>1176293.3999999999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-0.56474428726876935</v>
      </c>
      <c r="Q400">
        <f t="shared" si="975"/>
        <v>-664304.9778019574</v>
      </c>
      <c r="R400">
        <f t="shared" si="976"/>
        <v>-1925147.5108458807</v>
      </c>
      <c r="S400">
        <f t="shared" si="977"/>
        <v>-19.251475108458806</v>
      </c>
      <c r="T400">
        <f t="shared" si="978"/>
        <v>-1.9251475108458805E-2</v>
      </c>
    </row>
    <row r="401" spans="1:20" x14ac:dyDescent="0.25">
      <c r="A401" s="5">
        <v>44192</v>
      </c>
      <c r="B401">
        <v>1.0287999999999999</v>
      </c>
      <c r="C401">
        <v>1.1615</v>
      </c>
      <c r="D401">
        <v>1.0109999999999999</v>
      </c>
      <c r="E401">
        <v>1.1146</v>
      </c>
      <c r="F401">
        <v>1380654.4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0.37674418604651272</v>
      </c>
      <c r="Q401">
        <f t="shared" si="975"/>
        <v>520153.51813953638</v>
      </c>
      <c r="R401">
        <f t="shared" si="976"/>
        <v>-1260842.5330439233</v>
      </c>
      <c r="S401">
        <f t="shared" si="977"/>
        <v>-12.608425330439234</v>
      </c>
      <c r="T401">
        <f t="shared" si="978"/>
        <v>-1.2608425330439234E-2</v>
      </c>
    </row>
    <row r="402" spans="1:20" x14ac:dyDescent="0.25">
      <c r="A402" s="5">
        <v>44191</v>
      </c>
      <c r="B402">
        <v>1.0589999999999999</v>
      </c>
      <c r="C402">
        <v>1.1052</v>
      </c>
      <c r="D402">
        <v>1.0101</v>
      </c>
      <c r="E402">
        <v>1.0278</v>
      </c>
      <c r="F402">
        <v>648098.94999999995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-0.62776025236592947</v>
      </c>
      <c r="Q402">
        <f t="shared" si="975"/>
        <v>-406850.76041009388</v>
      </c>
      <c r="R402">
        <f t="shared" si="976"/>
        <v>-1780996.0511834596</v>
      </c>
      <c r="S402">
        <f t="shared" si="977"/>
        <v>-17.809960511834596</v>
      </c>
      <c r="T402">
        <f t="shared" si="978"/>
        <v>-1.7809960511834595E-2</v>
      </c>
    </row>
    <row r="403" spans="1:20" x14ac:dyDescent="0.25">
      <c r="A403" s="5">
        <v>44190</v>
      </c>
      <c r="B403">
        <v>1.0603</v>
      </c>
      <c r="C403">
        <v>1.0720000000000001</v>
      </c>
      <c r="D403">
        <v>1</v>
      </c>
      <c r="E403">
        <v>1.06</v>
      </c>
      <c r="F403">
        <v>361438.06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0.66666666666666663</v>
      </c>
      <c r="Q403">
        <f t="shared" si="975"/>
        <v>240958.70666666667</v>
      </c>
      <c r="R403">
        <f t="shared" si="976"/>
        <v>-1374145.2907733656</v>
      </c>
      <c r="S403">
        <f t="shared" si="977"/>
        <v>-13.741452907733656</v>
      </c>
      <c r="T403">
        <f t="shared" si="978"/>
        <v>-1.3741452907733657E-2</v>
      </c>
    </row>
    <row r="404" spans="1:20" x14ac:dyDescent="0.25">
      <c r="A404" s="5">
        <v>44189</v>
      </c>
      <c r="B404">
        <v>0.96660000000000001</v>
      </c>
      <c r="C404">
        <v>1.07</v>
      </c>
      <c r="D404">
        <v>0.9385</v>
      </c>
      <c r="E404">
        <v>1.0539000000000001</v>
      </c>
      <c r="F404">
        <v>488463.21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0.75513307984790878</v>
      </c>
      <c r="Q404">
        <f t="shared" si="975"/>
        <v>368854.72815969586</v>
      </c>
      <c r="R404">
        <f t="shared" si="976"/>
        <v>-1615103.9974400322</v>
      </c>
      <c r="S404">
        <f t="shared" si="977"/>
        <v>-16.151039974400323</v>
      </c>
      <c r="T404">
        <f t="shared" si="978"/>
        <v>-1.6151039974400323E-2</v>
      </c>
    </row>
    <row r="405" spans="1:20" x14ac:dyDescent="0.25">
      <c r="A405" s="5">
        <v>44188</v>
      </c>
      <c r="B405">
        <v>1.0755999999999999</v>
      </c>
      <c r="C405">
        <v>1.1526000000000001</v>
      </c>
      <c r="D405">
        <v>0.92110000000000003</v>
      </c>
      <c r="E405">
        <v>0.96840000000000004</v>
      </c>
      <c r="F405">
        <v>1219721.78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-0.59136069114470846</v>
      </c>
      <c r="Q405">
        <f t="shared" si="975"/>
        <v>-721295.5148250541</v>
      </c>
      <c r="R405">
        <f t="shared" si="976"/>
        <v>-1983958.7255997281</v>
      </c>
      <c r="S405">
        <f t="shared" si="977"/>
        <v>-19.83958725599728</v>
      </c>
      <c r="T405">
        <f t="shared" si="978"/>
        <v>-1.9839587255997281E-2</v>
      </c>
    </row>
    <row r="406" spans="1:20" x14ac:dyDescent="0.25">
      <c r="A406" s="5">
        <v>44187</v>
      </c>
      <c r="B406">
        <v>1.0452999999999999</v>
      </c>
      <c r="C406">
        <v>1.0829</v>
      </c>
      <c r="D406">
        <v>0.99009999999999998</v>
      </c>
      <c r="E406">
        <v>1.0797000000000001</v>
      </c>
      <c r="F406">
        <v>551272.62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0.93103448275862355</v>
      </c>
      <c r="Q406">
        <f t="shared" si="975"/>
        <v>513253.81862069125</v>
      </c>
      <c r="R406">
        <f t="shared" si="976"/>
        <v>-1262663.2107746741</v>
      </c>
      <c r="S406">
        <f t="shared" si="977"/>
        <v>-12.62663210774674</v>
      </c>
      <c r="T406">
        <f t="shared" si="978"/>
        <v>-1.2626632107746741E-2</v>
      </c>
    </row>
    <row r="407" spans="1:20" x14ac:dyDescent="0.25">
      <c r="A407" s="5">
        <v>44186</v>
      </c>
      <c r="B407">
        <v>1.0825</v>
      </c>
      <c r="C407">
        <v>1.1303000000000001</v>
      </c>
      <c r="D407">
        <v>1.0116000000000001</v>
      </c>
      <c r="E407">
        <v>1.0391999999999999</v>
      </c>
      <c r="F407">
        <v>516807.17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-0.53496208930076095</v>
      </c>
      <c r="Q407">
        <f t="shared" si="975"/>
        <v>-276472.24342881353</v>
      </c>
      <c r="R407">
        <f t="shared" si="976"/>
        <v>-1775917.0293953654</v>
      </c>
      <c r="S407">
        <f t="shared" si="977"/>
        <v>-17.759170293953655</v>
      </c>
      <c r="T407">
        <f t="shared" si="978"/>
        <v>-1.7759170293953654E-2</v>
      </c>
    </row>
    <row r="408" spans="1:20" x14ac:dyDescent="0.25">
      <c r="A408" s="5">
        <v>44185</v>
      </c>
      <c r="B408">
        <v>1.1281000000000001</v>
      </c>
      <c r="C408">
        <v>1.137</v>
      </c>
      <c r="D408">
        <v>1.0622</v>
      </c>
      <c r="E408">
        <v>1.0826</v>
      </c>
      <c r="F408">
        <v>442471.39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-0.45454545454545509</v>
      </c>
      <c r="Q408">
        <f t="shared" si="975"/>
        <v>-201123.35909090933</v>
      </c>
      <c r="R408">
        <f t="shared" si="976"/>
        <v>-1499444.7859665519</v>
      </c>
      <c r="S408">
        <f t="shared" si="977"/>
        <v>-14.994447859665518</v>
      </c>
      <c r="T408">
        <f t="shared" si="978"/>
        <v>-1.4994447859665519E-2</v>
      </c>
    </row>
    <row r="409" spans="1:20" x14ac:dyDescent="0.25">
      <c r="A409" s="5">
        <v>44184</v>
      </c>
      <c r="B409">
        <v>1.1437999999999999</v>
      </c>
      <c r="C409">
        <v>1.1792</v>
      </c>
      <c r="D409">
        <v>1.1201000000000001</v>
      </c>
      <c r="E409">
        <v>1.1324000000000001</v>
      </c>
      <c r="F409">
        <v>504522.84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-0.58375634517766528</v>
      </c>
      <c r="Q409">
        <f t="shared" si="975"/>
        <v>-294518.40913705603</v>
      </c>
      <c r="R409">
        <f t="shared" si="976"/>
        <v>-1298321.4268756425</v>
      </c>
      <c r="S409">
        <f t="shared" si="977"/>
        <v>-12.983214268756425</v>
      </c>
      <c r="T409">
        <f t="shared" si="978"/>
        <v>-1.2983214268756425E-2</v>
      </c>
    </row>
    <row r="410" spans="1:20" x14ac:dyDescent="0.25">
      <c r="A410" s="5">
        <v>44183</v>
      </c>
      <c r="B410">
        <v>1.145</v>
      </c>
      <c r="C410">
        <v>1.1646000000000001</v>
      </c>
      <c r="D410">
        <v>1.1052</v>
      </c>
      <c r="E410">
        <v>1.1479999999999999</v>
      </c>
      <c r="F410">
        <v>533452.16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0.44107744107743646</v>
      </c>
      <c r="Q410">
        <f t="shared" si="975"/>
        <v>235293.71367003123</v>
      </c>
      <c r="R410">
        <f t="shared" si="976"/>
        <v>-1003803.0177385865</v>
      </c>
      <c r="S410">
        <f t="shared" si="977"/>
        <v>-10.038030177385865</v>
      </c>
      <c r="T410">
        <f t="shared" si="978"/>
        <v>-1.0038030177385865E-2</v>
      </c>
    </row>
    <row r="411" spans="1:20" x14ac:dyDescent="0.25">
      <c r="A411" s="5">
        <v>44182</v>
      </c>
      <c r="B411">
        <v>1.1659999999999999</v>
      </c>
      <c r="C411">
        <v>1.2161999999999999</v>
      </c>
      <c r="D411">
        <v>1.1224000000000001</v>
      </c>
      <c r="E411">
        <v>1.1509</v>
      </c>
      <c r="F411">
        <v>1068621.31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-0.39232409381663103</v>
      </c>
      <c r="Q411">
        <f t="shared" si="975"/>
        <v>-419245.88707889116</v>
      </c>
      <c r="R411">
        <f t="shared" si="976"/>
        <v>-1239096.7314086177</v>
      </c>
      <c r="S411">
        <f t="shared" si="977"/>
        <v>-12.390967314086177</v>
      </c>
      <c r="T411">
        <f t="shared" si="978"/>
        <v>-1.2390967314086178E-2</v>
      </c>
    </row>
    <row r="412" spans="1:20" x14ac:dyDescent="0.25">
      <c r="A412" s="5">
        <v>44181</v>
      </c>
      <c r="B412">
        <v>1.0685</v>
      </c>
      <c r="C412">
        <v>1.2095</v>
      </c>
      <c r="D412">
        <v>1.0524</v>
      </c>
      <c r="E412">
        <v>1.1658999999999999</v>
      </c>
      <c r="F412">
        <v>1358785.27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0.44493952896244332</v>
      </c>
      <c r="Q412">
        <f t="shared" si="975"/>
        <v>604577.27799490641</v>
      </c>
      <c r="R412">
        <f t="shared" si="976"/>
        <v>-819850.84432972653</v>
      </c>
      <c r="S412">
        <f t="shared" si="977"/>
        <v>-8.1985084432972659</v>
      </c>
      <c r="T412">
        <f t="shared" si="978"/>
        <v>-8.1985084432972654E-3</v>
      </c>
    </row>
    <row r="413" spans="1:20" x14ac:dyDescent="0.25">
      <c r="A413" s="5">
        <v>44180</v>
      </c>
      <c r="B413">
        <v>1.0688</v>
      </c>
      <c r="C413">
        <v>1.091</v>
      </c>
      <c r="D413">
        <v>1.0324</v>
      </c>
      <c r="E413">
        <v>1.0685</v>
      </c>
      <c r="F413">
        <v>413614.1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0.23208191126279965</v>
      </c>
      <c r="Q413">
        <f t="shared" si="975"/>
        <v>95992.350853242737</v>
      </c>
      <c r="R413">
        <f t="shared" si="976"/>
        <v>-1424428.1223246329</v>
      </c>
      <c r="S413">
        <f t="shared" si="977"/>
        <v>-14.244281223246329</v>
      </c>
      <c r="T413">
        <f t="shared" si="978"/>
        <v>-1.4244281223246329E-2</v>
      </c>
    </row>
    <row r="414" spans="1:20" x14ac:dyDescent="0.25">
      <c r="A414" s="5">
        <v>44179</v>
      </c>
      <c r="B414">
        <v>1.0824</v>
      </c>
      <c r="C414">
        <v>1.1200000000000001</v>
      </c>
      <c r="D414">
        <v>1.056</v>
      </c>
      <c r="E414">
        <v>1.0643</v>
      </c>
      <c r="F414">
        <v>546729.52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-0.74062500000000109</v>
      </c>
      <c r="Q414">
        <f t="shared" si="975"/>
        <v>-404921.55075000064</v>
      </c>
      <c r="R414">
        <f t="shared" si="976"/>
        <v>-1520420.4731778756</v>
      </c>
      <c r="S414">
        <f t="shared" si="977"/>
        <v>-15.204204731778756</v>
      </c>
      <c r="T414">
        <f t="shared" si="978"/>
        <v>-1.5204204731778756E-2</v>
      </c>
    </row>
    <row r="415" spans="1:20" x14ac:dyDescent="0.25">
      <c r="A415" s="5">
        <v>44178</v>
      </c>
      <c r="B415">
        <v>1.0057</v>
      </c>
      <c r="C415">
        <v>1.1244000000000001</v>
      </c>
      <c r="D415">
        <v>0.99060000000000004</v>
      </c>
      <c r="E415">
        <v>1.0883</v>
      </c>
      <c r="F415">
        <v>655862.99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0.46038863976083688</v>
      </c>
      <c r="Q415">
        <f t="shared" si="975"/>
        <v>301951.86983557534</v>
      </c>
      <c r="R415">
        <f t="shared" si="976"/>
        <v>-1115498.922427875</v>
      </c>
      <c r="S415">
        <f t="shared" si="977"/>
        <v>-11.154989224278751</v>
      </c>
      <c r="T415">
        <f t="shared" si="978"/>
        <v>-1.1154989224278751E-2</v>
      </c>
    </row>
    <row r="416" spans="1:20" x14ac:dyDescent="0.25">
      <c r="A416" s="5">
        <v>44177</v>
      </c>
      <c r="B416">
        <v>0.92610000000000003</v>
      </c>
      <c r="C416">
        <v>1.0201</v>
      </c>
      <c r="D416">
        <v>0.91879999999999995</v>
      </c>
      <c r="E416">
        <v>1.0056</v>
      </c>
      <c r="F416">
        <v>492754.74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0.7137216189536042</v>
      </c>
      <c r="Q416">
        <f t="shared" si="975"/>
        <v>351689.7107798623</v>
      </c>
      <c r="R416">
        <f t="shared" si="976"/>
        <v>-1417450.7922634503</v>
      </c>
      <c r="S416">
        <f t="shared" si="977"/>
        <v>-14.174507922634504</v>
      </c>
      <c r="T416">
        <f t="shared" si="978"/>
        <v>-1.4174507922634505E-2</v>
      </c>
    </row>
    <row r="417" spans="1:20" x14ac:dyDescent="0.25">
      <c r="A417" s="5">
        <v>44176</v>
      </c>
      <c r="B417">
        <v>0.99529999999999996</v>
      </c>
      <c r="C417">
        <v>0.99960000000000004</v>
      </c>
      <c r="D417">
        <v>0.91</v>
      </c>
      <c r="E417">
        <v>0.92710000000000004</v>
      </c>
      <c r="F417">
        <v>463155.24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-0.6183035714285714</v>
      </c>
      <c r="Q417">
        <f t="shared" si="975"/>
        <v>-286370.53901785711</v>
      </c>
      <c r="R417">
        <f t="shared" si="976"/>
        <v>-1769140.5030433126</v>
      </c>
      <c r="S417">
        <f t="shared" si="977"/>
        <v>-17.691405030433124</v>
      </c>
      <c r="T417">
        <f t="shared" si="978"/>
        <v>-1.7691405030433125E-2</v>
      </c>
    </row>
    <row r="418" spans="1:20" x14ac:dyDescent="0.25">
      <c r="A418" s="5">
        <v>44175</v>
      </c>
      <c r="B418">
        <v>1.0451999999999999</v>
      </c>
      <c r="C418">
        <v>1.0518000000000001</v>
      </c>
      <c r="D418">
        <v>0.97289999999999999</v>
      </c>
      <c r="E418">
        <v>0.9909</v>
      </c>
      <c r="F418">
        <v>403516.76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-0.54372623574144496</v>
      </c>
      <c r="Q418">
        <f t="shared" si="975"/>
        <v>-219402.64897338409</v>
      </c>
      <c r="R418">
        <f t="shared" si="976"/>
        <v>-1482769.9640254555</v>
      </c>
      <c r="S418">
        <f t="shared" si="977"/>
        <v>-14.827699640254556</v>
      </c>
      <c r="T418">
        <f t="shared" si="978"/>
        <v>-1.4827699640254556E-2</v>
      </c>
    </row>
    <row r="419" spans="1:20" x14ac:dyDescent="0.25">
      <c r="A419" s="5">
        <v>44174</v>
      </c>
      <c r="B419">
        <v>0.97609999999999997</v>
      </c>
      <c r="C419">
        <v>1.0687</v>
      </c>
      <c r="D419">
        <v>0.91320000000000001</v>
      </c>
      <c r="E419">
        <v>1.0497000000000001</v>
      </c>
      <c r="F419">
        <v>688872.13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0.75562700964630347</v>
      </c>
      <c r="Q419">
        <f t="shared" si="975"/>
        <v>520530.38762057963</v>
      </c>
      <c r="R419">
        <f t="shared" si="976"/>
        <v>-1263367.3150520714</v>
      </c>
      <c r="S419">
        <f t="shared" si="977"/>
        <v>-12.633673150520714</v>
      </c>
      <c r="T419">
        <f t="shared" si="978"/>
        <v>-1.2633673150520714E-2</v>
      </c>
    </row>
    <row r="420" spans="1:20" x14ac:dyDescent="0.25">
      <c r="A420" s="5">
        <v>44173</v>
      </c>
      <c r="B420">
        <v>1.0569</v>
      </c>
      <c r="C420">
        <v>1.0878000000000001</v>
      </c>
      <c r="D420">
        <v>0.95499999999999996</v>
      </c>
      <c r="E420">
        <v>0.97199999999999998</v>
      </c>
      <c r="F420">
        <v>782517.18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-0.74397590361445787</v>
      </c>
      <c r="Q420">
        <f t="shared" si="975"/>
        <v>-582173.92608433741</v>
      </c>
      <c r="R420">
        <f t="shared" si="976"/>
        <v>-1783897.702672651</v>
      </c>
      <c r="S420">
        <f t="shared" si="977"/>
        <v>-17.838977026726511</v>
      </c>
      <c r="T420">
        <f t="shared" si="978"/>
        <v>-1.7838977026726512E-2</v>
      </c>
    </row>
    <row r="421" spans="1:20" x14ac:dyDescent="0.25">
      <c r="A421" s="5">
        <v>44172</v>
      </c>
      <c r="B421">
        <v>1.0896999999999999</v>
      </c>
      <c r="C421">
        <v>1.0941000000000001</v>
      </c>
      <c r="D421">
        <v>1.042</v>
      </c>
      <c r="E421">
        <v>1.0573999999999999</v>
      </c>
      <c r="F421">
        <v>365095.91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-0.40882917466411334</v>
      </c>
      <c r="Q421">
        <f t="shared" si="975"/>
        <v>-149261.85955854339</v>
      </c>
      <c r="R421">
        <f t="shared" si="976"/>
        <v>-1201723.7765883135</v>
      </c>
      <c r="S421">
        <f t="shared" si="977"/>
        <v>-12.017237765883134</v>
      </c>
      <c r="T421">
        <f t="shared" si="978"/>
        <v>-1.2017237765883135E-2</v>
      </c>
    </row>
    <row r="422" spans="1:20" x14ac:dyDescent="0.25">
      <c r="A422" s="5">
        <v>44171</v>
      </c>
      <c r="B422">
        <v>1.1116999999999999</v>
      </c>
      <c r="C422">
        <v>1.1314</v>
      </c>
      <c r="D422">
        <v>1.0654999999999999</v>
      </c>
      <c r="E422">
        <v>1.0898000000000001</v>
      </c>
      <c r="F422">
        <v>456373.13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-0.26251896813353004</v>
      </c>
      <c r="Q422">
        <f t="shared" si="975"/>
        <v>-119806.60317146937</v>
      </c>
      <c r="R422">
        <f t="shared" si="976"/>
        <v>-1052461.9170297701</v>
      </c>
      <c r="S422">
        <f t="shared" si="977"/>
        <v>-10.524619170297701</v>
      </c>
      <c r="T422">
        <f t="shared" si="978"/>
        <v>-1.05246191702977E-2</v>
      </c>
    </row>
    <row r="423" spans="1:20" x14ac:dyDescent="0.25">
      <c r="A423" s="5">
        <v>44170</v>
      </c>
      <c r="B423">
        <v>1.0509999999999999</v>
      </c>
      <c r="C423">
        <v>1.1380999999999999</v>
      </c>
      <c r="D423">
        <v>1.0263</v>
      </c>
      <c r="E423">
        <v>1.1155999999999999</v>
      </c>
      <c r="F423">
        <v>438574.03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0.59749552772808612</v>
      </c>
      <c r="Q423">
        <f t="shared" si="975"/>
        <v>262046.02150268349</v>
      </c>
      <c r="R423">
        <f t="shared" si="976"/>
        <v>-932655.3138583008</v>
      </c>
      <c r="S423">
        <f t="shared" si="977"/>
        <v>-9.3265531385830087</v>
      </c>
      <c r="T423">
        <f t="shared" si="978"/>
        <v>-9.3265531385830092E-3</v>
      </c>
    </row>
    <row r="424" spans="1:20" x14ac:dyDescent="0.25">
      <c r="A424" s="5">
        <v>44169</v>
      </c>
      <c r="B424">
        <v>1.1695</v>
      </c>
      <c r="C424">
        <v>1.2170000000000001</v>
      </c>
      <c r="D424">
        <v>1.0368999999999999</v>
      </c>
      <c r="E424">
        <v>1.0516000000000001</v>
      </c>
      <c r="F424">
        <v>900534.34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-0.83675735702387399</v>
      </c>
      <c r="Q424">
        <f t="shared" si="975"/>
        <v>-753528.73424763873</v>
      </c>
      <c r="R424">
        <f t="shared" si="976"/>
        <v>-1194701.3353609843</v>
      </c>
      <c r="S424">
        <f t="shared" si="977"/>
        <v>-11.947013353609844</v>
      </c>
      <c r="T424">
        <f t="shared" si="978"/>
        <v>-1.1947013353609844E-2</v>
      </c>
    </row>
    <row r="425" spans="1:20" x14ac:dyDescent="0.25">
      <c r="A425" s="5">
        <v>44168</v>
      </c>
      <c r="B425">
        <v>1.1616</v>
      </c>
      <c r="C425">
        <v>1.1961999999999999</v>
      </c>
      <c r="D425">
        <v>1.1419999999999999</v>
      </c>
      <c r="E425">
        <v>1.1714</v>
      </c>
      <c r="F425">
        <v>522061.14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8.4870848708489988E-2</v>
      </c>
      <c r="Q425">
        <f t="shared" si="975"/>
        <v>44307.77202952181</v>
      </c>
      <c r="R425">
        <f t="shared" si="976"/>
        <v>-441172.60111334559</v>
      </c>
      <c r="S425">
        <f t="shared" si="977"/>
        <v>-4.4117260111334557</v>
      </c>
      <c r="T425">
        <f t="shared" si="978"/>
        <v>-4.4117260111334556E-3</v>
      </c>
    </row>
    <row r="426" spans="1:20" x14ac:dyDescent="0.25">
      <c r="A426" s="5">
        <v>44167</v>
      </c>
      <c r="B426">
        <v>1.1659999999999999</v>
      </c>
      <c r="C426">
        <v>1.19</v>
      </c>
      <c r="D426">
        <v>1.1160000000000001</v>
      </c>
      <c r="E426">
        <v>1.1616</v>
      </c>
      <c r="F426">
        <v>725834.76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0.23243243243243134</v>
      </c>
      <c r="Q426">
        <f t="shared" si="975"/>
        <v>168707.53881081002</v>
      </c>
      <c r="R426">
        <f t="shared" si="976"/>
        <v>-485480.37314286741</v>
      </c>
      <c r="S426">
        <f t="shared" si="977"/>
        <v>-4.8548037314286745</v>
      </c>
      <c r="T426">
        <f t="shared" si="978"/>
        <v>-4.8548037314286741E-3</v>
      </c>
    </row>
    <row r="427" spans="1:20" x14ac:dyDescent="0.25">
      <c r="A427" s="5">
        <v>44166</v>
      </c>
      <c r="B427">
        <v>1.2045999999999999</v>
      </c>
      <c r="C427">
        <v>1.3103</v>
      </c>
      <c r="D427">
        <v>1.1411</v>
      </c>
      <c r="E427">
        <v>1.1631</v>
      </c>
      <c r="F427">
        <v>1222689.6399999999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-0.73995271867612278</v>
      </c>
      <c r="Q427">
        <f t="shared" si="975"/>
        <v>-904732.52321512974</v>
      </c>
      <c r="R427">
        <f t="shared" si="976"/>
        <v>-654187.91195367742</v>
      </c>
      <c r="S427">
        <f t="shared" si="977"/>
        <v>-6.541879119536774</v>
      </c>
      <c r="T427">
        <f t="shared" si="978"/>
        <v>-6.5418791195367742E-3</v>
      </c>
    </row>
    <row r="428" spans="1:20" x14ac:dyDescent="0.25">
      <c r="A428" s="5">
        <v>44165</v>
      </c>
      <c r="B428">
        <v>1.1746000000000001</v>
      </c>
      <c r="C428">
        <v>1.25</v>
      </c>
      <c r="D428">
        <v>1.1399999999999999</v>
      </c>
      <c r="E428">
        <v>1.1989000000000001</v>
      </c>
      <c r="F428">
        <v>1134310.02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7.0909090909093128E-2</v>
      </c>
      <c r="Q428">
        <f t="shared" si="975"/>
        <v>80432.892327275244</v>
      </c>
      <c r="R428">
        <f t="shared" si="976"/>
        <v>250544.61126145237</v>
      </c>
      <c r="S428">
        <f t="shared" si="977"/>
        <v>2.5054461126145235</v>
      </c>
      <c r="T428">
        <f t="shared" si="978"/>
        <v>2.5054461126145238E-3</v>
      </c>
    </row>
    <row r="429" spans="1:20" x14ac:dyDescent="0.25">
      <c r="A429" s="5">
        <v>44164</v>
      </c>
      <c r="B429">
        <v>1.1732</v>
      </c>
      <c r="C429">
        <v>1.2801</v>
      </c>
      <c r="D429">
        <v>1.1475</v>
      </c>
      <c r="E429">
        <v>1.175</v>
      </c>
      <c r="F429">
        <v>891260.89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-0.58521870286576061</v>
      </c>
      <c r="Q429">
        <f t="shared" si="975"/>
        <v>-521582.54196078336</v>
      </c>
      <c r="R429">
        <f t="shared" si="976"/>
        <v>170111.71893417713</v>
      </c>
      <c r="S429">
        <f t="shared" si="977"/>
        <v>1.7011171893417714</v>
      </c>
      <c r="T429">
        <f t="shared" si="978"/>
        <v>1.7011171893417715E-3</v>
      </c>
    </row>
    <row r="430" spans="1:20" x14ac:dyDescent="0.25">
      <c r="A430" s="5">
        <v>44163</v>
      </c>
      <c r="B430">
        <v>1.1217999999999999</v>
      </c>
      <c r="C430">
        <v>1.2598</v>
      </c>
      <c r="D430">
        <v>1.0989</v>
      </c>
      <c r="E430">
        <v>1.1738999999999999</v>
      </c>
      <c r="F430">
        <v>1698463.71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-6.7743940335612984E-2</v>
      </c>
      <c r="Q430">
        <f t="shared" si="975"/>
        <v>-115060.62423244388</v>
      </c>
      <c r="R430">
        <f t="shared" si="976"/>
        <v>691694.26089496049</v>
      </c>
      <c r="S430">
        <f t="shared" si="977"/>
        <v>6.9169426089496051</v>
      </c>
      <c r="T430">
        <f t="shared" si="978"/>
        <v>6.9169426089496049E-3</v>
      </c>
    </row>
    <row r="431" spans="1:20" x14ac:dyDescent="0.25">
      <c r="A431" s="5">
        <v>44162</v>
      </c>
      <c r="B431">
        <v>1.0197000000000001</v>
      </c>
      <c r="C431">
        <v>1.21</v>
      </c>
      <c r="D431">
        <v>0.99670000000000003</v>
      </c>
      <c r="E431">
        <v>1.1200000000000001</v>
      </c>
      <c r="F431">
        <v>2046688.58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0.15611814345991668</v>
      </c>
      <c r="Q431">
        <f t="shared" si="975"/>
        <v>319525.22135021316</v>
      </c>
      <c r="R431">
        <f t="shared" si="976"/>
        <v>806754.88512740436</v>
      </c>
      <c r="S431">
        <f t="shared" si="977"/>
        <v>8.0675488512740436</v>
      </c>
      <c r="T431">
        <f t="shared" si="978"/>
        <v>8.0675488512740434E-3</v>
      </c>
    </row>
    <row r="432" spans="1:20" x14ac:dyDescent="0.25">
      <c r="A432" s="5">
        <v>44161</v>
      </c>
      <c r="B432">
        <v>1.1855</v>
      </c>
      <c r="C432">
        <v>1.2202999999999999</v>
      </c>
      <c r="D432">
        <v>0.91420000000000001</v>
      </c>
      <c r="E432">
        <v>1.0175000000000001</v>
      </c>
      <c r="F432">
        <v>3982313.08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-0.32505717085919578</v>
      </c>
      <c r="Q432">
        <f t="shared" si="975"/>
        <v>-1294479.4232603703</v>
      </c>
      <c r="R432">
        <f t="shared" si="976"/>
        <v>487229.66377719119</v>
      </c>
      <c r="S432">
        <f t="shared" si="977"/>
        <v>4.8722966377719121</v>
      </c>
      <c r="T432">
        <f t="shared" si="978"/>
        <v>4.8722966377719125E-3</v>
      </c>
    </row>
    <row r="433" spans="1:20" x14ac:dyDescent="0.25">
      <c r="A433" s="5">
        <v>44160</v>
      </c>
      <c r="B433">
        <v>1.3667</v>
      </c>
      <c r="C433">
        <v>1.45</v>
      </c>
      <c r="D433">
        <v>1.1100000000000001</v>
      </c>
      <c r="E433">
        <v>1.1917</v>
      </c>
      <c r="F433">
        <v>3536334.08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-0.51941176470588279</v>
      </c>
      <c r="Q433">
        <f t="shared" si="975"/>
        <v>-1836813.5250823544</v>
      </c>
      <c r="R433">
        <f t="shared" si="976"/>
        <v>1781709.0870375615</v>
      </c>
      <c r="S433">
        <f t="shared" si="977"/>
        <v>17.817090870375615</v>
      </c>
      <c r="T433">
        <f t="shared" si="978"/>
        <v>1.7817090870375616E-2</v>
      </c>
    </row>
    <row r="434" spans="1:20" x14ac:dyDescent="0.25">
      <c r="A434" s="5">
        <v>44159</v>
      </c>
      <c r="B434">
        <v>1.177</v>
      </c>
      <c r="C434">
        <v>1.5</v>
      </c>
      <c r="D434">
        <v>1.0502</v>
      </c>
      <c r="E434">
        <v>1.3744000000000001</v>
      </c>
      <c r="F434">
        <v>5067191.22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0.441529568697199</v>
      </c>
      <c r="Q434">
        <f t="shared" si="975"/>
        <v>2237314.7538728337</v>
      </c>
      <c r="R434">
        <f t="shared" si="976"/>
        <v>3618522.6121199159</v>
      </c>
      <c r="S434">
        <f t="shared" si="977"/>
        <v>36.185226121199157</v>
      </c>
      <c r="T434">
        <f t="shared" si="978"/>
        <v>3.6185226121199156E-2</v>
      </c>
    </row>
    <row r="435" spans="1:20" x14ac:dyDescent="0.25">
      <c r="A435" s="5">
        <v>44158</v>
      </c>
      <c r="B435">
        <v>0.8528</v>
      </c>
      <c r="C435">
        <v>1.1775</v>
      </c>
      <c r="D435">
        <v>0.83009999999999995</v>
      </c>
      <c r="E435">
        <v>1.1771</v>
      </c>
      <c r="F435">
        <v>3215806.54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0.99769717904432953</v>
      </c>
      <c r="Q435">
        <f t="shared" si="975"/>
        <v>3208401.1133103059</v>
      </c>
      <c r="R435">
        <f t="shared" si="976"/>
        <v>1381207.858247082</v>
      </c>
      <c r="S435">
        <f t="shared" si="977"/>
        <v>13.81207858247082</v>
      </c>
      <c r="T435">
        <f t="shared" si="978"/>
        <v>1.381207858247082E-2</v>
      </c>
    </row>
    <row r="436" spans="1:20" x14ac:dyDescent="0.25">
      <c r="A436" s="5">
        <v>44157</v>
      </c>
      <c r="B436">
        <v>0.8649</v>
      </c>
      <c r="C436">
        <v>0.98</v>
      </c>
      <c r="D436">
        <v>0.80549999999999999</v>
      </c>
      <c r="E436">
        <v>0.8528</v>
      </c>
      <c r="F436">
        <v>1879110.53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-0.45787965616045834</v>
      </c>
      <c r="Q436">
        <f t="shared" si="975"/>
        <v>-860406.48336389661</v>
      </c>
      <c r="R436">
        <f t="shared" si="976"/>
        <v>-1827193.2550632239</v>
      </c>
      <c r="S436">
        <f t="shared" si="977"/>
        <v>-18.27193255063224</v>
      </c>
      <c r="T436">
        <f t="shared" si="978"/>
        <v>-1.8271932550632239E-2</v>
      </c>
    </row>
    <row r="437" spans="1:20" x14ac:dyDescent="0.25">
      <c r="A437" s="5">
        <v>44156</v>
      </c>
      <c r="B437">
        <v>0.76219999999999999</v>
      </c>
      <c r="C437">
        <v>0.88100000000000001</v>
      </c>
      <c r="D437">
        <v>0.75649999999999995</v>
      </c>
      <c r="E437">
        <v>0.86499999999999999</v>
      </c>
      <c r="F437">
        <v>1288383.58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0.74297188755020072</v>
      </c>
      <c r="Q437">
        <f t="shared" si="975"/>
        <v>957232.78032128513</v>
      </c>
      <c r="R437">
        <f t="shared" si="976"/>
        <v>-966786.77169932728</v>
      </c>
      <c r="S437">
        <f t="shared" si="977"/>
        <v>-9.667867716993273</v>
      </c>
      <c r="T437">
        <f t="shared" si="978"/>
        <v>-9.6678677169932722E-3</v>
      </c>
    </row>
    <row r="438" spans="1:20" x14ac:dyDescent="0.25">
      <c r="A438" s="5">
        <v>44155</v>
      </c>
      <c r="B438">
        <v>0.73629999999999995</v>
      </c>
      <c r="C438">
        <v>0.76249999999999996</v>
      </c>
      <c r="D438">
        <v>0.72499999999999998</v>
      </c>
      <c r="E438">
        <v>0.76219999999999999</v>
      </c>
      <c r="F438">
        <v>474686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0.98400000000000176</v>
      </c>
      <c r="Q438">
        <f t="shared" si="975"/>
        <v>467091.02400000085</v>
      </c>
      <c r="R438">
        <f t="shared" si="976"/>
        <v>-1924019.5520206124</v>
      </c>
      <c r="S438">
        <f t="shared" si="977"/>
        <v>-19.240195520206125</v>
      </c>
      <c r="T438">
        <f t="shared" si="978"/>
        <v>-1.9240195520206126E-2</v>
      </c>
    </row>
    <row r="439" spans="1:20" x14ac:dyDescent="0.25">
      <c r="A439" s="5">
        <v>44154</v>
      </c>
      <c r="B439">
        <v>0.73729999999999996</v>
      </c>
      <c r="C439">
        <v>0.74919999999999998</v>
      </c>
      <c r="D439">
        <v>0.71050000000000002</v>
      </c>
      <c r="E439">
        <v>0.73599999999999999</v>
      </c>
      <c r="F439">
        <v>343683.64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0.31782945736434087</v>
      </c>
      <c r="Q439">
        <f t="shared" si="975"/>
        <v>109232.78480620148</v>
      </c>
      <c r="R439">
        <f t="shared" si="976"/>
        <v>-2391110.5760206133</v>
      </c>
      <c r="S439">
        <f t="shared" si="977"/>
        <v>-23.911105760206134</v>
      </c>
      <c r="T439">
        <f t="shared" si="978"/>
        <v>-2.3911105760206133E-2</v>
      </c>
    </row>
    <row r="440" spans="1:20" x14ac:dyDescent="0.25">
      <c r="A440" s="5">
        <v>44153</v>
      </c>
      <c r="B440">
        <v>0.75439999999999996</v>
      </c>
      <c r="C440">
        <v>0.75880000000000003</v>
      </c>
      <c r="D440">
        <v>0.71399999999999997</v>
      </c>
      <c r="E440">
        <v>0.73409999999999997</v>
      </c>
      <c r="F440">
        <v>586262.37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-0.10267857142857237</v>
      </c>
      <c r="Q440">
        <f t="shared" si="975"/>
        <v>-60196.582633929123</v>
      </c>
      <c r="R440">
        <f t="shared" si="976"/>
        <v>-2500343.360826815</v>
      </c>
      <c r="S440">
        <f t="shared" si="977"/>
        <v>-25.00343360826815</v>
      </c>
      <c r="T440">
        <f t="shared" si="978"/>
        <v>-2.500343360826815E-2</v>
      </c>
    </row>
    <row r="441" spans="1:20" x14ac:dyDescent="0.25">
      <c r="A441" s="5">
        <v>44152</v>
      </c>
      <c r="B441">
        <v>0.73899999999999999</v>
      </c>
      <c r="C441">
        <v>0.76</v>
      </c>
      <c r="D441">
        <v>0.73209999999999997</v>
      </c>
      <c r="E441">
        <v>0.75339999999999996</v>
      </c>
      <c r="F441">
        <v>487203.85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0.52688172043010451</v>
      </c>
      <c r="Q441">
        <f t="shared" si="975"/>
        <v>256698.80268817054</v>
      </c>
      <c r="R441">
        <f t="shared" si="976"/>
        <v>-2440146.7781928857</v>
      </c>
      <c r="S441">
        <f t="shared" si="977"/>
        <v>-24.401467781928858</v>
      </c>
      <c r="T441">
        <f t="shared" si="978"/>
        <v>-2.4401467781928858E-2</v>
      </c>
    </row>
    <row r="442" spans="1:20" x14ac:dyDescent="0.25">
      <c r="A442" s="5">
        <v>44151</v>
      </c>
      <c r="B442">
        <v>0.7339</v>
      </c>
      <c r="C442">
        <v>0.748</v>
      </c>
      <c r="D442">
        <v>0.72250000000000003</v>
      </c>
      <c r="E442">
        <v>0.7399</v>
      </c>
      <c r="F442">
        <v>452693.78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0.36470588235294066</v>
      </c>
      <c r="Q442">
        <f t="shared" si="975"/>
        <v>165100.08447058802</v>
      </c>
      <c r="R442">
        <f t="shared" si="976"/>
        <v>-2696845.5808810564</v>
      </c>
      <c r="S442">
        <f t="shared" si="977"/>
        <v>-26.968455808810564</v>
      </c>
      <c r="T442">
        <f t="shared" si="978"/>
        <v>-2.6968455808810562E-2</v>
      </c>
    </row>
    <row r="443" spans="1:20" x14ac:dyDescent="0.25">
      <c r="A443" s="5">
        <v>44150</v>
      </c>
      <c r="B443">
        <v>0.753</v>
      </c>
      <c r="C443">
        <v>0.76400000000000001</v>
      </c>
      <c r="D443">
        <v>0.72</v>
      </c>
      <c r="E443">
        <v>0.73740000000000006</v>
      </c>
      <c r="F443">
        <v>336218.28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-0.20909090909090605</v>
      </c>
      <c r="Q443">
        <f t="shared" si="975"/>
        <v>-70300.185818180806</v>
      </c>
      <c r="R443">
        <f t="shared" si="976"/>
        <v>-2861945.6653516446</v>
      </c>
      <c r="S443">
        <f t="shared" si="977"/>
        <v>-28.619456653516448</v>
      </c>
      <c r="T443">
        <f t="shared" si="978"/>
        <v>-2.8619456653516447E-2</v>
      </c>
    </row>
    <row r="444" spans="1:20" x14ac:dyDescent="0.25">
      <c r="A444" s="5">
        <v>44149</v>
      </c>
      <c r="B444">
        <v>0.78369999999999995</v>
      </c>
      <c r="C444">
        <v>0.79139999999999999</v>
      </c>
      <c r="D444">
        <v>0.745</v>
      </c>
      <c r="E444">
        <v>0.75519999999999998</v>
      </c>
      <c r="F444">
        <v>262113.05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-0.56034482758620741</v>
      </c>
      <c r="Q444">
        <f t="shared" si="975"/>
        <v>-146873.69181034496</v>
      </c>
      <c r="R444">
        <f t="shared" si="976"/>
        <v>-2791645.4795334637</v>
      </c>
      <c r="S444">
        <f t="shared" si="977"/>
        <v>-27.916454795334637</v>
      </c>
      <c r="T444">
        <f t="shared" si="978"/>
        <v>-2.7916454795334639E-2</v>
      </c>
    </row>
    <row r="445" spans="1:20" x14ac:dyDescent="0.25">
      <c r="A445" s="5">
        <v>44148</v>
      </c>
      <c r="B445">
        <v>0.75900000000000001</v>
      </c>
      <c r="C445">
        <v>0.81869999999999998</v>
      </c>
      <c r="D445">
        <v>0.74350000000000005</v>
      </c>
      <c r="E445">
        <v>0.78300000000000003</v>
      </c>
      <c r="F445">
        <v>540198.65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5.0531914893617406E-2</v>
      </c>
      <c r="Q445">
        <f t="shared" si="975"/>
        <v>27297.272207447018</v>
      </c>
      <c r="R445">
        <f t="shared" si="976"/>
        <v>-2644771.7877231189</v>
      </c>
      <c r="S445">
        <f t="shared" si="977"/>
        <v>-26.447717877231188</v>
      </c>
      <c r="T445">
        <f t="shared" si="978"/>
        <v>-2.644771787723119E-2</v>
      </c>
    </row>
    <row r="446" spans="1:20" x14ac:dyDescent="0.25">
      <c r="A446" s="5">
        <v>44147</v>
      </c>
      <c r="B446">
        <v>0.7883</v>
      </c>
      <c r="C446">
        <v>0.81</v>
      </c>
      <c r="D446">
        <v>0.74790000000000001</v>
      </c>
      <c r="E446">
        <v>0.75839999999999996</v>
      </c>
      <c r="F446">
        <v>570341.44999999995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-0.66183574879227225</v>
      </c>
      <c r="Q446">
        <f t="shared" si="975"/>
        <v>-377472.36062802025</v>
      </c>
      <c r="R446">
        <f t="shared" si="976"/>
        <v>-2672069.0599305658</v>
      </c>
      <c r="S446">
        <f t="shared" si="977"/>
        <v>-26.720690599305659</v>
      </c>
      <c r="T446">
        <f t="shared" si="978"/>
        <v>-2.6720690599305659E-2</v>
      </c>
    </row>
    <row r="447" spans="1:20" x14ac:dyDescent="0.25">
      <c r="A447" s="5">
        <v>44146</v>
      </c>
      <c r="B447">
        <v>0.75219999999999998</v>
      </c>
      <c r="C447">
        <v>0.82989999999999997</v>
      </c>
      <c r="D447">
        <v>0.7399</v>
      </c>
      <c r="E447">
        <v>0.79339999999999999</v>
      </c>
      <c r="F447">
        <v>751997.73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0.18888888888888913</v>
      </c>
      <c r="Q447">
        <f t="shared" si="975"/>
        <v>142044.01566666685</v>
      </c>
      <c r="R447">
        <f t="shared" si="976"/>
        <v>-2294596.6993025453</v>
      </c>
      <c r="S447">
        <f t="shared" si="977"/>
        <v>-22.945966993025454</v>
      </c>
      <c r="T447">
        <f t="shared" si="978"/>
        <v>-2.2945966993025455E-2</v>
      </c>
    </row>
    <row r="448" spans="1:20" x14ac:dyDescent="0.25">
      <c r="A448" s="5">
        <v>44145</v>
      </c>
      <c r="B448">
        <v>0.74360000000000004</v>
      </c>
      <c r="C448">
        <v>0.7772</v>
      </c>
      <c r="D448">
        <v>0.73550000000000004</v>
      </c>
      <c r="E448">
        <v>0.75409999999999999</v>
      </c>
      <c r="F448">
        <v>420667.37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-0.10791366906474974</v>
      </c>
      <c r="Q448">
        <f t="shared" si="975"/>
        <v>-45395.759352518631</v>
      </c>
      <c r="R448">
        <f t="shared" si="976"/>
        <v>-2436640.7149692122</v>
      </c>
      <c r="S448">
        <f t="shared" si="977"/>
        <v>-24.366407149692122</v>
      </c>
      <c r="T448">
        <f t="shared" si="978"/>
        <v>-2.4366407149692123E-2</v>
      </c>
    </row>
    <row r="449" spans="1:20" x14ac:dyDescent="0.25">
      <c r="A449" s="5">
        <v>44144</v>
      </c>
      <c r="B449">
        <v>0.77890000000000004</v>
      </c>
      <c r="C449">
        <v>0.78349999999999997</v>
      </c>
      <c r="D449">
        <v>0.71489999999999998</v>
      </c>
      <c r="E449">
        <v>0.745</v>
      </c>
      <c r="F449">
        <v>323407.93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-0.1224489795918362</v>
      </c>
      <c r="Q449">
        <f t="shared" si="975"/>
        <v>-39600.971020407989</v>
      </c>
      <c r="R449">
        <f t="shared" si="976"/>
        <v>-2391244.9556166935</v>
      </c>
      <c r="S449">
        <f t="shared" si="977"/>
        <v>-23.912449556166933</v>
      </c>
      <c r="T449">
        <f t="shared" si="978"/>
        <v>-2.3912449556166934E-2</v>
      </c>
    </row>
    <row r="450" spans="1:20" x14ac:dyDescent="0.25">
      <c r="A450" s="5">
        <v>44143</v>
      </c>
      <c r="B450">
        <v>0.73799999999999999</v>
      </c>
      <c r="C450">
        <v>0.79079999999999995</v>
      </c>
      <c r="D450">
        <v>0.72960000000000003</v>
      </c>
      <c r="E450">
        <v>0.78439999999999999</v>
      </c>
      <c r="F450">
        <v>268522.03000000003</v>
      </c>
      <c r="G450">
        <v>0</v>
      </c>
      <c r="L450" t="s">
        <v>8</v>
      </c>
      <c r="M450" t="s">
        <v>8</v>
      </c>
      <c r="N450" t="s">
        <v>7</v>
      </c>
      <c r="P450">
        <f t="shared" si="974"/>
        <v>0.79084967320261534</v>
      </c>
      <c r="Q450">
        <f t="shared" si="975"/>
        <v>212360.55967320289</v>
      </c>
      <c r="R450">
        <f t="shared" si="976"/>
        <v>-2351643.9845962855</v>
      </c>
      <c r="S450">
        <f t="shared" si="977"/>
        <v>-23.516439845962854</v>
      </c>
      <c r="T450">
        <f t="shared" si="978"/>
        <v>-2.3516439845962852E-2</v>
      </c>
    </row>
    <row r="451" spans="1:20" x14ac:dyDescent="0.25">
      <c r="A451" s="5">
        <v>44142</v>
      </c>
      <c r="B451">
        <v>0.78400000000000003</v>
      </c>
      <c r="C451">
        <v>0.80269999999999997</v>
      </c>
      <c r="D451">
        <v>0.69710000000000005</v>
      </c>
      <c r="E451">
        <v>0.7369</v>
      </c>
      <c r="F451">
        <v>699970.95</v>
      </c>
      <c r="G451">
        <v>0</v>
      </c>
      <c r="L451" t="s">
        <v>7</v>
      </c>
      <c r="M451" t="s">
        <v>8</v>
      </c>
      <c r="N451" t="s">
        <v>7</v>
      </c>
      <c r="P451">
        <f t="shared" si="974"/>
        <v>-0.24621212121212163</v>
      </c>
      <c r="Q451">
        <f t="shared" si="975"/>
        <v>-172341.33238636391</v>
      </c>
      <c r="R451">
        <f t="shared" si="976"/>
        <v>-2564004.5442694882</v>
      </c>
      <c r="S451">
        <f t="shared" si="977"/>
        <v>-25.640045442694881</v>
      </c>
      <c r="T451">
        <f t="shared" si="978"/>
        <v>-2.5640045442694881E-2</v>
      </c>
    </row>
    <row r="452" spans="1:20" x14ac:dyDescent="0.25">
      <c r="A452" s="5">
        <v>44141</v>
      </c>
      <c r="B452">
        <v>0.72470000000000001</v>
      </c>
      <c r="C452">
        <v>0.79400000000000004</v>
      </c>
      <c r="D452">
        <v>0.7218</v>
      </c>
      <c r="E452">
        <v>0.78180000000000005</v>
      </c>
      <c r="F452">
        <v>482668.92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0.66204986149584544</v>
      </c>
      <c r="Q452">
        <f t="shared" si="975"/>
        <v>319550.8916343493</v>
      </c>
      <c r="R452">
        <f t="shared" si="976"/>
        <v>-2391663.2118831244</v>
      </c>
      <c r="S452">
        <f t="shared" si="977"/>
        <v>-23.916632118831245</v>
      </c>
      <c r="T452">
        <f t="shared" si="978"/>
        <v>-2.3916632118831244E-2</v>
      </c>
    </row>
    <row r="453" spans="1:20" x14ac:dyDescent="0.25">
      <c r="A453" s="5">
        <v>44140</v>
      </c>
      <c r="B453">
        <v>0.70079999999999998</v>
      </c>
      <c r="C453">
        <v>0.73719999999999997</v>
      </c>
      <c r="D453">
        <v>0.68510000000000004</v>
      </c>
      <c r="E453">
        <v>0.72350000000000003</v>
      </c>
      <c r="F453">
        <v>647212.93000000005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0.4740882917466428</v>
      </c>
      <c r="Q453">
        <f t="shared" si="975"/>
        <v>306836.07238003955</v>
      </c>
      <c r="R453">
        <f t="shared" si="976"/>
        <v>-2711214.1035174737</v>
      </c>
      <c r="S453">
        <f t="shared" si="977"/>
        <v>-27.112141035174737</v>
      </c>
      <c r="T453">
        <f t="shared" si="978"/>
        <v>-2.7112141035174737E-2</v>
      </c>
    </row>
    <row r="454" spans="1:20" x14ac:dyDescent="0.25">
      <c r="A454" s="5">
        <v>44139</v>
      </c>
      <c r="B454">
        <v>0.72950000000000004</v>
      </c>
      <c r="C454">
        <v>0.73499999999999999</v>
      </c>
      <c r="D454">
        <v>0.67020000000000002</v>
      </c>
      <c r="E454">
        <v>0.70079999999999998</v>
      </c>
      <c r="F454">
        <v>473680.69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-5.5555555555556316E-2</v>
      </c>
      <c r="Q454">
        <f t="shared" ref="Q454:Q517" si="980">F454*P454</f>
        <v>-26315.593888889249</v>
      </c>
      <c r="R454">
        <f t="shared" ref="R454:R517" si="981">R455+Q454</f>
        <v>-3018050.1758975131</v>
      </c>
      <c r="S454">
        <f t="shared" ref="S454:S517" si="982">R454/100000</f>
        <v>-30.180501758975129</v>
      </c>
      <c r="T454">
        <f t="shared" ref="T454:T517" si="983">S454/1000</f>
        <v>-3.0180501758975128E-2</v>
      </c>
    </row>
    <row r="455" spans="1:20" x14ac:dyDescent="0.25">
      <c r="A455" s="5">
        <v>44138</v>
      </c>
      <c r="B455">
        <v>0.71009999999999995</v>
      </c>
      <c r="C455">
        <v>0.75519999999999998</v>
      </c>
      <c r="D455">
        <v>0.70330000000000004</v>
      </c>
      <c r="E455">
        <v>0.73060000000000003</v>
      </c>
      <c r="F455">
        <v>390278.46</v>
      </c>
      <c r="G455">
        <v>0</v>
      </c>
      <c r="L455" t="s">
        <v>8</v>
      </c>
      <c r="M455" t="s">
        <v>7</v>
      </c>
      <c r="N455" t="s">
        <v>8</v>
      </c>
      <c r="P455">
        <f t="shared" si="979"/>
        <v>5.2023121387283981E-2</v>
      </c>
      <c r="Q455">
        <f t="shared" si="980"/>
        <v>20303.503699422257</v>
      </c>
      <c r="R455">
        <f t="shared" si="981"/>
        <v>-2991734.582008624</v>
      </c>
      <c r="S455">
        <f t="shared" si="982"/>
        <v>-29.91734582008624</v>
      </c>
      <c r="T455">
        <f t="shared" si="983"/>
        <v>-2.991734582008624E-2</v>
      </c>
    </row>
    <row r="456" spans="1:20" x14ac:dyDescent="0.25">
      <c r="A456" s="5">
        <v>44137</v>
      </c>
      <c r="B456">
        <v>0.7399</v>
      </c>
      <c r="C456">
        <v>0.75619999999999998</v>
      </c>
      <c r="D456">
        <v>0.70009999999999994</v>
      </c>
      <c r="E456">
        <v>0.71009999999999995</v>
      </c>
      <c r="F456">
        <v>274556.40000000002</v>
      </c>
      <c r="G456">
        <v>0</v>
      </c>
      <c r="L456" t="s">
        <v>7</v>
      </c>
      <c r="M456" t="s">
        <v>7</v>
      </c>
      <c r="N456" t="s">
        <v>8</v>
      </c>
      <c r="P456">
        <f t="shared" si="979"/>
        <v>-0.64349376114081991</v>
      </c>
      <c r="Q456">
        <f t="shared" si="980"/>
        <v>-176675.33048128342</v>
      </c>
      <c r="R456">
        <f t="shared" si="981"/>
        <v>-3012038.0857080463</v>
      </c>
      <c r="S456">
        <f t="shared" si="982"/>
        <v>-30.120380857080463</v>
      </c>
      <c r="T456">
        <f t="shared" si="983"/>
        <v>-3.0120380857080461E-2</v>
      </c>
    </row>
    <row r="457" spans="1:20" x14ac:dyDescent="0.25">
      <c r="A457" s="5">
        <v>44136</v>
      </c>
      <c r="B457">
        <v>0.74429999999999996</v>
      </c>
      <c r="C457">
        <v>0.75170000000000003</v>
      </c>
      <c r="D457">
        <v>0.72540000000000004</v>
      </c>
      <c r="E457">
        <v>0.74229999999999996</v>
      </c>
      <c r="F457">
        <v>157234.22</v>
      </c>
      <c r="G457">
        <v>0</v>
      </c>
      <c r="L457" t="s">
        <v>7</v>
      </c>
      <c r="M457" t="s">
        <v>7</v>
      </c>
      <c r="N457" t="s">
        <v>8</v>
      </c>
      <c r="P457">
        <f t="shared" si="979"/>
        <v>0.28517110266159101</v>
      </c>
      <c r="Q457">
        <f t="shared" si="980"/>
        <v>44838.655893535186</v>
      </c>
      <c r="R457">
        <f t="shared" si="981"/>
        <v>-2835362.755226763</v>
      </c>
      <c r="S457">
        <f t="shared" si="982"/>
        <v>-28.353627552267628</v>
      </c>
      <c r="T457">
        <f t="shared" si="983"/>
        <v>-2.8353627552267627E-2</v>
      </c>
    </row>
    <row r="458" spans="1:20" x14ac:dyDescent="0.25">
      <c r="A458" s="5">
        <v>44135</v>
      </c>
      <c r="B458">
        <v>0.73</v>
      </c>
      <c r="C458">
        <v>0.76</v>
      </c>
      <c r="D458">
        <v>0.72470000000000001</v>
      </c>
      <c r="E458">
        <v>0.74550000000000005</v>
      </c>
      <c r="F458">
        <v>269797.40000000002</v>
      </c>
      <c r="G458">
        <v>0</v>
      </c>
      <c r="L458" t="s">
        <v>7</v>
      </c>
      <c r="M458" t="s">
        <v>7</v>
      </c>
      <c r="N458" t="s">
        <v>8</v>
      </c>
      <c r="P458">
        <f t="shared" si="979"/>
        <v>0.17847025495750946</v>
      </c>
      <c r="Q458">
        <f t="shared" si="980"/>
        <v>48150.810764873167</v>
      </c>
      <c r="R458">
        <f t="shared" si="981"/>
        <v>-2880201.4111202983</v>
      </c>
      <c r="S458">
        <f t="shared" si="982"/>
        <v>-28.802014111202983</v>
      </c>
      <c r="T458">
        <f t="shared" si="983"/>
        <v>-2.8802014111202982E-2</v>
      </c>
    </row>
    <row r="459" spans="1:20" x14ac:dyDescent="0.25">
      <c r="A459" s="5">
        <v>44134</v>
      </c>
      <c r="B459">
        <v>0.77259999999999995</v>
      </c>
      <c r="C459">
        <v>0.78290000000000004</v>
      </c>
      <c r="D459">
        <v>0.71799999999999997</v>
      </c>
      <c r="E459">
        <v>0.73270000000000002</v>
      </c>
      <c r="F459">
        <v>405912.76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-0.54699537750385108</v>
      </c>
      <c r="Q459">
        <f t="shared" si="980"/>
        <v>-222032.40338983011</v>
      </c>
      <c r="R459">
        <f t="shared" si="981"/>
        <v>-2928352.2218851713</v>
      </c>
      <c r="S459">
        <f t="shared" si="982"/>
        <v>-29.283522218851711</v>
      </c>
      <c r="T459">
        <f t="shared" si="983"/>
        <v>-2.928352221885171E-2</v>
      </c>
    </row>
    <row r="460" spans="1:20" x14ac:dyDescent="0.25">
      <c r="A460" s="5">
        <v>44133</v>
      </c>
      <c r="B460">
        <v>0.76390000000000002</v>
      </c>
      <c r="C460">
        <v>0.78779999999999994</v>
      </c>
      <c r="D460">
        <v>0.751</v>
      </c>
      <c r="E460">
        <v>0.77359999999999995</v>
      </c>
      <c r="F460">
        <v>230881.42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0.22826086956521674</v>
      </c>
      <c r="Q460">
        <f t="shared" si="980"/>
        <v>52701.193695652029</v>
      </c>
      <c r="R460">
        <f t="shared" si="981"/>
        <v>-2706319.8184953411</v>
      </c>
      <c r="S460">
        <f t="shared" si="982"/>
        <v>-27.063198184953411</v>
      </c>
      <c r="T460">
        <f t="shared" si="983"/>
        <v>-2.706319818495341E-2</v>
      </c>
    </row>
    <row r="461" spans="1:20" x14ac:dyDescent="0.25">
      <c r="A461" s="5">
        <v>44132</v>
      </c>
      <c r="B461">
        <v>0.80979999999999996</v>
      </c>
      <c r="C461">
        <v>0.8226</v>
      </c>
      <c r="D461">
        <v>0.74880000000000002</v>
      </c>
      <c r="E461">
        <v>0.76249999999999996</v>
      </c>
      <c r="F461">
        <v>656574.97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-0.62872628726287427</v>
      </c>
      <c r="Q461">
        <f t="shared" si="980"/>
        <v>-412805.94319783302</v>
      </c>
      <c r="R461">
        <f t="shared" si="981"/>
        <v>-2759021.0121909929</v>
      </c>
      <c r="S461">
        <f t="shared" si="982"/>
        <v>-27.59021012190993</v>
      </c>
      <c r="T461">
        <f t="shared" si="983"/>
        <v>-2.759021012190993E-2</v>
      </c>
    </row>
    <row r="462" spans="1:20" x14ac:dyDescent="0.25">
      <c r="A462" s="5">
        <v>44131</v>
      </c>
      <c r="B462">
        <v>0.8427</v>
      </c>
      <c r="C462">
        <v>0.8478</v>
      </c>
      <c r="D462">
        <v>0.79820000000000002</v>
      </c>
      <c r="E462">
        <v>0.80979999999999996</v>
      </c>
      <c r="F462">
        <v>376717.72</v>
      </c>
      <c r="G462">
        <v>0</v>
      </c>
      <c r="L462" t="s">
        <v>7</v>
      </c>
      <c r="M462" t="s">
        <v>8</v>
      </c>
      <c r="N462" t="s">
        <v>8</v>
      </c>
      <c r="P462">
        <f t="shared" si="979"/>
        <v>-0.53225806451613111</v>
      </c>
      <c r="Q462">
        <f t="shared" si="980"/>
        <v>-200511.0445161298</v>
      </c>
      <c r="R462">
        <f t="shared" si="981"/>
        <v>-2346215.06899316</v>
      </c>
      <c r="S462">
        <f t="shared" si="982"/>
        <v>-23.462150689931601</v>
      </c>
      <c r="T462">
        <f t="shared" si="983"/>
        <v>-2.3462150689931602E-2</v>
      </c>
    </row>
    <row r="463" spans="1:20" x14ac:dyDescent="0.25">
      <c r="A463" s="5">
        <v>44130</v>
      </c>
      <c r="B463">
        <v>0.84730000000000005</v>
      </c>
      <c r="C463">
        <v>0.85050000000000003</v>
      </c>
      <c r="D463">
        <v>0.81499999999999995</v>
      </c>
      <c r="E463">
        <v>0.84470000000000001</v>
      </c>
      <c r="F463">
        <v>362046.13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0.67323943661971752</v>
      </c>
      <c r="Q463">
        <f t="shared" si="980"/>
        <v>243743.73259154902</v>
      </c>
      <c r="R463">
        <f t="shared" si="981"/>
        <v>-2145704.0244770302</v>
      </c>
      <c r="S463">
        <f t="shared" si="982"/>
        <v>-21.457040244770301</v>
      </c>
      <c r="T463">
        <f t="shared" si="983"/>
        <v>-2.1457040244770301E-2</v>
      </c>
    </row>
    <row r="464" spans="1:20" x14ac:dyDescent="0.25">
      <c r="A464" s="5">
        <v>44129</v>
      </c>
      <c r="B464">
        <v>0.86419999999999997</v>
      </c>
      <c r="C464">
        <v>0.88470000000000004</v>
      </c>
      <c r="D464">
        <v>0.82820000000000005</v>
      </c>
      <c r="E464">
        <v>0.84319999999999995</v>
      </c>
      <c r="F464">
        <v>482743.72</v>
      </c>
      <c r="G464">
        <v>0</v>
      </c>
      <c r="L464" t="s">
        <v>7</v>
      </c>
      <c r="M464" t="s">
        <v>8</v>
      </c>
      <c r="N464" t="s">
        <v>8</v>
      </c>
      <c r="P464">
        <f t="shared" si="979"/>
        <v>-0.46902654867256977</v>
      </c>
      <c r="Q464">
        <f t="shared" si="980"/>
        <v>-226419.62088495737</v>
      </c>
      <c r="R464">
        <f t="shared" si="981"/>
        <v>-2389447.7570685791</v>
      </c>
      <c r="S464">
        <f t="shared" si="982"/>
        <v>-23.89447757068579</v>
      </c>
      <c r="T464">
        <f t="shared" si="983"/>
        <v>-2.3894477570685791E-2</v>
      </c>
    </row>
    <row r="465" spans="1:20" x14ac:dyDescent="0.25">
      <c r="A465" s="5">
        <v>44128</v>
      </c>
      <c r="B465">
        <v>0.86099999999999999</v>
      </c>
      <c r="C465">
        <v>0.871</v>
      </c>
      <c r="D465">
        <v>0.84299999999999997</v>
      </c>
      <c r="E465">
        <v>0.86609999999999998</v>
      </c>
      <c r="F465">
        <v>422806.92</v>
      </c>
      <c r="G465">
        <v>0</v>
      </c>
      <c r="L465" t="s">
        <v>7</v>
      </c>
      <c r="M465" t="s">
        <v>8</v>
      </c>
      <c r="N465" t="s">
        <v>8</v>
      </c>
      <c r="P465">
        <f t="shared" si="979"/>
        <v>0.64999999999999925</v>
      </c>
      <c r="Q465">
        <f t="shared" si="980"/>
        <v>274824.49799999967</v>
      </c>
      <c r="R465">
        <f t="shared" si="981"/>
        <v>-2163028.1361836218</v>
      </c>
      <c r="S465">
        <f t="shared" si="982"/>
        <v>-21.630281361836218</v>
      </c>
      <c r="T465">
        <f t="shared" si="983"/>
        <v>-2.1630281361836218E-2</v>
      </c>
    </row>
    <row r="466" spans="1:20" x14ac:dyDescent="0.25">
      <c r="A466" s="5">
        <v>44127</v>
      </c>
      <c r="B466">
        <v>0.89129999999999998</v>
      </c>
      <c r="C466">
        <v>0.90339999999999998</v>
      </c>
      <c r="D466">
        <v>0.85799999999999998</v>
      </c>
      <c r="E466">
        <v>0.86160000000000003</v>
      </c>
      <c r="F466">
        <v>329253.65999999997</v>
      </c>
      <c r="G466">
        <v>0</v>
      </c>
      <c r="L466" t="s">
        <v>7</v>
      </c>
      <c r="M466" t="s">
        <v>8</v>
      </c>
      <c r="N466" t="s">
        <v>8</v>
      </c>
      <c r="P466">
        <f t="shared" si="979"/>
        <v>-0.84140969162995383</v>
      </c>
      <c r="Q466">
        <f t="shared" si="980"/>
        <v>-277037.22052863362</v>
      </c>
      <c r="R466">
        <f t="shared" si="981"/>
        <v>-2437852.6341836215</v>
      </c>
      <c r="S466">
        <f t="shared" si="982"/>
        <v>-24.378526341836213</v>
      </c>
      <c r="T466">
        <f t="shared" si="983"/>
        <v>-2.4378526341836213E-2</v>
      </c>
    </row>
    <row r="467" spans="1:20" x14ac:dyDescent="0.25">
      <c r="A467" s="5">
        <v>44126</v>
      </c>
      <c r="B467">
        <v>0.89359999999999995</v>
      </c>
      <c r="C467">
        <v>0.92359999999999998</v>
      </c>
      <c r="D467">
        <v>0.86890000000000001</v>
      </c>
      <c r="E467">
        <v>0.88890000000000002</v>
      </c>
      <c r="F467">
        <v>718864.37</v>
      </c>
      <c r="G467">
        <v>0</v>
      </c>
      <c r="L467" t="s">
        <v>7</v>
      </c>
      <c r="M467" t="s">
        <v>8</v>
      </c>
      <c r="N467" t="s">
        <v>8</v>
      </c>
      <c r="P467">
        <f t="shared" si="979"/>
        <v>-0.26873857404021834</v>
      </c>
      <c r="Q467">
        <f t="shared" si="980"/>
        <v>-193186.5857221199</v>
      </c>
      <c r="R467">
        <f t="shared" si="981"/>
        <v>-2160815.4136549877</v>
      </c>
      <c r="S467">
        <f t="shared" si="982"/>
        <v>-21.608154136549878</v>
      </c>
      <c r="T467">
        <f t="shared" si="983"/>
        <v>-2.1608154136549877E-2</v>
      </c>
    </row>
    <row r="468" spans="1:20" x14ac:dyDescent="0.25">
      <c r="A468" s="5">
        <v>44125</v>
      </c>
      <c r="B468">
        <v>0.88160000000000005</v>
      </c>
      <c r="C468">
        <v>0.95079999999999998</v>
      </c>
      <c r="D468">
        <v>0.87980000000000003</v>
      </c>
      <c r="E468">
        <v>0.89300000000000002</v>
      </c>
      <c r="F468">
        <v>1311974.3600000001</v>
      </c>
      <c r="G468">
        <v>0</v>
      </c>
      <c r="L468" t="s">
        <v>8</v>
      </c>
      <c r="M468" t="s">
        <v>8</v>
      </c>
      <c r="N468" t="s">
        <v>8</v>
      </c>
      <c r="P468">
        <f t="shared" si="979"/>
        <v>-0.62816901408450709</v>
      </c>
      <c r="Q468">
        <f t="shared" si="980"/>
        <v>-824141.64022535225</v>
      </c>
      <c r="R468">
        <f t="shared" si="981"/>
        <v>-1967628.8279328677</v>
      </c>
      <c r="S468">
        <f t="shared" si="982"/>
        <v>-19.676288279328677</v>
      </c>
      <c r="T468">
        <f t="shared" si="983"/>
        <v>-1.9676288279328678E-2</v>
      </c>
    </row>
    <row r="469" spans="1:20" x14ac:dyDescent="0.25">
      <c r="A469" s="5">
        <v>44124</v>
      </c>
      <c r="B469">
        <v>0.84019999999999995</v>
      </c>
      <c r="C469">
        <v>0.93169999999999997</v>
      </c>
      <c r="D469">
        <v>0.83150000000000002</v>
      </c>
      <c r="E469">
        <v>0.88019999999999998</v>
      </c>
      <c r="F469">
        <v>1539230</v>
      </c>
      <c r="G469">
        <v>0</v>
      </c>
      <c r="L469" t="s">
        <v>8</v>
      </c>
      <c r="M469" t="s">
        <v>8</v>
      </c>
      <c r="N469" t="s">
        <v>8</v>
      </c>
      <c r="P469">
        <f t="shared" si="979"/>
        <v>-2.7944111776447365E-2</v>
      </c>
      <c r="Q469">
        <f t="shared" si="980"/>
        <v>-43012.415169661079</v>
      </c>
      <c r="R469">
        <f t="shared" si="981"/>
        <v>-1143487.1877075154</v>
      </c>
      <c r="S469">
        <f t="shared" si="982"/>
        <v>-11.434871877075155</v>
      </c>
      <c r="T469">
        <f t="shared" si="983"/>
        <v>-1.1434871877075155E-2</v>
      </c>
    </row>
    <row r="470" spans="1:20" x14ac:dyDescent="0.25">
      <c r="A470" s="5">
        <v>44123</v>
      </c>
      <c r="B470">
        <v>0.8175</v>
      </c>
      <c r="C470">
        <v>0.84370000000000001</v>
      </c>
      <c r="D470">
        <v>0.80730000000000002</v>
      </c>
      <c r="E470">
        <v>0.83809999999999996</v>
      </c>
      <c r="F470">
        <v>307167.05</v>
      </c>
      <c r="G470">
        <v>0</v>
      </c>
      <c r="L470" t="s">
        <v>8</v>
      </c>
      <c r="M470" t="s">
        <v>8</v>
      </c>
      <c r="N470" t="s">
        <v>8</v>
      </c>
      <c r="P470">
        <f t="shared" si="979"/>
        <v>0.69230769230768952</v>
      </c>
      <c r="Q470">
        <f t="shared" si="980"/>
        <v>212654.11153846068</v>
      </c>
      <c r="R470">
        <f t="shared" si="981"/>
        <v>-1100474.7725378543</v>
      </c>
      <c r="S470">
        <f t="shared" si="982"/>
        <v>-11.004747725378543</v>
      </c>
      <c r="T470">
        <f t="shared" si="983"/>
        <v>-1.1004747725378542E-2</v>
      </c>
    </row>
    <row r="471" spans="1:20" x14ac:dyDescent="0.25">
      <c r="A471" s="5">
        <v>44122</v>
      </c>
      <c r="B471">
        <v>0.80610000000000004</v>
      </c>
      <c r="C471">
        <v>0.82909999999999995</v>
      </c>
      <c r="D471">
        <v>0.78800000000000003</v>
      </c>
      <c r="E471">
        <v>0.81769999999999998</v>
      </c>
      <c r="F471">
        <v>279624.28000000003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0.44525547445255526</v>
      </c>
      <c r="Q471">
        <f t="shared" si="980"/>
        <v>124504.24145985417</v>
      </c>
      <c r="R471">
        <f t="shared" si="981"/>
        <v>-1313128.884076315</v>
      </c>
      <c r="S471">
        <f t="shared" si="982"/>
        <v>-13.131288840763149</v>
      </c>
      <c r="T471">
        <f t="shared" si="983"/>
        <v>-1.313128884076315E-2</v>
      </c>
    </row>
    <row r="472" spans="1:20" x14ac:dyDescent="0.25">
      <c r="A472" s="5">
        <v>44121</v>
      </c>
      <c r="B472">
        <v>0.80030000000000001</v>
      </c>
      <c r="C472">
        <v>0.81120000000000003</v>
      </c>
      <c r="D472">
        <v>0.78039999999999998</v>
      </c>
      <c r="E472">
        <v>0.80689999999999995</v>
      </c>
      <c r="F472">
        <v>190892.3</v>
      </c>
      <c r="G472">
        <v>0</v>
      </c>
      <c r="L472" t="s">
        <v>8</v>
      </c>
      <c r="M472" t="s">
        <v>8</v>
      </c>
      <c r="N472" t="s">
        <v>8</v>
      </c>
      <c r="P472">
        <f t="shared" si="979"/>
        <v>0.72077922077921597</v>
      </c>
      <c r="Q472">
        <f t="shared" si="980"/>
        <v>137591.20324675232</v>
      </c>
      <c r="R472">
        <f t="shared" si="981"/>
        <v>-1437633.1255361692</v>
      </c>
      <c r="S472">
        <f t="shared" si="982"/>
        <v>-14.376331255361691</v>
      </c>
      <c r="T472">
        <f t="shared" si="983"/>
        <v>-1.4376331255361691E-2</v>
      </c>
    </row>
    <row r="473" spans="1:20" x14ac:dyDescent="0.25">
      <c r="A473" s="5">
        <v>44120</v>
      </c>
      <c r="B473">
        <v>0.80610000000000004</v>
      </c>
      <c r="C473">
        <v>0.82079999999999997</v>
      </c>
      <c r="D473">
        <v>0.7571</v>
      </c>
      <c r="E473">
        <v>0.80059999999999998</v>
      </c>
      <c r="F473">
        <v>441135.39</v>
      </c>
      <c r="G473">
        <v>0</v>
      </c>
      <c r="L473" t="s">
        <v>7</v>
      </c>
      <c r="M473" t="s">
        <v>8</v>
      </c>
      <c r="N473" t="s">
        <v>8</v>
      </c>
      <c r="P473">
        <f t="shared" si="979"/>
        <v>0.36577708006279425</v>
      </c>
      <c r="Q473">
        <f t="shared" si="980"/>
        <v>161357.21486656196</v>
      </c>
      <c r="R473">
        <f t="shared" si="981"/>
        <v>-1575224.3287829214</v>
      </c>
      <c r="S473">
        <f t="shared" si="982"/>
        <v>-15.752243287829215</v>
      </c>
      <c r="T473">
        <f t="shared" si="983"/>
        <v>-1.5752243287829214E-2</v>
      </c>
    </row>
    <row r="474" spans="1:20" x14ac:dyDescent="0.25">
      <c r="A474" s="5">
        <v>44119</v>
      </c>
      <c r="B474">
        <v>0.79520000000000002</v>
      </c>
      <c r="C474">
        <v>0.83209999999999995</v>
      </c>
      <c r="D474">
        <v>0.77239999999999998</v>
      </c>
      <c r="E474">
        <v>0.80500000000000005</v>
      </c>
      <c r="F474">
        <v>395712.58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9.2127303182582471E-2</v>
      </c>
      <c r="Q474">
        <f t="shared" si="980"/>
        <v>36455.932830821919</v>
      </c>
      <c r="R474">
        <f t="shared" si="981"/>
        <v>-1736581.5436494835</v>
      </c>
      <c r="S474">
        <f t="shared" si="982"/>
        <v>-17.365815436494835</v>
      </c>
      <c r="T474">
        <f t="shared" si="983"/>
        <v>-1.7365815436494833E-2</v>
      </c>
    </row>
    <row r="475" spans="1:20" x14ac:dyDescent="0.25">
      <c r="A475" s="5">
        <v>44118</v>
      </c>
      <c r="B475">
        <v>0.81730000000000003</v>
      </c>
      <c r="C475">
        <v>0.8256</v>
      </c>
      <c r="D475">
        <v>0.78979999999999995</v>
      </c>
      <c r="E475">
        <v>0.79869999999999997</v>
      </c>
      <c r="F475">
        <v>286349.64</v>
      </c>
      <c r="G475">
        <v>0</v>
      </c>
      <c r="L475" t="s">
        <v>8</v>
      </c>
      <c r="M475" t="s">
        <v>8</v>
      </c>
      <c r="N475" t="s">
        <v>8</v>
      </c>
      <c r="P475">
        <f t="shared" si="979"/>
        <v>-0.50279329608938517</v>
      </c>
      <c r="Q475">
        <f t="shared" si="980"/>
        <v>-143974.67932960886</v>
      </c>
      <c r="R475">
        <f t="shared" si="981"/>
        <v>-1773037.4764803054</v>
      </c>
      <c r="S475">
        <f t="shared" si="982"/>
        <v>-17.730374764803056</v>
      </c>
      <c r="T475">
        <f t="shared" si="983"/>
        <v>-1.7730374764803054E-2</v>
      </c>
    </row>
    <row r="476" spans="1:20" x14ac:dyDescent="0.25">
      <c r="A476" s="5">
        <v>44117</v>
      </c>
      <c r="B476">
        <v>0.82650000000000001</v>
      </c>
      <c r="C476">
        <v>0.8448</v>
      </c>
      <c r="D476">
        <v>0.80149999999999999</v>
      </c>
      <c r="E476">
        <v>0.81330000000000002</v>
      </c>
      <c r="F476">
        <v>240632.76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-0.45496535796766602</v>
      </c>
      <c r="Q476">
        <f t="shared" si="980"/>
        <v>-109479.56979214746</v>
      </c>
      <c r="R476">
        <f t="shared" si="981"/>
        <v>-1629062.7971506966</v>
      </c>
      <c r="S476">
        <f t="shared" si="982"/>
        <v>-16.290627971506968</v>
      </c>
      <c r="T476">
        <f t="shared" si="983"/>
        <v>-1.6290627971506967E-2</v>
      </c>
    </row>
    <row r="477" spans="1:20" x14ac:dyDescent="0.25">
      <c r="A477" s="5">
        <v>44116</v>
      </c>
      <c r="B477">
        <v>0.82750000000000001</v>
      </c>
      <c r="C477">
        <v>0.85099999999999998</v>
      </c>
      <c r="D477">
        <v>0.7903</v>
      </c>
      <c r="E477">
        <v>0.82599999999999996</v>
      </c>
      <c r="F477">
        <v>340217.99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0.1762767710049413</v>
      </c>
      <c r="Q477">
        <f t="shared" si="980"/>
        <v>59972.528714991407</v>
      </c>
      <c r="R477">
        <f t="shared" si="981"/>
        <v>-1519583.2273585491</v>
      </c>
      <c r="S477">
        <f t="shared" si="982"/>
        <v>-15.195832273585491</v>
      </c>
      <c r="T477">
        <f t="shared" si="983"/>
        <v>-1.5195832273585492E-2</v>
      </c>
    </row>
    <row r="478" spans="1:20" x14ac:dyDescent="0.25">
      <c r="A478" s="5">
        <v>44115</v>
      </c>
      <c r="B478">
        <v>0.81899999999999995</v>
      </c>
      <c r="C478">
        <v>0.84319999999999995</v>
      </c>
      <c r="D478">
        <v>0.79290000000000005</v>
      </c>
      <c r="E478">
        <v>0.8256</v>
      </c>
      <c r="F478">
        <v>297541.08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0.30019880715705827</v>
      </c>
      <c r="Q478">
        <f t="shared" si="980"/>
        <v>89321.477296222845</v>
      </c>
      <c r="R478">
        <f t="shared" si="981"/>
        <v>-1579555.7560735405</v>
      </c>
      <c r="S478">
        <f t="shared" si="982"/>
        <v>-15.795557560735405</v>
      </c>
      <c r="T478">
        <f t="shared" si="983"/>
        <v>-1.5795557560735404E-2</v>
      </c>
    </row>
    <row r="479" spans="1:20" x14ac:dyDescent="0.25">
      <c r="A479" s="5">
        <v>44114</v>
      </c>
      <c r="B479">
        <v>0.8165</v>
      </c>
      <c r="C479">
        <v>0.84750000000000003</v>
      </c>
      <c r="D479">
        <v>0.80059999999999998</v>
      </c>
      <c r="E479">
        <v>0.82030000000000003</v>
      </c>
      <c r="F479">
        <v>349750.33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-0.15991471215351691</v>
      </c>
      <c r="Q479">
        <f t="shared" si="980"/>
        <v>-55930.223347547551</v>
      </c>
      <c r="R479">
        <f t="shared" si="981"/>
        <v>-1668877.2333697635</v>
      </c>
      <c r="S479">
        <f t="shared" si="982"/>
        <v>-16.688772333697635</v>
      </c>
      <c r="T479">
        <f t="shared" si="983"/>
        <v>-1.6688772333697637E-2</v>
      </c>
    </row>
    <row r="480" spans="1:20" x14ac:dyDescent="0.25">
      <c r="A480" s="5">
        <v>44113</v>
      </c>
      <c r="B480">
        <v>0.74309999999999998</v>
      </c>
      <c r="C480">
        <v>0.83540000000000003</v>
      </c>
      <c r="D480">
        <v>0.72840000000000005</v>
      </c>
      <c r="E480">
        <v>0.82150000000000001</v>
      </c>
      <c r="F480">
        <v>679201.25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0.74018691588785002</v>
      </c>
      <c r="Q480">
        <f t="shared" si="980"/>
        <v>502735.87850467261</v>
      </c>
      <c r="R480">
        <f t="shared" si="981"/>
        <v>-1612947.010022216</v>
      </c>
      <c r="S480">
        <f t="shared" si="982"/>
        <v>-16.129470100222161</v>
      </c>
      <c r="T480">
        <f t="shared" si="983"/>
        <v>-1.612947010022216E-2</v>
      </c>
    </row>
    <row r="481" spans="1:20" x14ac:dyDescent="0.25">
      <c r="A481" s="5">
        <v>44112</v>
      </c>
      <c r="B481">
        <v>0.71579999999999999</v>
      </c>
      <c r="C481">
        <v>0.76859999999999995</v>
      </c>
      <c r="D481">
        <v>0.70289999999999997</v>
      </c>
      <c r="E481">
        <v>0.74060000000000004</v>
      </c>
      <c r="F481">
        <v>513067.16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0.14764079147641029</v>
      </c>
      <c r="Q481">
        <f t="shared" si="980"/>
        <v>75749.641582954035</v>
      </c>
      <c r="R481">
        <f t="shared" si="981"/>
        <v>-2115682.8885268886</v>
      </c>
      <c r="S481">
        <f t="shared" si="982"/>
        <v>-21.156828885268887</v>
      </c>
      <c r="T481">
        <f t="shared" si="983"/>
        <v>-2.1156828885268885E-2</v>
      </c>
    </row>
    <row r="482" spans="1:20" x14ac:dyDescent="0.25">
      <c r="A482" s="5">
        <v>44111</v>
      </c>
      <c r="B482">
        <v>0.72419999999999995</v>
      </c>
      <c r="C482">
        <v>0.72529999999999994</v>
      </c>
      <c r="D482">
        <v>0.69810000000000005</v>
      </c>
      <c r="E482">
        <v>0.71819999999999995</v>
      </c>
      <c r="F482">
        <v>342167.56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0.47794117647058648</v>
      </c>
      <c r="Q482">
        <f t="shared" si="980"/>
        <v>163535.96617646998</v>
      </c>
      <c r="R482">
        <f t="shared" si="981"/>
        <v>-2191432.5301098428</v>
      </c>
      <c r="S482">
        <f t="shared" si="982"/>
        <v>-21.914325301098426</v>
      </c>
      <c r="T482">
        <f t="shared" si="983"/>
        <v>-2.1914325301098426E-2</v>
      </c>
    </row>
    <row r="483" spans="1:20" x14ac:dyDescent="0.25">
      <c r="A483" s="5">
        <v>44110</v>
      </c>
      <c r="B483">
        <v>0.76619999999999999</v>
      </c>
      <c r="C483">
        <v>0.77110000000000001</v>
      </c>
      <c r="D483">
        <v>0.7077</v>
      </c>
      <c r="E483">
        <v>0.72219999999999995</v>
      </c>
      <c r="F483">
        <v>366067.41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-0.54258675078864493</v>
      </c>
      <c r="Q483">
        <f t="shared" si="980"/>
        <v>-198623.3265615147</v>
      </c>
      <c r="R483">
        <f t="shared" si="981"/>
        <v>-2354968.4962863126</v>
      </c>
      <c r="S483">
        <f t="shared" si="982"/>
        <v>-23.549684962863125</v>
      </c>
      <c r="T483">
        <f t="shared" si="983"/>
        <v>-2.3549684962863124E-2</v>
      </c>
    </row>
    <row r="484" spans="1:20" x14ac:dyDescent="0.25">
      <c r="A484" s="5">
        <v>44109</v>
      </c>
      <c r="B484">
        <v>0.76910000000000001</v>
      </c>
      <c r="C484">
        <v>0.77470000000000006</v>
      </c>
      <c r="D484">
        <v>0.75239999999999996</v>
      </c>
      <c r="E484">
        <v>0.76480000000000004</v>
      </c>
      <c r="F484">
        <v>211000.16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0.11210762331838775</v>
      </c>
      <c r="Q484">
        <f t="shared" si="980"/>
        <v>23654.726457399545</v>
      </c>
      <c r="R484">
        <f t="shared" si="981"/>
        <v>-2156345.1697247978</v>
      </c>
      <c r="S484">
        <f t="shared" si="982"/>
        <v>-21.563451697247977</v>
      </c>
      <c r="T484">
        <f t="shared" si="983"/>
        <v>-2.1563451697247979E-2</v>
      </c>
    </row>
    <row r="485" spans="1:20" x14ac:dyDescent="0.25">
      <c r="A485" s="5">
        <v>44108</v>
      </c>
      <c r="B485">
        <v>0.77110000000000001</v>
      </c>
      <c r="C485">
        <v>0.78239999999999998</v>
      </c>
      <c r="D485">
        <v>0.75890000000000002</v>
      </c>
      <c r="E485">
        <v>0.76900000000000002</v>
      </c>
      <c r="F485">
        <v>184190.44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-0.14042553191489254</v>
      </c>
      <c r="Q485">
        <f t="shared" si="980"/>
        <v>-25865.0405106381</v>
      </c>
      <c r="R485">
        <f t="shared" si="981"/>
        <v>-2179999.8961821971</v>
      </c>
      <c r="S485">
        <f t="shared" si="982"/>
        <v>-21.79999896182197</v>
      </c>
      <c r="T485">
        <f t="shared" si="983"/>
        <v>-2.179999896182197E-2</v>
      </c>
    </row>
    <row r="486" spans="1:20" x14ac:dyDescent="0.25">
      <c r="A486" s="5">
        <v>44107</v>
      </c>
      <c r="B486">
        <v>0.78080000000000005</v>
      </c>
      <c r="C486">
        <v>0.79690000000000005</v>
      </c>
      <c r="D486">
        <v>0.76859999999999995</v>
      </c>
      <c r="E486">
        <v>0.77110000000000001</v>
      </c>
      <c r="F486">
        <v>174308.97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-0.82332155477031455</v>
      </c>
      <c r="Q486">
        <f t="shared" si="980"/>
        <v>-143512.33219081213</v>
      </c>
      <c r="R486">
        <f t="shared" si="981"/>
        <v>-2154134.855671559</v>
      </c>
      <c r="S486">
        <f t="shared" si="982"/>
        <v>-21.54134855671559</v>
      </c>
      <c r="T486">
        <f t="shared" si="983"/>
        <v>-2.1541348556715589E-2</v>
      </c>
    </row>
    <row r="487" spans="1:20" x14ac:dyDescent="0.25">
      <c r="A487" s="5">
        <v>44106</v>
      </c>
      <c r="B487">
        <v>0.81359999999999999</v>
      </c>
      <c r="C487">
        <v>0.84899999999999998</v>
      </c>
      <c r="D487">
        <v>0.7177</v>
      </c>
      <c r="E487">
        <v>0.78390000000000004</v>
      </c>
      <c r="F487">
        <v>1002456.89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8.3777608530091474E-3</v>
      </c>
      <c r="Q487">
        <f t="shared" si="980"/>
        <v>8398.3440898712979</v>
      </c>
      <c r="R487">
        <f t="shared" si="981"/>
        <v>-2010622.5234807467</v>
      </c>
      <c r="S487">
        <f t="shared" si="982"/>
        <v>-20.106225234807468</v>
      </c>
      <c r="T487">
        <f t="shared" si="983"/>
        <v>-2.0106225234807467E-2</v>
      </c>
    </row>
    <row r="488" spans="1:20" x14ac:dyDescent="0.25">
      <c r="A488" s="5">
        <v>44105</v>
      </c>
      <c r="B488">
        <v>0.82699999999999996</v>
      </c>
      <c r="C488">
        <v>0.85640000000000005</v>
      </c>
      <c r="D488">
        <v>0.77710000000000001</v>
      </c>
      <c r="E488">
        <v>0.81499999999999995</v>
      </c>
      <c r="F488">
        <v>384130.05</v>
      </c>
      <c r="G488">
        <v>0</v>
      </c>
      <c r="L488" t="s">
        <v>8</v>
      </c>
      <c r="M488" t="s">
        <v>7</v>
      </c>
      <c r="N488" t="s">
        <v>8</v>
      </c>
      <c r="P488">
        <f t="shared" si="979"/>
        <v>-4.4136191677177403E-2</v>
      </c>
      <c r="Q488">
        <f t="shared" si="980"/>
        <v>-16954.037515763739</v>
      </c>
      <c r="R488">
        <f t="shared" si="981"/>
        <v>-2019020.8675706179</v>
      </c>
      <c r="S488">
        <f t="shared" si="982"/>
        <v>-20.190208675706181</v>
      </c>
      <c r="T488">
        <f t="shared" si="983"/>
        <v>-2.019020867570618E-2</v>
      </c>
    </row>
    <row r="489" spans="1:20" x14ac:dyDescent="0.25">
      <c r="A489" s="5">
        <v>44104</v>
      </c>
      <c r="B489">
        <v>0.81399999999999995</v>
      </c>
      <c r="C489">
        <v>0.83379999999999999</v>
      </c>
      <c r="D489">
        <v>0.78149999999999997</v>
      </c>
      <c r="E489">
        <v>0.82699999999999996</v>
      </c>
      <c r="F489">
        <v>363080.54</v>
      </c>
      <c r="G489">
        <v>0</v>
      </c>
      <c r="L489" t="s">
        <v>7</v>
      </c>
      <c r="M489" t="s">
        <v>7</v>
      </c>
      <c r="N489" t="s">
        <v>8</v>
      </c>
      <c r="P489">
        <f t="shared" si="979"/>
        <v>0.73996175908221695</v>
      </c>
      <c r="Q489">
        <f t="shared" si="980"/>
        <v>268665.7150669212</v>
      </c>
      <c r="R489">
        <f t="shared" si="981"/>
        <v>-2002066.8300548543</v>
      </c>
      <c r="S489">
        <f t="shared" si="982"/>
        <v>-20.020668300548543</v>
      </c>
      <c r="T489">
        <f t="shared" si="983"/>
        <v>-2.0020668300548543E-2</v>
      </c>
    </row>
    <row r="490" spans="1:20" x14ac:dyDescent="0.25">
      <c r="A490" s="5">
        <v>44103</v>
      </c>
      <c r="B490">
        <v>0.81689999999999996</v>
      </c>
      <c r="C490">
        <v>0.84199999999999997</v>
      </c>
      <c r="D490">
        <v>0.78690000000000004</v>
      </c>
      <c r="E490">
        <v>0.81689999999999996</v>
      </c>
      <c r="F490">
        <v>465700.97</v>
      </c>
      <c r="G490">
        <v>0</v>
      </c>
      <c r="L490" t="s">
        <v>7</v>
      </c>
      <c r="M490" t="s">
        <v>8</v>
      </c>
      <c r="N490" t="s">
        <v>8</v>
      </c>
      <c r="P490">
        <f t="shared" si="979"/>
        <v>8.8929219600724335E-2</v>
      </c>
      <c r="Q490">
        <f t="shared" si="980"/>
        <v>41414.42382940033</v>
      </c>
      <c r="R490">
        <f t="shared" si="981"/>
        <v>-2270732.5451217755</v>
      </c>
      <c r="S490">
        <f t="shared" si="982"/>
        <v>-22.707325451217756</v>
      </c>
      <c r="T490">
        <f t="shared" si="983"/>
        <v>-2.2707325451217755E-2</v>
      </c>
    </row>
    <row r="491" spans="1:20" x14ac:dyDescent="0.25">
      <c r="A491" s="5">
        <v>44102</v>
      </c>
      <c r="B491">
        <v>0.8286</v>
      </c>
      <c r="C491">
        <v>0.90990000000000004</v>
      </c>
      <c r="D491">
        <v>0.80920000000000003</v>
      </c>
      <c r="E491">
        <v>0.81679999999999997</v>
      </c>
      <c r="F491">
        <v>722463.9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-0.84905660377358616</v>
      </c>
      <c r="Q491">
        <f t="shared" si="980"/>
        <v>-613412.74528301985</v>
      </c>
      <c r="R491">
        <f t="shared" si="981"/>
        <v>-2312146.9689511759</v>
      </c>
      <c r="S491">
        <f t="shared" si="982"/>
        <v>-23.121469689511759</v>
      </c>
      <c r="T491">
        <f t="shared" si="983"/>
        <v>-2.3121469689511759E-2</v>
      </c>
    </row>
    <row r="492" spans="1:20" x14ac:dyDescent="0.25">
      <c r="A492" s="5">
        <v>44101</v>
      </c>
      <c r="B492">
        <v>0.82630000000000003</v>
      </c>
      <c r="C492">
        <v>0.85919999999999996</v>
      </c>
      <c r="D492">
        <v>0.78220000000000001</v>
      </c>
      <c r="E492">
        <v>0.82709999999999995</v>
      </c>
      <c r="F492">
        <v>492015.48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0.16623376623376532</v>
      </c>
      <c r="Q492">
        <f t="shared" si="980"/>
        <v>81789.586285713827</v>
      </c>
      <c r="R492">
        <f t="shared" si="981"/>
        <v>-1698734.2236681562</v>
      </c>
      <c r="S492">
        <f t="shared" si="982"/>
        <v>-16.987342236681563</v>
      </c>
      <c r="T492">
        <f t="shared" si="983"/>
        <v>-1.6987342236681562E-2</v>
      </c>
    </row>
    <row r="493" spans="1:20" x14ac:dyDescent="0.25">
      <c r="A493" s="5">
        <v>44100</v>
      </c>
      <c r="B493">
        <v>0.76680000000000004</v>
      </c>
      <c r="C493">
        <v>0.88</v>
      </c>
      <c r="D493">
        <v>0.76480000000000004</v>
      </c>
      <c r="E493">
        <v>0.8286</v>
      </c>
      <c r="F493">
        <v>741280.8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0.10763888888888863</v>
      </c>
      <c r="Q493">
        <f t="shared" si="980"/>
        <v>79790.641666666474</v>
      </c>
      <c r="R493">
        <f t="shared" si="981"/>
        <v>-1780523.80995387</v>
      </c>
      <c r="S493">
        <f t="shared" si="982"/>
        <v>-17.805238099538702</v>
      </c>
      <c r="T493">
        <f t="shared" si="983"/>
        <v>-1.7805238099538701E-2</v>
      </c>
    </row>
    <row r="494" spans="1:20" x14ac:dyDescent="0.25">
      <c r="A494" s="5">
        <v>44099</v>
      </c>
      <c r="B494">
        <v>0.749</v>
      </c>
      <c r="C494">
        <v>0.77690000000000003</v>
      </c>
      <c r="D494">
        <v>0.71009999999999995</v>
      </c>
      <c r="E494">
        <v>0.76680000000000004</v>
      </c>
      <c r="F494">
        <v>554055.9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0.69760479041916212</v>
      </c>
      <c r="Q494">
        <f t="shared" si="980"/>
        <v>386512.05000000028</v>
      </c>
      <c r="R494">
        <f t="shared" si="981"/>
        <v>-1860314.4516205364</v>
      </c>
      <c r="S494">
        <f t="shared" si="982"/>
        <v>-18.603144516205365</v>
      </c>
      <c r="T494">
        <f t="shared" si="983"/>
        <v>-1.8603144516205365E-2</v>
      </c>
    </row>
    <row r="495" spans="1:20" x14ac:dyDescent="0.25">
      <c r="A495" s="5">
        <v>44098</v>
      </c>
      <c r="B495">
        <v>0.67749999999999999</v>
      </c>
      <c r="C495">
        <v>0.75339999999999996</v>
      </c>
      <c r="D495">
        <v>0.67059999999999997</v>
      </c>
      <c r="E495">
        <v>0.74860000000000004</v>
      </c>
      <c r="F495">
        <v>536033.91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0.88405797101449479</v>
      </c>
      <c r="Q495">
        <f t="shared" si="980"/>
        <v>473885.05086956633</v>
      </c>
      <c r="R495">
        <f t="shared" si="981"/>
        <v>-2246826.5016205367</v>
      </c>
      <c r="S495">
        <f t="shared" si="982"/>
        <v>-22.468265016205368</v>
      </c>
      <c r="T495">
        <f t="shared" si="983"/>
        <v>-2.2468265016205368E-2</v>
      </c>
    </row>
    <row r="496" spans="1:20" x14ac:dyDescent="0.25">
      <c r="A496" s="5">
        <v>44097</v>
      </c>
      <c r="B496">
        <v>0.75170000000000003</v>
      </c>
      <c r="C496">
        <v>0.7671</v>
      </c>
      <c r="D496">
        <v>0.66400000000000003</v>
      </c>
      <c r="E496">
        <v>0.67730000000000001</v>
      </c>
      <c r="F496">
        <v>607850.51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-0.74199806013579084</v>
      </c>
      <c r="Q496">
        <f t="shared" si="980"/>
        <v>-451023.89927255112</v>
      </c>
      <c r="R496">
        <f t="shared" si="981"/>
        <v>-2720711.5524901031</v>
      </c>
      <c r="S496">
        <f t="shared" si="982"/>
        <v>-27.207115524901031</v>
      </c>
      <c r="T496">
        <f t="shared" si="983"/>
        <v>-2.7207115524901029E-2</v>
      </c>
    </row>
    <row r="497" spans="1:20" x14ac:dyDescent="0.25">
      <c r="A497" s="5">
        <v>44096</v>
      </c>
      <c r="B497">
        <v>0.72299999999999998</v>
      </c>
      <c r="C497">
        <v>0.76329999999999998</v>
      </c>
      <c r="D497">
        <v>0.7046</v>
      </c>
      <c r="E497">
        <v>0.75070000000000003</v>
      </c>
      <c r="F497">
        <v>429588.4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0.57069846678024017</v>
      </c>
      <c r="Q497">
        <f t="shared" si="980"/>
        <v>245165.44122657654</v>
      </c>
      <c r="R497">
        <f t="shared" si="981"/>
        <v>-2269687.6532175518</v>
      </c>
      <c r="S497">
        <f t="shared" si="982"/>
        <v>-22.696876532175519</v>
      </c>
      <c r="T497">
        <f t="shared" si="983"/>
        <v>-2.269687653217552E-2</v>
      </c>
    </row>
    <row r="498" spans="1:20" x14ac:dyDescent="0.25">
      <c r="A498" s="5">
        <v>44095</v>
      </c>
      <c r="B498">
        <v>0.79520000000000002</v>
      </c>
      <c r="C498">
        <v>0.80600000000000005</v>
      </c>
      <c r="D498">
        <v>0.67159999999999997</v>
      </c>
      <c r="E498">
        <v>0.72499999999999998</v>
      </c>
      <c r="F498">
        <v>1262561.55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-0.20535714285714327</v>
      </c>
      <c r="Q498">
        <f t="shared" si="980"/>
        <v>-259276.03258928625</v>
      </c>
      <c r="R498">
        <f t="shared" si="981"/>
        <v>-2514853.0944441282</v>
      </c>
      <c r="S498">
        <f t="shared" si="982"/>
        <v>-25.148530944441283</v>
      </c>
      <c r="T498">
        <f t="shared" si="983"/>
        <v>-2.5148530944441284E-2</v>
      </c>
    </row>
    <row r="499" spans="1:20" x14ac:dyDescent="0.25">
      <c r="A499" s="5">
        <v>44094</v>
      </c>
      <c r="B499">
        <v>0.84250000000000003</v>
      </c>
      <c r="C499">
        <v>0.84709999999999996</v>
      </c>
      <c r="D499">
        <v>0.76600000000000001</v>
      </c>
      <c r="E499">
        <v>0.79600000000000004</v>
      </c>
      <c r="F499">
        <v>641204.87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-0.2601726263871752</v>
      </c>
      <c r="Q499">
        <f t="shared" si="980"/>
        <v>-166823.95508014725</v>
      </c>
      <c r="R499">
        <f t="shared" si="981"/>
        <v>-2255577.0618548421</v>
      </c>
      <c r="S499">
        <f t="shared" si="982"/>
        <v>-22.555770618548422</v>
      </c>
      <c r="T499">
        <f t="shared" si="983"/>
        <v>-2.2555770618548424E-2</v>
      </c>
    </row>
    <row r="500" spans="1:20" x14ac:dyDescent="0.25">
      <c r="A500" s="5">
        <v>44093</v>
      </c>
      <c r="B500">
        <v>0.83789999999999998</v>
      </c>
      <c r="C500">
        <v>0.84360000000000002</v>
      </c>
      <c r="D500">
        <v>0.81689999999999996</v>
      </c>
      <c r="E500">
        <v>0.8417</v>
      </c>
      <c r="F500">
        <v>275725.36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0.85767790262172217</v>
      </c>
      <c r="Q500">
        <f t="shared" si="980"/>
        <v>236483.54846441926</v>
      </c>
      <c r="R500">
        <f t="shared" si="981"/>
        <v>-2088753.1067746948</v>
      </c>
      <c r="S500">
        <f t="shared" si="982"/>
        <v>-20.887531067746949</v>
      </c>
      <c r="T500">
        <f t="shared" si="983"/>
        <v>-2.0887531067746948E-2</v>
      </c>
    </row>
    <row r="501" spans="1:20" x14ac:dyDescent="0.25">
      <c r="A501" s="5">
        <v>44092</v>
      </c>
      <c r="B501">
        <v>0.85960000000000003</v>
      </c>
      <c r="C501">
        <v>0.89929999999999999</v>
      </c>
      <c r="D501">
        <v>0.81189999999999996</v>
      </c>
      <c r="E501">
        <v>0.83799999999999997</v>
      </c>
      <c r="F501">
        <v>399698.65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-0.40274599542334089</v>
      </c>
      <c r="Q501">
        <f t="shared" si="980"/>
        <v>-160977.03066361553</v>
      </c>
      <c r="R501">
        <f t="shared" si="981"/>
        <v>-2325236.6552391141</v>
      </c>
      <c r="S501">
        <f t="shared" si="982"/>
        <v>-23.252366552391141</v>
      </c>
      <c r="T501">
        <f t="shared" si="983"/>
        <v>-2.325236655239114E-2</v>
      </c>
    </row>
    <row r="502" spans="1:20" x14ac:dyDescent="0.25">
      <c r="A502" s="5">
        <v>44091</v>
      </c>
      <c r="B502">
        <v>0.86219999999999997</v>
      </c>
      <c r="C502">
        <v>0.88139999999999996</v>
      </c>
      <c r="D502">
        <v>0.82440000000000002</v>
      </c>
      <c r="E502">
        <v>0.86</v>
      </c>
      <c r="F502">
        <v>257426.03</v>
      </c>
      <c r="G502">
        <v>0</v>
      </c>
      <c r="L502" t="s">
        <v>7</v>
      </c>
      <c r="M502" t="s">
        <v>8</v>
      </c>
      <c r="N502" t="s">
        <v>7</v>
      </c>
      <c r="P502">
        <f t="shared" si="979"/>
        <v>0.24912280701754397</v>
      </c>
      <c r="Q502">
        <f t="shared" si="980"/>
        <v>64130.695192982486</v>
      </c>
      <c r="R502">
        <f t="shared" si="981"/>
        <v>-2164259.6245754985</v>
      </c>
      <c r="S502">
        <f t="shared" si="982"/>
        <v>-21.642596245754984</v>
      </c>
      <c r="T502">
        <f t="shared" si="983"/>
        <v>-2.1642596245754982E-2</v>
      </c>
    </row>
    <row r="503" spans="1:20" x14ac:dyDescent="0.25">
      <c r="A503" s="5">
        <v>44090</v>
      </c>
      <c r="B503">
        <v>0.86319999999999997</v>
      </c>
      <c r="C503">
        <v>0.86750000000000005</v>
      </c>
      <c r="D503">
        <v>0.82509999999999994</v>
      </c>
      <c r="E503">
        <v>0.86260000000000003</v>
      </c>
      <c r="F503">
        <v>328291.95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0.76886792452830177</v>
      </c>
      <c r="Q503">
        <f t="shared" si="980"/>
        <v>252413.15023584903</v>
      </c>
      <c r="R503">
        <f t="shared" si="981"/>
        <v>-2228390.319768481</v>
      </c>
      <c r="S503">
        <f t="shared" si="982"/>
        <v>-22.283903197684811</v>
      </c>
      <c r="T503">
        <f t="shared" si="983"/>
        <v>-2.228390319768481E-2</v>
      </c>
    </row>
    <row r="504" spans="1:20" x14ac:dyDescent="0.25">
      <c r="A504" s="5">
        <v>44089</v>
      </c>
      <c r="B504">
        <v>0.88900000000000001</v>
      </c>
      <c r="C504">
        <v>0.93340000000000001</v>
      </c>
      <c r="D504">
        <v>0.85919999999999996</v>
      </c>
      <c r="E504">
        <v>0.86570000000000003</v>
      </c>
      <c r="F504">
        <v>560622.25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-0.82479784366576669</v>
      </c>
      <c r="Q504">
        <f t="shared" si="980"/>
        <v>-462400.02291105036</v>
      </c>
      <c r="R504">
        <f t="shared" si="981"/>
        <v>-2480803.4700043299</v>
      </c>
      <c r="S504">
        <f t="shared" si="982"/>
        <v>-24.808034700043301</v>
      </c>
      <c r="T504">
        <f t="shared" si="983"/>
        <v>-2.4808034700043301E-2</v>
      </c>
    </row>
    <row r="505" spans="1:20" x14ac:dyDescent="0.25">
      <c r="A505" s="5">
        <v>44088</v>
      </c>
      <c r="B505">
        <v>0.87549999999999994</v>
      </c>
      <c r="C505">
        <v>0.92779999999999996</v>
      </c>
      <c r="D505">
        <v>0.85680000000000001</v>
      </c>
      <c r="E505">
        <v>0.88759999999999994</v>
      </c>
      <c r="F505">
        <v>480259.76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-0.13239436619718425</v>
      </c>
      <c r="Q505">
        <f t="shared" si="980"/>
        <v>-63583.686535211826</v>
      </c>
      <c r="R505">
        <f t="shared" si="981"/>
        <v>-2018403.4470932796</v>
      </c>
      <c r="S505">
        <f t="shared" si="982"/>
        <v>-20.184034470932797</v>
      </c>
      <c r="T505">
        <f t="shared" si="983"/>
        <v>-2.0184034470932796E-2</v>
      </c>
    </row>
    <row r="506" spans="1:20" x14ac:dyDescent="0.25">
      <c r="A506" s="5">
        <v>44087</v>
      </c>
      <c r="B506">
        <v>0.93899999999999995</v>
      </c>
      <c r="C506">
        <v>0.94810000000000005</v>
      </c>
      <c r="D506">
        <v>0.84219999999999995</v>
      </c>
      <c r="E506">
        <v>0.87539999999999996</v>
      </c>
      <c r="F506">
        <v>544073.22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-0.37299338999055759</v>
      </c>
      <c r="Q506">
        <f t="shared" si="980"/>
        <v>-202935.71473087842</v>
      </c>
      <c r="R506">
        <f t="shared" si="981"/>
        <v>-1954819.7605580678</v>
      </c>
      <c r="S506">
        <f t="shared" si="982"/>
        <v>-19.548197605580679</v>
      </c>
      <c r="T506">
        <f t="shared" si="983"/>
        <v>-1.9548197605580679E-2</v>
      </c>
    </row>
    <row r="507" spans="1:20" x14ac:dyDescent="0.25">
      <c r="A507" s="5">
        <v>44086</v>
      </c>
      <c r="B507">
        <v>0.89</v>
      </c>
      <c r="C507">
        <v>0.95230000000000004</v>
      </c>
      <c r="D507">
        <v>0.88080000000000003</v>
      </c>
      <c r="E507">
        <v>0.93859999999999999</v>
      </c>
      <c r="F507">
        <v>650250.16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0.61678321678321557</v>
      </c>
      <c r="Q507">
        <f t="shared" si="980"/>
        <v>401063.38539860066</v>
      </c>
      <c r="R507">
        <f t="shared" si="981"/>
        <v>-1751884.0458271895</v>
      </c>
      <c r="S507">
        <f t="shared" si="982"/>
        <v>-17.518840458271896</v>
      </c>
      <c r="T507">
        <f t="shared" si="983"/>
        <v>-1.7518840458271897E-2</v>
      </c>
    </row>
    <row r="508" spans="1:20" x14ac:dyDescent="0.25">
      <c r="A508" s="5">
        <v>44085</v>
      </c>
      <c r="B508">
        <v>0.86809999999999998</v>
      </c>
      <c r="C508">
        <v>0.89139999999999997</v>
      </c>
      <c r="D508">
        <v>0.85</v>
      </c>
      <c r="E508">
        <v>0.88900000000000001</v>
      </c>
      <c r="F508">
        <v>339241.35</v>
      </c>
      <c r="G508">
        <v>0</v>
      </c>
      <c r="L508" t="s">
        <v>8</v>
      </c>
      <c r="M508" t="s">
        <v>7</v>
      </c>
      <c r="N508" t="s">
        <v>7</v>
      </c>
      <c r="P508">
        <f t="shared" si="979"/>
        <v>0.88405797101449479</v>
      </c>
      <c r="Q508">
        <f t="shared" si="980"/>
        <v>299909.01956521807</v>
      </c>
      <c r="R508">
        <f t="shared" si="981"/>
        <v>-2152947.4312257902</v>
      </c>
      <c r="S508">
        <f t="shared" si="982"/>
        <v>-21.529474312257904</v>
      </c>
      <c r="T508">
        <f t="shared" si="983"/>
        <v>-2.1529474312257903E-2</v>
      </c>
    </row>
    <row r="509" spans="1:20" x14ac:dyDescent="0.25">
      <c r="A509" s="5">
        <v>44084</v>
      </c>
      <c r="B509">
        <v>0.83650000000000002</v>
      </c>
      <c r="C509">
        <v>0.9</v>
      </c>
      <c r="D509">
        <v>0.83650000000000002</v>
      </c>
      <c r="E509">
        <v>0.86809999999999998</v>
      </c>
      <c r="F509">
        <v>786611.11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-4.7244094488201258E-3</v>
      </c>
      <c r="Q509">
        <f t="shared" si="980"/>
        <v>-3716.2729606308872</v>
      </c>
      <c r="R509">
        <f t="shared" si="981"/>
        <v>-2452856.4507910083</v>
      </c>
      <c r="S509">
        <f t="shared" si="982"/>
        <v>-24.528564507910083</v>
      </c>
      <c r="T509">
        <f t="shared" si="983"/>
        <v>-2.4528564507910085E-2</v>
      </c>
    </row>
    <row r="510" spans="1:20" x14ac:dyDescent="0.25">
      <c r="A510" s="5">
        <v>44083</v>
      </c>
      <c r="B510">
        <v>0.81899999999999995</v>
      </c>
      <c r="C510">
        <v>0.85099999999999998</v>
      </c>
      <c r="D510">
        <v>0.79690000000000005</v>
      </c>
      <c r="E510">
        <v>0.83650000000000002</v>
      </c>
      <c r="F510">
        <v>626936.24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0.46395563770794906</v>
      </c>
      <c r="Q510">
        <f t="shared" si="980"/>
        <v>290870.60303142382</v>
      </c>
      <c r="R510">
        <f t="shared" si="981"/>
        <v>-2449140.1778303776</v>
      </c>
      <c r="S510">
        <f t="shared" si="982"/>
        <v>-24.491401778303775</v>
      </c>
      <c r="T510">
        <f t="shared" si="983"/>
        <v>-2.4491401778303775E-2</v>
      </c>
    </row>
    <row r="511" spans="1:20" x14ac:dyDescent="0.25">
      <c r="A511" s="5">
        <v>44082</v>
      </c>
      <c r="B511">
        <v>0.85309999999999997</v>
      </c>
      <c r="C511">
        <v>0.86270000000000002</v>
      </c>
      <c r="D511">
        <v>0.78210000000000002</v>
      </c>
      <c r="E511">
        <v>0.81840000000000002</v>
      </c>
      <c r="F511">
        <v>722988.61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-9.9255583126550945E-2</v>
      </c>
      <c r="Q511">
        <f t="shared" si="980"/>
        <v>-71760.656079404522</v>
      </c>
      <c r="R511">
        <f t="shared" si="981"/>
        <v>-2740010.7808618015</v>
      </c>
      <c r="S511">
        <f t="shared" si="982"/>
        <v>-27.400107808618014</v>
      </c>
      <c r="T511">
        <f t="shared" si="983"/>
        <v>-2.7400107808618013E-2</v>
      </c>
    </row>
    <row r="512" spans="1:20" x14ac:dyDescent="0.25">
      <c r="A512" s="5">
        <v>44081</v>
      </c>
      <c r="B512">
        <v>0.83989999999999998</v>
      </c>
      <c r="C512">
        <v>0.85699999999999998</v>
      </c>
      <c r="D512">
        <v>0.76</v>
      </c>
      <c r="E512">
        <v>0.85270000000000001</v>
      </c>
      <c r="F512">
        <v>1130541.81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0.91134020618556755</v>
      </c>
      <c r="Q512">
        <f t="shared" si="980"/>
        <v>1030308.2062268048</v>
      </c>
      <c r="R512">
        <f t="shared" si="981"/>
        <v>-2668250.1247823969</v>
      </c>
      <c r="S512">
        <f t="shared" si="982"/>
        <v>-26.682501247823968</v>
      </c>
      <c r="T512">
        <f t="shared" si="983"/>
        <v>-2.6682501247823967E-2</v>
      </c>
    </row>
    <row r="513" spans="1:20" x14ac:dyDescent="0.25">
      <c r="A513" s="5">
        <v>44080</v>
      </c>
      <c r="B513">
        <v>0.81040000000000001</v>
      </c>
      <c r="C513">
        <v>0.86450000000000005</v>
      </c>
      <c r="D513">
        <v>0.76</v>
      </c>
      <c r="E513">
        <v>0.83979999999999999</v>
      </c>
      <c r="F513">
        <v>638776.1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0.52727272727272634</v>
      </c>
      <c r="Q513">
        <f t="shared" si="980"/>
        <v>336809.21636363573</v>
      </c>
      <c r="R513">
        <f t="shared" si="981"/>
        <v>-3698558.3310092017</v>
      </c>
      <c r="S513">
        <f t="shared" si="982"/>
        <v>-36.985583310092018</v>
      </c>
      <c r="T513">
        <f t="shared" si="983"/>
        <v>-3.6985583310092017E-2</v>
      </c>
    </row>
    <row r="514" spans="1:20" x14ac:dyDescent="0.25">
      <c r="A514" s="5">
        <v>44079</v>
      </c>
      <c r="B514">
        <v>0.87519999999999998</v>
      </c>
      <c r="C514">
        <v>0.96060000000000001</v>
      </c>
      <c r="D514">
        <v>0.76100000000000001</v>
      </c>
      <c r="E514">
        <v>0.81279999999999997</v>
      </c>
      <c r="F514">
        <v>1461199.65</v>
      </c>
      <c r="G514">
        <v>0</v>
      </c>
      <c r="L514" t="s">
        <v>8</v>
      </c>
      <c r="M514" t="s">
        <v>7</v>
      </c>
      <c r="N514" t="s">
        <v>7</v>
      </c>
      <c r="P514">
        <f t="shared" si="979"/>
        <v>-0.48096192384769582</v>
      </c>
      <c r="Q514">
        <f t="shared" si="980"/>
        <v>-702781.39478957979</v>
      </c>
      <c r="R514">
        <f t="shared" si="981"/>
        <v>-4035367.5473728376</v>
      </c>
      <c r="S514">
        <f t="shared" si="982"/>
        <v>-40.353675473728373</v>
      </c>
      <c r="T514">
        <f t="shared" si="983"/>
        <v>-4.0353675473728375E-2</v>
      </c>
    </row>
    <row r="515" spans="1:20" x14ac:dyDescent="0.25">
      <c r="A515" s="5">
        <v>44078</v>
      </c>
      <c r="B515">
        <v>0.81599999999999995</v>
      </c>
      <c r="C515">
        <v>0.91639999999999999</v>
      </c>
      <c r="D515">
        <v>0.8054</v>
      </c>
      <c r="E515">
        <v>0.88009999999999999</v>
      </c>
      <c r="F515">
        <v>1434533.51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0.34594594594594591</v>
      </c>
      <c r="Q515">
        <f t="shared" si="980"/>
        <v>496271.05210810807</v>
      </c>
      <c r="R515">
        <f t="shared" si="981"/>
        <v>-3332586.1525832578</v>
      </c>
      <c r="S515">
        <f t="shared" si="982"/>
        <v>-33.325861525832579</v>
      </c>
      <c r="T515">
        <f t="shared" si="983"/>
        <v>-3.3325861525832577E-2</v>
      </c>
    </row>
    <row r="516" spans="1:20" x14ac:dyDescent="0.25">
      <c r="A516" s="5">
        <v>44077</v>
      </c>
      <c r="B516">
        <v>1.0569</v>
      </c>
      <c r="C516">
        <v>1.0864</v>
      </c>
      <c r="D516">
        <v>0.80100000000000005</v>
      </c>
      <c r="E516">
        <v>0.81599999999999995</v>
      </c>
      <c r="F516">
        <v>1910466.12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-0.89488437281009181</v>
      </c>
      <c r="Q516">
        <f t="shared" si="980"/>
        <v>-1709646.2755711298</v>
      </c>
      <c r="R516">
        <f t="shared" si="981"/>
        <v>-3828857.2046913658</v>
      </c>
      <c r="S516">
        <f t="shared" si="982"/>
        <v>-38.288572046913657</v>
      </c>
      <c r="T516">
        <f t="shared" si="983"/>
        <v>-3.828857204691366E-2</v>
      </c>
    </row>
    <row r="517" spans="1:20" x14ac:dyDescent="0.25">
      <c r="A517" s="5">
        <v>44076</v>
      </c>
      <c r="B517">
        <v>1.1232</v>
      </c>
      <c r="C517">
        <v>1.1318999999999999</v>
      </c>
      <c r="D517">
        <v>1.024</v>
      </c>
      <c r="E517">
        <v>1.0550999999999999</v>
      </c>
      <c r="F517">
        <v>892594.13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-0.4235403151065813</v>
      </c>
      <c r="Q517">
        <f t="shared" si="980"/>
        <v>-378049.59908248478</v>
      </c>
      <c r="R517">
        <f t="shared" si="981"/>
        <v>-2119210.9291202361</v>
      </c>
      <c r="S517">
        <f t="shared" si="982"/>
        <v>-21.19210929120236</v>
      </c>
      <c r="T517">
        <f t="shared" si="983"/>
        <v>-2.1192109291202361E-2</v>
      </c>
    </row>
    <row r="518" spans="1:20" x14ac:dyDescent="0.25">
      <c r="A518" s="5">
        <v>44075</v>
      </c>
      <c r="B518">
        <v>1.137</v>
      </c>
      <c r="C518">
        <v>1.1611</v>
      </c>
      <c r="D518">
        <v>1.1059000000000001</v>
      </c>
      <c r="E518">
        <v>1.1240000000000001</v>
      </c>
      <c r="F518">
        <v>1092039.8700000001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-0.34420289855072345</v>
      </c>
      <c r="Q518">
        <f t="shared" ref="Q518:Q581" si="985">F518*P518</f>
        <v>-375883.28858695528</v>
      </c>
      <c r="R518">
        <f t="shared" ref="R518:R581" si="986">R519+Q518</f>
        <v>-1741161.3300377515</v>
      </c>
      <c r="S518">
        <f t="shared" ref="S518:S581" si="987">R518/100000</f>
        <v>-17.411613300377514</v>
      </c>
      <c r="T518">
        <f t="shared" ref="T518:T581" si="988">S518/1000</f>
        <v>-1.7411613300377514E-2</v>
      </c>
    </row>
    <row r="519" spans="1:20" x14ac:dyDescent="0.25">
      <c r="A519" s="5">
        <v>44074</v>
      </c>
      <c r="B519">
        <v>1.1674</v>
      </c>
      <c r="C519">
        <v>1.1728000000000001</v>
      </c>
      <c r="D519">
        <v>1.1143000000000001</v>
      </c>
      <c r="E519">
        <v>1.1371</v>
      </c>
      <c r="F519">
        <v>669924.67000000004</v>
      </c>
      <c r="G519">
        <v>0</v>
      </c>
      <c r="L519" t="s">
        <v>7</v>
      </c>
      <c r="M519" t="s">
        <v>7</v>
      </c>
      <c r="N519" t="s">
        <v>8</v>
      </c>
      <c r="P519">
        <f t="shared" si="984"/>
        <v>-0.22051282051282281</v>
      </c>
      <c r="Q519">
        <f t="shared" si="985"/>
        <v>-147726.97851282207</v>
      </c>
      <c r="R519">
        <f t="shared" si="986"/>
        <v>-1365278.0414507962</v>
      </c>
      <c r="S519">
        <f t="shared" si="987"/>
        <v>-13.652780414507962</v>
      </c>
      <c r="T519">
        <f t="shared" si="988"/>
        <v>-1.3652780414507962E-2</v>
      </c>
    </row>
    <row r="520" spans="1:20" x14ac:dyDescent="0.25">
      <c r="A520" s="5">
        <v>44073</v>
      </c>
      <c r="B520">
        <v>1.1627000000000001</v>
      </c>
      <c r="C520">
        <v>1.1879</v>
      </c>
      <c r="D520">
        <v>1.1546000000000001</v>
      </c>
      <c r="E520">
        <v>1.1714</v>
      </c>
      <c r="F520">
        <v>899581.16</v>
      </c>
      <c r="G520">
        <v>0</v>
      </c>
      <c r="L520" t="s">
        <v>7</v>
      </c>
      <c r="M520" t="s">
        <v>7</v>
      </c>
      <c r="N520" t="s">
        <v>8</v>
      </c>
      <c r="P520">
        <f t="shared" si="984"/>
        <v>9.0090090090080479E-3</v>
      </c>
      <c r="Q520">
        <f t="shared" si="985"/>
        <v>8104.3347747739108</v>
      </c>
      <c r="R520">
        <f t="shared" si="986"/>
        <v>-1217551.0629379742</v>
      </c>
      <c r="S520">
        <f t="shared" si="987"/>
        <v>-12.175510629379742</v>
      </c>
      <c r="T520">
        <f t="shared" si="988"/>
        <v>-1.2175510629379742E-2</v>
      </c>
    </row>
    <row r="521" spans="1:20" x14ac:dyDescent="0.25">
      <c r="A521" s="5">
        <v>44072</v>
      </c>
      <c r="B521">
        <v>1.1666000000000001</v>
      </c>
      <c r="C521">
        <v>1.175</v>
      </c>
      <c r="D521">
        <v>1.1405000000000001</v>
      </c>
      <c r="E521">
        <v>1.1599999999999999</v>
      </c>
      <c r="F521">
        <v>632778.06999999995</v>
      </c>
      <c r="G521">
        <v>0</v>
      </c>
      <c r="L521" t="s">
        <v>7</v>
      </c>
      <c r="M521" t="s">
        <v>7</v>
      </c>
      <c r="N521" t="s">
        <v>8</v>
      </c>
      <c r="P521">
        <f t="shared" si="984"/>
        <v>0.13043478260868782</v>
      </c>
      <c r="Q521">
        <f t="shared" si="985"/>
        <v>82536.269999995042</v>
      </c>
      <c r="R521">
        <f t="shared" si="986"/>
        <v>-1225655.397712748</v>
      </c>
      <c r="S521">
        <f t="shared" si="987"/>
        <v>-12.25655397712748</v>
      </c>
      <c r="T521">
        <f t="shared" si="988"/>
        <v>-1.225655397712748E-2</v>
      </c>
    </row>
    <row r="522" spans="1:20" x14ac:dyDescent="0.25">
      <c r="A522" s="5">
        <v>44071</v>
      </c>
      <c r="B522">
        <v>1.1458999999999999</v>
      </c>
      <c r="C522">
        <v>1.1972</v>
      </c>
      <c r="D522">
        <v>1.1434</v>
      </c>
      <c r="E522">
        <v>1.1666000000000001</v>
      </c>
      <c r="F522">
        <v>778479.67</v>
      </c>
      <c r="G522">
        <v>0</v>
      </c>
      <c r="L522" t="s">
        <v>7</v>
      </c>
      <c r="M522" t="s">
        <v>7</v>
      </c>
      <c r="N522" t="s">
        <v>8</v>
      </c>
      <c r="P522">
        <f t="shared" si="984"/>
        <v>-0.13754646840148405</v>
      </c>
      <c r="Q522">
        <f t="shared" si="985"/>
        <v>-107077.12933085274</v>
      </c>
      <c r="R522">
        <f t="shared" si="986"/>
        <v>-1308191.6677127432</v>
      </c>
      <c r="S522">
        <f t="shared" si="987"/>
        <v>-13.081916677127431</v>
      </c>
      <c r="T522">
        <f t="shared" si="988"/>
        <v>-1.3081916677127431E-2</v>
      </c>
    </row>
    <row r="523" spans="1:20" x14ac:dyDescent="0.25">
      <c r="A523" s="5">
        <v>44070</v>
      </c>
      <c r="B523">
        <v>1.2186999999999999</v>
      </c>
      <c r="C523">
        <v>1.2768999999999999</v>
      </c>
      <c r="D523">
        <v>1.1000000000000001</v>
      </c>
      <c r="E523">
        <v>1.1480999999999999</v>
      </c>
      <c r="F523">
        <v>2483897.19</v>
      </c>
      <c r="G523">
        <v>0</v>
      </c>
      <c r="L523" t="s">
        <v>8</v>
      </c>
      <c r="M523" t="s">
        <v>7</v>
      </c>
      <c r="N523" t="s">
        <v>8</v>
      </c>
      <c r="P523">
        <f t="shared" si="984"/>
        <v>-0.4561899378179779</v>
      </c>
      <c r="Q523">
        <f t="shared" si="985"/>
        <v>-1133128.9046523501</v>
      </c>
      <c r="R523">
        <f t="shared" si="986"/>
        <v>-1201114.5383818904</v>
      </c>
      <c r="S523">
        <f t="shared" si="987"/>
        <v>-12.011145383818905</v>
      </c>
      <c r="T523">
        <f t="shared" si="988"/>
        <v>-1.2011145383818905E-2</v>
      </c>
    </row>
    <row r="524" spans="1:20" x14ac:dyDescent="0.25">
      <c r="A524" s="5">
        <v>44069</v>
      </c>
      <c r="B524">
        <v>1.1894</v>
      </c>
      <c r="C524">
        <v>1.26</v>
      </c>
      <c r="D524">
        <v>1.1539999999999999</v>
      </c>
      <c r="E524">
        <v>1.2215</v>
      </c>
      <c r="F524">
        <v>1603892.71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0.27358490566037841</v>
      </c>
      <c r="Q524">
        <f t="shared" si="985"/>
        <v>438800.83575471863</v>
      </c>
      <c r="R524">
        <f t="shared" si="986"/>
        <v>-67985.633729540161</v>
      </c>
      <c r="S524">
        <f t="shared" si="987"/>
        <v>-0.67985633729540162</v>
      </c>
      <c r="T524">
        <f t="shared" si="988"/>
        <v>-6.7985633729540163E-4</v>
      </c>
    </row>
    <row r="525" spans="1:20" x14ac:dyDescent="0.25">
      <c r="A525" s="5">
        <v>44068</v>
      </c>
      <c r="B525">
        <v>1.2918000000000001</v>
      </c>
      <c r="C525">
        <v>1.3148</v>
      </c>
      <c r="D525">
        <v>1.1499999999999999</v>
      </c>
      <c r="E525">
        <v>1.1912</v>
      </c>
      <c r="F525">
        <v>2001986.5600000001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-0.49999999999999867</v>
      </c>
      <c r="Q525">
        <f t="shared" si="985"/>
        <v>-1000993.2799999974</v>
      </c>
      <c r="R525">
        <f t="shared" si="986"/>
        <v>-506786.46948425879</v>
      </c>
      <c r="S525">
        <f t="shared" si="987"/>
        <v>-5.0678646948425881</v>
      </c>
      <c r="T525">
        <f t="shared" si="988"/>
        <v>-5.067864694842588E-3</v>
      </c>
    </row>
    <row r="526" spans="1:20" x14ac:dyDescent="0.25">
      <c r="A526" s="5">
        <v>44067</v>
      </c>
      <c r="B526">
        <v>1.3077000000000001</v>
      </c>
      <c r="C526">
        <v>1.4137</v>
      </c>
      <c r="D526">
        <v>1.2721</v>
      </c>
      <c r="E526">
        <v>1.2918000000000001</v>
      </c>
      <c r="F526">
        <v>1364095.81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-0.72175141242937768</v>
      </c>
      <c r="Q526">
        <f t="shared" si="985"/>
        <v>-984538.07755649602</v>
      </c>
      <c r="R526">
        <f t="shared" si="986"/>
        <v>494206.81051573856</v>
      </c>
      <c r="S526">
        <f t="shared" si="987"/>
        <v>4.9420681051573858</v>
      </c>
      <c r="T526">
        <f t="shared" si="988"/>
        <v>4.9420681051573854E-3</v>
      </c>
    </row>
    <row r="527" spans="1:20" x14ac:dyDescent="0.25">
      <c r="A527" s="5">
        <v>44066</v>
      </c>
      <c r="B527">
        <v>1.3812</v>
      </c>
      <c r="C527">
        <v>1.4441999999999999</v>
      </c>
      <c r="D527">
        <v>1.2745</v>
      </c>
      <c r="E527">
        <v>1.3053999999999999</v>
      </c>
      <c r="F527">
        <v>2007267.55</v>
      </c>
      <c r="G527">
        <v>0</v>
      </c>
      <c r="L527" t="s">
        <v>7</v>
      </c>
      <c r="M527" t="s">
        <v>8</v>
      </c>
      <c r="N527" t="s">
        <v>8</v>
      </c>
      <c r="P527">
        <f t="shared" si="984"/>
        <v>-0.63582793164407858</v>
      </c>
      <c r="Q527">
        <f t="shared" si="985"/>
        <v>-1276276.7745727771</v>
      </c>
      <c r="R527">
        <f t="shared" si="986"/>
        <v>1478744.8880722346</v>
      </c>
      <c r="S527">
        <f t="shared" si="987"/>
        <v>14.787448880722346</v>
      </c>
      <c r="T527">
        <f t="shared" si="988"/>
        <v>1.4787448880722346E-2</v>
      </c>
    </row>
    <row r="528" spans="1:20" x14ac:dyDescent="0.25">
      <c r="A528" s="5">
        <v>44065</v>
      </c>
      <c r="B528">
        <v>1.1890000000000001</v>
      </c>
      <c r="C528">
        <v>1.4552</v>
      </c>
      <c r="D528">
        <v>1.1155999999999999</v>
      </c>
      <c r="E528">
        <v>1.3813</v>
      </c>
      <c r="F528">
        <v>3146238.19</v>
      </c>
      <c r="G528">
        <v>0</v>
      </c>
      <c r="L528" t="s">
        <v>8</v>
      </c>
      <c r="M528" t="s">
        <v>8</v>
      </c>
      <c r="N528" t="s">
        <v>8</v>
      </c>
      <c r="P528">
        <f t="shared" si="984"/>
        <v>0.56478209658421641</v>
      </c>
      <c r="Q528">
        <f t="shared" si="985"/>
        <v>1776939.0013015303</v>
      </c>
      <c r="R528">
        <f t="shared" si="986"/>
        <v>2755021.6626450117</v>
      </c>
      <c r="S528">
        <f t="shared" si="987"/>
        <v>27.550216626450116</v>
      </c>
      <c r="T528">
        <f t="shared" si="988"/>
        <v>2.7550216626450116E-2</v>
      </c>
    </row>
    <row r="529" spans="1:20" x14ac:dyDescent="0.25">
      <c r="A529" s="5">
        <v>44064</v>
      </c>
      <c r="B529">
        <v>1.236</v>
      </c>
      <c r="C529">
        <v>1.39</v>
      </c>
      <c r="D529">
        <v>1.1839999999999999</v>
      </c>
      <c r="E529">
        <v>1.19</v>
      </c>
      <c r="F529">
        <v>2250390.64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-0.9417475728155339</v>
      </c>
      <c r="Q529">
        <f t="shared" si="985"/>
        <v>-2119299.9231067961</v>
      </c>
      <c r="R529">
        <f t="shared" si="986"/>
        <v>978082.66134348139</v>
      </c>
      <c r="S529">
        <f t="shared" si="987"/>
        <v>9.7808266134348134</v>
      </c>
      <c r="T529">
        <f t="shared" si="988"/>
        <v>9.7808266134348128E-3</v>
      </c>
    </row>
    <row r="530" spans="1:20" x14ac:dyDescent="0.25">
      <c r="A530" s="5">
        <v>44063</v>
      </c>
      <c r="B530">
        <v>1.1781999999999999</v>
      </c>
      <c r="C530">
        <v>1.2518</v>
      </c>
      <c r="D530">
        <v>1.1617</v>
      </c>
      <c r="E530">
        <v>1.2391000000000001</v>
      </c>
      <c r="F530">
        <v>1213333.1299999999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0.71809100998890296</v>
      </c>
      <c r="Q530">
        <f t="shared" si="985"/>
        <v>871283.61277469678</v>
      </c>
      <c r="R530">
        <f t="shared" si="986"/>
        <v>3097382.5844502775</v>
      </c>
      <c r="S530">
        <f t="shared" si="987"/>
        <v>30.973825844502777</v>
      </c>
      <c r="T530">
        <f t="shared" si="988"/>
        <v>3.0973825844502777E-2</v>
      </c>
    </row>
    <row r="531" spans="1:20" x14ac:dyDescent="0.25">
      <c r="A531" s="5">
        <v>44062</v>
      </c>
      <c r="B531">
        <v>1.3067</v>
      </c>
      <c r="C531">
        <v>1.3070999999999999</v>
      </c>
      <c r="D531">
        <v>1.1499999999999999</v>
      </c>
      <c r="E531">
        <v>1.1783999999999999</v>
      </c>
      <c r="F531">
        <v>2035008.69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-0.63844684914067507</v>
      </c>
      <c r="Q531">
        <f t="shared" si="985"/>
        <v>-1299244.8861043928</v>
      </c>
      <c r="R531">
        <f t="shared" si="986"/>
        <v>2226098.9716755808</v>
      </c>
      <c r="S531">
        <f t="shared" si="987"/>
        <v>22.260989716755809</v>
      </c>
      <c r="T531">
        <f t="shared" si="988"/>
        <v>2.2260989716755809E-2</v>
      </c>
    </row>
    <row r="532" spans="1:20" x14ac:dyDescent="0.25">
      <c r="A532" s="5">
        <v>44061</v>
      </c>
      <c r="B532">
        <v>1.2376</v>
      </c>
      <c r="C532">
        <v>1.4401999999999999</v>
      </c>
      <c r="D532">
        <v>1.2304999999999999</v>
      </c>
      <c r="E532">
        <v>1.3067</v>
      </c>
      <c r="F532">
        <v>3285128.29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-0.27324749642346163</v>
      </c>
      <c r="Q532">
        <f t="shared" si="985"/>
        <v>-897653.08067238762</v>
      </c>
      <c r="R532">
        <f t="shared" si="986"/>
        <v>3525343.8577799737</v>
      </c>
      <c r="S532">
        <f t="shared" si="987"/>
        <v>35.253438577799734</v>
      </c>
      <c r="T532">
        <f t="shared" si="988"/>
        <v>3.5253438577799737E-2</v>
      </c>
    </row>
    <row r="533" spans="1:20" x14ac:dyDescent="0.25">
      <c r="A533" s="5">
        <v>44060</v>
      </c>
      <c r="B533">
        <v>1.1629</v>
      </c>
      <c r="C533">
        <v>1.2879</v>
      </c>
      <c r="D533">
        <v>1.1513</v>
      </c>
      <c r="E533">
        <v>1.2354000000000001</v>
      </c>
      <c r="F533">
        <v>2191226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0.23133235724743823</v>
      </c>
      <c r="Q533">
        <f t="shared" si="985"/>
        <v>506901.47584187507</v>
      </c>
      <c r="R533">
        <f t="shared" si="986"/>
        <v>4422996.9384523612</v>
      </c>
      <c r="S533">
        <f t="shared" si="987"/>
        <v>44.229969384523613</v>
      </c>
      <c r="T533">
        <f t="shared" si="988"/>
        <v>4.4229969384523615E-2</v>
      </c>
    </row>
    <row r="534" spans="1:20" x14ac:dyDescent="0.25">
      <c r="A534" s="5">
        <v>44059</v>
      </c>
      <c r="B534">
        <v>1.1121000000000001</v>
      </c>
      <c r="C534">
        <v>1.1647000000000001</v>
      </c>
      <c r="D534">
        <v>1.0923</v>
      </c>
      <c r="E534">
        <v>1.1629</v>
      </c>
      <c r="F534">
        <v>600422.92000000004</v>
      </c>
      <c r="G534">
        <v>0</v>
      </c>
      <c r="L534" t="s">
        <v>7</v>
      </c>
      <c r="M534" t="s">
        <v>8</v>
      </c>
      <c r="N534" t="s">
        <v>7</v>
      </c>
      <c r="P534">
        <f t="shared" si="984"/>
        <v>0.950276243093922</v>
      </c>
      <c r="Q534">
        <f t="shared" si="985"/>
        <v>570567.63668508257</v>
      </c>
      <c r="R534">
        <f t="shared" si="986"/>
        <v>3916095.4626104864</v>
      </c>
      <c r="S534">
        <f t="shared" si="987"/>
        <v>39.160954626104868</v>
      </c>
      <c r="T534">
        <f t="shared" si="988"/>
        <v>3.9160954626104867E-2</v>
      </c>
    </row>
    <row r="535" spans="1:20" x14ac:dyDescent="0.25">
      <c r="A535" s="5">
        <v>44058</v>
      </c>
      <c r="B535">
        <v>1.1498999999999999</v>
      </c>
      <c r="C535">
        <v>1.1576</v>
      </c>
      <c r="D535">
        <v>1.1019000000000001</v>
      </c>
      <c r="E535">
        <v>1.1121000000000001</v>
      </c>
      <c r="F535">
        <v>781757.92</v>
      </c>
      <c r="G535">
        <v>0</v>
      </c>
      <c r="L535" t="s">
        <v>7</v>
      </c>
      <c r="M535" t="s">
        <v>8</v>
      </c>
      <c r="N535" t="s">
        <v>7</v>
      </c>
      <c r="P535">
        <f t="shared" si="984"/>
        <v>-0.63375224416517006</v>
      </c>
      <c r="Q535">
        <f t="shared" si="985"/>
        <v>-495440.83619389549</v>
      </c>
      <c r="R535">
        <f t="shared" si="986"/>
        <v>3345527.8259254037</v>
      </c>
      <c r="S535">
        <f t="shared" si="987"/>
        <v>33.455278259254037</v>
      </c>
      <c r="T535">
        <f t="shared" si="988"/>
        <v>3.345527825925404E-2</v>
      </c>
    </row>
    <row r="536" spans="1:20" x14ac:dyDescent="0.25">
      <c r="A536" s="5">
        <v>44057</v>
      </c>
      <c r="B536">
        <v>1.1511</v>
      </c>
      <c r="C536">
        <v>1.1948000000000001</v>
      </c>
      <c r="D536">
        <v>1.1338999999999999</v>
      </c>
      <c r="E536">
        <v>1.1497999999999999</v>
      </c>
      <c r="F536">
        <v>1079402.02</v>
      </c>
      <c r="G536">
        <v>0</v>
      </c>
      <c r="L536" t="s">
        <v>8</v>
      </c>
      <c r="M536" t="s">
        <v>8</v>
      </c>
      <c r="N536" t="s">
        <v>7</v>
      </c>
      <c r="P536">
        <f t="shared" si="984"/>
        <v>-0.47783251231527163</v>
      </c>
      <c r="Q536">
        <f t="shared" si="985"/>
        <v>-515773.37901477906</v>
      </c>
      <c r="R536">
        <f t="shared" si="986"/>
        <v>3840968.6621192992</v>
      </c>
      <c r="S536">
        <f t="shared" si="987"/>
        <v>38.409686621192989</v>
      </c>
      <c r="T536">
        <f t="shared" si="988"/>
        <v>3.8409686621192991E-2</v>
      </c>
    </row>
    <row r="537" spans="1:20" x14ac:dyDescent="0.25">
      <c r="A537" s="5">
        <v>44056</v>
      </c>
      <c r="B537">
        <v>1.1268</v>
      </c>
      <c r="C537">
        <v>1.2004999999999999</v>
      </c>
      <c r="D537">
        <v>1.0803</v>
      </c>
      <c r="E537">
        <v>1.1511</v>
      </c>
      <c r="F537">
        <v>1228413.1399999999</v>
      </c>
      <c r="G537">
        <v>0</v>
      </c>
      <c r="L537" t="s">
        <v>8</v>
      </c>
      <c r="M537" t="s">
        <v>8</v>
      </c>
      <c r="N537" t="s">
        <v>7</v>
      </c>
      <c r="P537">
        <f t="shared" si="984"/>
        <v>0.17803660565723886</v>
      </c>
      <c r="Q537">
        <f t="shared" si="985"/>
        <v>218702.50579035052</v>
      </c>
      <c r="R537">
        <f t="shared" si="986"/>
        <v>4356742.0411340781</v>
      </c>
      <c r="S537">
        <f t="shared" si="987"/>
        <v>43.567420411340784</v>
      </c>
      <c r="T537">
        <f t="shared" si="988"/>
        <v>4.3567420411340783E-2</v>
      </c>
    </row>
    <row r="538" spans="1:20" x14ac:dyDescent="0.25">
      <c r="A538" s="5">
        <v>44055</v>
      </c>
      <c r="B538">
        <v>1.0913999999999999</v>
      </c>
      <c r="C538">
        <v>1.143</v>
      </c>
      <c r="D538">
        <v>1.04</v>
      </c>
      <c r="E538">
        <v>1.1220000000000001</v>
      </c>
      <c r="F538">
        <v>888473.37</v>
      </c>
      <c r="G538">
        <v>0</v>
      </c>
      <c r="L538" t="s">
        <v>7</v>
      </c>
      <c r="M538" t="s">
        <v>8</v>
      </c>
      <c r="N538" t="s">
        <v>7</v>
      </c>
      <c r="P538">
        <f t="shared" si="984"/>
        <v>0.5922330097087396</v>
      </c>
      <c r="Q538">
        <f t="shared" si="985"/>
        <v>526183.25796116656</v>
      </c>
      <c r="R538">
        <f t="shared" si="986"/>
        <v>4138039.5353437276</v>
      </c>
      <c r="S538">
        <f t="shared" si="987"/>
        <v>41.380395353437272</v>
      </c>
      <c r="T538">
        <f t="shared" si="988"/>
        <v>4.1380395353437273E-2</v>
      </c>
    </row>
    <row r="539" spans="1:20" x14ac:dyDescent="0.25">
      <c r="A539" s="5">
        <v>44054</v>
      </c>
      <c r="B539">
        <v>1.1983999999999999</v>
      </c>
      <c r="C539">
        <v>1.1983999999999999</v>
      </c>
      <c r="D539">
        <v>1.0580000000000001</v>
      </c>
      <c r="E539">
        <v>1.0920000000000001</v>
      </c>
      <c r="F539">
        <v>1392597.67</v>
      </c>
      <c r="G539">
        <v>0</v>
      </c>
      <c r="L539" t="s">
        <v>7</v>
      </c>
      <c r="M539" t="s">
        <v>8</v>
      </c>
      <c r="N539" t="s">
        <v>7</v>
      </c>
      <c r="P539">
        <f t="shared" si="984"/>
        <v>-0.5156695156695148</v>
      </c>
      <c r="Q539">
        <f t="shared" si="985"/>
        <v>-718120.16601139482</v>
      </c>
      <c r="R539">
        <f t="shared" si="986"/>
        <v>3611856.277382561</v>
      </c>
      <c r="S539">
        <f t="shared" si="987"/>
        <v>36.118562773825609</v>
      </c>
      <c r="T539">
        <f t="shared" si="988"/>
        <v>3.6118562773825608E-2</v>
      </c>
    </row>
    <row r="540" spans="1:20" x14ac:dyDescent="0.25">
      <c r="A540" s="5">
        <v>44053</v>
      </c>
      <c r="B540">
        <v>1.0599000000000001</v>
      </c>
      <c r="C540">
        <v>1.1993</v>
      </c>
      <c r="D540">
        <v>1.052</v>
      </c>
      <c r="E540">
        <v>1.1961999999999999</v>
      </c>
      <c r="F540">
        <v>2144133.5</v>
      </c>
      <c r="G540">
        <v>0</v>
      </c>
      <c r="L540" t="s">
        <v>8</v>
      </c>
      <c r="M540" t="s">
        <v>8</v>
      </c>
      <c r="N540" t="s">
        <v>7</v>
      </c>
      <c r="P540">
        <f t="shared" si="984"/>
        <v>0.95790902919212351</v>
      </c>
      <c r="Q540">
        <f t="shared" si="985"/>
        <v>2053884.8394433099</v>
      </c>
      <c r="R540">
        <f t="shared" si="986"/>
        <v>4329976.4433939559</v>
      </c>
      <c r="S540">
        <f t="shared" si="987"/>
        <v>43.299764433939558</v>
      </c>
      <c r="T540">
        <f t="shared" si="988"/>
        <v>4.3299764433939555E-2</v>
      </c>
    </row>
    <row r="541" spans="1:20" x14ac:dyDescent="0.25">
      <c r="A541" s="5">
        <v>44052</v>
      </c>
      <c r="B541">
        <v>1.0448999999999999</v>
      </c>
      <c r="C541">
        <v>1.0611999999999999</v>
      </c>
      <c r="D541">
        <v>1.0125</v>
      </c>
      <c r="E541">
        <v>1.0551999999999999</v>
      </c>
      <c r="F541">
        <v>668363.21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0.75359342915811045</v>
      </c>
      <c r="Q541">
        <f t="shared" si="985"/>
        <v>503674.12334702228</v>
      </c>
      <c r="R541">
        <f t="shared" si="986"/>
        <v>2276091.6039506462</v>
      </c>
      <c r="S541">
        <f t="shared" si="987"/>
        <v>22.760916039506462</v>
      </c>
      <c r="T541">
        <f t="shared" si="988"/>
        <v>2.2760916039506463E-2</v>
      </c>
    </row>
    <row r="542" spans="1:20" x14ac:dyDescent="0.25">
      <c r="A542" s="5">
        <v>44051</v>
      </c>
      <c r="B542">
        <v>1.0198</v>
      </c>
      <c r="C542">
        <v>1.0459000000000001</v>
      </c>
      <c r="D542">
        <v>0.92830000000000001</v>
      </c>
      <c r="E542">
        <v>1.0428999999999999</v>
      </c>
      <c r="F542">
        <v>715709.55</v>
      </c>
      <c r="G542">
        <v>0</v>
      </c>
      <c r="L542" t="s">
        <v>7</v>
      </c>
      <c r="M542" t="s">
        <v>8</v>
      </c>
      <c r="N542" t="s">
        <v>7</v>
      </c>
      <c r="P542">
        <f t="shared" si="984"/>
        <v>0.94897959183673275</v>
      </c>
      <c r="Q542">
        <f t="shared" si="985"/>
        <v>679193.75663265167</v>
      </c>
      <c r="R542">
        <f t="shared" si="986"/>
        <v>1772417.4806036241</v>
      </c>
      <c r="S542">
        <f t="shared" si="987"/>
        <v>17.724174806036242</v>
      </c>
      <c r="T542">
        <f t="shared" si="988"/>
        <v>1.7724174806036243E-2</v>
      </c>
    </row>
    <row r="543" spans="1:20" x14ac:dyDescent="0.25">
      <c r="A543" s="5">
        <v>44050</v>
      </c>
      <c r="B543">
        <v>1.0357000000000001</v>
      </c>
      <c r="C543">
        <v>1.0550999999999999</v>
      </c>
      <c r="D543">
        <v>0.99299999999999999</v>
      </c>
      <c r="E543">
        <v>1.0199</v>
      </c>
      <c r="F543">
        <v>570754.87</v>
      </c>
      <c r="G543">
        <v>0</v>
      </c>
      <c r="L543" t="s">
        <v>7</v>
      </c>
      <c r="M543" t="s">
        <v>8</v>
      </c>
      <c r="N543" t="s">
        <v>7</v>
      </c>
      <c r="P543">
        <f t="shared" si="984"/>
        <v>-0.13365539452495767</v>
      </c>
      <c r="Q543">
        <f t="shared" si="985"/>
        <v>-76284.467326890925</v>
      </c>
      <c r="R543">
        <f t="shared" si="986"/>
        <v>1093223.7239709725</v>
      </c>
      <c r="S543">
        <f t="shared" si="987"/>
        <v>10.932237239709725</v>
      </c>
      <c r="T543">
        <f t="shared" si="988"/>
        <v>1.0932237239709725E-2</v>
      </c>
    </row>
    <row r="544" spans="1:20" x14ac:dyDescent="0.25">
      <c r="A544" s="5">
        <v>44049</v>
      </c>
      <c r="B544">
        <v>1.0170999999999999</v>
      </c>
      <c r="C544">
        <v>1.0624</v>
      </c>
      <c r="D544">
        <v>0.98609999999999998</v>
      </c>
      <c r="E544">
        <v>1.0370999999999999</v>
      </c>
      <c r="F544">
        <v>764342.95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0.33682830930537122</v>
      </c>
      <c r="Q544">
        <f t="shared" si="985"/>
        <v>257452.34357797986</v>
      </c>
      <c r="R544">
        <f t="shared" si="986"/>
        <v>1169508.1912978634</v>
      </c>
      <c r="S544">
        <f t="shared" si="987"/>
        <v>11.695081912978633</v>
      </c>
      <c r="T544">
        <f t="shared" si="988"/>
        <v>1.1695081912978633E-2</v>
      </c>
    </row>
    <row r="545" spans="1:20" x14ac:dyDescent="0.25">
      <c r="A545" s="5">
        <v>44048</v>
      </c>
      <c r="B545">
        <v>1.0003</v>
      </c>
      <c r="C545">
        <v>1.0250999999999999</v>
      </c>
      <c r="D545">
        <v>0.996</v>
      </c>
      <c r="E545">
        <v>1.0170999999999999</v>
      </c>
      <c r="F545">
        <v>581337.11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0.4501718213058396</v>
      </c>
      <c r="Q545">
        <f t="shared" si="985"/>
        <v>261701.58560137323</v>
      </c>
      <c r="R545">
        <f t="shared" si="986"/>
        <v>912055.84771988343</v>
      </c>
      <c r="S545">
        <f t="shared" si="987"/>
        <v>9.1205584771988342</v>
      </c>
      <c r="T545">
        <f t="shared" si="988"/>
        <v>9.1205584771988334E-3</v>
      </c>
    </row>
    <row r="546" spans="1:20" x14ac:dyDescent="0.25">
      <c r="A546" s="5">
        <v>44047</v>
      </c>
      <c r="B546">
        <v>1.0152000000000001</v>
      </c>
      <c r="C546">
        <v>1.0598000000000001</v>
      </c>
      <c r="D546">
        <v>0.99260000000000004</v>
      </c>
      <c r="E546">
        <v>1.0003</v>
      </c>
      <c r="F546">
        <v>877106.81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-0.77083333333333559</v>
      </c>
      <c r="Q546">
        <f t="shared" si="985"/>
        <v>-676103.16604166874</v>
      </c>
      <c r="R546">
        <f t="shared" si="986"/>
        <v>650354.2621185102</v>
      </c>
      <c r="S546">
        <f t="shared" si="987"/>
        <v>6.503542621185102</v>
      </c>
      <c r="T546">
        <f t="shared" si="988"/>
        <v>6.5035426211851018E-3</v>
      </c>
    </row>
    <row r="547" spans="1:20" x14ac:dyDescent="0.25">
      <c r="A547" s="5">
        <v>44046</v>
      </c>
      <c r="B547">
        <v>0.97799999999999998</v>
      </c>
      <c r="C547">
        <v>1.054</v>
      </c>
      <c r="D547">
        <v>0.9728</v>
      </c>
      <c r="E547">
        <v>1.0152000000000001</v>
      </c>
      <c r="F547">
        <v>1433708.53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4.4334975369460052E-2</v>
      </c>
      <c r="Q547">
        <f t="shared" si="985"/>
        <v>63563.432364534776</v>
      </c>
      <c r="R547">
        <f t="shared" si="986"/>
        <v>1326457.4281601789</v>
      </c>
      <c r="S547">
        <f t="shared" si="987"/>
        <v>13.264574281601789</v>
      </c>
      <c r="T547">
        <f t="shared" si="988"/>
        <v>1.3264574281601788E-2</v>
      </c>
    </row>
    <row r="548" spans="1:20" x14ac:dyDescent="0.25">
      <c r="A548" s="5">
        <v>44045</v>
      </c>
      <c r="B548">
        <v>0.99370000000000003</v>
      </c>
      <c r="C548">
        <v>1.01</v>
      </c>
      <c r="D548">
        <v>0.88239999999999996</v>
      </c>
      <c r="E548">
        <v>0.97789999999999999</v>
      </c>
      <c r="F548">
        <v>979597.71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0.49686520376175541</v>
      </c>
      <c r="Q548">
        <f t="shared" si="985"/>
        <v>486728.015783699</v>
      </c>
      <c r="R548">
        <f t="shared" si="986"/>
        <v>1262893.9957956441</v>
      </c>
      <c r="S548">
        <f t="shared" si="987"/>
        <v>12.628939957956442</v>
      </c>
      <c r="T548">
        <f t="shared" si="988"/>
        <v>1.2628939957956442E-2</v>
      </c>
    </row>
    <row r="549" spans="1:20" x14ac:dyDescent="0.25">
      <c r="A549" s="5">
        <v>44044</v>
      </c>
      <c r="B549">
        <v>0.93079999999999996</v>
      </c>
      <c r="C549">
        <v>1.0094000000000001</v>
      </c>
      <c r="D549">
        <v>0.92310000000000003</v>
      </c>
      <c r="E549">
        <v>0.99119999999999997</v>
      </c>
      <c r="F549">
        <v>1156637.33</v>
      </c>
      <c r="G549">
        <v>0</v>
      </c>
      <c r="L549" t="s">
        <v>8</v>
      </c>
      <c r="M549" t="s">
        <v>7</v>
      </c>
      <c r="N549" t="s">
        <v>7</v>
      </c>
      <c r="P549">
        <f t="shared" si="984"/>
        <v>0.57821552723058878</v>
      </c>
      <c r="Q549">
        <f t="shared" si="985"/>
        <v>668785.66358053056</v>
      </c>
      <c r="R549">
        <f t="shared" si="986"/>
        <v>776165.98001194512</v>
      </c>
      <c r="S549">
        <f t="shared" si="987"/>
        <v>7.7616598001194514</v>
      </c>
      <c r="T549">
        <f t="shared" si="988"/>
        <v>7.7616598001194513E-3</v>
      </c>
    </row>
    <row r="550" spans="1:20" x14ac:dyDescent="0.25">
      <c r="A550" s="5">
        <v>44043</v>
      </c>
      <c r="B550">
        <v>0.93569999999999998</v>
      </c>
      <c r="C550">
        <v>0.94369999999999998</v>
      </c>
      <c r="D550">
        <v>0.92200000000000004</v>
      </c>
      <c r="E550">
        <v>0.93230000000000002</v>
      </c>
      <c r="F550">
        <v>407440.24</v>
      </c>
      <c r="G550">
        <v>0</v>
      </c>
      <c r="L550" t="s">
        <v>7</v>
      </c>
      <c r="M550" t="s">
        <v>7</v>
      </c>
      <c r="N550" t="s">
        <v>7</v>
      </c>
      <c r="P550">
        <f t="shared" si="984"/>
        <v>-5.0691244239631006E-2</v>
      </c>
      <c r="Q550">
        <f t="shared" si="985"/>
        <v>-20653.652718893874</v>
      </c>
      <c r="R550">
        <f t="shared" si="986"/>
        <v>107380.31643141453</v>
      </c>
      <c r="S550">
        <f t="shared" si="987"/>
        <v>1.0738031643141452</v>
      </c>
      <c r="T550">
        <f t="shared" si="988"/>
        <v>1.0738031643141453E-3</v>
      </c>
    </row>
    <row r="551" spans="1:20" x14ac:dyDescent="0.25">
      <c r="A551" s="5">
        <v>44042</v>
      </c>
      <c r="B551">
        <v>0.94279999999999997</v>
      </c>
      <c r="C551">
        <v>0.95</v>
      </c>
      <c r="D551">
        <v>0.93</v>
      </c>
      <c r="E551">
        <v>0.93369999999999997</v>
      </c>
      <c r="F551">
        <v>383862.4</v>
      </c>
      <c r="G551">
        <v>0</v>
      </c>
      <c r="L551" t="s">
        <v>8</v>
      </c>
      <c r="M551" t="s">
        <v>7</v>
      </c>
      <c r="N551" t="s">
        <v>7</v>
      </c>
      <c r="P551">
        <f t="shared" si="984"/>
        <v>-0.63000000000000567</v>
      </c>
      <c r="Q551">
        <f t="shared" si="985"/>
        <v>-241833.31200000219</v>
      </c>
      <c r="R551">
        <f t="shared" si="986"/>
        <v>128033.9691503084</v>
      </c>
      <c r="S551">
        <f t="shared" si="987"/>
        <v>1.280339691503084</v>
      </c>
      <c r="T551">
        <f t="shared" si="988"/>
        <v>1.2803396915030841E-3</v>
      </c>
    </row>
    <row r="552" spans="1:20" x14ac:dyDescent="0.25">
      <c r="A552" s="5">
        <v>44041</v>
      </c>
      <c r="B552">
        <v>0.94899999999999995</v>
      </c>
      <c r="C552">
        <v>0.98</v>
      </c>
      <c r="D552">
        <v>0.93369999999999997</v>
      </c>
      <c r="E552">
        <v>0.94430000000000003</v>
      </c>
      <c r="F552">
        <v>706027.88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-0.54211663066954419</v>
      </c>
      <c r="Q552">
        <f t="shared" si="985"/>
        <v>-382749.45546436129</v>
      </c>
      <c r="R552">
        <f t="shared" si="986"/>
        <v>369867.28115031059</v>
      </c>
      <c r="S552">
        <f t="shared" si="987"/>
        <v>3.6986728115031058</v>
      </c>
      <c r="T552">
        <f t="shared" si="988"/>
        <v>3.6986728115031057E-3</v>
      </c>
    </row>
    <row r="553" spans="1:20" x14ac:dyDescent="0.25">
      <c r="A553" s="5">
        <v>44040</v>
      </c>
      <c r="B553">
        <v>0.92700000000000005</v>
      </c>
      <c r="C553">
        <v>0.99299999999999999</v>
      </c>
      <c r="D553">
        <v>0.91269999999999996</v>
      </c>
      <c r="E553">
        <v>0.94899999999999995</v>
      </c>
      <c r="F553">
        <v>1108496.81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-9.5890410958904562E-2</v>
      </c>
      <c r="Q553">
        <f t="shared" si="985"/>
        <v>-106294.21465753476</v>
      </c>
      <c r="R553">
        <f t="shared" si="986"/>
        <v>752616.73661467189</v>
      </c>
      <c r="S553">
        <f t="shared" si="987"/>
        <v>7.5261673661467192</v>
      </c>
      <c r="T553">
        <f t="shared" si="988"/>
        <v>7.5261673661467191E-3</v>
      </c>
    </row>
    <row r="554" spans="1:20" x14ac:dyDescent="0.25">
      <c r="A554" s="5">
        <v>44039</v>
      </c>
      <c r="B554">
        <v>0.95730000000000004</v>
      </c>
      <c r="C554">
        <v>0.96679999999999999</v>
      </c>
      <c r="D554">
        <v>0.89510000000000001</v>
      </c>
      <c r="E554">
        <v>0.92710000000000004</v>
      </c>
      <c r="F554">
        <v>1610091.5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-0.10739191073919011</v>
      </c>
      <c r="Q554">
        <f t="shared" si="985"/>
        <v>-172910.80264992869</v>
      </c>
      <c r="R554">
        <f t="shared" si="986"/>
        <v>858910.95127220661</v>
      </c>
      <c r="S554">
        <f t="shared" si="987"/>
        <v>8.5891095127220662</v>
      </c>
      <c r="T554">
        <f t="shared" si="988"/>
        <v>8.5891095127220655E-3</v>
      </c>
    </row>
    <row r="555" spans="1:20" x14ac:dyDescent="0.25">
      <c r="A555" s="5">
        <v>44038</v>
      </c>
      <c r="B555">
        <v>0.99460000000000004</v>
      </c>
      <c r="C555">
        <v>1.0014000000000001</v>
      </c>
      <c r="D555">
        <v>0.93479999999999996</v>
      </c>
      <c r="E555">
        <v>0.95709999999999995</v>
      </c>
      <c r="F555">
        <v>914308.84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-0.33033033033033177</v>
      </c>
      <c r="Q555">
        <f t="shared" si="985"/>
        <v>-302023.94114114245</v>
      </c>
      <c r="R555">
        <f t="shared" si="986"/>
        <v>1031821.7539221353</v>
      </c>
      <c r="S555">
        <f t="shared" si="987"/>
        <v>10.318217539221353</v>
      </c>
      <c r="T555">
        <f t="shared" si="988"/>
        <v>1.0318217539221353E-2</v>
      </c>
    </row>
    <row r="556" spans="1:20" x14ac:dyDescent="0.25">
      <c r="A556" s="5">
        <v>44037</v>
      </c>
      <c r="B556">
        <v>0.98899999999999999</v>
      </c>
      <c r="C556">
        <v>1.0125</v>
      </c>
      <c r="D556">
        <v>0.97509999999999997</v>
      </c>
      <c r="E556">
        <v>0.99490000000000001</v>
      </c>
      <c r="F556">
        <v>682766.16</v>
      </c>
      <c r="G556">
        <v>0</v>
      </c>
      <c r="L556" t="s">
        <v>7</v>
      </c>
      <c r="M556" t="s">
        <v>7</v>
      </c>
      <c r="N556" t="s">
        <v>7</v>
      </c>
      <c r="P556">
        <f t="shared" si="984"/>
        <v>5.8823529411767148E-2</v>
      </c>
      <c r="Q556">
        <f t="shared" si="985"/>
        <v>40162.715294119313</v>
      </c>
      <c r="R556">
        <f t="shared" si="986"/>
        <v>1333845.6950632778</v>
      </c>
      <c r="S556">
        <f t="shared" si="987"/>
        <v>13.338456950632779</v>
      </c>
      <c r="T556">
        <f t="shared" si="988"/>
        <v>1.3338456950632779E-2</v>
      </c>
    </row>
    <row r="557" spans="1:20" x14ac:dyDescent="0.25">
      <c r="A557" s="5">
        <v>44036</v>
      </c>
      <c r="B557">
        <v>1.0149999999999999</v>
      </c>
      <c r="C557">
        <v>1.0165999999999999</v>
      </c>
      <c r="D557">
        <v>0.98499999999999999</v>
      </c>
      <c r="E557">
        <v>0.98740000000000006</v>
      </c>
      <c r="F557">
        <v>610341.02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-0.84810126582278023</v>
      </c>
      <c r="Q557">
        <f t="shared" si="985"/>
        <v>-517630.99164556683</v>
      </c>
      <c r="R557">
        <f t="shared" si="986"/>
        <v>1293682.9797691586</v>
      </c>
      <c r="S557">
        <f t="shared" si="987"/>
        <v>12.936829797691587</v>
      </c>
      <c r="T557">
        <f t="shared" si="988"/>
        <v>1.2936829797691587E-2</v>
      </c>
    </row>
    <row r="558" spans="1:20" x14ac:dyDescent="0.25">
      <c r="A558" s="5">
        <v>44035</v>
      </c>
      <c r="B558">
        <v>1.0389999999999999</v>
      </c>
      <c r="C558">
        <v>1.0940000000000001</v>
      </c>
      <c r="D558">
        <v>1.0069999999999999</v>
      </c>
      <c r="E558">
        <v>1.0152000000000001</v>
      </c>
      <c r="F558">
        <v>2070814.55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-0.81149425287355892</v>
      </c>
      <c r="Q558">
        <f t="shared" si="985"/>
        <v>-1680454.1060919452</v>
      </c>
      <c r="R558">
        <f t="shared" si="986"/>
        <v>1811313.9714147255</v>
      </c>
      <c r="S558">
        <f t="shared" si="987"/>
        <v>18.113139714147255</v>
      </c>
      <c r="T558">
        <f t="shared" si="988"/>
        <v>1.8113139714147256E-2</v>
      </c>
    </row>
    <row r="559" spans="1:20" x14ac:dyDescent="0.25">
      <c r="A559" s="5">
        <v>44034</v>
      </c>
      <c r="B559">
        <v>1.0048999999999999</v>
      </c>
      <c r="C559">
        <v>1.0449999999999999</v>
      </c>
      <c r="D559">
        <v>0.99809999999999999</v>
      </c>
      <c r="E559">
        <v>1.0414000000000001</v>
      </c>
      <c r="F559">
        <v>741315.82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0.84648187633262983</v>
      </c>
      <c r="Q559">
        <f t="shared" si="985"/>
        <v>627510.40626866207</v>
      </c>
      <c r="R559">
        <f t="shared" si="986"/>
        <v>3491768.0775066707</v>
      </c>
      <c r="S559">
        <f t="shared" si="987"/>
        <v>34.917680775066707</v>
      </c>
      <c r="T559">
        <f t="shared" si="988"/>
        <v>3.4917680775066705E-2</v>
      </c>
    </row>
    <row r="560" spans="1:20" x14ac:dyDescent="0.25">
      <c r="A560" s="5">
        <v>44033</v>
      </c>
      <c r="B560">
        <v>1.0145</v>
      </c>
      <c r="C560">
        <v>1.0224</v>
      </c>
      <c r="D560">
        <v>0.99109999999999998</v>
      </c>
      <c r="E560">
        <v>1.0048999999999999</v>
      </c>
      <c r="F560">
        <v>500831.34</v>
      </c>
      <c r="G560">
        <v>0</v>
      </c>
      <c r="L560" t="s">
        <v>8</v>
      </c>
      <c r="M560" t="s">
        <v>7</v>
      </c>
      <c r="N560" t="s">
        <v>7</v>
      </c>
      <c r="P560">
        <f t="shared" si="984"/>
        <v>-0.11821086261981305</v>
      </c>
      <c r="Q560">
        <f t="shared" si="985"/>
        <v>-59203.704728436882</v>
      </c>
      <c r="R560">
        <f t="shared" si="986"/>
        <v>2864257.6712380084</v>
      </c>
      <c r="S560">
        <f t="shared" si="987"/>
        <v>28.642576712380084</v>
      </c>
      <c r="T560">
        <f t="shared" si="988"/>
        <v>2.8642576712380085E-2</v>
      </c>
    </row>
    <row r="561" spans="1:104" x14ac:dyDescent="0.25">
      <c r="A561" s="5">
        <v>44032</v>
      </c>
      <c r="B561">
        <v>1.0168999999999999</v>
      </c>
      <c r="C561">
        <v>1.0499000000000001</v>
      </c>
      <c r="D561">
        <v>1.0009999999999999</v>
      </c>
      <c r="E561">
        <v>1.0165</v>
      </c>
      <c r="F561">
        <v>702480.45</v>
      </c>
      <c r="G561">
        <v>0</v>
      </c>
      <c r="L561" t="s">
        <v>8</v>
      </c>
      <c r="M561" t="s">
        <v>7</v>
      </c>
      <c r="N561" t="s">
        <v>7</v>
      </c>
      <c r="P561">
        <f t="shared" si="984"/>
        <v>-0.36605316973415064</v>
      </c>
      <c r="Q561">
        <f t="shared" si="985"/>
        <v>-257145.19539877251</v>
      </c>
      <c r="R561">
        <f t="shared" si="986"/>
        <v>2923461.3759664451</v>
      </c>
      <c r="S561">
        <f t="shared" si="987"/>
        <v>29.234613759664452</v>
      </c>
      <c r="T561">
        <f t="shared" si="988"/>
        <v>2.9234613759664452E-2</v>
      </c>
      <c r="CZ561" t="s">
        <v>7</v>
      </c>
    </row>
    <row r="562" spans="1:104" x14ac:dyDescent="0.25">
      <c r="A562" s="5">
        <v>44031</v>
      </c>
      <c r="B562">
        <v>0.99029999999999996</v>
      </c>
      <c r="C562">
        <v>1.05</v>
      </c>
      <c r="D562">
        <v>0.98399999999999999</v>
      </c>
      <c r="E562">
        <v>1.0187999999999999</v>
      </c>
      <c r="F562">
        <v>968481.03</v>
      </c>
      <c r="G562">
        <v>0</v>
      </c>
      <c r="L562" t="s">
        <v>8</v>
      </c>
      <c r="M562" t="s">
        <v>7</v>
      </c>
      <c r="N562" t="s">
        <v>7</v>
      </c>
      <c r="P562">
        <f t="shared" si="984"/>
        <v>5.4545454545451857E-2</v>
      </c>
      <c r="Q562">
        <f t="shared" si="985"/>
        <v>52826.2379999974</v>
      </c>
      <c r="R562">
        <f t="shared" si="986"/>
        <v>3180606.5713652177</v>
      </c>
      <c r="S562">
        <f t="shared" si="987"/>
        <v>31.806065713652178</v>
      </c>
      <c r="T562">
        <f t="shared" si="988"/>
        <v>3.180606571365218E-2</v>
      </c>
      <c r="CZ562" t="s">
        <v>7</v>
      </c>
    </row>
    <row r="563" spans="1:104" x14ac:dyDescent="0.25">
      <c r="A563" s="5">
        <v>44030</v>
      </c>
      <c r="B563">
        <v>0.98960000000000004</v>
      </c>
      <c r="C563">
        <v>0.99990000000000001</v>
      </c>
      <c r="D563">
        <v>0.98180000000000001</v>
      </c>
      <c r="E563">
        <v>0.99050000000000005</v>
      </c>
      <c r="F563">
        <v>254454.53</v>
      </c>
      <c r="G563">
        <v>0</v>
      </c>
      <c r="L563" t="s">
        <v>7</v>
      </c>
      <c r="M563" t="s">
        <v>7</v>
      </c>
      <c r="N563" t="s">
        <v>7</v>
      </c>
      <c r="P563">
        <f t="shared" si="984"/>
        <v>-3.8674033149167002E-2</v>
      </c>
      <c r="Q563">
        <f t="shared" si="985"/>
        <v>-9840.7829281757095</v>
      </c>
      <c r="R563">
        <f t="shared" si="986"/>
        <v>3127780.3333652201</v>
      </c>
      <c r="S563">
        <f t="shared" si="987"/>
        <v>31.277803333652201</v>
      </c>
      <c r="T563">
        <f t="shared" si="988"/>
        <v>3.1277803333652203E-2</v>
      </c>
      <c r="CZ563" t="s">
        <v>7</v>
      </c>
    </row>
    <row r="564" spans="1:104" x14ac:dyDescent="0.25">
      <c r="A564" s="5">
        <v>44029</v>
      </c>
      <c r="B564">
        <v>0.98299999999999998</v>
      </c>
      <c r="C564">
        <v>1.01</v>
      </c>
      <c r="D564">
        <v>0.96360000000000001</v>
      </c>
      <c r="E564">
        <v>0.98780000000000001</v>
      </c>
      <c r="F564">
        <v>497525.68</v>
      </c>
      <c r="G564">
        <v>0</v>
      </c>
      <c r="L564" t="s">
        <v>7</v>
      </c>
      <c r="M564" t="s">
        <v>7</v>
      </c>
      <c r="N564" t="s">
        <v>7</v>
      </c>
      <c r="P564">
        <f t="shared" si="984"/>
        <v>4.3103448275862113E-2</v>
      </c>
      <c r="Q564">
        <f t="shared" si="985"/>
        <v>21445.072413793125</v>
      </c>
      <c r="R564">
        <f t="shared" si="986"/>
        <v>3137621.1162933959</v>
      </c>
      <c r="S564">
        <f t="shared" si="987"/>
        <v>31.376211162933959</v>
      </c>
      <c r="T564">
        <f t="shared" si="988"/>
        <v>3.1376211162933959E-2</v>
      </c>
    </row>
    <row r="565" spans="1:104" x14ac:dyDescent="0.25">
      <c r="A565" s="5">
        <v>44028</v>
      </c>
      <c r="B565">
        <v>1.0417000000000001</v>
      </c>
      <c r="C565">
        <v>1.0661</v>
      </c>
      <c r="D565">
        <v>0.94399999999999995</v>
      </c>
      <c r="E565">
        <v>0.98260000000000003</v>
      </c>
      <c r="F565">
        <v>1094496.8600000001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-0.36773136773136694</v>
      </c>
      <c r="Q565">
        <f t="shared" si="985"/>
        <v>-402480.82730548648</v>
      </c>
      <c r="R565">
        <f t="shared" si="986"/>
        <v>3116176.0438796026</v>
      </c>
      <c r="S565">
        <f t="shared" si="987"/>
        <v>31.161760438796026</v>
      </c>
      <c r="T565">
        <f t="shared" si="988"/>
        <v>3.1161760438796027E-2</v>
      </c>
    </row>
    <row r="566" spans="1:104" x14ac:dyDescent="0.25">
      <c r="A566" s="5">
        <v>44027</v>
      </c>
      <c r="B566">
        <v>0.99939999999999996</v>
      </c>
      <c r="C566">
        <v>1.0784</v>
      </c>
      <c r="D566">
        <v>0.98029999999999995</v>
      </c>
      <c r="E566">
        <v>1.0417000000000001</v>
      </c>
      <c r="F566">
        <v>1175018.8</v>
      </c>
      <c r="G566">
        <v>0</v>
      </c>
      <c r="L566" t="s">
        <v>8</v>
      </c>
      <c r="M566" t="s">
        <v>8</v>
      </c>
      <c r="N566" t="s">
        <v>7</v>
      </c>
      <c r="P566">
        <f t="shared" si="984"/>
        <v>0.25178389398573037</v>
      </c>
      <c r="Q566">
        <f t="shared" si="985"/>
        <v>295850.80897044012</v>
      </c>
      <c r="R566">
        <f t="shared" si="986"/>
        <v>3518656.871185089</v>
      </c>
      <c r="S566">
        <f t="shared" si="987"/>
        <v>35.186568711850889</v>
      </c>
      <c r="T566">
        <f t="shared" si="988"/>
        <v>3.5186568711850892E-2</v>
      </c>
    </row>
    <row r="567" spans="1:104" x14ac:dyDescent="0.25">
      <c r="A567" s="5">
        <v>44026</v>
      </c>
      <c r="B567">
        <v>0.9919</v>
      </c>
      <c r="C567">
        <v>1.0056</v>
      </c>
      <c r="D567">
        <v>0.95609999999999995</v>
      </c>
      <c r="E567">
        <v>0.99939999999999996</v>
      </c>
      <c r="F567">
        <v>578902.54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0.74949494949494622</v>
      </c>
      <c r="Q567">
        <f t="shared" si="985"/>
        <v>433884.52997979609</v>
      </c>
      <c r="R567">
        <f t="shared" si="986"/>
        <v>3222806.0622146488</v>
      </c>
      <c r="S567">
        <f t="shared" si="987"/>
        <v>32.228060622146486</v>
      </c>
      <c r="T567">
        <f t="shared" si="988"/>
        <v>3.222806062214649E-2</v>
      </c>
    </row>
    <row r="568" spans="1:104" x14ac:dyDescent="0.25">
      <c r="A568" s="5">
        <v>44025</v>
      </c>
      <c r="B568">
        <v>1.0469999999999999</v>
      </c>
      <c r="C568">
        <v>1.0505</v>
      </c>
      <c r="D568">
        <v>0.96940000000000004</v>
      </c>
      <c r="E568">
        <v>0.9919</v>
      </c>
      <c r="F568">
        <v>911385.24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-0.44512946979038276</v>
      </c>
      <c r="Q568">
        <f t="shared" si="985"/>
        <v>-405684.42865598074</v>
      </c>
      <c r="R568">
        <f t="shared" si="986"/>
        <v>2788921.5322348527</v>
      </c>
      <c r="S568">
        <f t="shared" si="987"/>
        <v>27.889215322348527</v>
      </c>
      <c r="T568">
        <f t="shared" si="988"/>
        <v>2.7889215322348528E-2</v>
      </c>
    </row>
    <row r="569" spans="1:104" x14ac:dyDescent="0.25">
      <c r="A569" s="5">
        <v>44024</v>
      </c>
      <c r="B569">
        <v>1.0144</v>
      </c>
      <c r="C569">
        <v>1.0640000000000001</v>
      </c>
      <c r="D569">
        <v>0.99570000000000003</v>
      </c>
      <c r="E569">
        <v>1.0461</v>
      </c>
      <c r="F569">
        <v>536202.74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0.4758418740849189</v>
      </c>
      <c r="Q569">
        <f t="shared" si="985"/>
        <v>255147.71669106849</v>
      </c>
      <c r="R569">
        <f t="shared" si="986"/>
        <v>3194605.9608908333</v>
      </c>
      <c r="S569">
        <f t="shared" si="987"/>
        <v>31.946059608908332</v>
      </c>
      <c r="T569">
        <f t="shared" si="988"/>
        <v>3.1946059608908332E-2</v>
      </c>
    </row>
    <row r="570" spans="1:104" x14ac:dyDescent="0.25">
      <c r="A570" s="5">
        <v>44023</v>
      </c>
      <c r="B570">
        <v>1.0069999999999999</v>
      </c>
      <c r="C570">
        <v>1.0218</v>
      </c>
      <c r="D570">
        <v>0.99929999999999997</v>
      </c>
      <c r="E570">
        <v>1.0145999999999999</v>
      </c>
      <c r="F570">
        <v>361559.54</v>
      </c>
      <c r="G570">
        <v>0</v>
      </c>
      <c r="L570" t="s">
        <v>7</v>
      </c>
      <c r="M570" t="s">
        <v>8</v>
      </c>
      <c r="N570" t="s">
        <v>7</v>
      </c>
      <c r="P570">
        <f t="shared" si="984"/>
        <v>0.35999999999999366</v>
      </c>
      <c r="Q570">
        <f t="shared" si="985"/>
        <v>130161.4343999977</v>
      </c>
      <c r="R570">
        <f t="shared" si="986"/>
        <v>2939458.2441997649</v>
      </c>
      <c r="S570">
        <f t="shared" si="987"/>
        <v>29.394582441997649</v>
      </c>
      <c r="T570">
        <f t="shared" si="988"/>
        <v>2.9394582441997649E-2</v>
      </c>
    </row>
    <row r="571" spans="1:104" x14ac:dyDescent="0.25">
      <c r="A571" s="5">
        <v>44022</v>
      </c>
      <c r="B571">
        <v>1.0343</v>
      </c>
      <c r="C571">
        <v>1.0368999999999999</v>
      </c>
      <c r="D571">
        <v>0.98619999999999997</v>
      </c>
      <c r="E571">
        <v>1.0074000000000001</v>
      </c>
      <c r="F571">
        <v>621565.38</v>
      </c>
      <c r="G571">
        <v>0</v>
      </c>
      <c r="L571" t="s">
        <v>7</v>
      </c>
      <c r="M571" t="s">
        <v>8</v>
      </c>
      <c r="N571" t="s">
        <v>7</v>
      </c>
      <c r="P571">
        <f t="shared" si="984"/>
        <v>-0.16370808678500506</v>
      </c>
      <c r="Q571">
        <f t="shared" si="985"/>
        <v>-101755.27917159465</v>
      </c>
      <c r="R571">
        <f t="shared" si="986"/>
        <v>2809296.8097997671</v>
      </c>
      <c r="S571">
        <f t="shared" si="987"/>
        <v>28.092968097997669</v>
      </c>
      <c r="T571">
        <f t="shared" si="988"/>
        <v>2.8092968097997668E-2</v>
      </c>
    </row>
    <row r="572" spans="1:104" x14ac:dyDescent="0.25">
      <c r="A572" s="5">
        <v>44021</v>
      </c>
      <c r="B572">
        <v>1.0777000000000001</v>
      </c>
      <c r="C572">
        <v>1.1149</v>
      </c>
      <c r="D572">
        <v>1.0049999999999999</v>
      </c>
      <c r="E572">
        <v>1.0343</v>
      </c>
      <c r="F572">
        <v>975080.51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-0.46678798908098135</v>
      </c>
      <c r="Q572">
        <f t="shared" si="985"/>
        <v>-455155.87045495771</v>
      </c>
      <c r="R572">
        <f t="shared" si="986"/>
        <v>2911052.0889713615</v>
      </c>
      <c r="S572">
        <f t="shared" si="987"/>
        <v>29.110520889713616</v>
      </c>
      <c r="T572">
        <f t="shared" si="988"/>
        <v>2.9110520889713616E-2</v>
      </c>
    </row>
    <row r="573" spans="1:104" x14ac:dyDescent="0.25">
      <c r="A573" s="5">
        <v>44020</v>
      </c>
      <c r="B573">
        <v>0.99770000000000003</v>
      </c>
      <c r="C573">
        <v>1.0849</v>
      </c>
      <c r="D573">
        <v>0.99429999999999996</v>
      </c>
      <c r="E573">
        <v>1.0775999999999999</v>
      </c>
      <c r="F573">
        <v>1043059.28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0.838852097130241</v>
      </c>
      <c r="Q573">
        <f t="shared" si="985"/>
        <v>874972.4644591593</v>
      </c>
      <c r="R573">
        <f t="shared" si="986"/>
        <v>3366207.9594263192</v>
      </c>
      <c r="S573">
        <f t="shared" si="987"/>
        <v>33.66207959426319</v>
      </c>
      <c r="T573">
        <f t="shared" si="988"/>
        <v>3.3662079594263192E-2</v>
      </c>
    </row>
    <row r="574" spans="1:104" x14ac:dyDescent="0.25">
      <c r="A574" s="5">
        <v>44019</v>
      </c>
      <c r="B574">
        <v>0.97419999999999995</v>
      </c>
      <c r="C574">
        <v>1.0397000000000001</v>
      </c>
      <c r="D574">
        <v>0.97399999999999998</v>
      </c>
      <c r="E574">
        <v>0.99750000000000005</v>
      </c>
      <c r="F574">
        <v>1128948.8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-0.28462709284626958</v>
      </c>
      <c r="Q574">
        <f t="shared" si="985"/>
        <v>-321329.41491628462</v>
      </c>
      <c r="R574">
        <f t="shared" si="986"/>
        <v>2491235.4949671598</v>
      </c>
      <c r="S574">
        <f t="shared" si="987"/>
        <v>24.912354949671599</v>
      </c>
      <c r="T574">
        <f t="shared" si="988"/>
        <v>2.4912354949671599E-2</v>
      </c>
    </row>
    <row r="575" spans="1:104" x14ac:dyDescent="0.25">
      <c r="A575" s="5">
        <v>44018</v>
      </c>
      <c r="B575">
        <v>0.92869999999999997</v>
      </c>
      <c r="C575">
        <v>0.97809999999999997</v>
      </c>
      <c r="D575">
        <v>0.92869999999999997</v>
      </c>
      <c r="E575">
        <v>0.97460000000000002</v>
      </c>
      <c r="F575">
        <v>654523.51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0.85829959514170251</v>
      </c>
      <c r="Q575">
        <f t="shared" si="985"/>
        <v>561777.26364372612</v>
      </c>
      <c r="R575">
        <f t="shared" si="986"/>
        <v>2812564.9098834447</v>
      </c>
      <c r="S575">
        <f t="shared" si="987"/>
        <v>28.125649098834447</v>
      </c>
      <c r="T575">
        <f t="shared" si="988"/>
        <v>2.8125649098834447E-2</v>
      </c>
    </row>
    <row r="576" spans="1:104" x14ac:dyDescent="0.25">
      <c r="A576" s="5">
        <v>44017</v>
      </c>
      <c r="B576">
        <v>0.96109999999999995</v>
      </c>
      <c r="C576">
        <v>0.9677</v>
      </c>
      <c r="D576">
        <v>0.91400000000000003</v>
      </c>
      <c r="E576">
        <v>0.92869999999999997</v>
      </c>
      <c r="F576">
        <v>649820.67000000004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-0.452513966480449</v>
      </c>
      <c r="Q576">
        <f t="shared" si="985"/>
        <v>-294052.92888268293</v>
      </c>
      <c r="R576">
        <f t="shared" si="986"/>
        <v>2250787.6462397184</v>
      </c>
      <c r="S576">
        <f t="shared" si="987"/>
        <v>22.507876462397185</v>
      </c>
      <c r="T576">
        <f t="shared" si="988"/>
        <v>2.2507876462397186E-2</v>
      </c>
    </row>
    <row r="577" spans="1:20" x14ac:dyDescent="0.25">
      <c r="A577" s="5">
        <v>44016</v>
      </c>
      <c r="B577">
        <v>0.92700000000000005</v>
      </c>
      <c r="C577">
        <v>0.96450000000000002</v>
      </c>
      <c r="D577">
        <v>0.92700000000000005</v>
      </c>
      <c r="E577">
        <v>0.96099999999999997</v>
      </c>
      <c r="F577">
        <v>383341.22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0.81333333333333013</v>
      </c>
      <c r="Q577">
        <f t="shared" si="985"/>
        <v>311784.1922666654</v>
      </c>
      <c r="R577">
        <f t="shared" si="986"/>
        <v>2544840.5751224011</v>
      </c>
      <c r="S577">
        <f t="shared" si="987"/>
        <v>25.448405751224012</v>
      </c>
      <c r="T577">
        <f t="shared" si="988"/>
        <v>2.544840575122401E-2</v>
      </c>
    </row>
    <row r="578" spans="1:20" x14ac:dyDescent="0.25">
      <c r="A578" s="5">
        <v>44015</v>
      </c>
      <c r="B578">
        <v>0.92459999999999998</v>
      </c>
      <c r="C578">
        <v>0.94159999999999999</v>
      </c>
      <c r="D578">
        <v>0.90639999999999998</v>
      </c>
      <c r="E578">
        <v>0.92920000000000003</v>
      </c>
      <c r="F578">
        <v>462276.17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0.29545454545454752</v>
      </c>
      <c r="Q578">
        <f t="shared" si="985"/>
        <v>136581.59568181913</v>
      </c>
      <c r="R578">
        <f t="shared" si="986"/>
        <v>2233056.3828557357</v>
      </c>
      <c r="S578">
        <f t="shared" si="987"/>
        <v>22.330563828557356</v>
      </c>
      <c r="T578">
        <f t="shared" si="988"/>
        <v>2.2330563828557356E-2</v>
      </c>
    </row>
    <row r="579" spans="1:20" x14ac:dyDescent="0.25">
      <c r="A579" s="5">
        <v>44014</v>
      </c>
      <c r="B579">
        <v>0.96640000000000004</v>
      </c>
      <c r="C579">
        <v>0.99309999999999998</v>
      </c>
      <c r="D579">
        <v>0.89239999999999997</v>
      </c>
      <c r="E579">
        <v>0.92290000000000005</v>
      </c>
      <c r="F579">
        <v>907784.96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-0.39424031777556945</v>
      </c>
      <c r="Q579">
        <f t="shared" si="985"/>
        <v>-357885.4311022826</v>
      </c>
      <c r="R579">
        <f t="shared" si="986"/>
        <v>2096474.7871739164</v>
      </c>
      <c r="S579">
        <f t="shared" si="987"/>
        <v>20.964747871739164</v>
      </c>
      <c r="T579">
        <f t="shared" si="988"/>
        <v>2.0964747871739162E-2</v>
      </c>
    </row>
    <row r="580" spans="1:20" x14ac:dyDescent="0.25">
      <c r="A580" s="5">
        <v>44013</v>
      </c>
      <c r="B580">
        <v>0.93379999999999996</v>
      </c>
      <c r="C580">
        <v>0.97230000000000005</v>
      </c>
      <c r="D580">
        <v>0.90880000000000005</v>
      </c>
      <c r="E580">
        <v>0.96650000000000003</v>
      </c>
      <c r="F580">
        <v>483916.22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0.81732283464566846</v>
      </c>
      <c r="Q580">
        <f t="shared" si="985"/>
        <v>395515.77666141692</v>
      </c>
      <c r="R580">
        <f t="shared" si="986"/>
        <v>2454360.218276199</v>
      </c>
      <c r="S580">
        <f t="shared" si="987"/>
        <v>24.54360218276199</v>
      </c>
      <c r="T580">
        <f t="shared" si="988"/>
        <v>2.4543602182761991E-2</v>
      </c>
    </row>
    <row r="581" spans="1:20" x14ac:dyDescent="0.25">
      <c r="A581" s="5">
        <v>44012</v>
      </c>
      <c r="B581">
        <v>0.96579999999999999</v>
      </c>
      <c r="C581">
        <v>0.97370000000000001</v>
      </c>
      <c r="D581">
        <v>0.91600000000000004</v>
      </c>
      <c r="E581">
        <v>0.9365</v>
      </c>
      <c r="F581">
        <v>852221.04</v>
      </c>
      <c r="G581">
        <v>0</v>
      </c>
      <c r="L581" t="s">
        <v>7</v>
      </c>
      <c r="M581" t="s">
        <v>7</v>
      </c>
      <c r="N581" t="s">
        <v>7</v>
      </c>
      <c r="P581">
        <f t="shared" si="984"/>
        <v>-0.28942807625650008</v>
      </c>
      <c r="Q581">
        <f t="shared" si="985"/>
        <v>-246656.69615251382</v>
      </c>
      <c r="R581">
        <f t="shared" si="986"/>
        <v>2058844.441614782</v>
      </c>
      <c r="S581">
        <f t="shared" si="987"/>
        <v>20.588444416147819</v>
      </c>
      <c r="T581">
        <f t="shared" si="988"/>
        <v>2.0588444416147818E-2</v>
      </c>
    </row>
    <row r="582" spans="1:20" x14ac:dyDescent="0.25">
      <c r="A582" s="5">
        <v>44011</v>
      </c>
      <c r="B582">
        <v>0.97160000000000002</v>
      </c>
      <c r="C582">
        <v>0.98180000000000001</v>
      </c>
      <c r="D582">
        <v>0.94399999999999995</v>
      </c>
      <c r="E582">
        <v>0.96279999999999999</v>
      </c>
      <c r="F582">
        <v>473812.24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-5.2910052910047009E-3</v>
      </c>
      <c r="Q582">
        <f t="shared" ref="Q582:Q645" si="990">F582*P582</f>
        <v>-2506.9430687827889</v>
      </c>
      <c r="R582">
        <f t="shared" ref="R582:R645" si="991">R583+Q582</f>
        <v>2305501.1377672958</v>
      </c>
      <c r="S582">
        <f t="shared" ref="S582:S645" si="992">R582/100000</f>
        <v>23.055011377672958</v>
      </c>
      <c r="T582">
        <f t="shared" ref="T582:T645" si="993">S582/1000</f>
        <v>2.3055011377672959E-2</v>
      </c>
    </row>
    <row r="583" spans="1:20" x14ac:dyDescent="0.25">
      <c r="A583" s="5">
        <v>44010</v>
      </c>
      <c r="B583">
        <v>0.95960000000000001</v>
      </c>
      <c r="C583">
        <v>0.98450000000000004</v>
      </c>
      <c r="D583">
        <v>0.93720000000000003</v>
      </c>
      <c r="E583">
        <v>0.97160000000000002</v>
      </c>
      <c r="F583">
        <v>551152.69999999995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0.4545454545454537</v>
      </c>
      <c r="Q583">
        <f t="shared" si="990"/>
        <v>250523.95454545406</v>
      </c>
      <c r="R583">
        <f t="shared" si="991"/>
        <v>2308008.0808360786</v>
      </c>
      <c r="S583">
        <f t="shared" si="992"/>
        <v>23.080080808360787</v>
      </c>
      <c r="T583">
        <f t="shared" si="993"/>
        <v>2.3080080808360787E-2</v>
      </c>
    </row>
    <row r="584" spans="1:20" x14ac:dyDescent="0.25">
      <c r="A584" s="5">
        <v>44009</v>
      </c>
      <c r="B584">
        <v>1.0412999999999999</v>
      </c>
      <c r="C584">
        <v>1.0447</v>
      </c>
      <c r="D584">
        <v>0.89</v>
      </c>
      <c r="E584">
        <v>0.95650000000000002</v>
      </c>
      <c r="F584">
        <v>1402744.04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-0.14027149321266935</v>
      </c>
      <c r="Q584">
        <f t="shared" si="990"/>
        <v>-196765.00108597238</v>
      </c>
      <c r="R584">
        <f t="shared" si="991"/>
        <v>2057484.1262906245</v>
      </c>
      <c r="S584">
        <f t="shared" si="992"/>
        <v>20.574841262906244</v>
      </c>
      <c r="T584">
        <f t="shared" si="993"/>
        <v>2.0574841262906242E-2</v>
      </c>
    </row>
    <row r="585" spans="1:20" x14ac:dyDescent="0.25">
      <c r="A585" s="5">
        <v>44008</v>
      </c>
      <c r="B585">
        <v>1.0783</v>
      </c>
      <c r="C585">
        <v>1.0925</v>
      </c>
      <c r="D585">
        <v>1.0031000000000001</v>
      </c>
      <c r="E585">
        <v>1.0410999999999999</v>
      </c>
      <c r="F585">
        <v>767489.42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-0.14988814317673727</v>
      </c>
      <c r="Q585">
        <f t="shared" si="990"/>
        <v>-115037.56407159104</v>
      </c>
      <c r="R585">
        <f t="shared" si="991"/>
        <v>2254249.1273765969</v>
      </c>
      <c r="S585">
        <f t="shared" si="992"/>
        <v>22.542491273765968</v>
      </c>
      <c r="T585">
        <f t="shared" si="993"/>
        <v>2.254249127376597E-2</v>
      </c>
    </row>
    <row r="586" spans="1:20" x14ac:dyDescent="0.25">
      <c r="A586" s="5">
        <v>44007</v>
      </c>
      <c r="B586">
        <v>1.0549999999999999</v>
      </c>
      <c r="C586">
        <v>1.1048</v>
      </c>
      <c r="D586">
        <v>1.02</v>
      </c>
      <c r="E586">
        <v>1.0790999999999999</v>
      </c>
      <c r="F586">
        <v>856795.75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0.39386792452830044</v>
      </c>
      <c r="Q586">
        <f t="shared" si="990"/>
        <v>337464.3637971686</v>
      </c>
      <c r="R586">
        <f t="shared" si="991"/>
        <v>2369286.6914481879</v>
      </c>
      <c r="S586">
        <f t="shared" si="992"/>
        <v>23.692866914481879</v>
      </c>
      <c r="T586">
        <f t="shared" si="993"/>
        <v>2.3692866914481879E-2</v>
      </c>
    </row>
    <row r="587" spans="1:20" x14ac:dyDescent="0.25">
      <c r="A587" s="5">
        <v>44006</v>
      </c>
      <c r="B587">
        <v>1.1121000000000001</v>
      </c>
      <c r="C587">
        <v>1.145</v>
      </c>
      <c r="D587">
        <v>1.0449999999999999</v>
      </c>
      <c r="E587">
        <v>1.0587</v>
      </c>
      <c r="F587">
        <v>1125730.92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-0.72599999999999931</v>
      </c>
      <c r="Q587">
        <f t="shared" si="990"/>
        <v>-817280.6479199992</v>
      </c>
      <c r="R587">
        <f t="shared" si="991"/>
        <v>2031822.3276510194</v>
      </c>
      <c r="S587">
        <f t="shared" si="992"/>
        <v>20.318223276510196</v>
      </c>
      <c r="T587">
        <f t="shared" si="993"/>
        <v>2.0318223276510197E-2</v>
      </c>
    </row>
    <row r="588" spans="1:20" x14ac:dyDescent="0.25">
      <c r="A588" s="5">
        <v>44005</v>
      </c>
      <c r="B588">
        <v>1.1425000000000001</v>
      </c>
      <c r="C588">
        <v>1.1464000000000001</v>
      </c>
      <c r="D588">
        <v>1.0947</v>
      </c>
      <c r="E588">
        <v>1.1151</v>
      </c>
      <c r="F588">
        <v>852687.87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-0.21083172147002158</v>
      </c>
      <c r="Q588">
        <f t="shared" si="990"/>
        <v>-179773.65150870595</v>
      </c>
      <c r="R588">
        <f t="shared" si="991"/>
        <v>2849102.9755710186</v>
      </c>
      <c r="S588">
        <f t="shared" si="992"/>
        <v>28.491029755710187</v>
      </c>
      <c r="T588">
        <f t="shared" si="993"/>
        <v>2.8491029755710186E-2</v>
      </c>
    </row>
    <row r="589" spans="1:20" x14ac:dyDescent="0.25">
      <c r="A589" s="5">
        <v>44004</v>
      </c>
      <c r="B589">
        <v>1.0798000000000001</v>
      </c>
      <c r="C589">
        <v>1.1781999999999999</v>
      </c>
      <c r="D589">
        <v>1.0758000000000001</v>
      </c>
      <c r="E589">
        <v>1.1426000000000001</v>
      </c>
      <c r="F589">
        <v>1004978.51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0.30468750000000167</v>
      </c>
      <c r="Q589">
        <f t="shared" si="990"/>
        <v>306204.38976562669</v>
      </c>
      <c r="R589">
        <f t="shared" si="991"/>
        <v>3028876.6270797248</v>
      </c>
      <c r="S589">
        <f t="shared" si="992"/>
        <v>30.288766270797247</v>
      </c>
      <c r="T589">
        <f t="shared" si="993"/>
        <v>3.0288766270797247E-2</v>
      </c>
    </row>
    <row r="590" spans="1:20" x14ac:dyDescent="0.25">
      <c r="A590" s="5">
        <v>44003</v>
      </c>
      <c r="B590">
        <v>1.1216999999999999</v>
      </c>
      <c r="C590">
        <v>1.1387</v>
      </c>
      <c r="D590">
        <v>1.0677000000000001</v>
      </c>
      <c r="E590">
        <v>1.0771999999999999</v>
      </c>
      <c r="F590">
        <v>456935.82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-0.73239436619718734</v>
      </c>
      <c r="Q590">
        <f t="shared" si="990"/>
        <v>-334657.22028169211</v>
      </c>
      <c r="R590">
        <f t="shared" si="991"/>
        <v>2722672.237314098</v>
      </c>
      <c r="S590">
        <f t="shared" si="992"/>
        <v>27.22672237314098</v>
      </c>
      <c r="T590">
        <f t="shared" si="993"/>
        <v>2.7226722373140978E-2</v>
      </c>
    </row>
    <row r="591" spans="1:20" x14ac:dyDescent="0.25">
      <c r="A591" s="5">
        <v>44002</v>
      </c>
      <c r="B591">
        <v>1.1438999999999999</v>
      </c>
      <c r="C591">
        <v>1.165</v>
      </c>
      <c r="D591">
        <v>1.0860000000000001</v>
      </c>
      <c r="E591">
        <v>1.1198999999999999</v>
      </c>
      <c r="F591">
        <v>738082.26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-0.14177215189873832</v>
      </c>
      <c r="Q591">
        <f t="shared" si="990"/>
        <v>-104639.51027848407</v>
      </c>
      <c r="R591">
        <f t="shared" si="991"/>
        <v>3057329.4575957903</v>
      </c>
      <c r="S591">
        <f t="shared" si="992"/>
        <v>30.573294575957902</v>
      </c>
      <c r="T591">
        <f t="shared" si="993"/>
        <v>3.0573294575957904E-2</v>
      </c>
    </row>
    <row r="592" spans="1:20" x14ac:dyDescent="0.25">
      <c r="A592" s="5">
        <v>44001</v>
      </c>
      <c r="B592">
        <v>1.1574</v>
      </c>
      <c r="C592">
        <v>1.2017</v>
      </c>
      <c r="D592">
        <v>1.1208</v>
      </c>
      <c r="E592">
        <v>1.1512</v>
      </c>
      <c r="F592">
        <v>1072633.58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-0.24845488257107556</v>
      </c>
      <c r="Q592">
        <f t="shared" si="990"/>
        <v>-266501.05016069242</v>
      </c>
      <c r="R592">
        <f t="shared" si="991"/>
        <v>3161968.9678742741</v>
      </c>
      <c r="S592">
        <f t="shared" si="992"/>
        <v>31.619689678742741</v>
      </c>
      <c r="T592">
        <f t="shared" si="993"/>
        <v>3.1619689678742742E-2</v>
      </c>
    </row>
    <row r="593" spans="1:20" x14ac:dyDescent="0.25">
      <c r="A593" s="5">
        <v>44000</v>
      </c>
      <c r="B593">
        <v>1.2276</v>
      </c>
      <c r="C593">
        <v>1.2899</v>
      </c>
      <c r="D593">
        <v>1.1504000000000001</v>
      </c>
      <c r="E593">
        <v>1.1575</v>
      </c>
      <c r="F593">
        <v>1897832.12</v>
      </c>
      <c r="G593">
        <v>0</v>
      </c>
      <c r="L593" t="s">
        <v>7</v>
      </c>
      <c r="M593" t="s">
        <v>8</v>
      </c>
      <c r="N593" t="s">
        <v>8</v>
      </c>
      <c r="P593">
        <f t="shared" si="989"/>
        <v>-0.89820788530466111</v>
      </c>
      <c r="Q593">
        <f t="shared" si="990"/>
        <v>-1704647.775168462</v>
      </c>
      <c r="R593">
        <f t="shared" si="991"/>
        <v>3428470.0180349667</v>
      </c>
      <c r="S593">
        <f t="shared" si="992"/>
        <v>34.284700180349667</v>
      </c>
      <c r="T593">
        <f t="shared" si="993"/>
        <v>3.4284700180349667E-2</v>
      </c>
    </row>
    <row r="594" spans="1:20" x14ac:dyDescent="0.25">
      <c r="A594" s="5">
        <v>43999</v>
      </c>
      <c r="B594">
        <v>1.1216999999999999</v>
      </c>
      <c r="C594">
        <v>1.31</v>
      </c>
      <c r="D594">
        <v>1.0901000000000001</v>
      </c>
      <c r="E594">
        <v>1.2250000000000001</v>
      </c>
      <c r="F594">
        <v>4055914.64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0.22692132787630767</v>
      </c>
      <c r="Q594">
        <f t="shared" si="990"/>
        <v>920373.53586175642</v>
      </c>
      <c r="R594">
        <f t="shared" si="991"/>
        <v>5133117.7932034284</v>
      </c>
      <c r="S594">
        <f t="shared" si="992"/>
        <v>51.331177932034286</v>
      </c>
      <c r="T594">
        <f t="shared" si="993"/>
        <v>5.1331177932034289E-2</v>
      </c>
    </row>
    <row r="595" spans="1:20" x14ac:dyDescent="0.25">
      <c r="A595" s="5">
        <v>43998</v>
      </c>
      <c r="B595">
        <v>1.1082000000000001</v>
      </c>
      <c r="C595">
        <v>1.1366000000000001</v>
      </c>
      <c r="D595">
        <v>1.0652999999999999</v>
      </c>
      <c r="E595">
        <v>1.1216999999999999</v>
      </c>
      <c r="F595">
        <v>1356980.42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0.58204768583449917</v>
      </c>
      <c r="Q595">
        <f t="shared" si="990"/>
        <v>789827.31318372674</v>
      </c>
      <c r="R595">
        <f t="shared" si="991"/>
        <v>4212744.2573416717</v>
      </c>
      <c r="S595">
        <f t="shared" si="992"/>
        <v>42.127442573416715</v>
      </c>
      <c r="T595">
        <f t="shared" si="993"/>
        <v>4.2127442573416718E-2</v>
      </c>
    </row>
    <row r="596" spans="1:20" x14ac:dyDescent="0.25">
      <c r="A596" s="5">
        <v>43997</v>
      </c>
      <c r="B596">
        <v>1.046</v>
      </c>
      <c r="C596">
        <v>1.153</v>
      </c>
      <c r="D596">
        <v>0.92989999999999995</v>
      </c>
      <c r="E596">
        <v>1.1073</v>
      </c>
      <c r="F596">
        <v>3552622.31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0.59031824294038493</v>
      </c>
      <c r="Q596">
        <f t="shared" si="990"/>
        <v>2097177.7598700114</v>
      </c>
      <c r="R596">
        <f t="shared" si="991"/>
        <v>3422916.9441579455</v>
      </c>
      <c r="S596">
        <f t="shared" si="992"/>
        <v>34.229169441579458</v>
      </c>
      <c r="T596">
        <f t="shared" si="993"/>
        <v>3.4229169441579457E-2</v>
      </c>
    </row>
    <row r="597" spans="1:20" x14ac:dyDescent="0.25">
      <c r="A597" s="5">
        <v>43996</v>
      </c>
      <c r="B597">
        <v>1.133</v>
      </c>
      <c r="C597">
        <v>1.1347</v>
      </c>
      <c r="D597">
        <v>1.0349999999999999</v>
      </c>
      <c r="E597">
        <v>1.0470999999999999</v>
      </c>
      <c r="F597">
        <v>633272.89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-0.75727181544633937</v>
      </c>
      <c r="Q597">
        <f t="shared" si="990"/>
        <v>-479559.71108325</v>
      </c>
      <c r="R597">
        <f t="shared" si="991"/>
        <v>1325739.1842879341</v>
      </c>
      <c r="S597">
        <f t="shared" si="992"/>
        <v>13.257391842879342</v>
      </c>
      <c r="T597">
        <f t="shared" si="993"/>
        <v>1.3257391842879341E-2</v>
      </c>
    </row>
    <row r="598" spans="1:20" x14ac:dyDescent="0.25">
      <c r="A598" s="5">
        <v>43995</v>
      </c>
      <c r="B598">
        <v>1.1086</v>
      </c>
      <c r="C598">
        <v>1.1515</v>
      </c>
      <c r="D598">
        <v>1.0642</v>
      </c>
      <c r="E598">
        <v>1.1349</v>
      </c>
      <c r="F598">
        <v>830226.94</v>
      </c>
      <c r="G598">
        <v>0</v>
      </c>
      <c r="L598" t="s">
        <v>7</v>
      </c>
      <c r="M598" t="s">
        <v>7</v>
      </c>
      <c r="N598" t="s">
        <v>8</v>
      </c>
      <c r="P598">
        <f t="shared" si="989"/>
        <v>0.61970217640320824</v>
      </c>
      <c r="Q598">
        <f t="shared" si="990"/>
        <v>514493.44162657578</v>
      </c>
      <c r="R598">
        <f t="shared" si="991"/>
        <v>1805298.895371184</v>
      </c>
      <c r="S598">
        <f t="shared" si="992"/>
        <v>18.052988953711839</v>
      </c>
      <c r="T598">
        <f t="shared" si="993"/>
        <v>1.8052988953711838E-2</v>
      </c>
    </row>
    <row r="599" spans="1:20" x14ac:dyDescent="0.25">
      <c r="A599" s="5">
        <v>43994</v>
      </c>
      <c r="B599">
        <v>1.05</v>
      </c>
      <c r="C599">
        <v>1.1866000000000001</v>
      </c>
      <c r="D599">
        <v>1.0248999999999999</v>
      </c>
      <c r="E599">
        <v>1.1082000000000001</v>
      </c>
      <c r="F599">
        <v>2215418.23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3.0303030303031053E-2</v>
      </c>
      <c r="Q599">
        <f t="shared" si="990"/>
        <v>67133.885757577416</v>
      </c>
      <c r="R599">
        <f t="shared" si="991"/>
        <v>1290805.4537446082</v>
      </c>
      <c r="S599">
        <f t="shared" si="992"/>
        <v>12.908054537446082</v>
      </c>
      <c r="T599">
        <f t="shared" si="993"/>
        <v>1.2908054537446083E-2</v>
      </c>
    </row>
    <row r="600" spans="1:20" x14ac:dyDescent="0.25">
      <c r="A600" s="5">
        <v>43993</v>
      </c>
      <c r="B600">
        <v>1.1813</v>
      </c>
      <c r="C600">
        <v>1.2824</v>
      </c>
      <c r="D600">
        <v>1.0253000000000001</v>
      </c>
      <c r="E600">
        <v>1.05</v>
      </c>
      <c r="F600">
        <v>3648036.35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-0.80785686503306142</v>
      </c>
      <c r="Q600">
        <f t="shared" si="990"/>
        <v>-2947091.2092376519</v>
      </c>
      <c r="R600">
        <f t="shared" si="991"/>
        <v>1223671.5679870308</v>
      </c>
      <c r="S600">
        <f t="shared" si="992"/>
        <v>12.236715679870308</v>
      </c>
      <c r="T600">
        <f t="shared" si="993"/>
        <v>1.2236715679870308E-2</v>
      </c>
    </row>
    <row r="601" spans="1:20" x14ac:dyDescent="0.25">
      <c r="A601" s="5">
        <v>43992</v>
      </c>
      <c r="B601">
        <v>1.1936</v>
      </c>
      <c r="C601">
        <v>1.3229</v>
      </c>
      <c r="D601">
        <v>1.1705000000000001</v>
      </c>
      <c r="E601">
        <v>1.1781999999999999</v>
      </c>
      <c r="F601">
        <v>3088629.36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-0.89895013123359813</v>
      </c>
      <c r="Q601">
        <f t="shared" si="990"/>
        <v>-2776523.7685039439</v>
      </c>
      <c r="R601">
        <f t="shared" si="991"/>
        <v>4170762.7772246827</v>
      </c>
      <c r="S601">
        <f t="shared" si="992"/>
        <v>41.70762777224683</v>
      </c>
      <c r="T601">
        <f t="shared" si="993"/>
        <v>4.1707627772246833E-2</v>
      </c>
    </row>
    <row r="602" spans="1:20" x14ac:dyDescent="0.25">
      <c r="A602" s="5">
        <v>43991</v>
      </c>
      <c r="B602">
        <v>1.0459000000000001</v>
      </c>
      <c r="C602">
        <v>1.2040999999999999</v>
      </c>
      <c r="D602">
        <v>1.0385</v>
      </c>
      <c r="E602">
        <v>1.1966000000000001</v>
      </c>
      <c r="F602">
        <v>2238012.98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0.90942028985507439</v>
      </c>
      <c r="Q602">
        <f t="shared" si="990"/>
        <v>2035294.4129710188</v>
      </c>
      <c r="R602">
        <f t="shared" si="991"/>
        <v>6947286.5457286267</v>
      </c>
      <c r="S602">
        <f t="shared" si="992"/>
        <v>69.472865457286261</v>
      </c>
      <c r="T602">
        <f t="shared" si="993"/>
        <v>6.9472865457286259E-2</v>
      </c>
    </row>
    <row r="603" spans="1:20" x14ac:dyDescent="0.25">
      <c r="A603" s="5">
        <v>43990</v>
      </c>
      <c r="B603">
        <v>1.0564</v>
      </c>
      <c r="C603">
        <v>1.0880000000000001</v>
      </c>
      <c r="D603">
        <v>1.0229999999999999</v>
      </c>
      <c r="E603">
        <v>1.0459000000000001</v>
      </c>
      <c r="F603">
        <v>827895.55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-0.2953846153846128</v>
      </c>
      <c r="Q603">
        <f t="shared" si="990"/>
        <v>-244547.60861538249</v>
      </c>
      <c r="R603">
        <f t="shared" si="991"/>
        <v>4911992.1327576078</v>
      </c>
      <c r="S603">
        <f t="shared" si="992"/>
        <v>49.11992132757608</v>
      </c>
      <c r="T603">
        <f t="shared" si="993"/>
        <v>4.9119921327576081E-2</v>
      </c>
    </row>
    <row r="604" spans="1:20" x14ac:dyDescent="0.25">
      <c r="A604" s="5">
        <v>43989</v>
      </c>
      <c r="B604">
        <v>1.0082</v>
      </c>
      <c r="C604">
        <v>1.1196999999999999</v>
      </c>
      <c r="D604">
        <v>0.99780000000000002</v>
      </c>
      <c r="E604">
        <v>1.0564</v>
      </c>
      <c r="F604">
        <v>2728443.09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-3.8556193601311982E-2</v>
      </c>
      <c r="Q604">
        <f t="shared" si="990"/>
        <v>-105198.38000820189</v>
      </c>
      <c r="R604">
        <f t="shared" si="991"/>
        <v>5156539.7413729904</v>
      </c>
      <c r="S604">
        <f t="shared" si="992"/>
        <v>51.565397413729904</v>
      </c>
      <c r="T604">
        <f t="shared" si="993"/>
        <v>5.1565397413729903E-2</v>
      </c>
    </row>
    <row r="605" spans="1:20" x14ac:dyDescent="0.25">
      <c r="A605" s="5">
        <v>43988</v>
      </c>
      <c r="B605">
        <v>0.95809999999999995</v>
      </c>
      <c r="C605">
        <v>1.0885</v>
      </c>
      <c r="D605">
        <v>0.93</v>
      </c>
      <c r="E605">
        <v>1.0105999999999999</v>
      </c>
      <c r="F605">
        <v>2003191.23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1.7034700315456241E-2</v>
      </c>
      <c r="Q605">
        <f t="shared" si="990"/>
        <v>34123.762277600174</v>
      </c>
      <c r="R605">
        <f t="shared" si="991"/>
        <v>5261738.1213811925</v>
      </c>
      <c r="S605">
        <f t="shared" si="992"/>
        <v>52.617381213811925</v>
      </c>
      <c r="T605">
        <f t="shared" si="993"/>
        <v>5.2617381213811924E-2</v>
      </c>
    </row>
    <row r="606" spans="1:20" x14ac:dyDescent="0.25">
      <c r="A606" s="5">
        <v>43987</v>
      </c>
      <c r="B606">
        <v>0.89710000000000001</v>
      </c>
      <c r="C606">
        <v>0.99319999999999997</v>
      </c>
      <c r="D606">
        <v>0.89370000000000005</v>
      </c>
      <c r="E606">
        <v>0.95720000000000005</v>
      </c>
      <c r="F606">
        <v>1194500.0900000001</v>
      </c>
      <c r="G606">
        <v>0</v>
      </c>
      <c r="L606" t="s">
        <v>8</v>
      </c>
      <c r="M606" t="s">
        <v>7</v>
      </c>
      <c r="N606" t="s">
        <v>8</v>
      </c>
      <c r="P606">
        <f t="shared" si="989"/>
        <v>0.27638190954773972</v>
      </c>
      <c r="Q606">
        <f t="shared" si="990"/>
        <v>330138.21582914697</v>
      </c>
      <c r="R606">
        <f t="shared" si="991"/>
        <v>5227614.3591035921</v>
      </c>
      <c r="S606">
        <f t="shared" si="992"/>
        <v>52.276143591035918</v>
      </c>
      <c r="T606">
        <f t="shared" si="993"/>
        <v>5.2276143591035919E-2</v>
      </c>
    </row>
    <row r="607" spans="1:20" x14ac:dyDescent="0.25">
      <c r="A607" s="5">
        <v>43986</v>
      </c>
      <c r="B607">
        <v>0.88900000000000001</v>
      </c>
      <c r="C607">
        <v>0.91</v>
      </c>
      <c r="D607">
        <v>0.86180000000000001</v>
      </c>
      <c r="E607">
        <v>0.89710000000000001</v>
      </c>
      <c r="F607">
        <v>664901.93999999994</v>
      </c>
      <c r="G607">
        <v>0</v>
      </c>
      <c r="L607" t="s">
        <v>8</v>
      </c>
      <c r="M607" t="s">
        <v>7</v>
      </c>
      <c r="N607" t="s">
        <v>8</v>
      </c>
      <c r="P607">
        <f t="shared" si="989"/>
        <v>0.46473029045643083</v>
      </c>
      <c r="Q607">
        <f t="shared" si="990"/>
        <v>309000.07170124433</v>
      </c>
      <c r="R607">
        <f t="shared" si="991"/>
        <v>4897476.1432744451</v>
      </c>
      <c r="S607">
        <f t="shared" si="992"/>
        <v>48.974761432744451</v>
      </c>
      <c r="T607">
        <f t="shared" si="993"/>
        <v>4.897476143274445E-2</v>
      </c>
    </row>
    <row r="608" spans="1:20" x14ac:dyDescent="0.25">
      <c r="A608" s="5">
        <v>43985</v>
      </c>
      <c r="B608">
        <v>0.88539999999999996</v>
      </c>
      <c r="C608">
        <v>0.89990000000000003</v>
      </c>
      <c r="D608">
        <v>0.85799999999999998</v>
      </c>
      <c r="E608">
        <v>0.88900000000000001</v>
      </c>
      <c r="F608">
        <v>394940.2</v>
      </c>
      <c r="G608">
        <v>0</v>
      </c>
      <c r="L608" t="s">
        <v>7</v>
      </c>
      <c r="M608" t="s">
        <v>7</v>
      </c>
      <c r="N608" t="s">
        <v>8</v>
      </c>
      <c r="P608">
        <f t="shared" si="989"/>
        <v>0.47971360381861539</v>
      </c>
      <c r="Q608">
        <f t="shared" si="990"/>
        <v>189458.18663484472</v>
      </c>
      <c r="R608">
        <f t="shared" si="991"/>
        <v>4588476.0715732006</v>
      </c>
      <c r="S608">
        <f t="shared" si="992"/>
        <v>45.884760715732007</v>
      </c>
      <c r="T608">
        <f t="shared" si="993"/>
        <v>4.5884760715732005E-2</v>
      </c>
    </row>
    <row r="609" spans="1:20" x14ac:dyDescent="0.25">
      <c r="A609" s="5">
        <v>43984</v>
      </c>
      <c r="B609">
        <v>0.91500000000000004</v>
      </c>
      <c r="C609">
        <v>0.9375</v>
      </c>
      <c r="D609">
        <v>0.84</v>
      </c>
      <c r="E609">
        <v>0.88449999999999995</v>
      </c>
      <c r="F609">
        <v>1211559.6200000001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-8.71794871794878E-2</v>
      </c>
      <c r="Q609">
        <f t="shared" si="990"/>
        <v>-105623.14635897512</v>
      </c>
      <c r="R609">
        <f t="shared" si="991"/>
        <v>4399017.8849383555</v>
      </c>
      <c r="S609">
        <f t="shared" si="992"/>
        <v>43.990178849383554</v>
      </c>
      <c r="T609">
        <f t="shared" si="993"/>
        <v>4.3990178849383554E-2</v>
      </c>
    </row>
    <row r="610" spans="1:20" x14ac:dyDescent="0.25">
      <c r="A610" s="5">
        <v>43983</v>
      </c>
      <c r="B610">
        <v>0.87319999999999998</v>
      </c>
      <c r="C610">
        <v>0.93559999999999999</v>
      </c>
      <c r="D610">
        <v>0.86519999999999997</v>
      </c>
      <c r="E610">
        <v>0.91490000000000005</v>
      </c>
      <c r="F610">
        <v>1136512.32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0.41193181818182001</v>
      </c>
      <c r="Q610">
        <f t="shared" si="990"/>
        <v>468165.58636363846</v>
      </c>
      <c r="R610">
        <f t="shared" si="991"/>
        <v>4504641.0312973307</v>
      </c>
      <c r="S610">
        <f t="shared" si="992"/>
        <v>45.046410312973308</v>
      </c>
      <c r="T610">
        <f t="shared" si="993"/>
        <v>4.5046410312973309E-2</v>
      </c>
    </row>
    <row r="611" spans="1:20" x14ac:dyDescent="0.25">
      <c r="A611" s="5">
        <v>43982</v>
      </c>
      <c r="B611">
        <v>0.89849999999999997</v>
      </c>
      <c r="C611">
        <v>0.90400000000000003</v>
      </c>
      <c r="D611">
        <v>0.8609</v>
      </c>
      <c r="E611">
        <v>0.87280000000000002</v>
      </c>
      <c r="F611">
        <v>727940.93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-0.4477958236658926</v>
      </c>
      <c r="Q611">
        <f t="shared" si="990"/>
        <v>-325968.90832946589</v>
      </c>
      <c r="R611">
        <f t="shared" si="991"/>
        <v>4036475.4449336925</v>
      </c>
      <c r="S611">
        <f t="shared" si="992"/>
        <v>40.364754449336928</v>
      </c>
      <c r="T611">
        <f t="shared" si="993"/>
        <v>4.0364754449336931E-2</v>
      </c>
    </row>
    <row r="612" spans="1:20" x14ac:dyDescent="0.25">
      <c r="A612" s="5">
        <v>43981</v>
      </c>
      <c r="B612">
        <v>0.88849999999999996</v>
      </c>
      <c r="C612">
        <v>0.90710000000000002</v>
      </c>
      <c r="D612">
        <v>0.86009999999999998</v>
      </c>
      <c r="E612">
        <v>0.89839999999999998</v>
      </c>
      <c r="F612">
        <v>1059376.3899999999</v>
      </c>
      <c r="G612">
        <v>0</v>
      </c>
      <c r="L612" t="s">
        <v>7</v>
      </c>
      <c r="M612" t="s">
        <v>7</v>
      </c>
      <c r="N612" t="s">
        <v>8</v>
      </c>
      <c r="P612">
        <f t="shared" si="989"/>
        <v>0.62978723404255177</v>
      </c>
      <c r="Q612">
        <f t="shared" si="990"/>
        <v>667181.72646808357</v>
      </c>
      <c r="R612">
        <f t="shared" si="991"/>
        <v>4362444.3532631584</v>
      </c>
      <c r="S612">
        <f t="shared" si="992"/>
        <v>43.624443532631581</v>
      </c>
      <c r="T612">
        <f t="shared" si="993"/>
        <v>4.3624443532631584E-2</v>
      </c>
    </row>
    <row r="613" spans="1:20" x14ac:dyDescent="0.25">
      <c r="A613" s="5">
        <v>43980</v>
      </c>
      <c r="B613">
        <v>0.90169999999999995</v>
      </c>
      <c r="C613">
        <v>0.91339999999999999</v>
      </c>
      <c r="D613">
        <v>0.88080000000000003</v>
      </c>
      <c r="E613">
        <v>0.89219999999999999</v>
      </c>
      <c r="F613">
        <v>667709.15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-0.30061349693251666</v>
      </c>
      <c r="Q613">
        <f t="shared" si="990"/>
        <v>-200722.38251533831</v>
      </c>
      <c r="R613">
        <f t="shared" si="991"/>
        <v>3695262.6267950744</v>
      </c>
      <c r="S613">
        <f t="shared" si="992"/>
        <v>36.952626267950741</v>
      </c>
      <c r="T613">
        <f t="shared" si="993"/>
        <v>3.695262626795074E-2</v>
      </c>
    </row>
    <row r="614" spans="1:20" x14ac:dyDescent="0.25">
      <c r="A614" s="5">
        <v>43979</v>
      </c>
      <c r="B614">
        <v>0.91139999999999999</v>
      </c>
      <c r="C614">
        <v>0.91949999999999998</v>
      </c>
      <c r="D614">
        <v>0.86150000000000004</v>
      </c>
      <c r="E614">
        <v>0.90010000000000001</v>
      </c>
      <c r="F614">
        <v>1171224.1299999999</v>
      </c>
      <c r="G614">
        <v>0</v>
      </c>
      <c r="L614" t="s">
        <v>7</v>
      </c>
      <c r="M614" t="s">
        <v>7</v>
      </c>
      <c r="N614" t="s">
        <v>8</v>
      </c>
      <c r="P614">
        <f t="shared" si="989"/>
        <v>0.33103448275862096</v>
      </c>
      <c r="Q614">
        <f t="shared" si="990"/>
        <v>387715.5740689658</v>
      </c>
      <c r="R614">
        <f t="shared" si="991"/>
        <v>3895985.0093104127</v>
      </c>
      <c r="S614">
        <f t="shared" si="992"/>
        <v>38.95985009310413</v>
      </c>
      <c r="T614">
        <f t="shared" si="993"/>
        <v>3.8959850093104133E-2</v>
      </c>
    </row>
    <row r="615" spans="1:20" x14ac:dyDescent="0.25">
      <c r="A615" s="5">
        <v>43978</v>
      </c>
      <c r="B615">
        <v>0.89100000000000001</v>
      </c>
      <c r="C615">
        <v>0.9214</v>
      </c>
      <c r="D615">
        <v>0.88419999999999999</v>
      </c>
      <c r="E615">
        <v>0.91059999999999997</v>
      </c>
      <c r="F615">
        <v>863897.86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0.41935483870967588</v>
      </c>
      <c r="Q615">
        <f t="shared" si="990"/>
        <v>362279.74774193414</v>
      </c>
      <c r="R615">
        <f t="shared" si="991"/>
        <v>3508269.4352414468</v>
      </c>
      <c r="S615">
        <f t="shared" si="992"/>
        <v>35.082694352414471</v>
      </c>
      <c r="T615">
        <f t="shared" si="993"/>
        <v>3.508269435241447E-2</v>
      </c>
    </row>
    <row r="616" spans="1:20" x14ac:dyDescent="0.25">
      <c r="A616" s="5">
        <v>43977</v>
      </c>
      <c r="B616">
        <v>0.93989999999999996</v>
      </c>
      <c r="C616">
        <v>0.94589999999999996</v>
      </c>
      <c r="D616">
        <v>0.88480000000000003</v>
      </c>
      <c r="E616">
        <v>0.89359999999999995</v>
      </c>
      <c r="F616">
        <v>1089112.8500000001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-0.71194762684124624</v>
      </c>
      <c r="Q616">
        <f t="shared" si="990"/>
        <v>-775391.30891980627</v>
      </c>
      <c r="R616">
        <f t="shared" si="991"/>
        <v>3145989.6874995129</v>
      </c>
      <c r="S616">
        <f t="shared" si="992"/>
        <v>31.459896874995128</v>
      </c>
      <c r="T616">
        <f t="shared" si="993"/>
        <v>3.1459896874995126E-2</v>
      </c>
    </row>
    <row r="617" spans="1:20" x14ac:dyDescent="0.25">
      <c r="A617" s="5">
        <v>43976</v>
      </c>
      <c r="B617">
        <v>0.88149999999999995</v>
      </c>
      <c r="C617">
        <v>0.95540000000000003</v>
      </c>
      <c r="D617">
        <v>0.86709999999999998</v>
      </c>
      <c r="E617">
        <v>0.93979999999999997</v>
      </c>
      <c r="F617">
        <v>1268778.77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0.64665911664779052</v>
      </c>
      <c r="Q617">
        <f t="shared" si="990"/>
        <v>820467.35862967023</v>
      </c>
      <c r="R617">
        <f t="shared" si="991"/>
        <v>3921380.996419319</v>
      </c>
      <c r="S617">
        <f t="shared" si="992"/>
        <v>39.213809964193189</v>
      </c>
      <c r="T617">
        <f t="shared" si="993"/>
        <v>3.9213809964193186E-2</v>
      </c>
    </row>
    <row r="618" spans="1:20" x14ac:dyDescent="0.25">
      <c r="A618" s="5">
        <v>43975</v>
      </c>
      <c r="B618">
        <v>0.95150000000000001</v>
      </c>
      <c r="C618">
        <v>0.98440000000000005</v>
      </c>
      <c r="D618">
        <v>0.872</v>
      </c>
      <c r="E618">
        <v>0.88149999999999995</v>
      </c>
      <c r="F618">
        <v>1622844.53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-0.83096085409252762</v>
      </c>
      <c r="Q618">
        <f t="shared" si="990"/>
        <v>-1348520.2767081866</v>
      </c>
      <c r="R618">
        <f t="shared" si="991"/>
        <v>3100913.637789649</v>
      </c>
      <c r="S618">
        <f t="shared" si="992"/>
        <v>31.009136377896489</v>
      </c>
      <c r="T618">
        <f t="shared" si="993"/>
        <v>3.1009136377896488E-2</v>
      </c>
    </row>
    <row r="619" spans="1:20" x14ac:dyDescent="0.25">
      <c r="A619" s="5">
        <v>43974</v>
      </c>
      <c r="B619">
        <v>0.95309999999999995</v>
      </c>
      <c r="C619">
        <v>1.01</v>
      </c>
      <c r="D619">
        <v>0.90500000000000003</v>
      </c>
      <c r="E619">
        <v>0.94779999999999998</v>
      </c>
      <c r="F619">
        <v>1848808.2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-0.1847619047619056</v>
      </c>
      <c r="Q619">
        <f t="shared" si="990"/>
        <v>-341589.3245714301</v>
      </c>
      <c r="R619">
        <f t="shared" si="991"/>
        <v>4449433.9144978356</v>
      </c>
      <c r="S619">
        <f t="shared" si="992"/>
        <v>44.494339144978355</v>
      </c>
      <c r="T619">
        <f t="shared" si="993"/>
        <v>4.4494339144978357E-2</v>
      </c>
    </row>
    <row r="620" spans="1:20" x14ac:dyDescent="0.25">
      <c r="A620" s="5">
        <v>43973</v>
      </c>
      <c r="B620">
        <v>0.8246</v>
      </c>
      <c r="C620">
        <v>0.999</v>
      </c>
      <c r="D620">
        <v>0.81369999999999998</v>
      </c>
      <c r="E620">
        <v>0.95420000000000005</v>
      </c>
      <c r="F620">
        <v>2905961.33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0.51645979492714578</v>
      </c>
      <c r="Q620">
        <f t="shared" si="990"/>
        <v>1500812.1925580159</v>
      </c>
      <c r="R620">
        <f t="shared" si="991"/>
        <v>4791023.2390692653</v>
      </c>
      <c r="S620">
        <f t="shared" si="992"/>
        <v>47.910232390692656</v>
      </c>
      <c r="T620">
        <f t="shared" si="993"/>
        <v>4.7910232390692656E-2</v>
      </c>
    </row>
    <row r="621" spans="1:20" x14ac:dyDescent="0.25">
      <c r="A621" s="5">
        <v>43972</v>
      </c>
      <c r="B621">
        <v>0.89280000000000004</v>
      </c>
      <c r="C621">
        <v>0.94679999999999997</v>
      </c>
      <c r="D621">
        <v>0.78</v>
      </c>
      <c r="E621">
        <v>0.82120000000000004</v>
      </c>
      <c r="F621">
        <v>2945653.24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-0.50599520383693009</v>
      </c>
      <c r="Q621">
        <f t="shared" si="990"/>
        <v>-1490486.4116067137</v>
      </c>
      <c r="R621">
        <f t="shared" si="991"/>
        <v>3290211.0465112492</v>
      </c>
      <c r="S621">
        <f t="shared" si="992"/>
        <v>32.902110465112493</v>
      </c>
      <c r="T621">
        <f t="shared" si="993"/>
        <v>3.2902110465112495E-2</v>
      </c>
    </row>
    <row r="622" spans="1:20" x14ac:dyDescent="0.25">
      <c r="A622" s="5">
        <v>43971</v>
      </c>
      <c r="B622">
        <v>0.9083</v>
      </c>
      <c r="C622">
        <v>0.96719999999999995</v>
      </c>
      <c r="D622">
        <v>0.85</v>
      </c>
      <c r="E622">
        <v>0.89400000000000002</v>
      </c>
      <c r="F622">
        <v>2874863.27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-0.24914675767918004</v>
      </c>
      <c r="Q622">
        <f t="shared" si="990"/>
        <v>-716262.86249146517</v>
      </c>
      <c r="R622">
        <f t="shared" si="991"/>
        <v>4780697.4581179628</v>
      </c>
      <c r="S622">
        <f t="shared" si="992"/>
        <v>47.806974581179631</v>
      </c>
      <c r="T622">
        <f t="shared" si="993"/>
        <v>4.7806974581179634E-2</v>
      </c>
    </row>
    <row r="623" spans="1:20" x14ac:dyDescent="0.25">
      <c r="A623" s="5">
        <v>43970</v>
      </c>
      <c r="B623">
        <v>0.80410000000000004</v>
      </c>
      <c r="C623">
        <v>0.9819</v>
      </c>
      <c r="D623">
        <v>0.78910000000000002</v>
      </c>
      <c r="E623">
        <v>0.90859999999999996</v>
      </c>
      <c r="F623">
        <v>4601205.1500000004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0.23962655601659708</v>
      </c>
      <c r="Q623">
        <f t="shared" si="990"/>
        <v>1102570.94362033</v>
      </c>
      <c r="R623">
        <f t="shared" si="991"/>
        <v>5496960.320609428</v>
      </c>
      <c r="S623">
        <f t="shared" si="992"/>
        <v>54.969603206094277</v>
      </c>
      <c r="T623">
        <f t="shared" si="993"/>
        <v>5.4969603206094279E-2</v>
      </c>
    </row>
    <row r="624" spans="1:20" x14ac:dyDescent="0.25">
      <c r="A624" s="5">
        <v>43969</v>
      </c>
      <c r="B624">
        <v>0.73299999999999998</v>
      </c>
      <c r="C624">
        <v>0.82179999999999997</v>
      </c>
      <c r="D624">
        <v>0.73299999999999998</v>
      </c>
      <c r="E624">
        <v>0.80410000000000004</v>
      </c>
      <c r="F624">
        <v>1283249.48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0.60135135135135265</v>
      </c>
      <c r="Q624">
        <f t="shared" si="990"/>
        <v>771683.80891892058</v>
      </c>
      <c r="R624">
        <f t="shared" si="991"/>
        <v>4394389.3769890983</v>
      </c>
      <c r="S624">
        <f t="shared" si="992"/>
        <v>43.943893769890984</v>
      </c>
      <c r="T624">
        <f t="shared" si="993"/>
        <v>4.3943893769890982E-2</v>
      </c>
    </row>
    <row r="625" spans="1:20" x14ac:dyDescent="0.25">
      <c r="A625" s="5">
        <v>43968</v>
      </c>
      <c r="B625">
        <v>0.74709999999999999</v>
      </c>
      <c r="C625">
        <v>0.76790000000000003</v>
      </c>
      <c r="D625">
        <v>0.72550000000000003</v>
      </c>
      <c r="E625">
        <v>0.73160000000000003</v>
      </c>
      <c r="F625">
        <v>679122.85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-0.71226415094339646</v>
      </c>
      <c r="Q625">
        <f t="shared" si="990"/>
        <v>-483714.86014150956</v>
      </c>
      <c r="R625">
        <f t="shared" si="991"/>
        <v>3622705.5680701779</v>
      </c>
      <c r="S625">
        <f t="shared" si="992"/>
        <v>36.227055680701781</v>
      </c>
      <c r="T625">
        <f t="shared" si="993"/>
        <v>3.6227055680701781E-2</v>
      </c>
    </row>
    <row r="626" spans="1:20" x14ac:dyDescent="0.25">
      <c r="A626" s="5">
        <v>43967</v>
      </c>
      <c r="B626">
        <v>0.72040000000000004</v>
      </c>
      <c r="C626">
        <v>0.78910000000000002</v>
      </c>
      <c r="D626">
        <v>0.71640000000000004</v>
      </c>
      <c r="E626">
        <v>0.74870000000000003</v>
      </c>
      <c r="F626">
        <v>909273.66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-0.11141678129298484</v>
      </c>
      <c r="Q626">
        <f t="shared" si="990"/>
        <v>-101308.34451169186</v>
      </c>
      <c r="R626">
        <f t="shared" si="991"/>
        <v>4106420.4282116876</v>
      </c>
      <c r="S626">
        <f t="shared" si="992"/>
        <v>41.064204282116876</v>
      </c>
      <c r="T626">
        <f t="shared" si="993"/>
        <v>4.1064204282116878E-2</v>
      </c>
    </row>
    <row r="627" spans="1:20" x14ac:dyDescent="0.25">
      <c r="A627" s="5">
        <v>43966</v>
      </c>
      <c r="B627">
        <v>0.69830000000000003</v>
      </c>
      <c r="C627">
        <v>0.75339999999999996</v>
      </c>
      <c r="D627">
        <v>0.6502</v>
      </c>
      <c r="E627">
        <v>0.72040000000000004</v>
      </c>
      <c r="F627">
        <v>1210676.76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0.36046511627907107</v>
      </c>
      <c r="Q627">
        <f t="shared" si="990"/>
        <v>436406.73906976904</v>
      </c>
      <c r="R627">
        <f t="shared" si="991"/>
        <v>4207728.7727233795</v>
      </c>
      <c r="S627">
        <f t="shared" si="992"/>
        <v>42.077287727233795</v>
      </c>
      <c r="T627">
        <f t="shared" si="993"/>
        <v>4.2077287727233792E-2</v>
      </c>
    </row>
    <row r="628" spans="1:20" x14ac:dyDescent="0.25">
      <c r="A628" s="5">
        <v>43965</v>
      </c>
      <c r="B628">
        <v>0.69940000000000002</v>
      </c>
      <c r="C628">
        <v>0.73729999999999996</v>
      </c>
      <c r="D628">
        <v>0.68779999999999997</v>
      </c>
      <c r="E628">
        <v>0.69650000000000001</v>
      </c>
      <c r="F628">
        <v>1015969.76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-0.64848484848484678</v>
      </c>
      <c r="Q628">
        <f t="shared" si="990"/>
        <v>-658840.9958787862</v>
      </c>
      <c r="R628">
        <f t="shared" si="991"/>
        <v>3771322.0336536109</v>
      </c>
      <c r="S628">
        <f t="shared" si="992"/>
        <v>37.713220336536111</v>
      </c>
      <c r="T628">
        <f t="shared" si="993"/>
        <v>3.771322033653611E-2</v>
      </c>
    </row>
    <row r="629" spans="1:20" x14ac:dyDescent="0.25">
      <c r="A629" s="5">
        <v>43964</v>
      </c>
      <c r="B629">
        <v>0.62629999999999997</v>
      </c>
      <c r="C629">
        <v>0.73860000000000003</v>
      </c>
      <c r="D629">
        <v>0.62629999999999997</v>
      </c>
      <c r="E629">
        <v>0.69730000000000003</v>
      </c>
      <c r="F629">
        <v>1757290.25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0.26447016918967092</v>
      </c>
      <c r="Q629">
        <f t="shared" si="990"/>
        <v>464750.84973285912</v>
      </c>
      <c r="R629">
        <f t="shared" si="991"/>
        <v>4430163.0295323972</v>
      </c>
      <c r="S629">
        <f t="shared" si="992"/>
        <v>44.301630295323974</v>
      </c>
      <c r="T629">
        <f t="shared" si="993"/>
        <v>4.4301630295323975E-2</v>
      </c>
    </row>
    <row r="630" spans="1:20" x14ac:dyDescent="0.25">
      <c r="A630" s="5">
        <v>43963</v>
      </c>
      <c r="B630">
        <v>0.59430000000000005</v>
      </c>
      <c r="C630">
        <v>0.64270000000000005</v>
      </c>
      <c r="D630">
        <v>0.59209999999999996</v>
      </c>
      <c r="E630">
        <v>0.62629999999999997</v>
      </c>
      <c r="F630">
        <v>329304.78999999998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0.35177865612648013</v>
      </c>
      <c r="Q630">
        <f t="shared" si="990"/>
        <v>115842.39648221275</v>
      </c>
      <c r="R630">
        <f t="shared" si="991"/>
        <v>3965412.1797995376</v>
      </c>
      <c r="S630">
        <f t="shared" si="992"/>
        <v>39.65412179799538</v>
      </c>
      <c r="T630">
        <f t="shared" si="993"/>
        <v>3.9654121797995379E-2</v>
      </c>
    </row>
    <row r="631" spans="1:20" x14ac:dyDescent="0.25">
      <c r="A631" s="5">
        <v>43962</v>
      </c>
      <c r="B631">
        <v>0.60570000000000002</v>
      </c>
      <c r="C631">
        <v>0.62009999999999998</v>
      </c>
      <c r="D631">
        <v>0.5625</v>
      </c>
      <c r="E631">
        <v>0.59430000000000005</v>
      </c>
      <c r="F631">
        <v>752658.89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0.10416666666666871</v>
      </c>
      <c r="Q631">
        <f t="shared" si="990"/>
        <v>78401.96770833488</v>
      </c>
      <c r="R631">
        <f t="shared" si="991"/>
        <v>3849569.7833173247</v>
      </c>
      <c r="S631">
        <f t="shared" si="992"/>
        <v>38.495697833173246</v>
      </c>
      <c r="T631">
        <f t="shared" si="993"/>
        <v>3.8495697833173248E-2</v>
      </c>
    </row>
    <row r="632" spans="1:20" x14ac:dyDescent="0.25">
      <c r="A632" s="5">
        <v>43961</v>
      </c>
      <c r="B632">
        <v>0.65559999999999996</v>
      </c>
      <c r="C632">
        <v>0.6593</v>
      </c>
      <c r="D632">
        <v>0.56530000000000002</v>
      </c>
      <c r="E632">
        <v>0.60570000000000002</v>
      </c>
      <c r="F632">
        <v>861479.32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-0.14042553191489354</v>
      </c>
      <c r="Q632">
        <f t="shared" si="990"/>
        <v>-120973.69174468078</v>
      </c>
      <c r="R632">
        <f t="shared" si="991"/>
        <v>3771167.8156089899</v>
      </c>
      <c r="S632">
        <f t="shared" si="992"/>
        <v>37.711678156089896</v>
      </c>
      <c r="T632">
        <f t="shared" si="993"/>
        <v>3.7711678156089896E-2</v>
      </c>
    </row>
    <row r="633" spans="1:20" x14ac:dyDescent="0.25">
      <c r="A633" s="5">
        <v>43960</v>
      </c>
      <c r="B633">
        <v>0.69869999999999999</v>
      </c>
      <c r="C633">
        <v>0.7097</v>
      </c>
      <c r="D633">
        <v>0.65449999999999997</v>
      </c>
      <c r="E633">
        <v>0.65559999999999996</v>
      </c>
      <c r="F633">
        <v>836298.83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-0.96014492753623226</v>
      </c>
      <c r="Q633">
        <f t="shared" si="990"/>
        <v>-802968.07952898578</v>
      </c>
      <c r="R633">
        <f t="shared" si="991"/>
        <v>3892141.5073536709</v>
      </c>
      <c r="S633">
        <f t="shared" si="992"/>
        <v>38.921415073536707</v>
      </c>
      <c r="T633">
        <f t="shared" si="993"/>
        <v>3.8921415073536705E-2</v>
      </c>
    </row>
    <row r="634" spans="1:20" x14ac:dyDescent="0.25">
      <c r="A634" s="5">
        <v>43959</v>
      </c>
      <c r="B634">
        <v>0.63639999999999997</v>
      </c>
      <c r="C634">
        <v>0.71989999999999998</v>
      </c>
      <c r="D634">
        <v>0.62070000000000003</v>
      </c>
      <c r="E634">
        <v>0.70189999999999997</v>
      </c>
      <c r="F634">
        <v>1212304.81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0.63709677419354793</v>
      </c>
      <c r="Q634">
        <f t="shared" si="990"/>
        <v>772355.48379032209</v>
      </c>
      <c r="R634">
        <f t="shared" si="991"/>
        <v>4695109.5868826564</v>
      </c>
      <c r="S634">
        <f t="shared" si="992"/>
        <v>46.951095868826563</v>
      </c>
      <c r="T634">
        <f t="shared" si="993"/>
        <v>4.6951095868826564E-2</v>
      </c>
    </row>
    <row r="635" spans="1:20" x14ac:dyDescent="0.25">
      <c r="A635" s="5">
        <v>43958</v>
      </c>
      <c r="B635">
        <v>0.61150000000000004</v>
      </c>
      <c r="C635">
        <v>0.64</v>
      </c>
      <c r="D635">
        <v>0.60009999999999997</v>
      </c>
      <c r="E635">
        <v>0.6351</v>
      </c>
      <c r="F635">
        <v>420011.74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0.75438596491228016</v>
      </c>
      <c r="Q635">
        <f t="shared" si="990"/>
        <v>316850.96175438573</v>
      </c>
      <c r="R635">
        <f t="shared" si="991"/>
        <v>3922754.1030923342</v>
      </c>
      <c r="S635">
        <f t="shared" si="992"/>
        <v>39.227541030923341</v>
      </c>
      <c r="T635">
        <f t="shared" si="993"/>
        <v>3.9227541030923338E-2</v>
      </c>
    </row>
    <row r="636" spans="1:20" x14ac:dyDescent="0.25">
      <c r="A636" s="5">
        <v>43957</v>
      </c>
      <c r="B636">
        <v>0.628</v>
      </c>
      <c r="C636">
        <v>0.64400000000000002</v>
      </c>
      <c r="D636">
        <v>0.60509999999999997</v>
      </c>
      <c r="E636">
        <v>0.61180000000000001</v>
      </c>
      <c r="F636">
        <v>258396.68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-0.65552699228791611</v>
      </c>
      <c r="Q636">
        <f t="shared" si="990"/>
        <v>-169385.99845758313</v>
      </c>
      <c r="R636">
        <f t="shared" si="991"/>
        <v>3605903.1413379484</v>
      </c>
      <c r="S636">
        <f t="shared" si="992"/>
        <v>36.059031413379486</v>
      </c>
      <c r="T636">
        <f t="shared" si="993"/>
        <v>3.6059031413379489E-2</v>
      </c>
    </row>
    <row r="637" spans="1:20" x14ac:dyDescent="0.25">
      <c r="A637" s="5">
        <v>43956</v>
      </c>
      <c r="B637">
        <v>0.63649999999999995</v>
      </c>
      <c r="C637">
        <v>0.64410000000000001</v>
      </c>
      <c r="D637">
        <v>0.61009999999999998</v>
      </c>
      <c r="E637">
        <v>0.62939999999999996</v>
      </c>
      <c r="F637">
        <v>288599.40999999997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0.13529411764705687</v>
      </c>
      <c r="Q637">
        <f t="shared" si="990"/>
        <v>39045.802529411201</v>
      </c>
      <c r="R637">
        <f t="shared" si="991"/>
        <v>3775289.1397955315</v>
      </c>
      <c r="S637">
        <f t="shared" si="992"/>
        <v>37.752891397955317</v>
      </c>
      <c r="T637">
        <f t="shared" si="993"/>
        <v>3.7752891397955318E-2</v>
      </c>
    </row>
    <row r="638" spans="1:20" x14ac:dyDescent="0.25">
      <c r="A638" s="5">
        <v>43955</v>
      </c>
      <c r="B638">
        <v>0.64670000000000005</v>
      </c>
      <c r="C638">
        <v>0.64939999999999998</v>
      </c>
      <c r="D638">
        <v>0.60640000000000005</v>
      </c>
      <c r="E638">
        <v>0.63800000000000001</v>
      </c>
      <c r="F638">
        <v>282067.09000000003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0.46976744186046582</v>
      </c>
      <c r="Q638">
        <f t="shared" si="990"/>
        <v>132505.93530232579</v>
      </c>
      <c r="R638">
        <f t="shared" si="991"/>
        <v>3736243.3372661201</v>
      </c>
      <c r="S638">
        <f t="shared" si="992"/>
        <v>37.362433372661201</v>
      </c>
      <c r="T638">
        <f t="shared" si="993"/>
        <v>3.7362433372661201E-2</v>
      </c>
    </row>
    <row r="639" spans="1:20" x14ac:dyDescent="0.25">
      <c r="A639" s="5">
        <v>43954</v>
      </c>
      <c r="B639">
        <v>0.64229999999999998</v>
      </c>
      <c r="C639">
        <v>0.66649999999999998</v>
      </c>
      <c r="D639">
        <v>0.63249999999999995</v>
      </c>
      <c r="E639">
        <v>0.64670000000000005</v>
      </c>
      <c r="F639">
        <v>569232.01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-0.16470588235293596</v>
      </c>
      <c r="Q639">
        <f t="shared" si="990"/>
        <v>-93755.860470585263</v>
      </c>
      <c r="R639">
        <f t="shared" si="991"/>
        <v>3603737.4019637941</v>
      </c>
      <c r="S639">
        <f t="shared" si="992"/>
        <v>36.037374019637944</v>
      </c>
      <c r="T639">
        <f t="shared" si="993"/>
        <v>3.6037374019637941E-2</v>
      </c>
    </row>
    <row r="640" spans="1:20" x14ac:dyDescent="0.25">
      <c r="A640" s="5">
        <v>43953</v>
      </c>
      <c r="B640">
        <v>0.62829999999999997</v>
      </c>
      <c r="C640">
        <v>0.64400000000000002</v>
      </c>
      <c r="D640">
        <v>0.62539999999999996</v>
      </c>
      <c r="E640">
        <v>0.63929999999999998</v>
      </c>
      <c r="F640">
        <v>227633.54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0.49462365591397611</v>
      </c>
      <c r="Q640">
        <f t="shared" si="990"/>
        <v>112592.93376344032</v>
      </c>
      <c r="R640">
        <f t="shared" si="991"/>
        <v>3697493.2624343792</v>
      </c>
      <c r="S640">
        <f t="shared" si="992"/>
        <v>36.974932624343793</v>
      </c>
      <c r="T640">
        <f t="shared" si="993"/>
        <v>3.6974932624343794E-2</v>
      </c>
    </row>
    <row r="641" spans="1:20" x14ac:dyDescent="0.25">
      <c r="A641" s="5">
        <v>43952</v>
      </c>
      <c r="B641">
        <v>0.623</v>
      </c>
      <c r="C641">
        <v>0.64</v>
      </c>
      <c r="D641">
        <v>0.61629999999999996</v>
      </c>
      <c r="E641">
        <v>0.62980000000000003</v>
      </c>
      <c r="F641">
        <v>387098.28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0.139240506329117</v>
      </c>
      <c r="Q641">
        <f t="shared" si="990"/>
        <v>53899.760506330305</v>
      </c>
      <c r="R641">
        <f t="shared" si="991"/>
        <v>3584900.328670939</v>
      </c>
      <c r="S641">
        <f t="shared" si="992"/>
        <v>35.84900328670939</v>
      </c>
      <c r="T641">
        <f t="shared" si="993"/>
        <v>3.584900328670939E-2</v>
      </c>
    </row>
    <row r="642" spans="1:20" x14ac:dyDescent="0.25">
      <c r="A642" s="5">
        <v>43951</v>
      </c>
      <c r="B642">
        <v>0.63290000000000002</v>
      </c>
      <c r="C642">
        <v>0.69</v>
      </c>
      <c r="D642">
        <v>0.59570000000000001</v>
      </c>
      <c r="E642">
        <v>0.62419999999999998</v>
      </c>
      <c r="F642">
        <v>1228820.8899999999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-0.39554612937433747</v>
      </c>
      <c r="Q642">
        <f t="shared" si="990"/>
        <v>-486055.34673382848</v>
      </c>
      <c r="R642">
        <f t="shared" si="991"/>
        <v>3531000.5681646084</v>
      </c>
      <c r="S642">
        <f t="shared" si="992"/>
        <v>35.310005681646082</v>
      </c>
      <c r="T642">
        <f t="shared" si="993"/>
        <v>3.5310005681646085E-2</v>
      </c>
    </row>
    <row r="643" spans="1:20" x14ac:dyDescent="0.25">
      <c r="A643" s="5">
        <v>43950</v>
      </c>
      <c r="B643">
        <v>0.59789999999999999</v>
      </c>
      <c r="C643">
        <v>0.67530000000000001</v>
      </c>
      <c r="D643">
        <v>0.59409999999999996</v>
      </c>
      <c r="E643">
        <v>0.63470000000000004</v>
      </c>
      <c r="F643">
        <v>1651208.3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1.3672697347600442E-15</v>
      </c>
      <c r="Q643">
        <f t="shared" si="990"/>
        <v>2.2576471343745833E-9</v>
      </c>
      <c r="R643">
        <f t="shared" si="991"/>
        <v>4017055.914898437</v>
      </c>
      <c r="S643">
        <f t="shared" si="992"/>
        <v>40.170559148984367</v>
      </c>
      <c r="T643">
        <f t="shared" si="993"/>
        <v>4.0170559148984368E-2</v>
      </c>
    </row>
    <row r="644" spans="1:20" x14ac:dyDescent="0.25">
      <c r="A644" s="5">
        <v>43949</v>
      </c>
      <c r="B644">
        <v>0.59279999999999999</v>
      </c>
      <c r="C644">
        <v>0.59970000000000001</v>
      </c>
      <c r="D644">
        <v>0.58150000000000002</v>
      </c>
      <c r="E644">
        <v>0.5978</v>
      </c>
      <c r="F644">
        <v>160408.29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0.79120879120878973</v>
      </c>
      <c r="Q644">
        <f t="shared" si="990"/>
        <v>126916.44923076899</v>
      </c>
      <c r="R644">
        <f t="shared" si="991"/>
        <v>4017055.9148984347</v>
      </c>
      <c r="S644">
        <f t="shared" si="992"/>
        <v>40.170559148984346</v>
      </c>
      <c r="T644">
        <f t="shared" si="993"/>
        <v>4.0170559148984347E-2</v>
      </c>
    </row>
    <row r="645" spans="1:20" x14ac:dyDescent="0.25">
      <c r="A645" s="5">
        <v>43948</v>
      </c>
      <c r="B645">
        <v>0.60240000000000005</v>
      </c>
      <c r="C645">
        <v>0.60470000000000002</v>
      </c>
      <c r="D645">
        <v>0.5796</v>
      </c>
      <c r="E645">
        <v>0.59250000000000003</v>
      </c>
      <c r="F645">
        <v>289430.90000000002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2.7888446215140781E-2</v>
      </c>
      <c r="Q645">
        <f t="shared" si="990"/>
        <v>8071.7780876497909</v>
      </c>
      <c r="R645">
        <f t="shared" si="991"/>
        <v>3890139.4656676655</v>
      </c>
      <c r="S645">
        <f t="shared" si="992"/>
        <v>38.901394656676658</v>
      </c>
      <c r="T645">
        <f t="shared" si="993"/>
        <v>3.8901394656676656E-2</v>
      </c>
    </row>
    <row r="646" spans="1:20" x14ac:dyDescent="0.25">
      <c r="A646" s="5">
        <v>43947</v>
      </c>
      <c r="B646">
        <v>0.58489999999999998</v>
      </c>
      <c r="C646">
        <v>0.60550000000000004</v>
      </c>
      <c r="D646">
        <v>0.58099999999999996</v>
      </c>
      <c r="E646">
        <v>0.60250000000000004</v>
      </c>
      <c r="F646">
        <v>278945.13</v>
      </c>
      <c r="G646">
        <v>0</v>
      </c>
      <c r="L646" t="s">
        <v>7</v>
      </c>
      <c r="M646" t="s">
        <v>8</v>
      </c>
      <c r="N646" t="s">
        <v>8</v>
      </c>
      <c r="P646">
        <f t="shared" ref="P646:P709" si="994">IF(C646=D646,0,((E646-D646)-(C646-E646))/(C646-D646))</f>
        <v>0.75510204081632704</v>
      </c>
      <c r="Q646">
        <f t="shared" ref="Q646:Q709" si="995">F646*P646</f>
        <v>210632.03693877565</v>
      </c>
      <c r="R646">
        <f t="shared" ref="R646:R709" si="996">R647+Q646</f>
        <v>3882067.6875800155</v>
      </c>
      <c r="S646">
        <f t="shared" ref="S646:S709" si="997">R646/100000</f>
        <v>38.820676875800153</v>
      </c>
      <c r="T646">
        <f t="shared" ref="T646:T709" si="998">S646/1000</f>
        <v>3.8820676875800153E-2</v>
      </c>
    </row>
    <row r="647" spans="1:20" x14ac:dyDescent="0.25">
      <c r="A647" s="5">
        <v>43946</v>
      </c>
      <c r="B647">
        <v>0.5857</v>
      </c>
      <c r="C647">
        <v>0.60450000000000004</v>
      </c>
      <c r="D647">
        <v>0.57599999999999996</v>
      </c>
      <c r="E647">
        <v>0.58630000000000004</v>
      </c>
      <c r="F647">
        <v>412484.93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-0.27719298245613633</v>
      </c>
      <c r="Q647">
        <f t="shared" si="995"/>
        <v>-114337.92796491062</v>
      </c>
      <c r="R647">
        <f t="shared" si="996"/>
        <v>3671435.6506412397</v>
      </c>
      <c r="S647">
        <f t="shared" si="997"/>
        <v>36.7143565064124</v>
      </c>
      <c r="T647">
        <f t="shared" si="998"/>
        <v>3.6714356506412402E-2</v>
      </c>
    </row>
    <row r="648" spans="1:20" x14ac:dyDescent="0.25">
      <c r="A648" s="5">
        <v>43945</v>
      </c>
      <c r="B648">
        <v>0.57399999999999995</v>
      </c>
      <c r="C648">
        <v>0.59440000000000004</v>
      </c>
      <c r="D648">
        <v>0.56789999999999996</v>
      </c>
      <c r="E648">
        <v>0.58499999999999996</v>
      </c>
      <c r="F648">
        <v>358653.76</v>
      </c>
      <c r="G648">
        <v>0</v>
      </c>
      <c r="L648" t="s">
        <v>7</v>
      </c>
      <c r="M648" t="s">
        <v>8</v>
      </c>
      <c r="N648" t="s">
        <v>8</v>
      </c>
      <c r="P648">
        <f t="shared" si="994"/>
        <v>0.29056603773584549</v>
      </c>
      <c r="Q648">
        <f t="shared" si="995"/>
        <v>104212.60196226288</v>
      </c>
      <c r="R648">
        <f t="shared" si="996"/>
        <v>3785773.5786061501</v>
      </c>
      <c r="S648">
        <f t="shared" si="997"/>
        <v>37.857735786061504</v>
      </c>
      <c r="T648">
        <f t="shared" si="998"/>
        <v>3.7857735786061504E-2</v>
      </c>
    </row>
    <row r="649" spans="1:20" x14ac:dyDescent="0.25">
      <c r="A649" s="5">
        <v>43944</v>
      </c>
      <c r="B649">
        <v>0.56440000000000001</v>
      </c>
      <c r="C649">
        <v>0.6159</v>
      </c>
      <c r="D649">
        <v>0.55159999999999998</v>
      </c>
      <c r="E649">
        <v>0.57350000000000001</v>
      </c>
      <c r="F649">
        <v>493186.69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-0.31881804043545808</v>
      </c>
      <c r="Q649">
        <f t="shared" si="995"/>
        <v>-157236.81407464974</v>
      </c>
      <c r="R649">
        <f t="shared" si="996"/>
        <v>3681560.9766438873</v>
      </c>
      <c r="S649">
        <f t="shared" si="997"/>
        <v>36.815609766438875</v>
      </c>
      <c r="T649">
        <f t="shared" si="998"/>
        <v>3.6815609766438877E-2</v>
      </c>
    </row>
    <row r="650" spans="1:20" x14ac:dyDescent="0.25">
      <c r="A650" s="5">
        <v>43943</v>
      </c>
      <c r="B650">
        <v>0.53790000000000004</v>
      </c>
      <c r="C650">
        <v>0.57489999999999997</v>
      </c>
      <c r="D650">
        <v>0.53539999999999999</v>
      </c>
      <c r="E650">
        <v>0.56459999999999999</v>
      </c>
      <c r="F650">
        <v>290587.14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0.47848101265822879</v>
      </c>
      <c r="Q650">
        <f t="shared" si="995"/>
        <v>139040.42901265851</v>
      </c>
      <c r="R650">
        <f t="shared" si="996"/>
        <v>3838797.7907185373</v>
      </c>
      <c r="S650">
        <f t="shared" si="997"/>
        <v>38.387977907185373</v>
      </c>
      <c r="T650">
        <f t="shared" si="998"/>
        <v>3.8387977907185372E-2</v>
      </c>
    </row>
    <row r="651" spans="1:20" x14ac:dyDescent="0.25">
      <c r="A651" s="5">
        <v>43942</v>
      </c>
      <c r="B651">
        <v>0.54110000000000003</v>
      </c>
      <c r="C651">
        <v>0.56989999999999996</v>
      </c>
      <c r="D651">
        <v>0.53149999999999997</v>
      </c>
      <c r="E651">
        <v>0.53790000000000004</v>
      </c>
      <c r="F651">
        <v>235481.55</v>
      </c>
      <c r="G651">
        <v>0</v>
      </c>
      <c r="L651" t="s">
        <v>8</v>
      </c>
      <c r="M651" t="s">
        <v>8</v>
      </c>
      <c r="N651" t="s">
        <v>8</v>
      </c>
      <c r="P651">
        <f t="shared" si="994"/>
        <v>-0.66666666666666285</v>
      </c>
      <c r="Q651">
        <f t="shared" si="995"/>
        <v>-156987.69999999908</v>
      </c>
      <c r="R651">
        <f t="shared" si="996"/>
        <v>3699757.3617058787</v>
      </c>
      <c r="S651">
        <f t="shared" si="997"/>
        <v>36.997573617058791</v>
      </c>
      <c r="T651">
        <f t="shared" si="998"/>
        <v>3.6997573617058792E-2</v>
      </c>
    </row>
    <row r="652" spans="1:20" x14ac:dyDescent="0.25">
      <c r="A652" s="5">
        <v>43941</v>
      </c>
      <c r="B652">
        <v>0.57620000000000005</v>
      </c>
      <c r="C652">
        <v>0.59260000000000002</v>
      </c>
      <c r="D652">
        <v>0.52170000000000005</v>
      </c>
      <c r="E652">
        <v>0.5444</v>
      </c>
      <c r="F652">
        <v>461109.31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-0.35966149506347095</v>
      </c>
      <c r="Q652">
        <f t="shared" si="995"/>
        <v>-165843.26382228549</v>
      </c>
      <c r="R652">
        <f t="shared" si="996"/>
        <v>3856745.061705878</v>
      </c>
      <c r="S652">
        <f t="shared" si="997"/>
        <v>38.567450617058782</v>
      </c>
      <c r="T652">
        <f t="shared" si="998"/>
        <v>3.8567450617058782E-2</v>
      </c>
    </row>
    <row r="653" spans="1:20" x14ac:dyDescent="0.25">
      <c r="A653" s="5">
        <v>43940</v>
      </c>
      <c r="B653">
        <v>0.59489999999999998</v>
      </c>
      <c r="C653">
        <v>0.60209999999999997</v>
      </c>
      <c r="D653">
        <v>0.56230000000000002</v>
      </c>
      <c r="E653">
        <v>0.57909999999999995</v>
      </c>
      <c r="F653">
        <v>251196.84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-0.1557788944723644</v>
      </c>
      <c r="Q653">
        <f t="shared" si="995"/>
        <v>-39131.166030151406</v>
      </c>
      <c r="R653">
        <f t="shared" si="996"/>
        <v>4022588.3255281635</v>
      </c>
      <c r="S653">
        <f t="shared" si="997"/>
        <v>40.225883255281637</v>
      </c>
      <c r="T653">
        <f t="shared" si="998"/>
        <v>4.022588325528164E-2</v>
      </c>
    </row>
    <row r="654" spans="1:20" x14ac:dyDescent="0.25">
      <c r="A654" s="5">
        <v>43939</v>
      </c>
      <c r="B654">
        <v>0.56169999999999998</v>
      </c>
      <c r="C654">
        <v>0.60660000000000003</v>
      </c>
      <c r="D654">
        <v>0.56040000000000001</v>
      </c>
      <c r="E654">
        <v>0.59160000000000001</v>
      </c>
      <c r="F654">
        <v>234528.44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0.35064935064935032</v>
      </c>
      <c r="Q654">
        <f t="shared" si="995"/>
        <v>82237.245194805117</v>
      </c>
      <c r="R654">
        <f t="shared" si="996"/>
        <v>4061719.4915583148</v>
      </c>
      <c r="S654">
        <f t="shared" si="997"/>
        <v>40.617194915583148</v>
      </c>
      <c r="T654">
        <f t="shared" si="998"/>
        <v>4.0617194915583146E-2</v>
      </c>
    </row>
    <row r="655" spans="1:20" x14ac:dyDescent="0.25">
      <c r="A655" s="5">
        <v>43938</v>
      </c>
      <c r="B655">
        <v>0.55859999999999999</v>
      </c>
      <c r="C655">
        <v>0.57179999999999997</v>
      </c>
      <c r="D655">
        <v>0.55089999999999995</v>
      </c>
      <c r="E655">
        <v>0.56200000000000006</v>
      </c>
      <c r="F655">
        <v>251256.47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6.2200956937808041E-2</v>
      </c>
      <c r="Q655">
        <f t="shared" si="995"/>
        <v>15628.392870815658</v>
      </c>
      <c r="R655">
        <f t="shared" si="996"/>
        <v>3979482.2463635094</v>
      </c>
      <c r="S655">
        <f t="shared" si="997"/>
        <v>39.794822463635093</v>
      </c>
      <c r="T655">
        <f t="shared" si="998"/>
        <v>3.9794822463635096E-2</v>
      </c>
    </row>
    <row r="656" spans="1:20" x14ac:dyDescent="0.25">
      <c r="A656" s="5">
        <v>43937</v>
      </c>
      <c r="B656">
        <v>0.52500000000000002</v>
      </c>
      <c r="C656">
        <v>0.56950000000000001</v>
      </c>
      <c r="D656">
        <v>0.50309999999999999</v>
      </c>
      <c r="E656">
        <v>0.55769999999999997</v>
      </c>
      <c r="F656">
        <v>525056.55000000005</v>
      </c>
      <c r="G656">
        <v>0</v>
      </c>
      <c r="L656" t="s">
        <v>8</v>
      </c>
      <c r="M656" t="s">
        <v>7</v>
      </c>
      <c r="N656" t="s">
        <v>8</v>
      </c>
      <c r="P656">
        <f t="shared" si="994"/>
        <v>0.64457831325301118</v>
      </c>
      <c r="Q656">
        <f t="shared" si="995"/>
        <v>338440.06536144536</v>
      </c>
      <c r="R656">
        <f t="shared" si="996"/>
        <v>3963853.853492694</v>
      </c>
      <c r="S656">
        <f t="shared" si="997"/>
        <v>39.638538534926937</v>
      </c>
      <c r="T656">
        <f t="shared" si="998"/>
        <v>3.9638538534926937E-2</v>
      </c>
    </row>
    <row r="657" spans="1:20" x14ac:dyDescent="0.25">
      <c r="A657" s="5">
        <v>43936</v>
      </c>
      <c r="B657">
        <v>0.55669999999999997</v>
      </c>
      <c r="C657">
        <v>0.55879999999999996</v>
      </c>
      <c r="D657">
        <v>0.52170000000000005</v>
      </c>
      <c r="E657">
        <v>0.52500000000000002</v>
      </c>
      <c r="F657">
        <v>376087.72</v>
      </c>
      <c r="G657">
        <v>0</v>
      </c>
      <c r="L657" t="s">
        <v>8</v>
      </c>
      <c r="M657" t="s">
        <v>7</v>
      </c>
      <c r="N657" t="s">
        <v>8</v>
      </c>
      <c r="P657">
        <f t="shared" si="994"/>
        <v>-0.82210242587601201</v>
      </c>
      <c r="Q657">
        <f t="shared" si="995"/>
        <v>-309182.62695417833</v>
      </c>
      <c r="R657">
        <f t="shared" si="996"/>
        <v>3625413.7881312487</v>
      </c>
      <c r="S657">
        <f t="shared" si="997"/>
        <v>36.254137881312488</v>
      </c>
      <c r="T657">
        <f t="shared" si="998"/>
        <v>3.6254137881312487E-2</v>
      </c>
    </row>
    <row r="658" spans="1:20" x14ac:dyDescent="0.25">
      <c r="A658" s="5">
        <v>43935</v>
      </c>
      <c r="B658">
        <v>0.53979999999999995</v>
      </c>
      <c r="C658">
        <v>0.56100000000000005</v>
      </c>
      <c r="D658">
        <v>0.53510000000000002</v>
      </c>
      <c r="E658">
        <v>0.55669999999999997</v>
      </c>
      <c r="F658">
        <v>290747.53000000003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0.66795366795366207</v>
      </c>
      <c r="Q658">
        <f t="shared" si="995"/>
        <v>194205.87911196743</v>
      </c>
      <c r="R658">
        <f t="shared" si="996"/>
        <v>3934596.415085427</v>
      </c>
      <c r="S658">
        <f t="shared" si="997"/>
        <v>39.345964150854272</v>
      </c>
      <c r="T658">
        <f t="shared" si="998"/>
        <v>3.9345964150854271E-2</v>
      </c>
    </row>
    <row r="659" spans="1:20" x14ac:dyDescent="0.25">
      <c r="A659" s="5">
        <v>43934</v>
      </c>
      <c r="B659">
        <v>0.53710000000000002</v>
      </c>
      <c r="C659">
        <v>0.55210000000000004</v>
      </c>
      <c r="D659">
        <v>0.51700000000000002</v>
      </c>
      <c r="E659">
        <v>0.54100000000000004</v>
      </c>
      <c r="F659">
        <v>590315.62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0.36752136752136794</v>
      </c>
      <c r="Q659">
        <f t="shared" si="995"/>
        <v>216953.60393162418</v>
      </c>
      <c r="R659">
        <f t="shared" si="996"/>
        <v>3740390.5359734595</v>
      </c>
      <c r="S659">
        <f t="shared" si="997"/>
        <v>37.403905359734594</v>
      </c>
      <c r="T659">
        <f t="shared" si="998"/>
        <v>3.7403905359734597E-2</v>
      </c>
    </row>
    <row r="660" spans="1:20" x14ac:dyDescent="0.25">
      <c r="A660" s="5">
        <v>43933</v>
      </c>
      <c r="B660">
        <v>0.54249999999999998</v>
      </c>
      <c r="C660">
        <v>0.56640000000000001</v>
      </c>
      <c r="D660">
        <v>0.52839999999999998</v>
      </c>
      <c r="E660">
        <v>0.53600000000000003</v>
      </c>
      <c r="F660">
        <v>523147.43</v>
      </c>
      <c r="G660">
        <v>0</v>
      </c>
      <c r="L660" t="s">
        <v>7</v>
      </c>
      <c r="M660" t="s">
        <v>7</v>
      </c>
      <c r="N660" t="s">
        <v>8</v>
      </c>
      <c r="P660">
        <f t="shared" si="994"/>
        <v>-0.59999999999999765</v>
      </c>
      <c r="Q660">
        <f t="shared" si="995"/>
        <v>-313888.45799999876</v>
      </c>
      <c r="R660">
        <f t="shared" si="996"/>
        <v>3523436.9320418355</v>
      </c>
      <c r="S660">
        <f t="shared" si="997"/>
        <v>35.234369320418352</v>
      </c>
      <c r="T660">
        <f t="shared" si="998"/>
        <v>3.5234369320418353E-2</v>
      </c>
    </row>
    <row r="661" spans="1:20" x14ac:dyDescent="0.25">
      <c r="A661" s="5">
        <v>43932</v>
      </c>
      <c r="B661">
        <v>0.54500000000000004</v>
      </c>
      <c r="C661">
        <v>0.56720000000000004</v>
      </c>
      <c r="D661">
        <v>0.52429999999999999</v>
      </c>
      <c r="E661">
        <v>0.54049999999999998</v>
      </c>
      <c r="F661">
        <v>309361.89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-0.24475524475524599</v>
      </c>
      <c r="Q661">
        <f t="shared" si="995"/>
        <v>-75717.945104895494</v>
      </c>
      <c r="R661">
        <f t="shared" si="996"/>
        <v>3837325.3900418342</v>
      </c>
      <c r="S661">
        <f t="shared" si="997"/>
        <v>38.373253900418341</v>
      </c>
      <c r="T661">
        <f t="shared" si="998"/>
        <v>3.837325390041834E-2</v>
      </c>
    </row>
    <row r="662" spans="1:20" x14ac:dyDescent="0.25">
      <c r="A662" s="5">
        <v>43931</v>
      </c>
      <c r="B662">
        <v>0.58589999999999998</v>
      </c>
      <c r="C662">
        <v>0.58730000000000004</v>
      </c>
      <c r="D662">
        <v>0.52490000000000003</v>
      </c>
      <c r="E662">
        <v>0.54490000000000005</v>
      </c>
      <c r="F662">
        <v>515381.69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-0.35897435897435853</v>
      </c>
      <c r="Q662">
        <f t="shared" si="995"/>
        <v>-185008.81179487158</v>
      </c>
      <c r="R662">
        <f t="shared" si="996"/>
        <v>3913043.3351467298</v>
      </c>
      <c r="S662">
        <f t="shared" si="997"/>
        <v>39.130433351467296</v>
      </c>
      <c r="T662">
        <f t="shared" si="998"/>
        <v>3.9130433351467299E-2</v>
      </c>
    </row>
    <row r="663" spans="1:20" x14ac:dyDescent="0.25">
      <c r="A663" s="5">
        <v>43930</v>
      </c>
      <c r="B663">
        <v>0.59870000000000001</v>
      </c>
      <c r="C663">
        <v>0.59899999999999998</v>
      </c>
      <c r="D663">
        <v>0.57169999999999999</v>
      </c>
      <c r="E663">
        <v>0.58550000000000002</v>
      </c>
      <c r="F663">
        <v>402388.33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1.0989010989013849E-2</v>
      </c>
      <c r="Q663">
        <f t="shared" si="995"/>
        <v>4421.8497802209313</v>
      </c>
      <c r="R663">
        <f t="shared" si="996"/>
        <v>4098052.1469416013</v>
      </c>
      <c r="S663">
        <f t="shared" si="997"/>
        <v>40.980521469416011</v>
      </c>
      <c r="T663">
        <f t="shared" si="998"/>
        <v>4.0980521469416012E-2</v>
      </c>
    </row>
    <row r="664" spans="1:20" x14ac:dyDescent="0.25">
      <c r="A664" s="5">
        <v>43929</v>
      </c>
      <c r="B664">
        <v>0.59799999999999998</v>
      </c>
      <c r="C664">
        <v>0.61629999999999996</v>
      </c>
      <c r="D664">
        <v>0.56899999999999995</v>
      </c>
      <c r="E664">
        <v>0.59870000000000001</v>
      </c>
      <c r="F664">
        <v>532640.78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0.25581395348837438</v>
      </c>
      <c r="Q664">
        <f t="shared" si="995"/>
        <v>136256.94372093145</v>
      </c>
      <c r="R664">
        <f t="shared" si="996"/>
        <v>4093630.2971613803</v>
      </c>
      <c r="S664">
        <f t="shared" si="997"/>
        <v>40.936302971613806</v>
      </c>
      <c r="T664">
        <f t="shared" si="998"/>
        <v>4.0936302971613804E-2</v>
      </c>
    </row>
    <row r="665" spans="1:20" x14ac:dyDescent="0.25">
      <c r="A665" s="5">
        <v>43928</v>
      </c>
      <c r="B665">
        <v>0.61829999999999996</v>
      </c>
      <c r="C665">
        <v>0.63</v>
      </c>
      <c r="D665">
        <v>0.58360000000000001</v>
      </c>
      <c r="E665">
        <v>0.59809999999999997</v>
      </c>
      <c r="F665">
        <v>849657.85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-0.37500000000000178</v>
      </c>
      <c r="Q665">
        <f t="shared" si="995"/>
        <v>-318621.69375000149</v>
      </c>
      <c r="R665">
        <f t="shared" si="996"/>
        <v>3957373.3534404486</v>
      </c>
      <c r="S665">
        <f t="shared" si="997"/>
        <v>39.573733534404489</v>
      </c>
      <c r="T665">
        <f t="shared" si="998"/>
        <v>3.9573733534404493E-2</v>
      </c>
    </row>
    <row r="666" spans="1:20" x14ac:dyDescent="0.25">
      <c r="A666" s="5">
        <v>43927</v>
      </c>
      <c r="B666">
        <v>0.59340000000000004</v>
      </c>
      <c r="C666">
        <v>0.61890000000000001</v>
      </c>
      <c r="D666">
        <v>0.5867</v>
      </c>
      <c r="E666">
        <v>0.61829999999999996</v>
      </c>
      <c r="F666">
        <v>1089668.1000000001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0.96273291925465565</v>
      </c>
      <c r="Q666">
        <f t="shared" si="995"/>
        <v>1049059.3509316742</v>
      </c>
      <c r="R666">
        <f t="shared" si="996"/>
        <v>4275995.0471904501</v>
      </c>
      <c r="S666">
        <f t="shared" si="997"/>
        <v>42.759950471904503</v>
      </c>
      <c r="T666">
        <f t="shared" si="998"/>
        <v>4.27599504719045E-2</v>
      </c>
    </row>
    <row r="667" spans="1:20" x14ac:dyDescent="0.25">
      <c r="A667" s="5">
        <v>43926</v>
      </c>
      <c r="B667">
        <v>0.6421</v>
      </c>
      <c r="C667">
        <v>0.64410000000000001</v>
      </c>
      <c r="D667">
        <v>0.57350000000000001</v>
      </c>
      <c r="E667">
        <v>0.59740000000000004</v>
      </c>
      <c r="F667">
        <v>1361371.5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-0.32294617563739281</v>
      </c>
      <c r="Q667">
        <f t="shared" si="995"/>
        <v>-439649.71954674087</v>
      </c>
      <c r="R667">
        <f t="shared" si="996"/>
        <v>3226935.6962587759</v>
      </c>
      <c r="S667">
        <f t="shared" si="997"/>
        <v>32.269356962587757</v>
      </c>
      <c r="T667">
        <f t="shared" si="998"/>
        <v>3.2269356962587759E-2</v>
      </c>
    </row>
    <row r="668" spans="1:20" x14ac:dyDescent="0.25">
      <c r="A668" s="5">
        <v>43925</v>
      </c>
      <c r="B668">
        <v>0.54559999999999997</v>
      </c>
      <c r="C668">
        <v>0.66849999999999998</v>
      </c>
      <c r="D668">
        <v>0.53979999999999995</v>
      </c>
      <c r="E668">
        <v>0.6401</v>
      </c>
      <c r="F668">
        <v>2035417.99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0.5586635586635591</v>
      </c>
      <c r="Q668">
        <f t="shared" si="995"/>
        <v>1137113.8576612286</v>
      </c>
      <c r="R668">
        <f t="shared" si="996"/>
        <v>3666585.4158055168</v>
      </c>
      <c r="S668">
        <f t="shared" si="997"/>
        <v>36.665854158055168</v>
      </c>
      <c r="T668">
        <f t="shared" si="998"/>
        <v>3.6665854158055171E-2</v>
      </c>
    </row>
    <row r="669" spans="1:20" x14ac:dyDescent="0.25">
      <c r="A669" s="5">
        <v>43924</v>
      </c>
      <c r="B669">
        <v>0.5363</v>
      </c>
      <c r="C669">
        <v>0.55549999999999999</v>
      </c>
      <c r="D669">
        <v>0.52100000000000002</v>
      </c>
      <c r="E669">
        <v>0.54590000000000005</v>
      </c>
      <c r="F669">
        <v>411968.22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0.44347826086956821</v>
      </c>
      <c r="Q669">
        <f t="shared" si="995"/>
        <v>182698.94973913167</v>
      </c>
      <c r="R669">
        <f t="shared" si="996"/>
        <v>2529471.5581442881</v>
      </c>
      <c r="S669">
        <f t="shared" si="997"/>
        <v>25.29471558144288</v>
      </c>
      <c r="T669">
        <f t="shared" si="998"/>
        <v>2.5294715581442879E-2</v>
      </c>
    </row>
    <row r="670" spans="1:20" x14ac:dyDescent="0.25">
      <c r="A670" s="5">
        <v>43923</v>
      </c>
      <c r="B670">
        <v>0.49270000000000003</v>
      </c>
      <c r="C670">
        <v>0.54600000000000004</v>
      </c>
      <c r="D670">
        <v>0.48530000000000001</v>
      </c>
      <c r="E670">
        <v>0.5363</v>
      </c>
      <c r="F670">
        <v>927858.91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0.68039538714991643</v>
      </c>
      <c r="Q670">
        <f t="shared" si="995"/>
        <v>631310.92228994949</v>
      </c>
      <c r="R670">
        <f t="shared" si="996"/>
        <v>2346772.6084051565</v>
      </c>
      <c r="S670">
        <f t="shared" si="997"/>
        <v>23.467726084051566</v>
      </c>
      <c r="T670">
        <f t="shared" si="998"/>
        <v>2.3467726084051566E-2</v>
      </c>
    </row>
    <row r="671" spans="1:20" x14ac:dyDescent="0.25">
      <c r="A671" s="5">
        <v>43922</v>
      </c>
      <c r="B671">
        <v>0.46899999999999997</v>
      </c>
      <c r="C671">
        <v>0.505</v>
      </c>
      <c r="D671">
        <v>0.46100000000000002</v>
      </c>
      <c r="E671">
        <v>0.49270000000000003</v>
      </c>
      <c r="F671">
        <v>744217.54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0.44090909090909169</v>
      </c>
      <c r="Q671">
        <f t="shared" si="995"/>
        <v>328132.27900000062</v>
      </c>
      <c r="R671">
        <f t="shared" si="996"/>
        <v>1715461.6861152069</v>
      </c>
      <c r="S671">
        <f t="shared" si="997"/>
        <v>17.154616861152068</v>
      </c>
      <c r="T671">
        <f t="shared" si="998"/>
        <v>1.7154616861152067E-2</v>
      </c>
    </row>
    <row r="672" spans="1:20" x14ac:dyDescent="0.25">
      <c r="A672" s="5">
        <v>43921</v>
      </c>
      <c r="B672">
        <v>0.46160000000000001</v>
      </c>
      <c r="C672">
        <v>0.47689999999999999</v>
      </c>
      <c r="D672">
        <v>0.45590000000000003</v>
      </c>
      <c r="E672">
        <v>0.46939999999999998</v>
      </c>
      <c r="F672">
        <v>347269.65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0.28571428571428381</v>
      </c>
      <c r="Q672">
        <f t="shared" si="995"/>
        <v>99219.899999999339</v>
      </c>
      <c r="R672">
        <f t="shared" si="996"/>
        <v>1387329.4071152064</v>
      </c>
      <c r="S672">
        <f t="shared" si="997"/>
        <v>13.873294071152063</v>
      </c>
      <c r="T672">
        <f t="shared" si="998"/>
        <v>1.3873294071152063E-2</v>
      </c>
    </row>
    <row r="673" spans="1:20" x14ac:dyDescent="0.25">
      <c r="A673" s="5">
        <v>43920</v>
      </c>
      <c r="B673">
        <v>0.4325</v>
      </c>
      <c r="C673">
        <v>0.47239999999999999</v>
      </c>
      <c r="D673">
        <v>0.43059999999999998</v>
      </c>
      <c r="E673">
        <v>0.46</v>
      </c>
      <c r="F673">
        <v>681628.39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0.40669856459330311</v>
      </c>
      <c r="Q673">
        <f t="shared" si="995"/>
        <v>277217.28779904422</v>
      </c>
      <c r="R673">
        <f t="shared" si="996"/>
        <v>1288109.5071152069</v>
      </c>
      <c r="S673">
        <f t="shared" si="997"/>
        <v>12.881095071152069</v>
      </c>
      <c r="T673">
        <f t="shared" si="998"/>
        <v>1.2881095071152069E-2</v>
      </c>
    </row>
    <row r="674" spans="1:20" x14ac:dyDescent="0.25">
      <c r="A674" s="5">
        <v>43919</v>
      </c>
      <c r="B674">
        <v>0.46579999999999999</v>
      </c>
      <c r="C674">
        <v>0.46739999999999998</v>
      </c>
      <c r="D674">
        <v>0.43</v>
      </c>
      <c r="E674">
        <v>0.43530000000000002</v>
      </c>
      <c r="F674">
        <v>253754.79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-0.71657754010695029</v>
      </c>
      <c r="Q674">
        <f t="shared" si="995"/>
        <v>-181834.98320855576</v>
      </c>
      <c r="R674">
        <f t="shared" si="996"/>
        <v>1010892.2193161626</v>
      </c>
      <c r="S674">
        <f t="shared" si="997"/>
        <v>10.108922193161627</v>
      </c>
      <c r="T674">
        <f t="shared" si="998"/>
        <v>1.0108922193161627E-2</v>
      </c>
    </row>
    <row r="675" spans="1:20" x14ac:dyDescent="0.25">
      <c r="A675" s="5">
        <v>43918</v>
      </c>
      <c r="B675">
        <v>0.47</v>
      </c>
      <c r="C675">
        <v>0.48220000000000002</v>
      </c>
      <c r="D675">
        <v>0.44679999999999997</v>
      </c>
      <c r="E675">
        <v>0.46579999999999999</v>
      </c>
      <c r="F675">
        <v>850247.15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7.3446327683615489E-2</v>
      </c>
      <c r="Q675">
        <f t="shared" si="995"/>
        <v>62447.530790960176</v>
      </c>
      <c r="R675">
        <f t="shared" si="996"/>
        <v>1192727.2025247184</v>
      </c>
      <c r="S675">
        <f t="shared" si="997"/>
        <v>11.927272025247184</v>
      </c>
      <c r="T675">
        <f t="shared" si="998"/>
        <v>1.1927272025247184E-2</v>
      </c>
    </row>
    <row r="676" spans="1:20" x14ac:dyDescent="0.25">
      <c r="A676" s="5">
        <v>43917</v>
      </c>
      <c r="B676">
        <v>0.50549999999999995</v>
      </c>
      <c r="C676">
        <v>0.51</v>
      </c>
      <c r="D676">
        <v>0.46060000000000001</v>
      </c>
      <c r="E676">
        <v>0.47139999999999999</v>
      </c>
      <c r="F676">
        <v>507238.83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-0.56275303643724794</v>
      </c>
      <c r="Q676">
        <f t="shared" si="995"/>
        <v>-285450.19178137701</v>
      </c>
      <c r="R676">
        <f t="shared" si="996"/>
        <v>1130279.6717337582</v>
      </c>
      <c r="S676">
        <f t="shared" si="997"/>
        <v>11.302796717337582</v>
      </c>
      <c r="T676">
        <f t="shared" si="998"/>
        <v>1.1302796717337582E-2</v>
      </c>
    </row>
    <row r="677" spans="1:20" x14ac:dyDescent="0.25">
      <c r="A677" s="5">
        <v>43916</v>
      </c>
      <c r="B677">
        <v>0.50680000000000003</v>
      </c>
      <c r="C677">
        <v>0.51900000000000002</v>
      </c>
      <c r="D677">
        <v>0.48139999999999999</v>
      </c>
      <c r="E677">
        <v>0.50570000000000004</v>
      </c>
      <c r="F677">
        <v>463998.49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0.29255319148936326</v>
      </c>
      <c r="Q677">
        <f t="shared" si="995"/>
        <v>135744.2390957454</v>
      </c>
      <c r="R677">
        <f t="shared" si="996"/>
        <v>1415729.8635151351</v>
      </c>
      <c r="S677">
        <f t="shared" si="997"/>
        <v>14.157298635151351</v>
      </c>
      <c r="T677">
        <f t="shared" si="998"/>
        <v>1.415729863515135E-2</v>
      </c>
    </row>
    <row r="678" spans="1:20" x14ac:dyDescent="0.25">
      <c r="A678" s="5">
        <v>43915</v>
      </c>
      <c r="B678">
        <v>0.497</v>
      </c>
      <c r="C678">
        <v>0.51080000000000003</v>
      </c>
      <c r="D678">
        <v>0.47</v>
      </c>
      <c r="E678">
        <v>0.51070000000000004</v>
      </c>
      <c r="F678">
        <v>1313625.97</v>
      </c>
      <c r="G678">
        <v>0</v>
      </c>
      <c r="L678" t="s">
        <v>7</v>
      </c>
      <c r="M678" t="s">
        <v>8</v>
      </c>
      <c r="N678" t="s">
        <v>8</v>
      </c>
      <c r="P678">
        <f t="shared" si="994"/>
        <v>0.99509803921568685</v>
      </c>
      <c r="Q678">
        <f t="shared" si="995"/>
        <v>1307186.6270098046</v>
      </c>
      <c r="R678">
        <f t="shared" si="996"/>
        <v>1279985.6244193898</v>
      </c>
      <c r="S678">
        <f t="shared" si="997"/>
        <v>12.799856244193897</v>
      </c>
      <c r="T678">
        <f t="shared" si="998"/>
        <v>1.2799856244193898E-2</v>
      </c>
    </row>
    <row r="679" spans="1:20" x14ac:dyDescent="0.25">
      <c r="A679" s="5">
        <v>43914</v>
      </c>
      <c r="B679">
        <v>0.50019999999999998</v>
      </c>
      <c r="C679">
        <v>0.52990000000000004</v>
      </c>
      <c r="D679">
        <v>0.47510000000000002</v>
      </c>
      <c r="E679">
        <v>0.49580000000000002</v>
      </c>
      <c r="F679">
        <v>1874393.12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-0.24452554744525581</v>
      </c>
      <c r="Q679">
        <f t="shared" si="995"/>
        <v>-458337.0037956211</v>
      </c>
      <c r="R679">
        <f t="shared" si="996"/>
        <v>-27201.002590414835</v>
      </c>
      <c r="S679">
        <f t="shared" si="997"/>
        <v>-0.27201002590414836</v>
      </c>
      <c r="T679">
        <f t="shared" si="998"/>
        <v>-2.7201002590414834E-4</v>
      </c>
    </row>
    <row r="680" spans="1:20" x14ac:dyDescent="0.25">
      <c r="A680" s="5">
        <v>43913</v>
      </c>
      <c r="B680">
        <v>0.4</v>
      </c>
      <c r="C680">
        <v>0.50339999999999996</v>
      </c>
      <c r="D680">
        <v>0.39360000000000001</v>
      </c>
      <c r="E680">
        <v>0.50019999999999998</v>
      </c>
      <c r="F680">
        <v>995467.03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0.94171220400728628</v>
      </c>
      <c r="Q680">
        <f t="shared" si="995"/>
        <v>937443.45083788736</v>
      </c>
      <c r="R680">
        <f t="shared" si="996"/>
        <v>431136.00120520627</v>
      </c>
      <c r="S680">
        <f t="shared" si="997"/>
        <v>4.311360012052063</v>
      </c>
      <c r="T680">
        <f t="shared" si="998"/>
        <v>4.3113600120520627E-3</v>
      </c>
    </row>
    <row r="681" spans="1:20" x14ac:dyDescent="0.25">
      <c r="A681" s="5">
        <v>43912</v>
      </c>
      <c r="B681">
        <v>0.44080000000000003</v>
      </c>
      <c r="C681">
        <v>0.46339999999999998</v>
      </c>
      <c r="D681">
        <v>0.4</v>
      </c>
      <c r="E681">
        <v>0.40089999999999998</v>
      </c>
      <c r="F681">
        <v>761954.26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-0.97160883280757238</v>
      </c>
      <c r="Q681">
        <f t="shared" si="995"/>
        <v>-740321.48921135755</v>
      </c>
      <c r="R681">
        <f t="shared" si="996"/>
        <v>-506307.44963268109</v>
      </c>
      <c r="S681">
        <f t="shared" si="997"/>
        <v>-5.0630744963268111</v>
      </c>
      <c r="T681">
        <f t="shared" si="998"/>
        <v>-5.0630744963268111E-3</v>
      </c>
    </row>
    <row r="682" spans="1:20" x14ac:dyDescent="0.25">
      <c r="A682" s="5">
        <v>43911</v>
      </c>
      <c r="B682">
        <v>0.44390000000000002</v>
      </c>
      <c r="C682">
        <v>0.47020000000000001</v>
      </c>
      <c r="D682">
        <v>0.41510000000000002</v>
      </c>
      <c r="E682">
        <v>0.44180000000000003</v>
      </c>
      <c r="F682">
        <v>958763.09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-3.0852994555353536E-2</v>
      </c>
      <c r="Q682">
        <f t="shared" si="995"/>
        <v>-29580.712395643932</v>
      </c>
      <c r="R682">
        <f t="shared" si="996"/>
        <v>234014.03957867646</v>
      </c>
      <c r="S682">
        <f t="shared" si="997"/>
        <v>2.3401403957867646</v>
      </c>
      <c r="T682">
        <f t="shared" si="998"/>
        <v>2.3401403957867646E-3</v>
      </c>
    </row>
    <row r="683" spans="1:20" x14ac:dyDescent="0.25">
      <c r="A683" s="5">
        <v>43910</v>
      </c>
      <c r="B683">
        <v>0.4778</v>
      </c>
      <c r="C683">
        <v>0.53349999999999997</v>
      </c>
      <c r="D683">
        <v>0.39439999999999997</v>
      </c>
      <c r="E683">
        <v>0.4451</v>
      </c>
      <c r="F683">
        <v>1958244.02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-0.27102803738317727</v>
      </c>
      <c r="Q683">
        <f t="shared" si="995"/>
        <v>-530739.03345794335</v>
      </c>
      <c r="R683">
        <f t="shared" si="996"/>
        <v>263594.75197432039</v>
      </c>
      <c r="S683">
        <f t="shared" si="997"/>
        <v>2.6359475197432038</v>
      </c>
      <c r="T683">
        <f t="shared" si="998"/>
        <v>2.6359475197432038E-3</v>
      </c>
    </row>
    <row r="684" spans="1:20" x14ac:dyDescent="0.25">
      <c r="A684" s="5">
        <v>43909</v>
      </c>
      <c r="B684">
        <v>0.40179999999999999</v>
      </c>
      <c r="C684">
        <v>0.50900000000000001</v>
      </c>
      <c r="D684">
        <v>0.39190000000000003</v>
      </c>
      <c r="E684">
        <v>0.47610000000000002</v>
      </c>
      <c r="F684">
        <v>1429818.65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0.43808710503842885</v>
      </c>
      <c r="Q684">
        <f t="shared" si="995"/>
        <v>626385.1131084545</v>
      </c>
      <c r="R684">
        <f t="shared" si="996"/>
        <v>794333.78543226374</v>
      </c>
      <c r="S684">
        <f t="shared" si="997"/>
        <v>7.9433378543226372</v>
      </c>
      <c r="T684">
        <f t="shared" si="998"/>
        <v>7.9433378543226369E-3</v>
      </c>
    </row>
    <row r="685" spans="1:20" x14ac:dyDescent="0.25">
      <c r="A685" s="5">
        <v>43908</v>
      </c>
      <c r="B685">
        <v>0.37469999999999998</v>
      </c>
      <c r="C685">
        <v>0.41320000000000001</v>
      </c>
      <c r="D685">
        <v>0.3402</v>
      </c>
      <c r="E685">
        <v>0.40160000000000001</v>
      </c>
      <c r="F685">
        <v>929065.98</v>
      </c>
      <c r="G685">
        <v>0</v>
      </c>
      <c r="L685" t="s">
        <v>8</v>
      </c>
      <c r="M685" t="s">
        <v>8</v>
      </c>
      <c r="N685" t="s">
        <v>7</v>
      </c>
      <c r="P685">
        <f t="shared" si="994"/>
        <v>0.68219178082191789</v>
      </c>
      <c r="Q685">
        <f t="shared" si="995"/>
        <v>633801.17539726035</v>
      </c>
      <c r="R685">
        <f t="shared" si="996"/>
        <v>167948.67232380924</v>
      </c>
      <c r="S685">
        <f t="shared" si="997"/>
        <v>1.6794867232380923</v>
      </c>
      <c r="T685">
        <f t="shared" si="998"/>
        <v>1.6794867232380922E-3</v>
      </c>
    </row>
    <row r="686" spans="1:20" x14ac:dyDescent="0.25">
      <c r="A686" s="5">
        <v>43907</v>
      </c>
      <c r="B686">
        <v>0.35620000000000002</v>
      </c>
      <c r="C686">
        <v>0.38080000000000003</v>
      </c>
      <c r="D686">
        <v>0.3493</v>
      </c>
      <c r="E686">
        <v>0.3735</v>
      </c>
      <c r="F686">
        <v>1158152.6599999999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0.53650793650793505</v>
      </c>
      <c r="Q686">
        <f t="shared" si="995"/>
        <v>621358.093777776</v>
      </c>
      <c r="R686">
        <f t="shared" si="996"/>
        <v>-465852.50307345111</v>
      </c>
      <c r="S686">
        <f t="shared" si="997"/>
        <v>-4.658525030734511</v>
      </c>
      <c r="T686">
        <f t="shared" si="998"/>
        <v>-4.6585250307345106E-3</v>
      </c>
    </row>
    <row r="687" spans="1:20" x14ac:dyDescent="0.25">
      <c r="A687" s="5">
        <v>43906</v>
      </c>
      <c r="B687">
        <v>0.40629999999999999</v>
      </c>
      <c r="C687">
        <v>0.40629999999999999</v>
      </c>
      <c r="D687">
        <v>0.31469999999999998</v>
      </c>
      <c r="E687">
        <v>0.35249999999999998</v>
      </c>
      <c r="F687">
        <v>1026027.59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-0.17467248908296956</v>
      </c>
      <c r="Q687">
        <f t="shared" si="995"/>
        <v>-179218.79301310057</v>
      </c>
      <c r="R687">
        <f t="shared" si="996"/>
        <v>-1087210.5968512271</v>
      </c>
      <c r="S687">
        <f t="shared" si="997"/>
        <v>-10.872105968512271</v>
      </c>
      <c r="T687">
        <f t="shared" si="998"/>
        <v>-1.087210596851227E-2</v>
      </c>
    </row>
    <row r="688" spans="1:20" x14ac:dyDescent="0.25">
      <c r="A688" s="5">
        <v>43905</v>
      </c>
      <c r="B688">
        <v>0.38840000000000002</v>
      </c>
      <c r="C688">
        <v>0.43619999999999998</v>
      </c>
      <c r="D688">
        <v>0.38219999999999998</v>
      </c>
      <c r="E688">
        <v>0.40660000000000002</v>
      </c>
      <c r="F688">
        <v>625662.71999999997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-9.629629629629495E-2</v>
      </c>
      <c r="Q688">
        <f t="shared" si="995"/>
        <v>-60249.002666665823</v>
      </c>
      <c r="R688">
        <f t="shared" si="996"/>
        <v>-907991.80383812648</v>
      </c>
      <c r="S688">
        <f t="shared" si="997"/>
        <v>-9.0799180383812654</v>
      </c>
      <c r="T688">
        <f t="shared" si="998"/>
        <v>-9.0799180383812662E-3</v>
      </c>
    </row>
    <row r="689" spans="1:20" x14ac:dyDescent="0.25">
      <c r="A689" s="5">
        <v>43904</v>
      </c>
      <c r="B689">
        <v>0.4118</v>
      </c>
      <c r="C689">
        <v>0.43090000000000001</v>
      </c>
      <c r="D689">
        <v>0.37609999999999999</v>
      </c>
      <c r="E689">
        <v>0.38619999999999999</v>
      </c>
      <c r="F689">
        <v>551776.47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-0.63138686131386879</v>
      </c>
      <c r="Q689">
        <f t="shared" si="995"/>
        <v>-348384.41354014608</v>
      </c>
      <c r="R689">
        <f t="shared" si="996"/>
        <v>-847742.80117146065</v>
      </c>
      <c r="S689">
        <f t="shared" si="997"/>
        <v>-8.4774280117146059</v>
      </c>
      <c r="T689">
        <f t="shared" si="998"/>
        <v>-8.4774280117146054E-3</v>
      </c>
    </row>
    <row r="690" spans="1:20" x14ac:dyDescent="0.25">
      <c r="A690" s="5">
        <v>43903</v>
      </c>
      <c r="B690">
        <v>0.36259999999999998</v>
      </c>
      <c r="C690">
        <v>0.46629999999999999</v>
      </c>
      <c r="D690">
        <v>0.25619999999999998</v>
      </c>
      <c r="E690">
        <v>0.41239999999999999</v>
      </c>
      <c r="F690">
        <v>1234722.3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0.48691099476439792</v>
      </c>
      <c r="Q690">
        <f t="shared" si="995"/>
        <v>601199.86335078534</v>
      </c>
      <c r="R690">
        <f t="shared" si="996"/>
        <v>-499358.38763131457</v>
      </c>
      <c r="S690">
        <f t="shared" si="997"/>
        <v>-4.9935838763131457</v>
      </c>
      <c r="T690">
        <f t="shared" si="998"/>
        <v>-4.9935838763131455E-3</v>
      </c>
    </row>
    <row r="691" spans="1:20" x14ac:dyDescent="0.25">
      <c r="A691" s="5">
        <v>43902</v>
      </c>
      <c r="B691">
        <v>0.68059999999999998</v>
      </c>
      <c r="C691">
        <v>0.68149999999999999</v>
      </c>
      <c r="D691">
        <v>0.34300000000000003</v>
      </c>
      <c r="E691">
        <v>0.36249999999999999</v>
      </c>
      <c r="F691">
        <v>1704831.94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-0.88478581979320559</v>
      </c>
      <c r="Q691">
        <f t="shared" si="995"/>
        <v>-1508411.1256425411</v>
      </c>
      <c r="R691">
        <f t="shared" si="996"/>
        <v>-1100558.2509820999</v>
      </c>
      <c r="S691">
        <f t="shared" si="997"/>
        <v>-11.005582509820998</v>
      </c>
      <c r="T691">
        <f t="shared" si="998"/>
        <v>-1.1005582509820998E-2</v>
      </c>
    </row>
    <row r="692" spans="1:20" x14ac:dyDescent="0.25">
      <c r="A692" s="5">
        <v>43901</v>
      </c>
      <c r="B692">
        <v>0.68920000000000003</v>
      </c>
      <c r="C692">
        <v>0.69469999999999998</v>
      </c>
      <c r="D692">
        <v>0.64</v>
      </c>
      <c r="E692">
        <v>0.68030000000000002</v>
      </c>
      <c r="F692">
        <v>428914.76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0.47349177330895881</v>
      </c>
      <c r="Q692">
        <f t="shared" si="995"/>
        <v>203087.61031078649</v>
      </c>
      <c r="R692">
        <f t="shared" si="996"/>
        <v>407852.87466044119</v>
      </c>
      <c r="S692">
        <f t="shared" si="997"/>
        <v>4.0785287466044116</v>
      </c>
      <c r="T692">
        <f t="shared" si="998"/>
        <v>4.0785287466044116E-3</v>
      </c>
    </row>
    <row r="693" spans="1:20" x14ac:dyDescent="0.25">
      <c r="A693" s="5">
        <v>43900</v>
      </c>
      <c r="B693">
        <v>0.68730000000000002</v>
      </c>
      <c r="C693">
        <v>0.71409999999999996</v>
      </c>
      <c r="D693">
        <v>0.66369999999999996</v>
      </c>
      <c r="E693">
        <v>0.68579999999999997</v>
      </c>
      <c r="F693">
        <v>340950.57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-0.12301587301587269</v>
      </c>
      <c r="Q693">
        <f t="shared" si="995"/>
        <v>-41942.332023809417</v>
      </c>
      <c r="R693">
        <f t="shared" si="996"/>
        <v>204765.26434965467</v>
      </c>
      <c r="S693">
        <f t="shared" si="997"/>
        <v>2.0476526434965465</v>
      </c>
      <c r="T693">
        <f t="shared" si="998"/>
        <v>2.0476526434965465E-3</v>
      </c>
    </row>
    <row r="694" spans="1:20" x14ac:dyDescent="0.25">
      <c r="A694" s="5">
        <v>43899</v>
      </c>
      <c r="B694">
        <v>0.67290000000000005</v>
      </c>
      <c r="C694">
        <v>0.72099999999999997</v>
      </c>
      <c r="D694">
        <v>0.64149999999999996</v>
      </c>
      <c r="E694">
        <v>0.68559999999999999</v>
      </c>
      <c r="F694">
        <v>482494.76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0.10943396226415143</v>
      </c>
      <c r="Q694">
        <f t="shared" si="995"/>
        <v>52801.313358490806</v>
      </c>
      <c r="R694">
        <f t="shared" si="996"/>
        <v>246707.5963734641</v>
      </c>
      <c r="S694">
        <f t="shared" si="997"/>
        <v>2.4670759637346409</v>
      </c>
      <c r="T694">
        <f t="shared" si="998"/>
        <v>2.4670759637346407E-3</v>
      </c>
    </row>
    <row r="695" spans="1:20" x14ac:dyDescent="0.25">
      <c r="A695" s="5">
        <v>43898</v>
      </c>
      <c r="B695">
        <v>0.79110000000000003</v>
      </c>
      <c r="C695">
        <v>0.79110000000000003</v>
      </c>
      <c r="D695">
        <v>0.66500000000000004</v>
      </c>
      <c r="E695">
        <v>0.67290000000000005</v>
      </c>
      <c r="F695">
        <v>803270.83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-0.87470261697065788</v>
      </c>
      <c r="Q695">
        <f t="shared" si="995"/>
        <v>-702623.09713719238</v>
      </c>
      <c r="R695">
        <f t="shared" si="996"/>
        <v>193906.28301497328</v>
      </c>
      <c r="S695">
        <f t="shared" si="997"/>
        <v>1.9390628301497328</v>
      </c>
      <c r="T695">
        <f t="shared" si="998"/>
        <v>1.9390628301497329E-3</v>
      </c>
    </row>
    <row r="696" spans="1:20" x14ac:dyDescent="0.25">
      <c r="A696" s="5">
        <v>43897</v>
      </c>
      <c r="B696">
        <v>0.82450000000000001</v>
      </c>
      <c r="C696">
        <v>0.83340000000000003</v>
      </c>
      <c r="D696">
        <v>0.77090000000000003</v>
      </c>
      <c r="E696">
        <v>0.78949999999999998</v>
      </c>
      <c r="F696">
        <v>290053.40000000002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-0.4048000000000016</v>
      </c>
      <c r="Q696">
        <f t="shared" si="995"/>
        <v>-117413.61632000048</v>
      </c>
      <c r="R696">
        <f t="shared" si="996"/>
        <v>896529.38015216566</v>
      </c>
      <c r="S696">
        <f t="shared" si="997"/>
        <v>8.965293801521657</v>
      </c>
      <c r="T696">
        <f t="shared" si="998"/>
        <v>8.9652938015216573E-3</v>
      </c>
    </row>
    <row r="697" spans="1:20" x14ac:dyDescent="0.25">
      <c r="A697" s="5">
        <v>43896</v>
      </c>
      <c r="B697">
        <v>0.82789999999999997</v>
      </c>
      <c r="C697">
        <v>0.84089999999999998</v>
      </c>
      <c r="D697">
        <v>0.81</v>
      </c>
      <c r="E697">
        <v>0.82450000000000001</v>
      </c>
      <c r="F697">
        <v>298992.88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-6.1488673139159136E-2</v>
      </c>
      <c r="Q697">
        <f t="shared" si="995"/>
        <v>-18384.675469255832</v>
      </c>
      <c r="R697">
        <f t="shared" si="996"/>
        <v>1013942.9964721662</v>
      </c>
      <c r="S697">
        <f t="shared" si="997"/>
        <v>10.139429964721662</v>
      </c>
      <c r="T697">
        <f t="shared" si="998"/>
        <v>1.0139429964721662E-2</v>
      </c>
    </row>
    <row r="698" spans="1:20" x14ac:dyDescent="0.25">
      <c r="A698" s="5">
        <v>43895</v>
      </c>
      <c r="B698">
        <v>0.77300000000000002</v>
      </c>
      <c r="C698">
        <v>0.83699999999999997</v>
      </c>
      <c r="D698">
        <v>0.77300000000000002</v>
      </c>
      <c r="E698">
        <v>0.82789999999999997</v>
      </c>
      <c r="F698">
        <v>555517.6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0.71562499999999984</v>
      </c>
      <c r="Q698">
        <f t="shared" si="995"/>
        <v>397542.28249999991</v>
      </c>
      <c r="R698">
        <f t="shared" si="996"/>
        <v>1032327.6719414219</v>
      </c>
      <c r="S698">
        <f t="shared" si="997"/>
        <v>10.323276719414219</v>
      </c>
      <c r="T698">
        <f t="shared" si="998"/>
        <v>1.0323276719414218E-2</v>
      </c>
    </row>
    <row r="699" spans="1:20" x14ac:dyDescent="0.25">
      <c r="A699" s="5">
        <v>43894</v>
      </c>
      <c r="B699">
        <v>0.77300000000000002</v>
      </c>
      <c r="C699">
        <v>0.78490000000000004</v>
      </c>
      <c r="D699">
        <v>0.75609999999999999</v>
      </c>
      <c r="E699">
        <v>0.77339999999999998</v>
      </c>
      <c r="F699">
        <v>203292.81</v>
      </c>
      <c r="G699">
        <v>0</v>
      </c>
      <c r="L699" t="s">
        <v>7</v>
      </c>
      <c r="M699" t="s">
        <v>7</v>
      </c>
      <c r="N699" t="s">
        <v>7</v>
      </c>
      <c r="P699">
        <f t="shared" si="994"/>
        <v>0.20138888888888565</v>
      </c>
      <c r="Q699">
        <f t="shared" si="995"/>
        <v>40940.913124999337</v>
      </c>
      <c r="R699">
        <f t="shared" si="996"/>
        <v>634785.38944142195</v>
      </c>
      <c r="S699">
        <f t="shared" si="997"/>
        <v>6.3478538944142198</v>
      </c>
      <c r="T699">
        <f t="shared" si="998"/>
        <v>6.3478538944142194E-3</v>
      </c>
    </row>
    <row r="700" spans="1:20" x14ac:dyDescent="0.25">
      <c r="A700" s="5">
        <v>43893</v>
      </c>
      <c r="B700">
        <v>0.79120000000000001</v>
      </c>
      <c r="C700">
        <v>0.80189999999999995</v>
      </c>
      <c r="D700">
        <v>0.75509999999999999</v>
      </c>
      <c r="E700">
        <v>0.7772</v>
      </c>
      <c r="F700">
        <v>420051.6</v>
      </c>
      <c r="G700">
        <v>0</v>
      </c>
      <c r="L700" t="s">
        <v>7</v>
      </c>
      <c r="M700" t="s">
        <v>7</v>
      </c>
      <c r="N700" t="s">
        <v>7</v>
      </c>
      <c r="P700">
        <f t="shared" si="994"/>
        <v>-5.5555555555554241E-2</v>
      </c>
      <c r="Q700">
        <f t="shared" si="995"/>
        <v>-23336.199999999448</v>
      </c>
      <c r="R700">
        <f t="shared" si="996"/>
        <v>593844.47631642257</v>
      </c>
      <c r="S700">
        <f t="shared" si="997"/>
        <v>5.9384447631642256</v>
      </c>
      <c r="T700">
        <f t="shared" si="998"/>
        <v>5.9384447631642256E-3</v>
      </c>
    </row>
    <row r="701" spans="1:20" x14ac:dyDescent="0.25">
      <c r="A701" s="5">
        <v>43892</v>
      </c>
      <c r="B701">
        <v>0.71540000000000004</v>
      </c>
      <c r="C701">
        <v>0.81110000000000004</v>
      </c>
      <c r="D701">
        <v>0.71430000000000005</v>
      </c>
      <c r="E701">
        <v>0.78790000000000004</v>
      </c>
      <c r="F701">
        <v>438112.93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0.52066115702479343</v>
      </c>
      <c r="Q701">
        <f t="shared" si="995"/>
        <v>228108.38504132233</v>
      </c>
      <c r="R701">
        <f t="shared" si="996"/>
        <v>617180.67631642206</v>
      </c>
      <c r="S701">
        <f t="shared" si="997"/>
        <v>6.1718067631642208</v>
      </c>
      <c r="T701">
        <f t="shared" si="998"/>
        <v>6.1718067631642212E-3</v>
      </c>
    </row>
    <row r="702" spans="1:20" x14ac:dyDescent="0.25">
      <c r="A702" s="5">
        <v>43891</v>
      </c>
      <c r="B702">
        <v>0.73570000000000002</v>
      </c>
      <c r="C702">
        <v>0.75629999999999997</v>
      </c>
      <c r="D702">
        <v>0.70789999999999997</v>
      </c>
      <c r="E702">
        <v>0.72060000000000002</v>
      </c>
      <c r="F702">
        <v>485674.76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-0.47520661157024607</v>
      </c>
      <c r="Q702">
        <f t="shared" si="995"/>
        <v>-230795.85702479249</v>
      </c>
      <c r="R702">
        <f t="shared" si="996"/>
        <v>389072.29127509973</v>
      </c>
      <c r="S702">
        <f t="shared" si="997"/>
        <v>3.8907229127509972</v>
      </c>
      <c r="T702">
        <f t="shared" si="998"/>
        <v>3.8907229127509973E-3</v>
      </c>
    </row>
    <row r="703" spans="1:20" x14ac:dyDescent="0.25">
      <c r="A703" s="5">
        <v>43890</v>
      </c>
      <c r="B703">
        <v>0.76270000000000004</v>
      </c>
      <c r="C703">
        <v>0.77380000000000004</v>
      </c>
      <c r="D703">
        <v>0.73099999999999998</v>
      </c>
      <c r="E703">
        <v>0.73619999999999997</v>
      </c>
      <c r="F703">
        <v>200787.79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-0.75700934579439372</v>
      </c>
      <c r="Q703">
        <f t="shared" si="995"/>
        <v>-151998.23355140211</v>
      </c>
      <c r="R703">
        <f t="shared" si="996"/>
        <v>619868.1482998922</v>
      </c>
      <c r="S703">
        <f t="shared" si="997"/>
        <v>6.1986814829989223</v>
      </c>
      <c r="T703">
        <f t="shared" si="998"/>
        <v>6.1986814829989223E-3</v>
      </c>
    </row>
    <row r="704" spans="1:20" x14ac:dyDescent="0.25">
      <c r="A704" s="5">
        <v>43889</v>
      </c>
      <c r="B704">
        <v>0.78800000000000003</v>
      </c>
      <c r="C704">
        <v>0.80589999999999995</v>
      </c>
      <c r="D704">
        <v>0.71809999999999996</v>
      </c>
      <c r="E704">
        <v>0.75819999999999999</v>
      </c>
      <c r="F704">
        <v>618156.68000000005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-8.6560364464691814E-2</v>
      </c>
      <c r="Q704">
        <f t="shared" si="995"/>
        <v>-53507.867517083876</v>
      </c>
      <c r="R704">
        <f t="shared" si="996"/>
        <v>771866.38185129431</v>
      </c>
      <c r="S704">
        <f t="shared" si="997"/>
        <v>7.718663818512943</v>
      </c>
      <c r="T704">
        <f t="shared" si="998"/>
        <v>7.7186638185129429E-3</v>
      </c>
    </row>
    <row r="705" spans="1:20" x14ac:dyDescent="0.25">
      <c r="A705" s="5">
        <v>43888</v>
      </c>
      <c r="B705">
        <v>0.7873</v>
      </c>
      <c r="C705">
        <v>0.81779999999999997</v>
      </c>
      <c r="D705">
        <v>0.73850000000000005</v>
      </c>
      <c r="E705">
        <v>0.78800000000000003</v>
      </c>
      <c r="F705">
        <v>447178.7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0.24842370744010175</v>
      </c>
      <c r="Q705">
        <f t="shared" si="995"/>
        <v>111089.79054224503</v>
      </c>
      <c r="R705">
        <f t="shared" si="996"/>
        <v>825374.24936837819</v>
      </c>
      <c r="S705">
        <f t="shared" si="997"/>
        <v>8.2537424936837827</v>
      </c>
      <c r="T705">
        <f t="shared" si="998"/>
        <v>8.2537424936837828E-3</v>
      </c>
    </row>
    <row r="706" spans="1:20" x14ac:dyDescent="0.25">
      <c r="A706" s="5">
        <v>43887</v>
      </c>
      <c r="B706">
        <v>0.82879999999999998</v>
      </c>
      <c r="C706">
        <v>0.83409999999999995</v>
      </c>
      <c r="D706">
        <v>0.72</v>
      </c>
      <c r="E706">
        <v>0.7873</v>
      </c>
      <c r="F706">
        <v>734193.06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0.17966695880806377</v>
      </c>
      <c r="Q706">
        <f t="shared" si="995"/>
        <v>131910.23426818629</v>
      </c>
      <c r="R706">
        <f t="shared" si="996"/>
        <v>714284.45882613317</v>
      </c>
      <c r="S706">
        <f t="shared" si="997"/>
        <v>7.1428445882613314</v>
      </c>
      <c r="T706">
        <f t="shared" si="998"/>
        <v>7.1428445882613318E-3</v>
      </c>
    </row>
    <row r="707" spans="1:20" x14ac:dyDescent="0.25">
      <c r="A707" s="5">
        <v>43886</v>
      </c>
      <c r="B707">
        <v>0.90749999999999997</v>
      </c>
      <c r="C707">
        <v>0.90890000000000004</v>
      </c>
      <c r="D707">
        <v>0.82050000000000001</v>
      </c>
      <c r="E707">
        <v>0.83230000000000004</v>
      </c>
      <c r="F707">
        <v>580633.74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-0.73303167420814419</v>
      </c>
      <c r="Q707">
        <f t="shared" si="995"/>
        <v>-425622.92253393627</v>
      </c>
      <c r="R707">
        <f t="shared" si="996"/>
        <v>582374.2245579469</v>
      </c>
      <c r="S707">
        <f t="shared" si="997"/>
        <v>5.823742245579469</v>
      </c>
      <c r="T707">
        <f t="shared" si="998"/>
        <v>5.8237422455794689E-3</v>
      </c>
    </row>
    <row r="708" spans="1:20" x14ac:dyDescent="0.25">
      <c r="A708" s="5">
        <v>43885</v>
      </c>
      <c r="B708">
        <v>0.97829999999999995</v>
      </c>
      <c r="C708">
        <v>0.9819</v>
      </c>
      <c r="D708">
        <v>0.87560000000000004</v>
      </c>
      <c r="E708">
        <v>0.90739999999999998</v>
      </c>
      <c r="F708">
        <v>448575.74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-0.40169332079021725</v>
      </c>
      <c r="Q708">
        <f t="shared" si="995"/>
        <v>-180189.87862652907</v>
      </c>
      <c r="R708">
        <f t="shared" si="996"/>
        <v>1007997.1470918832</v>
      </c>
      <c r="S708">
        <f t="shared" si="997"/>
        <v>10.079971470918831</v>
      </c>
      <c r="T708">
        <f t="shared" si="998"/>
        <v>1.0079971470918832E-2</v>
      </c>
    </row>
    <row r="709" spans="1:20" x14ac:dyDescent="0.25">
      <c r="A709" s="5">
        <v>43884</v>
      </c>
      <c r="B709">
        <v>0.95399999999999996</v>
      </c>
      <c r="C709">
        <v>0.99119999999999997</v>
      </c>
      <c r="D709">
        <v>0.94299999999999995</v>
      </c>
      <c r="E709">
        <v>0.97629999999999995</v>
      </c>
      <c r="F709">
        <v>223539.03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0.38174273858921087</v>
      </c>
      <c r="Q709">
        <f t="shared" si="995"/>
        <v>85334.40149377576</v>
      </c>
      <c r="R709">
        <f t="shared" si="996"/>
        <v>1188187.0257184124</v>
      </c>
      <c r="S709">
        <f t="shared" si="997"/>
        <v>11.881870257184124</v>
      </c>
      <c r="T709">
        <f t="shared" si="998"/>
        <v>1.1881870257184124E-2</v>
      </c>
    </row>
    <row r="710" spans="1:20" x14ac:dyDescent="0.25">
      <c r="A710" s="5">
        <v>43883</v>
      </c>
      <c r="B710">
        <v>0.97240000000000004</v>
      </c>
      <c r="C710">
        <v>0.99280000000000002</v>
      </c>
      <c r="D710">
        <v>0.92869999999999997</v>
      </c>
      <c r="E710">
        <v>0.95399999999999996</v>
      </c>
      <c r="F710">
        <v>263046.67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-0.21060842433697438</v>
      </c>
      <c r="Q710">
        <f t="shared" ref="Q710:Q766" si="1000">F710*P710</f>
        <v>-55399.844695788066</v>
      </c>
      <c r="R710">
        <f t="shared" ref="R710:R766" si="1001">R711+Q710</f>
        <v>1102852.6242246367</v>
      </c>
      <c r="S710">
        <f t="shared" ref="S710:S766" si="1002">R710/100000</f>
        <v>11.028526242246366</v>
      </c>
      <c r="T710">
        <f t="shared" ref="T710:T766" si="1003">S710/1000</f>
        <v>1.1028526242246366E-2</v>
      </c>
    </row>
    <row r="711" spans="1:20" x14ac:dyDescent="0.25">
      <c r="A711" s="5">
        <v>43882</v>
      </c>
      <c r="B711">
        <v>0.93320000000000003</v>
      </c>
      <c r="C711">
        <v>0.99850000000000005</v>
      </c>
      <c r="D711">
        <v>0.93100000000000005</v>
      </c>
      <c r="E711">
        <v>0.97289999999999999</v>
      </c>
      <c r="F711">
        <v>447360.04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0.24148148148147955</v>
      </c>
      <c r="Q711">
        <f t="shared" si="1000"/>
        <v>108029.16521481394</v>
      </c>
      <c r="R711">
        <f t="shared" si="1001"/>
        <v>1158252.4689204248</v>
      </c>
      <c r="S711">
        <f t="shared" si="1002"/>
        <v>11.582524689204249</v>
      </c>
      <c r="T711">
        <f t="shared" si="1003"/>
        <v>1.1582524689204248E-2</v>
      </c>
    </row>
    <row r="712" spans="1:20" x14ac:dyDescent="0.25">
      <c r="A712" s="5">
        <v>43881</v>
      </c>
      <c r="B712">
        <v>0.92169999999999996</v>
      </c>
      <c r="C712">
        <v>0.95109999999999995</v>
      </c>
      <c r="D712">
        <v>0.88</v>
      </c>
      <c r="E712">
        <v>0.93320000000000003</v>
      </c>
      <c r="F712">
        <v>514579.35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0.49648382559775162</v>
      </c>
      <c r="Q712">
        <f t="shared" si="1000"/>
        <v>255480.32426160437</v>
      </c>
      <c r="R712">
        <f t="shared" si="1001"/>
        <v>1050223.3037056108</v>
      </c>
      <c r="S712">
        <f t="shared" si="1002"/>
        <v>10.502233037056108</v>
      </c>
      <c r="T712">
        <f t="shared" si="1003"/>
        <v>1.0502233037056108E-2</v>
      </c>
    </row>
    <row r="713" spans="1:20" x14ac:dyDescent="0.25">
      <c r="A713" s="5">
        <v>43880</v>
      </c>
      <c r="B713">
        <v>1.0126999999999999</v>
      </c>
      <c r="C713">
        <v>1.0287999999999999</v>
      </c>
      <c r="D713">
        <v>0.9002</v>
      </c>
      <c r="E713">
        <v>0.92769999999999997</v>
      </c>
      <c r="F713">
        <v>380076.83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-0.57231726283048234</v>
      </c>
      <c r="Q713">
        <f t="shared" si="1000"/>
        <v>-217524.53101088657</v>
      </c>
      <c r="R713">
        <f t="shared" si="1001"/>
        <v>794742.97944400646</v>
      </c>
      <c r="S713">
        <f t="shared" si="1002"/>
        <v>7.9474297944400645</v>
      </c>
      <c r="T713">
        <f t="shared" si="1003"/>
        <v>7.9474297944400647E-3</v>
      </c>
    </row>
    <row r="714" spans="1:20" x14ac:dyDescent="0.25">
      <c r="A714" s="5">
        <v>43879</v>
      </c>
      <c r="B714">
        <v>1.0052000000000001</v>
      </c>
      <c r="C714">
        <v>1.0326</v>
      </c>
      <c r="D714">
        <v>0.95660000000000001</v>
      </c>
      <c r="E714">
        <v>1.012</v>
      </c>
      <c r="F714">
        <v>590302.61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0.45789473684210624</v>
      </c>
      <c r="Q714">
        <f t="shared" si="1000"/>
        <v>270296.45826315845</v>
      </c>
      <c r="R714">
        <f t="shared" si="1001"/>
        <v>1012267.510454893</v>
      </c>
      <c r="S714">
        <f t="shared" si="1002"/>
        <v>10.12267510454893</v>
      </c>
      <c r="T714">
        <f t="shared" si="1003"/>
        <v>1.012267510454893E-2</v>
      </c>
    </row>
    <row r="715" spans="1:20" x14ac:dyDescent="0.25">
      <c r="A715" s="5">
        <v>43878</v>
      </c>
      <c r="B715">
        <v>1.0679000000000001</v>
      </c>
      <c r="C715">
        <v>1.0679000000000001</v>
      </c>
      <c r="D715">
        <v>0.90349999999999997</v>
      </c>
      <c r="E715">
        <v>0.99850000000000005</v>
      </c>
      <c r="F715">
        <v>964118.67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0.15571776155717793</v>
      </c>
      <c r="Q715">
        <f t="shared" si="1000"/>
        <v>150130.40116788351</v>
      </c>
      <c r="R715">
        <f t="shared" si="1001"/>
        <v>741971.05219173455</v>
      </c>
      <c r="S715">
        <f t="shared" si="1002"/>
        <v>7.4197105219173451</v>
      </c>
      <c r="T715">
        <f t="shared" si="1003"/>
        <v>7.4197105219173448E-3</v>
      </c>
    </row>
    <row r="716" spans="1:20" x14ac:dyDescent="0.25">
      <c r="A716" s="5">
        <v>43877</v>
      </c>
      <c r="B716">
        <v>1.1157999999999999</v>
      </c>
      <c r="C716">
        <v>1.1950000000000001</v>
      </c>
      <c r="D716">
        <v>0.94240000000000002</v>
      </c>
      <c r="E716">
        <v>1.07</v>
      </c>
      <c r="F716">
        <v>1046288.3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1.0292953285827577E-2</v>
      </c>
      <c r="Q716">
        <f t="shared" si="1000"/>
        <v>10769.39659540795</v>
      </c>
      <c r="R716">
        <f t="shared" si="1001"/>
        <v>591840.65102385101</v>
      </c>
      <c r="S716">
        <f t="shared" si="1002"/>
        <v>5.9184065102385102</v>
      </c>
      <c r="T716">
        <f t="shared" si="1003"/>
        <v>5.9184065102385105E-3</v>
      </c>
    </row>
    <row r="717" spans="1:20" x14ac:dyDescent="0.25">
      <c r="A717" s="5">
        <v>43876</v>
      </c>
      <c r="B717">
        <v>1.1312</v>
      </c>
      <c r="C717">
        <v>1.2186999999999999</v>
      </c>
      <c r="D717">
        <v>1.0349999999999999</v>
      </c>
      <c r="E717">
        <v>1.1197999999999999</v>
      </c>
      <c r="F717">
        <v>1116400.54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-7.675557974959174E-2</v>
      </c>
      <c r="Q717">
        <f t="shared" si="1000"/>
        <v>-85689.970680457292</v>
      </c>
      <c r="R717">
        <f t="shared" si="1001"/>
        <v>581071.25442844303</v>
      </c>
      <c r="S717">
        <f t="shared" si="1002"/>
        <v>5.8107125442844305</v>
      </c>
      <c r="T717">
        <f t="shared" si="1003"/>
        <v>5.8107125442844309E-3</v>
      </c>
    </row>
    <row r="718" spans="1:20" x14ac:dyDescent="0.25">
      <c r="A718" s="5">
        <v>43875</v>
      </c>
      <c r="B718">
        <v>1.0833999999999999</v>
      </c>
      <c r="C718">
        <v>1.1361000000000001</v>
      </c>
      <c r="D718">
        <v>1.0575000000000001</v>
      </c>
      <c r="E718">
        <v>1.1273</v>
      </c>
      <c r="F718">
        <v>341775.86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0.77608142493638321</v>
      </c>
      <c r="Q718">
        <f t="shared" si="1000"/>
        <v>265245.89643765782</v>
      </c>
      <c r="R718">
        <f t="shared" si="1001"/>
        <v>666761.22510890034</v>
      </c>
      <c r="S718">
        <f t="shared" si="1002"/>
        <v>6.667612251089003</v>
      </c>
      <c r="T718">
        <f t="shared" si="1003"/>
        <v>6.6676122510890027E-3</v>
      </c>
    </row>
    <row r="719" spans="1:20" x14ac:dyDescent="0.25">
      <c r="A719" s="5">
        <v>43874</v>
      </c>
      <c r="B719">
        <v>1.1333</v>
      </c>
      <c r="C719">
        <v>1.1696</v>
      </c>
      <c r="D719">
        <v>1</v>
      </c>
      <c r="E719">
        <v>1.08</v>
      </c>
      <c r="F719">
        <v>804660.07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-5.6603773584904669E-2</v>
      </c>
      <c r="Q719">
        <f t="shared" si="1000"/>
        <v>-45546.796415093537</v>
      </c>
      <c r="R719">
        <f t="shared" si="1001"/>
        <v>401515.32867124246</v>
      </c>
      <c r="S719">
        <f t="shared" si="1002"/>
        <v>4.0151532867124242</v>
      </c>
      <c r="T719">
        <f t="shared" si="1003"/>
        <v>4.0151532867124242E-3</v>
      </c>
    </row>
    <row r="720" spans="1:20" x14ac:dyDescent="0.25">
      <c r="A720" s="5">
        <v>43873</v>
      </c>
      <c r="B720">
        <v>1.0549999999999999</v>
      </c>
      <c r="C720">
        <v>1.1679999999999999</v>
      </c>
      <c r="D720">
        <v>1.0510999999999999</v>
      </c>
      <c r="E720">
        <v>1.1376999999999999</v>
      </c>
      <c r="F720">
        <v>743829.48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0.48160821214713445</v>
      </c>
      <c r="Q720">
        <f t="shared" si="1000"/>
        <v>358234.38600513269</v>
      </c>
      <c r="R720">
        <f t="shared" si="1001"/>
        <v>447062.12508633599</v>
      </c>
      <c r="S720">
        <f t="shared" si="1002"/>
        <v>4.4706212508633598</v>
      </c>
      <c r="T720">
        <f t="shared" si="1003"/>
        <v>4.4706212508633597E-3</v>
      </c>
    </row>
    <row r="721" spans="1:20" x14ac:dyDescent="0.25">
      <c r="A721" s="5">
        <v>43872</v>
      </c>
      <c r="B721">
        <v>0.99019999999999997</v>
      </c>
      <c r="C721">
        <v>1.0994999999999999</v>
      </c>
      <c r="D721">
        <v>0.96</v>
      </c>
      <c r="E721">
        <v>1.0549999999999999</v>
      </c>
      <c r="F721">
        <v>1019662.61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0.36200716845878139</v>
      </c>
      <c r="Q721">
        <f t="shared" si="1000"/>
        <v>369125.17422939069</v>
      </c>
      <c r="R721">
        <f t="shared" si="1001"/>
        <v>88827.739081203297</v>
      </c>
      <c r="S721">
        <f t="shared" si="1002"/>
        <v>0.88827739081203294</v>
      </c>
      <c r="T721">
        <f t="shared" si="1003"/>
        <v>8.8827739081203294E-4</v>
      </c>
    </row>
    <row r="722" spans="1:20" x14ac:dyDescent="0.25">
      <c r="A722" s="5">
        <v>43871</v>
      </c>
      <c r="B722">
        <v>0.96699999999999997</v>
      </c>
      <c r="C722">
        <v>1.0058</v>
      </c>
      <c r="D722">
        <v>0.91969999999999996</v>
      </c>
      <c r="E722">
        <v>0.99019999999999997</v>
      </c>
      <c r="F722">
        <v>570281.29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0.63763066202090479</v>
      </c>
      <c r="Q722">
        <f t="shared" si="1000"/>
        <v>363628.83648083563</v>
      </c>
      <c r="R722">
        <f t="shared" si="1001"/>
        <v>-280297.43514818739</v>
      </c>
      <c r="S722">
        <f t="shared" si="1002"/>
        <v>-2.8029743514818737</v>
      </c>
      <c r="T722">
        <f t="shared" si="1003"/>
        <v>-2.8029743514818737E-3</v>
      </c>
    </row>
    <row r="723" spans="1:20" x14ac:dyDescent="0.25">
      <c r="A723" s="5">
        <v>43870</v>
      </c>
      <c r="B723">
        <v>0.91259999999999997</v>
      </c>
      <c r="C723">
        <v>1.0026999999999999</v>
      </c>
      <c r="D723">
        <v>0.91259999999999997</v>
      </c>
      <c r="E723">
        <v>0.96930000000000005</v>
      </c>
      <c r="F723">
        <v>654663.53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0.25860155382908123</v>
      </c>
      <c r="Q723">
        <f t="shared" si="1000"/>
        <v>169297.00609323135</v>
      </c>
      <c r="R723">
        <f t="shared" si="1001"/>
        <v>-643926.27162902302</v>
      </c>
      <c r="S723">
        <f t="shared" si="1002"/>
        <v>-6.4392627162902301</v>
      </c>
      <c r="T723">
        <f t="shared" si="1003"/>
        <v>-6.4392627162902297E-3</v>
      </c>
    </row>
    <row r="724" spans="1:20" x14ac:dyDescent="0.25">
      <c r="A724" s="5">
        <v>43869</v>
      </c>
      <c r="B724">
        <v>0.93989999999999996</v>
      </c>
      <c r="C724">
        <v>0.94040000000000001</v>
      </c>
      <c r="D724">
        <v>0.84</v>
      </c>
      <c r="E724">
        <v>0.91259999999999997</v>
      </c>
      <c r="F724">
        <v>421488.48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0.4462151394422304</v>
      </c>
      <c r="Q724">
        <f t="shared" si="1000"/>
        <v>188074.54087649373</v>
      </c>
      <c r="R724">
        <f t="shared" si="1001"/>
        <v>-813223.2777222544</v>
      </c>
      <c r="S724">
        <f t="shared" si="1002"/>
        <v>-8.1322327772225442</v>
      </c>
      <c r="T724">
        <f t="shared" si="1003"/>
        <v>-8.1322327772225447E-3</v>
      </c>
    </row>
    <row r="725" spans="1:20" x14ac:dyDescent="0.25">
      <c r="A725" s="5">
        <v>43868</v>
      </c>
      <c r="B725">
        <v>0.97670000000000001</v>
      </c>
      <c r="C725">
        <v>1.0185999999999999</v>
      </c>
      <c r="D725">
        <v>0.93059999999999998</v>
      </c>
      <c r="E725">
        <v>0.9395</v>
      </c>
      <c r="F725">
        <v>526138.38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-0.79772727272727217</v>
      </c>
      <c r="Q725">
        <f t="shared" si="1000"/>
        <v>-419714.93495454517</v>
      </c>
      <c r="R725">
        <f t="shared" si="1001"/>
        <v>-1001297.8185987482</v>
      </c>
      <c r="S725">
        <f t="shared" si="1002"/>
        <v>-10.012978185987482</v>
      </c>
      <c r="T725">
        <f t="shared" si="1003"/>
        <v>-1.0012978185987481E-2</v>
      </c>
    </row>
    <row r="726" spans="1:20" x14ac:dyDescent="0.25">
      <c r="A726" s="5">
        <v>43867</v>
      </c>
      <c r="B726">
        <v>0.92500000000000004</v>
      </c>
      <c r="C726">
        <v>0.99539999999999995</v>
      </c>
      <c r="D726">
        <v>0.91400000000000003</v>
      </c>
      <c r="E726">
        <v>0.97489999999999999</v>
      </c>
      <c r="F726">
        <v>426430.78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0.4963144963144967</v>
      </c>
      <c r="Q726">
        <f t="shared" si="1000"/>
        <v>211643.77778869797</v>
      </c>
      <c r="R726">
        <f t="shared" si="1001"/>
        <v>-581582.88364420296</v>
      </c>
      <c r="S726">
        <f t="shared" si="1002"/>
        <v>-5.8158288364420292</v>
      </c>
      <c r="T726">
        <f t="shared" si="1003"/>
        <v>-5.8158288364420288E-3</v>
      </c>
    </row>
    <row r="727" spans="1:20" x14ac:dyDescent="0.25">
      <c r="A727" s="5">
        <v>43866</v>
      </c>
      <c r="B727">
        <v>0.87490000000000001</v>
      </c>
      <c r="C727">
        <v>0.95789999999999997</v>
      </c>
      <c r="D727">
        <v>0.85899999999999999</v>
      </c>
      <c r="E727">
        <v>0.92500000000000004</v>
      </c>
      <c r="F727">
        <v>535607.80000000005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0.33468149646107315</v>
      </c>
      <c r="Q727">
        <f t="shared" si="1000"/>
        <v>179258.02002022319</v>
      </c>
      <c r="R727">
        <f t="shared" si="1001"/>
        <v>-793226.66143290093</v>
      </c>
      <c r="S727">
        <f t="shared" si="1002"/>
        <v>-7.9322666143290093</v>
      </c>
      <c r="T727">
        <f t="shared" si="1003"/>
        <v>-7.9322666143290099E-3</v>
      </c>
    </row>
    <row r="728" spans="1:20" x14ac:dyDescent="0.25">
      <c r="A728" s="5">
        <v>43865</v>
      </c>
      <c r="B728">
        <v>0.81540000000000001</v>
      </c>
      <c r="C728">
        <v>0.9</v>
      </c>
      <c r="D728">
        <v>0.80520000000000003</v>
      </c>
      <c r="E728">
        <v>0.88129999999999997</v>
      </c>
      <c r="F728">
        <v>875750.73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0.60548523206750948</v>
      </c>
      <c r="Q728">
        <f t="shared" si="1000"/>
        <v>530254.13398734084</v>
      </c>
      <c r="R728">
        <f t="shared" si="1001"/>
        <v>-972484.68145312415</v>
      </c>
      <c r="S728">
        <f t="shared" si="1002"/>
        <v>-9.7248468145312419</v>
      </c>
      <c r="T728">
        <f t="shared" si="1003"/>
        <v>-9.7248468145312416E-3</v>
      </c>
    </row>
    <row r="729" spans="1:20" x14ac:dyDescent="0.25">
      <c r="A729" s="5">
        <v>43864</v>
      </c>
      <c r="B729">
        <v>0.82930000000000004</v>
      </c>
      <c r="C729">
        <v>0.84960000000000002</v>
      </c>
      <c r="D729">
        <v>0.79320000000000002</v>
      </c>
      <c r="E729">
        <v>0.81310000000000004</v>
      </c>
      <c r="F729">
        <v>307705.71000000002</v>
      </c>
      <c r="G729">
        <v>0</v>
      </c>
      <c r="L729" t="s">
        <v>7</v>
      </c>
      <c r="M729" t="s">
        <v>8</v>
      </c>
      <c r="N729" t="s">
        <v>8</v>
      </c>
      <c r="P729">
        <f t="shared" si="999"/>
        <v>-0.29432624113475081</v>
      </c>
      <c r="Q729">
        <f t="shared" si="1000"/>
        <v>-90565.864999999714</v>
      </c>
      <c r="R729">
        <f t="shared" si="1001"/>
        <v>-1502738.815440465</v>
      </c>
      <c r="S729">
        <f t="shared" si="1002"/>
        <v>-15.027388154404649</v>
      </c>
      <c r="T729">
        <f t="shared" si="1003"/>
        <v>-1.502738815440465E-2</v>
      </c>
    </row>
    <row r="730" spans="1:20" x14ac:dyDescent="0.25">
      <c r="A730" s="5">
        <v>43863</v>
      </c>
      <c r="B730">
        <v>0.80059999999999998</v>
      </c>
      <c r="C730">
        <v>0.86439999999999995</v>
      </c>
      <c r="D730">
        <v>0.79349999999999998</v>
      </c>
      <c r="E730">
        <v>0.82740000000000002</v>
      </c>
      <c r="F730">
        <v>394248.86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-4.3723554301831905E-2</v>
      </c>
      <c r="Q730">
        <f t="shared" si="1000"/>
        <v>-17237.961438645325</v>
      </c>
      <c r="R730">
        <f t="shared" si="1001"/>
        <v>-1412172.9504404652</v>
      </c>
      <c r="S730">
        <f t="shared" si="1002"/>
        <v>-14.121729504404652</v>
      </c>
      <c r="T730">
        <f t="shared" si="1003"/>
        <v>-1.4121729504404651E-2</v>
      </c>
    </row>
    <row r="731" spans="1:20" x14ac:dyDescent="0.25">
      <c r="A731" s="5">
        <v>43862</v>
      </c>
      <c r="B731">
        <v>0.77680000000000005</v>
      </c>
      <c r="C731">
        <v>0.81069999999999998</v>
      </c>
      <c r="D731">
        <v>0.76859999999999995</v>
      </c>
      <c r="E731">
        <v>0.80400000000000005</v>
      </c>
      <c r="F731">
        <v>491057.59</v>
      </c>
      <c r="G731">
        <v>0</v>
      </c>
      <c r="L731" t="s">
        <v>8</v>
      </c>
      <c r="M731" t="s">
        <v>8</v>
      </c>
      <c r="N731" t="s">
        <v>7</v>
      </c>
      <c r="P731">
        <f t="shared" si="999"/>
        <v>0.68171021377672569</v>
      </c>
      <c r="Q731">
        <f t="shared" si="1000"/>
        <v>334758.97465558373</v>
      </c>
      <c r="R731">
        <f t="shared" si="1001"/>
        <v>-1394934.9890018199</v>
      </c>
      <c r="S731">
        <f t="shared" si="1002"/>
        <v>-13.949349890018199</v>
      </c>
      <c r="T731">
        <f t="shared" si="1003"/>
        <v>-1.39493498900182E-2</v>
      </c>
    </row>
    <row r="732" spans="1:20" x14ac:dyDescent="0.25">
      <c r="A732" s="5">
        <v>43861</v>
      </c>
      <c r="B732">
        <v>0.74219999999999997</v>
      </c>
      <c r="C732">
        <v>0.78590000000000004</v>
      </c>
      <c r="D732">
        <v>0.71379999999999999</v>
      </c>
      <c r="E732">
        <v>0.77700000000000002</v>
      </c>
      <c r="F732">
        <v>418304.95</v>
      </c>
      <c r="G732">
        <v>0</v>
      </c>
      <c r="L732" t="s">
        <v>8</v>
      </c>
      <c r="M732" t="s">
        <v>8</v>
      </c>
      <c r="N732" t="s">
        <v>7</v>
      </c>
      <c r="P732">
        <f t="shared" si="999"/>
        <v>0.75312066574202463</v>
      </c>
      <c r="Q732">
        <f t="shared" si="1000"/>
        <v>315034.10242718435</v>
      </c>
      <c r="R732">
        <f t="shared" si="1001"/>
        <v>-1729693.9636574036</v>
      </c>
      <c r="S732">
        <f t="shared" si="1002"/>
        <v>-17.296939636574034</v>
      </c>
      <c r="T732">
        <f t="shared" si="1003"/>
        <v>-1.7296939636574034E-2</v>
      </c>
    </row>
    <row r="733" spans="1:20" x14ac:dyDescent="0.25">
      <c r="A733" s="5">
        <v>43860</v>
      </c>
      <c r="B733">
        <v>0.72209999999999996</v>
      </c>
      <c r="C733">
        <v>0.75190000000000001</v>
      </c>
      <c r="D733">
        <v>0.70040000000000002</v>
      </c>
      <c r="E733">
        <v>0.74039999999999995</v>
      </c>
      <c r="F733">
        <v>426466.76</v>
      </c>
      <c r="G733">
        <v>0</v>
      </c>
      <c r="L733" t="s">
        <v>8</v>
      </c>
      <c r="M733" t="s">
        <v>8</v>
      </c>
      <c r="N733" t="s">
        <v>7</v>
      </c>
      <c r="P733">
        <f t="shared" si="999"/>
        <v>0.5533980582524245</v>
      </c>
      <c r="Q733">
        <f t="shared" si="1000"/>
        <v>236005.87689320275</v>
      </c>
      <c r="R733">
        <f t="shared" si="1001"/>
        <v>-2044728.0660845879</v>
      </c>
      <c r="S733">
        <f t="shared" si="1002"/>
        <v>-20.44728066084588</v>
      </c>
      <c r="T733">
        <f t="shared" si="1003"/>
        <v>-2.044728066084588E-2</v>
      </c>
    </row>
    <row r="734" spans="1:20" x14ac:dyDescent="0.25">
      <c r="A734" s="5">
        <v>43859</v>
      </c>
      <c r="B734">
        <v>0.70599999999999996</v>
      </c>
      <c r="C734">
        <v>0.72860000000000003</v>
      </c>
      <c r="D734">
        <v>0.69</v>
      </c>
      <c r="E734">
        <v>0.72209999999999996</v>
      </c>
      <c r="F734">
        <v>383296.17</v>
      </c>
      <c r="G734">
        <v>0</v>
      </c>
      <c r="L734" t="s">
        <v>8</v>
      </c>
      <c r="M734" t="s">
        <v>7</v>
      </c>
      <c r="N734" t="s">
        <v>7</v>
      </c>
      <c r="P734">
        <f t="shared" si="999"/>
        <v>0.66321243523315809</v>
      </c>
      <c r="Q734">
        <f t="shared" si="1000"/>
        <v>254206.78632124254</v>
      </c>
      <c r="R734">
        <f t="shared" si="1001"/>
        <v>-2280733.9429777907</v>
      </c>
      <c r="S734">
        <f t="shared" si="1002"/>
        <v>-22.807339429777908</v>
      </c>
      <c r="T734">
        <f t="shared" si="1003"/>
        <v>-2.2807339429777907E-2</v>
      </c>
    </row>
    <row r="735" spans="1:20" x14ac:dyDescent="0.25">
      <c r="A735" s="5">
        <v>43858</v>
      </c>
      <c r="B735">
        <v>0.68769999999999998</v>
      </c>
      <c r="C735">
        <v>0.70820000000000005</v>
      </c>
      <c r="D735">
        <v>0.67749999999999999</v>
      </c>
      <c r="E735">
        <v>0.70489999999999997</v>
      </c>
      <c r="F735">
        <v>448611.87</v>
      </c>
      <c r="G735">
        <v>0</v>
      </c>
      <c r="L735" t="s">
        <v>8</v>
      </c>
      <c r="M735" t="s">
        <v>7</v>
      </c>
      <c r="N735" t="s">
        <v>7</v>
      </c>
      <c r="P735">
        <f t="shared" si="999"/>
        <v>0.78501628664494627</v>
      </c>
      <c r="Q735">
        <f t="shared" si="1000"/>
        <v>352167.62433224538</v>
      </c>
      <c r="R735">
        <f t="shared" si="1001"/>
        <v>-2534940.7292990331</v>
      </c>
      <c r="S735">
        <f t="shared" si="1002"/>
        <v>-25.349407292990332</v>
      </c>
      <c r="T735">
        <f t="shared" si="1003"/>
        <v>-2.5349407292990331E-2</v>
      </c>
    </row>
    <row r="736" spans="1:20" x14ac:dyDescent="0.25">
      <c r="A736" s="5">
        <v>43857</v>
      </c>
      <c r="B736">
        <v>0.68989999999999996</v>
      </c>
      <c r="C736">
        <v>0.7</v>
      </c>
      <c r="D736">
        <v>0.68</v>
      </c>
      <c r="E736">
        <v>0.68769999999999998</v>
      </c>
      <c r="F736">
        <v>293995.90000000002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-0.23000000000000351</v>
      </c>
      <c r="Q736">
        <f t="shared" si="1000"/>
        <v>-67619.057000001034</v>
      </c>
      <c r="R736">
        <f t="shared" si="1001"/>
        <v>-2887108.3536312785</v>
      </c>
      <c r="S736">
        <f t="shared" si="1002"/>
        <v>-28.871083536312785</v>
      </c>
      <c r="T736">
        <f t="shared" si="1003"/>
        <v>-2.8871083536312785E-2</v>
      </c>
    </row>
    <row r="737" spans="1:20" x14ac:dyDescent="0.25">
      <c r="A737" s="5">
        <v>43856</v>
      </c>
      <c r="B737">
        <v>0.66490000000000005</v>
      </c>
      <c r="C737">
        <v>0.69059999999999999</v>
      </c>
      <c r="D737">
        <v>0.6583</v>
      </c>
      <c r="E737">
        <v>0.68989999999999996</v>
      </c>
      <c r="F737">
        <v>99638.43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0.95665634674922395</v>
      </c>
      <c r="Q737">
        <f t="shared" si="1000"/>
        <v>95319.736439628265</v>
      </c>
      <c r="R737">
        <f t="shared" si="1001"/>
        <v>-2819489.2966312775</v>
      </c>
      <c r="S737">
        <f t="shared" si="1002"/>
        <v>-28.194892966312775</v>
      </c>
      <c r="T737">
        <f t="shared" si="1003"/>
        <v>-2.8194892966312776E-2</v>
      </c>
    </row>
    <row r="738" spans="1:20" x14ac:dyDescent="0.25">
      <c r="A738" s="5">
        <v>43855</v>
      </c>
      <c r="B738">
        <v>0.6613</v>
      </c>
      <c r="C738">
        <v>0.68120000000000003</v>
      </c>
      <c r="D738">
        <v>0.64600000000000002</v>
      </c>
      <c r="E738">
        <v>0.66659999999999997</v>
      </c>
      <c r="F738">
        <v>113151.05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0.17045454545454242</v>
      </c>
      <c r="Q738">
        <f t="shared" si="1000"/>
        <v>19287.110795454202</v>
      </c>
      <c r="R738">
        <f t="shared" si="1001"/>
        <v>-2914809.0330709056</v>
      </c>
      <c r="S738">
        <f t="shared" si="1002"/>
        <v>-29.148090330709056</v>
      </c>
      <c r="T738">
        <f t="shared" si="1003"/>
        <v>-2.9148090330709055E-2</v>
      </c>
    </row>
    <row r="739" spans="1:20" x14ac:dyDescent="0.25">
      <c r="A739" s="5">
        <v>43854</v>
      </c>
      <c r="B739">
        <v>0.67630000000000001</v>
      </c>
      <c r="C739">
        <v>0.68330000000000002</v>
      </c>
      <c r="D739">
        <v>0.64200000000000002</v>
      </c>
      <c r="E739">
        <v>0.66549999999999998</v>
      </c>
      <c r="F739">
        <v>217720.13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0.13801452784503454</v>
      </c>
      <c r="Q739">
        <f t="shared" si="1000"/>
        <v>30048.540944309541</v>
      </c>
      <c r="R739">
        <f t="shared" si="1001"/>
        <v>-2934096.1438663597</v>
      </c>
      <c r="S739">
        <f t="shared" si="1002"/>
        <v>-29.340961438663598</v>
      </c>
      <c r="T739">
        <f t="shared" si="1003"/>
        <v>-2.9340961438663597E-2</v>
      </c>
    </row>
    <row r="740" spans="1:20" x14ac:dyDescent="0.25">
      <c r="A740" s="5">
        <v>43853</v>
      </c>
      <c r="B740">
        <v>0.7016</v>
      </c>
      <c r="C740">
        <v>0.70989999999999998</v>
      </c>
      <c r="D740">
        <v>0.65710000000000002</v>
      </c>
      <c r="E740">
        <v>0.6714</v>
      </c>
      <c r="F740">
        <v>206062.67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-0.4583333333333337</v>
      </c>
      <c r="Q740">
        <f t="shared" si="1000"/>
        <v>-94445.390416666749</v>
      </c>
      <c r="R740">
        <f t="shared" si="1001"/>
        <v>-2964144.6848106692</v>
      </c>
      <c r="S740">
        <f t="shared" si="1002"/>
        <v>-29.641446848106693</v>
      </c>
      <c r="T740">
        <f t="shared" si="1003"/>
        <v>-2.9641446848106691E-2</v>
      </c>
    </row>
    <row r="741" spans="1:20" x14ac:dyDescent="0.25">
      <c r="A741" s="5">
        <v>43852</v>
      </c>
      <c r="B741">
        <v>0.69389999999999996</v>
      </c>
      <c r="C741">
        <v>0.71240000000000003</v>
      </c>
      <c r="D741">
        <v>0.68440000000000001</v>
      </c>
      <c r="E741">
        <v>0.70099999999999996</v>
      </c>
      <c r="F741">
        <v>163144.69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0.18571428571428095</v>
      </c>
      <c r="Q741">
        <f t="shared" si="1000"/>
        <v>30298.299571427793</v>
      </c>
      <c r="R741">
        <f t="shared" si="1001"/>
        <v>-2869699.2943940023</v>
      </c>
      <c r="S741">
        <f t="shared" si="1002"/>
        <v>-28.696992943940025</v>
      </c>
      <c r="T741">
        <f t="shared" si="1003"/>
        <v>-2.8696992943940024E-2</v>
      </c>
    </row>
    <row r="742" spans="1:20" x14ac:dyDescent="0.25">
      <c r="A742" s="5">
        <v>43851</v>
      </c>
      <c r="B742">
        <v>0.67730000000000001</v>
      </c>
      <c r="C742">
        <v>0.71870000000000001</v>
      </c>
      <c r="D742">
        <v>0.66900000000000004</v>
      </c>
      <c r="E742">
        <v>0.6966</v>
      </c>
      <c r="F742">
        <v>280095.75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0.11066398390341958</v>
      </c>
      <c r="Q742">
        <f t="shared" si="1000"/>
        <v>30996.511569416234</v>
      </c>
      <c r="R742">
        <f t="shared" si="1001"/>
        <v>-2899997.5939654303</v>
      </c>
      <c r="S742">
        <f t="shared" si="1002"/>
        <v>-28.999975939654302</v>
      </c>
      <c r="T742">
        <f t="shared" si="1003"/>
        <v>-2.8999975939654303E-2</v>
      </c>
    </row>
    <row r="743" spans="1:20" x14ac:dyDescent="0.25">
      <c r="A743" s="5">
        <v>43850</v>
      </c>
      <c r="B743">
        <v>0.68410000000000004</v>
      </c>
      <c r="C743">
        <v>0.68869999999999998</v>
      </c>
      <c r="D743">
        <v>0.65549999999999997</v>
      </c>
      <c r="E743">
        <v>0.67730000000000001</v>
      </c>
      <c r="F743">
        <v>177104.17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0.313253012048195</v>
      </c>
      <c r="Q743">
        <f t="shared" si="1000"/>
        <v>55478.414698795583</v>
      </c>
      <c r="R743">
        <f t="shared" si="1001"/>
        <v>-2930994.1055348464</v>
      </c>
      <c r="S743">
        <f t="shared" si="1002"/>
        <v>-29.309941055348464</v>
      </c>
      <c r="T743">
        <f t="shared" si="1003"/>
        <v>-2.9309941055348464E-2</v>
      </c>
    </row>
    <row r="744" spans="1:20" x14ac:dyDescent="0.25">
      <c r="A744" s="5">
        <v>43849</v>
      </c>
      <c r="B744">
        <v>0.73399999999999999</v>
      </c>
      <c r="C744">
        <v>0.73399999999999999</v>
      </c>
      <c r="D744">
        <v>0.66100000000000003</v>
      </c>
      <c r="E744">
        <v>0.67979999999999996</v>
      </c>
      <c r="F744">
        <v>504382.13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-0.48493150684931674</v>
      </c>
      <c r="Q744">
        <f t="shared" si="1000"/>
        <v>-244590.78632876798</v>
      </c>
      <c r="R744">
        <f t="shared" si="1001"/>
        <v>-2986472.5202336418</v>
      </c>
      <c r="S744">
        <f t="shared" si="1002"/>
        <v>-29.86472520233642</v>
      </c>
      <c r="T744">
        <f t="shared" si="1003"/>
        <v>-2.986472520233642E-2</v>
      </c>
    </row>
    <row r="745" spans="1:20" x14ac:dyDescent="0.25">
      <c r="A745" s="5">
        <v>43848</v>
      </c>
      <c r="B745">
        <v>0.73870000000000002</v>
      </c>
      <c r="C745">
        <v>0.75560000000000005</v>
      </c>
      <c r="D745">
        <v>0.70250000000000001</v>
      </c>
      <c r="E745">
        <v>0.73809999999999998</v>
      </c>
      <c r="F745">
        <v>335879.22</v>
      </c>
      <c r="G745">
        <v>0</v>
      </c>
      <c r="L745" t="s">
        <v>7</v>
      </c>
      <c r="M745" t="s">
        <v>8</v>
      </c>
      <c r="N745" t="s">
        <v>7</v>
      </c>
      <c r="P745">
        <f t="shared" si="999"/>
        <v>0.34086629001883018</v>
      </c>
      <c r="Q745">
        <f t="shared" si="1000"/>
        <v>114489.90361581846</v>
      </c>
      <c r="R745">
        <f t="shared" si="1001"/>
        <v>-2741881.733904874</v>
      </c>
      <c r="S745">
        <f t="shared" si="1002"/>
        <v>-27.41881733904874</v>
      </c>
      <c r="T745">
        <f t="shared" si="1003"/>
        <v>-2.7418817339048739E-2</v>
      </c>
    </row>
    <row r="746" spans="1:20" x14ac:dyDescent="0.25">
      <c r="A746" s="5">
        <v>43847</v>
      </c>
      <c r="B746">
        <v>0.69079999999999997</v>
      </c>
      <c r="C746">
        <v>0.77300000000000002</v>
      </c>
      <c r="D746">
        <v>0.68389999999999995</v>
      </c>
      <c r="E746">
        <v>0.73870000000000002</v>
      </c>
      <c r="F746">
        <v>715195.59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0.23007856341189739</v>
      </c>
      <c r="Q746">
        <f t="shared" si="1000"/>
        <v>164551.17390572437</v>
      </c>
      <c r="R746">
        <f t="shared" si="1001"/>
        <v>-2856371.6375206923</v>
      </c>
      <c r="S746">
        <f t="shared" si="1002"/>
        <v>-28.563716375206923</v>
      </c>
      <c r="T746">
        <f t="shared" si="1003"/>
        <v>-2.8563716375206924E-2</v>
      </c>
    </row>
    <row r="747" spans="1:20" x14ac:dyDescent="0.25">
      <c r="A747" s="5">
        <v>43846</v>
      </c>
      <c r="B747">
        <v>0.69940000000000002</v>
      </c>
      <c r="C747">
        <v>0.70579999999999998</v>
      </c>
      <c r="D747">
        <v>0.65459999999999996</v>
      </c>
      <c r="E747">
        <v>0.69079999999999997</v>
      </c>
      <c r="F747">
        <v>360253.92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0.41406249999999972</v>
      </c>
      <c r="Q747">
        <f t="shared" si="1000"/>
        <v>149167.6387499999</v>
      </c>
      <c r="R747">
        <f t="shared" si="1001"/>
        <v>-3020922.8114264165</v>
      </c>
      <c r="S747">
        <f t="shared" si="1002"/>
        <v>-30.209228114264164</v>
      </c>
      <c r="T747">
        <f t="shared" si="1003"/>
        <v>-3.0209228114264165E-2</v>
      </c>
    </row>
    <row r="748" spans="1:20" x14ac:dyDescent="0.25">
      <c r="A748" s="5">
        <v>43845</v>
      </c>
      <c r="B748">
        <v>0.66439999999999999</v>
      </c>
      <c r="C748">
        <v>0.74399999999999999</v>
      </c>
      <c r="D748">
        <v>0.65390000000000004</v>
      </c>
      <c r="E748">
        <v>0.69799999999999995</v>
      </c>
      <c r="F748">
        <v>916546.04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-2.1087680355162317E-2</v>
      </c>
      <c r="Q748">
        <f t="shared" si="1000"/>
        <v>-19327.829922309815</v>
      </c>
      <c r="R748">
        <f t="shared" si="1001"/>
        <v>-3170090.4501764164</v>
      </c>
      <c r="S748">
        <f t="shared" si="1002"/>
        <v>-31.700904501764164</v>
      </c>
      <c r="T748">
        <f t="shared" si="1003"/>
        <v>-3.1700904501764167E-2</v>
      </c>
    </row>
    <row r="749" spans="1:20" x14ac:dyDescent="0.25">
      <c r="A749" s="5">
        <v>43844</v>
      </c>
      <c r="B749">
        <v>0.62060000000000004</v>
      </c>
      <c r="C749">
        <v>0.67710000000000004</v>
      </c>
      <c r="D749">
        <v>0.61939999999999995</v>
      </c>
      <c r="E749">
        <v>0.6643</v>
      </c>
      <c r="F749">
        <v>650462.86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0.55632582322356972</v>
      </c>
      <c r="Q749">
        <f t="shared" si="1000"/>
        <v>361869.28606585757</v>
      </c>
      <c r="R749">
        <f t="shared" si="1001"/>
        <v>-3150762.6202541068</v>
      </c>
      <c r="S749">
        <f t="shared" si="1002"/>
        <v>-31.507626202541068</v>
      </c>
      <c r="T749">
        <f t="shared" si="1003"/>
        <v>-3.1507626202541071E-2</v>
      </c>
    </row>
    <row r="750" spans="1:20" x14ac:dyDescent="0.25">
      <c r="A750" s="5">
        <v>43843</v>
      </c>
      <c r="B750">
        <v>0.63290000000000002</v>
      </c>
      <c r="C750">
        <v>0.63300000000000001</v>
      </c>
      <c r="D750">
        <v>0.61709999999999998</v>
      </c>
      <c r="E750">
        <v>0.61960000000000004</v>
      </c>
      <c r="F750">
        <v>160305.54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-0.68553459119496174</v>
      </c>
      <c r="Q750">
        <f t="shared" si="1000"/>
        <v>-109894.99283018759</v>
      </c>
      <c r="R750">
        <f t="shared" si="1001"/>
        <v>-3512631.9063199642</v>
      </c>
      <c r="S750">
        <f t="shared" si="1002"/>
        <v>-35.126319063199645</v>
      </c>
      <c r="T750">
        <f t="shared" si="1003"/>
        <v>-3.5126319063199643E-2</v>
      </c>
    </row>
    <row r="751" spans="1:20" x14ac:dyDescent="0.25">
      <c r="A751" s="5">
        <v>43842</v>
      </c>
      <c r="B751">
        <v>0.62960000000000005</v>
      </c>
      <c r="C751">
        <v>0.64049999999999996</v>
      </c>
      <c r="D751">
        <v>0.62190000000000001</v>
      </c>
      <c r="E751">
        <v>0.63290000000000002</v>
      </c>
      <c r="F751">
        <v>116029.05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0.18279569892473541</v>
      </c>
      <c r="Q751">
        <f t="shared" si="1000"/>
        <v>21209.611290323071</v>
      </c>
      <c r="R751">
        <f t="shared" si="1001"/>
        <v>-3402736.9134897767</v>
      </c>
      <c r="S751">
        <f t="shared" si="1002"/>
        <v>-34.027369134897768</v>
      </c>
      <c r="T751">
        <f t="shared" si="1003"/>
        <v>-3.4027369134897768E-2</v>
      </c>
    </row>
    <row r="752" spans="1:20" x14ac:dyDescent="0.25">
      <c r="A752" s="5">
        <v>43841</v>
      </c>
      <c r="B752">
        <v>0.62009999999999998</v>
      </c>
      <c r="C752">
        <v>0.65769999999999995</v>
      </c>
      <c r="D752">
        <v>0.61619999999999997</v>
      </c>
      <c r="E752">
        <v>0.62939999999999996</v>
      </c>
      <c r="F752">
        <v>432376.05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-0.36385542168674723</v>
      </c>
      <c r="Q752">
        <f t="shared" si="1000"/>
        <v>-157322.37000000011</v>
      </c>
      <c r="R752">
        <f t="shared" si="1001"/>
        <v>-3423946.5247800997</v>
      </c>
      <c r="S752">
        <f t="shared" si="1002"/>
        <v>-34.239465247801</v>
      </c>
      <c r="T752">
        <f t="shared" si="1003"/>
        <v>-3.4239465247800999E-2</v>
      </c>
    </row>
    <row r="753" spans="1:20" x14ac:dyDescent="0.25">
      <c r="A753" s="5">
        <v>43840</v>
      </c>
      <c r="B753">
        <v>0.61409999999999998</v>
      </c>
      <c r="C753">
        <v>0.62380000000000002</v>
      </c>
      <c r="D753">
        <v>0.59340000000000004</v>
      </c>
      <c r="E753">
        <v>0.62260000000000004</v>
      </c>
      <c r="F753">
        <v>296192.96000000002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0.92105263157894868</v>
      </c>
      <c r="Q753">
        <f t="shared" si="1000"/>
        <v>272809.30526315828</v>
      </c>
      <c r="R753">
        <f t="shared" si="1001"/>
        <v>-3266624.1547800996</v>
      </c>
      <c r="S753">
        <f t="shared" si="1002"/>
        <v>-32.666241547800993</v>
      </c>
      <c r="T753">
        <f t="shared" si="1003"/>
        <v>-3.2666241547800991E-2</v>
      </c>
    </row>
    <row r="754" spans="1:20" x14ac:dyDescent="0.25">
      <c r="A754" s="5">
        <v>43839</v>
      </c>
      <c r="B754">
        <v>0.626</v>
      </c>
      <c r="C754">
        <v>0.63270000000000004</v>
      </c>
      <c r="D754">
        <v>0.61099999999999999</v>
      </c>
      <c r="E754">
        <v>0.61770000000000003</v>
      </c>
      <c r="F754">
        <v>370501.65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-0.38248847926267071</v>
      </c>
      <c r="Q754">
        <f t="shared" si="1000"/>
        <v>-141712.6126728103</v>
      </c>
      <c r="R754">
        <f t="shared" si="1001"/>
        <v>-3539433.460043258</v>
      </c>
      <c r="S754">
        <f t="shared" si="1002"/>
        <v>-35.394334600432579</v>
      </c>
      <c r="T754">
        <f t="shared" si="1003"/>
        <v>-3.5394334600432578E-2</v>
      </c>
    </row>
    <row r="755" spans="1:20" x14ac:dyDescent="0.25">
      <c r="A755" s="5">
        <v>43838</v>
      </c>
      <c r="B755">
        <v>0.65200000000000002</v>
      </c>
      <c r="C755">
        <v>0.68879999999999997</v>
      </c>
      <c r="D755">
        <v>0.61539999999999995</v>
      </c>
      <c r="E755">
        <v>0.63200000000000001</v>
      </c>
      <c r="F755">
        <v>512149.57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-0.54768392370572061</v>
      </c>
      <c r="Q755">
        <f t="shared" si="1000"/>
        <v>-280496.08602179762</v>
      </c>
      <c r="R755">
        <f t="shared" si="1001"/>
        <v>-3397720.8473704476</v>
      </c>
      <c r="S755">
        <f t="shared" si="1002"/>
        <v>-33.977208473704479</v>
      </c>
      <c r="T755">
        <f t="shared" si="1003"/>
        <v>-3.397720847370448E-2</v>
      </c>
    </row>
    <row r="756" spans="1:20" x14ac:dyDescent="0.25">
      <c r="A756" s="5">
        <v>43837</v>
      </c>
      <c r="B756">
        <v>0.69169999999999998</v>
      </c>
      <c r="C756">
        <v>0.69440000000000002</v>
      </c>
      <c r="D756">
        <v>0.64129999999999998</v>
      </c>
      <c r="E756">
        <v>0.65159999999999996</v>
      </c>
      <c r="F756">
        <v>581206.96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-0.61205273069679966</v>
      </c>
      <c r="Q756">
        <f t="shared" si="1000"/>
        <v>-355729.30696798558</v>
      </c>
      <c r="R756">
        <f t="shared" si="1001"/>
        <v>-3117224.7613486499</v>
      </c>
      <c r="S756">
        <f t="shared" si="1002"/>
        <v>-31.172247613486498</v>
      </c>
      <c r="T756">
        <f t="shared" si="1003"/>
        <v>-3.1172247613486498E-2</v>
      </c>
    </row>
    <row r="757" spans="1:20" x14ac:dyDescent="0.25">
      <c r="A757" s="5">
        <v>43836</v>
      </c>
      <c r="B757">
        <v>0.6583</v>
      </c>
      <c r="C757">
        <v>0.70120000000000005</v>
      </c>
      <c r="D757">
        <v>0.6583</v>
      </c>
      <c r="E757">
        <v>0.68859999999999999</v>
      </c>
      <c r="F757">
        <v>308539.59999999998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0.41258741258741066</v>
      </c>
      <c r="Q757">
        <f t="shared" si="1000"/>
        <v>127299.55524475464</v>
      </c>
      <c r="R757">
        <f t="shared" si="1001"/>
        <v>-2761495.454380664</v>
      </c>
      <c r="S757">
        <f t="shared" si="1002"/>
        <v>-27.61495454380664</v>
      </c>
      <c r="T757">
        <f t="shared" si="1003"/>
        <v>-2.7614954543806639E-2</v>
      </c>
    </row>
    <row r="758" spans="1:20" x14ac:dyDescent="0.25">
      <c r="A758" s="5">
        <v>43835</v>
      </c>
      <c r="B758">
        <v>0.65769999999999995</v>
      </c>
      <c r="C758">
        <v>0.67759999999999998</v>
      </c>
      <c r="D758">
        <v>0.65359999999999996</v>
      </c>
      <c r="E758">
        <v>0.66039999999999999</v>
      </c>
      <c r="F758">
        <v>121519.19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-0.43333333333333146</v>
      </c>
      <c r="Q758">
        <f t="shared" si="1000"/>
        <v>-52658.315666666444</v>
      </c>
      <c r="R758">
        <f t="shared" si="1001"/>
        <v>-2888795.0096254186</v>
      </c>
      <c r="S758">
        <f t="shared" si="1002"/>
        <v>-28.887950096254187</v>
      </c>
      <c r="T758">
        <f t="shared" si="1003"/>
        <v>-2.8887950096254188E-2</v>
      </c>
    </row>
    <row r="759" spans="1:20" x14ac:dyDescent="0.25">
      <c r="A759" s="5">
        <v>43834</v>
      </c>
      <c r="B759">
        <v>0.66290000000000004</v>
      </c>
      <c r="C759">
        <v>0.66320000000000001</v>
      </c>
      <c r="D759">
        <v>0.64580000000000004</v>
      </c>
      <c r="E759">
        <v>0.65600000000000003</v>
      </c>
      <c r="F759">
        <v>55991.11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0.1724137931034487</v>
      </c>
      <c r="Q759">
        <f t="shared" si="1000"/>
        <v>9653.6396551724374</v>
      </c>
      <c r="R759">
        <f t="shared" si="1001"/>
        <v>-2836136.6939587523</v>
      </c>
      <c r="S759">
        <f t="shared" si="1002"/>
        <v>-28.361366939587523</v>
      </c>
      <c r="T759">
        <f t="shared" si="1003"/>
        <v>-2.8361366939587521E-2</v>
      </c>
    </row>
    <row r="760" spans="1:20" x14ac:dyDescent="0.25">
      <c r="A760" s="5">
        <v>43833</v>
      </c>
      <c r="B760">
        <v>0.62409999999999999</v>
      </c>
      <c r="C760">
        <v>0.66710000000000003</v>
      </c>
      <c r="D760">
        <v>0.62139999999999995</v>
      </c>
      <c r="E760">
        <v>0.66169999999999995</v>
      </c>
      <c r="F760">
        <v>110818.55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0.76367614879649615</v>
      </c>
      <c r="Q760">
        <f t="shared" si="1000"/>
        <v>84629.483479211951</v>
      </c>
      <c r="R760">
        <f t="shared" si="1001"/>
        <v>-2845790.3336139247</v>
      </c>
      <c r="S760">
        <f t="shared" si="1002"/>
        <v>-28.457903336139246</v>
      </c>
      <c r="T760">
        <f t="shared" si="1003"/>
        <v>-2.8457903336139245E-2</v>
      </c>
    </row>
    <row r="761" spans="1:20" x14ac:dyDescent="0.25">
      <c r="A761" s="5">
        <v>43832</v>
      </c>
      <c r="B761">
        <v>0.67269999999999996</v>
      </c>
      <c r="C761">
        <v>0.67569999999999997</v>
      </c>
      <c r="D761">
        <v>0.62280000000000002</v>
      </c>
      <c r="E761">
        <v>0.62680000000000002</v>
      </c>
      <c r="F761">
        <v>118117.15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-0.84877126654064239</v>
      </c>
      <c r="Q761">
        <f t="shared" si="1000"/>
        <v>-100254.44300567103</v>
      </c>
      <c r="R761">
        <f t="shared" si="1001"/>
        <v>-2930419.8170931367</v>
      </c>
      <c r="S761">
        <f t="shared" si="1002"/>
        <v>-29.304198170931368</v>
      </c>
      <c r="T761">
        <f t="shared" si="1003"/>
        <v>-2.930419817093137E-2</v>
      </c>
    </row>
    <row r="762" spans="1:20" x14ac:dyDescent="0.25">
      <c r="A762" s="5">
        <v>43831</v>
      </c>
      <c r="B762">
        <v>0.65080000000000005</v>
      </c>
      <c r="C762">
        <v>0.68</v>
      </c>
      <c r="D762">
        <v>0.64649999999999996</v>
      </c>
      <c r="E762">
        <v>0.67279999999999995</v>
      </c>
      <c r="F762">
        <v>111300.13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0.57014925373133873</v>
      </c>
      <c r="Q762">
        <f t="shared" si="1000"/>
        <v>63457.686059700987</v>
      </c>
      <c r="R762">
        <f t="shared" si="1001"/>
        <v>-2830165.3740874655</v>
      </c>
      <c r="S762">
        <f t="shared" si="1002"/>
        <v>-28.301653740874656</v>
      </c>
      <c r="T762">
        <f t="shared" si="1003"/>
        <v>-2.8301653740874656E-2</v>
      </c>
    </row>
    <row r="763" spans="1:20" x14ac:dyDescent="0.25">
      <c r="A763" s="5">
        <v>43830</v>
      </c>
      <c r="B763">
        <v>0.67669999999999997</v>
      </c>
      <c r="C763">
        <v>0.68469999999999998</v>
      </c>
      <c r="D763">
        <v>0.64500000000000002</v>
      </c>
      <c r="E763">
        <v>0.65359999999999996</v>
      </c>
      <c r="F763">
        <v>163348.79999999999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-0.56675062972292445</v>
      </c>
      <c r="Q763">
        <f t="shared" si="1000"/>
        <v>-92578.035264484031</v>
      </c>
      <c r="R763">
        <f t="shared" si="1001"/>
        <v>-2893623.0601471663</v>
      </c>
      <c r="S763">
        <f t="shared" si="1002"/>
        <v>-28.936230601471664</v>
      </c>
      <c r="T763">
        <f t="shared" si="1003"/>
        <v>-2.8936230601471664E-2</v>
      </c>
    </row>
    <row r="764" spans="1:20" x14ac:dyDescent="0.25">
      <c r="A764" s="5">
        <v>43829</v>
      </c>
      <c r="B764">
        <v>0.66</v>
      </c>
      <c r="C764">
        <v>0.68689999999999996</v>
      </c>
      <c r="D764">
        <v>0.65549999999999997</v>
      </c>
      <c r="E764">
        <v>0.67879999999999996</v>
      </c>
      <c r="F764">
        <v>214363.72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0.48407643312101911</v>
      </c>
      <c r="Q764">
        <f t="shared" si="1000"/>
        <v>103768.42496815287</v>
      </c>
      <c r="R764">
        <f t="shared" si="1001"/>
        <v>-2801045.0248826821</v>
      </c>
      <c r="S764">
        <f t="shared" si="1002"/>
        <v>-28.010450248826821</v>
      </c>
      <c r="T764">
        <f t="shared" si="1003"/>
        <v>-2.8010450248826819E-2</v>
      </c>
    </row>
    <row r="765" spans="1:20" x14ac:dyDescent="0.25">
      <c r="A765" s="5">
        <v>43828</v>
      </c>
      <c r="B765">
        <v>0.65010000000000001</v>
      </c>
      <c r="C765">
        <v>0.67569999999999997</v>
      </c>
      <c r="D765">
        <v>0.64429999999999998</v>
      </c>
      <c r="E765">
        <v>0.66</v>
      </c>
      <c r="F765">
        <v>92808.65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3.5357421166406277E-15</v>
      </c>
      <c r="Q765">
        <f t="shared" si="1000"/>
        <v>3.2814745259355917E-10</v>
      </c>
      <c r="R765">
        <f t="shared" si="1001"/>
        <v>-2904813.4498508349</v>
      </c>
      <c r="S765">
        <f t="shared" si="1002"/>
        <v>-29.04813449850835</v>
      </c>
      <c r="T765">
        <f t="shared" si="1003"/>
        <v>-2.9048134498508349E-2</v>
      </c>
    </row>
    <row r="766" spans="1:20" x14ac:dyDescent="0.25">
      <c r="A766" s="5">
        <v>43827</v>
      </c>
      <c r="B766">
        <v>0.64180000000000004</v>
      </c>
      <c r="C766">
        <v>0.6542</v>
      </c>
      <c r="D766">
        <v>0.63719999999999999</v>
      </c>
      <c r="E766">
        <v>0.65059999999999996</v>
      </c>
      <c r="F766">
        <v>60962.58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0.57647058823528885</v>
      </c>
      <c r="Q766">
        <f t="shared" si="1000"/>
        <v>35143.134352940855</v>
      </c>
      <c r="R766">
        <f t="shared" si="1001"/>
        <v>-2904813.4498508354</v>
      </c>
      <c r="S766">
        <f t="shared" si="1002"/>
        <v>-29.048134498508354</v>
      </c>
      <c r="T766">
        <f t="shared" si="1003"/>
        <v>-2.9048134498508352E-2</v>
      </c>
    </row>
    <row r="767" spans="1:20" x14ac:dyDescent="0.25">
      <c r="A767" s="5">
        <v>43826</v>
      </c>
      <c r="B767">
        <v>0.65300000000000002</v>
      </c>
      <c r="C767">
        <v>0.65510000000000002</v>
      </c>
      <c r="D767">
        <v>0.6381</v>
      </c>
      <c r="E767">
        <v>0.64549999999999996</v>
      </c>
      <c r="F767">
        <v>64132.51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-0.12941176470588758</v>
      </c>
      <c r="Q767">
        <f t="shared" ref="Q767:Q830" si="1005">F767*P767</f>
        <v>-8299.501294117983</v>
      </c>
      <c r="R767">
        <f t="shared" ref="R767:R830" si="1006">R768+Q767</f>
        <v>-2939956.5842037764</v>
      </c>
      <c r="S767">
        <f t="shared" ref="S767:S830" si="1007">R767/100000</f>
        <v>-29.399565842037763</v>
      </c>
      <c r="T767">
        <f t="shared" ref="T767:T830" si="1008">S767/1000</f>
        <v>-2.9399565842037761E-2</v>
      </c>
    </row>
    <row r="768" spans="1:20" x14ac:dyDescent="0.25">
      <c r="A768" s="5">
        <v>43825</v>
      </c>
      <c r="B768">
        <v>0.6482</v>
      </c>
      <c r="C768">
        <v>0.66810000000000003</v>
      </c>
      <c r="D768">
        <v>0.63739999999999997</v>
      </c>
      <c r="E768">
        <v>0.65300000000000002</v>
      </c>
      <c r="F768">
        <v>63984.88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1.6286644951141856E-2</v>
      </c>
      <c r="Q768">
        <f t="shared" si="1005"/>
        <v>1042.0990228014175</v>
      </c>
      <c r="R768">
        <f t="shared" si="1006"/>
        <v>-2931657.0829096586</v>
      </c>
      <c r="S768">
        <f t="shared" si="1007"/>
        <v>-29.316570829096584</v>
      </c>
      <c r="T768">
        <f t="shared" si="1008"/>
        <v>-2.9316570829096583E-2</v>
      </c>
    </row>
    <row r="769" spans="1:20" x14ac:dyDescent="0.25">
      <c r="A769" s="5">
        <v>43824</v>
      </c>
      <c r="B769">
        <v>0.6512</v>
      </c>
      <c r="C769">
        <v>0.65769999999999995</v>
      </c>
      <c r="D769">
        <v>0.63480000000000003</v>
      </c>
      <c r="E769">
        <v>0.64810000000000001</v>
      </c>
      <c r="F769">
        <v>72258.429999999993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0.16157205240174888</v>
      </c>
      <c r="Q769">
        <f t="shared" si="1005"/>
        <v>11674.942838428102</v>
      </c>
      <c r="R769">
        <f t="shared" si="1006"/>
        <v>-2932699.1819324601</v>
      </c>
      <c r="S769">
        <f t="shared" si="1007"/>
        <v>-29.326991819324601</v>
      </c>
      <c r="T769">
        <f t="shared" si="1008"/>
        <v>-2.9326991819324601E-2</v>
      </c>
    </row>
    <row r="770" spans="1:20" x14ac:dyDescent="0.25">
      <c r="A770" s="5">
        <v>43823</v>
      </c>
      <c r="B770">
        <v>0.66320000000000001</v>
      </c>
      <c r="C770">
        <v>0.67530000000000001</v>
      </c>
      <c r="D770">
        <v>0.64890000000000003</v>
      </c>
      <c r="E770">
        <v>0.6532</v>
      </c>
      <c r="F770">
        <v>85184.35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-0.6742424242424262</v>
      </c>
      <c r="Q770">
        <f t="shared" si="1005"/>
        <v>-57434.902651515324</v>
      </c>
      <c r="R770">
        <f t="shared" si="1006"/>
        <v>-2944374.1247708881</v>
      </c>
      <c r="S770">
        <f t="shared" si="1007"/>
        <v>-29.443741247708882</v>
      </c>
      <c r="T770">
        <f t="shared" si="1008"/>
        <v>-2.9443741247708884E-2</v>
      </c>
    </row>
    <row r="771" spans="1:20" x14ac:dyDescent="0.25">
      <c r="A771" s="5">
        <v>43822</v>
      </c>
      <c r="B771">
        <v>0.68049999999999999</v>
      </c>
      <c r="C771">
        <v>0.71030000000000004</v>
      </c>
      <c r="D771">
        <v>0.65410000000000001</v>
      </c>
      <c r="E771">
        <v>0.66210000000000002</v>
      </c>
      <c r="F771">
        <v>108603.71</v>
      </c>
      <c r="G771">
        <v>0</v>
      </c>
      <c r="L771" t="s">
        <v>8</v>
      </c>
      <c r="M771" t="s">
        <v>7</v>
      </c>
      <c r="N771" t="s">
        <v>7</v>
      </c>
      <c r="P771">
        <f t="shared" si="1004"/>
        <v>-0.71530249110320276</v>
      </c>
      <c r="Q771">
        <f t="shared" si="1005"/>
        <v>-77684.504306049814</v>
      </c>
      <c r="R771">
        <f t="shared" si="1006"/>
        <v>-2886939.2221193728</v>
      </c>
      <c r="S771">
        <f t="shared" si="1007"/>
        <v>-28.869392221193728</v>
      </c>
      <c r="T771">
        <f t="shared" si="1008"/>
        <v>-2.8869392221193727E-2</v>
      </c>
    </row>
    <row r="772" spans="1:20" x14ac:dyDescent="0.25">
      <c r="A772" s="5">
        <v>43821</v>
      </c>
      <c r="B772">
        <v>0.66669999999999996</v>
      </c>
      <c r="C772">
        <v>0.69159999999999999</v>
      </c>
      <c r="D772">
        <v>0.6542</v>
      </c>
      <c r="E772">
        <v>0.68059999999999998</v>
      </c>
      <c r="F772">
        <v>139538.25</v>
      </c>
      <c r="G772">
        <v>0</v>
      </c>
      <c r="L772" t="s">
        <v>7</v>
      </c>
      <c r="M772" t="s">
        <v>7</v>
      </c>
      <c r="N772" t="s">
        <v>7</v>
      </c>
      <c r="P772">
        <f t="shared" si="1004"/>
        <v>0.41176470588235226</v>
      </c>
      <c r="Q772">
        <f t="shared" si="1005"/>
        <v>57456.926470588136</v>
      </c>
      <c r="R772">
        <f t="shared" si="1006"/>
        <v>-2809254.7178133228</v>
      </c>
      <c r="S772">
        <f t="shared" si="1007"/>
        <v>-28.092547178133227</v>
      </c>
      <c r="T772">
        <f t="shared" si="1008"/>
        <v>-2.8092547178133226E-2</v>
      </c>
    </row>
    <row r="773" spans="1:20" x14ac:dyDescent="0.25">
      <c r="A773" s="5">
        <v>43820</v>
      </c>
      <c r="B773">
        <v>0.70340000000000003</v>
      </c>
      <c r="C773">
        <v>0.70940000000000003</v>
      </c>
      <c r="D773">
        <v>0.66320000000000001</v>
      </c>
      <c r="E773">
        <v>0.67079999999999995</v>
      </c>
      <c r="F773">
        <v>141593.32999999999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-0.6709956709956737</v>
      </c>
      <c r="Q773">
        <f t="shared" si="1005"/>
        <v>-95008.511471861842</v>
      </c>
      <c r="R773">
        <f t="shared" si="1006"/>
        <v>-2866711.6442839107</v>
      </c>
      <c r="S773">
        <f t="shared" si="1007"/>
        <v>-28.667116442839106</v>
      </c>
      <c r="T773">
        <f t="shared" si="1008"/>
        <v>-2.8667116442839105E-2</v>
      </c>
    </row>
    <row r="774" spans="1:20" x14ac:dyDescent="0.25">
      <c r="A774" s="5">
        <v>43819</v>
      </c>
      <c r="B774">
        <v>0.6754</v>
      </c>
      <c r="C774">
        <v>0.7127</v>
      </c>
      <c r="D774">
        <v>0.66800000000000004</v>
      </c>
      <c r="E774">
        <v>0.7097</v>
      </c>
      <c r="F774">
        <v>139961.22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0.86577181208053666</v>
      </c>
      <c r="Q774">
        <f t="shared" si="1005"/>
        <v>121174.47906040265</v>
      </c>
      <c r="R774">
        <f t="shared" si="1006"/>
        <v>-2771703.1328120488</v>
      </c>
      <c r="S774">
        <f t="shared" si="1007"/>
        <v>-27.717031328120488</v>
      </c>
      <c r="T774">
        <f t="shared" si="1008"/>
        <v>-2.7717031328120489E-2</v>
      </c>
    </row>
    <row r="775" spans="1:20" x14ac:dyDescent="0.25">
      <c r="A775" s="5">
        <v>43818</v>
      </c>
      <c r="B775">
        <v>0.70479999999999998</v>
      </c>
      <c r="C775">
        <v>0.71279999999999999</v>
      </c>
      <c r="D775">
        <v>0.65669999999999995</v>
      </c>
      <c r="E775">
        <v>0.67320000000000002</v>
      </c>
      <c r="F775">
        <v>108374.01</v>
      </c>
      <c r="G775">
        <v>0</v>
      </c>
      <c r="L775" t="s">
        <v>7</v>
      </c>
      <c r="M775" t="s">
        <v>7</v>
      </c>
      <c r="N775" t="s">
        <v>7</v>
      </c>
      <c r="P775">
        <f t="shared" si="1004"/>
        <v>-0.41176470588235087</v>
      </c>
      <c r="Q775">
        <f t="shared" si="1005"/>
        <v>-44624.592352940948</v>
      </c>
      <c r="R775">
        <f t="shared" si="1006"/>
        <v>-2892877.6118724514</v>
      </c>
      <c r="S775">
        <f t="shared" si="1007"/>
        <v>-28.928776118724514</v>
      </c>
      <c r="T775">
        <f t="shared" si="1008"/>
        <v>-2.8928776118724513E-2</v>
      </c>
    </row>
    <row r="776" spans="1:20" x14ac:dyDescent="0.25">
      <c r="A776" s="5">
        <v>43817</v>
      </c>
      <c r="B776">
        <v>0.63170000000000004</v>
      </c>
      <c r="C776">
        <v>0.7147</v>
      </c>
      <c r="D776">
        <v>0.61670000000000003</v>
      </c>
      <c r="E776">
        <v>0.70209999999999995</v>
      </c>
      <c r="F776">
        <v>155617.26</v>
      </c>
      <c r="G776">
        <v>0</v>
      </c>
      <c r="L776" t="s">
        <v>8</v>
      </c>
      <c r="M776" t="s">
        <v>7</v>
      </c>
      <c r="N776" t="s">
        <v>7</v>
      </c>
      <c r="P776">
        <f t="shared" si="1004"/>
        <v>0.74285714285714166</v>
      </c>
      <c r="Q776">
        <f t="shared" si="1005"/>
        <v>115601.39314285696</v>
      </c>
      <c r="R776">
        <f t="shared" si="1006"/>
        <v>-2848253.0195195102</v>
      </c>
      <c r="S776">
        <f t="shared" si="1007"/>
        <v>-28.482530195195103</v>
      </c>
      <c r="T776">
        <f t="shared" si="1008"/>
        <v>-2.8482530195195102E-2</v>
      </c>
    </row>
    <row r="777" spans="1:20" x14ac:dyDescent="0.25">
      <c r="A777" s="5">
        <v>43816</v>
      </c>
      <c r="B777">
        <v>0.69689999999999996</v>
      </c>
      <c r="C777">
        <v>0.69689999999999996</v>
      </c>
      <c r="D777">
        <v>0.61609999999999998</v>
      </c>
      <c r="E777">
        <v>0.63170000000000004</v>
      </c>
      <c r="F777">
        <v>250022.55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-0.6138613861386123</v>
      </c>
      <c r="Q777">
        <f t="shared" si="1005"/>
        <v>-153479.1891089105</v>
      </c>
      <c r="R777">
        <f t="shared" si="1006"/>
        <v>-2963854.4126623673</v>
      </c>
      <c r="S777">
        <f t="shared" si="1007"/>
        <v>-29.638544126623675</v>
      </c>
      <c r="T777">
        <f t="shared" si="1008"/>
        <v>-2.9638544126623676E-2</v>
      </c>
    </row>
    <row r="778" spans="1:20" x14ac:dyDescent="0.25">
      <c r="A778" s="5">
        <v>43815</v>
      </c>
      <c r="B778">
        <v>0.74719999999999998</v>
      </c>
      <c r="C778">
        <v>0.74719999999999998</v>
      </c>
      <c r="D778">
        <v>0.6845</v>
      </c>
      <c r="E778">
        <v>0.70069999999999999</v>
      </c>
      <c r="F778">
        <v>395737.9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-0.48325358851674649</v>
      </c>
      <c r="Q778">
        <f t="shared" si="1005"/>
        <v>-191241.76028708139</v>
      </c>
      <c r="R778">
        <f t="shared" si="1006"/>
        <v>-2810375.2235534568</v>
      </c>
      <c r="S778">
        <f t="shared" si="1007"/>
        <v>-28.103752235534568</v>
      </c>
      <c r="T778">
        <f t="shared" si="1008"/>
        <v>-2.8103752235534567E-2</v>
      </c>
    </row>
    <row r="779" spans="1:20" x14ac:dyDescent="0.25">
      <c r="A779" s="5">
        <v>43814</v>
      </c>
      <c r="B779">
        <v>0.7319</v>
      </c>
      <c r="C779">
        <v>0.74919999999999998</v>
      </c>
      <c r="D779">
        <v>0.72389999999999999</v>
      </c>
      <c r="E779">
        <v>0.74299999999999999</v>
      </c>
      <c r="F779">
        <v>46568.42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0.50988142292490235</v>
      </c>
      <c r="Q779">
        <f t="shared" si="1005"/>
        <v>23744.37225296448</v>
      </c>
      <c r="R779">
        <f t="shared" si="1006"/>
        <v>-2619133.4632663755</v>
      </c>
      <c r="S779">
        <f t="shared" si="1007"/>
        <v>-26.191334632663754</v>
      </c>
      <c r="T779">
        <f t="shared" si="1008"/>
        <v>-2.6191334632663755E-2</v>
      </c>
    </row>
    <row r="780" spans="1:20" x14ac:dyDescent="0.25">
      <c r="A780" s="5">
        <v>43813</v>
      </c>
      <c r="B780">
        <v>0.78439999999999999</v>
      </c>
      <c r="C780">
        <v>0.79159999999999997</v>
      </c>
      <c r="D780">
        <v>0.72470000000000001</v>
      </c>
      <c r="E780">
        <v>0.73229999999999995</v>
      </c>
      <c r="F780">
        <v>162537.15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-0.77279521674140672</v>
      </c>
      <c r="Q780">
        <f t="shared" si="1005"/>
        <v>-125607.93206278053</v>
      </c>
      <c r="R780">
        <f t="shared" si="1006"/>
        <v>-2642877.8355193399</v>
      </c>
      <c r="S780">
        <f t="shared" si="1007"/>
        <v>-26.428778355193398</v>
      </c>
      <c r="T780">
        <f t="shared" si="1008"/>
        <v>-2.6428778355193399E-2</v>
      </c>
    </row>
    <row r="781" spans="1:20" x14ac:dyDescent="0.25">
      <c r="A781" s="5">
        <v>43812</v>
      </c>
      <c r="B781">
        <v>0.79500000000000004</v>
      </c>
      <c r="C781">
        <v>0.79790000000000005</v>
      </c>
      <c r="D781">
        <v>0.77470000000000006</v>
      </c>
      <c r="E781">
        <v>0.78100000000000003</v>
      </c>
      <c r="F781">
        <v>82261.17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-0.45689655172414029</v>
      </c>
      <c r="Q781">
        <f t="shared" si="1005"/>
        <v>-37584.844913793298</v>
      </c>
      <c r="R781">
        <f t="shared" si="1006"/>
        <v>-2517269.9034565594</v>
      </c>
      <c r="S781">
        <f t="shared" si="1007"/>
        <v>-25.172699034565593</v>
      </c>
      <c r="T781">
        <f t="shared" si="1008"/>
        <v>-2.5172699034565593E-2</v>
      </c>
    </row>
    <row r="782" spans="1:20" x14ac:dyDescent="0.25">
      <c r="A782" s="5">
        <v>43811</v>
      </c>
      <c r="B782">
        <v>0.80400000000000005</v>
      </c>
      <c r="C782">
        <v>0.80400000000000005</v>
      </c>
      <c r="D782">
        <v>0.78639999999999999</v>
      </c>
      <c r="E782">
        <v>0.79620000000000002</v>
      </c>
      <c r="F782">
        <v>51396.03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0.11363636363636336</v>
      </c>
      <c r="Q782">
        <f t="shared" si="1005"/>
        <v>5840.4579545454399</v>
      </c>
      <c r="R782">
        <f t="shared" si="1006"/>
        <v>-2479685.0585427661</v>
      </c>
      <c r="S782">
        <f t="shared" si="1007"/>
        <v>-24.796850585427663</v>
      </c>
      <c r="T782">
        <f t="shared" si="1008"/>
        <v>-2.4796850585427663E-2</v>
      </c>
    </row>
    <row r="783" spans="1:20" x14ac:dyDescent="0.25">
      <c r="A783" s="5">
        <v>43810</v>
      </c>
      <c r="B783">
        <v>0.79700000000000004</v>
      </c>
      <c r="C783">
        <v>0.82</v>
      </c>
      <c r="D783">
        <v>0.79139999999999999</v>
      </c>
      <c r="E783">
        <v>0.80479999999999996</v>
      </c>
      <c r="F783">
        <v>99073.54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-6.2937062937063859E-2</v>
      </c>
      <c r="Q783">
        <f t="shared" si="1005"/>
        <v>-6235.3976223777136</v>
      </c>
      <c r="R783">
        <f t="shared" si="1006"/>
        <v>-2485525.5164973116</v>
      </c>
      <c r="S783">
        <f t="shared" si="1007"/>
        <v>-24.855255164973116</v>
      </c>
      <c r="T783">
        <f t="shared" si="1008"/>
        <v>-2.4855255164973115E-2</v>
      </c>
    </row>
    <row r="784" spans="1:20" x14ac:dyDescent="0.25">
      <c r="A784" s="5">
        <v>43809</v>
      </c>
      <c r="B784">
        <v>0.81</v>
      </c>
      <c r="C784">
        <v>0.81389999999999996</v>
      </c>
      <c r="D784">
        <v>0.77500000000000002</v>
      </c>
      <c r="E784">
        <v>0.79810000000000003</v>
      </c>
      <c r="F784">
        <v>126223.14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0.18766066838046522</v>
      </c>
      <c r="Q784">
        <f t="shared" si="1005"/>
        <v>23687.118817481034</v>
      </c>
      <c r="R784">
        <f t="shared" si="1006"/>
        <v>-2479290.118874934</v>
      </c>
      <c r="S784">
        <f t="shared" si="1007"/>
        <v>-24.79290118874934</v>
      </c>
      <c r="T784">
        <f t="shared" si="1008"/>
        <v>-2.4792901188749342E-2</v>
      </c>
    </row>
    <row r="785" spans="1:20" x14ac:dyDescent="0.25">
      <c r="A785" s="5">
        <v>43808</v>
      </c>
      <c r="B785">
        <v>0.83299999999999996</v>
      </c>
      <c r="C785">
        <v>0.84230000000000005</v>
      </c>
      <c r="D785">
        <v>0.80679999999999996</v>
      </c>
      <c r="E785">
        <v>0.81440000000000001</v>
      </c>
      <c r="F785">
        <v>94900.14</v>
      </c>
      <c r="G785">
        <v>0</v>
      </c>
      <c r="L785" t="s">
        <v>8</v>
      </c>
      <c r="M785" t="s">
        <v>8</v>
      </c>
      <c r="N785" t="s">
        <v>7</v>
      </c>
      <c r="P785">
        <f t="shared" si="1004"/>
        <v>-0.57183098591549109</v>
      </c>
      <c r="Q785">
        <f t="shared" si="1005"/>
        <v>-54266.840619718132</v>
      </c>
      <c r="R785">
        <f t="shared" si="1006"/>
        <v>-2502977.2376924152</v>
      </c>
      <c r="S785">
        <f t="shared" si="1007"/>
        <v>-25.029772376924154</v>
      </c>
      <c r="T785">
        <f t="shared" si="1008"/>
        <v>-2.5029772376924154E-2</v>
      </c>
    </row>
    <row r="786" spans="1:20" x14ac:dyDescent="0.25">
      <c r="A786" s="5">
        <v>43807</v>
      </c>
      <c r="B786">
        <v>0.82369999999999999</v>
      </c>
      <c r="C786">
        <v>0.84389999999999998</v>
      </c>
      <c r="D786">
        <v>0.81</v>
      </c>
      <c r="E786">
        <v>0.83450000000000002</v>
      </c>
      <c r="F786">
        <v>91241.46</v>
      </c>
      <c r="G786">
        <v>0</v>
      </c>
      <c r="L786" t="s">
        <v>8</v>
      </c>
      <c r="M786" t="s">
        <v>8</v>
      </c>
      <c r="N786" t="s">
        <v>7</v>
      </c>
      <c r="P786">
        <f t="shared" si="1004"/>
        <v>0.44542772861357033</v>
      </c>
      <c r="Q786">
        <f t="shared" si="1005"/>
        <v>40641.476283185933</v>
      </c>
      <c r="R786">
        <f t="shared" si="1006"/>
        <v>-2448710.3970726971</v>
      </c>
      <c r="S786">
        <f t="shared" si="1007"/>
        <v>-24.48710397072697</v>
      </c>
      <c r="T786">
        <f t="shared" si="1008"/>
        <v>-2.4487103970726971E-2</v>
      </c>
    </row>
    <row r="787" spans="1:20" x14ac:dyDescent="0.25">
      <c r="A787" s="5">
        <v>43806</v>
      </c>
      <c r="B787">
        <v>0.82310000000000005</v>
      </c>
      <c r="C787">
        <v>0.83440000000000003</v>
      </c>
      <c r="D787">
        <v>0.81769999999999998</v>
      </c>
      <c r="E787">
        <v>0.82410000000000005</v>
      </c>
      <c r="F787">
        <v>69943.11</v>
      </c>
      <c r="G787">
        <v>0</v>
      </c>
      <c r="L787" t="s">
        <v>7</v>
      </c>
      <c r="M787" t="s">
        <v>8</v>
      </c>
      <c r="N787" t="s">
        <v>7</v>
      </c>
      <c r="P787">
        <f t="shared" si="1004"/>
        <v>-0.23353293413173007</v>
      </c>
      <c r="Q787">
        <f t="shared" si="1005"/>
        <v>-16334.01970059835</v>
      </c>
      <c r="R787">
        <f t="shared" si="1006"/>
        <v>-2489351.8733558832</v>
      </c>
      <c r="S787">
        <f t="shared" si="1007"/>
        <v>-24.893518733558832</v>
      </c>
      <c r="T787">
        <f t="shared" si="1008"/>
        <v>-2.4893518733558832E-2</v>
      </c>
    </row>
    <row r="788" spans="1:20" x14ac:dyDescent="0.25">
      <c r="A788" s="5">
        <v>43805</v>
      </c>
      <c r="B788">
        <v>0.81820000000000004</v>
      </c>
      <c r="C788">
        <v>0.82699999999999996</v>
      </c>
      <c r="D788">
        <v>0.80400000000000005</v>
      </c>
      <c r="E788">
        <v>0.82310000000000005</v>
      </c>
      <c r="F788">
        <v>104347.01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0.66086956521739837</v>
      </c>
      <c r="Q788">
        <f t="shared" si="1005"/>
        <v>68959.763130435516</v>
      </c>
      <c r="R788">
        <f t="shared" si="1006"/>
        <v>-2473017.8536552847</v>
      </c>
      <c r="S788">
        <f t="shared" si="1007"/>
        <v>-24.730178536552849</v>
      </c>
      <c r="T788">
        <f t="shared" si="1008"/>
        <v>-2.4730178536552849E-2</v>
      </c>
    </row>
    <row r="789" spans="1:20" x14ac:dyDescent="0.25">
      <c r="A789" s="5">
        <v>43804</v>
      </c>
      <c r="B789">
        <v>0.80459999999999998</v>
      </c>
      <c r="C789">
        <v>0.83440000000000003</v>
      </c>
      <c r="D789">
        <v>0.8</v>
      </c>
      <c r="E789">
        <v>0.81899999999999995</v>
      </c>
      <c r="F789">
        <v>67292.3</v>
      </c>
      <c r="G789">
        <v>0</v>
      </c>
      <c r="L789" t="s">
        <v>7</v>
      </c>
      <c r="M789" t="s">
        <v>8</v>
      </c>
      <c r="N789" t="s">
        <v>7</v>
      </c>
      <c r="P789">
        <f t="shared" si="1004"/>
        <v>0.10465116279069264</v>
      </c>
      <c r="Q789">
        <f t="shared" si="1005"/>
        <v>7042.2174418601271</v>
      </c>
      <c r="R789">
        <f t="shared" si="1006"/>
        <v>-2541977.6167857205</v>
      </c>
      <c r="S789">
        <f t="shared" si="1007"/>
        <v>-25.419776167857204</v>
      </c>
      <c r="T789">
        <f t="shared" si="1008"/>
        <v>-2.5419776167857205E-2</v>
      </c>
    </row>
    <row r="790" spans="1:20" x14ac:dyDescent="0.25">
      <c r="A790" s="5">
        <v>43803</v>
      </c>
      <c r="B790">
        <v>0.84509999999999996</v>
      </c>
      <c r="C790">
        <v>0.84970000000000001</v>
      </c>
      <c r="D790">
        <v>0.78600000000000003</v>
      </c>
      <c r="E790">
        <v>0.80530000000000002</v>
      </c>
      <c r="F790">
        <v>223376.41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-0.39403453689168005</v>
      </c>
      <c r="Q790">
        <f t="shared" si="1005"/>
        <v>-88018.020266876047</v>
      </c>
      <c r="R790">
        <f t="shared" si="1006"/>
        <v>-2549019.8342275806</v>
      </c>
      <c r="S790">
        <f t="shared" si="1007"/>
        <v>-25.490198342275807</v>
      </c>
      <c r="T790">
        <f t="shared" si="1008"/>
        <v>-2.5490198342275807E-2</v>
      </c>
    </row>
    <row r="791" spans="1:20" x14ac:dyDescent="0.25">
      <c r="A791" s="5">
        <v>43802</v>
      </c>
      <c r="B791">
        <v>0.83930000000000005</v>
      </c>
      <c r="C791">
        <v>0.85260000000000002</v>
      </c>
      <c r="D791">
        <v>0.82020000000000004</v>
      </c>
      <c r="E791">
        <v>0.84509999999999996</v>
      </c>
      <c r="F791">
        <v>115648.7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0.53703703703703298</v>
      </c>
      <c r="Q791">
        <f t="shared" si="1005"/>
        <v>62107.635185184714</v>
      </c>
      <c r="R791">
        <f t="shared" si="1006"/>
        <v>-2461001.8139607045</v>
      </c>
      <c r="S791">
        <f t="shared" si="1007"/>
        <v>-24.610018139607046</v>
      </c>
      <c r="T791">
        <f t="shared" si="1008"/>
        <v>-2.4610018139607046E-2</v>
      </c>
    </row>
    <row r="792" spans="1:20" x14ac:dyDescent="0.25">
      <c r="A792" s="5">
        <v>43801</v>
      </c>
      <c r="B792">
        <v>0.8831</v>
      </c>
      <c r="C792">
        <v>0.88600000000000001</v>
      </c>
      <c r="D792">
        <v>0.83230000000000004</v>
      </c>
      <c r="E792">
        <v>0.84</v>
      </c>
      <c r="F792">
        <v>185687.96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-0.71322160148976044</v>
      </c>
      <c r="Q792">
        <f t="shared" si="1005"/>
        <v>-132436.66420856657</v>
      </c>
      <c r="R792">
        <f t="shared" si="1006"/>
        <v>-2523109.4491458894</v>
      </c>
      <c r="S792">
        <f t="shared" si="1007"/>
        <v>-25.231094491458894</v>
      </c>
      <c r="T792">
        <f t="shared" si="1008"/>
        <v>-2.5231094491458893E-2</v>
      </c>
    </row>
    <row r="793" spans="1:20" x14ac:dyDescent="0.25">
      <c r="A793" s="5">
        <v>43800</v>
      </c>
      <c r="B793">
        <v>0.88690000000000002</v>
      </c>
      <c r="C793">
        <v>0.91810000000000003</v>
      </c>
      <c r="D793">
        <v>0.84</v>
      </c>
      <c r="E793">
        <v>0.88500000000000001</v>
      </c>
      <c r="F793">
        <v>224544.97</v>
      </c>
      <c r="G793">
        <v>0</v>
      </c>
      <c r="L793" t="s">
        <v>8</v>
      </c>
      <c r="M793" t="s">
        <v>8</v>
      </c>
      <c r="N793" t="s">
        <v>7</v>
      </c>
      <c r="P793">
        <f t="shared" si="1004"/>
        <v>0.15236875800256097</v>
      </c>
      <c r="Q793">
        <f t="shared" si="1005"/>
        <v>34213.638194622312</v>
      </c>
      <c r="R793">
        <f t="shared" si="1006"/>
        <v>-2390672.7849373226</v>
      </c>
      <c r="S793">
        <f t="shared" si="1007"/>
        <v>-23.906727849373226</v>
      </c>
      <c r="T793">
        <f t="shared" si="1008"/>
        <v>-2.3906727849373227E-2</v>
      </c>
    </row>
    <row r="794" spans="1:20" x14ac:dyDescent="0.25">
      <c r="A794" s="5">
        <v>43799</v>
      </c>
      <c r="B794">
        <v>0.90129999999999999</v>
      </c>
      <c r="C794">
        <v>0.9133</v>
      </c>
      <c r="D794">
        <v>0.83609999999999995</v>
      </c>
      <c r="E794">
        <v>0.88919999999999999</v>
      </c>
      <c r="F794">
        <v>223453.68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0.3756476683937825</v>
      </c>
      <c r="Q794">
        <f t="shared" si="1005"/>
        <v>83939.853886010387</v>
      </c>
      <c r="R794">
        <f t="shared" si="1006"/>
        <v>-2424886.4231319451</v>
      </c>
      <c r="S794">
        <f t="shared" si="1007"/>
        <v>-24.248864231319452</v>
      </c>
      <c r="T794">
        <f t="shared" si="1008"/>
        <v>-2.4248864231319452E-2</v>
      </c>
    </row>
    <row r="795" spans="1:20" x14ac:dyDescent="0.25">
      <c r="A795" s="5">
        <v>43798</v>
      </c>
      <c r="B795">
        <v>0.81979999999999997</v>
      </c>
      <c r="C795">
        <v>0.9204</v>
      </c>
      <c r="D795">
        <v>0.8175</v>
      </c>
      <c r="E795">
        <v>0.90790000000000004</v>
      </c>
      <c r="F795">
        <v>224358.57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0.75704567541302314</v>
      </c>
      <c r="Q795">
        <f t="shared" si="1005"/>
        <v>169849.68516035003</v>
      </c>
      <c r="R795">
        <f t="shared" si="1006"/>
        <v>-2508826.2770179557</v>
      </c>
      <c r="S795">
        <f t="shared" si="1007"/>
        <v>-25.088262770179558</v>
      </c>
      <c r="T795">
        <f t="shared" si="1008"/>
        <v>-2.5088262770179559E-2</v>
      </c>
    </row>
    <row r="796" spans="1:20" x14ac:dyDescent="0.25">
      <c r="A796" s="5">
        <v>43797</v>
      </c>
      <c r="B796">
        <v>0.83420000000000005</v>
      </c>
      <c r="C796">
        <v>0.85</v>
      </c>
      <c r="D796">
        <v>0.81369999999999998</v>
      </c>
      <c r="E796">
        <v>0.82579999999999998</v>
      </c>
      <c r="F796">
        <v>128001.14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-0.33333333333333331</v>
      </c>
      <c r="Q796">
        <f t="shared" si="1005"/>
        <v>-42667.046666666662</v>
      </c>
      <c r="R796">
        <f t="shared" si="1006"/>
        <v>-2678675.9621783057</v>
      </c>
      <c r="S796">
        <f t="shared" si="1007"/>
        <v>-26.786759621783059</v>
      </c>
      <c r="T796">
        <f t="shared" si="1008"/>
        <v>-2.6786759621783059E-2</v>
      </c>
    </row>
    <row r="797" spans="1:20" x14ac:dyDescent="0.25">
      <c r="A797" s="5">
        <v>43796</v>
      </c>
      <c r="B797">
        <v>0.8054</v>
      </c>
      <c r="C797">
        <v>0.84930000000000005</v>
      </c>
      <c r="D797">
        <v>0.77100000000000002</v>
      </c>
      <c r="E797">
        <v>0.8337</v>
      </c>
      <c r="F797">
        <v>249480.77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0.60153256704980718</v>
      </c>
      <c r="Q797">
        <f t="shared" si="1005"/>
        <v>150070.8080076625</v>
      </c>
      <c r="R797">
        <f t="shared" si="1006"/>
        <v>-2636008.9155116389</v>
      </c>
      <c r="S797">
        <f t="shared" si="1007"/>
        <v>-26.360089155116388</v>
      </c>
      <c r="T797">
        <f t="shared" si="1008"/>
        <v>-2.6360089155116388E-2</v>
      </c>
    </row>
    <row r="798" spans="1:20" x14ac:dyDescent="0.25">
      <c r="A798" s="5">
        <v>43795</v>
      </c>
      <c r="B798">
        <v>0.77380000000000004</v>
      </c>
      <c r="C798">
        <v>0.80559999999999998</v>
      </c>
      <c r="D798">
        <v>0.76580000000000004</v>
      </c>
      <c r="E798">
        <v>0.80559999999999998</v>
      </c>
      <c r="F798">
        <v>131197.04999999999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1</v>
      </c>
      <c r="Q798">
        <f t="shared" si="1005"/>
        <v>131197.04999999999</v>
      </c>
      <c r="R798">
        <f t="shared" si="1006"/>
        <v>-2786079.7235193015</v>
      </c>
      <c r="S798">
        <f t="shared" si="1007"/>
        <v>-27.860797235193015</v>
      </c>
      <c r="T798">
        <f t="shared" si="1008"/>
        <v>-2.7860797235193014E-2</v>
      </c>
    </row>
    <row r="799" spans="1:20" x14ac:dyDescent="0.25">
      <c r="A799" s="5">
        <v>43794</v>
      </c>
      <c r="B799">
        <v>0.745</v>
      </c>
      <c r="C799">
        <v>0.81279999999999997</v>
      </c>
      <c r="D799">
        <v>0.69030000000000002</v>
      </c>
      <c r="E799">
        <v>0.77300000000000002</v>
      </c>
      <c r="F799">
        <v>551918.41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0.35020408163265365</v>
      </c>
      <c r="Q799">
        <f t="shared" si="1005"/>
        <v>193284.07991020443</v>
      </c>
      <c r="R799">
        <f t="shared" si="1006"/>
        <v>-2917276.7735193013</v>
      </c>
      <c r="S799">
        <f t="shared" si="1007"/>
        <v>-29.172767735193013</v>
      </c>
      <c r="T799">
        <f t="shared" si="1008"/>
        <v>-2.9172767735193013E-2</v>
      </c>
    </row>
    <row r="800" spans="1:20" x14ac:dyDescent="0.25">
      <c r="A800" s="5">
        <v>43793</v>
      </c>
      <c r="B800">
        <v>0.80530000000000002</v>
      </c>
      <c r="C800">
        <v>0.80679999999999996</v>
      </c>
      <c r="D800">
        <v>0.745</v>
      </c>
      <c r="E800">
        <v>0.754</v>
      </c>
      <c r="F800">
        <v>130291.35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-0.70873786407766948</v>
      </c>
      <c r="Q800">
        <f t="shared" si="1005"/>
        <v>-92342.41310679607</v>
      </c>
      <c r="R800">
        <f t="shared" si="1006"/>
        <v>-3110560.8534295056</v>
      </c>
      <c r="S800">
        <f t="shared" si="1007"/>
        <v>-31.105608534295055</v>
      </c>
      <c r="T800">
        <f t="shared" si="1008"/>
        <v>-3.1105608534295056E-2</v>
      </c>
    </row>
    <row r="801" spans="1:20" x14ac:dyDescent="0.25">
      <c r="A801" s="5">
        <v>43792</v>
      </c>
      <c r="B801">
        <v>0.79490000000000005</v>
      </c>
      <c r="C801">
        <v>0.81359999999999999</v>
      </c>
      <c r="D801">
        <v>0.75660000000000005</v>
      </c>
      <c r="E801">
        <v>0.80510000000000004</v>
      </c>
      <c r="F801">
        <v>115319.89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0.70175438596491369</v>
      </c>
      <c r="Q801">
        <f t="shared" si="1005"/>
        <v>80926.238596491385</v>
      </c>
      <c r="R801">
        <f t="shared" si="1006"/>
        <v>-3018218.4403227097</v>
      </c>
      <c r="S801">
        <f t="shared" si="1007"/>
        <v>-30.182184403227097</v>
      </c>
      <c r="T801">
        <f t="shared" si="1008"/>
        <v>-3.0182184403227098E-2</v>
      </c>
    </row>
    <row r="802" spans="1:20" x14ac:dyDescent="0.25">
      <c r="A802" s="5">
        <v>43791</v>
      </c>
      <c r="B802">
        <v>0.86860000000000004</v>
      </c>
      <c r="C802">
        <v>0.87</v>
      </c>
      <c r="D802">
        <v>0.72599999999999998</v>
      </c>
      <c r="E802">
        <v>0.79490000000000005</v>
      </c>
      <c r="F802">
        <v>673733.36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-4.305555555555466E-2</v>
      </c>
      <c r="Q802">
        <f t="shared" si="1005"/>
        <v>-29007.964111110508</v>
      </c>
      <c r="R802">
        <f t="shared" si="1006"/>
        <v>-3099144.6789192013</v>
      </c>
      <c r="S802">
        <f t="shared" si="1007"/>
        <v>-30.991446789192011</v>
      </c>
      <c r="T802">
        <f t="shared" si="1008"/>
        <v>-3.0991446789192013E-2</v>
      </c>
    </row>
    <row r="803" spans="1:20" x14ac:dyDescent="0.25">
      <c r="A803" s="5">
        <v>43790</v>
      </c>
      <c r="B803">
        <v>0.90180000000000005</v>
      </c>
      <c r="C803">
        <v>0.93910000000000005</v>
      </c>
      <c r="D803">
        <v>0.85</v>
      </c>
      <c r="E803">
        <v>0.86680000000000001</v>
      </c>
      <c r="F803">
        <v>407470.77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-0.62289562289562239</v>
      </c>
      <c r="Q803">
        <f t="shared" si="1005"/>
        <v>-253811.75909090889</v>
      </c>
      <c r="R803">
        <f t="shared" si="1006"/>
        <v>-3070136.7148080906</v>
      </c>
      <c r="S803">
        <f t="shared" si="1007"/>
        <v>-30.701367148080905</v>
      </c>
      <c r="T803">
        <f t="shared" si="1008"/>
        <v>-3.0701367148080905E-2</v>
      </c>
    </row>
    <row r="804" spans="1:20" x14ac:dyDescent="0.25">
      <c r="A804" s="5">
        <v>43789</v>
      </c>
      <c r="B804">
        <v>0.86899999999999999</v>
      </c>
      <c r="C804">
        <v>0.93869999999999998</v>
      </c>
      <c r="D804">
        <v>0.86699999999999999</v>
      </c>
      <c r="E804">
        <v>0.90180000000000005</v>
      </c>
      <c r="F804">
        <v>487844.1</v>
      </c>
      <c r="G804">
        <v>0</v>
      </c>
      <c r="L804" t="s">
        <v>8</v>
      </c>
      <c r="M804" t="s">
        <v>7</v>
      </c>
      <c r="N804" t="s">
        <v>8</v>
      </c>
      <c r="P804">
        <f t="shared" si="1004"/>
        <v>-2.9288702928868621E-2</v>
      </c>
      <c r="Q804">
        <f t="shared" si="1005"/>
        <v>-14288.320920501275</v>
      </c>
      <c r="R804">
        <f t="shared" si="1006"/>
        <v>-2816324.9557171818</v>
      </c>
      <c r="S804">
        <f t="shared" si="1007"/>
        <v>-28.163249557171817</v>
      </c>
      <c r="T804">
        <f t="shared" si="1008"/>
        <v>-2.8163249557171817E-2</v>
      </c>
    </row>
    <row r="805" spans="1:20" x14ac:dyDescent="0.25">
      <c r="A805" s="5">
        <v>43788</v>
      </c>
      <c r="B805">
        <v>0.8669</v>
      </c>
      <c r="C805">
        <v>0.872</v>
      </c>
      <c r="D805">
        <v>0.84660000000000002</v>
      </c>
      <c r="E805">
        <v>0.86799999999999999</v>
      </c>
      <c r="F805">
        <v>129327.91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0.68503937007873961</v>
      </c>
      <c r="Q805">
        <f t="shared" si="1005"/>
        <v>88594.709999999934</v>
      </c>
      <c r="R805">
        <f t="shared" si="1006"/>
        <v>-2802036.6347966804</v>
      </c>
      <c r="S805">
        <f t="shared" si="1007"/>
        <v>-28.020366347966803</v>
      </c>
      <c r="T805">
        <f t="shared" si="1008"/>
        <v>-2.8020366347966803E-2</v>
      </c>
    </row>
    <row r="806" spans="1:20" x14ac:dyDescent="0.25">
      <c r="A806" s="5">
        <v>43787</v>
      </c>
      <c r="B806">
        <v>0.92559999999999998</v>
      </c>
      <c r="C806">
        <v>0.92879999999999996</v>
      </c>
      <c r="D806">
        <v>0.86119999999999997</v>
      </c>
      <c r="E806">
        <v>0.87</v>
      </c>
      <c r="F806">
        <v>242030.45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-0.7396449704142003</v>
      </c>
      <c r="Q806">
        <f t="shared" si="1005"/>
        <v>-179016.6050295856</v>
      </c>
      <c r="R806">
        <f t="shared" si="1006"/>
        <v>-2890631.3447966804</v>
      </c>
      <c r="S806">
        <f t="shared" si="1007"/>
        <v>-28.906313447966802</v>
      </c>
      <c r="T806">
        <f t="shared" si="1008"/>
        <v>-2.8906313447966802E-2</v>
      </c>
    </row>
    <row r="807" spans="1:20" x14ac:dyDescent="0.25">
      <c r="A807" s="5">
        <v>43786</v>
      </c>
      <c r="B807">
        <v>0.93220000000000003</v>
      </c>
      <c r="C807">
        <v>0.94789999999999996</v>
      </c>
      <c r="D807">
        <v>0.91080000000000005</v>
      </c>
      <c r="E807">
        <v>0.91890000000000005</v>
      </c>
      <c r="F807">
        <v>148872.76</v>
      </c>
      <c r="G807">
        <v>0</v>
      </c>
      <c r="L807" t="s">
        <v>7</v>
      </c>
      <c r="M807" t="s">
        <v>8</v>
      </c>
      <c r="N807" t="s">
        <v>8</v>
      </c>
      <c r="P807">
        <f t="shared" si="1004"/>
        <v>-0.56334231805929835</v>
      </c>
      <c r="Q807">
        <f t="shared" si="1005"/>
        <v>-83866.325714285602</v>
      </c>
      <c r="R807">
        <f t="shared" si="1006"/>
        <v>-2711614.7397670946</v>
      </c>
      <c r="S807">
        <f t="shared" si="1007"/>
        <v>-27.116147397670947</v>
      </c>
      <c r="T807">
        <f t="shared" si="1008"/>
        <v>-2.7116147397670945E-2</v>
      </c>
    </row>
    <row r="808" spans="1:20" x14ac:dyDescent="0.25">
      <c r="A808" s="5">
        <v>43785</v>
      </c>
      <c r="B808">
        <v>0.92949999999999999</v>
      </c>
      <c r="C808">
        <v>0.94340000000000002</v>
      </c>
      <c r="D808">
        <v>0.9204</v>
      </c>
      <c r="E808">
        <v>0.93079999999999996</v>
      </c>
      <c r="F808">
        <v>95965.29</v>
      </c>
      <c r="G808">
        <v>0</v>
      </c>
      <c r="L808" t="s">
        <v>7</v>
      </c>
      <c r="M808" t="s">
        <v>8</v>
      </c>
      <c r="N808" t="s">
        <v>8</v>
      </c>
      <c r="P808">
        <f t="shared" si="1004"/>
        <v>-9.5652173913047339E-2</v>
      </c>
      <c r="Q808">
        <f t="shared" si="1005"/>
        <v>-9179.2886086960225</v>
      </c>
      <c r="R808">
        <f t="shared" si="1006"/>
        <v>-2627748.4140528091</v>
      </c>
      <c r="S808">
        <f t="shared" si="1007"/>
        <v>-26.277484140528092</v>
      </c>
      <c r="T808">
        <f t="shared" si="1008"/>
        <v>-2.6277484140528093E-2</v>
      </c>
    </row>
    <row r="809" spans="1:20" x14ac:dyDescent="0.25">
      <c r="A809" s="5">
        <v>43784</v>
      </c>
      <c r="B809">
        <v>0.98229999999999995</v>
      </c>
      <c r="C809">
        <v>0.98380000000000001</v>
      </c>
      <c r="D809">
        <v>0.92</v>
      </c>
      <c r="E809">
        <v>0.93269999999999997</v>
      </c>
      <c r="F809">
        <v>315722.59999999998</v>
      </c>
      <c r="G809">
        <v>0</v>
      </c>
      <c r="L809" t="s">
        <v>7</v>
      </c>
      <c r="M809" t="s">
        <v>8</v>
      </c>
      <c r="N809" t="s">
        <v>8</v>
      </c>
      <c r="P809">
        <f t="shared" si="1004"/>
        <v>-0.60188087774294863</v>
      </c>
      <c r="Q809">
        <f t="shared" si="1005"/>
        <v>-190027.39561128587</v>
      </c>
      <c r="R809">
        <f t="shared" si="1006"/>
        <v>-2618569.1254441133</v>
      </c>
      <c r="S809">
        <f t="shared" si="1007"/>
        <v>-26.185691254441132</v>
      </c>
      <c r="T809">
        <f t="shared" si="1008"/>
        <v>-2.6185691254441132E-2</v>
      </c>
    </row>
    <row r="810" spans="1:20" x14ac:dyDescent="0.25">
      <c r="A810" s="5">
        <v>43783</v>
      </c>
      <c r="B810">
        <v>0.99199999999999999</v>
      </c>
      <c r="C810">
        <v>0.99590000000000001</v>
      </c>
      <c r="D810">
        <v>0.94099999999999995</v>
      </c>
      <c r="E810">
        <v>0.98460000000000003</v>
      </c>
      <c r="F810">
        <v>434913.22</v>
      </c>
      <c r="G810">
        <v>0</v>
      </c>
      <c r="L810" t="s">
        <v>7</v>
      </c>
      <c r="M810" t="s">
        <v>8</v>
      </c>
      <c r="N810" t="s">
        <v>8</v>
      </c>
      <c r="P810">
        <f t="shared" si="1004"/>
        <v>0.58834244080145848</v>
      </c>
      <c r="Q810">
        <f t="shared" si="1005"/>
        <v>255877.90539162167</v>
      </c>
      <c r="R810">
        <f t="shared" si="1006"/>
        <v>-2428541.7298328276</v>
      </c>
      <c r="S810">
        <f t="shared" si="1007"/>
        <v>-24.285417298328277</v>
      </c>
      <c r="T810">
        <f t="shared" si="1008"/>
        <v>-2.4285417298328275E-2</v>
      </c>
    </row>
    <row r="811" spans="1:20" x14ac:dyDescent="0.25">
      <c r="A811" s="5">
        <v>43782</v>
      </c>
      <c r="B811">
        <v>1.0301</v>
      </c>
      <c r="C811">
        <v>1.0374000000000001</v>
      </c>
      <c r="D811">
        <v>0.98140000000000005</v>
      </c>
      <c r="E811">
        <v>0.99170000000000003</v>
      </c>
      <c r="F811">
        <v>274414.28000000003</v>
      </c>
      <c r="G811">
        <v>0</v>
      </c>
      <c r="L811" t="s">
        <v>7</v>
      </c>
      <c r="M811" t="s">
        <v>8</v>
      </c>
      <c r="N811" t="s">
        <v>8</v>
      </c>
      <c r="P811">
        <f t="shared" si="1004"/>
        <v>-0.63214285714285834</v>
      </c>
      <c r="Q811">
        <f t="shared" si="1005"/>
        <v>-173469.02700000035</v>
      </c>
      <c r="R811">
        <f t="shared" si="1006"/>
        <v>-2684419.6352244494</v>
      </c>
      <c r="S811">
        <f t="shared" si="1007"/>
        <v>-26.844196352244495</v>
      </c>
      <c r="T811">
        <f t="shared" si="1008"/>
        <v>-2.6844196352244495E-2</v>
      </c>
    </row>
    <row r="812" spans="1:20" x14ac:dyDescent="0.25">
      <c r="A812" s="5">
        <v>43781</v>
      </c>
      <c r="B812">
        <v>1.0225</v>
      </c>
      <c r="C812">
        <v>1.0469999999999999</v>
      </c>
      <c r="D812">
        <v>1.0065</v>
      </c>
      <c r="E812">
        <v>1.0290999999999999</v>
      </c>
      <c r="F812">
        <v>339927.75</v>
      </c>
      <c r="G812">
        <v>0</v>
      </c>
      <c r="L812" t="s">
        <v>8</v>
      </c>
      <c r="M812" t="s">
        <v>8</v>
      </c>
      <c r="N812" t="s">
        <v>8</v>
      </c>
      <c r="P812">
        <f t="shared" si="1004"/>
        <v>0.11604938271604762</v>
      </c>
      <c r="Q812">
        <f t="shared" si="1005"/>
        <v>39448.405555554957</v>
      </c>
      <c r="R812">
        <f t="shared" si="1006"/>
        <v>-2510950.6082244492</v>
      </c>
      <c r="S812">
        <f t="shared" si="1007"/>
        <v>-25.109506082244494</v>
      </c>
      <c r="T812">
        <f t="shared" si="1008"/>
        <v>-2.5109506082244493E-2</v>
      </c>
    </row>
    <row r="813" spans="1:20" x14ac:dyDescent="0.25">
      <c r="A813" s="5">
        <v>43780</v>
      </c>
      <c r="B813">
        <v>1.0474000000000001</v>
      </c>
      <c r="C813">
        <v>1.0659000000000001</v>
      </c>
      <c r="D813">
        <v>1.006</v>
      </c>
      <c r="E813">
        <v>1.0244</v>
      </c>
      <c r="F813">
        <v>360536.56</v>
      </c>
      <c r="G813">
        <v>0</v>
      </c>
      <c r="L813" t="s">
        <v>8</v>
      </c>
      <c r="M813" t="s">
        <v>8</v>
      </c>
      <c r="N813" t="s">
        <v>8</v>
      </c>
      <c r="P813">
        <f t="shared" si="1004"/>
        <v>-0.38564273789649578</v>
      </c>
      <c r="Q813">
        <f t="shared" si="1005"/>
        <v>-139038.30611018423</v>
      </c>
      <c r="R813">
        <f t="shared" si="1006"/>
        <v>-2550399.0137800043</v>
      </c>
      <c r="S813">
        <f t="shared" si="1007"/>
        <v>-25.503990137800045</v>
      </c>
      <c r="T813">
        <f t="shared" si="1008"/>
        <v>-2.5503990137800046E-2</v>
      </c>
    </row>
    <row r="814" spans="1:20" x14ac:dyDescent="0.25">
      <c r="A814" s="5">
        <v>43779</v>
      </c>
      <c r="B814">
        <v>0.97519999999999996</v>
      </c>
      <c r="C814">
        <v>1.08</v>
      </c>
      <c r="D814">
        <v>0.97109999999999996</v>
      </c>
      <c r="E814">
        <v>1.044</v>
      </c>
      <c r="F814">
        <v>555330.06999999995</v>
      </c>
      <c r="G814">
        <v>0</v>
      </c>
      <c r="L814" t="s">
        <v>8</v>
      </c>
      <c r="M814" t="s">
        <v>8</v>
      </c>
      <c r="N814" t="s">
        <v>8</v>
      </c>
      <c r="P814">
        <f t="shared" si="1004"/>
        <v>0.33884297520661166</v>
      </c>
      <c r="Q814">
        <f t="shared" si="1005"/>
        <v>188169.69314049589</v>
      </c>
      <c r="R814">
        <f t="shared" si="1006"/>
        <v>-2411360.7076698202</v>
      </c>
      <c r="S814">
        <f t="shared" si="1007"/>
        <v>-24.113607076698202</v>
      </c>
      <c r="T814">
        <f t="shared" si="1008"/>
        <v>-2.4113607076698202E-2</v>
      </c>
    </row>
    <row r="815" spans="1:20" x14ac:dyDescent="0.25">
      <c r="A815" s="5">
        <v>43778</v>
      </c>
      <c r="B815">
        <v>0.96699999999999997</v>
      </c>
      <c r="C815">
        <v>0.99539999999999995</v>
      </c>
      <c r="D815">
        <v>0.96179999999999999</v>
      </c>
      <c r="E815">
        <v>0.97819999999999996</v>
      </c>
      <c r="F815">
        <v>121570.59</v>
      </c>
      <c r="G815">
        <v>0</v>
      </c>
      <c r="L815" t="s">
        <v>7</v>
      </c>
      <c r="M815" t="s">
        <v>8</v>
      </c>
      <c r="N815" t="s">
        <v>8</v>
      </c>
      <c r="P815">
        <f t="shared" si="1004"/>
        <v>-2.3809523809524516E-2</v>
      </c>
      <c r="Q815">
        <f t="shared" si="1005"/>
        <v>-2894.5378571429428</v>
      </c>
      <c r="R815">
        <f t="shared" si="1006"/>
        <v>-2599530.4008103162</v>
      </c>
      <c r="S815">
        <f t="shared" si="1007"/>
        <v>-25.995304008103162</v>
      </c>
      <c r="T815">
        <f t="shared" si="1008"/>
        <v>-2.5995304008103161E-2</v>
      </c>
    </row>
    <row r="816" spans="1:20" x14ac:dyDescent="0.25">
      <c r="A816" s="5">
        <v>43777</v>
      </c>
      <c r="B816">
        <v>1.0091000000000001</v>
      </c>
      <c r="C816">
        <v>1.042</v>
      </c>
      <c r="D816">
        <v>0.93020000000000003</v>
      </c>
      <c r="E816">
        <v>0.97070000000000001</v>
      </c>
      <c r="F816">
        <v>429038.57</v>
      </c>
      <c r="G816">
        <v>0</v>
      </c>
      <c r="L816" t="s">
        <v>8</v>
      </c>
      <c r="M816" t="s">
        <v>8</v>
      </c>
      <c r="N816" t="s">
        <v>8</v>
      </c>
      <c r="P816">
        <f t="shared" si="1004"/>
        <v>-0.27549194991055498</v>
      </c>
      <c r="Q816">
        <f t="shared" si="1005"/>
        <v>-118196.67223613613</v>
      </c>
      <c r="R816">
        <f t="shared" si="1006"/>
        <v>-2596635.8629531735</v>
      </c>
      <c r="S816">
        <f t="shared" si="1007"/>
        <v>-25.966358629531733</v>
      </c>
      <c r="T816">
        <f t="shared" si="1008"/>
        <v>-2.5966358629531734E-2</v>
      </c>
    </row>
    <row r="817" spans="1:20" x14ac:dyDescent="0.25">
      <c r="A817" s="5">
        <v>43776</v>
      </c>
      <c r="B817">
        <v>1.0265</v>
      </c>
      <c r="C817">
        <v>1.052</v>
      </c>
      <c r="D817">
        <v>0.93859999999999999</v>
      </c>
      <c r="E817">
        <v>1.0142</v>
      </c>
      <c r="F817">
        <v>660507.94999999995</v>
      </c>
      <c r="G817">
        <v>0</v>
      </c>
      <c r="L817" t="s">
        <v>7</v>
      </c>
      <c r="M817" t="s">
        <v>8</v>
      </c>
      <c r="N817" t="s">
        <v>8</v>
      </c>
      <c r="P817">
        <f t="shared" si="1004"/>
        <v>0.3333333333333327</v>
      </c>
      <c r="Q817">
        <f t="shared" si="1005"/>
        <v>220169.31666666624</v>
      </c>
      <c r="R817">
        <f t="shared" si="1006"/>
        <v>-2478439.1907170373</v>
      </c>
      <c r="S817">
        <f t="shared" si="1007"/>
        <v>-24.784391907170374</v>
      </c>
      <c r="T817">
        <f t="shared" si="1008"/>
        <v>-2.4784391907170373E-2</v>
      </c>
    </row>
    <row r="818" spans="1:20" x14ac:dyDescent="0.25">
      <c r="A818" s="5">
        <v>43775</v>
      </c>
      <c r="B818">
        <v>0.9708</v>
      </c>
      <c r="C818">
        <v>1.0900000000000001</v>
      </c>
      <c r="D818">
        <v>0.96799999999999997</v>
      </c>
      <c r="E818">
        <v>1.0289999999999999</v>
      </c>
      <c r="F818">
        <v>944013.42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-1.8200377452871401E-15</v>
      </c>
      <c r="Q818">
        <f t="shared" si="1005"/>
        <v>-1.7181400564576022E-9</v>
      </c>
      <c r="R818">
        <f t="shared" si="1006"/>
        <v>-2698608.5073837037</v>
      </c>
      <c r="S818">
        <f t="shared" si="1007"/>
        <v>-26.986085073837039</v>
      </c>
      <c r="T818">
        <f t="shared" si="1008"/>
        <v>-2.6986085073837037E-2</v>
      </c>
    </row>
    <row r="819" spans="1:20" x14ac:dyDescent="0.25">
      <c r="A819" s="5">
        <v>43774</v>
      </c>
      <c r="B819">
        <v>0.91869999999999996</v>
      </c>
      <c r="C819">
        <v>0.98760000000000003</v>
      </c>
      <c r="D819">
        <v>0.875</v>
      </c>
      <c r="E819">
        <v>0.97440000000000004</v>
      </c>
      <c r="F819">
        <v>623566.93999999994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0.76554174067495584</v>
      </c>
      <c r="Q819">
        <f t="shared" si="1005"/>
        <v>477366.52067495568</v>
      </c>
      <c r="R819">
        <f t="shared" si="1006"/>
        <v>-2698608.5073837019</v>
      </c>
      <c r="S819">
        <f t="shared" si="1007"/>
        <v>-26.986085073837017</v>
      </c>
      <c r="T819">
        <f t="shared" si="1008"/>
        <v>-2.6986085073837016E-2</v>
      </c>
    </row>
    <row r="820" spans="1:20" x14ac:dyDescent="0.25">
      <c r="A820" s="5">
        <v>43773</v>
      </c>
      <c r="B820">
        <v>0.85319999999999996</v>
      </c>
      <c r="C820">
        <v>0.92349999999999999</v>
      </c>
      <c r="D820">
        <v>0.84499999999999997</v>
      </c>
      <c r="E820">
        <v>0.91990000000000005</v>
      </c>
      <c r="F820">
        <v>253093.38</v>
      </c>
      <c r="G820">
        <v>0</v>
      </c>
      <c r="L820" t="s">
        <v>8</v>
      </c>
      <c r="M820" t="s">
        <v>8</v>
      </c>
      <c r="N820" t="s">
        <v>8</v>
      </c>
      <c r="P820">
        <f t="shared" si="1004"/>
        <v>0.90828025477707175</v>
      </c>
      <c r="Q820">
        <f t="shared" si="1005"/>
        <v>229879.71966879023</v>
      </c>
      <c r="R820">
        <f t="shared" si="1006"/>
        <v>-3175975.0280586574</v>
      </c>
      <c r="S820">
        <f t="shared" si="1007"/>
        <v>-31.759750280586573</v>
      </c>
      <c r="T820">
        <f t="shared" si="1008"/>
        <v>-3.1759750280586571E-2</v>
      </c>
    </row>
    <row r="821" spans="1:20" x14ac:dyDescent="0.25">
      <c r="A821" s="5">
        <v>43772</v>
      </c>
      <c r="B821">
        <v>0.85980000000000001</v>
      </c>
      <c r="C821">
        <v>0.86350000000000005</v>
      </c>
      <c r="D821">
        <v>0.84499999999999997</v>
      </c>
      <c r="E821">
        <v>0.85170000000000001</v>
      </c>
      <c r="F821">
        <v>94740.64</v>
      </c>
      <c r="G821">
        <v>0</v>
      </c>
      <c r="L821" t="s">
        <v>7</v>
      </c>
      <c r="M821" t="s">
        <v>8</v>
      </c>
      <c r="N821" t="s">
        <v>8</v>
      </c>
      <c r="P821">
        <f t="shared" si="1004"/>
        <v>-0.27567567567567425</v>
      </c>
      <c r="Q821">
        <f t="shared" si="1005"/>
        <v>-26117.689945945811</v>
      </c>
      <c r="R821">
        <f t="shared" si="1006"/>
        <v>-3405854.7477274477</v>
      </c>
      <c r="S821">
        <f t="shared" si="1007"/>
        <v>-34.058547477274473</v>
      </c>
      <c r="T821">
        <f t="shared" si="1008"/>
        <v>-3.4058547477274471E-2</v>
      </c>
    </row>
    <row r="822" spans="1:20" x14ac:dyDescent="0.25">
      <c r="A822" s="5">
        <v>43771</v>
      </c>
      <c r="B822">
        <v>0.86339999999999995</v>
      </c>
      <c r="C822">
        <v>0.878</v>
      </c>
      <c r="D822">
        <v>0.85050000000000003</v>
      </c>
      <c r="E822">
        <v>0.86</v>
      </c>
      <c r="F822">
        <v>94243.61</v>
      </c>
      <c r="G822">
        <v>0</v>
      </c>
      <c r="L822" t="s">
        <v>7</v>
      </c>
      <c r="M822" t="s">
        <v>8</v>
      </c>
      <c r="N822" t="s">
        <v>8</v>
      </c>
      <c r="P822">
        <f t="shared" si="1004"/>
        <v>-0.30909090909091175</v>
      </c>
      <c r="Q822">
        <f t="shared" si="1005"/>
        <v>-29129.84309090934</v>
      </c>
      <c r="R822">
        <f t="shared" si="1006"/>
        <v>-3379737.0577815017</v>
      </c>
      <c r="S822">
        <f t="shared" si="1007"/>
        <v>-33.797370577815016</v>
      </c>
      <c r="T822">
        <f t="shared" si="1008"/>
        <v>-3.3797370577815018E-2</v>
      </c>
    </row>
    <row r="823" spans="1:20" x14ac:dyDescent="0.25">
      <c r="A823" s="5">
        <v>43770</v>
      </c>
      <c r="B823">
        <v>0.85750000000000004</v>
      </c>
      <c r="C823">
        <v>0.86539999999999995</v>
      </c>
      <c r="D823">
        <v>0.84370000000000001</v>
      </c>
      <c r="E823">
        <v>0.86109999999999998</v>
      </c>
      <c r="F823">
        <v>93166.23</v>
      </c>
      <c r="G823">
        <v>0</v>
      </c>
      <c r="L823" t="s">
        <v>7</v>
      </c>
      <c r="M823" t="s">
        <v>8</v>
      </c>
      <c r="N823" t="s">
        <v>8</v>
      </c>
      <c r="P823">
        <f t="shared" si="1004"/>
        <v>0.60368663594470207</v>
      </c>
      <c r="Q823">
        <f t="shared" si="1005"/>
        <v>56243.207972350378</v>
      </c>
      <c r="R823">
        <f t="shared" si="1006"/>
        <v>-3350607.2146905921</v>
      </c>
      <c r="S823">
        <f t="shared" si="1007"/>
        <v>-33.506072146905922</v>
      </c>
      <c r="T823">
        <f t="shared" si="1008"/>
        <v>-3.3506072146905923E-2</v>
      </c>
    </row>
    <row r="824" spans="1:20" x14ac:dyDescent="0.25">
      <c r="A824" s="5">
        <v>43769</v>
      </c>
      <c r="B824">
        <v>0.87160000000000004</v>
      </c>
      <c r="C824">
        <v>0.879</v>
      </c>
      <c r="D824">
        <v>0.84689999999999999</v>
      </c>
      <c r="E824">
        <v>0.85870000000000002</v>
      </c>
      <c r="F824">
        <v>90961.22</v>
      </c>
      <c r="G824">
        <v>0</v>
      </c>
      <c r="L824" t="s">
        <v>7</v>
      </c>
      <c r="M824" t="s">
        <v>8</v>
      </c>
      <c r="N824" t="s">
        <v>8</v>
      </c>
      <c r="P824">
        <f t="shared" si="1004"/>
        <v>-0.26479750778816036</v>
      </c>
      <c r="Q824">
        <f t="shared" si="1005"/>
        <v>-24086.304361370567</v>
      </c>
      <c r="R824">
        <f t="shared" si="1006"/>
        <v>-3406850.4226629427</v>
      </c>
      <c r="S824">
        <f t="shared" si="1007"/>
        <v>-34.068504226629429</v>
      </c>
      <c r="T824">
        <f t="shared" si="1008"/>
        <v>-3.406850422662943E-2</v>
      </c>
    </row>
    <row r="825" spans="1:20" x14ac:dyDescent="0.25">
      <c r="A825" s="5">
        <v>43768</v>
      </c>
      <c r="B825">
        <v>0.8669</v>
      </c>
      <c r="C825">
        <v>0.87219999999999998</v>
      </c>
      <c r="D825">
        <v>0.84</v>
      </c>
      <c r="E825">
        <v>0.86660000000000004</v>
      </c>
      <c r="F825">
        <v>164040.68</v>
      </c>
      <c r="G825">
        <v>0</v>
      </c>
      <c r="L825" t="s">
        <v>7</v>
      </c>
      <c r="M825" t="s">
        <v>8</v>
      </c>
      <c r="N825" t="s">
        <v>8</v>
      </c>
      <c r="P825">
        <f t="shared" si="1004"/>
        <v>0.65217391304348216</v>
      </c>
      <c r="Q825">
        <f t="shared" si="1005"/>
        <v>106983.05217391367</v>
      </c>
      <c r="R825">
        <f t="shared" si="1006"/>
        <v>-3382764.1183015723</v>
      </c>
      <c r="S825">
        <f t="shared" si="1007"/>
        <v>-33.827641183015722</v>
      </c>
      <c r="T825">
        <f t="shared" si="1008"/>
        <v>-3.3827641183015719E-2</v>
      </c>
    </row>
    <row r="826" spans="1:20" x14ac:dyDescent="0.25">
      <c r="A826" s="5">
        <v>43767</v>
      </c>
      <c r="B826">
        <v>0.82640000000000002</v>
      </c>
      <c r="C826">
        <v>0.89219999999999999</v>
      </c>
      <c r="D826">
        <v>0.82350000000000001</v>
      </c>
      <c r="E826">
        <v>0.86990000000000001</v>
      </c>
      <c r="F826">
        <v>178372.26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0.35080058224163052</v>
      </c>
      <c r="Q826">
        <f t="shared" si="1005"/>
        <v>62573.092663755502</v>
      </c>
      <c r="R826">
        <f t="shared" si="1006"/>
        <v>-3489747.1704754857</v>
      </c>
      <c r="S826">
        <f t="shared" si="1007"/>
        <v>-34.897471704754857</v>
      </c>
      <c r="T826">
        <f t="shared" si="1008"/>
        <v>-3.4897471704754858E-2</v>
      </c>
    </row>
    <row r="827" spans="1:20" x14ac:dyDescent="0.25">
      <c r="A827" s="5">
        <v>43766</v>
      </c>
      <c r="B827">
        <v>0.84989999999999999</v>
      </c>
      <c r="C827">
        <v>0.89380000000000004</v>
      </c>
      <c r="D827">
        <v>0.82340000000000002</v>
      </c>
      <c r="E827">
        <v>0.8286</v>
      </c>
      <c r="F827">
        <v>341747.63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-0.85227272727272785</v>
      </c>
      <c r="Q827">
        <f t="shared" si="1005"/>
        <v>-291262.18465909112</v>
      </c>
      <c r="R827">
        <f t="shared" si="1006"/>
        <v>-3552320.2631392414</v>
      </c>
      <c r="S827">
        <f t="shared" si="1007"/>
        <v>-35.523202631392415</v>
      </c>
      <c r="T827">
        <f t="shared" si="1008"/>
        <v>-3.5523202631392414E-2</v>
      </c>
    </row>
    <row r="828" spans="1:20" x14ac:dyDescent="0.25">
      <c r="A828" s="5">
        <v>43765</v>
      </c>
      <c r="B828">
        <v>0.8054</v>
      </c>
      <c r="C828">
        <v>0.86450000000000005</v>
      </c>
      <c r="D828">
        <v>0.78949999999999998</v>
      </c>
      <c r="E828">
        <v>0.84989999999999999</v>
      </c>
      <c r="F828">
        <v>383141.71</v>
      </c>
      <c r="G828">
        <v>0</v>
      </c>
      <c r="L828" t="s">
        <v>7</v>
      </c>
      <c r="M828" t="s">
        <v>8</v>
      </c>
      <c r="N828" t="s">
        <v>8</v>
      </c>
      <c r="P828">
        <f t="shared" si="1004"/>
        <v>0.61066666666666547</v>
      </c>
      <c r="Q828">
        <f t="shared" si="1005"/>
        <v>233971.87090666621</v>
      </c>
      <c r="R828">
        <f t="shared" si="1006"/>
        <v>-3261058.0784801501</v>
      </c>
      <c r="S828">
        <f t="shared" si="1007"/>
        <v>-32.610580784801499</v>
      </c>
      <c r="T828">
        <f t="shared" si="1008"/>
        <v>-3.2610580784801502E-2</v>
      </c>
    </row>
    <row r="829" spans="1:20" x14ac:dyDescent="0.25">
      <c r="A829" s="5">
        <v>43764</v>
      </c>
      <c r="B829">
        <v>0.81899999999999995</v>
      </c>
      <c r="C829">
        <v>0.87990000000000002</v>
      </c>
      <c r="D829">
        <v>0.78</v>
      </c>
      <c r="E829">
        <v>0.79979999999999996</v>
      </c>
      <c r="F829">
        <v>402240.02</v>
      </c>
      <c r="G829">
        <v>0</v>
      </c>
      <c r="L829" t="s">
        <v>8</v>
      </c>
      <c r="M829" t="s">
        <v>8</v>
      </c>
      <c r="N829" t="s">
        <v>8</v>
      </c>
      <c r="P829">
        <f t="shared" si="1004"/>
        <v>-0.60360360360360499</v>
      </c>
      <c r="Q829">
        <f t="shared" si="1005"/>
        <v>-242793.52558558615</v>
      </c>
      <c r="R829">
        <f t="shared" si="1006"/>
        <v>-3495029.9493868165</v>
      </c>
      <c r="S829">
        <f t="shared" si="1007"/>
        <v>-34.950299493868165</v>
      </c>
      <c r="T829">
        <f t="shared" si="1008"/>
        <v>-3.4950299493868166E-2</v>
      </c>
    </row>
    <row r="830" spans="1:20" x14ac:dyDescent="0.25">
      <c r="A830" s="5">
        <v>43763</v>
      </c>
      <c r="B830">
        <v>0.75829999999999997</v>
      </c>
      <c r="C830">
        <v>0.83560000000000001</v>
      </c>
      <c r="D830">
        <v>0.74739999999999995</v>
      </c>
      <c r="E830">
        <v>0.81899999999999995</v>
      </c>
      <c r="F830">
        <v>319201.31</v>
      </c>
      <c r="G830">
        <v>0</v>
      </c>
      <c r="L830" t="s">
        <v>8</v>
      </c>
      <c r="M830" t="s">
        <v>8</v>
      </c>
      <c r="N830" t="s">
        <v>8</v>
      </c>
      <c r="P830">
        <f t="shared" si="1004"/>
        <v>0.62358276643990818</v>
      </c>
      <c r="Q830">
        <f t="shared" si="1005"/>
        <v>199048.43594104273</v>
      </c>
      <c r="R830">
        <f t="shared" si="1006"/>
        <v>-3252236.4238012303</v>
      </c>
      <c r="S830">
        <f t="shared" si="1007"/>
        <v>-32.522364238012301</v>
      </c>
      <c r="T830">
        <f t="shared" si="1008"/>
        <v>-3.2522364238012302E-2</v>
      </c>
    </row>
    <row r="831" spans="1:20" x14ac:dyDescent="0.25">
      <c r="A831" s="5">
        <v>43762</v>
      </c>
      <c r="B831">
        <v>0.71960000000000002</v>
      </c>
      <c r="C831">
        <v>0.76780000000000004</v>
      </c>
      <c r="D831">
        <v>0.71530000000000005</v>
      </c>
      <c r="E831">
        <v>0.75660000000000005</v>
      </c>
      <c r="F831">
        <v>130439.81</v>
      </c>
      <c r="G831">
        <v>0</v>
      </c>
      <c r="L831" t="s">
        <v>8</v>
      </c>
      <c r="M831" t="s">
        <v>7</v>
      </c>
      <c r="N831" t="s">
        <v>8</v>
      </c>
      <c r="P831">
        <f t="shared" ref="P831:P894" si="1009">IF(C831=D831,0,((E831-D831)-(C831-E831))/(C831-D831))</f>
        <v>0.57333333333333369</v>
      </c>
      <c r="Q831">
        <f t="shared" ref="Q831:Q894" si="1010">F831*P831</f>
        <v>74785.491066666713</v>
      </c>
      <c r="R831">
        <f t="shared" ref="R831:R894" si="1011">R832+Q831</f>
        <v>-3451284.8597422731</v>
      </c>
      <c r="S831">
        <f t="shared" ref="S831:S894" si="1012">R831/100000</f>
        <v>-34.512848597422732</v>
      </c>
      <c r="T831">
        <f t="shared" ref="T831:T894" si="1013">S831/1000</f>
        <v>-3.4512848597422735E-2</v>
      </c>
    </row>
    <row r="832" spans="1:20" x14ac:dyDescent="0.25">
      <c r="A832" s="5">
        <v>43761</v>
      </c>
      <c r="B832">
        <v>0.79200000000000004</v>
      </c>
      <c r="C832">
        <v>0.79200000000000004</v>
      </c>
      <c r="D832">
        <v>0.7056</v>
      </c>
      <c r="E832">
        <v>0.72160000000000002</v>
      </c>
      <c r="F832">
        <v>287606.64</v>
      </c>
      <c r="G832">
        <v>0</v>
      </c>
      <c r="L832" t="s">
        <v>7</v>
      </c>
      <c r="M832" t="s">
        <v>7</v>
      </c>
      <c r="N832" t="s">
        <v>8</v>
      </c>
      <c r="P832">
        <f t="shared" si="1009"/>
        <v>-0.62962962962962943</v>
      </c>
      <c r="Q832">
        <f t="shared" si="1010"/>
        <v>-181085.66222222216</v>
      </c>
      <c r="R832">
        <f t="shared" si="1011"/>
        <v>-3526070.3508089399</v>
      </c>
      <c r="S832">
        <f t="shared" si="1012"/>
        <v>-35.260703508089399</v>
      </c>
      <c r="T832">
        <f t="shared" si="1013"/>
        <v>-3.5260703508089401E-2</v>
      </c>
    </row>
    <row r="833" spans="1:20" x14ac:dyDescent="0.25">
      <c r="A833" s="5">
        <v>43760</v>
      </c>
      <c r="B833">
        <v>0.81159999999999999</v>
      </c>
      <c r="C833">
        <v>0.81369999999999998</v>
      </c>
      <c r="D833">
        <v>0.78820000000000001</v>
      </c>
      <c r="E833">
        <v>0.79300000000000004</v>
      </c>
      <c r="F833">
        <v>157866.13</v>
      </c>
      <c r="G833">
        <v>0</v>
      </c>
      <c r="L833" t="s">
        <v>8</v>
      </c>
      <c r="M833" t="s">
        <v>7</v>
      </c>
      <c r="N833" t="s">
        <v>8</v>
      </c>
      <c r="P833">
        <f t="shared" si="1009"/>
        <v>-0.62352941176470333</v>
      </c>
      <c r="Q833">
        <f t="shared" si="1010"/>
        <v>-98434.175176470191</v>
      </c>
      <c r="R833">
        <f t="shared" si="1011"/>
        <v>-3344984.6885867179</v>
      </c>
      <c r="S833">
        <f t="shared" si="1012"/>
        <v>-33.449846885867181</v>
      </c>
      <c r="T833">
        <f t="shared" si="1013"/>
        <v>-3.3449846885867184E-2</v>
      </c>
    </row>
    <row r="834" spans="1:20" x14ac:dyDescent="0.25">
      <c r="A834" s="5">
        <v>43759</v>
      </c>
      <c r="B834">
        <v>0.80659999999999998</v>
      </c>
      <c r="C834">
        <v>0.82950000000000002</v>
      </c>
      <c r="D834">
        <v>0.79020000000000001</v>
      </c>
      <c r="E834">
        <v>0.81020000000000003</v>
      </c>
      <c r="F834">
        <v>178249.93</v>
      </c>
      <c r="G834">
        <v>0</v>
      </c>
      <c r="L834" t="s">
        <v>8</v>
      </c>
      <c r="M834" t="s">
        <v>7</v>
      </c>
      <c r="N834" t="s">
        <v>8</v>
      </c>
      <c r="P834">
        <f t="shared" si="1009"/>
        <v>1.7811704834606461E-2</v>
      </c>
      <c r="Q834">
        <f t="shared" si="1010"/>
        <v>3174.9351399492634</v>
      </c>
      <c r="R834">
        <f t="shared" si="1011"/>
        <v>-3246550.5134102479</v>
      </c>
      <c r="S834">
        <f t="shared" si="1012"/>
        <v>-32.465505134102479</v>
      </c>
      <c r="T834">
        <f t="shared" si="1013"/>
        <v>-3.2465505134102478E-2</v>
      </c>
    </row>
    <row r="835" spans="1:20" x14ac:dyDescent="0.25">
      <c r="A835" s="5">
        <v>43758</v>
      </c>
      <c r="B835">
        <v>0.78159999999999996</v>
      </c>
      <c r="C835">
        <v>0.83640000000000003</v>
      </c>
      <c r="D835">
        <v>0.77200000000000002</v>
      </c>
      <c r="E835">
        <v>0.80659999999999998</v>
      </c>
      <c r="F835">
        <v>258330.97</v>
      </c>
      <c r="G835">
        <v>0</v>
      </c>
      <c r="L835" t="s">
        <v>7</v>
      </c>
      <c r="M835" t="s">
        <v>7</v>
      </c>
      <c r="N835" t="s">
        <v>8</v>
      </c>
      <c r="P835">
        <f t="shared" si="1009"/>
        <v>7.4534161490681899E-2</v>
      </c>
      <c r="Q835">
        <f t="shared" si="1010"/>
        <v>19254.482236024502</v>
      </c>
      <c r="R835">
        <f t="shared" si="1011"/>
        <v>-3249725.4485501973</v>
      </c>
      <c r="S835">
        <f t="shared" si="1012"/>
        <v>-32.497254485501976</v>
      </c>
      <c r="T835">
        <f t="shared" si="1013"/>
        <v>-3.2497254485501975E-2</v>
      </c>
    </row>
    <row r="836" spans="1:20" x14ac:dyDescent="0.25">
      <c r="A836" s="5">
        <v>43757</v>
      </c>
      <c r="B836">
        <v>0.79520000000000002</v>
      </c>
      <c r="C836">
        <v>0.80069999999999997</v>
      </c>
      <c r="D836">
        <v>0.77470000000000006</v>
      </c>
      <c r="E836">
        <v>0.78169999999999995</v>
      </c>
      <c r="F836">
        <v>182680.94</v>
      </c>
      <c r="G836">
        <v>0</v>
      </c>
      <c r="L836" t="s">
        <v>7</v>
      </c>
      <c r="M836" t="s">
        <v>7</v>
      </c>
      <c r="N836" t="s">
        <v>8</v>
      </c>
      <c r="P836">
        <f t="shared" si="1009"/>
        <v>-0.46153846153846778</v>
      </c>
      <c r="Q836">
        <f t="shared" si="1010"/>
        <v>-84314.280000001148</v>
      </c>
      <c r="R836">
        <f t="shared" si="1011"/>
        <v>-3268979.9307862218</v>
      </c>
      <c r="S836">
        <f t="shared" si="1012"/>
        <v>-32.689799307862216</v>
      </c>
      <c r="T836">
        <f t="shared" si="1013"/>
        <v>-3.2689799307862213E-2</v>
      </c>
    </row>
    <row r="837" spans="1:20" x14ac:dyDescent="0.25">
      <c r="A837" s="5">
        <v>43756</v>
      </c>
      <c r="B837">
        <v>0.83730000000000004</v>
      </c>
      <c r="C837">
        <v>0.8427</v>
      </c>
      <c r="D837">
        <v>0.79090000000000005</v>
      </c>
      <c r="E837">
        <v>0.79810000000000003</v>
      </c>
      <c r="F837">
        <v>157124.92000000001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-0.72200772200772234</v>
      </c>
      <c r="Q837">
        <f t="shared" si="1010"/>
        <v>-113445.40555984562</v>
      </c>
      <c r="R837">
        <f t="shared" si="1011"/>
        <v>-3184665.6507862206</v>
      </c>
      <c r="S837">
        <f t="shared" si="1012"/>
        <v>-31.846656507862207</v>
      </c>
      <c r="T837">
        <f t="shared" si="1013"/>
        <v>-3.1846656507862205E-2</v>
      </c>
    </row>
    <row r="838" spans="1:20" x14ac:dyDescent="0.25">
      <c r="A838" s="5">
        <v>43755</v>
      </c>
      <c r="B838">
        <v>0.80800000000000005</v>
      </c>
      <c r="C838">
        <v>0.87190000000000001</v>
      </c>
      <c r="D838">
        <v>0.79149999999999998</v>
      </c>
      <c r="E838">
        <v>0.84199999999999997</v>
      </c>
      <c r="F838">
        <v>227907.67</v>
      </c>
      <c r="G838">
        <v>0</v>
      </c>
      <c r="L838" t="s">
        <v>8</v>
      </c>
      <c r="M838" t="s">
        <v>7</v>
      </c>
      <c r="N838" t="s">
        <v>8</v>
      </c>
      <c r="P838">
        <f t="shared" si="1009"/>
        <v>0.25621890547263615</v>
      </c>
      <c r="Q838">
        <f t="shared" si="1010"/>
        <v>58394.253756218757</v>
      </c>
      <c r="R838">
        <f t="shared" si="1011"/>
        <v>-3071220.2452263748</v>
      </c>
      <c r="S838">
        <f t="shared" si="1012"/>
        <v>-30.71220245226375</v>
      </c>
      <c r="T838">
        <f t="shared" si="1013"/>
        <v>-3.0712202452263748E-2</v>
      </c>
    </row>
    <row r="839" spans="1:20" x14ac:dyDescent="0.25">
      <c r="A839" s="5">
        <v>43754</v>
      </c>
      <c r="B839">
        <v>0.86360000000000003</v>
      </c>
      <c r="C839">
        <v>0.86950000000000005</v>
      </c>
      <c r="D839">
        <v>0.77080000000000004</v>
      </c>
      <c r="E839">
        <v>0.81489999999999996</v>
      </c>
      <c r="F839">
        <v>366712.85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-0.10638297872340603</v>
      </c>
      <c r="Q839">
        <f t="shared" si="1010"/>
        <v>-39012.005319149583</v>
      </c>
      <c r="R839">
        <f t="shared" si="1011"/>
        <v>-3129614.4989825934</v>
      </c>
      <c r="S839">
        <f t="shared" si="1012"/>
        <v>-31.296144989825933</v>
      </c>
      <c r="T839">
        <f t="shared" si="1013"/>
        <v>-3.1296144989825934E-2</v>
      </c>
    </row>
    <row r="840" spans="1:20" x14ac:dyDescent="0.25">
      <c r="A840" s="5">
        <v>43753</v>
      </c>
      <c r="B840">
        <v>0.78700000000000003</v>
      </c>
      <c r="C840">
        <v>0.93759999999999999</v>
      </c>
      <c r="D840">
        <v>0.78210000000000002</v>
      </c>
      <c r="E840">
        <v>0.86360000000000003</v>
      </c>
      <c r="F840">
        <v>674773.73</v>
      </c>
      <c r="G840">
        <v>0</v>
      </c>
      <c r="L840" t="s">
        <v>8</v>
      </c>
      <c r="M840" t="s">
        <v>8</v>
      </c>
      <c r="N840" t="s">
        <v>8</v>
      </c>
      <c r="P840">
        <f t="shared" si="1009"/>
        <v>4.8231511254019699E-2</v>
      </c>
      <c r="Q840">
        <f t="shared" si="1010"/>
        <v>32545.356752411848</v>
      </c>
      <c r="R840">
        <f t="shared" si="1011"/>
        <v>-3090602.4936634437</v>
      </c>
      <c r="S840">
        <f t="shared" si="1012"/>
        <v>-30.906024936634438</v>
      </c>
      <c r="T840">
        <f t="shared" si="1013"/>
        <v>-3.0906024936634437E-2</v>
      </c>
    </row>
    <row r="841" spans="1:20" x14ac:dyDescent="0.25">
      <c r="A841" s="5">
        <v>43752</v>
      </c>
      <c r="B841">
        <v>0.77590000000000003</v>
      </c>
      <c r="C841">
        <v>0.79300000000000004</v>
      </c>
      <c r="D841">
        <v>0.7712</v>
      </c>
      <c r="E841">
        <v>0.78700000000000003</v>
      </c>
      <c r="F841">
        <v>76518.75</v>
      </c>
      <c r="G841">
        <v>0</v>
      </c>
      <c r="L841" t="s">
        <v>7</v>
      </c>
      <c r="M841" t="s">
        <v>8</v>
      </c>
      <c r="N841" t="s">
        <v>7</v>
      </c>
      <c r="P841">
        <f t="shared" si="1009"/>
        <v>0.4495412844036703</v>
      </c>
      <c r="Q841">
        <f t="shared" si="1010"/>
        <v>34398.337155963345</v>
      </c>
      <c r="R841">
        <f t="shared" si="1011"/>
        <v>-3123147.8504158556</v>
      </c>
      <c r="S841">
        <f t="shared" si="1012"/>
        <v>-31.231478504158556</v>
      </c>
      <c r="T841">
        <f t="shared" si="1013"/>
        <v>-3.1231478504158555E-2</v>
      </c>
    </row>
    <row r="842" spans="1:20" x14ac:dyDescent="0.25">
      <c r="A842" s="5">
        <v>43751</v>
      </c>
      <c r="B842">
        <v>0.77349999999999997</v>
      </c>
      <c r="C842">
        <v>0.78769999999999996</v>
      </c>
      <c r="D842">
        <v>0.76739999999999997</v>
      </c>
      <c r="E842">
        <v>0.77170000000000005</v>
      </c>
      <c r="F842">
        <v>109211.69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-0.5763546798029473</v>
      </c>
      <c r="Q842">
        <f t="shared" si="1010"/>
        <v>-62944.668620688746</v>
      </c>
      <c r="R842">
        <f t="shared" si="1011"/>
        <v>-3157546.1875718189</v>
      </c>
      <c r="S842">
        <f t="shared" si="1012"/>
        <v>-31.57546187571819</v>
      </c>
      <c r="T842">
        <f t="shared" si="1013"/>
        <v>-3.1575461875718192E-2</v>
      </c>
    </row>
    <row r="843" spans="1:20" x14ac:dyDescent="0.25">
      <c r="A843" s="5">
        <v>43750</v>
      </c>
      <c r="B843">
        <v>0.77580000000000005</v>
      </c>
      <c r="C843">
        <v>0.78759999999999997</v>
      </c>
      <c r="D843">
        <v>0.76770000000000005</v>
      </c>
      <c r="E843">
        <v>0.77380000000000004</v>
      </c>
      <c r="F843">
        <v>79477.31</v>
      </c>
      <c r="G843">
        <v>0</v>
      </c>
      <c r="L843" t="s">
        <v>7</v>
      </c>
      <c r="M843" t="s">
        <v>8</v>
      </c>
      <c r="N843" t="s">
        <v>7</v>
      </c>
      <c r="P843">
        <f t="shared" si="1009"/>
        <v>-0.38693467336683218</v>
      </c>
      <c r="Q843">
        <f t="shared" si="1010"/>
        <v>-30752.526984924465</v>
      </c>
      <c r="R843">
        <f t="shared" si="1011"/>
        <v>-3094601.5189511301</v>
      </c>
      <c r="S843">
        <f t="shared" si="1012"/>
        <v>-30.9460151895113</v>
      </c>
      <c r="T843">
        <f t="shared" si="1013"/>
        <v>-3.0946015189511299E-2</v>
      </c>
    </row>
    <row r="844" spans="1:20" x14ac:dyDescent="0.25">
      <c r="A844" s="5">
        <v>43749</v>
      </c>
      <c r="B844">
        <v>0.77500000000000002</v>
      </c>
      <c r="C844">
        <v>0.78759999999999997</v>
      </c>
      <c r="D844">
        <v>0.76100000000000001</v>
      </c>
      <c r="E844">
        <v>0.77529999999999999</v>
      </c>
      <c r="F844">
        <v>167777.8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7.518796992481222E-2</v>
      </c>
      <c r="Q844">
        <f t="shared" si="1010"/>
        <v>12614.872180451159</v>
      </c>
      <c r="R844">
        <f t="shared" si="1011"/>
        <v>-3063848.9919662056</v>
      </c>
      <c r="S844">
        <f t="shared" si="1012"/>
        <v>-30.638489919662057</v>
      </c>
      <c r="T844">
        <f t="shared" si="1013"/>
        <v>-3.0638489919662056E-2</v>
      </c>
    </row>
    <row r="845" spans="1:20" x14ac:dyDescent="0.25">
      <c r="A845" s="5">
        <v>43748</v>
      </c>
      <c r="B845">
        <v>0.80989999999999995</v>
      </c>
      <c r="C845">
        <v>0.81320000000000003</v>
      </c>
      <c r="D845">
        <v>0.77100000000000002</v>
      </c>
      <c r="E845">
        <v>0.77500000000000002</v>
      </c>
      <c r="F845">
        <v>115015.99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-0.81042654028436012</v>
      </c>
      <c r="Q845">
        <f t="shared" si="1010"/>
        <v>-93212.010853080559</v>
      </c>
      <c r="R845">
        <f t="shared" si="1011"/>
        <v>-3076463.8641466568</v>
      </c>
      <c r="S845">
        <f t="shared" si="1012"/>
        <v>-30.764638641466568</v>
      </c>
      <c r="T845">
        <f t="shared" si="1013"/>
        <v>-3.0764638641466568E-2</v>
      </c>
    </row>
    <row r="846" spans="1:20" x14ac:dyDescent="0.25">
      <c r="A846" s="5">
        <v>43747</v>
      </c>
      <c r="B846">
        <v>0.80130000000000001</v>
      </c>
      <c r="C846">
        <v>0.82340000000000002</v>
      </c>
      <c r="D846">
        <v>0.78349999999999997</v>
      </c>
      <c r="E846">
        <v>0.8145</v>
      </c>
      <c r="F846">
        <v>221459.06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0.5538847117794482</v>
      </c>
      <c r="Q846">
        <f t="shared" si="1010"/>
        <v>122662.78761904752</v>
      </c>
      <c r="R846">
        <f t="shared" si="1011"/>
        <v>-2983251.8532935763</v>
      </c>
      <c r="S846">
        <f t="shared" si="1012"/>
        <v>-29.832518532935762</v>
      </c>
      <c r="T846">
        <f t="shared" si="1013"/>
        <v>-2.983251853293576E-2</v>
      </c>
    </row>
    <row r="847" spans="1:20" x14ac:dyDescent="0.25">
      <c r="A847" s="5">
        <v>43746</v>
      </c>
      <c r="B847">
        <v>0.75729999999999997</v>
      </c>
      <c r="C847">
        <v>0.80589999999999995</v>
      </c>
      <c r="D847">
        <v>0.75600000000000001</v>
      </c>
      <c r="E847">
        <v>0.8014</v>
      </c>
      <c r="F847">
        <v>340271.77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0.81963927855711605</v>
      </c>
      <c r="Q847">
        <f t="shared" si="1010"/>
        <v>278900.10807615292</v>
      </c>
      <c r="R847">
        <f t="shared" si="1011"/>
        <v>-3105914.6409126236</v>
      </c>
      <c r="S847">
        <f t="shared" si="1012"/>
        <v>-31.059146409126235</v>
      </c>
      <c r="T847">
        <f t="shared" si="1013"/>
        <v>-3.1059146409126236E-2</v>
      </c>
    </row>
    <row r="848" spans="1:20" x14ac:dyDescent="0.25">
      <c r="A848" s="5">
        <v>43745</v>
      </c>
      <c r="B848">
        <v>0.71609999999999996</v>
      </c>
      <c r="C848">
        <v>0.75860000000000005</v>
      </c>
      <c r="D848">
        <v>0.71460000000000001</v>
      </c>
      <c r="E848">
        <v>0.75729999999999997</v>
      </c>
      <c r="F848">
        <v>219841.9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0.94090909090908736</v>
      </c>
      <c r="Q848">
        <f t="shared" si="1010"/>
        <v>206851.24227272649</v>
      </c>
      <c r="R848">
        <f t="shared" si="1011"/>
        <v>-3384814.7489887765</v>
      </c>
      <c r="S848">
        <f t="shared" si="1012"/>
        <v>-33.848147489887765</v>
      </c>
      <c r="T848">
        <f t="shared" si="1013"/>
        <v>-3.3848147489887764E-2</v>
      </c>
    </row>
    <row r="849" spans="1:20" x14ac:dyDescent="0.25">
      <c r="A849" s="5">
        <v>43744</v>
      </c>
      <c r="B849">
        <v>0.75600000000000001</v>
      </c>
      <c r="C849">
        <v>0.76</v>
      </c>
      <c r="D849">
        <v>0.70720000000000005</v>
      </c>
      <c r="E849">
        <v>0.71609999999999996</v>
      </c>
      <c r="F849">
        <v>164173.13</v>
      </c>
      <c r="G849">
        <v>0</v>
      </c>
      <c r="L849" t="s">
        <v>8</v>
      </c>
      <c r="M849" t="s">
        <v>8</v>
      </c>
      <c r="N849" t="s">
        <v>7</v>
      </c>
      <c r="P849">
        <f t="shared" si="1009"/>
        <v>-0.66287878787879106</v>
      </c>
      <c r="Q849">
        <f t="shared" si="1010"/>
        <v>-108826.8854166672</v>
      </c>
      <c r="R849">
        <f t="shared" si="1011"/>
        <v>-3591665.9912615032</v>
      </c>
      <c r="S849">
        <f t="shared" si="1012"/>
        <v>-35.916659912615032</v>
      </c>
      <c r="T849">
        <f t="shared" si="1013"/>
        <v>-3.5916659912615029E-2</v>
      </c>
    </row>
    <row r="850" spans="1:20" x14ac:dyDescent="0.25">
      <c r="A850" s="5">
        <v>43743</v>
      </c>
      <c r="B850">
        <v>0.73919999999999997</v>
      </c>
      <c r="C850">
        <v>0.75600000000000001</v>
      </c>
      <c r="D850">
        <v>0.7278</v>
      </c>
      <c r="E850">
        <v>0.75590000000000002</v>
      </c>
      <c r="F850">
        <v>172081.76</v>
      </c>
      <c r="G850">
        <v>0</v>
      </c>
      <c r="L850" t="s">
        <v>7</v>
      </c>
      <c r="M850" t="s">
        <v>8</v>
      </c>
      <c r="N850" t="s">
        <v>7</v>
      </c>
      <c r="P850">
        <f t="shared" si="1009"/>
        <v>0.99290780141844048</v>
      </c>
      <c r="Q850">
        <f t="shared" si="1010"/>
        <v>170861.32198581574</v>
      </c>
      <c r="R850">
        <f t="shared" si="1011"/>
        <v>-3482839.1058448362</v>
      </c>
      <c r="S850">
        <f t="shared" si="1012"/>
        <v>-34.828391058448361</v>
      </c>
      <c r="T850">
        <f t="shared" si="1013"/>
        <v>-3.4828391058448357E-2</v>
      </c>
    </row>
    <row r="851" spans="1:20" x14ac:dyDescent="0.25">
      <c r="A851" s="5">
        <v>43742</v>
      </c>
      <c r="B851">
        <v>0.74</v>
      </c>
      <c r="C851">
        <v>0.74399999999999999</v>
      </c>
      <c r="D851">
        <v>0.71179999999999999</v>
      </c>
      <c r="E851">
        <v>0.73550000000000004</v>
      </c>
      <c r="F851">
        <v>94925.27</v>
      </c>
      <c r="G851">
        <v>0</v>
      </c>
      <c r="L851" t="s">
        <v>7</v>
      </c>
      <c r="M851" t="s">
        <v>8</v>
      </c>
      <c r="N851" t="s">
        <v>7</v>
      </c>
      <c r="P851">
        <f t="shared" si="1009"/>
        <v>0.4720496894409969</v>
      </c>
      <c r="Q851">
        <f t="shared" si="1010"/>
        <v>44809.444223602783</v>
      </c>
      <c r="R851">
        <f t="shared" si="1011"/>
        <v>-3653700.4278306519</v>
      </c>
      <c r="S851">
        <f t="shared" si="1012"/>
        <v>-36.537004278306519</v>
      </c>
      <c r="T851">
        <f t="shared" si="1013"/>
        <v>-3.6537004278306522E-2</v>
      </c>
    </row>
    <row r="852" spans="1:20" x14ac:dyDescent="0.25">
      <c r="A852" s="5">
        <v>43741</v>
      </c>
      <c r="B852">
        <v>0.74739999999999995</v>
      </c>
      <c r="C852">
        <v>0.74950000000000006</v>
      </c>
      <c r="D852">
        <v>0.72019999999999995</v>
      </c>
      <c r="E852">
        <v>0.7429</v>
      </c>
      <c r="F852">
        <v>117896.24</v>
      </c>
      <c r="G852">
        <v>0</v>
      </c>
      <c r="L852" t="s">
        <v>8</v>
      </c>
      <c r="M852" t="s">
        <v>8</v>
      </c>
      <c r="N852" t="s">
        <v>7</v>
      </c>
      <c r="P852">
        <f t="shared" si="1009"/>
        <v>0.54948805460750672</v>
      </c>
      <c r="Q852">
        <f t="shared" si="1010"/>
        <v>64782.575563139719</v>
      </c>
      <c r="R852">
        <f t="shared" si="1011"/>
        <v>-3698509.8720542546</v>
      </c>
      <c r="S852">
        <f t="shared" si="1012"/>
        <v>-36.985098720542545</v>
      </c>
      <c r="T852">
        <f t="shared" si="1013"/>
        <v>-3.6985098720542543E-2</v>
      </c>
    </row>
    <row r="853" spans="1:20" x14ac:dyDescent="0.25">
      <c r="A853" s="5">
        <v>43740</v>
      </c>
      <c r="B853">
        <v>0.73409999999999997</v>
      </c>
      <c r="C853">
        <v>0.74750000000000005</v>
      </c>
      <c r="D853">
        <v>0.72430000000000005</v>
      </c>
      <c r="E853">
        <v>0.74739999999999995</v>
      </c>
      <c r="F853">
        <v>63865.19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0.99137931034481896</v>
      </c>
      <c r="Q853">
        <f t="shared" si="1010"/>
        <v>63314.62801724083</v>
      </c>
      <c r="R853">
        <f t="shared" si="1011"/>
        <v>-3763292.4476173944</v>
      </c>
      <c r="S853">
        <f t="shared" si="1012"/>
        <v>-37.63292447617394</v>
      </c>
      <c r="T853">
        <f t="shared" si="1013"/>
        <v>-3.7632924476173939E-2</v>
      </c>
    </row>
    <row r="854" spans="1:20" x14ac:dyDescent="0.25">
      <c r="A854" s="5">
        <v>43739</v>
      </c>
      <c r="B854">
        <v>0.74370000000000003</v>
      </c>
      <c r="C854">
        <v>0.75819999999999999</v>
      </c>
      <c r="D854">
        <v>0.73089999999999999</v>
      </c>
      <c r="E854">
        <v>0.73409999999999997</v>
      </c>
      <c r="F854">
        <v>152907.04999999999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-0.76556776556776696</v>
      </c>
      <c r="Q854">
        <f t="shared" si="1010"/>
        <v>-117060.70860805881</v>
      </c>
      <c r="R854">
        <f t="shared" si="1011"/>
        <v>-3826607.0756346351</v>
      </c>
      <c r="S854">
        <f t="shared" si="1012"/>
        <v>-38.266070756346352</v>
      </c>
      <c r="T854">
        <f t="shared" si="1013"/>
        <v>-3.8266070756346353E-2</v>
      </c>
    </row>
    <row r="855" spans="1:20" x14ac:dyDescent="0.25">
      <c r="A855" s="5">
        <v>43738</v>
      </c>
      <c r="B855">
        <v>0.71619999999999995</v>
      </c>
      <c r="C855">
        <v>0.74539999999999995</v>
      </c>
      <c r="D855">
        <v>0.69679999999999997</v>
      </c>
      <c r="E855">
        <v>0.7429</v>
      </c>
      <c r="F855">
        <v>125960.13</v>
      </c>
      <c r="G855">
        <v>0</v>
      </c>
      <c r="L855" t="s">
        <v>8</v>
      </c>
      <c r="M855" t="s">
        <v>8</v>
      </c>
      <c r="N855" t="s">
        <v>7</v>
      </c>
      <c r="P855">
        <f t="shared" si="1009"/>
        <v>0.89711934156378814</v>
      </c>
      <c r="Q855">
        <f t="shared" si="1010"/>
        <v>113001.26888888916</v>
      </c>
      <c r="R855">
        <f t="shared" si="1011"/>
        <v>-3709546.3670265763</v>
      </c>
      <c r="S855">
        <f t="shared" si="1012"/>
        <v>-37.095463670265765</v>
      </c>
      <c r="T855">
        <f t="shared" si="1013"/>
        <v>-3.7095463670265769E-2</v>
      </c>
    </row>
    <row r="856" spans="1:20" x14ac:dyDescent="0.25">
      <c r="A856" s="5">
        <v>43737</v>
      </c>
      <c r="B856">
        <v>0.73819999999999997</v>
      </c>
      <c r="C856">
        <v>0.73980000000000001</v>
      </c>
      <c r="D856">
        <v>0.69140000000000001</v>
      </c>
      <c r="E856">
        <v>0.71619999999999995</v>
      </c>
      <c r="F856">
        <v>112120.47</v>
      </c>
      <c r="G856">
        <v>0</v>
      </c>
      <c r="L856" t="s">
        <v>7</v>
      </c>
      <c r="M856" t="s">
        <v>8</v>
      </c>
      <c r="N856" t="s">
        <v>7</v>
      </c>
      <c r="P856">
        <f t="shared" si="1009"/>
        <v>2.4793388429749336E-2</v>
      </c>
      <c r="Q856">
        <f t="shared" si="1010"/>
        <v>2779.8463636360575</v>
      </c>
      <c r="R856">
        <f t="shared" si="1011"/>
        <v>-3822547.6359154657</v>
      </c>
      <c r="S856">
        <f t="shared" si="1012"/>
        <v>-38.225476359154655</v>
      </c>
      <c r="T856">
        <f t="shared" si="1013"/>
        <v>-3.8225476359154652E-2</v>
      </c>
    </row>
    <row r="857" spans="1:20" x14ac:dyDescent="0.25">
      <c r="A857" s="5">
        <v>43736</v>
      </c>
      <c r="B857">
        <v>0.73550000000000004</v>
      </c>
      <c r="C857">
        <v>0.745</v>
      </c>
      <c r="D857">
        <v>0.72260000000000002</v>
      </c>
      <c r="E857">
        <v>0.73819999999999997</v>
      </c>
      <c r="F857">
        <v>119623.21</v>
      </c>
      <c r="G857">
        <v>0</v>
      </c>
      <c r="L857" t="s">
        <v>7</v>
      </c>
      <c r="M857" t="s">
        <v>8</v>
      </c>
      <c r="N857" t="s">
        <v>7</v>
      </c>
      <c r="P857">
        <f t="shared" si="1009"/>
        <v>0.39285714285713969</v>
      </c>
      <c r="Q857">
        <f t="shared" si="1010"/>
        <v>46994.832499999626</v>
      </c>
      <c r="R857">
        <f t="shared" si="1011"/>
        <v>-3825327.4822791019</v>
      </c>
      <c r="S857">
        <f t="shared" si="1012"/>
        <v>-38.25327482279102</v>
      </c>
      <c r="T857">
        <f t="shared" si="1013"/>
        <v>-3.825327482279102E-2</v>
      </c>
    </row>
    <row r="858" spans="1:20" x14ac:dyDescent="0.25">
      <c r="A858" s="5">
        <v>43735</v>
      </c>
      <c r="B858">
        <v>0.76070000000000004</v>
      </c>
      <c r="C858">
        <v>0.76070000000000004</v>
      </c>
      <c r="D858">
        <v>0.71450000000000002</v>
      </c>
      <c r="E858">
        <v>0.73550000000000004</v>
      </c>
      <c r="F858">
        <v>155225.09</v>
      </c>
      <c r="G858">
        <v>0</v>
      </c>
      <c r="L858" t="s">
        <v>7</v>
      </c>
      <c r="M858" t="s">
        <v>8</v>
      </c>
      <c r="N858" t="s">
        <v>7</v>
      </c>
      <c r="P858">
        <f t="shared" si="1009"/>
        <v>-9.0909090909090468E-2</v>
      </c>
      <c r="Q858">
        <f t="shared" si="1010"/>
        <v>-14111.371818181749</v>
      </c>
      <c r="R858">
        <f t="shared" si="1011"/>
        <v>-3872322.3147791014</v>
      </c>
      <c r="S858">
        <f t="shared" si="1012"/>
        <v>-38.723223147791018</v>
      </c>
      <c r="T858">
        <f t="shared" si="1013"/>
        <v>-3.8723223147791017E-2</v>
      </c>
    </row>
    <row r="859" spans="1:20" x14ac:dyDescent="0.25">
      <c r="A859" s="5">
        <v>43734</v>
      </c>
      <c r="B859">
        <v>0.75219999999999998</v>
      </c>
      <c r="C859">
        <v>0.79490000000000005</v>
      </c>
      <c r="D859">
        <v>0.70779999999999998</v>
      </c>
      <c r="E859">
        <v>0.75380000000000003</v>
      </c>
      <c r="F859">
        <v>192180.68</v>
      </c>
      <c r="G859">
        <v>0</v>
      </c>
      <c r="L859" t="s">
        <v>8</v>
      </c>
      <c r="M859" t="s">
        <v>8</v>
      </c>
      <c r="N859" t="s">
        <v>7</v>
      </c>
      <c r="P859">
        <f t="shared" si="1009"/>
        <v>5.625717566016087E-2</v>
      </c>
      <c r="Q859">
        <f t="shared" si="1010"/>
        <v>10811.542273249164</v>
      </c>
      <c r="R859">
        <f t="shared" si="1011"/>
        <v>-3858210.9429609198</v>
      </c>
      <c r="S859">
        <f t="shared" si="1012"/>
        <v>-38.582109429609197</v>
      </c>
      <c r="T859">
        <f t="shared" si="1013"/>
        <v>-3.8582109429609199E-2</v>
      </c>
    </row>
    <row r="860" spans="1:20" x14ac:dyDescent="0.25">
      <c r="A860" s="5">
        <v>43733</v>
      </c>
      <c r="B860">
        <v>0.74439999999999995</v>
      </c>
      <c r="C860">
        <v>0.76859999999999995</v>
      </c>
      <c r="D860">
        <v>0.72870000000000001</v>
      </c>
      <c r="E860">
        <v>0.75619999999999998</v>
      </c>
      <c r="F860">
        <v>167399.79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0.3784461152882212</v>
      </c>
      <c r="Q860">
        <f t="shared" si="1010"/>
        <v>63351.800225564024</v>
      </c>
      <c r="R860">
        <f t="shared" si="1011"/>
        <v>-3869022.4852341688</v>
      </c>
      <c r="S860">
        <f t="shared" si="1012"/>
        <v>-38.690224852341686</v>
      </c>
      <c r="T860">
        <f t="shared" si="1013"/>
        <v>-3.8690224852341686E-2</v>
      </c>
    </row>
    <row r="861" spans="1:20" x14ac:dyDescent="0.25">
      <c r="A861" s="5">
        <v>43732</v>
      </c>
      <c r="B861">
        <v>0.873</v>
      </c>
      <c r="C861">
        <v>0.88490000000000002</v>
      </c>
      <c r="D861">
        <v>0.67</v>
      </c>
      <c r="E861">
        <v>0.74790000000000001</v>
      </c>
      <c r="F861">
        <v>307352.8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-0.27501163331782247</v>
      </c>
      <c r="Q861">
        <f t="shared" si="1010"/>
        <v>-84525.595532806023</v>
      </c>
      <c r="R861">
        <f t="shared" si="1011"/>
        <v>-3932374.2854597326</v>
      </c>
      <c r="S861">
        <f t="shared" si="1012"/>
        <v>-39.323742854597327</v>
      </c>
      <c r="T861">
        <f t="shared" si="1013"/>
        <v>-3.9323742854597325E-2</v>
      </c>
    </row>
    <row r="862" spans="1:20" x14ac:dyDescent="0.25">
      <c r="A862" s="5">
        <v>43731</v>
      </c>
      <c r="B862">
        <v>0.8921</v>
      </c>
      <c r="C862">
        <v>0.90939999999999999</v>
      </c>
      <c r="D862">
        <v>0.86509999999999998</v>
      </c>
      <c r="E862">
        <v>0.87560000000000004</v>
      </c>
      <c r="F862">
        <v>128178.74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-0.5259593679458211</v>
      </c>
      <c r="Q862">
        <f t="shared" si="1010"/>
        <v>-67416.809074491743</v>
      </c>
      <c r="R862">
        <f t="shared" si="1011"/>
        <v>-3847848.6899269265</v>
      </c>
      <c r="S862">
        <f t="shared" si="1012"/>
        <v>-38.478486899269264</v>
      </c>
      <c r="T862">
        <f t="shared" si="1013"/>
        <v>-3.8478486899269262E-2</v>
      </c>
    </row>
    <row r="863" spans="1:20" x14ac:dyDescent="0.25">
      <c r="A863" s="5">
        <v>43730</v>
      </c>
      <c r="B863">
        <v>0.92030000000000001</v>
      </c>
      <c r="C863">
        <v>0.93810000000000004</v>
      </c>
      <c r="D863">
        <v>0.88900000000000001</v>
      </c>
      <c r="E863">
        <v>0.89739999999999998</v>
      </c>
      <c r="F863">
        <v>244106.98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-0.65784114052953335</v>
      </c>
      <c r="Q863">
        <f t="shared" si="1010"/>
        <v>-160583.61413442</v>
      </c>
      <c r="R863">
        <f t="shared" si="1011"/>
        <v>-3780431.8808524348</v>
      </c>
      <c r="S863">
        <f t="shared" si="1012"/>
        <v>-37.80431880852435</v>
      </c>
      <c r="T863">
        <f t="shared" si="1013"/>
        <v>-3.7804318808524348E-2</v>
      </c>
    </row>
    <row r="864" spans="1:20" x14ac:dyDescent="0.25">
      <c r="A864" s="5">
        <v>43729</v>
      </c>
      <c r="B864">
        <v>0.94699999999999995</v>
      </c>
      <c r="C864">
        <v>0.94810000000000005</v>
      </c>
      <c r="D864">
        <v>0.92</v>
      </c>
      <c r="E864">
        <v>0.92359999999999998</v>
      </c>
      <c r="F864">
        <v>50492.88</v>
      </c>
      <c r="G864">
        <v>0</v>
      </c>
      <c r="L864" t="s">
        <v>7</v>
      </c>
      <c r="M864" t="s">
        <v>7</v>
      </c>
      <c r="N864" t="s">
        <v>7</v>
      </c>
      <c r="P864">
        <f t="shared" si="1009"/>
        <v>-0.74377224199288716</v>
      </c>
      <c r="Q864">
        <f t="shared" si="1010"/>
        <v>-37555.202562277809</v>
      </c>
      <c r="R864">
        <f t="shared" si="1011"/>
        <v>-3619848.2667180146</v>
      </c>
      <c r="S864">
        <f t="shared" si="1012"/>
        <v>-36.198482667180144</v>
      </c>
      <c r="T864">
        <f t="shared" si="1013"/>
        <v>-3.6198482667180142E-2</v>
      </c>
    </row>
    <row r="865" spans="1:20" x14ac:dyDescent="0.25">
      <c r="A865" s="5">
        <v>43728</v>
      </c>
      <c r="B865">
        <v>0.95</v>
      </c>
      <c r="C865">
        <v>0.95930000000000004</v>
      </c>
      <c r="D865">
        <v>0.92500000000000004</v>
      </c>
      <c r="E865">
        <v>0.94699999999999995</v>
      </c>
      <c r="F865">
        <v>117195.8</v>
      </c>
      <c r="G865">
        <v>0</v>
      </c>
      <c r="L865" t="s">
        <v>7</v>
      </c>
      <c r="M865" t="s">
        <v>7</v>
      </c>
      <c r="N865" t="s">
        <v>7</v>
      </c>
      <c r="P865">
        <f t="shared" si="1009"/>
        <v>0.28279883381923676</v>
      </c>
      <c r="Q865">
        <f t="shared" si="1010"/>
        <v>33142.835568512506</v>
      </c>
      <c r="R865">
        <f t="shared" si="1011"/>
        <v>-3582293.0641557369</v>
      </c>
      <c r="S865">
        <f t="shared" si="1012"/>
        <v>-35.82293064155737</v>
      </c>
      <c r="T865">
        <f t="shared" si="1013"/>
        <v>-3.5822930641557373E-2</v>
      </c>
    </row>
    <row r="866" spans="1:20" x14ac:dyDescent="0.25">
      <c r="A866" s="5">
        <v>43727</v>
      </c>
      <c r="B866">
        <v>0.95679999999999998</v>
      </c>
      <c r="C866">
        <v>0.96950000000000003</v>
      </c>
      <c r="D866">
        <v>0.9002</v>
      </c>
      <c r="E866">
        <v>0.94989999999999997</v>
      </c>
      <c r="F866">
        <v>244191.52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0.43434343434343281</v>
      </c>
      <c r="Q866">
        <f t="shared" si="1010"/>
        <v>106062.98343434306</v>
      </c>
      <c r="R866">
        <f t="shared" si="1011"/>
        <v>-3615435.8997242493</v>
      </c>
      <c r="S866">
        <f t="shared" si="1012"/>
        <v>-36.15435899724249</v>
      </c>
      <c r="T866">
        <f t="shared" si="1013"/>
        <v>-3.6154358997242488E-2</v>
      </c>
    </row>
    <row r="867" spans="1:20" x14ac:dyDescent="0.25">
      <c r="A867" s="5">
        <v>43726</v>
      </c>
      <c r="B867">
        <v>0.90380000000000005</v>
      </c>
      <c r="C867">
        <v>0.97260000000000002</v>
      </c>
      <c r="D867">
        <v>0.9</v>
      </c>
      <c r="E867">
        <v>0.95679999999999998</v>
      </c>
      <c r="F867">
        <v>304398.71000000002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0.56473829201101833</v>
      </c>
      <c r="Q867">
        <f t="shared" si="1010"/>
        <v>171905.60757575728</v>
      </c>
      <c r="R867">
        <f t="shared" si="1011"/>
        <v>-3721498.8831585925</v>
      </c>
      <c r="S867">
        <f t="shared" si="1012"/>
        <v>-37.214988831585927</v>
      </c>
      <c r="T867">
        <f t="shared" si="1013"/>
        <v>-3.721498883158593E-2</v>
      </c>
    </row>
    <row r="868" spans="1:20" x14ac:dyDescent="0.25">
      <c r="A868" s="5">
        <v>43725</v>
      </c>
      <c r="B868">
        <v>0.88770000000000004</v>
      </c>
      <c r="C868">
        <v>0.93310000000000004</v>
      </c>
      <c r="D868">
        <v>0.86719999999999997</v>
      </c>
      <c r="E868">
        <v>0.9</v>
      </c>
      <c r="F868">
        <v>300562.95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-4.5523520485579155E-3</v>
      </c>
      <c r="Q868">
        <f t="shared" si="1010"/>
        <v>-1368.2683611531104</v>
      </c>
      <c r="R868">
        <f t="shared" si="1011"/>
        <v>-3893404.4907343499</v>
      </c>
      <c r="S868">
        <f t="shared" si="1012"/>
        <v>-38.934044907343498</v>
      </c>
      <c r="T868">
        <f t="shared" si="1013"/>
        <v>-3.89340449073435E-2</v>
      </c>
    </row>
    <row r="869" spans="1:20" x14ac:dyDescent="0.25">
      <c r="A869" s="5">
        <v>43724</v>
      </c>
      <c r="B869">
        <v>0.90949999999999998</v>
      </c>
      <c r="C869">
        <v>0.91449999999999998</v>
      </c>
      <c r="D869">
        <v>0.86529999999999996</v>
      </c>
      <c r="E869">
        <v>0.89100000000000001</v>
      </c>
      <c r="F869">
        <v>178677.95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4.471544715447337E-2</v>
      </c>
      <c r="Q869">
        <f t="shared" si="1010"/>
        <v>7989.6644308946352</v>
      </c>
      <c r="R869">
        <f t="shared" si="1011"/>
        <v>-3892036.2223731969</v>
      </c>
      <c r="S869">
        <f t="shared" si="1012"/>
        <v>-38.920362223731971</v>
      </c>
      <c r="T869">
        <f t="shared" si="1013"/>
        <v>-3.892036222373197E-2</v>
      </c>
    </row>
    <row r="870" spans="1:20" x14ac:dyDescent="0.25">
      <c r="A870" s="5">
        <v>43723</v>
      </c>
      <c r="B870">
        <v>0.90590000000000004</v>
      </c>
      <c r="C870">
        <v>0.92</v>
      </c>
      <c r="D870">
        <v>0.8952</v>
      </c>
      <c r="E870">
        <v>0.90539999999999998</v>
      </c>
      <c r="F870">
        <v>97376.45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-0.17741935483871221</v>
      </c>
      <c r="Q870">
        <f t="shared" si="1010"/>
        <v>-17276.466935484117</v>
      </c>
      <c r="R870">
        <f t="shared" si="1011"/>
        <v>-3900025.8868040913</v>
      </c>
      <c r="S870">
        <f t="shared" si="1012"/>
        <v>-39.000258868040916</v>
      </c>
      <c r="T870">
        <f t="shared" si="1013"/>
        <v>-3.9000258868040913E-2</v>
      </c>
    </row>
    <row r="871" spans="1:20" x14ac:dyDescent="0.25">
      <c r="A871" s="5">
        <v>43722</v>
      </c>
      <c r="B871">
        <v>0.90110000000000001</v>
      </c>
      <c r="C871">
        <v>0.90600000000000003</v>
      </c>
      <c r="D871">
        <v>0.88580000000000003</v>
      </c>
      <c r="E871">
        <v>0.90139999999999998</v>
      </c>
      <c r="F871">
        <v>62421.97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0.54455445544553971</v>
      </c>
      <c r="Q871">
        <f t="shared" si="1010"/>
        <v>33992.161881187814</v>
      </c>
      <c r="R871">
        <f t="shared" si="1011"/>
        <v>-3882749.4198686071</v>
      </c>
      <c r="S871">
        <f t="shared" si="1012"/>
        <v>-38.827494198686068</v>
      </c>
      <c r="T871">
        <f t="shared" si="1013"/>
        <v>-3.8827494198686072E-2</v>
      </c>
    </row>
    <row r="872" spans="1:20" x14ac:dyDescent="0.25">
      <c r="A872" s="5">
        <v>43721</v>
      </c>
      <c r="B872">
        <v>0.8821</v>
      </c>
      <c r="C872">
        <v>0.90990000000000004</v>
      </c>
      <c r="D872">
        <v>0.87980000000000003</v>
      </c>
      <c r="E872">
        <v>0.8982</v>
      </c>
      <c r="F872">
        <v>69425.87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0.22259136212624334</v>
      </c>
      <c r="Q872">
        <f t="shared" si="1010"/>
        <v>15453.598970099492</v>
      </c>
      <c r="R872">
        <f t="shared" si="1011"/>
        <v>-3916741.581749795</v>
      </c>
      <c r="S872">
        <f t="shared" si="1012"/>
        <v>-39.167415817497947</v>
      </c>
      <c r="T872">
        <f t="shared" si="1013"/>
        <v>-3.9167415817497948E-2</v>
      </c>
    </row>
    <row r="873" spans="1:20" x14ac:dyDescent="0.25">
      <c r="A873" s="5">
        <v>43720</v>
      </c>
      <c r="B873">
        <v>0.91959999999999997</v>
      </c>
      <c r="C873">
        <v>0.91979999999999995</v>
      </c>
      <c r="D873">
        <v>0.87160000000000004</v>
      </c>
      <c r="E873">
        <v>0.8821</v>
      </c>
      <c r="F873">
        <v>134240.78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-0.56431535269709654</v>
      </c>
      <c r="Q873">
        <f t="shared" si="1010"/>
        <v>-75754.133112033349</v>
      </c>
      <c r="R873">
        <f t="shared" si="1011"/>
        <v>-3932195.1807198944</v>
      </c>
      <c r="S873">
        <f t="shared" si="1012"/>
        <v>-39.321951807198943</v>
      </c>
      <c r="T873">
        <f t="shared" si="1013"/>
        <v>-3.932195180719894E-2</v>
      </c>
    </row>
    <row r="874" spans="1:20" x14ac:dyDescent="0.25">
      <c r="A874" s="5">
        <v>43719</v>
      </c>
      <c r="B874">
        <v>0.90949999999999998</v>
      </c>
      <c r="C874">
        <v>0.92569999999999997</v>
      </c>
      <c r="D874">
        <v>0.87760000000000005</v>
      </c>
      <c r="E874">
        <v>0.91959999999999997</v>
      </c>
      <c r="F874">
        <v>158158.73000000001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0.74636174636174613</v>
      </c>
      <c r="Q874">
        <f t="shared" si="1010"/>
        <v>118043.62592515589</v>
      </c>
      <c r="R874">
        <f t="shared" si="1011"/>
        <v>-3856441.047607861</v>
      </c>
      <c r="S874">
        <f t="shared" si="1012"/>
        <v>-38.564410476078606</v>
      </c>
      <c r="T874">
        <f t="shared" si="1013"/>
        <v>-3.8564410476078607E-2</v>
      </c>
    </row>
    <row r="875" spans="1:20" x14ac:dyDescent="0.25">
      <c r="A875" s="5">
        <v>43718</v>
      </c>
      <c r="B875">
        <v>0.92410000000000003</v>
      </c>
      <c r="C875">
        <v>0.9325</v>
      </c>
      <c r="D875">
        <v>0.89180000000000004</v>
      </c>
      <c r="E875">
        <v>0.90439999999999998</v>
      </c>
      <c r="F875">
        <v>84714.06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-0.38083538083538293</v>
      </c>
      <c r="Q875">
        <f t="shared" si="1010"/>
        <v>-32262.111302211481</v>
      </c>
      <c r="R875">
        <f t="shared" si="1011"/>
        <v>-3974484.6735330168</v>
      </c>
      <c r="S875">
        <f t="shared" si="1012"/>
        <v>-39.744846735330171</v>
      </c>
      <c r="T875">
        <f t="shared" si="1013"/>
        <v>-3.9744846735330172E-2</v>
      </c>
    </row>
    <row r="876" spans="1:20" x14ac:dyDescent="0.25">
      <c r="A876" s="5">
        <v>43717</v>
      </c>
      <c r="B876">
        <v>0.92120000000000002</v>
      </c>
      <c r="C876">
        <v>0.93200000000000005</v>
      </c>
      <c r="D876">
        <v>0.90049999999999997</v>
      </c>
      <c r="E876">
        <v>0.92</v>
      </c>
      <c r="F876">
        <v>103181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0.23809523809523944</v>
      </c>
      <c r="Q876">
        <f t="shared" si="1010"/>
        <v>24566.904761904902</v>
      </c>
      <c r="R876">
        <f t="shared" si="1011"/>
        <v>-3942222.5622308054</v>
      </c>
      <c r="S876">
        <f t="shared" si="1012"/>
        <v>-39.422225622308055</v>
      </c>
      <c r="T876">
        <f t="shared" si="1013"/>
        <v>-3.9422225622308057E-2</v>
      </c>
    </row>
    <row r="877" spans="1:20" x14ac:dyDescent="0.25">
      <c r="A877" s="5">
        <v>43716</v>
      </c>
      <c r="B877">
        <v>0.93500000000000005</v>
      </c>
      <c r="C877">
        <v>0.93710000000000004</v>
      </c>
      <c r="D877">
        <v>0.91</v>
      </c>
      <c r="E877">
        <v>0.9254</v>
      </c>
      <c r="F877">
        <v>81396.070000000007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0.13653136531365032</v>
      </c>
      <c r="Q877">
        <f t="shared" si="1010"/>
        <v>11113.116568265454</v>
      </c>
      <c r="R877">
        <f t="shared" si="1011"/>
        <v>-3966789.4669927103</v>
      </c>
      <c r="S877">
        <f t="shared" si="1012"/>
        <v>-39.667894669927101</v>
      </c>
      <c r="T877">
        <f t="shared" si="1013"/>
        <v>-3.9667894669927102E-2</v>
      </c>
    </row>
    <row r="878" spans="1:20" x14ac:dyDescent="0.25">
      <c r="A878" s="5">
        <v>43715</v>
      </c>
      <c r="B878">
        <v>0.88629999999999998</v>
      </c>
      <c r="C878">
        <v>0.94479999999999997</v>
      </c>
      <c r="D878">
        <v>0.879</v>
      </c>
      <c r="E878">
        <v>0.93049999999999999</v>
      </c>
      <c r="F878">
        <v>128510.63</v>
      </c>
      <c r="G878">
        <v>0</v>
      </c>
      <c r="L878" t="s">
        <v>8</v>
      </c>
      <c r="M878" t="s">
        <v>7</v>
      </c>
      <c r="N878" t="s">
        <v>7</v>
      </c>
      <c r="P878">
        <f t="shared" si="1009"/>
        <v>0.5653495440729488</v>
      </c>
      <c r="Q878">
        <f t="shared" si="1010"/>
        <v>72653.426079027413</v>
      </c>
      <c r="R878">
        <f t="shared" si="1011"/>
        <v>-3977902.5835609757</v>
      </c>
      <c r="S878">
        <f t="shared" si="1012"/>
        <v>-39.779025835609758</v>
      </c>
      <c r="T878">
        <f t="shared" si="1013"/>
        <v>-3.9779025835609758E-2</v>
      </c>
    </row>
    <row r="879" spans="1:20" x14ac:dyDescent="0.25">
      <c r="A879" s="5">
        <v>43714</v>
      </c>
      <c r="B879">
        <v>0.92279999999999995</v>
      </c>
      <c r="C879">
        <v>0.94240000000000002</v>
      </c>
      <c r="D879">
        <v>0.86299999999999999</v>
      </c>
      <c r="E879">
        <v>0.88580000000000003</v>
      </c>
      <c r="F879">
        <v>145969.34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-0.42569269521410491</v>
      </c>
      <c r="Q879">
        <f t="shared" si="1010"/>
        <v>-62138.081763224051</v>
      </c>
      <c r="R879">
        <f t="shared" si="1011"/>
        <v>-4050556.0096400031</v>
      </c>
      <c r="S879">
        <f t="shared" si="1012"/>
        <v>-40.505560096400032</v>
      </c>
      <c r="T879">
        <f t="shared" si="1013"/>
        <v>-4.050556009640003E-2</v>
      </c>
    </row>
    <row r="880" spans="1:20" x14ac:dyDescent="0.25">
      <c r="A880" s="5">
        <v>43713</v>
      </c>
      <c r="B880">
        <v>0.96050000000000002</v>
      </c>
      <c r="C880">
        <v>0.96340000000000003</v>
      </c>
      <c r="D880">
        <v>0.88700000000000001</v>
      </c>
      <c r="E880">
        <v>0.92649999999999999</v>
      </c>
      <c r="F880">
        <v>393525.92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3.4031413612564593E-2</v>
      </c>
      <c r="Q880">
        <f t="shared" si="1010"/>
        <v>13392.243350785004</v>
      </c>
      <c r="R880">
        <f t="shared" si="1011"/>
        <v>-3988417.9278767789</v>
      </c>
      <c r="S880">
        <f t="shared" si="1012"/>
        <v>-39.884179278767789</v>
      </c>
      <c r="T880">
        <f t="shared" si="1013"/>
        <v>-3.9884179278767792E-2</v>
      </c>
    </row>
    <row r="881" spans="1:20" x14ac:dyDescent="0.25">
      <c r="A881" s="5">
        <v>43712</v>
      </c>
      <c r="B881">
        <v>0.9778</v>
      </c>
      <c r="C881">
        <v>0.98129999999999995</v>
      </c>
      <c r="D881">
        <v>0.95279999999999998</v>
      </c>
      <c r="E881">
        <v>0.96050000000000002</v>
      </c>
      <c r="F881">
        <v>112769.63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-0.45964912280701414</v>
      </c>
      <c r="Q881">
        <f t="shared" si="1010"/>
        <v>-51834.46150877155</v>
      </c>
      <c r="R881">
        <f t="shared" si="1011"/>
        <v>-4001810.1712275641</v>
      </c>
      <c r="S881">
        <f t="shared" si="1012"/>
        <v>-40.018101712275644</v>
      </c>
      <c r="T881">
        <f t="shared" si="1013"/>
        <v>-4.0018101712275642E-2</v>
      </c>
    </row>
    <row r="882" spans="1:20" x14ac:dyDescent="0.25">
      <c r="A882" s="5">
        <v>43711</v>
      </c>
      <c r="B882">
        <v>1.0098</v>
      </c>
      <c r="C882">
        <v>1.0196000000000001</v>
      </c>
      <c r="D882">
        <v>0.96689999999999998</v>
      </c>
      <c r="E882">
        <v>0.97319999999999995</v>
      </c>
      <c r="F882">
        <v>212596.56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-0.76091081593928034</v>
      </c>
      <c r="Q882">
        <f t="shared" si="1010"/>
        <v>-161767.02193548417</v>
      </c>
      <c r="R882">
        <f t="shared" si="1011"/>
        <v>-3949975.7097187927</v>
      </c>
      <c r="S882">
        <f t="shared" si="1012"/>
        <v>-39.499757097187924</v>
      </c>
      <c r="T882">
        <f t="shared" si="1013"/>
        <v>-3.9499757097187921E-2</v>
      </c>
    </row>
    <row r="883" spans="1:20" x14ac:dyDescent="0.25">
      <c r="A883" s="5">
        <v>43710</v>
      </c>
      <c r="B883">
        <v>0.97319999999999995</v>
      </c>
      <c r="C883">
        <v>1.03</v>
      </c>
      <c r="D883">
        <v>0.96199999999999997</v>
      </c>
      <c r="E883">
        <v>1.0093000000000001</v>
      </c>
      <c r="F883">
        <v>128229.41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0.39117647058823757</v>
      </c>
      <c r="Q883">
        <f t="shared" si="1010"/>
        <v>50160.328029412056</v>
      </c>
      <c r="R883">
        <f t="shared" si="1011"/>
        <v>-3788208.6877833083</v>
      </c>
      <c r="S883">
        <f t="shared" si="1012"/>
        <v>-37.882086877833082</v>
      </c>
      <c r="T883">
        <f t="shared" si="1013"/>
        <v>-3.7882086877833079E-2</v>
      </c>
    </row>
    <row r="884" spans="1:20" x14ac:dyDescent="0.25">
      <c r="A884" s="5">
        <v>43709</v>
      </c>
      <c r="B884">
        <v>0.9506</v>
      </c>
      <c r="C884">
        <v>0.98050000000000004</v>
      </c>
      <c r="D884">
        <v>0.94</v>
      </c>
      <c r="E884">
        <v>0.97319999999999995</v>
      </c>
      <c r="F884">
        <v>59904.21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0.63950617283950284</v>
      </c>
      <c r="Q884">
        <f t="shared" si="1010"/>
        <v>38309.112074073877</v>
      </c>
      <c r="R884">
        <f t="shared" si="1011"/>
        <v>-3838369.0158127202</v>
      </c>
      <c r="S884">
        <f t="shared" si="1012"/>
        <v>-38.383690158127202</v>
      </c>
      <c r="T884">
        <f t="shared" si="1013"/>
        <v>-3.8383690158127204E-2</v>
      </c>
    </row>
    <row r="885" spans="1:20" x14ac:dyDescent="0.25">
      <c r="A885" s="5">
        <v>43708</v>
      </c>
      <c r="B885">
        <v>0.97629999999999995</v>
      </c>
      <c r="C885">
        <v>0.98270000000000002</v>
      </c>
      <c r="D885">
        <v>0.93600000000000005</v>
      </c>
      <c r="E885">
        <v>0.95630000000000004</v>
      </c>
      <c r="F885">
        <v>60506.07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-0.13062098501070663</v>
      </c>
      <c r="Q885">
        <f t="shared" si="1010"/>
        <v>-7903.3624625267657</v>
      </c>
      <c r="R885">
        <f t="shared" si="1011"/>
        <v>-3876678.127886794</v>
      </c>
      <c r="S885">
        <f t="shared" si="1012"/>
        <v>-38.766781278867938</v>
      </c>
      <c r="T885">
        <f t="shared" si="1013"/>
        <v>-3.8766781278867936E-2</v>
      </c>
    </row>
    <row r="886" spans="1:20" x14ac:dyDescent="0.25">
      <c r="A886" s="5">
        <v>43707</v>
      </c>
      <c r="B886">
        <v>0.95609999999999995</v>
      </c>
      <c r="C886">
        <v>0.98040000000000005</v>
      </c>
      <c r="D886">
        <v>0.93630000000000002</v>
      </c>
      <c r="E886">
        <v>0.97629999999999995</v>
      </c>
      <c r="F886">
        <v>93024.99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0.8140589569160952</v>
      </c>
      <c r="Q886">
        <f t="shared" si="1010"/>
        <v>75727.826326530194</v>
      </c>
      <c r="R886">
        <f t="shared" si="1011"/>
        <v>-3868774.7654242674</v>
      </c>
      <c r="S886">
        <f t="shared" si="1012"/>
        <v>-38.687747654242671</v>
      </c>
      <c r="T886">
        <f t="shared" si="1013"/>
        <v>-3.8687747654242668E-2</v>
      </c>
    </row>
    <row r="887" spans="1:20" x14ac:dyDescent="0.25">
      <c r="A887" s="5">
        <v>43706</v>
      </c>
      <c r="B887">
        <v>0.95750000000000002</v>
      </c>
      <c r="C887">
        <v>0.96060000000000001</v>
      </c>
      <c r="D887">
        <v>0.92500000000000004</v>
      </c>
      <c r="E887">
        <v>0.95609999999999995</v>
      </c>
      <c r="F887">
        <v>155406.39000000001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0.74719101123595144</v>
      </c>
      <c r="Q887">
        <f t="shared" si="1010"/>
        <v>116118.25769662866</v>
      </c>
      <c r="R887">
        <f t="shared" si="1011"/>
        <v>-3944502.5917507978</v>
      </c>
      <c r="S887">
        <f t="shared" si="1012"/>
        <v>-39.445025917507976</v>
      </c>
      <c r="T887">
        <f t="shared" si="1013"/>
        <v>-3.9445025917507974E-2</v>
      </c>
    </row>
    <row r="888" spans="1:20" x14ac:dyDescent="0.25">
      <c r="A888" s="5">
        <v>43705</v>
      </c>
      <c r="B888">
        <v>1.0254000000000001</v>
      </c>
      <c r="C888">
        <v>1.0254000000000001</v>
      </c>
      <c r="D888">
        <v>0.93630000000000002</v>
      </c>
      <c r="E888">
        <v>0.95850000000000002</v>
      </c>
      <c r="F888">
        <v>164235.31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-0.50168350168350206</v>
      </c>
      <c r="Q888">
        <f t="shared" si="1010"/>
        <v>-82394.145420875488</v>
      </c>
      <c r="R888">
        <f t="shared" si="1011"/>
        <v>-4060620.8494474264</v>
      </c>
      <c r="S888">
        <f t="shared" si="1012"/>
        <v>-40.606208494474267</v>
      </c>
      <c r="T888">
        <f t="shared" si="1013"/>
        <v>-4.0606208494474265E-2</v>
      </c>
    </row>
    <row r="889" spans="1:20" x14ac:dyDescent="0.25">
      <c r="A889" s="5">
        <v>43704</v>
      </c>
      <c r="B889">
        <v>1.0349999999999999</v>
      </c>
      <c r="C889">
        <v>1.0392999999999999</v>
      </c>
      <c r="D889">
        <v>1.01</v>
      </c>
      <c r="E889">
        <v>1.0259</v>
      </c>
      <c r="F889">
        <v>110622.78</v>
      </c>
      <c r="G889">
        <v>0</v>
      </c>
      <c r="L889" t="s">
        <v>8</v>
      </c>
      <c r="M889" t="s">
        <v>7</v>
      </c>
      <c r="N889" t="s">
        <v>7</v>
      </c>
      <c r="P889">
        <f t="shared" si="1009"/>
        <v>8.5324232081917362E-2</v>
      </c>
      <c r="Q889">
        <f t="shared" si="1010"/>
        <v>9438.8037542668862</v>
      </c>
      <c r="R889">
        <f t="shared" si="1011"/>
        <v>-3978226.704026551</v>
      </c>
      <c r="S889">
        <f t="shared" si="1012"/>
        <v>-39.782267040265509</v>
      </c>
      <c r="T889">
        <f t="shared" si="1013"/>
        <v>-3.9782267040265509E-2</v>
      </c>
    </row>
    <row r="890" spans="1:20" x14ac:dyDescent="0.25">
      <c r="A890" s="5">
        <v>43703</v>
      </c>
      <c r="B890">
        <v>1.0317000000000001</v>
      </c>
      <c r="C890">
        <v>1.0551999999999999</v>
      </c>
      <c r="D890">
        <v>1.0165</v>
      </c>
      <c r="E890">
        <v>1.0354000000000001</v>
      </c>
      <c r="F890">
        <v>123017.57</v>
      </c>
      <c r="G890">
        <v>0</v>
      </c>
      <c r="L890" t="s">
        <v>8</v>
      </c>
      <c r="M890" t="s">
        <v>7</v>
      </c>
      <c r="N890" t="s">
        <v>7</v>
      </c>
      <c r="P890">
        <f t="shared" si="1009"/>
        <v>-2.3255813953480101E-2</v>
      </c>
      <c r="Q890">
        <f t="shared" si="1010"/>
        <v>-2860.8737209292153</v>
      </c>
      <c r="R890">
        <f t="shared" si="1011"/>
        <v>-3987665.5077808178</v>
      </c>
      <c r="S890">
        <f t="shared" si="1012"/>
        <v>-39.876655077808181</v>
      </c>
      <c r="T890">
        <f t="shared" si="1013"/>
        <v>-3.987665507780818E-2</v>
      </c>
    </row>
    <row r="891" spans="1:20" x14ac:dyDescent="0.25">
      <c r="A891" s="5">
        <v>43702</v>
      </c>
      <c r="B891">
        <v>1.0337000000000001</v>
      </c>
      <c r="C891">
        <v>1.0821000000000001</v>
      </c>
      <c r="D891">
        <v>1.008</v>
      </c>
      <c r="E891">
        <v>1.0287999999999999</v>
      </c>
      <c r="F891">
        <v>347480.47</v>
      </c>
      <c r="G891">
        <v>0</v>
      </c>
      <c r="L891" t="s">
        <v>8</v>
      </c>
      <c r="M891" t="s">
        <v>7</v>
      </c>
      <c r="N891" t="s">
        <v>7</v>
      </c>
      <c r="P891">
        <f t="shared" si="1009"/>
        <v>-0.43859649122807248</v>
      </c>
      <c r="Q891">
        <f t="shared" si="1010"/>
        <v>-152403.71491228149</v>
      </c>
      <c r="R891">
        <f t="shared" si="1011"/>
        <v>-3984804.6340598888</v>
      </c>
      <c r="S891">
        <f t="shared" si="1012"/>
        <v>-39.848046340598884</v>
      </c>
      <c r="T891">
        <f t="shared" si="1013"/>
        <v>-3.9848046340598887E-2</v>
      </c>
    </row>
    <row r="892" spans="1:20" x14ac:dyDescent="0.25">
      <c r="A892" s="5">
        <v>43701</v>
      </c>
      <c r="B892">
        <v>1.032</v>
      </c>
      <c r="C892">
        <v>1.0398000000000001</v>
      </c>
      <c r="D892">
        <v>1</v>
      </c>
      <c r="E892">
        <v>1.0317000000000001</v>
      </c>
      <c r="F892">
        <v>158238.17000000001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0.59296482412060381</v>
      </c>
      <c r="Q892">
        <f t="shared" si="1010"/>
        <v>93829.66864321621</v>
      </c>
      <c r="R892">
        <f t="shared" si="1011"/>
        <v>-3832400.9191476074</v>
      </c>
      <c r="S892">
        <f t="shared" si="1012"/>
        <v>-38.324009191476073</v>
      </c>
      <c r="T892">
        <f t="shared" si="1013"/>
        <v>-3.832400919147607E-2</v>
      </c>
    </row>
    <row r="893" spans="1:20" x14ac:dyDescent="0.25">
      <c r="A893" s="5">
        <v>43700</v>
      </c>
      <c r="B893">
        <v>1.0213000000000001</v>
      </c>
      <c r="C893">
        <v>1.0418000000000001</v>
      </c>
      <c r="D893">
        <v>1.0158</v>
      </c>
      <c r="E893">
        <v>1.032</v>
      </c>
      <c r="F893">
        <v>131756.14000000001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0.24615384615384445</v>
      </c>
      <c r="Q893">
        <f t="shared" si="1010"/>
        <v>32432.280615384392</v>
      </c>
      <c r="R893">
        <f t="shared" si="1011"/>
        <v>-3926230.5877908235</v>
      </c>
      <c r="S893">
        <f t="shared" si="1012"/>
        <v>-39.262305877908233</v>
      </c>
      <c r="T893">
        <f t="shared" si="1013"/>
        <v>-3.926230587790823E-2</v>
      </c>
    </row>
    <row r="894" spans="1:20" x14ac:dyDescent="0.25">
      <c r="A894" s="5">
        <v>43699</v>
      </c>
      <c r="B894">
        <v>1.0236000000000001</v>
      </c>
      <c r="C894">
        <v>1.0647</v>
      </c>
      <c r="D894">
        <v>0.97829999999999995</v>
      </c>
      <c r="E894">
        <v>1.0298</v>
      </c>
      <c r="F894">
        <v>168382.53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0.19212962962963154</v>
      </c>
      <c r="Q894">
        <f t="shared" si="1010"/>
        <v>32351.27312500032</v>
      </c>
      <c r="R894">
        <f t="shared" si="1011"/>
        <v>-3958662.8684062078</v>
      </c>
      <c r="S894">
        <f t="shared" si="1012"/>
        <v>-39.586628684062077</v>
      </c>
      <c r="T894">
        <f t="shared" si="1013"/>
        <v>-3.9586628684062077E-2</v>
      </c>
    </row>
    <row r="895" spans="1:20" x14ac:dyDescent="0.25">
      <c r="A895" s="5">
        <v>43698</v>
      </c>
      <c r="B895">
        <v>1.0416000000000001</v>
      </c>
      <c r="C895">
        <v>1.0449999999999999</v>
      </c>
      <c r="D895">
        <v>0.97209999999999996</v>
      </c>
      <c r="E895">
        <v>1.0169999999999999</v>
      </c>
      <c r="F895">
        <v>226104.15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0.23182441700960113</v>
      </c>
      <c r="Q895">
        <f t="shared" ref="Q895:Q958" si="1015">F895*P895</f>
        <v>52416.462757201407</v>
      </c>
      <c r="R895">
        <f t="shared" ref="R895:R958" si="1016">R896+Q895</f>
        <v>-3991014.1415312081</v>
      </c>
      <c r="S895">
        <f t="shared" ref="S895:S958" si="1017">R895/100000</f>
        <v>-39.910141415312083</v>
      </c>
      <c r="T895">
        <f t="shared" ref="T895:T958" si="1018">S895/1000</f>
        <v>-3.991014141531208E-2</v>
      </c>
    </row>
    <row r="896" spans="1:20" x14ac:dyDescent="0.25">
      <c r="A896" s="5">
        <v>43697</v>
      </c>
      <c r="B896">
        <v>1.0809</v>
      </c>
      <c r="C896">
        <v>1.0876999999999999</v>
      </c>
      <c r="D896">
        <v>1.03</v>
      </c>
      <c r="E896">
        <v>1.0416000000000001</v>
      </c>
      <c r="F896">
        <v>139884.1</v>
      </c>
      <c r="G896">
        <v>0</v>
      </c>
      <c r="L896" t="s">
        <v>7</v>
      </c>
      <c r="M896" t="s">
        <v>8</v>
      </c>
      <c r="N896" t="s">
        <v>7</v>
      </c>
      <c r="P896">
        <f t="shared" si="1014"/>
        <v>-0.59792027729635766</v>
      </c>
      <c r="Q896">
        <f t="shared" si="1015"/>
        <v>-83639.539861351426</v>
      </c>
      <c r="R896">
        <f t="shared" si="1016"/>
        <v>-4043430.6042884095</v>
      </c>
      <c r="S896">
        <f t="shared" si="1017"/>
        <v>-40.434306042884096</v>
      </c>
      <c r="T896">
        <f t="shared" si="1018"/>
        <v>-4.0434306042884095E-2</v>
      </c>
    </row>
    <row r="897" spans="1:20" x14ac:dyDescent="0.25">
      <c r="A897" s="5">
        <v>43696</v>
      </c>
      <c r="B897">
        <v>1.0322</v>
      </c>
      <c r="C897">
        <v>1.18</v>
      </c>
      <c r="D897">
        <v>1.0167999999999999</v>
      </c>
      <c r="E897">
        <v>1.0809</v>
      </c>
      <c r="F897">
        <v>264563.09000000003</v>
      </c>
      <c r="G897">
        <v>0</v>
      </c>
      <c r="L897" t="s">
        <v>8</v>
      </c>
      <c r="M897" t="s">
        <v>8</v>
      </c>
      <c r="N897" t="s">
        <v>7</v>
      </c>
      <c r="P897">
        <f t="shared" si="1014"/>
        <v>-0.21446078431372498</v>
      </c>
      <c r="Q897">
        <f t="shared" si="1015"/>
        <v>-56738.407781862617</v>
      </c>
      <c r="R897">
        <f t="shared" si="1016"/>
        <v>-3959791.0644270582</v>
      </c>
      <c r="S897">
        <f t="shared" si="1017"/>
        <v>-39.597910644270584</v>
      </c>
      <c r="T897">
        <f t="shared" si="1018"/>
        <v>-3.9597910644270581E-2</v>
      </c>
    </row>
    <row r="898" spans="1:20" x14ac:dyDescent="0.25">
      <c r="A898" s="5">
        <v>43695</v>
      </c>
      <c r="B898">
        <v>1.0225</v>
      </c>
      <c r="C898">
        <v>1.0585</v>
      </c>
      <c r="D898">
        <v>0.99550000000000005</v>
      </c>
      <c r="E898">
        <v>1.0322</v>
      </c>
      <c r="F898">
        <v>126782.67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0.16507936507936466</v>
      </c>
      <c r="Q898">
        <f t="shared" si="1015"/>
        <v>20929.202666666613</v>
      </c>
      <c r="R898">
        <f t="shared" si="1016"/>
        <v>-3903052.6566451956</v>
      </c>
      <c r="S898">
        <f t="shared" si="1017"/>
        <v>-39.030526566451954</v>
      </c>
      <c r="T898">
        <f t="shared" si="1018"/>
        <v>-3.9030526566451951E-2</v>
      </c>
    </row>
    <row r="899" spans="1:20" x14ac:dyDescent="0.25">
      <c r="A899" s="5">
        <v>43694</v>
      </c>
      <c r="B899">
        <v>1.0283</v>
      </c>
      <c r="C899">
        <v>1.0392999999999999</v>
      </c>
      <c r="D899">
        <v>0.99760000000000004</v>
      </c>
      <c r="E899">
        <v>1.0225</v>
      </c>
      <c r="F899">
        <v>98934.76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0.19424460431654739</v>
      </c>
      <c r="Q899">
        <f t="shared" si="1015"/>
        <v>19217.543309352579</v>
      </c>
      <c r="R899">
        <f t="shared" si="1016"/>
        <v>-3923981.8593118624</v>
      </c>
      <c r="S899">
        <f t="shared" si="1017"/>
        <v>-39.239818593118621</v>
      </c>
      <c r="T899">
        <f t="shared" si="1018"/>
        <v>-3.9239818593118619E-2</v>
      </c>
    </row>
    <row r="900" spans="1:20" x14ac:dyDescent="0.25">
      <c r="A900" s="5">
        <v>43693</v>
      </c>
      <c r="B900">
        <v>1.0419</v>
      </c>
      <c r="C900">
        <v>1.0421</v>
      </c>
      <c r="D900">
        <v>0.97499999999999998</v>
      </c>
      <c r="E900">
        <v>1.0283</v>
      </c>
      <c r="F900">
        <v>256744.08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0.58867362146050595</v>
      </c>
      <c r="Q900">
        <f t="shared" si="1015"/>
        <v>151138.46736214584</v>
      </c>
      <c r="R900">
        <f t="shared" si="1016"/>
        <v>-3943199.4026212147</v>
      </c>
      <c r="S900">
        <f t="shared" si="1017"/>
        <v>-39.431994026212145</v>
      </c>
      <c r="T900">
        <f t="shared" si="1018"/>
        <v>-3.9431994026212142E-2</v>
      </c>
    </row>
    <row r="901" spans="1:20" x14ac:dyDescent="0.25">
      <c r="A901" s="5">
        <v>43692</v>
      </c>
      <c r="B901">
        <v>0.9899</v>
      </c>
      <c r="C901">
        <v>1.0672999999999999</v>
      </c>
      <c r="D901">
        <v>0.9899</v>
      </c>
      <c r="E901">
        <v>1.0398000000000001</v>
      </c>
      <c r="F901">
        <v>269762.46000000002</v>
      </c>
      <c r="G901">
        <v>0</v>
      </c>
      <c r="L901" t="s">
        <v>8</v>
      </c>
      <c r="M901" t="s">
        <v>7</v>
      </c>
      <c r="N901" t="s">
        <v>7</v>
      </c>
      <c r="P901">
        <f t="shared" si="1014"/>
        <v>0.28940568475452483</v>
      </c>
      <c r="Q901">
        <f t="shared" si="1015"/>
        <v>78070.789457365114</v>
      </c>
      <c r="R901">
        <f t="shared" si="1016"/>
        <v>-4094337.8699833606</v>
      </c>
      <c r="S901">
        <f t="shared" si="1017"/>
        <v>-40.943378699833609</v>
      </c>
      <c r="T901">
        <f t="shared" si="1018"/>
        <v>-4.094337869983361E-2</v>
      </c>
    </row>
    <row r="902" spans="1:20" x14ac:dyDescent="0.25">
      <c r="A902" s="5">
        <v>43691</v>
      </c>
      <c r="B902">
        <v>1.0685</v>
      </c>
      <c r="C902">
        <v>1.0719000000000001</v>
      </c>
      <c r="D902">
        <v>0.98270000000000002</v>
      </c>
      <c r="E902">
        <v>0.99</v>
      </c>
      <c r="F902">
        <v>313329.28999999998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-0.8363228699551577</v>
      </c>
      <c r="Q902">
        <f t="shared" si="1015"/>
        <v>-262044.45105381188</v>
      </c>
      <c r="R902">
        <f t="shared" si="1016"/>
        <v>-4172408.6594407256</v>
      </c>
      <c r="S902">
        <f t="shared" si="1017"/>
        <v>-41.724086594407254</v>
      </c>
      <c r="T902">
        <f t="shared" si="1018"/>
        <v>-4.1724086594407253E-2</v>
      </c>
    </row>
    <row r="903" spans="1:20" x14ac:dyDescent="0.25">
      <c r="A903" s="5">
        <v>43690</v>
      </c>
      <c r="B903">
        <v>1.1079000000000001</v>
      </c>
      <c r="C903">
        <v>1.1279999999999999</v>
      </c>
      <c r="D903">
        <v>1.0488999999999999</v>
      </c>
      <c r="E903">
        <v>1.0653999999999999</v>
      </c>
      <c r="F903">
        <v>455908.4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-0.58280657395701718</v>
      </c>
      <c r="Q903">
        <f t="shared" si="1015"/>
        <v>-265706.41264222539</v>
      </c>
      <c r="R903">
        <f t="shared" si="1016"/>
        <v>-3910364.2083869139</v>
      </c>
      <c r="S903">
        <f t="shared" si="1017"/>
        <v>-39.10364208386914</v>
      </c>
      <c r="T903">
        <f t="shared" si="1018"/>
        <v>-3.9103642083869142E-2</v>
      </c>
    </row>
    <row r="904" spans="1:20" x14ac:dyDescent="0.25">
      <c r="A904" s="5">
        <v>43689</v>
      </c>
      <c r="B904">
        <v>1.1254</v>
      </c>
      <c r="C904">
        <v>1.1678999999999999</v>
      </c>
      <c r="D904">
        <v>1.1079000000000001</v>
      </c>
      <c r="E904">
        <v>1.1079000000000001</v>
      </c>
      <c r="F904">
        <v>377092.27</v>
      </c>
      <c r="G904">
        <v>0</v>
      </c>
      <c r="L904" t="s">
        <v>7</v>
      </c>
      <c r="M904" t="s">
        <v>7</v>
      </c>
      <c r="N904" t="s">
        <v>7</v>
      </c>
      <c r="P904">
        <f t="shared" si="1014"/>
        <v>-1</v>
      </c>
      <c r="Q904">
        <f t="shared" si="1015"/>
        <v>-377092.27</v>
      </c>
      <c r="R904">
        <f t="shared" si="1016"/>
        <v>-3644657.7957446887</v>
      </c>
      <c r="S904">
        <f t="shared" si="1017"/>
        <v>-36.446577957446884</v>
      </c>
      <c r="T904">
        <f t="shared" si="1018"/>
        <v>-3.6446577957446886E-2</v>
      </c>
    </row>
    <row r="905" spans="1:20" x14ac:dyDescent="0.25">
      <c r="A905" s="5">
        <v>43688</v>
      </c>
      <c r="B905">
        <v>1.1200000000000001</v>
      </c>
      <c r="C905">
        <v>1.1499999999999999</v>
      </c>
      <c r="D905">
        <v>1.1000000000000001</v>
      </c>
      <c r="E905">
        <v>1.1246</v>
      </c>
      <c r="F905">
        <v>196603.11</v>
      </c>
      <c r="G905">
        <v>0</v>
      </c>
      <c r="L905" t="s">
        <v>7</v>
      </c>
      <c r="M905" t="s">
        <v>7</v>
      </c>
      <c r="N905" t="s">
        <v>7</v>
      </c>
      <c r="P905">
        <f t="shared" si="1014"/>
        <v>-1.5999999999998293E-2</v>
      </c>
      <c r="Q905">
        <f t="shared" si="1015"/>
        <v>-3145.6497599996642</v>
      </c>
      <c r="R905">
        <f t="shared" si="1016"/>
        <v>-3267565.5257446887</v>
      </c>
      <c r="S905">
        <f t="shared" si="1017"/>
        <v>-32.675655257446884</v>
      </c>
      <c r="T905">
        <f t="shared" si="1018"/>
        <v>-3.2675655257446881E-2</v>
      </c>
    </row>
    <row r="906" spans="1:20" x14ac:dyDescent="0.25">
      <c r="A906" s="5">
        <v>43687</v>
      </c>
      <c r="B906">
        <v>1.1273</v>
      </c>
      <c r="C906">
        <v>1.1899</v>
      </c>
      <c r="D906">
        <v>1.081</v>
      </c>
      <c r="E906">
        <v>1.1200000000000001</v>
      </c>
      <c r="F906">
        <v>567990.77</v>
      </c>
      <c r="G906">
        <v>0</v>
      </c>
      <c r="L906" t="s">
        <v>8</v>
      </c>
      <c r="M906" t="s">
        <v>7</v>
      </c>
      <c r="N906" t="s">
        <v>7</v>
      </c>
      <c r="P906">
        <f t="shared" si="1014"/>
        <v>-0.28374655647382652</v>
      </c>
      <c r="Q906">
        <f t="shared" si="1015"/>
        <v>-161165.42509641722</v>
      </c>
      <c r="R906">
        <f t="shared" si="1016"/>
        <v>-3264419.8759846892</v>
      </c>
      <c r="S906">
        <f t="shared" si="1017"/>
        <v>-32.644198759846894</v>
      </c>
      <c r="T906">
        <f t="shared" si="1018"/>
        <v>-3.2644198759846893E-2</v>
      </c>
    </row>
    <row r="907" spans="1:20" x14ac:dyDescent="0.25">
      <c r="A907" s="5">
        <v>43686</v>
      </c>
      <c r="B907">
        <v>1.0590999999999999</v>
      </c>
      <c r="C907">
        <v>1.1496</v>
      </c>
      <c r="D907">
        <v>1.02</v>
      </c>
      <c r="E907">
        <v>1.1296999999999999</v>
      </c>
      <c r="F907">
        <v>438262.43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0.69290123456790065</v>
      </c>
      <c r="Q907">
        <f t="shared" si="1015"/>
        <v>303672.5788117281</v>
      </c>
      <c r="R907">
        <f t="shared" si="1016"/>
        <v>-3103254.4508882719</v>
      </c>
      <c r="S907">
        <f t="shared" si="1017"/>
        <v>-31.032544508882719</v>
      </c>
      <c r="T907">
        <f t="shared" si="1018"/>
        <v>-3.1032544508882719E-2</v>
      </c>
    </row>
    <row r="908" spans="1:20" x14ac:dyDescent="0.25">
      <c r="A908" s="5">
        <v>43685</v>
      </c>
      <c r="B908">
        <v>1.0891</v>
      </c>
      <c r="C908">
        <v>1.1214</v>
      </c>
      <c r="D908">
        <v>1.0489999999999999</v>
      </c>
      <c r="E908">
        <v>1.0658000000000001</v>
      </c>
      <c r="F908">
        <v>271202.05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-0.53591160220994083</v>
      </c>
      <c r="Q908">
        <f t="shared" si="1015"/>
        <v>-145340.32513812048</v>
      </c>
      <c r="R908">
        <f t="shared" si="1016"/>
        <v>-3406927.0296999998</v>
      </c>
      <c r="S908">
        <f t="shared" si="1017"/>
        <v>-34.069270296999996</v>
      </c>
      <c r="T908">
        <f t="shared" si="1018"/>
        <v>-3.4069270296999993E-2</v>
      </c>
    </row>
    <row r="909" spans="1:20" x14ac:dyDescent="0.25">
      <c r="A909" s="5">
        <v>43684</v>
      </c>
      <c r="B909">
        <v>1.0938000000000001</v>
      </c>
      <c r="C909">
        <v>1.1564000000000001</v>
      </c>
      <c r="D909">
        <v>1.0720000000000001</v>
      </c>
      <c r="E909">
        <v>1.081</v>
      </c>
      <c r="F909">
        <v>389463.9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-0.78672985781990779</v>
      </c>
      <c r="Q909">
        <f t="shared" si="1015"/>
        <v>-306402.87867298682</v>
      </c>
      <c r="R909">
        <f t="shared" si="1016"/>
        <v>-3261586.7045618794</v>
      </c>
      <c r="S909">
        <f t="shared" si="1017"/>
        <v>-32.615867045618792</v>
      </c>
      <c r="T909">
        <f t="shared" si="1018"/>
        <v>-3.2615867045618793E-2</v>
      </c>
    </row>
    <row r="910" spans="1:20" x14ac:dyDescent="0.25">
      <c r="A910" s="5">
        <v>43683</v>
      </c>
      <c r="B910">
        <v>1.1409</v>
      </c>
      <c r="C910">
        <v>1.1613</v>
      </c>
      <c r="D910">
        <v>1.083</v>
      </c>
      <c r="E910">
        <v>1.0938000000000001</v>
      </c>
      <c r="F910">
        <v>403915.35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-0.72413793103447921</v>
      </c>
      <c r="Q910">
        <f t="shared" si="1015"/>
        <v>-292490.4258620675</v>
      </c>
      <c r="R910">
        <f t="shared" si="1016"/>
        <v>-2955183.8258888926</v>
      </c>
      <c r="S910">
        <f t="shared" si="1017"/>
        <v>-29.551838258888928</v>
      </c>
      <c r="T910">
        <f t="shared" si="1018"/>
        <v>-2.9551838258888928E-2</v>
      </c>
    </row>
    <row r="911" spans="1:20" x14ac:dyDescent="0.25">
      <c r="A911" s="5">
        <v>43682</v>
      </c>
      <c r="B911">
        <v>1.1701999999999999</v>
      </c>
      <c r="C911">
        <v>1.1950000000000001</v>
      </c>
      <c r="D911">
        <v>1.1407</v>
      </c>
      <c r="E911">
        <v>1.1464000000000001</v>
      </c>
      <c r="F911">
        <v>395935.59</v>
      </c>
      <c r="G911">
        <v>0</v>
      </c>
      <c r="L911" t="s">
        <v>8</v>
      </c>
      <c r="M911" t="s">
        <v>7</v>
      </c>
      <c r="N911" t="s">
        <v>8</v>
      </c>
      <c r="P911">
        <f t="shared" si="1014"/>
        <v>-0.79005524861878318</v>
      </c>
      <c r="Q911">
        <f t="shared" si="1015"/>
        <v>-312810.99099447462</v>
      </c>
      <c r="R911">
        <f t="shared" si="1016"/>
        <v>-2662693.4000268253</v>
      </c>
      <c r="S911">
        <f t="shared" si="1017"/>
        <v>-26.626934000268253</v>
      </c>
      <c r="T911">
        <f t="shared" si="1018"/>
        <v>-2.6626934000268252E-2</v>
      </c>
    </row>
    <row r="912" spans="1:20" x14ac:dyDescent="0.25">
      <c r="A912" s="5">
        <v>43681</v>
      </c>
      <c r="B912">
        <v>1.1226</v>
      </c>
      <c r="C912">
        <v>1.2172000000000001</v>
      </c>
      <c r="D912">
        <v>1.1226</v>
      </c>
      <c r="E912">
        <v>1.1705000000000001</v>
      </c>
      <c r="F912">
        <v>497892.2</v>
      </c>
      <c r="G912">
        <v>0</v>
      </c>
      <c r="L912" t="s">
        <v>8</v>
      </c>
      <c r="M912" t="s">
        <v>7</v>
      </c>
      <c r="N912" t="s">
        <v>8</v>
      </c>
      <c r="P912">
        <f t="shared" si="1014"/>
        <v>1.2684989429176424E-2</v>
      </c>
      <c r="Q912">
        <f t="shared" si="1015"/>
        <v>6315.7572938693938</v>
      </c>
      <c r="R912">
        <f t="shared" si="1016"/>
        <v>-2349882.4090323509</v>
      </c>
      <c r="S912">
        <f t="shared" si="1017"/>
        <v>-23.498824090323509</v>
      </c>
      <c r="T912">
        <f t="shared" si="1018"/>
        <v>-2.3498824090323511E-2</v>
      </c>
    </row>
    <row r="913" spans="1:20" x14ac:dyDescent="0.25">
      <c r="A913" s="5">
        <v>43680</v>
      </c>
      <c r="B913">
        <v>1.1566000000000001</v>
      </c>
      <c r="C913">
        <v>1.1677999999999999</v>
      </c>
      <c r="D913">
        <v>1.1109</v>
      </c>
      <c r="E913">
        <v>1.1222000000000001</v>
      </c>
      <c r="F913">
        <v>306946.27</v>
      </c>
      <c r="G913">
        <v>0</v>
      </c>
      <c r="L913" t="s">
        <v>7</v>
      </c>
      <c r="M913" t="s">
        <v>7</v>
      </c>
      <c r="N913" t="s">
        <v>8</v>
      </c>
      <c r="P913">
        <f t="shared" si="1014"/>
        <v>-0.6028119507908577</v>
      </c>
      <c r="Q913">
        <f t="shared" si="1015"/>
        <v>-185030.87980667735</v>
      </c>
      <c r="R913">
        <f t="shared" si="1016"/>
        <v>-2356198.1663262201</v>
      </c>
      <c r="S913">
        <f t="shared" si="1017"/>
        <v>-23.561981663262202</v>
      </c>
      <c r="T913">
        <f t="shared" si="1018"/>
        <v>-2.3561981663262201E-2</v>
      </c>
    </row>
    <row r="914" spans="1:20" x14ac:dyDescent="0.25">
      <c r="A914" s="5">
        <v>43679</v>
      </c>
      <c r="B914">
        <v>1.1849000000000001</v>
      </c>
      <c r="C914">
        <v>1.1936</v>
      </c>
      <c r="D914">
        <v>1.1113999999999999</v>
      </c>
      <c r="E914">
        <v>1.1577</v>
      </c>
      <c r="F914">
        <v>643262.23</v>
      </c>
      <c r="G914">
        <v>0</v>
      </c>
      <c r="L914" t="s">
        <v>7</v>
      </c>
      <c r="M914" t="s">
        <v>7</v>
      </c>
      <c r="N914" t="s">
        <v>8</v>
      </c>
      <c r="P914">
        <f t="shared" si="1014"/>
        <v>0.1265206812652063</v>
      </c>
      <c r="Q914">
        <f t="shared" si="1015"/>
        <v>81385.975571775823</v>
      </c>
      <c r="R914">
        <f t="shared" si="1016"/>
        <v>-2171167.2865195428</v>
      </c>
      <c r="S914">
        <f t="shared" si="1017"/>
        <v>-21.711672865195428</v>
      </c>
      <c r="T914">
        <f t="shared" si="1018"/>
        <v>-2.1711672865195427E-2</v>
      </c>
    </row>
    <row r="915" spans="1:20" x14ac:dyDescent="0.25">
      <c r="A915" s="5">
        <v>43678</v>
      </c>
      <c r="B915">
        <v>1.2749999999999999</v>
      </c>
      <c r="C915">
        <v>1.2770999999999999</v>
      </c>
      <c r="D915">
        <v>1.1628000000000001</v>
      </c>
      <c r="E915">
        <v>1.1892</v>
      </c>
      <c r="F915">
        <v>776109.29</v>
      </c>
      <c r="G915">
        <v>0</v>
      </c>
      <c r="L915" t="s">
        <v>7</v>
      </c>
      <c r="M915" t="s">
        <v>7</v>
      </c>
      <c r="N915" t="s">
        <v>8</v>
      </c>
      <c r="P915">
        <f t="shared" si="1014"/>
        <v>-0.53805774278215202</v>
      </c>
      <c r="Q915">
        <f t="shared" si="1015"/>
        <v>-417591.61272965866</v>
      </c>
      <c r="R915">
        <f t="shared" si="1016"/>
        <v>-2252553.2620913186</v>
      </c>
      <c r="S915">
        <f t="shared" si="1017"/>
        <v>-22.525532620913186</v>
      </c>
      <c r="T915">
        <f t="shared" si="1018"/>
        <v>-2.2525532620913186E-2</v>
      </c>
    </row>
    <row r="916" spans="1:20" x14ac:dyDescent="0.25">
      <c r="A916" s="5">
        <v>43677</v>
      </c>
      <c r="B916">
        <v>1.2912999999999999</v>
      </c>
      <c r="C916">
        <v>1.3334999999999999</v>
      </c>
      <c r="D916">
        <v>1.2434000000000001</v>
      </c>
      <c r="E916">
        <v>1.2751999999999999</v>
      </c>
      <c r="F916">
        <v>518007.43</v>
      </c>
      <c r="G916">
        <v>0</v>
      </c>
      <c r="L916" t="s">
        <v>7</v>
      </c>
      <c r="M916" t="s">
        <v>8</v>
      </c>
      <c r="N916" t="s">
        <v>8</v>
      </c>
      <c r="P916">
        <f t="shared" si="1014"/>
        <v>-0.29411764705882615</v>
      </c>
      <c r="Q916">
        <f t="shared" si="1015"/>
        <v>-152355.1264705896</v>
      </c>
      <c r="R916">
        <f t="shared" si="1016"/>
        <v>-1834961.6493616598</v>
      </c>
      <c r="S916">
        <f t="shared" si="1017"/>
        <v>-18.349616493616598</v>
      </c>
      <c r="T916">
        <f t="shared" si="1018"/>
        <v>-1.8349616493616598E-2</v>
      </c>
    </row>
    <row r="917" spans="1:20" x14ac:dyDescent="0.25">
      <c r="A917" s="5">
        <v>43676</v>
      </c>
      <c r="B917">
        <v>1.3379000000000001</v>
      </c>
      <c r="C917">
        <v>1.3444</v>
      </c>
      <c r="D917">
        <v>1.2674000000000001</v>
      </c>
      <c r="E917">
        <v>1.2955000000000001</v>
      </c>
      <c r="F917">
        <v>538896.43000000005</v>
      </c>
      <c r="G917">
        <v>0</v>
      </c>
      <c r="L917" t="s">
        <v>7</v>
      </c>
      <c r="M917" t="s">
        <v>8</v>
      </c>
      <c r="N917" t="s">
        <v>8</v>
      </c>
      <c r="P917">
        <f t="shared" si="1014"/>
        <v>-0.27012987012986939</v>
      </c>
      <c r="Q917">
        <f t="shared" si="1015"/>
        <v>-145572.02264935026</v>
      </c>
      <c r="R917">
        <f t="shared" si="1016"/>
        <v>-1682606.5228910702</v>
      </c>
      <c r="S917">
        <f t="shared" si="1017"/>
        <v>-16.826065228910704</v>
      </c>
      <c r="T917">
        <f t="shared" si="1018"/>
        <v>-1.6826065228910704E-2</v>
      </c>
    </row>
    <row r="918" spans="1:20" x14ac:dyDescent="0.25">
      <c r="A918" s="5">
        <v>43675</v>
      </c>
      <c r="B918">
        <v>1.3549</v>
      </c>
      <c r="C918">
        <v>1.4550000000000001</v>
      </c>
      <c r="D918">
        <v>1.331</v>
      </c>
      <c r="E918">
        <v>1.3428</v>
      </c>
      <c r="F918">
        <v>610169.66</v>
      </c>
      <c r="G918">
        <v>0</v>
      </c>
      <c r="L918" t="s">
        <v>8</v>
      </c>
      <c r="M918" t="s">
        <v>8</v>
      </c>
      <c r="N918" t="s">
        <v>8</v>
      </c>
      <c r="P918">
        <f t="shared" si="1014"/>
        <v>-0.80967741935483839</v>
      </c>
      <c r="Q918">
        <f t="shared" si="1015"/>
        <v>-494040.59567741916</v>
      </c>
      <c r="R918">
        <f t="shared" si="1016"/>
        <v>-1537034.5002417199</v>
      </c>
      <c r="S918">
        <f t="shared" si="1017"/>
        <v>-15.370345002417199</v>
      </c>
      <c r="T918">
        <f t="shared" si="1018"/>
        <v>-1.5370345002417199E-2</v>
      </c>
    </row>
    <row r="919" spans="1:20" x14ac:dyDescent="0.25">
      <c r="A919" s="5">
        <v>43674</v>
      </c>
      <c r="B919">
        <v>1.2908999999999999</v>
      </c>
      <c r="C919">
        <v>1.3787</v>
      </c>
      <c r="D919">
        <v>1.2715000000000001</v>
      </c>
      <c r="E919">
        <v>1.3545</v>
      </c>
      <c r="F919">
        <v>475717.31</v>
      </c>
      <c r="G919">
        <v>0</v>
      </c>
      <c r="L919" t="s">
        <v>8</v>
      </c>
      <c r="M919" t="s">
        <v>8</v>
      </c>
      <c r="N919" t="s">
        <v>8</v>
      </c>
      <c r="P919">
        <f t="shared" si="1014"/>
        <v>0.54850746268656703</v>
      </c>
      <c r="Q919">
        <f t="shared" si="1015"/>
        <v>260934.49466417904</v>
      </c>
      <c r="R919">
        <f t="shared" si="1016"/>
        <v>-1042993.9045643007</v>
      </c>
      <c r="S919">
        <f t="shared" si="1017"/>
        <v>-10.429939045643007</v>
      </c>
      <c r="T919">
        <f t="shared" si="1018"/>
        <v>-1.0429939045643006E-2</v>
      </c>
    </row>
    <row r="920" spans="1:20" x14ac:dyDescent="0.25">
      <c r="A920" s="5">
        <v>43673</v>
      </c>
      <c r="B920">
        <v>1.3694</v>
      </c>
      <c r="C920">
        <v>1.4151</v>
      </c>
      <c r="D920">
        <v>1.2678</v>
      </c>
      <c r="E920">
        <v>1.2875000000000001</v>
      </c>
      <c r="F920">
        <v>648646.44999999995</v>
      </c>
      <c r="G920">
        <v>0</v>
      </c>
      <c r="L920" t="s">
        <v>7</v>
      </c>
      <c r="M920" t="s">
        <v>8</v>
      </c>
      <c r="N920" t="s">
        <v>8</v>
      </c>
      <c r="P920">
        <f t="shared" si="1014"/>
        <v>-0.73251866938221244</v>
      </c>
      <c r="Q920">
        <f t="shared" si="1015"/>
        <v>-475145.63445349573</v>
      </c>
      <c r="R920">
        <f t="shared" si="1016"/>
        <v>-1303928.3992284797</v>
      </c>
      <c r="S920">
        <f t="shared" si="1017"/>
        <v>-13.039283992284798</v>
      </c>
      <c r="T920">
        <f t="shared" si="1018"/>
        <v>-1.3039283992284798E-2</v>
      </c>
    </row>
    <row r="921" spans="1:20" x14ac:dyDescent="0.25">
      <c r="A921" s="5">
        <v>43672</v>
      </c>
      <c r="B921">
        <v>1.3825000000000001</v>
      </c>
      <c r="C921">
        <v>1.43</v>
      </c>
      <c r="D921">
        <v>1.3194999999999999</v>
      </c>
      <c r="E921">
        <v>1.3671</v>
      </c>
      <c r="F921">
        <v>1114116.9099999999</v>
      </c>
      <c r="G921">
        <v>0</v>
      </c>
      <c r="L921" t="s">
        <v>7</v>
      </c>
      <c r="M921" t="s">
        <v>8</v>
      </c>
      <c r="N921" t="s">
        <v>8</v>
      </c>
      <c r="P921">
        <f t="shared" si="1014"/>
        <v>-0.13846153846153722</v>
      </c>
      <c r="Q921">
        <f t="shared" si="1015"/>
        <v>-154262.341384614</v>
      </c>
      <c r="R921">
        <f t="shared" si="1016"/>
        <v>-828782.76477498387</v>
      </c>
      <c r="S921">
        <f t="shared" si="1017"/>
        <v>-8.2878276477498378</v>
      </c>
      <c r="T921">
        <f t="shared" si="1018"/>
        <v>-8.2878276477498375E-3</v>
      </c>
    </row>
    <row r="922" spans="1:20" x14ac:dyDescent="0.25">
      <c r="A922" s="5">
        <v>43671</v>
      </c>
      <c r="B922">
        <v>1.2073</v>
      </c>
      <c r="C922">
        <v>1.4686999999999999</v>
      </c>
      <c r="D922">
        <v>1.202</v>
      </c>
      <c r="E922">
        <v>1.3835</v>
      </c>
      <c r="F922">
        <v>1743286.89</v>
      </c>
      <c r="G922">
        <v>0</v>
      </c>
      <c r="L922" t="s">
        <v>8</v>
      </c>
      <c r="M922" t="s">
        <v>8</v>
      </c>
      <c r="N922" t="s">
        <v>8</v>
      </c>
      <c r="P922">
        <f t="shared" si="1014"/>
        <v>0.36107986501687317</v>
      </c>
      <c r="Q922">
        <f t="shared" si="1015"/>
        <v>629465.79492688458</v>
      </c>
      <c r="R922">
        <f t="shared" si="1016"/>
        <v>-674520.42339036986</v>
      </c>
      <c r="S922">
        <f t="shared" si="1017"/>
        <v>-6.7452042339036984</v>
      </c>
      <c r="T922">
        <f t="shared" si="1018"/>
        <v>-6.7452042339036988E-3</v>
      </c>
    </row>
    <row r="923" spans="1:20" x14ac:dyDescent="0.25">
      <c r="A923" s="5">
        <v>43670</v>
      </c>
      <c r="B923">
        <v>1.1553</v>
      </c>
      <c r="C923">
        <v>1.23</v>
      </c>
      <c r="D923">
        <v>1.1128</v>
      </c>
      <c r="E923">
        <v>1.2072000000000001</v>
      </c>
      <c r="F923">
        <v>345565.28</v>
      </c>
      <c r="G923">
        <v>0</v>
      </c>
      <c r="L923" t="s">
        <v>8</v>
      </c>
      <c r="M923" t="s">
        <v>8</v>
      </c>
      <c r="N923" t="s">
        <v>8</v>
      </c>
      <c r="P923">
        <f t="shared" si="1014"/>
        <v>0.61092150170648574</v>
      </c>
      <c r="Q923">
        <f t="shared" si="1015"/>
        <v>211113.25979522223</v>
      </c>
      <c r="R923">
        <f t="shared" si="1016"/>
        <v>-1303986.2183172544</v>
      </c>
      <c r="S923">
        <f t="shared" si="1017"/>
        <v>-13.039862183172545</v>
      </c>
      <c r="T923">
        <f t="shared" si="1018"/>
        <v>-1.3039862183172544E-2</v>
      </c>
    </row>
    <row r="924" spans="1:20" x14ac:dyDescent="0.25">
      <c r="A924" s="5">
        <v>43669</v>
      </c>
      <c r="B924">
        <v>1.2045999999999999</v>
      </c>
      <c r="C924">
        <v>1.2181999999999999</v>
      </c>
      <c r="D924">
        <v>1.1203000000000001</v>
      </c>
      <c r="E924">
        <v>1.1596</v>
      </c>
      <c r="F924">
        <v>398422.23</v>
      </c>
      <c r="G924">
        <v>0</v>
      </c>
      <c r="L924" t="s">
        <v>7</v>
      </c>
      <c r="M924" t="s">
        <v>8</v>
      </c>
      <c r="N924" t="s">
        <v>8</v>
      </c>
      <c r="P924">
        <f t="shared" si="1014"/>
        <v>-0.19713993871297364</v>
      </c>
      <c r="Q924">
        <f t="shared" si="1015"/>
        <v>-78544.934004086288</v>
      </c>
      <c r="R924">
        <f t="shared" si="1016"/>
        <v>-1515099.4781124766</v>
      </c>
      <c r="S924">
        <f t="shared" si="1017"/>
        <v>-15.150994781124766</v>
      </c>
      <c r="T924">
        <f t="shared" si="1018"/>
        <v>-1.5150994781124765E-2</v>
      </c>
    </row>
    <row r="925" spans="1:20" x14ac:dyDescent="0.25">
      <c r="A925" s="5">
        <v>43668</v>
      </c>
      <c r="B925">
        <v>1.2483</v>
      </c>
      <c r="C925">
        <v>1.27</v>
      </c>
      <c r="D925">
        <v>1.1671</v>
      </c>
      <c r="E925">
        <v>1.2081</v>
      </c>
      <c r="F925">
        <v>787323.25</v>
      </c>
      <c r="G925">
        <v>0</v>
      </c>
      <c r="L925" t="s">
        <v>7</v>
      </c>
      <c r="M925" t="s">
        <v>8</v>
      </c>
      <c r="N925" t="s">
        <v>8</v>
      </c>
      <c r="P925">
        <f t="shared" si="1014"/>
        <v>-0.2031098153547147</v>
      </c>
      <c r="Q925">
        <f t="shared" si="1015"/>
        <v>-159913.07993197389</v>
      </c>
      <c r="R925">
        <f t="shared" si="1016"/>
        <v>-1436554.5441083903</v>
      </c>
      <c r="S925">
        <f t="shared" si="1017"/>
        <v>-14.365545441083903</v>
      </c>
      <c r="T925">
        <f t="shared" si="1018"/>
        <v>-1.4365545441083902E-2</v>
      </c>
    </row>
    <row r="926" spans="1:20" x14ac:dyDescent="0.25">
      <c r="A926" s="5">
        <v>43667</v>
      </c>
      <c r="B926">
        <v>1.1903999999999999</v>
      </c>
      <c r="C926">
        <v>1.2942</v>
      </c>
      <c r="D926">
        <v>1.1518999999999999</v>
      </c>
      <c r="E926">
        <v>1.2497</v>
      </c>
      <c r="F926">
        <v>1487838.6</v>
      </c>
      <c r="G926">
        <v>0</v>
      </c>
      <c r="L926" t="s">
        <v>8</v>
      </c>
      <c r="M926" t="s">
        <v>8</v>
      </c>
      <c r="N926" t="s">
        <v>8</v>
      </c>
      <c r="P926">
        <f t="shared" si="1014"/>
        <v>0.37456078706957197</v>
      </c>
      <c r="Q926">
        <f t="shared" si="1015"/>
        <v>557285.9970484901</v>
      </c>
      <c r="R926">
        <f t="shared" si="1016"/>
        <v>-1276641.4641764164</v>
      </c>
      <c r="S926">
        <f t="shared" si="1017"/>
        <v>-12.766414641764165</v>
      </c>
      <c r="T926">
        <f t="shared" si="1018"/>
        <v>-1.2766414641764165E-2</v>
      </c>
    </row>
    <row r="927" spans="1:20" x14ac:dyDescent="0.25">
      <c r="A927" s="5">
        <v>43666</v>
      </c>
      <c r="B927">
        <v>1.105</v>
      </c>
      <c r="C927">
        <v>1.25</v>
      </c>
      <c r="D927">
        <v>1.0857000000000001</v>
      </c>
      <c r="E927">
        <v>1.1888000000000001</v>
      </c>
      <c r="F927">
        <v>947221.14</v>
      </c>
      <c r="G927">
        <v>0</v>
      </c>
      <c r="L927" t="s">
        <v>8</v>
      </c>
      <c r="M927" t="s">
        <v>8</v>
      </c>
      <c r="N927" t="s">
        <v>8</v>
      </c>
      <c r="P927">
        <f t="shared" si="1014"/>
        <v>0.25502130249543564</v>
      </c>
      <c r="Q927">
        <f t="shared" si="1015"/>
        <v>241561.5688740114</v>
      </c>
      <c r="R927">
        <f t="shared" si="1016"/>
        <v>-1833927.4612249066</v>
      </c>
      <c r="S927">
        <f t="shared" si="1017"/>
        <v>-18.339274612249067</v>
      </c>
      <c r="T927">
        <f t="shared" si="1018"/>
        <v>-1.8339274612249067E-2</v>
      </c>
    </row>
    <row r="928" spans="1:20" x14ac:dyDescent="0.25">
      <c r="A928" s="5">
        <v>43665</v>
      </c>
      <c r="B928">
        <v>1.1062000000000001</v>
      </c>
      <c r="C928">
        <v>1.1194999999999999</v>
      </c>
      <c r="D928">
        <v>1.0547</v>
      </c>
      <c r="E928">
        <v>1.1035999999999999</v>
      </c>
      <c r="F928">
        <v>448426.3</v>
      </c>
      <c r="G928">
        <v>0</v>
      </c>
      <c r="L928" t="s">
        <v>7</v>
      </c>
      <c r="M928" t="s">
        <v>8</v>
      </c>
      <c r="N928" t="s">
        <v>8</v>
      </c>
      <c r="P928">
        <f t="shared" si="1014"/>
        <v>0.50925925925925819</v>
      </c>
      <c r="Q928">
        <f t="shared" si="1015"/>
        <v>228365.2453703699</v>
      </c>
      <c r="R928">
        <f t="shared" si="1016"/>
        <v>-2075489.0300989179</v>
      </c>
      <c r="S928">
        <f t="shared" si="1017"/>
        <v>-20.754890300989178</v>
      </c>
      <c r="T928">
        <f t="shared" si="1018"/>
        <v>-2.075489030098918E-2</v>
      </c>
    </row>
    <row r="929" spans="1:20" x14ac:dyDescent="0.25">
      <c r="A929" s="5">
        <v>43664</v>
      </c>
      <c r="B929">
        <v>1.1298999999999999</v>
      </c>
      <c r="C929">
        <v>1.1758999999999999</v>
      </c>
      <c r="D929">
        <v>1.0501</v>
      </c>
      <c r="E929">
        <v>1.1044</v>
      </c>
      <c r="F929">
        <v>1021709.52</v>
      </c>
      <c r="G929">
        <v>0</v>
      </c>
      <c r="L929" t="s">
        <v>7</v>
      </c>
      <c r="M929" t="s">
        <v>8</v>
      </c>
      <c r="N929" t="s">
        <v>8</v>
      </c>
      <c r="P929">
        <f t="shared" si="1014"/>
        <v>-0.13672496025437117</v>
      </c>
      <c r="Q929">
        <f t="shared" si="1015"/>
        <v>-139693.19351351264</v>
      </c>
      <c r="R929">
        <f t="shared" si="1016"/>
        <v>-2303854.2754692878</v>
      </c>
      <c r="S929">
        <f t="shared" si="1017"/>
        <v>-23.038542754692877</v>
      </c>
      <c r="T929">
        <f t="shared" si="1018"/>
        <v>-2.3038542754692876E-2</v>
      </c>
    </row>
    <row r="930" spans="1:20" x14ac:dyDescent="0.25">
      <c r="A930" s="5">
        <v>43663</v>
      </c>
      <c r="B930">
        <v>0.91220000000000001</v>
      </c>
      <c r="C930">
        <v>1.2283999999999999</v>
      </c>
      <c r="D930">
        <v>0.87470000000000003</v>
      </c>
      <c r="E930">
        <v>1.1299999999999999</v>
      </c>
      <c r="F930">
        <v>2186946.17</v>
      </c>
      <c r="G930">
        <v>0</v>
      </c>
      <c r="L930" t="s">
        <v>8</v>
      </c>
      <c r="M930" t="s">
        <v>8</v>
      </c>
      <c r="N930" t="s">
        <v>8</v>
      </c>
      <c r="P930">
        <f t="shared" si="1014"/>
        <v>0.44359626802374852</v>
      </c>
      <c r="Q930">
        <f t="shared" si="1015"/>
        <v>970121.15938083024</v>
      </c>
      <c r="R930">
        <f t="shared" si="1016"/>
        <v>-2164161.0819557752</v>
      </c>
      <c r="S930">
        <f t="shared" si="1017"/>
        <v>-21.641610819557751</v>
      </c>
      <c r="T930">
        <f t="shared" si="1018"/>
        <v>-2.164161081955775E-2</v>
      </c>
    </row>
    <row r="931" spans="1:20" x14ac:dyDescent="0.25">
      <c r="A931" s="5">
        <v>43662</v>
      </c>
      <c r="B931">
        <v>1.02</v>
      </c>
      <c r="C931">
        <v>1.1783999999999999</v>
      </c>
      <c r="D931">
        <v>0.88039999999999996</v>
      </c>
      <c r="E931">
        <v>0.90500000000000003</v>
      </c>
      <c r="F931">
        <v>455141.85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-0.83489932885905993</v>
      </c>
      <c r="Q931">
        <f t="shared" si="1015"/>
        <v>-379997.62510067091</v>
      </c>
      <c r="R931">
        <f t="shared" si="1016"/>
        <v>-3134282.2413366055</v>
      </c>
      <c r="S931">
        <f t="shared" si="1017"/>
        <v>-31.342822413366054</v>
      </c>
      <c r="T931">
        <f t="shared" si="1018"/>
        <v>-3.1342822413366056E-2</v>
      </c>
    </row>
    <row r="932" spans="1:20" x14ac:dyDescent="0.25">
      <c r="A932" s="5">
        <v>43661</v>
      </c>
      <c r="B932">
        <v>1.0212000000000001</v>
      </c>
      <c r="C932">
        <v>1.0669999999999999</v>
      </c>
      <c r="D932">
        <v>0.95</v>
      </c>
      <c r="E932">
        <v>1.0190999999999999</v>
      </c>
      <c r="F932">
        <v>497211.15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0.18119658119658022</v>
      </c>
      <c r="Q932">
        <f t="shared" si="1015"/>
        <v>90092.960512820035</v>
      </c>
      <c r="R932">
        <f t="shared" si="1016"/>
        <v>-2754284.6162359347</v>
      </c>
      <c r="S932">
        <f t="shared" si="1017"/>
        <v>-27.542846162359346</v>
      </c>
      <c r="T932">
        <f t="shared" si="1018"/>
        <v>-2.7542846162359347E-2</v>
      </c>
    </row>
    <row r="933" spans="1:20" x14ac:dyDescent="0.25">
      <c r="A933" s="5">
        <v>43660</v>
      </c>
      <c r="B933">
        <v>1.1571</v>
      </c>
      <c r="C933">
        <v>1.1628000000000001</v>
      </c>
      <c r="D933">
        <v>1.01</v>
      </c>
      <c r="E933">
        <v>1.0142</v>
      </c>
      <c r="F933">
        <v>310477.3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-0.94502617801047151</v>
      </c>
      <c r="Q933">
        <f t="shared" si="1015"/>
        <v>-293409.17617801053</v>
      </c>
      <c r="R933">
        <f t="shared" si="1016"/>
        <v>-2844377.5767487548</v>
      </c>
      <c r="S933">
        <f t="shared" si="1017"/>
        <v>-28.443775767487548</v>
      </c>
      <c r="T933">
        <f t="shared" si="1018"/>
        <v>-2.8443775767487547E-2</v>
      </c>
    </row>
    <row r="934" spans="1:20" x14ac:dyDescent="0.25">
      <c r="A934" s="5">
        <v>43659</v>
      </c>
      <c r="B934">
        <v>1.1877</v>
      </c>
      <c r="C934">
        <v>1.2628999999999999</v>
      </c>
      <c r="D934">
        <v>1.1000000000000001</v>
      </c>
      <c r="E934">
        <v>1.1628000000000001</v>
      </c>
      <c r="F934">
        <v>349444.1</v>
      </c>
      <c r="G934">
        <v>0</v>
      </c>
      <c r="L934" t="s">
        <v>8</v>
      </c>
      <c r="M934" t="s">
        <v>7</v>
      </c>
      <c r="N934" t="s">
        <v>7</v>
      </c>
      <c r="P934">
        <f t="shared" si="1014"/>
        <v>-0.22897483118477549</v>
      </c>
      <c r="Q934">
        <f t="shared" si="1015"/>
        <v>-80013.903806015805</v>
      </c>
      <c r="R934">
        <f t="shared" si="1016"/>
        <v>-2550968.4005707442</v>
      </c>
      <c r="S934">
        <f t="shared" si="1017"/>
        <v>-25.509684005707442</v>
      </c>
      <c r="T934">
        <f t="shared" si="1018"/>
        <v>-2.5509684005707443E-2</v>
      </c>
    </row>
    <row r="935" spans="1:20" x14ac:dyDescent="0.25">
      <c r="A935" s="5">
        <v>43658</v>
      </c>
      <c r="B935">
        <v>1.0998000000000001</v>
      </c>
      <c r="C935">
        <v>1.2123999999999999</v>
      </c>
      <c r="D935">
        <v>1.0685</v>
      </c>
      <c r="E935">
        <v>1.1892</v>
      </c>
      <c r="F935">
        <v>381226.54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0.67755385684503266</v>
      </c>
      <c r="Q935">
        <f t="shared" si="1015"/>
        <v>258301.5125086871</v>
      </c>
      <c r="R935">
        <f t="shared" si="1016"/>
        <v>-2470954.4967647283</v>
      </c>
      <c r="S935">
        <f t="shared" si="1017"/>
        <v>-24.709544967647282</v>
      </c>
      <c r="T935">
        <f t="shared" si="1018"/>
        <v>-2.4709544967647282E-2</v>
      </c>
    </row>
    <row r="936" spans="1:20" x14ac:dyDescent="0.25">
      <c r="A936" s="5">
        <v>43657</v>
      </c>
      <c r="B936">
        <v>1.2307999999999999</v>
      </c>
      <c r="C936">
        <v>1.2511000000000001</v>
      </c>
      <c r="D936">
        <v>1.0770999999999999</v>
      </c>
      <c r="E936">
        <v>1.1001000000000001</v>
      </c>
      <c r="F936">
        <v>593516.38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-0.73563218390804475</v>
      </c>
      <c r="Q936">
        <f t="shared" si="1015"/>
        <v>-436609.75080459699</v>
      </c>
      <c r="R936">
        <f t="shared" si="1016"/>
        <v>-2729256.0092734154</v>
      </c>
      <c r="S936">
        <f t="shared" si="1017"/>
        <v>-27.292560092734153</v>
      </c>
      <c r="T936">
        <f t="shared" si="1018"/>
        <v>-2.7292560092734154E-2</v>
      </c>
    </row>
    <row r="937" spans="1:20" x14ac:dyDescent="0.25">
      <c r="A937" s="5">
        <v>43656</v>
      </c>
      <c r="B937">
        <v>1.3796999999999999</v>
      </c>
      <c r="C937">
        <v>1.3853</v>
      </c>
      <c r="D937">
        <v>1.2010000000000001</v>
      </c>
      <c r="E937">
        <v>1.2412000000000001</v>
      </c>
      <c r="F937">
        <v>830965.56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-0.56375474769397682</v>
      </c>
      <c r="Q937">
        <f t="shared" si="1015"/>
        <v>-468460.77962018421</v>
      </c>
      <c r="R937">
        <f t="shared" si="1016"/>
        <v>-2292646.2584688184</v>
      </c>
      <c r="S937">
        <f t="shared" si="1017"/>
        <v>-22.926462584688185</v>
      </c>
      <c r="T937">
        <f t="shared" si="1018"/>
        <v>-2.2926462584688185E-2</v>
      </c>
    </row>
    <row r="938" spans="1:20" x14ac:dyDescent="0.25">
      <c r="A938" s="5">
        <v>43655</v>
      </c>
      <c r="B938">
        <v>1.3825000000000001</v>
      </c>
      <c r="C938">
        <v>1.4378</v>
      </c>
      <c r="D938">
        <v>1.32</v>
      </c>
      <c r="E938">
        <v>1.3817999999999999</v>
      </c>
      <c r="F938">
        <v>561041.73</v>
      </c>
      <c r="G938">
        <v>0</v>
      </c>
      <c r="L938" t="s">
        <v>7</v>
      </c>
      <c r="M938" t="s">
        <v>8</v>
      </c>
      <c r="N938" t="s">
        <v>7</v>
      </c>
      <c r="P938">
        <f t="shared" si="1014"/>
        <v>4.9235993208826913E-2</v>
      </c>
      <c r="Q938">
        <f t="shared" si="1015"/>
        <v>27623.446808148503</v>
      </c>
      <c r="R938">
        <f t="shared" si="1016"/>
        <v>-1824185.4788486343</v>
      </c>
      <c r="S938">
        <f t="shared" si="1017"/>
        <v>-18.241854788486343</v>
      </c>
      <c r="T938">
        <f t="shared" si="1018"/>
        <v>-1.8241854788486344E-2</v>
      </c>
    </row>
    <row r="939" spans="1:20" x14ac:dyDescent="0.25">
      <c r="A939" s="5">
        <v>43654</v>
      </c>
      <c r="B939">
        <v>1.3311999999999999</v>
      </c>
      <c r="C939">
        <v>1.4590000000000001</v>
      </c>
      <c r="D939">
        <v>1.3069</v>
      </c>
      <c r="E939">
        <v>1.3826000000000001</v>
      </c>
      <c r="F939">
        <v>1334928.75</v>
      </c>
      <c r="G939">
        <v>0</v>
      </c>
      <c r="L939" t="s">
        <v>8</v>
      </c>
      <c r="M939" t="s">
        <v>8</v>
      </c>
      <c r="N939" t="s">
        <v>7</v>
      </c>
      <c r="P939">
        <f t="shared" si="1014"/>
        <v>-4.6022353714656305E-3</v>
      </c>
      <c r="Q939">
        <f t="shared" si="1015"/>
        <v>-6143.6563116363996</v>
      </c>
      <c r="R939">
        <f t="shared" si="1016"/>
        <v>-1851808.9256567827</v>
      </c>
      <c r="S939">
        <f t="shared" si="1017"/>
        <v>-18.518089256567826</v>
      </c>
      <c r="T939">
        <f t="shared" si="1018"/>
        <v>-1.8518089256567827E-2</v>
      </c>
    </row>
    <row r="940" spans="1:20" x14ac:dyDescent="0.25">
      <c r="A940" s="5">
        <v>43653</v>
      </c>
      <c r="B940">
        <v>1.2436</v>
      </c>
      <c r="C940">
        <v>1.3658999999999999</v>
      </c>
      <c r="D940">
        <v>1.2301</v>
      </c>
      <c r="E940">
        <v>1.3404</v>
      </c>
      <c r="F940">
        <v>607672.21</v>
      </c>
      <c r="G940">
        <v>0</v>
      </c>
      <c r="L940" t="s">
        <v>8</v>
      </c>
      <c r="M940" t="s">
        <v>7</v>
      </c>
      <c r="N940" t="s">
        <v>7</v>
      </c>
      <c r="P940">
        <f t="shared" si="1014"/>
        <v>0.62444771723122428</v>
      </c>
      <c r="Q940">
        <f t="shared" si="1015"/>
        <v>379459.52435935312</v>
      </c>
      <c r="R940">
        <f t="shared" si="1016"/>
        <v>-1845665.2693451464</v>
      </c>
      <c r="S940">
        <f t="shared" si="1017"/>
        <v>-18.456652693451463</v>
      </c>
      <c r="T940">
        <f t="shared" si="1018"/>
        <v>-1.8456652693451463E-2</v>
      </c>
    </row>
    <row r="941" spans="1:20" x14ac:dyDescent="0.25">
      <c r="A941" s="5">
        <v>43652</v>
      </c>
      <c r="B941">
        <v>1.2287999999999999</v>
      </c>
      <c r="C941">
        <v>1.2646999999999999</v>
      </c>
      <c r="D941">
        <v>1.2079</v>
      </c>
      <c r="E941">
        <v>1.2423</v>
      </c>
      <c r="F941">
        <v>352042.36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0.21126760563380315</v>
      </c>
      <c r="Q941">
        <f t="shared" si="1015"/>
        <v>74375.146478873357</v>
      </c>
      <c r="R941">
        <f t="shared" si="1016"/>
        <v>-2225124.7937044995</v>
      </c>
      <c r="S941">
        <f t="shared" si="1017"/>
        <v>-22.251247937044994</v>
      </c>
      <c r="T941">
        <f t="shared" si="1018"/>
        <v>-2.2251247937044995E-2</v>
      </c>
    </row>
    <row r="942" spans="1:20" x14ac:dyDescent="0.25">
      <c r="A942" s="5">
        <v>43651</v>
      </c>
      <c r="B942">
        <v>1.2156</v>
      </c>
      <c r="C942">
        <v>1.2484999999999999</v>
      </c>
      <c r="D942">
        <v>1.206</v>
      </c>
      <c r="E942">
        <v>1.2287999999999999</v>
      </c>
      <c r="F942">
        <v>264501.58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7.2941176470585456E-2</v>
      </c>
      <c r="Q942">
        <f t="shared" si="1015"/>
        <v>19293.056423528677</v>
      </c>
      <c r="R942">
        <f t="shared" si="1016"/>
        <v>-2299499.9401833727</v>
      </c>
      <c r="S942">
        <f t="shared" si="1017"/>
        <v>-22.994999401833727</v>
      </c>
      <c r="T942">
        <f t="shared" si="1018"/>
        <v>-2.2994999401833728E-2</v>
      </c>
    </row>
    <row r="943" spans="1:20" x14ac:dyDescent="0.25">
      <c r="A943" s="5">
        <v>43650</v>
      </c>
      <c r="B943">
        <v>1.3005</v>
      </c>
      <c r="C943">
        <v>1.3029999999999999</v>
      </c>
      <c r="D943">
        <v>1.2020999999999999</v>
      </c>
      <c r="E943">
        <v>1.218</v>
      </c>
      <c r="F943">
        <v>380778.39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-0.68483647175421158</v>
      </c>
      <c r="Q943">
        <f t="shared" si="1015"/>
        <v>-260770.92912784917</v>
      </c>
      <c r="R943">
        <f t="shared" si="1016"/>
        <v>-2318792.9966069013</v>
      </c>
      <c r="S943">
        <f t="shared" si="1017"/>
        <v>-23.187929966069014</v>
      </c>
      <c r="T943">
        <f t="shared" si="1018"/>
        <v>-2.3187929966069012E-2</v>
      </c>
    </row>
    <row r="944" spans="1:20" x14ac:dyDescent="0.25">
      <c r="A944" s="5">
        <v>43649</v>
      </c>
      <c r="B944">
        <v>1.2613000000000001</v>
      </c>
      <c r="C944">
        <v>1.3029999999999999</v>
      </c>
      <c r="D944">
        <v>1.2253000000000001</v>
      </c>
      <c r="E944">
        <v>1.3028999999999999</v>
      </c>
      <c r="F944">
        <v>524411.62</v>
      </c>
      <c r="G944">
        <v>0</v>
      </c>
      <c r="L944" t="s">
        <v>7</v>
      </c>
      <c r="M944" t="s">
        <v>7</v>
      </c>
      <c r="N944" t="s">
        <v>7</v>
      </c>
      <c r="P944">
        <f t="shared" si="1014"/>
        <v>0.99742599742599769</v>
      </c>
      <c r="Q944">
        <f t="shared" si="1015"/>
        <v>523061.78314028325</v>
      </c>
      <c r="R944">
        <f t="shared" si="1016"/>
        <v>-2058022.0674790523</v>
      </c>
      <c r="S944">
        <f t="shared" si="1017"/>
        <v>-20.580220674790525</v>
      </c>
      <c r="T944">
        <f t="shared" si="1018"/>
        <v>-2.0580220674790525E-2</v>
      </c>
    </row>
    <row r="945" spans="1:20" x14ac:dyDescent="0.25">
      <c r="A945" s="5">
        <v>43648</v>
      </c>
      <c r="B945">
        <v>1.337</v>
      </c>
      <c r="C945">
        <v>1.3428</v>
      </c>
      <c r="D945">
        <v>1.2203999999999999</v>
      </c>
      <c r="E945">
        <v>1.2611000000000001</v>
      </c>
      <c r="F945">
        <v>589248.32999999996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-0.33496732026143533</v>
      </c>
      <c r="Q945">
        <f t="shared" si="1015"/>
        <v>-197378.93406862591</v>
      </c>
      <c r="R945">
        <f t="shared" si="1016"/>
        <v>-2581083.8506193357</v>
      </c>
      <c r="S945">
        <f t="shared" si="1017"/>
        <v>-25.810838506193356</v>
      </c>
      <c r="T945">
        <f t="shared" si="1018"/>
        <v>-2.5810838506193357E-2</v>
      </c>
    </row>
    <row r="946" spans="1:20" x14ac:dyDescent="0.25">
      <c r="A946" s="5">
        <v>43647</v>
      </c>
      <c r="B946">
        <v>1.2381</v>
      </c>
      <c r="C946">
        <v>1.3440000000000001</v>
      </c>
      <c r="D946">
        <v>1.2</v>
      </c>
      <c r="E946">
        <v>1.3371</v>
      </c>
      <c r="F946">
        <v>775300.78</v>
      </c>
      <c r="G946">
        <v>0</v>
      </c>
      <c r="L946" t="s">
        <v>8</v>
      </c>
      <c r="M946" t="s">
        <v>7</v>
      </c>
      <c r="N946" t="s">
        <v>7</v>
      </c>
      <c r="P946">
        <f t="shared" si="1014"/>
        <v>0.90416666666666501</v>
      </c>
      <c r="Q946">
        <f t="shared" si="1015"/>
        <v>701001.12191666546</v>
      </c>
      <c r="R946">
        <f t="shared" si="1016"/>
        <v>-2383704.9165507099</v>
      </c>
      <c r="S946">
        <f t="shared" si="1017"/>
        <v>-23.8370491655071</v>
      </c>
      <c r="T946">
        <f t="shared" si="1018"/>
        <v>-2.38370491655071E-2</v>
      </c>
    </row>
    <row r="947" spans="1:20" x14ac:dyDescent="0.25">
      <c r="A947" s="5">
        <v>43646</v>
      </c>
      <c r="B947">
        <v>1.3669</v>
      </c>
      <c r="C947">
        <v>1.3864000000000001</v>
      </c>
      <c r="D947">
        <v>1.2049000000000001</v>
      </c>
      <c r="E947">
        <v>1.2371000000000001</v>
      </c>
      <c r="F947">
        <v>873592.84</v>
      </c>
      <c r="G947">
        <v>0</v>
      </c>
      <c r="L947" t="s">
        <v>7</v>
      </c>
      <c r="M947" t="s">
        <v>7</v>
      </c>
      <c r="N947" t="s">
        <v>7</v>
      </c>
      <c r="P947">
        <f t="shared" si="1014"/>
        <v>-0.64517906336088149</v>
      </c>
      <c r="Q947">
        <f t="shared" si="1015"/>
        <v>-563623.81026997243</v>
      </c>
      <c r="R947">
        <f t="shared" si="1016"/>
        <v>-3084706.0384673756</v>
      </c>
      <c r="S947">
        <f t="shared" si="1017"/>
        <v>-30.847060384673757</v>
      </c>
      <c r="T947">
        <f t="shared" si="1018"/>
        <v>-3.0847060384673757E-2</v>
      </c>
    </row>
    <row r="948" spans="1:20" x14ac:dyDescent="0.25">
      <c r="A948" s="5">
        <v>43645</v>
      </c>
      <c r="B948">
        <v>1.2949999999999999</v>
      </c>
      <c r="C948">
        <v>1.3998999999999999</v>
      </c>
      <c r="D948">
        <v>1.24</v>
      </c>
      <c r="E948">
        <v>1.3718999999999999</v>
      </c>
      <c r="F948">
        <v>951685.3</v>
      </c>
      <c r="G948">
        <v>0</v>
      </c>
      <c r="L948" t="s">
        <v>8</v>
      </c>
      <c r="M948" t="s">
        <v>7</v>
      </c>
      <c r="N948" t="s">
        <v>7</v>
      </c>
      <c r="P948">
        <f t="shared" si="1014"/>
        <v>0.64978111319574683</v>
      </c>
      <c r="Q948">
        <f t="shared" si="1015"/>
        <v>618387.13364602835</v>
      </c>
      <c r="R948">
        <f t="shared" si="1016"/>
        <v>-2521082.2281974033</v>
      </c>
      <c r="S948">
        <f t="shared" si="1017"/>
        <v>-25.210822281974032</v>
      </c>
      <c r="T948">
        <f t="shared" si="1018"/>
        <v>-2.5210822281974032E-2</v>
      </c>
    </row>
    <row r="949" spans="1:20" x14ac:dyDescent="0.25">
      <c r="A949" s="5">
        <v>43644</v>
      </c>
      <c r="B949">
        <v>1.2697000000000001</v>
      </c>
      <c r="C949">
        <v>1.3160000000000001</v>
      </c>
      <c r="D949">
        <v>1.2472000000000001</v>
      </c>
      <c r="E949">
        <v>1.2997000000000001</v>
      </c>
      <c r="F949">
        <v>285746.96000000002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0.5261627906976748</v>
      </c>
      <c r="Q949">
        <f t="shared" si="1015"/>
        <v>150349.41790697686</v>
      </c>
      <c r="R949">
        <f t="shared" si="1016"/>
        <v>-3139469.3618434318</v>
      </c>
      <c r="S949">
        <f t="shared" si="1017"/>
        <v>-31.394693618434317</v>
      </c>
      <c r="T949">
        <f t="shared" si="1018"/>
        <v>-3.1394693618434319E-2</v>
      </c>
    </row>
    <row r="950" spans="1:20" x14ac:dyDescent="0.25">
      <c r="A950" s="5">
        <v>43643</v>
      </c>
      <c r="B950">
        <v>1.3956999999999999</v>
      </c>
      <c r="C950">
        <v>1.4359999999999999</v>
      </c>
      <c r="D950">
        <v>1.2156</v>
      </c>
      <c r="E950">
        <v>1.2806</v>
      </c>
      <c r="F950">
        <v>817834.04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-0.41016333938294042</v>
      </c>
      <c r="Q950">
        <f t="shared" si="1015"/>
        <v>-335445.54090744129</v>
      </c>
      <c r="R950">
        <f t="shared" si="1016"/>
        <v>-3289818.7797504086</v>
      </c>
      <c r="S950">
        <f t="shared" si="1017"/>
        <v>-32.898187797504086</v>
      </c>
      <c r="T950">
        <f t="shared" si="1018"/>
        <v>-3.2898187797504086E-2</v>
      </c>
    </row>
    <row r="951" spans="1:20" x14ac:dyDescent="0.25">
      <c r="A951" s="5">
        <v>43642</v>
      </c>
      <c r="B951">
        <v>1.4315</v>
      </c>
      <c r="C951">
        <v>1.5253000000000001</v>
      </c>
      <c r="D951">
        <v>1.3157000000000001</v>
      </c>
      <c r="E951">
        <v>1.3936999999999999</v>
      </c>
      <c r="F951">
        <v>1718877.37</v>
      </c>
      <c r="G951">
        <v>0</v>
      </c>
      <c r="L951" t="s">
        <v>7</v>
      </c>
      <c r="M951" t="s">
        <v>7</v>
      </c>
      <c r="N951" t="s">
        <v>7</v>
      </c>
      <c r="P951">
        <f t="shared" si="1014"/>
        <v>-0.25572519083969614</v>
      </c>
      <c r="Q951">
        <f t="shared" si="1015"/>
        <v>-439560.24347328499</v>
      </c>
      <c r="R951">
        <f t="shared" si="1016"/>
        <v>-2954373.2388429674</v>
      </c>
      <c r="S951">
        <f t="shared" si="1017"/>
        <v>-29.543732388429675</v>
      </c>
      <c r="T951">
        <f t="shared" si="1018"/>
        <v>-2.9543732388429673E-2</v>
      </c>
    </row>
    <row r="952" spans="1:20" x14ac:dyDescent="0.25">
      <c r="A952" s="5">
        <v>43641</v>
      </c>
      <c r="B952">
        <v>1.464</v>
      </c>
      <c r="C952">
        <v>1.5089999999999999</v>
      </c>
      <c r="D952">
        <v>1.4186000000000001</v>
      </c>
      <c r="E952">
        <v>1.4297</v>
      </c>
      <c r="F952">
        <v>681743.15</v>
      </c>
      <c r="G952">
        <v>0</v>
      </c>
      <c r="L952" t="s">
        <v>7</v>
      </c>
      <c r="M952" t="s">
        <v>7</v>
      </c>
      <c r="N952" t="s">
        <v>7</v>
      </c>
      <c r="P952">
        <f t="shared" si="1014"/>
        <v>-0.75442477876106395</v>
      </c>
      <c r="Q952">
        <f t="shared" si="1015"/>
        <v>-514323.92511062085</v>
      </c>
      <c r="R952">
        <f t="shared" si="1016"/>
        <v>-2514812.9953696826</v>
      </c>
      <c r="S952">
        <f t="shared" si="1017"/>
        <v>-25.148129953696827</v>
      </c>
      <c r="T952">
        <f t="shared" si="1018"/>
        <v>-2.5148129953696828E-2</v>
      </c>
    </row>
    <row r="953" spans="1:20" x14ac:dyDescent="0.25">
      <c r="A953" s="5">
        <v>43640</v>
      </c>
      <c r="B953">
        <v>1.4991000000000001</v>
      </c>
      <c r="C953">
        <v>1.5105</v>
      </c>
      <c r="D953">
        <v>1.45</v>
      </c>
      <c r="E953">
        <v>1.4652000000000001</v>
      </c>
      <c r="F953">
        <v>444236.19</v>
      </c>
      <c r="G953">
        <v>0</v>
      </c>
      <c r="L953" t="s">
        <v>7</v>
      </c>
      <c r="M953" t="s">
        <v>7</v>
      </c>
      <c r="N953" t="s">
        <v>7</v>
      </c>
      <c r="P953">
        <f t="shared" si="1014"/>
        <v>-0.49752066115702137</v>
      </c>
      <c r="Q953">
        <f t="shared" si="1015"/>
        <v>-221016.68295867616</v>
      </c>
      <c r="R953">
        <f t="shared" si="1016"/>
        <v>-2000489.0702590619</v>
      </c>
      <c r="S953">
        <f t="shared" si="1017"/>
        <v>-20.004890702590618</v>
      </c>
      <c r="T953">
        <f t="shared" si="1018"/>
        <v>-2.0004890702590618E-2</v>
      </c>
    </row>
    <row r="954" spans="1:20" x14ac:dyDescent="0.25">
      <c r="A954" s="5">
        <v>43639</v>
      </c>
      <c r="B954">
        <v>1.573</v>
      </c>
      <c r="C954">
        <v>1.5999000000000001</v>
      </c>
      <c r="D954">
        <v>1.4964999999999999</v>
      </c>
      <c r="E954">
        <v>1.5085999999999999</v>
      </c>
      <c r="F954">
        <v>634141.66</v>
      </c>
      <c r="G954">
        <v>0</v>
      </c>
      <c r="L954" t="s">
        <v>8</v>
      </c>
      <c r="M954" t="s">
        <v>7</v>
      </c>
      <c r="N954" t="s">
        <v>7</v>
      </c>
      <c r="P954">
        <f t="shared" si="1014"/>
        <v>-0.76595744680851097</v>
      </c>
      <c r="Q954">
        <f t="shared" si="1015"/>
        <v>-485725.52680851088</v>
      </c>
      <c r="R954">
        <f t="shared" si="1016"/>
        <v>-1779472.3873003856</v>
      </c>
      <c r="S954">
        <f t="shared" si="1017"/>
        <v>-17.794723873003857</v>
      </c>
      <c r="T954">
        <f t="shared" si="1018"/>
        <v>-1.7794723873003859E-2</v>
      </c>
    </row>
    <row r="955" spans="1:20" x14ac:dyDescent="0.25">
      <c r="A955" s="5">
        <v>43638</v>
      </c>
      <c r="B955">
        <v>1.4447000000000001</v>
      </c>
      <c r="C955">
        <v>1.59</v>
      </c>
      <c r="D955">
        <v>1.4015</v>
      </c>
      <c r="E955">
        <v>1.5732999999999999</v>
      </c>
      <c r="F955">
        <v>1154889</v>
      </c>
      <c r="G955">
        <v>0</v>
      </c>
      <c r="L955" t="s">
        <v>8</v>
      </c>
      <c r="M955" t="s">
        <v>7</v>
      </c>
      <c r="N955" t="s">
        <v>7</v>
      </c>
      <c r="P955">
        <f t="shared" si="1014"/>
        <v>0.82281167108753162</v>
      </c>
      <c r="Q955">
        <f t="shared" si="1015"/>
        <v>950256.14801060827</v>
      </c>
      <c r="R955">
        <f t="shared" si="1016"/>
        <v>-1293746.8604918746</v>
      </c>
      <c r="S955">
        <f t="shared" si="1017"/>
        <v>-12.937468604918747</v>
      </c>
      <c r="T955">
        <f t="shared" si="1018"/>
        <v>-1.2937468604918748E-2</v>
      </c>
    </row>
    <row r="956" spans="1:20" x14ac:dyDescent="0.25">
      <c r="A956" s="5">
        <v>43637</v>
      </c>
      <c r="B956">
        <v>1.4552</v>
      </c>
      <c r="C956">
        <v>1.5</v>
      </c>
      <c r="D956">
        <v>1.3927</v>
      </c>
      <c r="E956">
        <v>1.4447000000000001</v>
      </c>
      <c r="F956">
        <v>666157.92000000004</v>
      </c>
      <c r="G956">
        <v>0</v>
      </c>
      <c r="L956" t="s">
        <v>7</v>
      </c>
      <c r="M956" t="s">
        <v>7</v>
      </c>
      <c r="N956" t="s">
        <v>7</v>
      </c>
      <c r="P956">
        <f t="shared" si="1014"/>
        <v>-3.0754892823857037E-2</v>
      </c>
      <c r="Q956">
        <f t="shared" si="1015"/>
        <v>-20487.615433363531</v>
      </c>
      <c r="R956">
        <f t="shared" si="1016"/>
        <v>-2244003.0085024829</v>
      </c>
      <c r="S956">
        <f t="shared" si="1017"/>
        <v>-22.44003008502483</v>
      </c>
      <c r="T956">
        <f t="shared" si="1018"/>
        <v>-2.2440030085024831E-2</v>
      </c>
    </row>
    <row r="957" spans="1:20" x14ac:dyDescent="0.25">
      <c r="A957" s="5">
        <v>43636</v>
      </c>
      <c r="B957">
        <v>1.56</v>
      </c>
      <c r="C957">
        <v>1.5696000000000001</v>
      </c>
      <c r="D957">
        <v>1.4218</v>
      </c>
      <c r="E957">
        <v>1.4550000000000001</v>
      </c>
      <c r="F957">
        <v>624008.9</v>
      </c>
      <c r="G957">
        <v>0</v>
      </c>
      <c r="L957" t="s">
        <v>7</v>
      </c>
      <c r="M957" t="s">
        <v>7</v>
      </c>
      <c r="N957" t="s">
        <v>7</v>
      </c>
      <c r="P957">
        <f t="shared" si="1014"/>
        <v>-0.55074424898511387</v>
      </c>
      <c r="Q957">
        <f t="shared" si="1015"/>
        <v>-343669.31299052702</v>
      </c>
      <c r="R957">
        <f t="shared" si="1016"/>
        <v>-2223515.3930691192</v>
      </c>
      <c r="S957">
        <f t="shared" si="1017"/>
        <v>-22.23515393069119</v>
      </c>
      <c r="T957">
        <f t="shared" si="1018"/>
        <v>-2.2235153930691191E-2</v>
      </c>
    </row>
    <row r="958" spans="1:20" x14ac:dyDescent="0.25">
      <c r="A958" s="5">
        <v>43635</v>
      </c>
      <c r="B958">
        <v>1.5132000000000001</v>
      </c>
      <c r="C958">
        <v>1.64</v>
      </c>
      <c r="D958">
        <v>1.5058</v>
      </c>
      <c r="E958">
        <v>1.5551999999999999</v>
      </c>
      <c r="F958">
        <v>709473.82</v>
      </c>
      <c r="G958">
        <v>0</v>
      </c>
      <c r="L958" t="s">
        <v>8</v>
      </c>
      <c r="M958" t="s">
        <v>8</v>
      </c>
      <c r="N958" t="s">
        <v>7</v>
      </c>
      <c r="P958">
        <f t="shared" si="1014"/>
        <v>-0.2637853949329369</v>
      </c>
      <c r="Q958">
        <f t="shared" si="1015"/>
        <v>-187148.83180327938</v>
      </c>
      <c r="R958">
        <f t="shared" si="1016"/>
        <v>-1879846.0800785921</v>
      </c>
      <c r="S958">
        <f t="shared" si="1017"/>
        <v>-18.798460800785922</v>
      </c>
      <c r="T958">
        <f t="shared" si="1018"/>
        <v>-1.8798460800785923E-2</v>
      </c>
    </row>
    <row r="959" spans="1:20" x14ac:dyDescent="0.25">
      <c r="A959" s="5">
        <v>43634</v>
      </c>
      <c r="B959">
        <v>1.5726</v>
      </c>
      <c r="C959">
        <v>1.5727</v>
      </c>
      <c r="D959">
        <v>1.5036</v>
      </c>
      <c r="E959">
        <v>1.5209999999999999</v>
      </c>
      <c r="F959">
        <v>279579.65999999997</v>
      </c>
      <c r="G959">
        <v>0</v>
      </c>
      <c r="L959" t="s">
        <v>7</v>
      </c>
      <c r="M959" t="s">
        <v>8</v>
      </c>
      <c r="N959" t="s">
        <v>7</v>
      </c>
      <c r="P959">
        <f t="shared" ref="P959:P1022" si="1019">IF(C959=D959,0,((E959-D959)-(C959-E959))/(C959-D959))</f>
        <v>-0.49638205499276772</v>
      </c>
      <c r="Q959">
        <f t="shared" ref="Q959:Q1022" si="1020">F959*P959</f>
        <v>-138778.32616497928</v>
      </c>
      <c r="R959">
        <f t="shared" ref="R959:R1022" si="1021">R960+Q959</f>
        <v>-1692697.2482753126</v>
      </c>
      <c r="S959">
        <f t="shared" ref="S959:S1022" si="1022">R959/100000</f>
        <v>-16.926972482753126</v>
      </c>
      <c r="T959">
        <f t="shared" ref="T959:T1022" si="1023">S959/1000</f>
        <v>-1.6926972482753124E-2</v>
      </c>
    </row>
    <row r="960" spans="1:20" x14ac:dyDescent="0.25">
      <c r="A960" s="5">
        <v>43633</v>
      </c>
      <c r="B960">
        <v>1.5801000000000001</v>
      </c>
      <c r="C960">
        <v>1.5895999999999999</v>
      </c>
      <c r="D960">
        <v>1.5309999999999999</v>
      </c>
      <c r="E960">
        <v>1.5727</v>
      </c>
      <c r="F960">
        <v>466939.12</v>
      </c>
      <c r="G960">
        <v>0</v>
      </c>
      <c r="L960" t="s">
        <v>8</v>
      </c>
      <c r="M960" t="s">
        <v>8</v>
      </c>
      <c r="N960" t="s">
        <v>7</v>
      </c>
      <c r="P960">
        <f t="shared" si="1019"/>
        <v>0.42320819112628261</v>
      </c>
      <c r="Q960">
        <f t="shared" si="1020"/>
        <v>197612.4603412982</v>
      </c>
      <c r="R960">
        <f t="shared" si="1021"/>
        <v>-1553918.9221103333</v>
      </c>
      <c r="S960">
        <f t="shared" si="1022"/>
        <v>-15.539189221103333</v>
      </c>
      <c r="T960">
        <f t="shared" si="1023"/>
        <v>-1.5539189221103334E-2</v>
      </c>
    </row>
    <row r="961" spans="1:20" x14ac:dyDescent="0.25">
      <c r="A961" s="5">
        <v>43632</v>
      </c>
      <c r="B961">
        <v>1.5589</v>
      </c>
      <c r="C961">
        <v>1.5969</v>
      </c>
      <c r="D961">
        <v>1.5275000000000001</v>
      </c>
      <c r="E961">
        <v>1.569</v>
      </c>
      <c r="F961">
        <v>483744.87</v>
      </c>
      <c r="G961">
        <v>0</v>
      </c>
      <c r="L961" t="s">
        <v>8</v>
      </c>
      <c r="M961" t="s">
        <v>8</v>
      </c>
      <c r="N961" t="s">
        <v>7</v>
      </c>
      <c r="P961">
        <f t="shared" si="1019"/>
        <v>0.19596541786743304</v>
      </c>
      <c r="Q961">
        <f t="shared" si="1020"/>
        <v>94797.265590777068</v>
      </c>
      <c r="R961">
        <f t="shared" si="1021"/>
        <v>-1751531.3824516316</v>
      </c>
      <c r="S961">
        <f t="shared" si="1022"/>
        <v>-17.515313824516316</v>
      </c>
      <c r="T961">
        <f t="shared" si="1023"/>
        <v>-1.7515313824516314E-2</v>
      </c>
    </row>
    <row r="962" spans="1:20" x14ac:dyDescent="0.25">
      <c r="A962" s="5">
        <v>43631</v>
      </c>
      <c r="B962">
        <v>1.5709</v>
      </c>
      <c r="C962">
        <v>1.6208</v>
      </c>
      <c r="D962">
        <v>1.5423</v>
      </c>
      <c r="E962">
        <v>1.5589</v>
      </c>
      <c r="F962">
        <v>473623.73</v>
      </c>
      <c r="G962">
        <v>0</v>
      </c>
      <c r="L962" t="s">
        <v>8</v>
      </c>
      <c r="M962" t="s">
        <v>8</v>
      </c>
      <c r="N962" t="s">
        <v>7</v>
      </c>
      <c r="P962">
        <f t="shared" si="1019"/>
        <v>-0.57707006369426894</v>
      </c>
      <c r="Q962">
        <f t="shared" si="1020"/>
        <v>-273314.07603821723</v>
      </c>
      <c r="R962">
        <f t="shared" si="1021"/>
        <v>-1846328.6480424087</v>
      </c>
      <c r="S962">
        <f t="shared" si="1022"/>
        <v>-18.463286480424088</v>
      </c>
      <c r="T962">
        <f t="shared" si="1023"/>
        <v>-1.8463286480424088E-2</v>
      </c>
    </row>
    <row r="963" spans="1:20" x14ac:dyDescent="0.25">
      <c r="A963" s="5">
        <v>43630</v>
      </c>
      <c r="B963">
        <v>1.7596000000000001</v>
      </c>
      <c r="C963">
        <v>1.7655000000000001</v>
      </c>
      <c r="D963">
        <v>1.4993000000000001</v>
      </c>
      <c r="E963">
        <v>1.5649999999999999</v>
      </c>
      <c r="F963">
        <v>1087405.08</v>
      </c>
      <c r="G963">
        <v>0</v>
      </c>
      <c r="L963" t="s">
        <v>7</v>
      </c>
      <c r="M963" t="s">
        <v>8</v>
      </c>
      <c r="N963" t="s">
        <v>7</v>
      </c>
      <c r="P963">
        <f t="shared" si="1019"/>
        <v>-0.50638617580766443</v>
      </c>
      <c r="Q963">
        <f t="shared" si="1020"/>
        <v>-550646.9000150275</v>
      </c>
      <c r="R963">
        <f t="shared" si="1021"/>
        <v>-1573014.5720041916</v>
      </c>
      <c r="S963">
        <f t="shared" si="1022"/>
        <v>-15.730145720041916</v>
      </c>
      <c r="T963">
        <f t="shared" si="1023"/>
        <v>-1.5730145720041916E-2</v>
      </c>
    </row>
    <row r="964" spans="1:20" x14ac:dyDescent="0.25">
      <c r="A964" s="5">
        <v>43629</v>
      </c>
      <c r="B964">
        <v>1.5772999999999999</v>
      </c>
      <c r="C964">
        <v>1.78</v>
      </c>
      <c r="D964">
        <v>1.5652999999999999</v>
      </c>
      <c r="E964">
        <v>1.7565</v>
      </c>
      <c r="F964">
        <v>811638.09</v>
      </c>
      <c r="G964">
        <v>0</v>
      </c>
      <c r="L964" t="s">
        <v>8</v>
      </c>
      <c r="M964" t="s">
        <v>8</v>
      </c>
      <c r="N964" t="s">
        <v>7</v>
      </c>
      <c r="P964">
        <f t="shared" si="1019"/>
        <v>0.78108989287377673</v>
      </c>
      <c r="Q964">
        <f t="shared" si="1020"/>
        <v>633962.30877037672</v>
      </c>
      <c r="R964">
        <f t="shared" si="1021"/>
        <v>-1022367.6719891641</v>
      </c>
      <c r="S964">
        <f t="shared" si="1022"/>
        <v>-10.223676719891641</v>
      </c>
      <c r="T964">
        <f t="shared" si="1023"/>
        <v>-1.022367671989164E-2</v>
      </c>
    </row>
    <row r="965" spans="1:20" x14ac:dyDescent="0.25">
      <c r="A965" s="5">
        <v>43628</v>
      </c>
      <c r="B965">
        <v>1.5665</v>
      </c>
      <c r="C965">
        <v>1.5983000000000001</v>
      </c>
      <c r="D965">
        <v>1.5343</v>
      </c>
      <c r="E965">
        <v>1.5772999999999999</v>
      </c>
      <c r="F965">
        <v>392657.71</v>
      </c>
      <c r="G965">
        <v>0</v>
      </c>
      <c r="L965" t="s">
        <v>7</v>
      </c>
      <c r="M965" t="s">
        <v>7</v>
      </c>
      <c r="N965" t="s">
        <v>7</v>
      </c>
      <c r="P965">
        <f t="shared" si="1019"/>
        <v>0.34374999999999656</v>
      </c>
      <c r="Q965">
        <f t="shared" si="1020"/>
        <v>134976.08781249865</v>
      </c>
      <c r="R965">
        <f t="shared" si="1021"/>
        <v>-1656329.9807595408</v>
      </c>
      <c r="S965">
        <f t="shared" si="1022"/>
        <v>-16.563299807595406</v>
      </c>
      <c r="T965">
        <f t="shared" si="1023"/>
        <v>-1.6563299807595407E-2</v>
      </c>
    </row>
    <row r="966" spans="1:20" x14ac:dyDescent="0.25">
      <c r="A966" s="5">
        <v>43627</v>
      </c>
      <c r="B966">
        <v>1.5849</v>
      </c>
      <c r="C966">
        <v>1.59</v>
      </c>
      <c r="D966">
        <v>1.4903999999999999</v>
      </c>
      <c r="E966">
        <v>1.56</v>
      </c>
      <c r="F966">
        <v>327079.90000000002</v>
      </c>
      <c r="G966">
        <v>0</v>
      </c>
      <c r="L966" t="s">
        <v>7</v>
      </c>
      <c r="M966" t="s">
        <v>7</v>
      </c>
      <c r="N966" t="s">
        <v>7</v>
      </c>
      <c r="P966">
        <f t="shared" si="1019"/>
        <v>0.39759036144578341</v>
      </c>
      <c r="Q966">
        <f t="shared" si="1020"/>
        <v>130043.8156626507</v>
      </c>
      <c r="R966">
        <f t="shared" si="1021"/>
        <v>-1791306.0685720395</v>
      </c>
      <c r="S966">
        <f t="shared" si="1022"/>
        <v>-17.913060685720396</v>
      </c>
      <c r="T966">
        <f t="shared" si="1023"/>
        <v>-1.7913060685720395E-2</v>
      </c>
    </row>
    <row r="967" spans="1:20" x14ac:dyDescent="0.25">
      <c r="A967" s="5">
        <v>43626</v>
      </c>
      <c r="B967">
        <v>1.5</v>
      </c>
      <c r="C967">
        <v>1.61</v>
      </c>
      <c r="D967">
        <v>1.4741</v>
      </c>
      <c r="E967">
        <v>1.5883</v>
      </c>
      <c r="F967">
        <v>423848.86</v>
      </c>
      <c r="G967">
        <v>0</v>
      </c>
      <c r="L967" t="s">
        <v>8</v>
      </c>
      <c r="M967" t="s">
        <v>7</v>
      </c>
      <c r="N967" t="s">
        <v>7</v>
      </c>
      <c r="P967">
        <f t="shared" si="1019"/>
        <v>0.68064753495217023</v>
      </c>
      <c r="Q967">
        <f t="shared" si="1020"/>
        <v>288491.68175128748</v>
      </c>
      <c r="R967">
        <f t="shared" si="1021"/>
        <v>-1921349.8842346901</v>
      </c>
      <c r="S967">
        <f t="shared" si="1022"/>
        <v>-19.213498842346901</v>
      </c>
      <c r="T967">
        <f t="shared" si="1023"/>
        <v>-1.92134988423469E-2</v>
      </c>
    </row>
    <row r="968" spans="1:20" x14ac:dyDescent="0.25">
      <c r="A968" s="5">
        <v>43625</v>
      </c>
      <c r="B968">
        <v>1.5982000000000001</v>
      </c>
      <c r="C968">
        <v>1.611</v>
      </c>
      <c r="D968">
        <v>1.4628000000000001</v>
      </c>
      <c r="E968">
        <v>1.5081</v>
      </c>
      <c r="F968">
        <v>364589.89</v>
      </c>
      <c r="G968">
        <v>0</v>
      </c>
      <c r="L968" t="s">
        <v>7</v>
      </c>
      <c r="M968" t="s">
        <v>7</v>
      </c>
      <c r="N968" t="s">
        <v>7</v>
      </c>
      <c r="P968">
        <f t="shared" si="1019"/>
        <v>-0.38866396761133698</v>
      </c>
      <c r="Q968">
        <f t="shared" si="1020"/>
        <v>-141702.95319838091</v>
      </c>
      <c r="R968">
        <f t="shared" si="1021"/>
        <v>-2209841.5659859776</v>
      </c>
      <c r="S968">
        <f t="shared" si="1022"/>
        <v>-22.098415659859775</v>
      </c>
      <c r="T968">
        <f t="shared" si="1023"/>
        <v>-2.2098415659859774E-2</v>
      </c>
    </row>
    <row r="969" spans="1:20" x14ac:dyDescent="0.25">
      <c r="A969" s="5">
        <v>43624</v>
      </c>
      <c r="B969">
        <v>1.5833999999999999</v>
      </c>
      <c r="C969">
        <v>1.63</v>
      </c>
      <c r="D969">
        <v>1.5348999999999999</v>
      </c>
      <c r="E969">
        <v>1.5964</v>
      </c>
      <c r="F969">
        <v>440060.27</v>
      </c>
      <c r="G969">
        <v>0</v>
      </c>
      <c r="L969" t="s">
        <v>8</v>
      </c>
      <c r="M969" t="s">
        <v>7</v>
      </c>
      <c r="N969" t="s">
        <v>7</v>
      </c>
      <c r="P969">
        <f t="shared" si="1019"/>
        <v>0.2933753943217694</v>
      </c>
      <c r="Q969">
        <f t="shared" si="1020"/>
        <v>129102.85523659432</v>
      </c>
      <c r="R969">
        <f t="shared" si="1021"/>
        <v>-2068138.6127875966</v>
      </c>
      <c r="S969">
        <f t="shared" si="1022"/>
        <v>-20.681386127875967</v>
      </c>
      <c r="T969">
        <f t="shared" si="1023"/>
        <v>-2.0681386127875966E-2</v>
      </c>
    </row>
    <row r="970" spans="1:20" x14ac:dyDescent="0.25">
      <c r="A970" s="5">
        <v>43623</v>
      </c>
      <c r="B970">
        <v>1.4965999999999999</v>
      </c>
      <c r="C970">
        <v>1.6285000000000001</v>
      </c>
      <c r="D970">
        <v>1.4765999999999999</v>
      </c>
      <c r="E970">
        <v>1.5946</v>
      </c>
      <c r="F970">
        <v>730598.21</v>
      </c>
      <c r="G970">
        <v>0</v>
      </c>
      <c r="L970" t="s">
        <v>8</v>
      </c>
      <c r="M970" t="s">
        <v>7</v>
      </c>
      <c r="N970" t="s">
        <v>7</v>
      </c>
      <c r="P970">
        <f t="shared" si="1019"/>
        <v>0.553653719552337</v>
      </c>
      <c r="Q970">
        <f t="shared" si="1020"/>
        <v>404498.41646477941</v>
      </c>
      <c r="R970">
        <f t="shared" si="1021"/>
        <v>-2197241.468024191</v>
      </c>
      <c r="S970">
        <f t="shared" si="1022"/>
        <v>-21.972414680241911</v>
      </c>
      <c r="T970">
        <f t="shared" si="1023"/>
        <v>-2.1972414680241911E-2</v>
      </c>
    </row>
    <row r="971" spans="1:20" x14ac:dyDescent="0.25">
      <c r="A971" s="5">
        <v>43622</v>
      </c>
      <c r="B971">
        <v>1.4821</v>
      </c>
      <c r="C971">
        <v>1.5244</v>
      </c>
      <c r="D971">
        <v>1.4111</v>
      </c>
      <c r="E971">
        <v>1.4952000000000001</v>
      </c>
      <c r="F971">
        <v>393906.54</v>
      </c>
      <c r="G971">
        <v>0</v>
      </c>
      <c r="L971" t="s">
        <v>7</v>
      </c>
      <c r="M971" t="s">
        <v>7</v>
      </c>
      <c r="N971" t="s">
        <v>7</v>
      </c>
      <c r="P971">
        <f t="shared" si="1019"/>
        <v>0.48455428067078721</v>
      </c>
      <c r="Q971">
        <f t="shared" si="1020"/>
        <v>190869.10014121866</v>
      </c>
      <c r="R971">
        <f t="shared" si="1021"/>
        <v>-2601739.8844889705</v>
      </c>
      <c r="S971">
        <f t="shared" si="1022"/>
        <v>-26.017398844889705</v>
      </c>
      <c r="T971">
        <f t="shared" si="1023"/>
        <v>-2.6017398844889704E-2</v>
      </c>
    </row>
    <row r="972" spans="1:20" x14ac:dyDescent="0.25">
      <c r="A972" s="5">
        <v>43621</v>
      </c>
      <c r="B972">
        <v>1.4884999999999999</v>
      </c>
      <c r="C972">
        <v>1.5310999999999999</v>
      </c>
      <c r="D972">
        <v>1.4414</v>
      </c>
      <c r="E972">
        <v>1.4934000000000001</v>
      </c>
      <c r="F972">
        <v>358186.22</v>
      </c>
      <c r="G972">
        <v>0</v>
      </c>
      <c r="L972" t="s">
        <v>8</v>
      </c>
      <c r="M972" t="s">
        <v>7</v>
      </c>
      <c r="N972" t="s">
        <v>7</v>
      </c>
      <c r="P972">
        <f t="shared" si="1019"/>
        <v>0.15942028985507489</v>
      </c>
      <c r="Q972">
        <f t="shared" si="1020"/>
        <v>57102.151014493618</v>
      </c>
      <c r="R972">
        <f t="shared" si="1021"/>
        <v>-2792608.9846301894</v>
      </c>
      <c r="S972">
        <f t="shared" si="1022"/>
        <v>-27.926089846301895</v>
      </c>
      <c r="T972">
        <f t="shared" si="1023"/>
        <v>-2.7926089846301894E-2</v>
      </c>
    </row>
    <row r="973" spans="1:20" x14ac:dyDescent="0.25">
      <c r="A973" s="5">
        <v>43620</v>
      </c>
      <c r="B973">
        <v>1.6201000000000001</v>
      </c>
      <c r="C973">
        <v>1.6201000000000001</v>
      </c>
      <c r="D973">
        <v>1.4218999999999999</v>
      </c>
      <c r="E973">
        <v>1.4884999999999999</v>
      </c>
      <c r="F973">
        <v>791373.98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-0.32795156407669079</v>
      </c>
      <c r="Q973">
        <f t="shared" si="1020"/>
        <v>-259532.3345105958</v>
      </c>
      <c r="R973">
        <f t="shared" si="1021"/>
        <v>-2849711.1356446831</v>
      </c>
      <c r="S973">
        <f t="shared" si="1022"/>
        <v>-28.497111356446833</v>
      </c>
      <c r="T973">
        <f t="shared" si="1023"/>
        <v>-2.8497111356446832E-2</v>
      </c>
    </row>
    <row r="974" spans="1:20" x14ac:dyDescent="0.25">
      <c r="A974" s="5">
        <v>43619</v>
      </c>
      <c r="B974">
        <v>1.7808999999999999</v>
      </c>
      <c r="C974">
        <v>1.7817000000000001</v>
      </c>
      <c r="D974">
        <v>1.607</v>
      </c>
      <c r="E974">
        <v>1.62</v>
      </c>
      <c r="F974">
        <v>420232.79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-0.85117344018316976</v>
      </c>
      <c r="Q974">
        <f t="shared" si="1020"/>
        <v>-357690.98954207153</v>
      </c>
      <c r="R974">
        <f t="shared" si="1021"/>
        <v>-2590178.8011340871</v>
      </c>
      <c r="S974">
        <f t="shared" si="1022"/>
        <v>-25.901788011340873</v>
      </c>
      <c r="T974">
        <f t="shared" si="1023"/>
        <v>-2.5901788011340875E-2</v>
      </c>
    </row>
    <row r="975" spans="1:20" x14ac:dyDescent="0.25">
      <c r="A975" s="5">
        <v>43618</v>
      </c>
      <c r="B975">
        <v>1.6777</v>
      </c>
      <c r="C975">
        <v>1.8168</v>
      </c>
      <c r="D975">
        <v>1.6</v>
      </c>
      <c r="E975">
        <v>1.7808999999999999</v>
      </c>
      <c r="F975">
        <v>800922.25</v>
      </c>
      <c r="G975">
        <v>0</v>
      </c>
      <c r="L975" t="s">
        <v>8</v>
      </c>
      <c r="M975" t="s">
        <v>7</v>
      </c>
      <c r="N975" t="s">
        <v>8</v>
      </c>
      <c r="P975">
        <f t="shared" si="1019"/>
        <v>0.66881918819188135</v>
      </c>
      <c r="Q975">
        <f t="shared" si="1020"/>
        <v>535672.16904981504</v>
      </c>
      <c r="R975">
        <f t="shared" si="1021"/>
        <v>-2232487.8115920154</v>
      </c>
      <c r="S975">
        <f t="shared" si="1022"/>
        <v>-22.324878115920153</v>
      </c>
      <c r="T975">
        <f t="shared" si="1023"/>
        <v>-2.2324878115920155E-2</v>
      </c>
    </row>
    <row r="976" spans="1:20" x14ac:dyDescent="0.25">
      <c r="A976" s="5">
        <v>43617</v>
      </c>
      <c r="B976">
        <v>1.7346999999999999</v>
      </c>
      <c r="C976">
        <v>1.75</v>
      </c>
      <c r="D976">
        <v>1.6500999999999999</v>
      </c>
      <c r="E976">
        <v>1.6777</v>
      </c>
      <c r="F976">
        <v>586371.73</v>
      </c>
      <c r="G976">
        <v>0</v>
      </c>
      <c r="L976" t="s">
        <v>8</v>
      </c>
      <c r="M976" t="s">
        <v>7</v>
      </c>
      <c r="N976" t="s">
        <v>8</v>
      </c>
      <c r="P976">
        <f t="shared" si="1019"/>
        <v>-0.44744744744744663</v>
      </c>
      <c r="Q976">
        <f t="shared" si="1020"/>
        <v>-262370.53384384338</v>
      </c>
      <c r="R976">
        <f t="shared" si="1021"/>
        <v>-2768159.9806418302</v>
      </c>
      <c r="S976">
        <f t="shared" si="1022"/>
        <v>-27.681599806418301</v>
      </c>
      <c r="T976">
        <f t="shared" si="1023"/>
        <v>-2.7681599806418301E-2</v>
      </c>
    </row>
    <row r="977" spans="1:20" x14ac:dyDescent="0.25">
      <c r="A977" s="5">
        <v>43616</v>
      </c>
      <c r="B977">
        <v>1.6508</v>
      </c>
      <c r="C977">
        <v>1.7350000000000001</v>
      </c>
      <c r="D977">
        <v>1.5924</v>
      </c>
      <c r="E977">
        <v>1.7278</v>
      </c>
      <c r="F977">
        <v>544169.23</v>
      </c>
      <c r="G977">
        <v>0</v>
      </c>
      <c r="L977" t="s">
        <v>7</v>
      </c>
      <c r="M977" t="s">
        <v>7</v>
      </c>
      <c r="N977" t="s">
        <v>8</v>
      </c>
      <c r="P977">
        <f t="shared" si="1019"/>
        <v>0.899018232819073</v>
      </c>
      <c r="Q977">
        <f t="shared" si="1020"/>
        <v>489218.05950911564</v>
      </c>
      <c r="R977">
        <f t="shared" si="1021"/>
        <v>-2505789.446797987</v>
      </c>
      <c r="S977">
        <f t="shared" si="1022"/>
        <v>-25.057894467979871</v>
      </c>
      <c r="T977">
        <f t="shared" si="1023"/>
        <v>-2.5057894467979871E-2</v>
      </c>
    </row>
    <row r="978" spans="1:20" x14ac:dyDescent="0.25">
      <c r="A978" s="5">
        <v>43615</v>
      </c>
      <c r="B978">
        <v>1.7779</v>
      </c>
      <c r="C978">
        <v>1.9124000000000001</v>
      </c>
      <c r="D978">
        <v>1.61</v>
      </c>
      <c r="E978">
        <v>1.6508</v>
      </c>
      <c r="F978">
        <v>1205328.44</v>
      </c>
      <c r="G978">
        <v>0</v>
      </c>
      <c r="L978" t="s">
        <v>7</v>
      </c>
      <c r="M978" t="s">
        <v>8</v>
      </c>
      <c r="N978" t="s">
        <v>8</v>
      </c>
      <c r="P978">
        <f t="shared" si="1019"/>
        <v>-0.73015873015873056</v>
      </c>
      <c r="Q978">
        <f t="shared" si="1020"/>
        <v>-880081.08317460364</v>
      </c>
      <c r="R978">
        <f t="shared" si="1021"/>
        <v>-2995007.5063071027</v>
      </c>
      <c r="S978">
        <f t="shared" si="1022"/>
        <v>-29.950075063071026</v>
      </c>
      <c r="T978">
        <f t="shared" si="1023"/>
        <v>-2.9950075063071027E-2</v>
      </c>
    </row>
    <row r="979" spans="1:20" x14ac:dyDescent="0.25">
      <c r="A979" s="5">
        <v>43614</v>
      </c>
      <c r="B979">
        <v>1.7592000000000001</v>
      </c>
      <c r="C979">
        <v>1.8434999999999999</v>
      </c>
      <c r="D979">
        <v>1.655</v>
      </c>
      <c r="E979">
        <v>1.7769999999999999</v>
      </c>
      <c r="F979">
        <v>855930.71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0.29442970822281123</v>
      </c>
      <c r="Q979">
        <f t="shared" si="1020"/>
        <v>252011.42920424364</v>
      </c>
      <c r="R979">
        <f t="shared" si="1021"/>
        <v>-2114926.4231324992</v>
      </c>
      <c r="S979">
        <f t="shared" si="1022"/>
        <v>-21.149264231324992</v>
      </c>
      <c r="T979">
        <f t="shared" si="1023"/>
        <v>-2.1149264231324991E-2</v>
      </c>
    </row>
    <row r="980" spans="1:20" x14ac:dyDescent="0.25">
      <c r="A980" s="5">
        <v>43613</v>
      </c>
      <c r="B980">
        <v>1.7887</v>
      </c>
      <c r="C980">
        <v>1.8</v>
      </c>
      <c r="D980">
        <v>1.7216</v>
      </c>
      <c r="E980">
        <v>1.7527999999999999</v>
      </c>
      <c r="F980">
        <v>390460.44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-0.20408163265306417</v>
      </c>
      <c r="Q980">
        <f t="shared" si="1020"/>
        <v>-79685.804081633803</v>
      </c>
      <c r="R980">
        <f t="shared" si="1021"/>
        <v>-2366937.8523367429</v>
      </c>
      <c r="S980">
        <f t="shared" si="1022"/>
        <v>-23.669378523367428</v>
      </c>
      <c r="T980">
        <f t="shared" si="1023"/>
        <v>-2.3669378523367427E-2</v>
      </c>
    </row>
    <row r="981" spans="1:20" x14ac:dyDescent="0.25">
      <c r="A981" s="5">
        <v>43612</v>
      </c>
      <c r="B981">
        <v>1.7233000000000001</v>
      </c>
      <c r="C981">
        <v>1.831</v>
      </c>
      <c r="D981">
        <v>1.7032</v>
      </c>
      <c r="E981">
        <v>1.7907999999999999</v>
      </c>
      <c r="F981">
        <v>622636.59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0.37089201877934208</v>
      </c>
      <c r="Q981">
        <f t="shared" si="1020"/>
        <v>230930.94183098551</v>
      </c>
      <c r="R981">
        <f t="shared" si="1021"/>
        <v>-2287252.0482551092</v>
      </c>
      <c r="S981">
        <f t="shared" si="1022"/>
        <v>-22.872520482551092</v>
      </c>
      <c r="T981">
        <f t="shared" si="1023"/>
        <v>-2.2872520482551093E-2</v>
      </c>
    </row>
    <row r="982" spans="1:20" x14ac:dyDescent="0.25">
      <c r="A982" s="5">
        <v>43611</v>
      </c>
      <c r="B982">
        <v>1.6748000000000001</v>
      </c>
      <c r="C982">
        <v>1.76</v>
      </c>
      <c r="D982">
        <v>1.6131</v>
      </c>
      <c r="E982">
        <v>1.7185999999999999</v>
      </c>
      <c r="F982">
        <v>392150.53</v>
      </c>
      <c r="G982">
        <v>0</v>
      </c>
      <c r="L982" t="s">
        <v>7</v>
      </c>
      <c r="M982" t="s">
        <v>7</v>
      </c>
      <c r="N982" t="s">
        <v>8</v>
      </c>
      <c r="P982">
        <f t="shared" si="1019"/>
        <v>0.4363512593601076</v>
      </c>
      <c r="Q982">
        <f t="shared" si="1020"/>
        <v>171115.37762423366</v>
      </c>
      <c r="R982">
        <f t="shared" si="1021"/>
        <v>-2518182.9900860949</v>
      </c>
      <c r="S982">
        <f t="shared" si="1022"/>
        <v>-25.181829900860951</v>
      </c>
      <c r="T982">
        <f t="shared" si="1023"/>
        <v>-2.5181829900860951E-2</v>
      </c>
    </row>
    <row r="983" spans="1:20" x14ac:dyDescent="0.25">
      <c r="A983" s="5">
        <v>43610</v>
      </c>
      <c r="B983">
        <v>1.6678999999999999</v>
      </c>
      <c r="C983">
        <v>1.71</v>
      </c>
      <c r="D983">
        <v>1.6416999999999999</v>
      </c>
      <c r="E983">
        <v>1.6748000000000001</v>
      </c>
      <c r="F983">
        <v>225238.56</v>
      </c>
      <c r="G983">
        <v>0</v>
      </c>
      <c r="L983" t="s">
        <v>8</v>
      </c>
      <c r="M983" t="s">
        <v>7</v>
      </c>
      <c r="N983" t="s">
        <v>8</v>
      </c>
      <c r="P983">
        <f t="shared" si="1019"/>
        <v>-3.074670571009909E-2</v>
      </c>
      <c r="Q983">
        <f t="shared" si="1020"/>
        <v>-6925.3437188864964</v>
      </c>
      <c r="R983">
        <f t="shared" si="1021"/>
        <v>-2689298.3677103287</v>
      </c>
      <c r="S983">
        <f t="shared" si="1022"/>
        <v>-26.892983677103288</v>
      </c>
      <c r="T983">
        <f t="shared" si="1023"/>
        <v>-2.6892983677103289E-2</v>
      </c>
    </row>
    <row r="984" spans="1:20" x14ac:dyDescent="0.25">
      <c r="A984" s="5">
        <v>43609</v>
      </c>
      <c r="B984">
        <v>1.6679999999999999</v>
      </c>
      <c r="C984">
        <v>1.77</v>
      </c>
      <c r="D984">
        <v>1.64</v>
      </c>
      <c r="E984">
        <v>1.6629</v>
      </c>
      <c r="F984">
        <v>367318.19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-0.64769230769230579</v>
      </c>
      <c r="Q984">
        <f t="shared" si="1020"/>
        <v>-237909.16613846083</v>
      </c>
      <c r="R984">
        <f t="shared" si="1021"/>
        <v>-2682373.0239914423</v>
      </c>
      <c r="S984">
        <f t="shared" si="1022"/>
        <v>-26.823730239914422</v>
      </c>
      <c r="T984">
        <f t="shared" si="1023"/>
        <v>-2.6823730239914422E-2</v>
      </c>
    </row>
    <row r="985" spans="1:20" x14ac:dyDescent="0.25">
      <c r="A985" s="5">
        <v>43608</v>
      </c>
      <c r="B985">
        <v>1.6572</v>
      </c>
      <c r="C985">
        <v>1.6891</v>
      </c>
      <c r="D985">
        <v>1.55</v>
      </c>
      <c r="E985">
        <v>1.6679999999999999</v>
      </c>
      <c r="F985">
        <v>370553.06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0.69662113587347063</v>
      </c>
      <c r="Q985">
        <f t="shared" si="1020"/>
        <v>258135.09355859031</v>
      </c>
      <c r="R985">
        <f t="shared" si="1021"/>
        <v>-2444463.8578529814</v>
      </c>
      <c r="S985">
        <f t="shared" si="1022"/>
        <v>-24.444638578529815</v>
      </c>
      <c r="T985">
        <f t="shared" si="1023"/>
        <v>-2.4444638578529816E-2</v>
      </c>
    </row>
    <row r="986" spans="1:20" x14ac:dyDescent="0.25">
      <c r="A986" s="5">
        <v>43607</v>
      </c>
      <c r="B986">
        <v>1.7335</v>
      </c>
      <c r="C986">
        <v>1.78</v>
      </c>
      <c r="D986">
        <v>1.6114999999999999</v>
      </c>
      <c r="E986">
        <v>1.6451</v>
      </c>
      <c r="F986">
        <v>320588.3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-0.60118694362017733</v>
      </c>
      <c r="Q986">
        <f t="shared" si="1020"/>
        <v>-192733.50023738848</v>
      </c>
      <c r="R986">
        <f t="shared" si="1021"/>
        <v>-2702598.9514115718</v>
      </c>
      <c r="S986">
        <f t="shared" si="1022"/>
        <v>-27.025989514115718</v>
      </c>
      <c r="T986">
        <f t="shared" si="1023"/>
        <v>-2.7025989514115719E-2</v>
      </c>
    </row>
    <row r="987" spans="1:20" x14ac:dyDescent="0.25">
      <c r="A987" s="5">
        <v>43606</v>
      </c>
      <c r="B987">
        <v>1.7037</v>
      </c>
      <c r="C987">
        <v>1.8</v>
      </c>
      <c r="D987">
        <v>1.67</v>
      </c>
      <c r="E987">
        <v>1.7355</v>
      </c>
      <c r="F987">
        <v>501759.23</v>
      </c>
      <c r="G987">
        <v>0</v>
      </c>
      <c r="L987" t="s">
        <v>8</v>
      </c>
      <c r="M987" t="s">
        <v>7</v>
      </c>
      <c r="N987" t="s">
        <v>8</v>
      </c>
      <c r="P987">
        <f t="shared" si="1019"/>
        <v>7.6923076923085462E-3</v>
      </c>
      <c r="Q987">
        <f t="shared" si="1020"/>
        <v>3859.686384615813</v>
      </c>
      <c r="R987">
        <f t="shared" si="1021"/>
        <v>-2509865.4511741833</v>
      </c>
      <c r="S987">
        <f t="shared" si="1022"/>
        <v>-25.098654511741834</v>
      </c>
      <c r="T987">
        <f t="shared" si="1023"/>
        <v>-2.5098654511741834E-2</v>
      </c>
    </row>
    <row r="988" spans="1:20" x14ac:dyDescent="0.25">
      <c r="A988" s="5">
        <v>43605</v>
      </c>
      <c r="B988">
        <v>1.7925</v>
      </c>
      <c r="C988">
        <v>1.8026</v>
      </c>
      <c r="D988">
        <v>1.63</v>
      </c>
      <c r="E988">
        <v>1.7043999999999999</v>
      </c>
      <c r="F988">
        <v>610391.07999999996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-0.13789107763615313</v>
      </c>
      <c r="Q988">
        <f t="shared" si="1020"/>
        <v>-84167.483800695351</v>
      </c>
      <c r="R988">
        <f t="shared" si="1021"/>
        <v>-2513725.1375587992</v>
      </c>
      <c r="S988">
        <f t="shared" si="1022"/>
        <v>-25.137251375587994</v>
      </c>
      <c r="T988">
        <f t="shared" si="1023"/>
        <v>-2.5137251375587994E-2</v>
      </c>
    </row>
    <row r="989" spans="1:20" x14ac:dyDescent="0.25">
      <c r="A989" s="5">
        <v>43604</v>
      </c>
      <c r="B989">
        <v>1.6753</v>
      </c>
      <c r="C989">
        <v>1.87</v>
      </c>
      <c r="D989">
        <v>1.6753</v>
      </c>
      <c r="E989">
        <v>1.8022</v>
      </c>
      <c r="F989">
        <v>520530.04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0.30354391371340472</v>
      </c>
      <c r="Q989">
        <f t="shared" si="1020"/>
        <v>158003.72554699509</v>
      </c>
      <c r="R989">
        <f t="shared" si="1021"/>
        <v>-2429557.653758104</v>
      </c>
      <c r="S989">
        <f t="shared" si="1022"/>
        <v>-24.295576537581038</v>
      </c>
      <c r="T989">
        <f t="shared" si="1023"/>
        <v>-2.4295576537581038E-2</v>
      </c>
    </row>
    <row r="990" spans="1:20" x14ac:dyDescent="0.25">
      <c r="A990" s="5">
        <v>43603</v>
      </c>
      <c r="B990">
        <v>1.7581</v>
      </c>
      <c r="C990">
        <v>1.7793000000000001</v>
      </c>
      <c r="D990">
        <v>1.6608000000000001</v>
      </c>
      <c r="E990">
        <v>1.6779999999999999</v>
      </c>
      <c r="F990">
        <v>339071.58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-0.70970464135021305</v>
      </c>
      <c r="Q990">
        <f t="shared" si="1020"/>
        <v>-240640.67407595008</v>
      </c>
      <c r="R990">
        <f t="shared" si="1021"/>
        <v>-2587561.3793050991</v>
      </c>
      <c r="S990">
        <f t="shared" si="1022"/>
        <v>-25.875613793050992</v>
      </c>
      <c r="T990">
        <f t="shared" si="1023"/>
        <v>-2.5875613793050992E-2</v>
      </c>
    </row>
    <row r="991" spans="1:20" x14ac:dyDescent="0.25">
      <c r="A991" s="5">
        <v>43602</v>
      </c>
      <c r="B991">
        <v>1.8221000000000001</v>
      </c>
      <c r="C991">
        <v>1.8385</v>
      </c>
      <c r="D991">
        <v>1.58</v>
      </c>
      <c r="E991">
        <v>1.7579</v>
      </c>
      <c r="F991">
        <v>916705.23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0.37640232108317201</v>
      </c>
      <c r="Q991">
        <f t="shared" si="1020"/>
        <v>345049.97632108303</v>
      </c>
      <c r="R991">
        <f t="shared" si="1021"/>
        <v>-2346920.7052291492</v>
      </c>
      <c r="S991">
        <f t="shared" si="1022"/>
        <v>-23.469207052291491</v>
      </c>
      <c r="T991">
        <f t="shared" si="1023"/>
        <v>-2.3469207052291489E-2</v>
      </c>
    </row>
    <row r="992" spans="1:20" x14ac:dyDescent="0.25">
      <c r="A992" s="5">
        <v>43601</v>
      </c>
      <c r="B992">
        <v>1.8680000000000001</v>
      </c>
      <c r="C992">
        <v>2.0699999999999998</v>
      </c>
      <c r="D992">
        <v>1.7271000000000001</v>
      </c>
      <c r="E992">
        <v>1.8225</v>
      </c>
      <c r="F992">
        <v>1290238.17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-0.44356955380577429</v>
      </c>
      <c r="Q992">
        <f t="shared" si="1020"/>
        <v>-572310.36937007867</v>
      </c>
      <c r="R992">
        <f t="shared" si="1021"/>
        <v>-2691970.6815502322</v>
      </c>
      <c r="S992">
        <f t="shared" si="1022"/>
        <v>-26.919706815502323</v>
      </c>
      <c r="T992">
        <f t="shared" si="1023"/>
        <v>-2.6919706815502323E-2</v>
      </c>
    </row>
    <row r="993" spans="1:20" x14ac:dyDescent="0.25">
      <c r="A993" s="5">
        <v>43600</v>
      </c>
      <c r="B993">
        <v>1.7</v>
      </c>
      <c r="C993">
        <v>1.9288000000000001</v>
      </c>
      <c r="D993">
        <v>1.7</v>
      </c>
      <c r="E993">
        <v>1.8796999999999999</v>
      </c>
      <c r="F993">
        <v>815232.65</v>
      </c>
      <c r="G993">
        <v>0</v>
      </c>
      <c r="L993" t="s">
        <v>8</v>
      </c>
      <c r="M993" t="s">
        <v>8</v>
      </c>
      <c r="N993" t="s">
        <v>7</v>
      </c>
      <c r="P993">
        <f t="shared" si="1019"/>
        <v>0.57080419580419473</v>
      </c>
      <c r="Q993">
        <f t="shared" si="1020"/>
        <v>465338.21717657254</v>
      </c>
      <c r="R993">
        <f t="shared" si="1021"/>
        <v>-2119660.3121801536</v>
      </c>
      <c r="S993">
        <f t="shared" si="1022"/>
        <v>-21.196603121801534</v>
      </c>
      <c r="T993">
        <f t="shared" si="1023"/>
        <v>-2.1196603121801535E-2</v>
      </c>
    </row>
    <row r="994" spans="1:20" x14ac:dyDescent="0.25">
      <c r="A994" s="5">
        <v>43599</v>
      </c>
      <c r="B994">
        <v>1.653</v>
      </c>
      <c r="C994">
        <v>1.7490000000000001</v>
      </c>
      <c r="D994">
        <v>1.6099000000000001</v>
      </c>
      <c r="E994">
        <v>1.6992</v>
      </c>
      <c r="F994">
        <v>1087686.08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0.28396836808051668</v>
      </c>
      <c r="Q994">
        <f t="shared" si="1020"/>
        <v>308868.44112149434</v>
      </c>
      <c r="R994">
        <f t="shared" si="1021"/>
        <v>-2584998.529356726</v>
      </c>
      <c r="S994">
        <f t="shared" si="1022"/>
        <v>-25.849985293567261</v>
      </c>
      <c r="T994">
        <f t="shared" si="1023"/>
        <v>-2.584998529356726E-2</v>
      </c>
    </row>
    <row r="995" spans="1:20" x14ac:dyDescent="0.25">
      <c r="A995" s="5">
        <v>43598</v>
      </c>
      <c r="B995">
        <v>1.6096999999999999</v>
      </c>
      <c r="C995">
        <v>1.7549999999999999</v>
      </c>
      <c r="D995">
        <v>1.58</v>
      </c>
      <c r="E995">
        <v>1.6482000000000001</v>
      </c>
      <c r="F995">
        <v>858697.91</v>
      </c>
      <c r="G995">
        <v>0</v>
      </c>
      <c r="L995" t="s">
        <v>7</v>
      </c>
      <c r="M995" t="s">
        <v>8</v>
      </c>
      <c r="N995" t="s">
        <v>7</v>
      </c>
      <c r="P995">
        <f t="shared" si="1019"/>
        <v>-0.22057142857142734</v>
      </c>
      <c r="Q995">
        <f t="shared" si="1020"/>
        <v>-189404.22471999895</v>
      </c>
      <c r="R995">
        <f t="shared" si="1021"/>
        <v>-2893866.9704782204</v>
      </c>
      <c r="S995">
        <f t="shared" si="1022"/>
        <v>-28.938669704782203</v>
      </c>
      <c r="T995">
        <f t="shared" si="1023"/>
        <v>-2.8938669704782202E-2</v>
      </c>
    </row>
    <row r="996" spans="1:20" x14ac:dyDescent="0.25">
      <c r="A996" s="5">
        <v>43597</v>
      </c>
      <c r="B996">
        <v>1.5829</v>
      </c>
      <c r="C996">
        <v>1.7688999999999999</v>
      </c>
      <c r="D996">
        <v>1.54</v>
      </c>
      <c r="E996">
        <v>1.6099000000000001</v>
      </c>
      <c r="F996">
        <v>1034127.48</v>
      </c>
      <c r="G996">
        <v>0</v>
      </c>
      <c r="L996" t="s">
        <v>8</v>
      </c>
      <c r="M996" t="s">
        <v>8</v>
      </c>
      <c r="N996" t="s">
        <v>7</v>
      </c>
      <c r="P996">
        <f t="shared" si="1019"/>
        <v>-0.38925294888597545</v>
      </c>
      <c r="Q996">
        <f t="shared" si="1020"/>
        <v>-402537.17111402261</v>
      </c>
      <c r="R996">
        <f t="shared" si="1021"/>
        <v>-2704462.7457582215</v>
      </c>
      <c r="S996">
        <f t="shared" si="1022"/>
        <v>-27.044627457582216</v>
      </c>
      <c r="T996">
        <f t="shared" si="1023"/>
        <v>-2.7044627457582217E-2</v>
      </c>
    </row>
    <row r="997" spans="1:20" x14ac:dyDescent="0.25">
      <c r="A997" s="5">
        <v>43596</v>
      </c>
      <c r="B997">
        <v>1.4696</v>
      </c>
      <c r="C997">
        <v>1.6927000000000001</v>
      </c>
      <c r="D997">
        <v>1.4639</v>
      </c>
      <c r="E997">
        <v>1.591</v>
      </c>
      <c r="F997">
        <v>970337.85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0.11101398601398538</v>
      </c>
      <c r="Q997">
        <f t="shared" si="1020"/>
        <v>107721.07250874063</v>
      </c>
      <c r="R997">
        <f t="shared" si="1021"/>
        <v>-2301925.5746441986</v>
      </c>
      <c r="S997">
        <f t="shared" si="1022"/>
        <v>-23.019255746441985</v>
      </c>
      <c r="T997">
        <f t="shared" si="1023"/>
        <v>-2.3019255746441983E-2</v>
      </c>
    </row>
    <row r="998" spans="1:20" x14ac:dyDescent="0.25">
      <c r="A998" s="5">
        <v>43595</v>
      </c>
      <c r="B998">
        <v>1.4271</v>
      </c>
      <c r="C998">
        <v>1.5601</v>
      </c>
      <c r="D998">
        <v>1.4228000000000001</v>
      </c>
      <c r="E998">
        <v>1.4711000000000001</v>
      </c>
      <c r="F998">
        <v>420405.59</v>
      </c>
      <c r="G998">
        <v>0</v>
      </c>
      <c r="L998" t="s">
        <v>8</v>
      </c>
      <c r="M998" t="s">
        <v>7</v>
      </c>
      <c r="N998" t="s">
        <v>7</v>
      </c>
      <c r="P998">
        <f t="shared" si="1019"/>
        <v>-0.29643117261471208</v>
      </c>
      <c r="Q998">
        <f t="shared" si="1020"/>
        <v>-124621.32201747988</v>
      </c>
      <c r="R998">
        <f t="shared" si="1021"/>
        <v>-2409646.6471529393</v>
      </c>
      <c r="S998">
        <f t="shared" si="1022"/>
        <v>-24.096466471529393</v>
      </c>
      <c r="T998">
        <f t="shared" si="1023"/>
        <v>-2.4096466471529392E-2</v>
      </c>
    </row>
    <row r="999" spans="1:20" x14ac:dyDescent="0.25">
      <c r="A999" s="5">
        <v>43594</v>
      </c>
      <c r="B999">
        <v>1.4928999999999999</v>
      </c>
      <c r="C999">
        <v>1.5379</v>
      </c>
      <c r="D999">
        <v>1.4015</v>
      </c>
      <c r="E999">
        <v>1.427</v>
      </c>
      <c r="F999">
        <v>269290.11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-0.62609970674486715</v>
      </c>
      <c r="Q999">
        <f t="shared" si="1020"/>
        <v>-168602.45890029302</v>
      </c>
      <c r="R999">
        <f t="shared" si="1021"/>
        <v>-2285025.3251354597</v>
      </c>
      <c r="S999">
        <f t="shared" si="1022"/>
        <v>-22.850253251354598</v>
      </c>
      <c r="T999">
        <f t="shared" si="1023"/>
        <v>-2.2850253251354598E-2</v>
      </c>
    </row>
    <row r="1000" spans="1:20" x14ac:dyDescent="0.25">
      <c r="A1000" s="5">
        <v>43593</v>
      </c>
      <c r="B1000">
        <v>1.5242</v>
      </c>
      <c r="C1000">
        <v>1.5362</v>
      </c>
      <c r="D1000">
        <v>1.4556</v>
      </c>
      <c r="E1000">
        <v>1.5032000000000001</v>
      </c>
      <c r="F1000">
        <v>440929.86</v>
      </c>
      <c r="G1000">
        <v>0</v>
      </c>
      <c r="L1000" t="s">
        <v>7</v>
      </c>
      <c r="M1000" t="s">
        <v>8</v>
      </c>
      <c r="N1000" t="s">
        <v>7</v>
      </c>
      <c r="P1000">
        <f t="shared" si="1019"/>
        <v>0.18114143920595741</v>
      </c>
      <c r="Q1000">
        <f t="shared" si="1020"/>
        <v>79870.669429281304</v>
      </c>
      <c r="R1000">
        <f t="shared" si="1021"/>
        <v>-2116422.8662351668</v>
      </c>
      <c r="S1000">
        <f t="shared" si="1022"/>
        <v>-21.164228662351668</v>
      </c>
      <c r="T1000">
        <f t="shared" si="1023"/>
        <v>-2.1164228662351667E-2</v>
      </c>
    </row>
    <row r="1001" spans="1:20" x14ac:dyDescent="0.25">
      <c r="A1001" s="5">
        <v>43592</v>
      </c>
      <c r="B1001">
        <v>1.4499</v>
      </c>
      <c r="C1001">
        <v>1.6512</v>
      </c>
      <c r="D1001">
        <v>1.4499</v>
      </c>
      <c r="E1001">
        <v>1.5381</v>
      </c>
      <c r="F1001">
        <v>912906.35</v>
      </c>
      <c r="G1001">
        <v>0</v>
      </c>
      <c r="L1001" t="s">
        <v>8</v>
      </c>
      <c r="M1001" t="s">
        <v>8</v>
      </c>
      <c r="N1001" t="s">
        <v>7</v>
      </c>
      <c r="P1001">
        <f t="shared" si="1019"/>
        <v>-0.12369597615499214</v>
      </c>
      <c r="Q1001">
        <f t="shared" si="1020"/>
        <v>-112922.84210134091</v>
      </c>
      <c r="R1001">
        <f t="shared" si="1021"/>
        <v>-2196293.535664448</v>
      </c>
      <c r="S1001">
        <f t="shared" si="1022"/>
        <v>-21.962935356644479</v>
      </c>
      <c r="T1001">
        <f t="shared" si="1023"/>
        <v>-2.1962935356644481E-2</v>
      </c>
    </row>
    <row r="1002" spans="1:20" x14ac:dyDescent="0.25">
      <c r="A1002" s="5">
        <v>43591</v>
      </c>
      <c r="B1002">
        <v>1.4134</v>
      </c>
      <c r="C1002">
        <v>1.4977</v>
      </c>
      <c r="D1002">
        <v>1.3766</v>
      </c>
      <c r="E1002">
        <v>1.4470000000000001</v>
      </c>
      <c r="F1002">
        <v>340532.26</v>
      </c>
      <c r="G1002">
        <v>0</v>
      </c>
      <c r="L1002" t="s">
        <v>8</v>
      </c>
      <c r="M1002" t="s">
        <v>7</v>
      </c>
      <c r="N1002" t="s">
        <v>7</v>
      </c>
      <c r="P1002">
        <f t="shared" si="1019"/>
        <v>0.16267547481420358</v>
      </c>
      <c r="Q1002">
        <f t="shared" si="1020"/>
        <v>55396.24708505383</v>
      </c>
      <c r="R1002">
        <f t="shared" si="1021"/>
        <v>-2083370.6935631069</v>
      </c>
      <c r="S1002">
        <f t="shared" si="1022"/>
        <v>-20.833706935631071</v>
      </c>
      <c r="T1002">
        <f t="shared" si="1023"/>
        <v>-2.083370693563107E-2</v>
      </c>
    </row>
    <row r="1003" spans="1:20" x14ac:dyDescent="0.25">
      <c r="A1003" s="5">
        <v>43590</v>
      </c>
      <c r="B1003">
        <v>1.45</v>
      </c>
      <c r="C1003">
        <v>1.4798</v>
      </c>
      <c r="D1003">
        <v>1.4000999999999999</v>
      </c>
      <c r="E1003">
        <v>1.4077999999999999</v>
      </c>
      <c r="F1003">
        <v>212146.64</v>
      </c>
      <c r="G1003">
        <v>0</v>
      </c>
      <c r="L1003" t="s">
        <v>8</v>
      </c>
      <c r="M1003" t="s">
        <v>7</v>
      </c>
      <c r="N1003" t="s">
        <v>7</v>
      </c>
      <c r="P1003">
        <f t="shared" si="1019"/>
        <v>-0.80677540777917112</v>
      </c>
      <c r="Q1003">
        <f t="shared" si="1020"/>
        <v>-171154.69199498103</v>
      </c>
      <c r="R1003">
        <f t="shared" si="1021"/>
        <v>-2138766.9406481609</v>
      </c>
      <c r="S1003">
        <f t="shared" si="1022"/>
        <v>-21.38766940648161</v>
      </c>
      <c r="T1003">
        <f t="shared" si="1023"/>
        <v>-2.138766940648161E-2</v>
      </c>
    </row>
    <row r="1004" spans="1:20" x14ac:dyDescent="0.25">
      <c r="A1004" s="5">
        <v>43589</v>
      </c>
      <c r="B1004">
        <v>1.4975000000000001</v>
      </c>
      <c r="C1004">
        <v>1.55</v>
      </c>
      <c r="D1004">
        <v>1.3611</v>
      </c>
      <c r="E1004">
        <v>1.4499</v>
      </c>
      <c r="F1004">
        <v>541907.74</v>
      </c>
      <c r="G1004">
        <v>0</v>
      </c>
      <c r="L1004" t="s">
        <v>7</v>
      </c>
      <c r="M1004" t="s">
        <v>7</v>
      </c>
      <c r="N1004" t="s">
        <v>7</v>
      </c>
      <c r="P1004">
        <f t="shared" si="1019"/>
        <v>-5.9820010587612937E-2</v>
      </c>
      <c r="Q1004">
        <f t="shared" si="1020"/>
        <v>-32416.9267443094</v>
      </c>
      <c r="R1004">
        <f t="shared" si="1021"/>
        <v>-1967612.24865318</v>
      </c>
      <c r="S1004">
        <f t="shared" si="1022"/>
        <v>-19.676122486531799</v>
      </c>
      <c r="T1004">
        <f t="shared" si="1023"/>
        <v>-1.9676122486531798E-2</v>
      </c>
    </row>
    <row r="1005" spans="1:20" x14ac:dyDescent="0.25">
      <c r="A1005" s="5">
        <v>43588</v>
      </c>
      <c r="B1005">
        <v>1.4726999999999999</v>
      </c>
      <c r="C1005">
        <v>1.5145999999999999</v>
      </c>
      <c r="D1005">
        <v>1.42</v>
      </c>
      <c r="E1005">
        <v>1.4975000000000001</v>
      </c>
      <c r="F1005">
        <v>479648.64</v>
      </c>
      <c r="G1005">
        <v>0</v>
      </c>
      <c r="L1005" t="s">
        <v>7</v>
      </c>
      <c r="M1005" t="s">
        <v>7</v>
      </c>
      <c r="N1005" t="s">
        <v>7</v>
      </c>
      <c r="P1005">
        <f t="shared" si="1019"/>
        <v>0.63847780126850129</v>
      </c>
      <c r="Q1005">
        <f t="shared" si="1020"/>
        <v>306245.00904862693</v>
      </c>
      <c r="R1005">
        <f t="shared" si="1021"/>
        <v>-1935195.3219088705</v>
      </c>
      <c r="S1005">
        <f t="shared" si="1022"/>
        <v>-19.351953219088706</v>
      </c>
      <c r="T1005">
        <f t="shared" si="1023"/>
        <v>-1.9351953219088707E-2</v>
      </c>
    </row>
    <row r="1006" spans="1:20" x14ac:dyDescent="0.25">
      <c r="A1006" s="5">
        <v>43587</v>
      </c>
      <c r="B1006">
        <v>1.4971000000000001</v>
      </c>
      <c r="C1006">
        <v>1.5199</v>
      </c>
      <c r="D1006">
        <v>1.4571000000000001</v>
      </c>
      <c r="E1006">
        <v>1.4690000000000001</v>
      </c>
      <c r="F1006">
        <v>273922.74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-0.62101910828025386</v>
      </c>
      <c r="Q1006">
        <f t="shared" si="1020"/>
        <v>-170111.25573248381</v>
      </c>
      <c r="R1006">
        <f t="shared" si="1021"/>
        <v>-2241440.3309574975</v>
      </c>
      <c r="S1006">
        <f t="shared" si="1022"/>
        <v>-22.414403309574976</v>
      </c>
      <c r="T1006">
        <f t="shared" si="1023"/>
        <v>-2.2414403309574976E-2</v>
      </c>
    </row>
    <row r="1007" spans="1:20" x14ac:dyDescent="0.25">
      <c r="A1007" s="5">
        <v>43586</v>
      </c>
      <c r="B1007">
        <v>1.5277000000000001</v>
      </c>
      <c r="C1007">
        <v>1.57</v>
      </c>
      <c r="D1007">
        <v>1.47</v>
      </c>
      <c r="E1007">
        <v>1.5004999999999999</v>
      </c>
      <c r="F1007">
        <v>321942.65000000002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-0.39000000000000112</v>
      </c>
      <c r="Q1007">
        <f t="shared" si="1020"/>
        <v>-125557.63350000037</v>
      </c>
      <c r="R1007">
        <f t="shared" si="1021"/>
        <v>-2071329.0752250138</v>
      </c>
      <c r="S1007">
        <f t="shared" si="1022"/>
        <v>-20.713290752250138</v>
      </c>
      <c r="T1007">
        <f t="shared" si="1023"/>
        <v>-2.0713290752250139E-2</v>
      </c>
    </row>
    <row r="1008" spans="1:20" x14ac:dyDescent="0.25">
      <c r="A1008" s="5">
        <v>43585</v>
      </c>
      <c r="B1008">
        <v>1.4063000000000001</v>
      </c>
      <c r="C1008">
        <v>1.55</v>
      </c>
      <c r="D1008">
        <v>1.3998999999999999</v>
      </c>
      <c r="E1008">
        <v>1.5263</v>
      </c>
      <c r="F1008">
        <v>423952.14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0.68421052631578905</v>
      </c>
      <c r="Q1008">
        <f t="shared" si="1020"/>
        <v>290072.51684210508</v>
      </c>
      <c r="R1008">
        <f t="shared" si="1021"/>
        <v>-1945771.4417250133</v>
      </c>
      <c r="S1008">
        <f t="shared" si="1022"/>
        <v>-19.457714417250134</v>
      </c>
      <c r="T1008">
        <f t="shared" si="1023"/>
        <v>-1.9457714417250135E-2</v>
      </c>
    </row>
    <row r="1009" spans="1:20" x14ac:dyDescent="0.25">
      <c r="A1009" s="5">
        <v>43584</v>
      </c>
      <c r="B1009">
        <v>1.5536000000000001</v>
      </c>
      <c r="C1009">
        <v>1.5728</v>
      </c>
      <c r="D1009">
        <v>1.3875</v>
      </c>
      <c r="E1009">
        <v>1.4</v>
      </c>
      <c r="F1009">
        <v>699909.97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-0.86508364813815486</v>
      </c>
      <c r="Q1009">
        <f t="shared" si="1020"/>
        <v>-605480.67021586653</v>
      </c>
      <c r="R1009">
        <f t="shared" si="1021"/>
        <v>-2235843.9585671183</v>
      </c>
      <c r="S1009">
        <f t="shared" si="1022"/>
        <v>-22.358439585671182</v>
      </c>
      <c r="T1009">
        <f t="shared" si="1023"/>
        <v>-2.2358439585671182E-2</v>
      </c>
    </row>
    <row r="1010" spans="1:20" x14ac:dyDescent="0.25">
      <c r="A1010" s="5">
        <v>43583</v>
      </c>
      <c r="B1010">
        <v>1.5942000000000001</v>
      </c>
      <c r="C1010">
        <v>1.6788000000000001</v>
      </c>
      <c r="D1010">
        <v>1.5347999999999999</v>
      </c>
      <c r="E1010">
        <v>1.5539000000000001</v>
      </c>
      <c r="F1010">
        <v>485055.92</v>
      </c>
      <c r="G1010">
        <v>0</v>
      </c>
      <c r="L1010" t="s">
        <v>8</v>
      </c>
      <c r="M1010" t="s">
        <v>7</v>
      </c>
      <c r="N1010" t="s">
        <v>8</v>
      </c>
      <c r="P1010">
        <f t="shared" si="1019"/>
        <v>-0.73472222222222083</v>
      </c>
      <c r="Q1010">
        <f t="shared" si="1020"/>
        <v>-356381.36344444373</v>
      </c>
      <c r="R1010">
        <f t="shared" si="1021"/>
        <v>-1630363.2883512515</v>
      </c>
      <c r="S1010">
        <f t="shared" si="1022"/>
        <v>-16.303632883512517</v>
      </c>
      <c r="T1010">
        <f t="shared" si="1023"/>
        <v>-1.6303632883512519E-2</v>
      </c>
    </row>
    <row r="1011" spans="1:20" x14ac:dyDescent="0.25">
      <c r="A1011" s="5">
        <v>43582</v>
      </c>
      <c r="B1011">
        <v>1.5834999999999999</v>
      </c>
      <c r="C1011">
        <v>1.6183000000000001</v>
      </c>
      <c r="D1011">
        <v>1.5119</v>
      </c>
      <c r="E1011">
        <v>1.5923</v>
      </c>
      <c r="F1011">
        <v>434598.25</v>
      </c>
      <c r="G1011">
        <v>0</v>
      </c>
      <c r="L1011" t="s">
        <v>8</v>
      </c>
      <c r="M1011" t="s">
        <v>7</v>
      </c>
      <c r="N1011" t="s">
        <v>8</v>
      </c>
      <c r="P1011">
        <f t="shared" si="1019"/>
        <v>0.51127819548872155</v>
      </c>
      <c r="Q1011">
        <f t="shared" si="1020"/>
        <v>222200.60902255628</v>
      </c>
      <c r="R1011">
        <f t="shared" si="1021"/>
        <v>-1273981.9249068077</v>
      </c>
      <c r="S1011">
        <f t="shared" si="1022"/>
        <v>-12.739819249068077</v>
      </c>
      <c r="T1011">
        <f t="shared" si="1023"/>
        <v>-1.2739819249068076E-2</v>
      </c>
    </row>
    <row r="1012" spans="1:20" x14ac:dyDescent="0.25">
      <c r="A1012" s="5">
        <v>43581</v>
      </c>
      <c r="B1012">
        <v>1.6356999999999999</v>
      </c>
      <c r="C1012">
        <v>1.68</v>
      </c>
      <c r="D1012">
        <v>1.4744999999999999</v>
      </c>
      <c r="E1012">
        <v>1.5728</v>
      </c>
      <c r="F1012">
        <v>1469845.42</v>
      </c>
      <c r="G1012">
        <v>0</v>
      </c>
      <c r="L1012" t="s">
        <v>7</v>
      </c>
      <c r="M1012" t="s">
        <v>7</v>
      </c>
      <c r="N1012" t="s">
        <v>8</v>
      </c>
      <c r="P1012">
        <f t="shared" si="1019"/>
        <v>-4.330900243308957E-2</v>
      </c>
      <c r="Q1012">
        <f t="shared" si="1020"/>
        <v>-63657.538871045559</v>
      </c>
      <c r="R1012">
        <f t="shared" si="1021"/>
        <v>-1496182.5339293641</v>
      </c>
      <c r="S1012">
        <f t="shared" si="1022"/>
        <v>-14.961825339293641</v>
      </c>
      <c r="T1012">
        <f t="shared" si="1023"/>
        <v>-1.4961825339293642E-2</v>
      </c>
    </row>
    <row r="1013" spans="1:20" x14ac:dyDescent="0.25">
      <c r="A1013" s="5">
        <v>43580</v>
      </c>
      <c r="B1013">
        <v>1.7801</v>
      </c>
      <c r="C1013">
        <v>1.85</v>
      </c>
      <c r="D1013">
        <v>1.6036999999999999</v>
      </c>
      <c r="E1013">
        <v>1.635</v>
      </c>
      <c r="F1013">
        <v>1044859.92</v>
      </c>
      <c r="G1013">
        <v>0</v>
      </c>
      <c r="L1013" t="s">
        <v>7</v>
      </c>
      <c r="M1013" t="s">
        <v>7</v>
      </c>
      <c r="N1013" t="s">
        <v>8</v>
      </c>
      <c r="P1013">
        <f t="shared" si="1019"/>
        <v>-0.74583840844498517</v>
      </c>
      <c r="Q1013">
        <f t="shared" si="1020"/>
        <v>-779296.65978075459</v>
      </c>
      <c r="R1013">
        <f t="shared" si="1021"/>
        <v>-1432524.9950583186</v>
      </c>
      <c r="S1013">
        <f t="shared" si="1022"/>
        <v>-14.325249950583187</v>
      </c>
      <c r="T1013">
        <f t="shared" si="1023"/>
        <v>-1.4325249950583187E-2</v>
      </c>
    </row>
    <row r="1014" spans="1:20" x14ac:dyDescent="0.25">
      <c r="A1014" s="5">
        <v>43579</v>
      </c>
      <c r="B1014">
        <v>1.9247000000000001</v>
      </c>
      <c r="C1014">
        <v>1.9247000000000001</v>
      </c>
      <c r="D1014">
        <v>1.6758999999999999</v>
      </c>
      <c r="E1014">
        <v>1.7794000000000001</v>
      </c>
      <c r="F1014">
        <v>1391729.99</v>
      </c>
      <c r="G1014">
        <v>0</v>
      </c>
      <c r="L1014" t="s">
        <v>7</v>
      </c>
      <c r="M1014" t="s">
        <v>8</v>
      </c>
      <c r="N1014" t="s">
        <v>8</v>
      </c>
      <c r="P1014">
        <f t="shared" si="1019"/>
        <v>-0.16800643086816647</v>
      </c>
      <c r="Q1014">
        <f t="shared" si="1020"/>
        <v>-233819.58835208902</v>
      </c>
      <c r="R1014">
        <f t="shared" si="1021"/>
        <v>-653228.33527756389</v>
      </c>
      <c r="S1014">
        <f t="shared" si="1022"/>
        <v>-6.5322833527756385</v>
      </c>
      <c r="T1014">
        <f t="shared" si="1023"/>
        <v>-6.5322833527756384E-3</v>
      </c>
    </row>
    <row r="1015" spans="1:20" x14ac:dyDescent="0.25">
      <c r="A1015" s="5">
        <v>43578</v>
      </c>
      <c r="B1015">
        <v>1.7645999999999999</v>
      </c>
      <c r="C1015">
        <v>1.97</v>
      </c>
      <c r="D1015">
        <v>1.7615000000000001</v>
      </c>
      <c r="E1015">
        <v>1.9241999999999999</v>
      </c>
      <c r="F1015">
        <v>1728379.02</v>
      </c>
      <c r="G1015">
        <v>0</v>
      </c>
      <c r="L1015" t="s">
        <v>8</v>
      </c>
      <c r="M1015" t="s">
        <v>8</v>
      </c>
      <c r="N1015" t="s">
        <v>8</v>
      </c>
      <c r="P1015">
        <f t="shared" si="1019"/>
        <v>0.56067146282973546</v>
      </c>
      <c r="Q1015">
        <f t="shared" si="1020"/>
        <v>969052.79346762458</v>
      </c>
      <c r="R1015">
        <f t="shared" si="1021"/>
        <v>-419408.74692547484</v>
      </c>
      <c r="S1015">
        <f t="shared" si="1022"/>
        <v>-4.1940874692547485</v>
      </c>
      <c r="T1015">
        <f t="shared" si="1023"/>
        <v>-4.1940874692547488E-3</v>
      </c>
    </row>
    <row r="1016" spans="1:20" x14ac:dyDescent="0.25">
      <c r="A1016" s="5">
        <v>43577</v>
      </c>
      <c r="B1016">
        <v>1.6705000000000001</v>
      </c>
      <c r="C1016">
        <v>1.8033999999999999</v>
      </c>
      <c r="D1016">
        <v>1.6596</v>
      </c>
      <c r="E1016">
        <v>1.7679</v>
      </c>
      <c r="F1016">
        <v>744327.56</v>
      </c>
      <c r="G1016">
        <v>0</v>
      </c>
      <c r="L1016" t="s">
        <v>8</v>
      </c>
      <c r="M1016" t="s">
        <v>8</v>
      </c>
      <c r="N1016" t="s">
        <v>8</v>
      </c>
      <c r="P1016">
        <f t="shared" si="1019"/>
        <v>0.50625869262865253</v>
      </c>
      <c r="Q1016">
        <f t="shared" si="1020"/>
        <v>376822.29741307494</v>
      </c>
      <c r="R1016">
        <f t="shared" si="1021"/>
        <v>-1388461.5403930994</v>
      </c>
      <c r="S1016">
        <f t="shared" si="1022"/>
        <v>-13.884615403930994</v>
      </c>
      <c r="T1016">
        <f t="shared" si="1023"/>
        <v>-1.3884615403930994E-2</v>
      </c>
    </row>
    <row r="1017" spans="1:20" x14ac:dyDescent="0.25">
      <c r="A1017" s="5">
        <v>43576</v>
      </c>
      <c r="B1017">
        <v>1.7229000000000001</v>
      </c>
      <c r="C1017">
        <v>1.7274</v>
      </c>
      <c r="D1017">
        <v>1.5690999999999999</v>
      </c>
      <c r="E1017">
        <v>1.6705000000000001</v>
      </c>
      <c r="F1017">
        <v>530830.22</v>
      </c>
      <c r="G1017">
        <v>0</v>
      </c>
      <c r="L1017" t="s">
        <v>7</v>
      </c>
      <c r="M1017" t="s">
        <v>8</v>
      </c>
      <c r="N1017" t="s">
        <v>8</v>
      </c>
      <c r="P1017">
        <f t="shared" si="1019"/>
        <v>0.28111181301326704</v>
      </c>
      <c r="Q1017">
        <f t="shared" si="1020"/>
        <v>149222.64554643139</v>
      </c>
      <c r="R1017">
        <f t="shared" si="1021"/>
        <v>-1765283.8378061743</v>
      </c>
      <c r="S1017">
        <f t="shared" si="1022"/>
        <v>-17.652838378061745</v>
      </c>
      <c r="T1017">
        <f t="shared" si="1023"/>
        <v>-1.7652838378061746E-2</v>
      </c>
    </row>
    <row r="1018" spans="1:20" x14ac:dyDescent="0.25">
      <c r="A1018" s="5">
        <v>43575</v>
      </c>
      <c r="B1018">
        <v>1.7377</v>
      </c>
      <c r="C1018">
        <v>1.7748999999999999</v>
      </c>
      <c r="D1018">
        <v>1.6651</v>
      </c>
      <c r="E1018">
        <v>1.7173</v>
      </c>
      <c r="F1018">
        <v>531474.77</v>
      </c>
      <c r="G1018">
        <v>0</v>
      </c>
      <c r="L1018" t="s">
        <v>8</v>
      </c>
      <c r="M1018" t="s">
        <v>8</v>
      </c>
      <c r="N1018" t="s">
        <v>8</v>
      </c>
      <c r="P1018">
        <f t="shared" si="1019"/>
        <v>-4.9180327868851133E-2</v>
      </c>
      <c r="Q1018">
        <f t="shared" si="1020"/>
        <v>-26138.103442622247</v>
      </c>
      <c r="R1018">
        <f t="shared" si="1021"/>
        <v>-1914506.4833526057</v>
      </c>
      <c r="S1018">
        <f t="shared" si="1022"/>
        <v>-19.145064833526057</v>
      </c>
      <c r="T1018">
        <f t="shared" si="1023"/>
        <v>-1.9145064833526057E-2</v>
      </c>
    </row>
    <row r="1019" spans="1:20" x14ac:dyDescent="0.25">
      <c r="A1019" s="5">
        <v>43574</v>
      </c>
      <c r="B1019">
        <v>1.6482000000000001</v>
      </c>
      <c r="C1019">
        <v>1.7377</v>
      </c>
      <c r="D1019">
        <v>1.6006</v>
      </c>
      <c r="E1019">
        <v>1.7377</v>
      </c>
      <c r="F1019">
        <v>471601.73</v>
      </c>
      <c r="G1019">
        <v>0</v>
      </c>
      <c r="L1019" t="s">
        <v>8</v>
      </c>
      <c r="M1019" t="s">
        <v>8</v>
      </c>
      <c r="N1019" t="s">
        <v>8</v>
      </c>
      <c r="P1019">
        <f t="shared" si="1019"/>
        <v>1</v>
      </c>
      <c r="Q1019">
        <f t="shared" si="1020"/>
        <v>471601.73</v>
      </c>
      <c r="R1019">
        <f t="shared" si="1021"/>
        <v>-1888368.3799099834</v>
      </c>
      <c r="S1019">
        <f t="shared" si="1022"/>
        <v>-18.883683799099835</v>
      </c>
      <c r="T1019">
        <f t="shared" si="1023"/>
        <v>-1.8883683799099833E-2</v>
      </c>
    </row>
    <row r="1020" spans="1:20" x14ac:dyDescent="0.25">
      <c r="A1020" s="5">
        <v>43573</v>
      </c>
      <c r="B1020">
        <v>1.6099000000000001</v>
      </c>
      <c r="C1020">
        <v>1.694</v>
      </c>
      <c r="D1020">
        <v>1.6039000000000001</v>
      </c>
      <c r="E1020">
        <v>1.6482000000000001</v>
      </c>
      <c r="F1020">
        <v>581845.22</v>
      </c>
      <c r="G1020">
        <v>0</v>
      </c>
      <c r="L1020" t="s">
        <v>8</v>
      </c>
      <c r="M1020" t="s">
        <v>8</v>
      </c>
      <c r="N1020" t="s">
        <v>8</v>
      </c>
      <c r="P1020">
        <f t="shared" si="1019"/>
        <v>-1.6648168701441035E-2</v>
      </c>
      <c r="Q1020">
        <f t="shared" si="1020"/>
        <v>-9686.6573806870729</v>
      </c>
      <c r="R1020">
        <f t="shared" si="1021"/>
        <v>-2359970.1099099834</v>
      </c>
      <c r="S1020">
        <f t="shared" si="1022"/>
        <v>-23.599701099099832</v>
      </c>
      <c r="T1020">
        <f t="shared" si="1023"/>
        <v>-2.3599701099099833E-2</v>
      </c>
    </row>
    <row r="1021" spans="1:20" x14ac:dyDescent="0.25">
      <c r="A1021" s="5">
        <v>43572</v>
      </c>
      <c r="B1021">
        <v>1.5168999999999999</v>
      </c>
      <c r="C1021">
        <v>1.6488</v>
      </c>
      <c r="D1021">
        <v>1.5168999999999999</v>
      </c>
      <c r="E1021">
        <v>1.6045</v>
      </c>
      <c r="F1021">
        <v>852791.46</v>
      </c>
      <c r="G1021">
        <v>0</v>
      </c>
      <c r="L1021" t="s">
        <v>8</v>
      </c>
      <c r="M1021" t="s">
        <v>8</v>
      </c>
      <c r="N1021" t="s">
        <v>8</v>
      </c>
      <c r="P1021">
        <f t="shared" si="1019"/>
        <v>0.32827899924185044</v>
      </c>
      <c r="Q1021">
        <f t="shared" si="1020"/>
        <v>279953.52705079655</v>
      </c>
      <c r="R1021">
        <f t="shared" si="1021"/>
        <v>-2350283.4525292963</v>
      </c>
      <c r="S1021">
        <f t="shared" si="1022"/>
        <v>-23.502834525292961</v>
      </c>
      <c r="T1021">
        <f t="shared" si="1023"/>
        <v>-2.3502834525292962E-2</v>
      </c>
    </row>
    <row r="1022" spans="1:20" x14ac:dyDescent="0.25">
      <c r="A1022" s="5">
        <v>43571</v>
      </c>
      <c r="B1022">
        <v>1.5164</v>
      </c>
      <c r="C1022">
        <v>1.57</v>
      </c>
      <c r="D1022">
        <v>1.4554</v>
      </c>
      <c r="E1022">
        <v>1.5182</v>
      </c>
      <c r="F1022">
        <v>657120.44999999995</v>
      </c>
      <c r="G1022">
        <v>0</v>
      </c>
      <c r="L1022" t="s">
        <v>8</v>
      </c>
      <c r="M1022" t="s">
        <v>8</v>
      </c>
      <c r="N1022" t="s">
        <v>8</v>
      </c>
      <c r="P1022">
        <f t="shared" si="1019"/>
        <v>9.5986038394414441E-2</v>
      </c>
      <c r="Q1022">
        <f t="shared" si="1020"/>
        <v>63074.388743454889</v>
      </c>
      <c r="R1022">
        <f t="shared" si="1021"/>
        <v>-2630236.9795800927</v>
      </c>
      <c r="S1022">
        <f t="shared" si="1022"/>
        <v>-26.302369795800928</v>
      </c>
      <c r="T1022">
        <f t="shared" si="1023"/>
        <v>-2.6302369795800928E-2</v>
      </c>
    </row>
    <row r="1023" spans="1:20" x14ac:dyDescent="0.25">
      <c r="A1023" s="5">
        <v>43570</v>
      </c>
      <c r="B1023">
        <v>1.5721000000000001</v>
      </c>
      <c r="C1023">
        <v>1.63</v>
      </c>
      <c r="D1023">
        <v>1.4505999999999999</v>
      </c>
      <c r="E1023">
        <v>1.5227999999999999</v>
      </c>
      <c r="F1023">
        <v>695004</v>
      </c>
      <c r="G1023">
        <v>0</v>
      </c>
      <c r="L1023" t="s">
        <v>7</v>
      </c>
      <c r="M1023" t="s">
        <v>8</v>
      </c>
      <c r="N1023" t="s">
        <v>8</v>
      </c>
      <c r="P1023">
        <f t="shared" ref="P1023:P1035" si="1024">IF(C1023=D1023,0,((E1023-D1023)-(C1023-E1023))/(C1023-D1023))</f>
        <v>-0.19509476031215117</v>
      </c>
      <c r="Q1023">
        <f t="shared" ref="Q1023:Q1035" si="1025">F1023*P1023</f>
        <v>-135591.63879598631</v>
      </c>
      <c r="R1023">
        <f t="shared" ref="R1023:R1035" si="1026">R1024+Q1023</f>
        <v>-2693311.3683235478</v>
      </c>
      <c r="S1023">
        <f t="shared" ref="S1023:S1035" si="1027">R1023/100000</f>
        <v>-26.933113683235479</v>
      </c>
      <c r="T1023">
        <f t="shared" ref="T1023:T1035" si="1028">S1023/1000</f>
        <v>-2.693311368323548E-2</v>
      </c>
    </row>
    <row r="1024" spans="1:20" x14ac:dyDescent="0.25">
      <c r="A1024" s="5">
        <v>43569</v>
      </c>
      <c r="B1024">
        <v>1.5450999999999999</v>
      </c>
      <c r="C1024">
        <v>1.6148</v>
      </c>
      <c r="D1024">
        <v>1.4850000000000001</v>
      </c>
      <c r="E1024">
        <v>1.5684</v>
      </c>
      <c r="F1024">
        <v>501815.54</v>
      </c>
      <c r="G1024">
        <v>0</v>
      </c>
      <c r="L1024" t="s">
        <v>7</v>
      </c>
      <c r="M1024" t="s">
        <v>8</v>
      </c>
      <c r="N1024" t="s">
        <v>8</v>
      </c>
      <c r="P1024">
        <f t="shared" si="1024"/>
        <v>0.28505392912172534</v>
      </c>
      <c r="Q1024">
        <f t="shared" si="1025"/>
        <v>143044.49137134032</v>
      </c>
      <c r="R1024">
        <f t="shared" si="1026"/>
        <v>-2557719.7295275615</v>
      </c>
      <c r="S1024">
        <f t="shared" si="1027"/>
        <v>-25.577197295275614</v>
      </c>
      <c r="T1024">
        <f t="shared" si="1028"/>
        <v>-2.5577197295275612E-2</v>
      </c>
    </row>
    <row r="1025" spans="1:20" x14ac:dyDescent="0.25">
      <c r="A1025" s="5">
        <v>43568</v>
      </c>
      <c r="B1025">
        <v>1.63</v>
      </c>
      <c r="C1025">
        <v>1.6589</v>
      </c>
      <c r="D1025">
        <v>1.5168999999999999</v>
      </c>
      <c r="E1025">
        <v>1.5451999999999999</v>
      </c>
      <c r="F1025">
        <v>663726.25</v>
      </c>
      <c r="G1025">
        <v>0</v>
      </c>
      <c r="L1025" t="s">
        <v>7</v>
      </c>
      <c r="M1025" t="s">
        <v>8</v>
      </c>
      <c r="N1025" t="s">
        <v>8</v>
      </c>
      <c r="P1025">
        <f t="shared" si="1024"/>
        <v>-0.60140845070422577</v>
      </c>
      <c r="Q1025">
        <f t="shared" si="1025"/>
        <v>-399170.57570422563</v>
      </c>
      <c r="R1025">
        <f t="shared" si="1026"/>
        <v>-2700764.2208989016</v>
      </c>
      <c r="S1025">
        <f t="shared" si="1027"/>
        <v>-27.007642208989015</v>
      </c>
      <c r="T1025">
        <f t="shared" si="1028"/>
        <v>-2.7007642208989015E-2</v>
      </c>
    </row>
    <row r="1026" spans="1:20" x14ac:dyDescent="0.25">
      <c r="A1026" s="5">
        <v>43567</v>
      </c>
      <c r="B1026">
        <v>1.4628000000000001</v>
      </c>
      <c r="C1026">
        <v>1.66</v>
      </c>
      <c r="D1026">
        <v>1.373</v>
      </c>
      <c r="E1026">
        <v>1.63</v>
      </c>
      <c r="F1026">
        <v>1289441.4099999999</v>
      </c>
      <c r="G1026">
        <v>0</v>
      </c>
      <c r="L1026" t="s">
        <v>8</v>
      </c>
      <c r="M1026" t="s">
        <v>8</v>
      </c>
      <c r="N1026" t="s">
        <v>8</v>
      </c>
      <c r="P1026">
        <f t="shared" si="1024"/>
        <v>0.79094076655052237</v>
      </c>
      <c r="Q1026">
        <f t="shared" si="1025"/>
        <v>1019871.7772473863</v>
      </c>
      <c r="R1026">
        <f t="shared" si="1026"/>
        <v>-2301593.6451946758</v>
      </c>
      <c r="S1026">
        <f t="shared" si="1027"/>
        <v>-23.015936451946757</v>
      </c>
      <c r="T1026">
        <f t="shared" si="1028"/>
        <v>-2.3015936451946759E-2</v>
      </c>
    </row>
    <row r="1027" spans="1:20" x14ac:dyDescent="0.25">
      <c r="A1027" s="5">
        <v>43566</v>
      </c>
      <c r="B1027">
        <v>1.6194</v>
      </c>
      <c r="C1027">
        <v>1.6375999999999999</v>
      </c>
      <c r="D1027">
        <v>1.3759999999999999</v>
      </c>
      <c r="E1027">
        <v>1.4550000000000001</v>
      </c>
      <c r="F1027">
        <v>1453742.57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-0.39602446483180304</v>
      </c>
      <c r="Q1027">
        <f t="shared" si="1025"/>
        <v>-575717.62328745995</v>
      </c>
      <c r="R1027">
        <f t="shared" si="1026"/>
        <v>-3321465.4224420623</v>
      </c>
      <c r="S1027">
        <f t="shared" si="1027"/>
        <v>-33.21465422442062</v>
      </c>
      <c r="T1027">
        <f t="shared" si="1028"/>
        <v>-3.3214654224420617E-2</v>
      </c>
    </row>
    <row r="1028" spans="1:20" x14ac:dyDescent="0.25">
      <c r="A1028" s="5">
        <v>43565</v>
      </c>
      <c r="B1028">
        <v>1.6739999999999999</v>
      </c>
      <c r="C1028">
        <v>1.7307999999999999</v>
      </c>
      <c r="D1028">
        <v>1.6</v>
      </c>
      <c r="E1028">
        <v>1.6131</v>
      </c>
      <c r="F1028">
        <v>1498483.53</v>
      </c>
      <c r="G1028">
        <v>0</v>
      </c>
      <c r="L1028" t="s">
        <v>7</v>
      </c>
      <c r="M1028" t="s">
        <v>8</v>
      </c>
      <c r="N1028" t="s">
        <v>8</v>
      </c>
      <c r="P1028">
        <f t="shared" si="1024"/>
        <v>-0.79969418960244787</v>
      </c>
      <c r="Q1028">
        <f t="shared" si="1025"/>
        <v>-1198328.5721559655</v>
      </c>
      <c r="R1028">
        <f t="shared" si="1026"/>
        <v>-2745747.7991546025</v>
      </c>
      <c r="S1028">
        <f t="shared" si="1027"/>
        <v>-27.457477991546025</v>
      </c>
      <c r="T1028">
        <f t="shared" si="1028"/>
        <v>-2.7457477991546023E-2</v>
      </c>
    </row>
    <row r="1029" spans="1:20" x14ac:dyDescent="0.25">
      <c r="A1029" s="5">
        <v>43564</v>
      </c>
      <c r="B1029">
        <v>1.5874999999999999</v>
      </c>
      <c r="C1029">
        <v>1.85</v>
      </c>
      <c r="D1029">
        <v>1.5754999999999999</v>
      </c>
      <c r="E1029">
        <v>1.6745000000000001</v>
      </c>
      <c r="F1029">
        <v>3286361.78</v>
      </c>
      <c r="G1029">
        <v>0</v>
      </c>
      <c r="L1029" t="s">
        <v>8</v>
      </c>
      <c r="M1029" t="s">
        <v>8</v>
      </c>
      <c r="N1029" t="s">
        <v>8</v>
      </c>
      <c r="P1029">
        <f t="shared" si="1024"/>
        <v>-0.27868852459016297</v>
      </c>
      <c r="Q1029">
        <f t="shared" si="1025"/>
        <v>-915871.31573770172</v>
      </c>
      <c r="R1029">
        <f t="shared" si="1026"/>
        <v>-1547419.226998637</v>
      </c>
      <c r="S1029">
        <f t="shared" si="1027"/>
        <v>-15.47419226998637</v>
      </c>
      <c r="T1029">
        <f t="shared" si="1028"/>
        <v>-1.547419226998637E-2</v>
      </c>
    </row>
    <row r="1030" spans="1:20" x14ac:dyDescent="0.25">
      <c r="A1030" s="5">
        <v>43563</v>
      </c>
      <c r="B1030">
        <v>1.4049</v>
      </c>
      <c r="C1030">
        <v>1.7238</v>
      </c>
      <c r="D1030">
        <v>1.3958999999999999</v>
      </c>
      <c r="E1030">
        <v>1.5875999999999999</v>
      </c>
      <c r="F1030">
        <v>2705175.72</v>
      </c>
      <c r="G1030">
        <v>0</v>
      </c>
      <c r="L1030" t="s">
        <v>8</v>
      </c>
      <c r="M1030" t="s">
        <v>8</v>
      </c>
      <c r="N1030" t="s">
        <v>8</v>
      </c>
      <c r="P1030">
        <f t="shared" si="1024"/>
        <v>0.16925892040256135</v>
      </c>
      <c r="Q1030">
        <f t="shared" si="1025"/>
        <v>457875.12186642166</v>
      </c>
      <c r="R1030">
        <f t="shared" si="1026"/>
        <v>-631547.91126093513</v>
      </c>
      <c r="S1030">
        <f t="shared" si="1027"/>
        <v>-6.315479112609351</v>
      </c>
      <c r="T1030">
        <f t="shared" si="1028"/>
        <v>-6.3154791126093512E-3</v>
      </c>
    </row>
    <row r="1031" spans="1:20" x14ac:dyDescent="0.25">
      <c r="A1031" s="5">
        <v>43562</v>
      </c>
      <c r="B1031">
        <v>1.3935</v>
      </c>
      <c r="C1031">
        <v>1.43</v>
      </c>
      <c r="D1031">
        <v>1.3665</v>
      </c>
      <c r="E1031">
        <v>1.405</v>
      </c>
      <c r="F1031">
        <v>298098.63</v>
      </c>
      <c r="G1031">
        <v>0</v>
      </c>
      <c r="L1031" t="s">
        <v>7</v>
      </c>
      <c r="M1031" t="s">
        <v>8</v>
      </c>
      <c r="N1031" t="s">
        <v>8</v>
      </c>
      <c r="P1031">
        <f t="shared" si="1024"/>
        <v>0.21259842519685182</v>
      </c>
      <c r="Q1031">
        <f t="shared" si="1025"/>
        <v>63375.299291339012</v>
      </c>
      <c r="R1031">
        <f t="shared" si="1026"/>
        <v>-1089423.0331273568</v>
      </c>
      <c r="S1031">
        <f t="shared" si="1027"/>
        <v>-10.894230331273567</v>
      </c>
      <c r="T1031">
        <f t="shared" si="1028"/>
        <v>-1.0894230331273567E-2</v>
      </c>
    </row>
    <row r="1032" spans="1:20" x14ac:dyDescent="0.25">
      <c r="A1032" s="5">
        <v>43561</v>
      </c>
      <c r="B1032">
        <v>1.43</v>
      </c>
      <c r="C1032">
        <v>1.4666999999999999</v>
      </c>
      <c r="D1032">
        <v>1.3557999999999999</v>
      </c>
      <c r="E1032">
        <v>1.385</v>
      </c>
      <c r="F1032">
        <v>498969.81</v>
      </c>
      <c r="G1032">
        <v>0</v>
      </c>
      <c r="L1032" t="s">
        <v>8</v>
      </c>
      <c r="M1032" t="s">
        <v>8</v>
      </c>
      <c r="N1032" t="s">
        <v>8</v>
      </c>
      <c r="P1032">
        <f t="shared" si="1024"/>
        <v>-0.47339945897204483</v>
      </c>
      <c r="Q1032">
        <f t="shared" si="1025"/>
        <v>-236212.03809738401</v>
      </c>
      <c r="R1032">
        <f t="shared" si="1026"/>
        <v>-1152798.3324186958</v>
      </c>
      <c r="S1032">
        <f t="shared" si="1027"/>
        <v>-11.527983324186957</v>
      </c>
      <c r="T1032">
        <f t="shared" si="1028"/>
        <v>-1.1527983324186957E-2</v>
      </c>
    </row>
    <row r="1033" spans="1:20" x14ac:dyDescent="0.25">
      <c r="A1033" s="5">
        <v>43560</v>
      </c>
      <c r="B1033">
        <v>1.3169</v>
      </c>
      <c r="C1033">
        <v>1.4419999999999999</v>
      </c>
      <c r="D1033">
        <v>1.3065</v>
      </c>
      <c r="E1033">
        <v>1.4249000000000001</v>
      </c>
      <c r="F1033">
        <v>554146.21</v>
      </c>
      <c r="G1033">
        <v>0</v>
      </c>
      <c r="L1033" t="s">
        <v>7</v>
      </c>
      <c r="M1033" t="s">
        <v>8</v>
      </c>
      <c r="N1033" t="s">
        <v>8</v>
      </c>
      <c r="P1033">
        <f t="shared" si="1024"/>
        <v>0.74760147601476168</v>
      </c>
      <c r="Q1033">
        <f t="shared" si="1025"/>
        <v>414280.52452398604</v>
      </c>
      <c r="R1033">
        <f t="shared" si="1026"/>
        <v>-916586.29432131187</v>
      </c>
      <c r="S1033">
        <f t="shared" si="1027"/>
        <v>-9.1658629432131189</v>
      </c>
      <c r="T1033">
        <f t="shared" si="1028"/>
        <v>-9.165862943213119E-3</v>
      </c>
    </row>
    <row r="1034" spans="1:20" x14ac:dyDescent="0.25">
      <c r="A1034" s="5">
        <v>43559</v>
      </c>
      <c r="B1034">
        <v>1.347</v>
      </c>
      <c r="C1034">
        <v>1.45</v>
      </c>
      <c r="D1034">
        <v>1.2728999999999999</v>
      </c>
      <c r="E1034">
        <v>1.3159000000000001</v>
      </c>
      <c r="F1034">
        <v>989461.16</v>
      </c>
      <c r="G1034">
        <v>0</v>
      </c>
      <c r="L1034" t="s">
        <v>8</v>
      </c>
      <c r="M1034" t="s">
        <v>8</v>
      </c>
      <c r="N1034" t="s">
        <v>8</v>
      </c>
      <c r="P1034">
        <f t="shared" si="1024"/>
        <v>-0.5143986448334259</v>
      </c>
      <c r="Q1034">
        <f t="shared" si="1025"/>
        <v>-508977.47981930961</v>
      </c>
      <c r="R1034">
        <f t="shared" si="1026"/>
        <v>-1330866.8188452979</v>
      </c>
      <c r="S1034">
        <f t="shared" si="1027"/>
        <v>-13.308668188452978</v>
      </c>
      <c r="T1034">
        <f t="shared" si="1028"/>
        <v>-1.3308668188452978E-2</v>
      </c>
    </row>
    <row r="1035" spans="1:20" x14ac:dyDescent="0.25">
      <c r="A1035" s="5">
        <v>43558</v>
      </c>
      <c r="B1035">
        <v>1.7</v>
      </c>
      <c r="C1035">
        <v>1.7</v>
      </c>
      <c r="D1035">
        <v>1.2728999999999999</v>
      </c>
      <c r="E1035">
        <v>1.3561000000000001</v>
      </c>
      <c r="F1035">
        <v>1346486.14</v>
      </c>
      <c r="G1035">
        <v>0</v>
      </c>
      <c r="P1035">
        <f t="shared" si="1024"/>
        <v>-0.6103956918754383</v>
      </c>
      <c r="Q1035">
        <f t="shared" si="1025"/>
        <v>-821889.33902598824</v>
      </c>
      <c r="R1035">
        <f t="shared" si="1026"/>
        <v>-821889.33902598824</v>
      </c>
      <c r="S1035">
        <f t="shared" si="1027"/>
        <v>-8.2188933902598826</v>
      </c>
      <c r="T1035">
        <f t="shared" si="1028"/>
        <v>-8.2188933902598831E-3</v>
      </c>
    </row>
    <row r="1036" spans="1:20" x14ac:dyDescent="0.25">
      <c r="A1036" s="5"/>
      <c r="C1036"/>
      <c r="D1036"/>
    </row>
    <row r="1037" spans="1:20" x14ac:dyDescent="0.25">
      <c r="A1037" s="5"/>
      <c r="C1037"/>
      <c r="D1037"/>
    </row>
    <row r="1038" spans="1:20" x14ac:dyDescent="0.25">
      <c r="A1038" s="5"/>
      <c r="C1038"/>
      <c r="D1038"/>
    </row>
    <row r="1039" spans="1:20" x14ac:dyDescent="0.25">
      <c r="A1039" s="5"/>
      <c r="C1039"/>
      <c r="D1039"/>
    </row>
    <row r="1040" spans="1:20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RN548" sqref="RN54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$A$547</v>
      </c>
      <c r="D111" s="1" t="str">
        <f>ADDRESS(C121-1,D121,1,1)</f>
        <v>$RN$547</v>
      </c>
      <c r="E111"/>
    </row>
    <row r="112" spans="1:5" x14ac:dyDescent="0.25">
      <c r="A112" s="7">
        <v>12164.144957890772</v>
      </c>
      <c r="C112" s="1" t="str">
        <f>ADDRESS(C121,1,1,1)</f>
        <v>$A$548</v>
      </c>
      <c r="D112" s="1" t="str">
        <f>ADDRESS(C121,D121-1,1,1)</f>
        <v>$RM$548</v>
      </c>
      <c r="E112"/>
    </row>
    <row r="113" spans="1:5" x14ac:dyDescent="0.25">
      <c r="A113" s="7">
        <v>11925.63231165762</v>
      </c>
      <c r="C113" s="1" t="str">
        <f>ADDRESS(C121+1,1,1,1)</f>
        <v>$A$549</v>
      </c>
      <c r="D113" s="1" t="str">
        <f>ADDRESS(C121-1,D121+1,1,1)</f>
        <v>$RO$547</v>
      </c>
    </row>
    <row r="114" spans="1:5" x14ac:dyDescent="0.25">
      <c r="A114" s="7">
        <v>11691.796383978059</v>
      </c>
      <c r="C114" s="1" t="str">
        <f>ADDRESS(C121,D121,1,1)</f>
        <v>$RN$548</v>
      </c>
      <c r="D114" s="1" t="str">
        <f>ADDRESS(C121+1,D121+1,1,1)</f>
        <v>$RO$549</v>
      </c>
    </row>
    <row r="115" spans="1:5" x14ac:dyDescent="0.25">
      <c r="A115" s="7">
        <v>11462.545474488292</v>
      </c>
      <c r="C115" s="1" t="str">
        <f>ADDRESS(C121+1,D121,1,1)</f>
        <v>$RN$549</v>
      </c>
    </row>
    <row r="116" spans="1:5" x14ac:dyDescent="0.25">
      <c r="A116" s="7">
        <v>11237.789680870874</v>
      </c>
      <c r="C116" s="1">
        <f>C117-1</f>
        <v>547</v>
      </c>
    </row>
    <row r="117" spans="1:5" x14ac:dyDescent="0.25">
      <c r="A117" s="7">
        <v>11017.440863598895</v>
      </c>
      <c r="C117" s="1">
        <f>C121</f>
        <v>548</v>
      </c>
      <c r="D117" s="1">
        <f>D121</f>
        <v>482</v>
      </c>
    </row>
    <row r="118" spans="1:5" x14ac:dyDescent="0.25">
      <c r="A118" s="7">
        <v>10801.412611371465</v>
      </c>
      <c r="C118" s="1">
        <f>C117+1</f>
        <v>549</v>
      </c>
      <c r="D118" s="1">
        <f>D117+1</f>
        <v>483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548</v>
      </c>
      <c r="D121" s="19">
        <v>482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R548</v>
      </c>
      <c r="D123" s="1" t="str">
        <f>"C"&amp;D121</f>
        <v>C482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2.1647447682498568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356" x14ac:dyDescent="0.25">
      <c r="A433" s="7">
        <v>21.106997141968804</v>
      </c>
      <c r="B433"/>
      <c r="C433"/>
      <c r="D433"/>
      <c r="E433"/>
    </row>
    <row r="434" spans="1:356" x14ac:dyDescent="0.25">
      <c r="A434" s="7">
        <v>20.693134452910591</v>
      </c>
      <c r="B434"/>
      <c r="C434"/>
      <c r="D434"/>
      <c r="E434"/>
    </row>
    <row r="435" spans="1:356" x14ac:dyDescent="0.25">
      <c r="A435" s="7">
        <v>20.287386718539796</v>
      </c>
      <c r="B435"/>
      <c r="C435"/>
      <c r="D435"/>
      <c r="E435"/>
    </row>
    <row r="436" spans="1:356" x14ac:dyDescent="0.25">
      <c r="A436" s="7">
        <v>19.889594822097838</v>
      </c>
      <c r="B436"/>
      <c r="C436"/>
      <c r="D436"/>
      <c r="E436"/>
    </row>
    <row r="437" spans="1:356" x14ac:dyDescent="0.25">
      <c r="A437" s="7">
        <v>19.499602766762585</v>
      </c>
      <c r="B437"/>
      <c r="C437"/>
      <c r="D437"/>
      <c r="E437"/>
    </row>
    <row r="438" spans="1:356" x14ac:dyDescent="0.25">
      <c r="A438" s="7">
        <v>19.117257614473122</v>
      </c>
      <c r="B438"/>
      <c r="C438"/>
      <c r="D438"/>
      <c r="E438"/>
    </row>
    <row r="439" spans="1:356" x14ac:dyDescent="0.25">
      <c r="A439" s="7">
        <v>18.74240942595404</v>
      </c>
      <c r="B439"/>
      <c r="C439"/>
      <c r="D439"/>
      <c r="E439"/>
    </row>
    <row r="440" spans="1:356" x14ac:dyDescent="0.25">
      <c r="A440" s="7">
        <v>18.374911201915726</v>
      </c>
      <c r="B440"/>
      <c r="C440"/>
      <c r="D440"/>
      <c r="E440"/>
    </row>
    <row r="441" spans="1:356" x14ac:dyDescent="0.25">
      <c r="A441" s="7">
        <v>18.014618825407574</v>
      </c>
      <c r="B441"/>
      <c r="C441"/>
      <c r="D441"/>
      <c r="E441"/>
    </row>
    <row r="442" spans="1:356" x14ac:dyDescent="0.25">
      <c r="A442" s="7">
        <v>17.661391005301542</v>
      </c>
      <c r="B442"/>
      <c r="C442"/>
      <c r="D442"/>
      <c r="E442"/>
      <c r="MQ442" s="27" t="s">
        <v>8</v>
      </c>
    </row>
    <row r="443" spans="1:356" x14ac:dyDescent="0.25">
      <c r="A443" s="7">
        <v>17.315089220883866</v>
      </c>
      <c r="B443"/>
      <c r="C443"/>
      <c r="D443"/>
      <c r="E443"/>
      <c r="MQ443" s="27" t="s">
        <v>8</v>
      </c>
      <c r="MR443" s="27" t="s">
        <v>7</v>
      </c>
    </row>
    <row r="444" spans="1:356" x14ac:dyDescent="0.25">
      <c r="A444" s="7">
        <v>16.975577667533202</v>
      </c>
      <c r="B444"/>
      <c r="C444"/>
      <c r="D444"/>
      <c r="E444"/>
      <c r="MQ444" s="27" t="s">
        <v>8</v>
      </c>
      <c r="MR444" s="27" t="s">
        <v>7</v>
      </c>
    </row>
    <row r="445" spans="1:356" x14ac:dyDescent="0.25">
      <c r="A445" s="7">
        <v>16.642723203463923</v>
      </c>
      <c r="B445"/>
      <c r="C445"/>
      <c r="D445"/>
      <c r="E445"/>
      <c r="MQ445" s="27" t="s">
        <v>8</v>
      </c>
      <c r="MR445" s="27" t="s">
        <v>7</v>
      </c>
    </row>
    <row r="446" spans="1:356" x14ac:dyDescent="0.25">
      <c r="A446" s="7">
        <v>16.316395297513651</v>
      </c>
      <c r="B446"/>
      <c r="C446"/>
      <c r="D446"/>
      <c r="E446"/>
      <c r="MQ446" s="27" t="s">
        <v>8</v>
      </c>
      <c r="MR446" s="27" t="s">
        <v>7</v>
      </c>
    </row>
    <row r="447" spans="1:356" x14ac:dyDescent="0.25">
      <c r="A447" s="7">
        <v>15.996465977954561</v>
      </c>
      <c r="B447"/>
      <c r="C447"/>
      <c r="D447"/>
      <c r="E447"/>
      <c r="MQ447" s="27" t="s">
        <v>8</v>
      </c>
      <c r="MR447" s="27" t="s">
        <v>7</v>
      </c>
    </row>
    <row r="448" spans="1:356" x14ac:dyDescent="0.25">
      <c r="A448" s="7">
        <v>15.682809782308393</v>
      </c>
      <c r="B448"/>
      <c r="C448"/>
      <c r="D448"/>
      <c r="E448"/>
      <c r="MQ448" s="27" t="s">
        <v>8</v>
      </c>
      <c r="MR448" s="27" t="s">
        <v>7</v>
      </c>
    </row>
    <row r="449" spans="1:357" x14ac:dyDescent="0.25">
      <c r="A449" s="7">
        <v>15.375303708145482</v>
      </c>
      <c r="B449"/>
      <c r="C449"/>
      <c r="D449"/>
      <c r="E449"/>
      <c r="MQ449" s="27" t="s">
        <v>8</v>
      </c>
      <c r="MR449" s="27" t="s">
        <v>7</v>
      </c>
    </row>
    <row r="450" spans="1:357" x14ac:dyDescent="0.25">
      <c r="A450" s="7">
        <v>15.073827164848511</v>
      </c>
      <c r="B450"/>
      <c r="C450"/>
      <c r="D450"/>
      <c r="E450"/>
      <c r="MQ450" s="27" t="s">
        <v>8</v>
      </c>
      <c r="MR450" s="27" t="s">
        <v>7</v>
      </c>
    </row>
    <row r="451" spans="1:357" x14ac:dyDescent="0.25">
      <c r="A451" s="7">
        <v>14.77826192632207</v>
      </c>
      <c r="B451"/>
      <c r="C451"/>
      <c r="D451"/>
      <c r="E451"/>
      <c r="MQ451" s="27" t="s">
        <v>8</v>
      </c>
      <c r="MR451" s="27" t="s">
        <v>7</v>
      </c>
    </row>
    <row r="452" spans="1:357" x14ac:dyDescent="0.25">
      <c r="A452" s="7">
        <v>14.488492084629481</v>
      </c>
      <c r="B452"/>
      <c r="C452"/>
      <c r="D452"/>
      <c r="E452"/>
      <c r="MQ452" s="27" t="s">
        <v>8</v>
      </c>
      <c r="MR452" s="27" t="s">
        <v>7</v>
      </c>
    </row>
    <row r="453" spans="1:357" x14ac:dyDescent="0.25">
      <c r="A453" s="7">
        <v>14.204404004538707</v>
      </c>
      <c r="B453"/>
      <c r="C453"/>
      <c r="D453"/>
      <c r="E453"/>
      <c r="MA453" s="27" t="s">
        <v>8</v>
      </c>
      <c r="MQ453" s="27" t="s">
        <v>8</v>
      </c>
      <c r="MR453" s="27" t="s">
        <v>7</v>
      </c>
    </row>
    <row r="454" spans="1:357" x14ac:dyDescent="0.25">
      <c r="A454" s="7">
        <v>13.925886278959517</v>
      </c>
      <c r="B454"/>
      <c r="C454"/>
      <c r="D454"/>
      <c r="E454"/>
      <c r="MA454" s="27" t="s">
        <v>8</v>
      </c>
      <c r="MB454" s="27" t="s">
        <v>7</v>
      </c>
      <c r="MQ454" s="27" t="s">
        <v>8</v>
      </c>
      <c r="MR454" s="27" t="s">
        <v>7</v>
      </c>
    </row>
    <row r="455" spans="1:357" x14ac:dyDescent="0.25">
      <c r="A455" s="7">
        <v>13.652829685254428</v>
      </c>
      <c r="B455"/>
      <c r="C455"/>
      <c r="D455"/>
      <c r="E455"/>
      <c r="MA455" s="27" t="s">
        <v>8</v>
      </c>
      <c r="MB455" s="27" t="s">
        <v>7</v>
      </c>
      <c r="MQ455" s="27" t="s">
        <v>8</v>
      </c>
      <c r="MR455" s="27" t="s">
        <v>7</v>
      </c>
    </row>
    <row r="456" spans="1:357" x14ac:dyDescent="0.25">
      <c r="A456" s="7">
        <v>13.385127142406303</v>
      </c>
      <c r="B456"/>
      <c r="C456"/>
      <c r="D456"/>
      <c r="E456"/>
      <c r="MA456" s="27" t="s">
        <v>8</v>
      </c>
      <c r="MB456" s="27" t="s">
        <v>7</v>
      </c>
      <c r="MQ456" s="27" t="s">
        <v>8</v>
      </c>
      <c r="MR456" s="27" t="s">
        <v>7</v>
      </c>
    </row>
    <row r="457" spans="1:357" x14ac:dyDescent="0.25">
      <c r="A457" s="7">
        <v>13.122673669025787</v>
      </c>
      <c r="B457"/>
      <c r="C457"/>
      <c r="D457"/>
      <c r="E457"/>
      <c r="MA457" s="27" t="s">
        <v>8</v>
      </c>
      <c r="MB457" s="27" t="s">
        <v>7</v>
      </c>
      <c r="MQ457" s="27" t="s">
        <v>8</v>
      </c>
      <c r="MR457" s="27" t="s">
        <v>7</v>
      </c>
    </row>
    <row r="458" spans="1:357" x14ac:dyDescent="0.25">
      <c r="A458" s="7">
        <v>12.865366342182144</v>
      </c>
      <c r="B458"/>
      <c r="C458"/>
      <c r="D458"/>
      <c r="E458"/>
      <c r="MA458" s="27" t="s">
        <v>8</v>
      </c>
      <c r="MB458" s="27" t="s">
        <v>7</v>
      </c>
      <c r="MQ458" s="27" t="s">
        <v>8</v>
      </c>
      <c r="MR458" s="27" t="s">
        <v>7</v>
      </c>
    </row>
    <row r="459" spans="1:357" x14ac:dyDescent="0.25">
      <c r="A459" s="7">
        <v>12.613104257041318</v>
      </c>
      <c r="B459"/>
      <c r="C459"/>
      <c r="D459"/>
      <c r="E459"/>
      <c r="MA459" s="27" t="s">
        <v>8</v>
      </c>
      <c r="MB459" s="27" t="s">
        <v>7</v>
      </c>
      <c r="MQ459" s="27" t="s">
        <v>8</v>
      </c>
      <c r="MR459" s="27" t="s">
        <v>7</v>
      </c>
    </row>
    <row r="460" spans="1:357" x14ac:dyDescent="0.25">
      <c r="A460" s="7">
        <v>12.36578848729541</v>
      </c>
      <c r="B460"/>
      <c r="C460"/>
      <c r="D460"/>
      <c r="E460"/>
      <c r="MA460" s="27" t="s">
        <v>8</v>
      </c>
      <c r="MB460" s="27" t="s">
        <v>7</v>
      </c>
      <c r="MQ460" s="27" t="s">
        <v>8</v>
      </c>
      <c r="MR460" s="27" t="s">
        <v>7</v>
      </c>
    </row>
    <row r="461" spans="1:357" x14ac:dyDescent="0.25">
      <c r="A461" s="7">
        <v>12.123322046368049</v>
      </c>
      <c r="B461"/>
      <c r="C461"/>
      <c r="D461"/>
      <c r="E461"/>
      <c r="MA461" s="27" t="s">
        <v>8</v>
      </c>
      <c r="MB461" s="27" t="s">
        <v>7</v>
      </c>
      <c r="MK461" s="27" t="s">
        <v>8</v>
      </c>
      <c r="MQ461" s="27" t="s">
        <v>8</v>
      </c>
      <c r="MR461" s="27" t="s">
        <v>7</v>
      </c>
    </row>
    <row r="462" spans="1:357" x14ac:dyDescent="0.25">
      <c r="A462" s="7">
        <v>11.88560984938044</v>
      </c>
      <c r="B462"/>
      <c r="C462"/>
      <c r="D462"/>
      <c r="E462"/>
      <c r="MA462" s="27" t="s">
        <v>8</v>
      </c>
      <c r="MB462" s="27" t="s">
        <v>7</v>
      </c>
      <c r="MK462" s="27" t="s">
        <v>8</v>
      </c>
      <c r="ML462" s="27" t="s">
        <v>7</v>
      </c>
      <c r="MQ462" s="27" t="s">
        <v>8</v>
      </c>
      <c r="MR462" s="27" t="s">
        <v>7</v>
      </c>
    </row>
    <row r="463" spans="1:357" x14ac:dyDescent="0.25">
      <c r="A463" s="7">
        <v>11.652558675863176</v>
      </c>
      <c r="B463"/>
      <c r="C463"/>
      <c r="D463"/>
      <c r="E463"/>
      <c r="MA463" s="27" t="s">
        <v>8</v>
      </c>
      <c r="MB463" s="27" t="s">
        <v>7</v>
      </c>
      <c r="MK463" s="27" t="s">
        <v>8</v>
      </c>
      <c r="ML463" s="27" t="s">
        <v>7</v>
      </c>
      <c r="MQ463" s="27" t="s">
        <v>8</v>
      </c>
      <c r="MR463" s="27" t="s">
        <v>7</v>
      </c>
    </row>
    <row r="464" spans="1:357" x14ac:dyDescent="0.25">
      <c r="A464" s="7">
        <v>11.424077133199193</v>
      </c>
      <c r="B464"/>
      <c r="C464"/>
      <c r="D464"/>
      <c r="E464"/>
      <c r="MA464" s="27" t="s">
        <v>8</v>
      </c>
      <c r="MB464" s="27" t="s">
        <v>7</v>
      </c>
      <c r="MC464" s="27" t="s">
        <v>8</v>
      </c>
      <c r="MK464" s="27" t="s">
        <v>8</v>
      </c>
      <c r="ML464" s="27" t="s">
        <v>7</v>
      </c>
      <c r="MQ464" s="27" t="s">
        <v>8</v>
      </c>
      <c r="MR464" s="27" t="s">
        <v>7</v>
      </c>
      <c r="MS464" s="27" t="s">
        <v>8</v>
      </c>
    </row>
    <row r="465" spans="1:370" x14ac:dyDescent="0.25">
      <c r="A465" s="7">
        <v>11.200075620783522</v>
      </c>
      <c r="B465"/>
      <c r="C465"/>
      <c r="D465"/>
      <c r="E465"/>
      <c r="MA465" s="27" t="s">
        <v>8</v>
      </c>
      <c r="MB465" s="27" t="s">
        <v>7</v>
      </c>
      <c r="MC465" s="27" t="s">
        <v>8</v>
      </c>
      <c r="MD465" s="27" t="s">
        <v>7</v>
      </c>
      <c r="MK465" s="27" t="s">
        <v>8</v>
      </c>
      <c r="ML465" s="27" t="s">
        <v>7</v>
      </c>
      <c r="MO465" s="27" t="s">
        <v>8</v>
      </c>
      <c r="MQ465" s="27" t="s">
        <v>8</v>
      </c>
      <c r="MR465" s="27" t="s">
        <v>7</v>
      </c>
      <c r="MS465" s="27" t="s">
        <v>8</v>
      </c>
      <c r="MT465" s="27" t="s">
        <v>7</v>
      </c>
    </row>
    <row r="466" spans="1:370" x14ac:dyDescent="0.25">
      <c r="A466" s="7">
        <v>10.980466294885806</v>
      </c>
      <c r="B466"/>
      <c r="C466"/>
      <c r="D466"/>
      <c r="E466"/>
      <c r="MA466" s="27" t="s">
        <v>8</v>
      </c>
      <c r="MB466" s="27" t="s">
        <v>7</v>
      </c>
      <c r="MC466" s="27" t="s">
        <v>8</v>
      </c>
      <c r="MD466" s="27" t="s">
        <v>7</v>
      </c>
      <c r="MK466" s="27" t="s">
        <v>8</v>
      </c>
      <c r="ML466" s="27" t="s">
        <v>7</v>
      </c>
      <c r="MO466" s="27" t="s">
        <v>8</v>
      </c>
      <c r="MP466" s="27" t="s">
        <v>7</v>
      </c>
      <c r="MQ466" s="27" t="s">
        <v>8</v>
      </c>
      <c r="MR466" s="27" t="s">
        <v>7</v>
      </c>
      <c r="MS466" s="27" t="s">
        <v>8</v>
      </c>
      <c r="MT466" s="27" t="s">
        <v>7</v>
      </c>
    </row>
    <row r="467" spans="1:370" x14ac:dyDescent="0.25">
      <c r="A467" s="7">
        <v>10.765163034201771</v>
      </c>
      <c r="B467"/>
      <c r="C467"/>
      <c r="D467"/>
      <c r="E467"/>
      <c r="MA467" s="27" t="s">
        <v>8</v>
      </c>
      <c r="MB467" s="27" t="s">
        <v>7</v>
      </c>
      <c r="MC467" s="27" t="s">
        <v>8</v>
      </c>
      <c r="MD467" s="27" t="s">
        <v>7</v>
      </c>
      <c r="MK467" s="27" t="s">
        <v>8</v>
      </c>
      <c r="ML467" s="27" t="s">
        <v>7</v>
      </c>
      <c r="MM467" s="27" t="s">
        <v>8</v>
      </c>
      <c r="MO467" s="27" t="s">
        <v>8</v>
      </c>
      <c r="MP467" s="27" t="s">
        <v>7</v>
      </c>
      <c r="MQ467" s="27" t="s">
        <v>8</v>
      </c>
      <c r="MR467" s="27" t="s">
        <v>7</v>
      </c>
      <c r="MS467" s="27" t="s">
        <v>8</v>
      </c>
      <c r="MT467" s="27" t="s">
        <v>7</v>
      </c>
    </row>
    <row r="468" spans="1:370" x14ac:dyDescent="0.25">
      <c r="A468" s="7">
        <v>10.554081406080169</v>
      </c>
      <c r="B468"/>
      <c r="C468"/>
      <c r="D468"/>
      <c r="E468"/>
      <c r="MA468" s="27" t="s">
        <v>8</v>
      </c>
      <c r="MB468" s="27" t="s">
        <v>7</v>
      </c>
      <c r="MC468" s="27" t="s">
        <v>8</v>
      </c>
      <c r="MD468" s="27" t="s">
        <v>7</v>
      </c>
      <c r="MK468" s="27" t="s">
        <v>8</v>
      </c>
      <c r="ML468" s="27" t="s">
        <v>7</v>
      </c>
      <c r="MM468" s="27" t="s">
        <v>8</v>
      </c>
      <c r="MN468" s="27" t="s">
        <v>7</v>
      </c>
      <c r="MO468" s="27" t="s">
        <v>8</v>
      </c>
      <c r="MP468" s="27" t="s">
        <v>7</v>
      </c>
      <c r="MQ468" s="27" t="s">
        <v>8</v>
      </c>
      <c r="MR468" s="27" t="s">
        <v>7</v>
      </c>
      <c r="MS468" s="27" t="s">
        <v>8</v>
      </c>
      <c r="MT468" s="27" t="s">
        <v>7</v>
      </c>
    </row>
    <row r="469" spans="1:370" x14ac:dyDescent="0.25">
      <c r="A469" s="7">
        <v>10.34713863341193</v>
      </c>
      <c r="B469"/>
      <c r="C469"/>
      <c r="D469"/>
      <c r="E469"/>
      <c r="MA469" s="27" t="s">
        <v>8</v>
      </c>
      <c r="MB469" s="27" t="s">
        <v>7</v>
      </c>
      <c r="MC469" s="27" t="s">
        <v>8</v>
      </c>
      <c r="MD469" s="27" t="s">
        <v>7</v>
      </c>
      <c r="ME469" s="27" t="s">
        <v>8</v>
      </c>
      <c r="MK469" s="27" t="s">
        <v>8</v>
      </c>
      <c r="ML469" s="27" t="s">
        <v>7</v>
      </c>
      <c r="MM469" s="27" t="s">
        <v>8</v>
      </c>
      <c r="MN469" s="27" t="s">
        <v>7</v>
      </c>
      <c r="MO469" s="27" t="s">
        <v>8</v>
      </c>
      <c r="MP469" s="27" t="s">
        <v>7</v>
      </c>
      <c r="MQ469" s="27" t="s">
        <v>8</v>
      </c>
      <c r="MR469" s="27" t="s">
        <v>7</v>
      </c>
      <c r="MS469" s="27" t="s">
        <v>8</v>
      </c>
      <c r="MT469" s="27" t="s">
        <v>7</v>
      </c>
    </row>
    <row r="470" spans="1:370" x14ac:dyDescent="0.25">
      <c r="A470" s="7">
        <v>10.14425356216856</v>
      </c>
      <c r="B470"/>
      <c r="C470"/>
      <c r="D470"/>
      <c r="E470"/>
      <c r="MA470" s="27" t="s">
        <v>8</v>
      </c>
      <c r="MB470" s="27" t="s">
        <v>7</v>
      </c>
      <c r="MC470" s="27" t="s">
        <v>8</v>
      </c>
      <c r="MD470" s="27" t="s">
        <v>7</v>
      </c>
      <c r="ME470" s="27" t="s">
        <v>8</v>
      </c>
      <c r="MF470" s="27" t="s">
        <v>7</v>
      </c>
      <c r="MK470" s="27" t="s">
        <v>8</v>
      </c>
      <c r="ML470" s="27" t="s">
        <v>7</v>
      </c>
      <c r="MM470" s="27" t="s">
        <v>8</v>
      </c>
      <c r="MN470" s="27" t="s">
        <v>7</v>
      </c>
      <c r="MO470" s="27" t="s">
        <v>8</v>
      </c>
      <c r="MP470" s="27" t="s">
        <v>7</v>
      </c>
      <c r="MQ470" s="27" t="s">
        <v>8</v>
      </c>
      <c r="MR470" s="27" t="s">
        <v>7</v>
      </c>
      <c r="MS470" s="27" t="s">
        <v>8</v>
      </c>
      <c r="MT470" s="27" t="s">
        <v>7</v>
      </c>
      <c r="MU470" s="27" t="s">
        <v>8</v>
      </c>
    </row>
    <row r="471" spans="1:370" x14ac:dyDescent="0.25">
      <c r="A471" s="7">
        <v>9.9453466295770188</v>
      </c>
      <c r="B471"/>
      <c r="C471"/>
      <c r="D471"/>
      <c r="E471"/>
      <c r="MA471" s="27" t="s">
        <v>8</v>
      </c>
      <c r="MB471" s="27" t="s">
        <v>7</v>
      </c>
      <c r="MC471" s="27" t="s">
        <v>8</v>
      </c>
      <c r="MD471" s="27" t="s">
        <v>7</v>
      </c>
      <c r="ME471" s="27" t="s">
        <v>8</v>
      </c>
      <c r="MF471" s="27" t="s">
        <v>7</v>
      </c>
      <c r="MK471" s="27" t="s">
        <v>8</v>
      </c>
      <c r="ML471" s="27" t="s">
        <v>7</v>
      </c>
      <c r="MN471" s="27" t="s">
        <v>7</v>
      </c>
      <c r="MO471" s="27" t="s">
        <v>8</v>
      </c>
      <c r="MP471" s="27" t="s">
        <v>7</v>
      </c>
      <c r="MQ471" s="27" t="s">
        <v>8</v>
      </c>
      <c r="MR471" s="27" t="s">
        <v>7</v>
      </c>
      <c r="MS471" s="27" t="s">
        <v>8</v>
      </c>
      <c r="MT471" s="27" t="s">
        <v>7</v>
      </c>
      <c r="MU471" s="27" t="s">
        <v>8</v>
      </c>
      <c r="MV471" s="27" t="s">
        <v>7</v>
      </c>
    </row>
    <row r="472" spans="1:370" x14ac:dyDescent="0.25">
      <c r="A472" s="7">
        <v>9.7503398329186464</v>
      </c>
      <c r="B472"/>
      <c r="C472"/>
      <c r="D472"/>
      <c r="E472"/>
      <c r="MA472" s="27" t="s">
        <v>8</v>
      </c>
      <c r="MB472" s="27" t="s">
        <v>7</v>
      </c>
      <c r="MC472" s="27" t="s">
        <v>8</v>
      </c>
      <c r="MD472" s="27" t="s">
        <v>7</v>
      </c>
      <c r="ME472" s="27" t="s">
        <v>8</v>
      </c>
      <c r="MF472" s="27" t="s">
        <v>7</v>
      </c>
      <c r="MK472" s="27" t="s">
        <v>8</v>
      </c>
      <c r="MN472" s="27" t="s">
        <v>7</v>
      </c>
      <c r="MO472" s="27" t="s">
        <v>8</v>
      </c>
      <c r="MP472" s="27" t="s">
        <v>7</v>
      </c>
      <c r="MQ472" s="27" t="s">
        <v>8</v>
      </c>
      <c r="MR472" s="27" t="s">
        <v>7</v>
      </c>
      <c r="MS472" s="27" t="s">
        <v>8</v>
      </c>
      <c r="MT472" s="27" t="s">
        <v>7</v>
      </c>
      <c r="MU472" s="27" t="s">
        <v>8</v>
      </c>
      <c r="MV472" s="27" t="s">
        <v>7</v>
      </c>
    </row>
    <row r="473" spans="1:370" x14ac:dyDescent="0.25">
      <c r="A473" s="7">
        <v>9.5591566989398498</v>
      </c>
      <c r="B473"/>
      <c r="C473"/>
      <c r="D473"/>
      <c r="E473"/>
      <c r="MA473" s="27" t="s">
        <v>8</v>
      </c>
      <c r="MB473" s="27" t="s">
        <v>7</v>
      </c>
      <c r="MC473" s="27" t="s">
        <v>8</v>
      </c>
      <c r="MD473" s="27" t="s">
        <v>7</v>
      </c>
      <c r="ME473" s="27" t="s">
        <v>8</v>
      </c>
      <c r="MF473" s="27" t="s">
        <v>7</v>
      </c>
      <c r="MK473" s="27" t="s">
        <v>8</v>
      </c>
      <c r="MN473" s="27" t="s">
        <v>7</v>
      </c>
      <c r="MO473" s="27" t="s">
        <v>8</v>
      </c>
      <c r="MP473" s="27" t="s">
        <v>7</v>
      </c>
      <c r="MQ473" s="27" t="s">
        <v>8</v>
      </c>
      <c r="MR473" s="27" t="s">
        <v>7</v>
      </c>
      <c r="MS473" s="27" t="s">
        <v>8</v>
      </c>
      <c r="MT473" s="27" t="s">
        <v>7</v>
      </c>
      <c r="MU473" s="27" t="s">
        <v>8</v>
      </c>
      <c r="MV473" s="27" t="s">
        <v>7</v>
      </c>
    </row>
    <row r="474" spans="1:370" x14ac:dyDescent="0.25">
      <c r="A474" s="7">
        <v>9.3717222538625968</v>
      </c>
      <c r="B474"/>
      <c r="C474"/>
      <c r="D474"/>
      <c r="E474"/>
      <c r="MA474" s="27" t="s">
        <v>8</v>
      </c>
      <c r="MB474" s="27" t="s">
        <v>7</v>
      </c>
      <c r="MC474" s="27" t="s">
        <v>8</v>
      </c>
      <c r="MD474" s="27" t="s">
        <v>7</v>
      </c>
      <c r="ME474" s="27" t="s">
        <v>8</v>
      </c>
      <c r="MF474" s="27" t="s">
        <v>7</v>
      </c>
      <c r="MK474" s="27" t="s">
        <v>8</v>
      </c>
      <c r="MN474" s="27" t="s">
        <v>7</v>
      </c>
      <c r="MO474" s="27" t="s">
        <v>8</v>
      </c>
      <c r="MP474" s="27" t="s">
        <v>7</v>
      </c>
      <c r="MQ474" s="27" t="s">
        <v>8</v>
      </c>
      <c r="MR474" s="27" t="s">
        <v>7</v>
      </c>
      <c r="MT474" s="27" t="s">
        <v>7</v>
      </c>
      <c r="MU474" s="27" t="s">
        <v>8</v>
      </c>
      <c r="MV474" s="27" t="s">
        <v>7</v>
      </c>
      <c r="NE474" s="27" t="s">
        <v>8</v>
      </c>
    </row>
    <row r="475" spans="1:370" x14ac:dyDescent="0.25">
      <c r="A475" s="7">
        <v>9.1879629939829375</v>
      </c>
      <c r="B475"/>
      <c r="C475"/>
      <c r="D475"/>
      <c r="E475"/>
      <c r="MA475" s="27" t="s">
        <v>8</v>
      </c>
      <c r="MB475" s="27" t="s">
        <v>7</v>
      </c>
      <c r="MC475" s="27" t="s">
        <v>8</v>
      </c>
      <c r="MD475" s="27" t="s">
        <v>7</v>
      </c>
      <c r="ME475" s="27" t="s">
        <v>8</v>
      </c>
      <c r="MF475" s="27" t="s">
        <v>7</v>
      </c>
      <c r="MK475" s="27" t="s">
        <v>8</v>
      </c>
      <c r="MN475" s="27" t="s">
        <v>7</v>
      </c>
      <c r="MO475" s="27" t="s">
        <v>8</v>
      </c>
      <c r="MP475" s="27" t="s">
        <v>7</v>
      </c>
      <c r="MQ475" s="27" t="s">
        <v>8</v>
      </c>
      <c r="MT475" s="27" t="s">
        <v>7</v>
      </c>
      <c r="MU475" s="27" t="s">
        <v>8</v>
      </c>
      <c r="MV475" s="27" t="s">
        <v>7</v>
      </c>
      <c r="NE475" s="27" t="s">
        <v>8</v>
      </c>
      <c r="NF475" s="27" t="s">
        <v>7</v>
      </c>
    </row>
    <row r="476" spans="1:370" x14ac:dyDescent="0.25">
      <c r="A476" s="7">
        <v>9.0078068568460168</v>
      </c>
      <c r="B476"/>
      <c r="C476"/>
      <c r="D476"/>
      <c r="E476"/>
      <c r="MA476" s="27" t="s">
        <v>8</v>
      </c>
      <c r="MB476" s="27" t="s">
        <v>7</v>
      </c>
      <c r="MD476" s="27" t="s">
        <v>7</v>
      </c>
      <c r="ME476" s="27" t="s">
        <v>8</v>
      </c>
      <c r="MF476" s="27" t="s">
        <v>7</v>
      </c>
      <c r="MK476" s="27" t="s">
        <v>8</v>
      </c>
      <c r="MN476" s="27" t="s">
        <v>7</v>
      </c>
      <c r="MO476" s="27" t="s">
        <v>8</v>
      </c>
      <c r="MP476" s="27" t="s">
        <v>7</v>
      </c>
      <c r="MQ476" s="27" t="s">
        <v>8</v>
      </c>
      <c r="MT476" s="27" t="s">
        <v>7</v>
      </c>
      <c r="MU476" s="27" t="s">
        <v>8</v>
      </c>
      <c r="MV476" s="27" t="s">
        <v>7</v>
      </c>
      <c r="NE476" s="27" t="s">
        <v>8</v>
      </c>
      <c r="NF476" s="27" t="s">
        <v>7</v>
      </c>
    </row>
    <row r="477" spans="1:370" x14ac:dyDescent="0.25">
      <c r="A477" s="7">
        <v>8.8311831929862912</v>
      </c>
      <c r="B477"/>
      <c r="C477"/>
      <c r="D477"/>
      <c r="E477"/>
      <c r="MA477" s="27" t="s">
        <v>8</v>
      </c>
      <c r="MD477" s="27" t="s">
        <v>7</v>
      </c>
      <c r="ME477" s="27" t="s">
        <v>8</v>
      </c>
      <c r="MF477" s="27" t="s">
        <v>7</v>
      </c>
      <c r="MI477" s="27" t="s">
        <v>8</v>
      </c>
      <c r="MK477" s="27" t="s">
        <v>8</v>
      </c>
      <c r="MN477" s="27" t="s">
        <v>7</v>
      </c>
      <c r="MO477" s="27" t="s">
        <v>8</v>
      </c>
      <c r="MP477" s="27" t="s">
        <v>7</v>
      </c>
      <c r="MQ477" s="27" t="s">
        <v>8</v>
      </c>
      <c r="MT477" s="27" t="s">
        <v>7</v>
      </c>
      <c r="MU477" s="27" t="s">
        <v>8</v>
      </c>
      <c r="MV477" s="27" t="s">
        <v>7</v>
      </c>
      <c r="NA477" s="27" t="s">
        <v>8</v>
      </c>
      <c r="NE477" s="27" t="s">
        <v>8</v>
      </c>
      <c r="NF477" s="27" t="s">
        <v>7</v>
      </c>
    </row>
    <row r="478" spans="1:370" x14ac:dyDescent="0.25">
      <c r="A478" s="7">
        <v>8.6580227382218542</v>
      </c>
      <c r="B478"/>
      <c r="C478"/>
      <c r="D478"/>
      <c r="E478"/>
      <c r="MA478" s="27" t="s">
        <v>8</v>
      </c>
      <c r="MD478" s="27" t="s">
        <v>7</v>
      </c>
      <c r="ME478" s="27" t="s">
        <v>8</v>
      </c>
      <c r="MF478" s="27" t="s">
        <v>7</v>
      </c>
      <c r="MI478" s="27" t="s">
        <v>8</v>
      </c>
      <c r="MJ478" s="27" t="s">
        <v>7</v>
      </c>
      <c r="MK478" s="27" t="s">
        <v>8</v>
      </c>
      <c r="MN478" s="27" t="s">
        <v>7</v>
      </c>
      <c r="MP478" s="27" t="s">
        <v>7</v>
      </c>
      <c r="MQ478" s="27" t="s">
        <v>8</v>
      </c>
      <c r="MT478" s="27" t="s">
        <v>7</v>
      </c>
      <c r="MU478" s="27" t="s">
        <v>8</v>
      </c>
      <c r="MV478" s="27" t="s">
        <v>7</v>
      </c>
      <c r="NA478" s="27" t="s">
        <v>8</v>
      </c>
      <c r="NB478" s="27" t="s">
        <v>7</v>
      </c>
      <c r="NE478" s="27" t="s">
        <v>8</v>
      </c>
      <c r="NF478" s="27" t="s">
        <v>7</v>
      </c>
    </row>
    <row r="479" spans="1:370" x14ac:dyDescent="0.25">
      <c r="A479" s="7">
        <v>8.4882575864920131</v>
      </c>
      <c r="B479"/>
      <c r="C479"/>
      <c r="D479"/>
      <c r="E479"/>
      <c r="MA479" s="27" t="s">
        <v>8</v>
      </c>
      <c r="MD479" s="27" t="s">
        <v>7</v>
      </c>
      <c r="ME479" s="27" t="s">
        <v>8</v>
      </c>
      <c r="MF479" s="27" t="s">
        <v>7</v>
      </c>
      <c r="MG479" s="27" t="s">
        <v>8</v>
      </c>
      <c r="MI479" s="27" t="s">
        <v>8</v>
      </c>
      <c r="MJ479" s="27" t="s">
        <v>7</v>
      </c>
      <c r="MK479" s="27" t="s">
        <v>8</v>
      </c>
      <c r="MP479" s="27" t="s">
        <v>7</v>
      </c>
      <c r="MQ479" s="27" t="s">
        <v>8</v>
      </c>
      <c r="MT479" s="27" t="s">
        <v>7</v>
      </c>
      <c r="MU479" s="27" t="s">
        <v>8</v>
      </c>
      <c r="MV479" s="27" t="s">
        <v>7</v>
      </c>
      <c r="NA479" s="27" t="s">
        <v>8</v>
      </c>
      <c r="NB479" s="27" t="s">
        <v>7</v>
      </c>
      <c r="NE479" s="27" t="s">
        <v>8</v>
      </c>
      <c r="NF479" s="27" t="s">
        <v>7</v>
      </c>
    </row>
    <row r="480" spans="1:370" x14ac:dyDescent="0.25">
      <c r="A480" s="7">
        <v>8.3218211632274635</v>
      </c>
      <c r="B480"/>
      <c r="C480"/>
      <c r="D480"/>
      <c r="E480"/>
      <c r="MA480" s="27" t="s">
        <v>8</v>
      </c>
      <c r="MD480" s="27" t="s">
        <v>7</v>
      </c>
      <c r="ME480" s="27" t="s">
        <v>8</v>
      </c>
      <c r="MF480" s="27" t="s">
        <v>7</v>
      </c>
      <c r="MG480" s="27" t="s">
        <v>8</v>
      </c>
      <c r="MH480" s="27" t="s">
        <v>7</v>
      </c>
      <c r="MI480" s="27" t="s">
        <v>8</v>
      </c>
      <c r="MJ480" s="27" t="s">
        <v>7</v>
      </c>
      <c r="MK480" s="27" t="s">
        <v>8</v>
      </c>
      <c r="MP480" s="27" t="s">
        <v>7</v>
      </c>
      <c r="MQ480" s="27" t="s">
        <v>8</v>
      </c>
      <c r="MT480" s="27" t="s">
        <v>7</v>
      </c>
      <c r="MU480" s="27" t="s">
        <v>8</v>
      </c>
      <c r="MV480" s="27" t="s">
        <v>7</v>
      </c>
      <c r="NA480" s="27" t="s">
        <v>8</v>
      </c>
      <c r="NB480" s="27" t="s">
        <v>7</v>
      </c>
      <c r="NE480" s="27" t="s">
        <v>8</v>
      </c>
      <c r="NF480" s="27" t="s">
        <v>7</v>
      </c>
    </row>
    <row r="481" spans="1:450" x14ac:dyDescent="0.25">
      <c r="A481" s="7">
        <v>8.1586481992426112</v>
      </c>
      <c r="B481"/>
      <c r="C481"/>
      <c r="D481"/>
      <c r="E481"/>
      <c r="MA481" s="27" t="s">
        <v>8</v>
      </c>
      <c r="MD481" s="27" t="s">
        <v>7</v>
      </c>
      <c r="MF481" s="27" t="s">
        <v>7</v>
      </c>
      <c r="MG481" s="27" t="s">
        <v>8</v>
      </c>
      <c r="MH481" s="27" t="s">
        <v>7</v>
      </c>
      <c r="MI481" s="27" t="s">
        <v>8</v>
      </c>
      <c r="MJ481" s="27" t="s">
        <v>7</v>
      </c>
      <c r="MK481" s="27" t="s">
        <v>8</v>
      </c>
      <c r="MP481" s="27" t="s">
        <v>7</v>
      </c>
      <c r="MT481" s="27" t="s">
        <v>7</v>
      </c>
      <c r="MU481" s="27" t="s">
        <v>8</v>
      </c>
      <c r="MV481" s="27" t="s">
        <v>7</v>
      </c>
      <c r="NA481" s="27" t="s">
        <v>8</v>
      </c>
      <c r="NB481" s="27" t="s">
        <v>7</v>
      </c>
      <c r="NE481" s="27" t="s">
        <v>8</v>
      </c>
      <c r="NF481" s="27" t="s">
        <v>7</v>
      </c>
    </row>
    <row r="482" spans="1:450" x14ac:dyDescent="0.25">
      <c r="A482" s="7">
        <v>7.9986747051398144</v>
      </c>
      <c r="B482"/>
      <c r="C482"/>
      <c r="D482"/>
      <c r="E482"/>
      <c r="MA482" s="27" t="s">
        <v>8</v>
      </c>
      <c r="MF482" s="27" t="s">
        <v>7</v>
      </c>
      <c r="MG482" s="27" t="s">
        <v>8</v>
      </c>
      <c r="MH482" s="27" t="s">
        <v>7</v>
      </c>
      <c r="MI482" s="27" t="s">
        <v>8</v>
      </c>
      <c r="MJ482" s="27" t="s">
        <v>7</v>
      </c>
      <c r="MK482" s="27" t="s">
        <v>8</v>
      </c>
      <c r="MT482" s="27" t="s">
        <v>7</v>
      </c>
      <c r="MU482" s="27" t="s">
        <v>8</v>
      </c>
      <c r="MV482" s="27" t="s">
        <v>7</v>
      </c>
      <c r="NA482" s="27" t="s">
        <v>8</v>
      </c>
      <c r="NB482" s="27" t="s">
        <v>7</v>
      </c>
      <c r="NE482" s="27" t="s">
        <v>8</v>
      </c>
      <c r="NF482" s="27" t="s">
        <v>7</v>
      </c>
    </row>
    <row r="483" spans="1:450" x14ac:dyDescent="0.25">
      <c r="A483" s="7">
        <v>7.8418379462155041</v>
      </c>
      <c r="B483"/>
      <c r="C483"/>
      <c r="D483"/>
      <c r="E483"/>
      <c r="KQ483" s="27" t="s">
        <v>8</v>
      </c>
      <c r="MA483" s="27" t="s">
        <v>8</v>
      </c>
      <c r="MF483" s="27" t="s">
        <v>7</v>
      </c>
      <c r="MG483" s="27" t="s">
        <v>8</v>
      </c>
      <c r="MH483" s="27" t="s">
        <v>7</v>
      </c>
      <c r="MI483" s="27" t="s">
        <v>8</v>
      </c>
      <c r="MJ483" s="27" t="s">
        <v>7</v>
      </c>
      <c r="MK483" s="27" t="s">
        <v>8</v>
      </c>
      <c r="MT483" s="27" t="s">
        <v>7</v>
      </c>
      <c r="MU483" s="27" t="s">
        <v>8</v>
      </c>
      <c r="MV483" s="27" t="s">
        <v>7</v>
      </c>
      <c r="NA483" s="27" t="s">
        <v>8</v>
      </c>
      <c r="NB483" s="27" t="s">
        <v>7</v>
      </c>
      <c r="NE483" s="27" t="s">
        <v>8</v>
      </c>
      <c r="NF483" s="27" t="s">
        <v>7</v>
      </c>
    </row>
    <row r="484" spans="1:450" x14ac:dyDescent="0.25">
      <c r="A484" s="7">
        <v>7.688076417858337</v>
      </c>
      <c r="B484"/>
      <c r="C484"/>
      <c r="D484"/>
      <c r="E484"/>
      <c r="KQ484" s="27" t="s">
        <v>8</v>
      </c>
      <c r="KR484" s="27" t="s">
        <v>7</v>
      </c>
      <c r="MA484" s="27" t="s">
        <v>8</v>
      </c>
      <c r="MF484" s="27" t="s">
        <v>7</v>
      </c>
      <c r="MG484" s="27" t="s">
        <v>8</v>
      </c>
      <c r="MH484" s="27" t="s">
        <v>7</v>
      </c>
      <c r="MI484" s="27" t="s">
        <v>8</v>
      </c>
      <c r="MJ484" s="27" t="s">
        <v>7</v>
      </c>
      <c r="MK484" s="27" t="s">
        <v>8</v>
      </c>
      <c r="MT484" s="27" t="s">
        <v>7</v>
      </c>
      <c r="MU484" s="27" t="s">
        <v>8</v>
      </c>
      <c r="MV484" s="27" t="s">
        <v>7</v>
      </c>
      <c r="MW484" s="27" t="s">
        <v>8</v>
      </c>
      <c r="MY484" s="27" t="s">
        <v>8</v>
      </c>
      <c r="NA484" s="27" t="s">
        <v>8</v>
      </c>
      <c r="NB484" s="27" t="s">
        <v>7</v>
      </c>
      <c r="NE484" s="27" t="s">
        <v>8</v>
      </c>
      <c r="NF484" s="27" t="s">
        <v>7</v>
      </c>
      <c r="OO484" s="27" t="s">
        <v>8</v>
      </c>
    </row>
    <row r="485" spans="1:450" x14ac:dyDescent="0.25">
      <c r="A485" s="7">
        <v>7.5373298214297417</v>
      </c>
      <c r="B485"/>
      <c r="C485"/>
      <c r="D485"/>
      <c r="E485"/>
      <c r="KQ485" s="27" t="s">
        <v>8</v>
      </c>
      <c r="KR485" s="27" t="s">
        <v>7</v>
      </c>
      <c r="KU485" s="27" t="s">
        <v>8</v>
      </c>
      <c r="MA485" s="27" t="s">
        <v>8</v>
      </c>
      <c r="MF485" s="27" t="s">
        <v>7</v>
      </c>
      <c r="MG485" s="27" t="s">
        <v>8</v>
      </c>
      <c r="MH485" s="27" t="s">
        <v>7</v>
      </c>
      <c r="MI485" s="27" t="s">
        <v>8</v>
      </c>
      <c r="MJ485" s="27" t="s">
        <v>7</v>
      </c>
      <c r="MT485" s="27" t="s">
        <v>7</v>
      </c>
      <c r="MU485" s="27" t="s">
        <v>8</v>
      </c>
      <c r="MV485" s="27" t="s">
        <v>7</v>
      </c>
      <c r="MW485" s="27" t="s">
        <v>8</v>
      </c>
      <c r="MX485" s="27" t="s">
        <v>7</v>
      </c>
      <c r="MY485" s="27" t="s">
        <v>8</v>
      </c>
      <c r="MZ485" s="27" t="s">
        <v>7</v>
      </c>
      <c r="NA485" s="27" t="s">
        <v>8</v>
      </c>
      <c r="NB485" s="27" t="s">
        <v>7</v>
      </c>
      <c r="NC485" s="27" t="s">
        <v>8</v>
      </c>
      <c r="NE485" s="27" t="s">
        <v>8</v>
      </c>
      <c r="NF485" s="27" t="s">
        <v>7</v>
      </c>
      <c r="OO485" s="27" t="s">
        <v>8</v>
      </c>
      <c r="OP485" s="27" t="s">
        <v>7</v>
      </c>
      <c r="OW485" s="27" t="s">
        <v>8</v>
      </c>
    </row>
    <row r="486" spans="1:450" x14ac:dyDescent="0.25">
      <c r="A486" s="7">
        <v>7.389539040617394</v>
      </c>
      <c r="B486"/>
      <c r="C486"/>
      <c r="D486"/>
      <c r="E486"/>
      <c r="KQ486" s="27" t="s">
        <v>8</v>
      </c>
      <c r="KR486" s="27" t="s">
        <v>7</v>
      </c>
      <c r="KU486" s="27" t="s">
        <v>8</v>
      </c>
      <c r="KV486" s="27" t="s">
        <v>7</v>
      </c>
      <c r="MA486" s="27" t="s">
        <v>8</v>
      </c>
      <c r="MF486" s="27" t="s">
        <v>7</v>
      </c>
      <c r="MG486" s="27" t="s">
        <v>8</v>
      </c>
      <c r="MH486" s="27" t="s">
        <v>7</v>
      </c>
      <c r="MI486" s="27" t="s">
        <v>8</v>
      </c>
      <c r="MT486" s="27" t="s">
        <v>7</v>
      </c>
      <c r="MU486" s="27" t="s">
        <v>8</v>
      </c>
      <c r="MV486" s="27" t="s">
        <v>7</v>
      </c>
      <c r="MW486" s="27" t="s">
        <v>8</v>
      </c>
      <c r="MX486" s="27" t="s">
        <v>7</v>
      </c>
      <c r="MY486" s="27" t="s">
        <v>8</v>
      </c>
      <c r="MZ486" s="27" t="s">
        <v>7</v>
      </c>
      <c r="NA486" s="27" t="s">
        <v>8</v>
      </c>
      <c r="NB486" s="27" t="s">
        <v>7</v>
      </c>
      <c r="NC486" s="27" t="s">
        <v>8</v>
      </c>
      <c r="ND486" s="27" t="s">
        <v>7</v>
      </c>
      <c r="NE486" s="27" t="s">
        <v>8</v>
      </c>
      <c r="NF486" s="27" t="s">
        <v>7</v>
      </c>
      <c r="OO486" s="27" t="s">
        <v>8</v>
      </c>
      <c r="OP486" s="27" t="s">
        <v>7</v>
      </c>
      <c r="OW486" s="27" t="s">
        <v>8</v>
      </c>
      <c r="OX486" s="27" t="s">
        <v>7</v>
      </c>
      <c r="PY486" s="27" t="s">
        <v>8</v>
      </c>
    </row>
    <row r="487" spans="1:450" x14ac:dyDescent="0.25">
      <c r="A487" s="7">
        <v>7.2446461182523469</v>
      </c>
      <c r="B487"/>
      <c r="C487"/>
      <c r="D487"/>
      <c r="E487"/>
      <c r="KQ487" s="27" t="s">
        <v>8</v>
      </c>
      <c r="KR487" s="27" t="s">
        <v>7</v>
      </c>
      <c r="KU487" s="27" t="s">
        <v>8</v>
      </c>
      <c r="KV487" s="27" t="s">
        <v>7</v>
      </c>
      <c r="MA487" s="27" t="s">
        <v>8</v>
      </c>
      <c r="MF487" s="27" t="s">
        <v>7</v>
      </c>
      <c r="MG487" s="27" t="s">
        <v>8</v>
      </c>
      <c r="MH487" s="27" t="s">
        <v>7</v>
      </c>
      <c r="MI487" s="27" t="s">
        <v>8</v>
      </c>
      <c r="MT487" s="27" t="s">
        <v>7</v>
      </c>
      <c r="MU487" s="27" t="s">
        <v>8</v>
      </c>
      <c r="MV487" s="27" t="s">
        <v>7</v>
      </c>
      <c r="MW487" s="27" t="s">
        <v>8</v>
      </c>
      <c r="MX487" s="27" t="s">
        <v>7</v>
      </c>
      <c r="MY487" s="27" t="s">
        <v>8</v>
      </c>
      <c r="MZ487" s="27" t="s">
        <v>7</v>
      </c>
      <c r="NA487" s="27" t="s">
        <v>8</v>
      </c>
      <c r="NB487" s="27" t="s">
        <v>7</v>
      </c>
      <c r="NC487" s="27" t="s">
        <v>8</v>
      </c>
      <c r="ND487" s="27" t="s">
        <v>7</v>
      </c>
      <c r="NE487" s="27" t="s">
        <v>8</v>
      </c>
      <c r="NF487" s="27" t="s">
        <v>7</v>
      </c>
      <c r="OO487" s="27" t="s">
        <v>8</v>
      </c>
      <c r="OP487" s="27" t="s">
        <v>7</v>
      </c>
      <c r="OW487" s="27" t="s">
        <v>8</v>
      </c>
      <c r="OX487" s="27" t="s">
        <v>7</v>
      </c>
      <c r="PY487" s="27" t="s">
        <v>8</v>
      </c>
      <c r="PZ487" s="27" t="s">
        <v>7</v>
      </c>
    </row>
    <row r="488" spans="1:450" x14ac:dyDescent="0.25">
      <c r="A488" s="7">
        <v>7.1025942335807324</v>
      </c>
      <c r="B488"/>
      <c r="C488"/>
      <c r="D488"/>
      <c r="E488"/>
      <c r="KQ488" s="27" t="s">
        <v>8</v>
      </c>
      <c r="KR488" s="27" t="s">
        <v>7</v>
      </c>
      <c r="KU488" s="27" t="s">
        <v>8</v>
      </c>
      <c r="KV488" s="27" t="s">
        <v>7</v>
      </c>
      <c r="KW488" s="27" t="s">
        <v>8</v>
      </c>
      <c r="MA488" s="27" t="s">
        <v>8</v>
      </c>
      <c r="MF488" s="27" t="s">
        <v>7</v>
      </c>
      <c r="MG488" s="27" t="s">
        <v>8</v>
      </c>
      <c r="MH488" s="27" t="s">
        <v>7</v>
      </c>
      <c r="MI488" s="27" t="s">
        <v>8</v>
      </c>
      <c r="MT488" s="27" t="s">
        <v>7</v>
      </c>
      <c r="MU488" s="27" t="s">
        <v>8</v>
      </c>
      <c r="MV488" s="27" t="s">
        <v>7</v>
      </c>
      <c r="MW488" s="27" t="s">
        <v>8</v>
      </c>
      <c r="MX488" s="27" t="s">
        <v>7</v>
      </c>
      <c r="MY488" s="27" t="s">
        <v>8</v>
      </c>
      <c r="MZ488" s="27" t="s">
        <v>7</v>
      </c>
      <c r="NA488" s="27" t="s">
        <v>8</v>
      </c>
      <c r="NB488" s="27" t="s">
        <v>7</v>
      </c>
      <c r="NC488" s="27" t="s">
        <v>8</v>
      </c>
      <c r="ND488" s="27" t="s">
        <v>7</v>
      </c>
      <c r="NF488" s="27" t="s">
        <v>7</v>
      </c>
      <c r="NG488" s="27" t="s">
        <v>8</v>
      </c>
      <c r="OK488" s="27" t="s">
        <v>8</v>
      </c>
      <c r="OO488" s="27" t="s">
        <v>8</v>
      </c>
      <c r="OP488" s="27" t="s">
        <v>7</v>
      </c>
      <c r="OW488" s="27" t="s">
        <v>8</v>
      </c>
      <c r="OX488" s="27" t="s">
        <v>7</v>
      </c>
      <c r="PY488" s="27" t="s">
        <v>8</v>
      </c>
      <c r="PZ488" s="27" t="s">
        <v>7</v>
      </c>
    </row>
    <row r="489" spans="1:450" x14ac:dyDescent="0.25">
      <c r="A489" s="7">
        <v>6.9633276799811101</v>
      </c>
      <c r="B489"/>
      <c r="C489"/>
      <c r="D489"/>
      <c r="E489"/>
      <c r="KQ489" s="27" t="s">
        <v>8</v>
      </c>
      <c r="KR489" s="27" t="s">
        <v>7</v>
      </c>
      <c r="KU489" s="27" t="s">
        <v>8</v>
      </c>
      <c r="KV489" s="27" t="s">
        <v>7</v>
      </c>
      <c r="KW489" s="27" t="s">
        <v>8</v>
      </c>
      <c r="KX489" s="27" t="s">
        <v>7</v>
      </c>
      <c r="MA489" s="27" t="s">
        <v>8</v>
      </c>
      <c r="MF489" s="27" t="s">
        <v>7</v>
      </c>
      <c r="MG489" s="27" t="s">
        <v>8</v>
      </c>
      <c r="MH489" s="27" t="s">
        <v>7</v>
      </c>
      <c r="MI489" s="27" t="s">
        <v>8</v>
      </c>
      <c r="MT489" s="27" t="s">
        <v>7</v>
      </c>
      <c r="MU489" s="27" t="s">
        <v>8</v>
      </c>
      <c r="MV489" s="27" t="s">
        <v>7</v>
      </c>
      <c r="MW489" s="27" t="s">
        <v>8</v>
      </c>
      <c r="MX489" s="27" t="s">
        <v>7</v>
      </c>
      <c r="MY489" s="27" t="s">
        <v>8</v>
      </c>
      <c r="MZ489" s="27" t="s">
        <v>7</v>
      </c>
      <c r="NA489" s="27" t="s">
        <v>8</v>
      </c>
      <c r="NB489" s="27" t="s">
        <v>7</v>
      </c>
      <c r="NC489" s="27" t="s">
        <v>8</v>
      </c>
      <c r="NF489" s="27" t="s">
        <v>7</v>
      </c>
      <c r="NG489" s="27" t="s">
        <v>8</v>
      </c>
      <c r="NH489" s="27" t="s">
        <v>7</v>
      </c>
      <c r="NI489" s="27" t="s">
        <v>8</v>
      </c>
      <c r="OK489" s="27" t="s">
        <v>8</v>
      </c>
      <c r="OL489" s="27" t="s">
        <v>7</v>
      </c>
      <c r="OO489" s="27" t="s">
        <v>8</v>
      </c>
      <c r="OP489" s="27" t="s">
        <v>7</v>
      </c>
      <c r="OS489" s="27" t="s">
        <v>8</v>
      </c>
      <c r="OW489" s="27" t="s">
        <v>8</v>
      </c>
      <c r="OX489" s="27" t="s">
        <v>7</v>
      </c>
      <c r="PY489" s="27" t="s">
        <v>8</v>
      </c>
      <c r="PZ489" s="27" t="s">
        <v>7</v>
      </c>
    </row>
    <row r="490" spans="1:450" x14ac:dyDescent="0.25">
      <c r="A490" s="7">
        <v>6.8267918431187349</v>
      </c>
      <c r="B490"/>
      <c r="C490"/>
      <c r="D490"/>
      <c r="E490"/>
      <c r="KQ490" s="27" t="s">
        <v>8</v>
      </c>
      <c r="KR490" s="27" t="s">
        <v>7</v>
      </c>
      <c r="KS490" s="27" t="s">
        <v>8</v>
      </c>
      <c r="KU490" s="27" t="s">
        <v>8</v>
      </c>
      <c r="KV490" s="27" t="s">
        <v>7</v>
      </c>
      <c r="KW490" s="27" t="s">
        <v>8</v>
      </c>
      <c r="KX490" s="27" t="s">
        <v>7</v>
      </c>
      <c r="MA490" s="27" t="s">
        <v>8</v>
      </c>
      <c r="MF490" s="27" t="s">
        <v>7</v>
      </c>
      <c r="MG490" s="27" t="s">
        <v>8</v>
      </c>
      <c r="MH490" s="27" t="s">
        <v>7</v>
      </c>
      <c r="MI490" s="27" t="s">
        <v>8</v>
      </c>
      <c r="MT490" s="27" t="s">
        <v>7</v>
      </c>
      <c r="MU490" s="27" t="s">
        <v>8</v>
      </c>
      <c r="MV490" s="27" t="s">
        <v>7</v>
      </c>
      <c r="MW490" s="27" t="s">
        <v>8</v>
      </c>
      <c r="MX490" s="27" t="s">
        <v>7</v>
      </c>
      <c r="MY490" s="27" t="s">
        <v>8</v>
      </c>
      <c r="MZ490" s="27" t="s">
        <v>7</v>
      </c>
      <c r="NA490" s="27" t="s">
        <v>8</v>
      </c>
      <c r="NB490" s="27" t="s">
        <v>7</v>
      </c>
      <c r="NC490" s="27" t="s">
        <v>8</v>
      </c>
      <c r="NF490" s="27" t="s">
        <v>7</v>
      </c>
      <c r="NG490" s="27" t="s">
        <v>8</v>
      </c>
      <c r="NH490" s="27" t="s">
        <v>7</v>
      </c>
      <c r="NI490" s="27" t="s">
        <v>8</v>
      </c>
      <c r="NJ490" s="27" t="s">
        <v>7</v>
      </c>
      <c r="OK490" s="27" t="s">
        <v>8</v>
      </c>
      <c r="OL490" s="27" t="s">
        <v>7</v>
      </c>
      <c r="OM490" s="27" t="s">
        <v>8</v>
      </c>
      <c r="OO490" s="27" t="s">
        <v>8</v>
      </c>
      <c r="OP490" s="27" t="s">
        <v>7</v>
      </c>
      <c r="OQ490" s="27" t="s">
        <v>8</v>
      </c>
      <c r="OS490" s="27" t="s">
        <v>8</v>
      </c>
      <c r="OT490" s="27" t="s">
        <v>7</v>
      </c>
      <c r="OU490" s="27" t="s">
        <v>8</v>
      </c>
      <c r="OW490" s="27" t="s">
        <v>8</v>
      </c>
      <c r="OX490" s="27" t="s">
        <v>7</v>
      </c>
      <c r="PY490" s="27" t="s">
        <v>8</v>
      </c>
      <c r="PZ490" s="27" t="s">
        <v>7</v>
      </c>
    </row>
    <row r="491" spans="1:450" x14ac:dyDescent="0.25">
      <c r="A491" s="7">
        <v>6.692933179528171</v>
      </c>
      <c r="B491"/>
      <c r="C491"/>
      <c r="D491"/>
      <c r="E491"/>
      <c r="KQ491" s="27" t="s">
        <v>8</v>
      </c>
      <c r="KR491" s="27" t="s">
        <v>7</v>
      </c>
      <c r="KS491" s="27" t="s">
        <v>8</v>
      </c>
      <c r="KT491" s="27" t="s">
        <v>7</v>
      </c>
      <c r="KU491" s="27" t="s">
        <v>8</v>
      </c>
      <c r="KV491" s="27" t="s">
        <v>7</v>
      </c>
      <c r="KX491" s="27" t="s">
        <v>7</v>
      </c>
      <c r="MA491" s="27" t="s">
        <v>8</v>
      </c>
      <c r="MF491" s="27" t="s">
        <v>7</v>
      </c>
      <c r="MG491" s="27" t="s">
        <v>8</v>
      </c>
      <c r="MH491" s="27" t="s">
        <v>7</v>
      </c>
      <c r="MI491" s="27" t="s">
        <v>8</v>
      </c>
      <c r="MT491" s="27" t="s">
        <v>7</v>
      </c>
      <c r="MU491" s="27" t="s">
        <v>8</v>
      </c>
      <c r="MV491" s="27" t="s">
        <v>7</v>
      </c>
      <c r="MW491" s="27" t="s">
        <v>8</v>
      </c>
      <c r="MX491" s="27" t="s">
        <v>7</v>
      </c>
      <c r="MY491" s="27" t="s">
        <v>8</v>
      </c>
      <c r="MZ491" s="27" t="s">
        <v>7</v>
      </c>
      <c r="NA491" s="27" t="s">
        <v>8</v>
      </c>
      <c r="NB491" s="27" t="s">
        <v>7</v>
      </c>
      <c r="NC491" s="27" t="s">
        <v>8</v>
      </c>
      <c r="NF491" s="27" t="s">
        <v>7</v>
      </c>
      <c r="NG491" s="27" t="s">
        <v>8</v>
      </c>
      <c r="NH491" s="27" t="s">
        <v>7</v>
      </c>
      <c r="NI491" s="27" t="s">
        <v>8</v>
      </c>
      <c r="NJ491" s="27" t="s">
        <v>7</v>
      </c>
      <c r="OK491" s="27" t="s">
        <v>8</v>
      </c>
      <c r="OL491" s="27" t="s">
        <v>7</v>
      </c>
      <c r="OM491" s="27" t="s">
        <v>8</v>
      </c>
      <c r="ON491" s="27" t="s">
        <v>7</v>
      </c>
      <c r="OO491" s="27" t="s">
        <v>8</v>
      </c>
      <c r="OP491" s="27" t="s">
        <v>7</v>
      </c>
      <c r="OQ491" s="27" t="s">
        <v>8</v>
      </c>
      <c r="OR491" s="27" t="s">
        <v>7</v>
      </c>
      <c r="OS491" s="27" t="s">
        <v>8</v>
      </c>
      <c r="OT491" s="27" t="s">
        <v>7</v>
      </c>
      <c r="OU491" s="27" t="s">
        <v>8</v>
      </c>
      <c r="OV491" s="27" t="s">
        <v>7</v>
      </c>
      <c r="OW491" s="27" t="s">
        <v>8</v>
      </c>
      <c r="OX491" s="27" t="s">
        <v>7</v>
      </c>
      <c r="PY491" s="27" t="s">
        <v>8</v>
      </c>
      <c r="PZ491" s="27" t="s">
        <v>7</v>
      </c>
    </row>
    <row r="492" spans="1:450" x14ac:dyDescent="0.25">
      <c r="A492" s="7">
        <v>6.5616991956158541</v>
      </c>
      <c r="B492"/>
      <c r="C492"/>
      <c r="D492"/>
      <c r="E492"/>
      <c r="KQ492" s="27" t="s">
        <v>8</v>
      </c>
      <c r="KR492" s="27" t="s">
        <v>7</v>
      </c>
      <c r="KS492" s="27" t="s">
        <v>8</v>
      </c>
      <c r="KT492" s="27" t="s">
        <v>7</v>
      </c>
      <c r="KU492" s="27" t="s">
        <v>8</v>
      </c>
      <c r="KX492" s="27" t="s">
        <v>7</v>
      </c>
      <c r="MA492" s="27" t="s">
        <v>8</v>
      </c>
      <c r="MF492" s="27" t="s">
        <v>7</v>
      </c>
      <c r="MG492" s="27" t="s">
        <v>8</v>
      </c>
      <c r="MH492" s="27" t="s">
        <v>7</v>
      </c>
      <c r="MT492" s="27" t="s">
        <v>7</v>
      </c>
      <c r="MU492" s="27" t="s">
        <v>8</v>
      </c>
      <c r="MV492" s="27" t="s">
        <v>7</v>
      </c>
      <c r="MW492" s="27" t="s">
        <v>8</v>
      </c>
      <c r="MX492" s="27" t="s">
        <v>7</v>
      </c>
      <c r="MY492" s="27" t="s">
        <v>8</v>
      </c>
      <c r="MZ492" s="27" t="s">
        <v>7</v>
      </c>
      <c r="NB492" s="27" t="s">
        <v>7</v>
      </c>
      <c r="NC492" s="27" t="s">
        <v>8</v>
      </c>
      <c r="NF492" s="27" t="s">
        <v>7</v>
      </c>
      <c r="NG492" s="27" t="s">
        <v>8</v>
      </c>
      <c r="NH492" s="27" t="s">
        <v>7</v>
      </c>
      <c r="NI492" s="27" t="s">
        <v>8</v>
      </c>
      <c r="NJ492" s="27" t="s">
        <v>7</v>
      </c>
      <c r="OK492" s="27" t="s">
        <v>8</v>
      </c>
      <c r="OL492" s="27" t="s">
        <v>7</v>
      </c>
      <c r="OM492" s="27" t="s">
        <v>8</v>
      </c>
      <c r="ON492" s="27" t="s">
        <v>7</v>
      </c>
      <c r="OO492" s="27" t="s">
        <v>8</v>
      </c>
      <c r="OP492" s="27" t="s">
        <v>7</v>
      </c>
      <c r="OQ492" s="27" t="s">
        <v>8</v>
      </c>
      <c r="OR492" s="27" t="s">
        <v>7</v>
      </c>
      <c r="OS492" s="27" t="s">
        <v>8</v>
      </c>
      <c r="OT492" s="27" t="s">
        <v>7</v>
      </c>
      <c r="OU492" s="27" t="s">
        <v>8</v>
      </c>
      <c r="OV492" s="27" t="s">
        <v>7</v>
      </c>
      <c r="OW492" s="27" t="s">
        <v>8</v>
      </c>
      <c r="OX492" s="27" t="s">
        <v>7</v>
      </c>
      <c r="PY492" s="27" t="s">
        <v>8</v>
      </c>
      <c r="PZ492" s="27" t="s">
        <v>7</v>
      </c>
      <c r="QE492" s="27" t="s">
        <v>8</v>
      </c>
    </row>
    <row r="493" spans="1:450" x14ac:dyDescent="0.25">
      <c r="A493" s="7">
        <v>6.4330384270743668</v>
      </c>
      <c r="B493"/>
      <c r="C493"/>
      <c r="D493"/>
      <c r="E493"/>
      <c r="KQ493" s="27" t="s">
        <v>8</v>
      </c>
      <c r="KR493" s="27" t="s">
        <v>7</v>
      </c>
      <c r="KS493" s="27" t="s">
        <v>8</v>
      </c>
      <c r="KT493" s="27" t="s">
        <v>7</v>
      </c>
      <c r="KU493" s="27" t="s">
        <v>8</v>
      </c>
      <c r="KX493" s="27" t="s">
        <v>7</v>
      </c>
      <c r="LY493" s="27" t="s">
        <v>8</v>
      </c>
      <c r="MA493" s="27" t="s">
        <v>8</v>
      </c>
      <c r="MF493" s="27" t="s">
        <v>7</v>
      </c>
      <c r="MG493" s="27" t="s">
        <v>8</v>
      </c>
      <c r="MT493" s="27" t="s">
        <v>7</v>
      </c>
      <c r="MU493" s="27" t="s">
        <v>8</v>
      </c>
      <c r="MV493" s="27" t="s">
        <v>7</v>
      </c>
      <c r="MW493" s="27" t="s">
        <v>8</v>
      </c>
      <c r="MX493" s="27" t="s">
        <v>7</v>
      </c>
      <c r="MY493" s="27" t="s">
        <v>8</v>
      </c>
      <c r="NB493" s="27" t="s">
        <v>7</v>
      </c>
      <c r="NC493" s="27" t="s">
        <v>8</v>
      </c>
      <c r="NF493" s="27" t="s">
        <v>7</v>
      </c>
      <c r="NG493" s="27" t="s">
        <v>8</v>
      </c>
      <c r="NH493" s="27" t="s">
        <v>7</v>
      </c>
      <c r="NI493" s="27" t="s">
        <v>8</v>
      </c>
      <c r="NJ493" s="27" t="s">
        <v>7</v>
      </c>
      <c r="OK493" s="27" t="s">
        <v>8</v>
      </c>
      <c r="OL493" s="27" t="s">
        <v>7</v>
      </c>
      <c r="OM493" s="27" t="s">
        <v>8</v>
      </c>
      <c r="ON493" s="27" t="s">
        <v>7</v>
      </c>
      <c r="OO493" s="27" t="s">
        <v>8</v>
      </c>
      <c r="OP493" s="27" t="s">
        <v>7</v>
      </c>
      <c r="OQ493" s="27" t="s">
        <v>8</v>
      </c>
      <c r="OR493" s="27" t="s">
        <v>7</v>
      </c>
      <c r="OS493" s="27" t="s">
        <v>8</v>
      </c>
      <c r="OT493" s="27" t="s">
        <v>7</v>
      </c>
      <c r="OV493" s="27" t="s">
        <v>7</v>
      </c>
      <c r="OW493" s="27" t="s">
        <v>8</v>
      </c>
      <c r="OX493" s="27" t="s">
        <v>7</v>
      </c>
      <c r="PY493" s="27" t="s">
        <v>8</v>
      </c>
      <c r="PZ493" s="27" t="s">
        <v>7</v>
      </c>
      <c r="QE493" s="27" t="s">
        <v>8</v>
      </c>
      <c r="QF493" s="27" t="s">
        <v>7</v>
      </c>
    </row>
    <row r="494" spans="1:450" x14ac:dyDescent="0.25">
      <c r="A494" s="7">
        <v>6.3069004187003594</v>
      </c>
      <c r="B494"/>
      <c r="C494"/>
      <c r="D494"/>
      <c r="E494"/>
      <c r="KQ494" s="27" t="s">
        <v>8</v>
      </c>
      <c r="KR494" s="27" t="s">
        <v>7</v>
      </c>
      <c r="KS494" s="27" t="s">
        <v>8</v>
      </c>
      <c r="KT494" s="27" t="s">
        <v>7</v>
      </c>
      <c r="KU494" s="27" t="s">
        <v>8</v>
      </c>
      <c r="KX494" s="27" t="s">
        <v>7</v>
      </c>
      <c r="LY494" s="27" t="s">
        <v>8</v>
      </c>
      <c r="LZ494" s="27" t="s">
        <v>7</v>
      </c>
      <c r="MA494" s="27" t="s">
        <v>8</v>
      </c>
      <c r="MF494" s="27" t="s">
        <v>7</v>
      </c>
      <c r="MT494" s="27" t="s">
        <v>7</v>
      </c>
      <c r="MU494" s="27" t="s">
        <v>8</v>
      </c>
      <c r="MV494" s="27" t="s">
        <v>7</v>
      </c>
      <c r="MW494" s="27" t="s">
        <v>8</v>
      </c>
      <c r="MX494" s="27" t="s">
        <v>7</v>
      </c>
      <c r="MY494" s="27" t="s">
        <v>8</v>
      </c>
      <c r="NB494" s="27" t="s">
        <v>7</v>
      </c>
      <c r="NC494" s="27" t="s">
        <v>8</v>
      </c>
      <c r="NF494" s="27" t="s">
        <v>7</v>
      </c>
      <c r="NH494" s="27" t="s">
        <v>7</v>
      </c>
      <c r="NI494" s="27" t="s">
        <v>8</v>
      </c>
      <c r="NJ494" s="27" t="s">
        <v>7</v>
      </c>
      <c r="OK494" s="27" t="s">
        <v>8</v>
      </c>
      <c r="OL494" s="27" t="s">
        <v>7</v>
      </c>
      <c r="OM494" s="27" t="s">
        <v>8</v>
      </c>
      <c r="ON494" s="27" t="s">
        <v>7</v>
      </c>
      <c r="OO494" s="27" t="s">
        <v>8</v>
      </c>
      <c r="OP494" s="27" t="s">
        <v>7</v>
      </c>
      <c r="OQ494" s="27" t="s">
        <v>8</v>
      </c>
      <c r="OR494" s="27" t="s">
        <v>7</v>
      </c>
      <c r="OV494" s="27" t="s">
        <v>7</v>
      </c>
      <c r="OX494" s="27" t="s">
        <v>7</v>
      </c>
      <c r="PY494" s="27" t="s">
        <v>8</v>
      </c>
      <c r="PZ494" s="27" t="s">
        <v>7</v>
      </c>
      <c r="QA494" s="27" t="s">
        <v>8</v>
      </c>
      <c r="QE494" s="27" t="s">
        <v>8</v>
      </c>
      <c r="QF494" s="27" t="s">
        <v>7</v>
      </c>
      <c r="QG494" s="27" t="s">
        <v>8</v>
      </c>
    </row>
    <row r="495" spans="1:450" x14ac:dyDescent="0.25">
      <c r="A495" s="7">
        <v>6.1832357046081956</v>
      </c>
      <c r="B495"/>
      <c r="C495"/>
      <c r="D495"/>
      <c r="E495"/>
      <c r="KQ495" s="27" t="s">
        <v>8</v>
      </c>
      <c r="KR495" s="27" t="s">
        <v>7</v>
      </c>
      <c r="KS495" s="27" t="s">
        <v>8</v>
      </c>
      <c r="KT495" s="27" t="s">
        <v>7</v>
      </c>
      <c r="KU495" s="27" t="s">
        <v>8</v>
      </c>
      <c r="KX495" s="27" t="s">
        <v>7</v>
      </c>
      <c r="KY495" s="27" t="s">
        <v>8</v>
      </c>
      <c r="LI495" s="27" t="s">
        <v>8</v>
      </c>
      <c r="LY495" s="27" t="s">
        <v>8</v>
      </c>
      <c r="LZ495" s="27" t="s">
        <v>7</v>
      </c>
      <c r="MA495" s="27" t="s">
        <v>8</v>
      </c>
      <c r="MT495" s="27" t="s">
        <v>7</v>
      </c>
      <c r="MU495" s="27" t="s">
        <v>8</v>
      </c>
      <c r="MV495" s="27" t="s">
        <v>7</v>
      </c>
      <c r="MX495" s="27" t="s">
        <v>7</v>
      </c>
      <c r="MY495" s="27" t="s">
        <v>8</v>
      </c>
      <c r="NB495" s="27" t="s">
        <v>7</v>
      </c>
      <c r="NH495" s="27" t="s">
        <v>7</v>
      </c>
      <c r="NI495" s="27" t="s">
        <v>8</v>
      </c>
      <c r="NJ495" s="27" t="s">
        <v>7</v>
      </c>
      <c r="OK495" s="27" t="s">
        <v>8</v>
      </c>
      <c r="OL495" s="27" t="s">
        <v>7</v>
      </c>
      <c r="ON495" s="27" t="s">
        <v>7</v>
      </c>
      <c r="OO495" s="27" t="s">
        <v>8</v>
      </c>
      <c r="OP495" s="27" t="s">
        <v>7</v>
      </c>
      <c r="OX495" s="27" t="s">
        <v>7</v>
      </c>
      <c r="OY495" s="27" t="s">
        <v>8</v>
      </c>
      <c r="PM495" s="27" t="s">
        <v>8</v>
      </c>
      <c r="PY495" s="27" t="s">
        <v>8</v>
      </c>
      <c r="PZ495" s="27" t="s">
        <v>7</v>
      </c>
      <c r="QA495" s="27" t="s">
        <v>8</v>
      </c>
      <c r="QB495" s="27" t="s">
        <v>7</v>
      </c>
      <c r="QE495" s="27" t="s">
        <v>8</v>
      </c>
      <c r="QF495" s="27" t="s">
        <v>7</v>
      </c>
      <c r="QG495" s="27" t="s">
        <v>8</v>
      </c>
      <c r="QH495" s="27" t="s">
        <v>7</v>
      </c>
    </row>
    <row r="496" spans="1:450" x14ac:dyDescent="0.25">
      <c r="A496" s="7">
        <v>6.0619957888315641</v>
      </c>
      <c r="B496"/>
      <c r="C496"/>
      <c r="D496"/>
      <c r="E496"/>
      <c r="KQ496" s="27" t="s">
        <v>8</v>
      </c>
      <c r="KR496" s="27" t="s">
        <v>7</v>
      </c>
      <c r="KS496" s="27" t="s">
        <v>8</v>
      </c>
      <c r="KT496" s="27" t="s">
        <v>7</v>
      </c>
      <c r="KX496" s="27" t="s">
        <v>7</v>
      </c>
      <c r="KY496" s="27" t="s">
        <v>8</v>
      </c>
      <c r="KZ496" s="27" t="s">
        <v>7</v>
      </c>
      <c r="LI496" s="27" t="s">
        <v>8</v>
      </c>
      <c r="LJ496" s="27" t="s">
        <v>7</v>
      </c>
      <c r="LY496" s="27" t="s">
        <v>8</v>
      </c>
      <c r="LZ496" s="27" t="s">
        <v>7</v>
      </c>
      <c r="MA496" s="27" t="s">
        <v>8</v>
      </c>
      <c r="MT496" s="27" t="s">
        <v>7</v>
      </c>
      <c r="MU496" s="27" t="s">
        <v>8</v>
      </c>
      <c r="MX496" s="27" t="s">
        <v>7</v>
      </c>
      <c r="MY496" s="27" t="s">
        <v>8</v>
      </c>
      <c r="NH496" s="27" t="s">
        <v>7</v>
      </c>
      <c r="NI496" s="27" t="s">
        <v>8</v>
      </c>
      <c r="NJ496" s="27" t="s">
        <v>7</v>
      </c>
      <c r="OK496" s="27" t="s">
        <v>8</v>
      </c>
      <c r="ON496" s="27" t="s">
        <v>7</v>
      </c>
      <c r="OO496" s="27" t="s">
        <v>8</v>
      </c>
      <c r="OX496" s="27" t="s">
        <v>7</v>
      </c>
      <c r="OY496" s="27" t="s">
        <v>8</v>
      </c>
      <c r="OZ496" s="27" t="s">
        <v>7</v>
      </c>
      <c r="PA496" s="27" t="s">
        <v>8</v>
      </c>
      <c r="PM496" s="27" t="s">
        <v>8</v>
      </c>
      <c r="PN496" s="27" t="s">
        <v>7</v>
      </c>
      <c r="PY496" s="27" t="s">
        <v>8</v>
      </c>
      <c r="PZ496" s="27" t="s">
        <v>7</v>
      </c>
      <c r="QA496" s="27" t="s">
        <v>8</v>
      </c>
      <c r="QB496" s="27" t="s">
        <v>7</v>
      </c>
      <c r="QC496" s="27" t="s">
        <v>8</v>
      </c>
      <c r="QE496" s="27" t="s">
        <v>8</v>
      </c>
      <c r="QF496" s="27" t="s">
        <v>7</v>
      </c>
      <c r="QG496" s="27" t="s">
        <v>8</v>
      </c>
      <c r="QH496" s="27" t="s">
        <v>7</v>
      </c>
    </row>
    <row r="497" spans="1:456" x14ac:dyDescent="0.25">
      <c r="A497" s="7">
        <v>5.9431331263054545</v>
      </c>
      <c r="B497"/>
      <c r="C497"/>
      <c r="D497"/>
      <c r="E497"/>
      <c r="KQ497" s="27" t="s">
        <v>8</v>
      </c>
      <c r="KR497" s="27" t="s">
        <v>7</v>
      </c>
      <c r="KS497" s="27" t="s">
        <v>8</v>
      </c>
      <c r="KX497" s="27" t="s">
        <v>7</v>
      </c>
      <c r="KY497" s="27" t="s">
        <v>8</v>
      </c>
      <c r="KZ497" s="27" t="s">
        <v>7</v>
      </c>
      <c r="LI497" s="27" t="s">
        <v>8</v>
      </c>
      <c r="LJ497" s="27" t="s">
        <v>7</v>
      </c>
      <c r="LY497" s="27" t="s">
        <v>8</v>
      </c>
      <c r="LZ497" s="27" t="s">
        <v>7</v>
      </c>
      <c r="MA497" s="27" t="s">
        <v>8</v>
      </c>
      <c r="MT497" s="27" t="s">
        <v>7</v>
      </c>
      <c r="MU497" s="27" t="s">
        <v>8</v>
      </c>
      <c r="MX497" s="27" t="s">
        <v>7</v>
      </c>
      <c r="MY497" s="27" t="s">
        <v>8</v>
      </c>
      <c r="NH497" s="27" t="s">
        <v>7</v>
      </c>
      <c r="NI497" s="27" t="s">
        <v>8</v>
      </c>
      <c r="NJ497" s="27" t="s">
        <v>7</v>
      </c>
      <c r="OK497" s="27" t="s">
        <v>8</v>
      </c>
      <c r="ON497" s="27" t="s">
        <v>7</v>
      </c>
      <c r="OO497" s="27" t="s">
        <v>8</v>
      </c>
      <c r="OX497" s="27" t="s">
        <v>7</v>
      </c>
      <c r="OY497" s="27" t="s">
        <v>8</v>
      </c>
      <c r="OZ497" s="27" t="s">
        <v>7</v>
      </c>
      <c r="PA497" s="27" t="s">
        <v>8</v>
      </c>
      <c r="PB497" s="27" t="s">
        <v>7</v>
      </c>
      <c r="PC497" s="27" t="s">
        <v>8</v>
      </c>
      <c r="PM497" s="27" t="s">
        <v>8</v>
      </c>
      <c r="PN497" s="27" t="s">
        <v>7</v>
      </c>
      <c r="PY497" s="27" t="s">
        <v>8</v>
      </c>
      <c r="PZ497" s="27" t="s">
        <v>7</v>
      </c>
      <c r="QA497" s="27" t="s">
        <v>8</v>
      </c>
      <c r="QB497" s="27" t="s">
        <v>7</v>
      </c>
      <c r="QC497" s="27" t="s">
        <v>8</v>
      </c>
      <c r="QD497" s="27" t="s">
        <v>7</v>
      </c>
      <c r="QE497" s="27" t="s">
        <v>8</v>
      </c>
      <c r="QF497" s="27" t="s">
        <v>7</v>
      </c>
      <c r="QG497" s="27" t="s">
        <v>8</v>
      </c>
      <c r="QH497" s="27" t="s">
        <v>7</v>
      </c>
    </row>
    <row r="498" spans="1:456" x14ac:dyDescent="0.25">
      <c r="A498" s="7">
        <v>5.8266011042210337</v>
      </c>
      <c r="B498"/>
      <c r="C498"/>
      <c r="D498"/>
      <c r="E498"/>
      <c r="KQ498" s="27" t="s">
        <v>8</v>
      </c>
      <c r="KR498" s="27" t="s">
        <v>7</v>
      </c>
      <c r="KS498" s="27" t="s">
        <v>8</v>
      </c>
      <c r="KX498" s="27" t="s">
        <v>7</v>
      </c>
      <c r="KY498" s="27" t="s">
        <v>8</v>
      </c>
      <c r="KZ498" s="27" t="s">
        <v>7</v>
      </c>
      <c r="LI498" s="27" t="s">
        <v>8</v>
      </c>
      <c r="LJ498" s="27" t="s">
        <v>7</v>
      </c>
      <c r="LU498" s="27" t="s">
        <v>8</v>
      </c>
      <c r="LW498" s="27" t="s">
        <v>8</v>
      </c>
      <c r="LY498" s="27" t="s">
        <v>8</v>
      </c>
      <c r="LZ498" s="27" t="s">
        <v>7</v>
      </c>
      <c r="MA498" s="27" t="s">
        <v>8</v>
      </c>
      <c r="MT498" s="27" t="s">
        <v>7</v>
      </c>
      <c r="MU498" s="27" t="s">
        <v>8</v>
      </c>
      <c r="MX498" s="27" t="s">
        <v>7</v>
      </c>
      <c r="MY498" s="27" t="s">
        <v>8</v>
      </c>
      <c r="NH498" s="27" t="s">
        <v>7</v>
      </c>
      <c r="NJ498" s="27" t="s">
        <v>7</v>
      </c>
      <c r="OK498" s="27" t="s">
        <v>8</v>
      </c>
      <c r="ON498" s="27" t="s">
        <v>7</v>
      </c>
      <c r="OO498" s="27" t="s">
        <v>8</v>
      </c>
      <c r="OX498" s="27" t="s">
        <v>7</v>
      </c>
      <c r="OY498" s="27" t="s">
        <v>8</v>
      </c>
      <c r="OZ498" s="27" t="s">
        <v>7</v>
      </c>
      <c r="PA498" s="27" t="s">
        <v>8</v>
      </c>
      <c r="PB498" s="27" t="s">
        <v>7</v>
      </c>
      <c r="PC498" s="27" t="s">
        <v>8</v>
      </c>
      <c r="PD498" s="27" t="s">
        <v>7</v>
      </c>
      <c r="PE498" s="27" t="s">
        <v>8</v>
      </c>
      <c r="PM498" s="27" t="s">
        <v>8</v>
      </c>
      <c r="PN498" s="27" t="s">
        <v>7</v>
      </c>
      <c r="PW498" s="27" t="s">
        <v>8</v>
      </c>
      <c r="PY498" s="27" t="s">
        <v>8</v>
      </c>
      <c r="PZ498" s="27" t="s">
        <v>7</v>
      </c>
      <c r="QA498" s="27" t="s">
        <v>8</v>
      </c>
      <c r="QB498" s="27" t="s">
        <v>7</v>
      </c>
      <c r="QC498" s="27" t="s">
        <v>8</v>
      </c>
      <c r="QD498" s="27" t="s">
        <v>7</v>
      </c>
      <c r="QE498" s="27" t="s">
        <v>8</v>
      </c>
      <c r="QF498" s="27" t="s">
        <v>7</v>
      </c>
      <c r="QG498" s="27" t="s">
        <v>8</v>
      </c>
      <c r="QH498" s="27" t="s">
        <v>7</v>
      </c>
    </row>
    <row r="499" spans="1:456" x14ac:dyDescent="0.25">
      <c r="A499" s="7">
        <v>5.7123540237461112</v>
      </c>
      <c r="B499"/>
      <c r="C499"/>
      <c r="D499"/>
      <c r="E499"/>
      <c r="KQ499" s="27" t="s">
        <v>8</v>
      </c>
      <c r="KR499" s="27" t="s">
        <v>7</v>
      </c>
      <c r="KS499" s="27" t="s">
        <v>8</v>
      </c>
      <c r="KX499" s="27" t="s">
        <v>7</v>
      </c>
      <c r="KY499" s="27" t="s">
        <v>8</v>
      </c>
      <c r="KZ499" s="27" t="s">
        <v>7</v>
      </c>
      <c r="LE499" s="27" t="s">
        <v>8</v>
      </c>
      <c r="LI499" s="27" t="s">
        <v>8</v>
      </c>
      <c r="LJ499" s="27" t="s">
        <v>7</v>
      </c>
      <c r="LU499" s="27" t="s">
        <v>8</v>
      </c>
      <c r="LV499" s="27" t="s">
        <v>7</v>
      </c>
      <c r="LW499" s="27" t="s">
        <v>8</v>
      </c>
      <c r="LX499" s="27" t="s">
        <v>7</v>
      </c>
      <c r="LY499" s="27" t="s">
        <v>8</v>
      </c>
      <c r="LZ499" s="27" t="s">
        <v>7</v>
      </c>
      <c r="MA499" s="27" t="s">
        <v>8</v>
      </c>
      <c r="MT499" s="27" t="s">
        <v>7</v>
      </c>
      <c r="MU499" s="27" t="s">
        <v>8</v>
      </c>
      <c r="MX499" s="27" t="s">
        <v>7</v>
      </c>
      <c r="MY499" s="27" t="s">
        <v>8</v>
      </c>
      <c r="NJ499" s="27" t="s">
        <v>7</v>
      </c>
      <c r="OK499" s="27" t="s">
        <v>8</v>
      </c>
      <c r="ON499" s="27" t="s">
        <v>7</v>
      </c>
      <c r="OO499" s="27" t="s">
        <v>8</v>
      </c>
      <c r="OX499" s="27" t="s">
        <v>7</v>
      </c>
      <c r="OY499" s="27" t="s">
        <v>8</v>
      </c>
      <c r="OZ499" s="27" t="s">
        <v>7</v>
      </c>
      <c r="PA499" s="27" t="s">
        <v>8</v>
      </c>
      <c r="PB499" s="27" t="s">
        <v>7</v>
      </c>
      <c r="PC499" s="27" t="s">
        <v>8</v>
      </c>
      <c r="PD499" s="27" t="s">
        <v>7</v>
      </c>
      <c r="PE499" s="27" t="s">
        <v>8</v>
      </c>
      <c r="PF499" s="27" t="s">
        <v>7</v>
      </c>
      <c r="PM499" s="27" t="s">
        <v>8</v>
      </c>
      <c r="PN499" s="27" t="s">
        <v>7</v>
      </c>
      <c r="PQ499" s="27" t="s">
        <v>8</v>
      </c>
      <c r="PS499" s="27" t="s">
        <v>8</v>
      </c>
      <c r="PW499" s="27" t="s">
        <v>8</v>
      </c>
      <c r="PX499" s="27" t="s">
        <v>7</v>
      </c>
      <c r="PY499" s="27" t="s">
        <v>8</v>
      </c>
      <c r="PZ499" s="27" t="s">
        <v>7</v>
      </c>
      <c r="QB499" s="27" t="s">
        <v>7</v>
      </c>
      <c r="QC499" s="27" t="s">
        <v>8</v>
      </c>
      <c r="QD499" s="27" t="s">
        <v>7</v>
      </c>
      <c r="QE499" s="27" t="s">
        <v>8</v>
      </c>
      <c r="QF499" s="27" t="s">
        <v>7</v>
      </c>
      <c r="QG499" s="27" t="s">
        <v>8</v>
      </c>
      <c r="QH499" s="27" t="s">
        <v>7</v>
      </c>
      <c r="QI499" s="27" t="s">
        <v>8</v>
      </c>
    </row>
    <row r="500" spans="1:456" x14ac:dyDescent="0.25">
      <c r="A500" s="7">
        <v>5.6003470821040304</v>
      </c>
      <c r="B500"/>
      <c r="C500"/>
      <c r="D500"/>
      <c r="E500"/>
      <c r="KQ500" s="27" t="s">
        <v>8</v>
      </c>
      <c r="KR500" s="27" t="s">
        <v>7</v>
      </c>
      <c r="KS500" s="27" t="s">
        <v>8</v>
      </c>
      <c r="KX500" s="27" t="s">
        <v>7</v>
      </c>
      <c r="KY500" s="27" t="s">
        <v>8</v>
      </c>
      <c r="KZ500" s="27" t="s">
        <v>7</v>
      </c>
      <c r="LE500" s="27" t="s">
        <v>8</v>
      </c>
      <c r="LF500" s="27" t="s">
        <v>7</v>
      </c>
      <c r="LI500" s="27" t="s">
        <v>8</v>
      </c>
      <c r="LJ500" s="27" t="s">
        <v>7</v>
      </c>
      <c r="LS500" s="27" t="s">
        <v>8</v>
      </c>
      <c r="LU500" s="27" t="s">
        <v>8</v>
      </c>
      <c r="LV500" s="27" t="s">
        <v>7</v>
      </c>
      <c r="LW500" s="27" t="s">
        <v>8</v>
      </c>
      <c r="LX500" s="27" t="s">
        <v>7</v>
      </c>
      <c r="LY500" s="27" t="s">
        <v>8</v>
      </c>
      <c r="LZ500" s="27" t="s">
        <v>7</v>
      </c>
      <c r="MA500" s="27" t="s">
        <v>8</v>
      </c>
      <c r="MT500" s="27" t="s">
        <v>7</v>
      </c>
      <c r="MU500" s="27" t="s">
        <v>8</v>
      </c>
      <c r="MX500" s="27" t="s">
        <v>7</v>
      </c>
      <c r="MY500" s="27" t="s">
        <v>8</v>
      </c>
      <c r="NJ500" s="27" t="s">
        <v>7</v>
      </c>
      <c r="NK500" s="27" t="s">
        <v>8</v>
      </c>
      <c r="OK500" s="27" t="s">
        <v>8</v>
      </c>
      <c r="ON500" s="27" t="s">
        <v>7</v>
      </c>
      <c r="OX500" s="27" t="s">
        <v>7</v>
      </c>
      <c r="OY500" s="27" t="s">
        <v>8</v>
      </c>
      <c r="OZ500" s="27" t="s">
        <v>7</v>
      </c>
      <c r="PA500" s="27" t="s">
        <v>8</v>
      </c>
      <c r="PB500" s="27" t="s">
        <v>7</v>
      </c>
      <c r="PC500" s="27" t="s">
        <v>8</v>
      </c>
      <c r="PD500" s="27" t="s">
        <v>7</v>
      </c>
      <c r="PE500" s="27" t="s">
        <v>8</v>
      </c>
      <c r="PF500" s="27" t="s">
        <v>7</v>
      </c>
      <c r="PM500" s="27" t="s">
        <v>8</v>
      </c>
      <c r="PN500" s="27" t="s">
        <v>7</v>
      </c>
      <c r="PO500" s="27" t="s">
        <v>8</v>
      </c>
      <c r="PQ500" s="27" t="s">
        <v>8</v>
      </c>
      <c r="PR500" s="27" t="s">
        <v>7</v>
      </c>
      <c r="PS500" s="27" t="s">
        <v>8</v>
      </c>
      <c r="PT500" s="27" t="s">
        <v>7</v>
      </c>
      <c r="PU500" s="27" t="s">
        <v>8</v>
      </c>
      <c r="PW500" s="27" t="s">
        <v>8</v>
      </c>
      <c r="PX500" s="27" t="s">
        <v>7</v>
      </c>
      <c r="PY500" s="27" t="s">
        <v>8</v>
      </c>
      <c r="QB500" s="27" t="s">
        <v>7</v>
      </c>
      <c r="QD500" s="27" t="s">
        <v>7</v>
      </c>
      <c r="QE500" s="27" t="s">
        <v>8</v>
      </c>
      <c r="QF500" s="27" t="s">
        <v>7</v>
      </c>
      <c r="QG500" s="27" t="s">
        <v>8</v>
      </c>
      <c r="QH500" s="27" t="s">
        <v>7</v>
      </c>
      <c r="QI500" s="27" t="s">
        <v>8</v>
      </c>
      <c r="QJ500" s="27" t="s">
        <v>7</v>
      </c>
    </row>
    <row r="501" spans="1:456" x14ac:dyDescent="0.25">
      <c r="A501" s="7">
        <v>5.4905363550039512</v>
      </c>
      <c r="B501"/>
      <c r="C501"/>
      <c r="D501"/>
      <c r="E501"/>
      <c r="KQ501" s="27" t="s">
        <v>8</v>
      </c>
      <c r="KR501" s="27" t="s">
        <v>7</v>
      </c>
      <c r="KS501" s="27" t="s">
        <v>8</v>
      </c>
      <c r="KX501" s="27" t="s">
        <v>7</v>
      </c>
      <c r="KY501" s="27" t="s">
        <v>8</v>
      </c>
      <c r="KZ501" s="27" t="s">
        <v>7</v>
      </c>
      <c r="LE501" s="27" t="s">
        <v>8</v>
      </c>
      <c r="LF501" s="27" t="s">
        <v>7</v>
      </c>
      <c r="LI501" s="27" t="s">
        <v>8</v>
      </c>
      <c r="LJ501" s="27" t="s">
        <v>7</v>
      </c>
      <c r="LS501" s="27" t="s">
        <v>8</v>
      </c>
      <c r="LT501" s="27" t="s">
        <v>7</v>
      </c>
      <c r="LU501" s="27" t="s">
        <v>8</v>
      </c>
      <c r="LV501" s="27" t="s">
        <v>7</v>
      </c>
      <c r="LW501" s="27" t="s">
        <v>8</v>
      </c>
      <c r="LX501" s="27" t="s">
        <v>7</v>
      </c>
      <c r="LY501" s="27" t="s">
        <v>8</v>
      </c>
      <c r="LZ501" s="27" t="s">
        <v>7</v>
      </c>
      <c r="MA501" s="27" t="s">
        <v>8</v>
      </c>
      <c r="MT501" s="27" t="s">
        <v>7</v>
      </c>
      <c r="MU501" s="27" t="s">
        <v>8</v>
      </c>
      <c r="MX501" s="27" t="s">
        <v>7</v>
      </c>
      <c r="MY501" s="27" t="s">
        <v>8</v>
      </c>
      <c r="NJ501" s="27" t="s">
        <v>7</v>
      </c>
      <c r="NK501" s="27" t="s">
        <v>8</v>
      </c>
      <c r="NL501" s="27" t="s">
        <v>7</v>
      </c>
      <c r="NM501" s="27" t="s">
        <v>8</v>
      </c>
      <c r="OI501" s="27" t="s">
        <v>8</v>
      </c>
      <c r="OK501" s="27" t="s">
        <v>8</v>
      </c>
      <c r="OX501" s="27" t="s">
        <v>7</v>
      </c>
      <c r="OY501" s="27" t="s">
        <v>8</v>
      </c>
      <c r="OZ501" s="27" t="s">
        <v>7</v>
      </c>
      <c r="PA501" s="27" t="s">
        <v>8</v>
      </c>
      <c r="PB501" s="27" t="s">
        <v>7</v>
      </c>
      <c r="PC501" s="27" t="s">
        <v>8</v>
      </c>
      <c r="PD501" s="27" t="s">
        <v>7</v>
      </c>
      <c r="PE501" s="27" t="s">
        <v>8</v>
      </c>
      <c r="PF501" s="27" t="s">
        <v>7</v>
      </c>
      <c r="PM501" s="27" t="s">
        <v>8</v>
      </c>
      <c r="PN501" s="27" t="s">
        <v>7</v>
      </c>
      <c r="PO501" s="27" t="s">
        <v>8</v>
      </c>
      <c r="PP501" s="27" t="s">
        <v>7</v>
      </c>
      <c r="PQ501" s="27" t="s">
        <v>8</v>
      </c>
      <c r="PR501" s="27" t="s">
        <v>7</v>
      </c>
      <c r="PS501" s="27" t="s">
        <v>8</v>
      </c>
      <c r="PT501" s="27" t="s">
        <v>7</v>
      </c>
      <c r="PU501" s="27" t="s">
        <v>8</v>
      </c>
      <c r="PV501" s="27" t="s">
        <v>7</v>
      </c>
      <c r="PW501" s="27" t="s">
        <v>8</v>
      </c>
      <c r="PX501" s="27" t="s">
        <v>7</v>
      </c>
      <c r="PY501" s="27" t="s">
        <v>8</v>
      </c>
      <c r="QD501" s="27" t="s">
        <v>7</v>
      </c>
      <c r="QF501" s="27" t="s">
        <v>7</v>
      </c>
      <c r="QG501" s="27" t="s">
        <v>8</v>
      </c>
      <c r="QH501" s="27" t="s">
        <v>7</v>
      </c>
      <c r="QI501" s="27" t="s">
        <v>8</v>
      </c>
      <c r="QJ501" s="27" t="s">
        <v>7</v>
      </c>
      <c r="QK501" s="27" t="s">
        <v>8</v>
      </c>
    </row>
    <row r="502" spans="1:456" x14ac:dyDescent="0.25">
      <c r="A502" s="7">
        <v>5.3828787794156385</v>
      </c>
      <c r="B502"/>
      <c r="C502"/>
      <c r="D502"/>
      <c r="E502"/>
      <c r="KQ502" s="27" t="s">
        <v>8</v>
      </c>
      <c r="KR502" s="27" t="s">
        <v>7</v>
      </c>
      <c r="KS502" s="27" t="s">
        <v>8</v>
      </c>
      <c r="KX502" s="27" t="s">
        <v>7</v>
      </c>
      <c r="KY502" s="27" t="s">
        <v>8</v>
      </c>
      <c r="KZ502" s="27" t="s">
        <v>7</v>
      </c>
      <c r="LA502" s="27" t="s">
        <v>8</v>
      </c>
      <c r="LC502" s="27" t="s">
        <v>8</v>
      </c>
      <c r="LE502" s="27" t="s">
        <v>8</v>
      </c>
      <c r="LF502" s="27" t="s">
        <v>7</v>
      </c>
      <c r="LG502" s="27" t="s">
        <v>8</v>
      </c>
      <c r="LI502" s="27" t="s">
        <v>8</v>
      </c>
      <c r="LJ502" s="27" t="s">
        <v>7</v>
      </c>
      <c r="LK502" s="27" t="s">
        <v>8</v>
      </c>
      <c r="LO502" s="27" t="s">
        <v>8</v>
      </c>
      <c r="LS502" s="27" t="s">
        <v>8</v>
      </c>
      <c r="LT502" s="27" t="s">
        <v>7</v>
      </c>
      <c r="LU502" s="27" t="s">
        <v>8</v>
      </c>
      <c r="LV502" s="27" t="s">
        <v>7</v>
      </c>
      <c r="LW502" s="27" t="s">
        <v>8</v>
      </c>
      <c r="LX502" s="27" t="s">
        <v>7</v>
      </c>
      <c r="LY502" s="27" t="s">
        <v>8</v>
      </c>
      <c r="LZ502" s="27" t="s">
        <v>7</v>
      </c>
      <c r="MA502" s="27" t="s">
        <v>8</v>
      </c>
      <c r="MT502" s="27" t="s">
        <v>7</v>
      </c>
      <c r="MU502" s="27" t="s">
        <v>8</v>
      </c>
      <c r="MX502" s="27" t="s">
        <v>7</v>
      </c>
      <c r="MY502" s="27" t="s">
        <v>8</v>
      </c>
      <c r="NJ502" s="27" t="s">
        <v>7</v>
      </c>
      <c r="NK502" s="27" t="s">
        <v>8</v>
      </c>
      <c r="NL502" s="27" t="s">
        <v>7</v>
      </c>
      <c r="NM502" s="27" t="s">
        <v>8</v>
      </c>
      <c r="NN502" s="27" t="s">
        <v>7</v>
      </c>
      <c r="OI502" s="27" t="s">
        <v>8</v>
      </c>
      <c r="OJ502" s="27" t="s">
        <v>7</v>
      </c>
      <c r="OK502" s="27" t="s">
        <v>8</v>
      </c>
      <c r="OX502" s="27" t="s">
        <v>7</v>
      </c>
      <c r="OY502" s="27" t="s">
        <v>8</v>
      </c>
      <c r="OZ502" s="27" t="s">
        <v>7</v>
      </c>
      <c r="PA502" s="27" t="s">
        <v>8</v>
      </c>
      <c r="PB502" s="27" t="s">
        <v>7</v>
      </c>
      <c r="PC502" s="27" t="s">
        <v>8</v>
      </c>
      <c r="PD502" s="27" t="s">
        <v>7</v>
      </c>
      <c r="PF502" s="27" t="s">
        <v>7</v>
      </c>
      <c r="PM502" s="27" t="s">
        <v>8</v>
      </c>
      <c r="PN502" s="27" t="s">
        <v>7</v>
      </c>
      <c r="PO502" s="27" t="s">
        <v>8</v>
      </c>
      <c r="PP502" s="27" t="s">
        <v>7</v>
      </c>
      <c r="PQ502" s="27" t="s">
        <v>8</v>
      </c>
      <c r="PR502" s="27" t="s">
        <v>7</v>
      </c>
      <c r="PS502" s="27" t="s">
        <v>8</v>
      </c>
      <c r="PT502" s="27" t="s">
        <v>7</v>
      </c>
      <c r="PU502" s="27" t="s">
        <v>8</v>
      </c>
      <c r="PV502" s="27" t="s">
        <v>7</v>
      </c>
      <c r="PW502" s="27" t="s">
        <v>8</v>
      </c>
      <c r="PX502" s="27" t="s">
        <v>7</v>
      </c>
      <c r="PY502" s="27" t="s">
        <v>8</v>
      </c>
      <c r="QF502" s="27" t="s">
        <v>7</v>
      </c>
      <c r="QH502" s="27" t="s">
        <v>7</v>
      </c>
      <c r="QI502" s="27" t="s">
        <v>8</v>
      </c>
      <c r="QJ502" s="27" t="s">
        <v>7</v>
      </c>
      <c r="QK502" s="27" t="s">
        <v>8</v>
      </c>
      <c r="QL502" s="27" t="s">
        <v>7</v>
      </c>
    </row>
    <row r="503" spans="1:456" x14ac:dyDescent="0.25">
      <c r="A503" s="7">
        <v>5.2773321366819985</v>
      </c>
      <c r="B503"/>
      <c r="C503"/>
      <c r="D503"/>
      <c r="E503"/>
      <c r="KQ503" s="27" t="s">
        <v>8</v>
      </c>
      <c r="KR503" s="27" t="s">
        <v>7</v>
      </c>
      <c r="KS503" s="27" t="s">
        <v>8</v>
      </c>
      <c r="KX503" s="27" t="s">
        <v>7</v>
      </c>
      <c r="KY503" s="27" t="s">
        <v>8</v>
      </c>
      <c r="KZ503" s="27" t="s">
        <v>7</v>
      </c>
      <c r="LA503" s="27" t="s">
        <v>8</v>
      </c>
      <c r="LB503" s="27" t="s">
        <v>7</v>
      </c>
      <c r="LC503" s="27" t="s">
        <v>8</v>
      </c>
      <c r="LD503" s="27" t="s">
        <v>7</v>
      </c>
      <c r="LE503" s="27" t="s">
        <v>8</v>
      </c>
      <c r="LF503" s="27" t="s">
        <v>7</v>
      </c>
      <c r="LG503" s="27" t="s">
        <v>8</v>
      </c>
      <c r="LH503" s="27" t="s">
        <v>7</v>
      </c>
      <c r="LI503" s="27" t="s">
        <v>8</v>
      </c>
      <c r="LJ503" s="27" t="s">
        <v>7</v>
      </c>
      <c r="LK503" s="27" t="s">
        <v>8</v>
      </c>
      <c r="LL503" s="27" t="s">
        <v>7</v>
      </c>
      <c r="LM503" s="27" t="s">
        <v>8</v>
      </c>
      <c r="LO503" s="27" t="s">
        <v>8</v>
      </c>
      <c r="LP503" s="27" t="s">
        <v>7</v>
      </c>
      <c r="LS503" s="27" t="s">
        <v>8</v>
      </c>
      <c r="LT503" s="27" t="s">
        <v>7</v>
      </c>
      <c r="LU503" s="27" t="s">
        <v>8</v>
      </c>
      <c r="LV503" s="27" t="s">
        <v>7</v>
      </c>
      <c r="LW503" s="27" t="s">
        <v>8</v>
      </c>
      <c r="LX503" s="27" t="s">
        <v>7</v>
      </c>
      <c r="LY503" s="27" t="s">
        <v>8</v>
      </c>
      <c r="LZ503" s="27" t="s">
        <v>7</v>
      </c>
      <c r="MT503" s="27" t="s">
        <v>7</v>
      </c>
      <c r="MU503" s="27" t="s">
        <v>8</v>
      </c>
      <c r="MX503" s="27" t="s">
        <v>7</v>
      </c>
      <c r="MY503" s="27" t="s">
        <v>8</v>
      </c>
      <c r="NJ503" s="27" t="s">
        <v>7</v>
      </c>
      <c r="NK503" s="27" t="s">
        <v>8</v>
      </c>
      <c r="NL503" s="27" t="s">
        <v>7</v>
      </c>
      <c r="NM503" s="27" t="s">
        <v>8</v>
      </c>
      <c r="NN503" s="27" t="s">
        <v>7</v>
      </c>
      <c r="OI503" s="27" t="s">
        <v>8</v>
      </c>
      <c r="OJ503" s="27" t="s">
        <v>7</v>
      </c>
      <c r="OK503" s="27" t="s">
        <v>8</v>
      </c>
      <c r="OX503" s="27" t="s">
        <v>7</v>
      </c>
      <c r="OY503" s="27" t="s">
        <v>8</v>
      </c>
      <c r="OZ503" s="27" t="s">
        <v>7</v>
      </c>
      <c r="PB503" s="27" t="s">
        <v>7</v>
      </c>
      <c r="PC503" s="27" t="s">
        <v>8</v>
      </c>
      <c r="PF503" s="27" t="s">
        <v>7</v>
      </c>
      <c r="PG503" s="27" t="s">
        <v>8</v>
      </c>
      <c r="PM503" s="27" t="s">
        <v>8</v>
      </c>
      <c r="PN503" s="27" t="s">
        <v>7</v>
      </c>
      <c r="PP503" s="27" t="s">
        <v>7</v>
      </c>
      <c r="PQ503" s="27" t="s">
        <v>8</v>
      </c>
      <c r="PR503" s="27" t="s">
        <v>7</v>
      </c>
      <c r="PS503" s="27" t="s">
        <v>8</v>
      </c>
      <c r="PT503" s="27" t="s">
        <v>7</v>
      </c>
      <c r="PU503" s="27" t="s">
        <v>8</v>
      </c>
      <c r="PV503" s="27" t="s">
        <v>7</v>
      </c>
      <c r="PX503" s="27" t="s">
        <v>7</v>
      </c>
      <c r="PY503" s="27" t="s">
        <v>8</v>
      </c>
      <c r="QH503" s="27" t="s">
        <v>7</v>
      </c>
      <c r="QJ503" s="27" t="s">
        <v>7</v>
      </c>
      <c r="QK503" s="27" t="s">
        <v>8</v>
      </c>
      <c r="QL503" s="27" t="s">
        <v>7</v>
      </c>
    </row>
    <row r="504" spans="1:456" x14ac:dyDescent="0.25">
      <c r="A504" s="7">
        <v>5.1738550359627435</v>
      </c>
      <c r="B504"/>
      <c r="C504"/>
      <c r="D504"/>
      <c r="E504"/>
      <c r="JS504" s="27" t="s">
        <v>8</v>
      </c>
      <c r="KQ504" s="27" t="s">
        <v>8</v>
      </c>
      <c r="KR504" s="27" t="s">
        <v>7</v>
      </c>
      <c r="KS504" s="27" t="s">
        <v>8</v>
      </c>
      <c r="KX504" s="27" t="s">
        <v>7</v>
      </c>
      <c r="KY504" s="27" t="s">
        <v>8</v>
      </c>
      <c r="KZ504" s="27" t="s">
        <v>7</v>
      </c>
      <c r="LA504" s="27" t="s">
        <v>8</v>
      </c>
      <c r="LB504" s="27" t="s">
        <v>7</v>
      </c>
      <c r="LC504" s="27" t="s">
        <v>8</v>
      </c>
      <c r="LD504" s="27" t="s">
        <v>7</v>
      </c>
      <c r="LE504" s="27" t="s">
        <v>8</v>
      </c>
      <c r="LF504" s="27" t="s">
        <v>7</v>
      </c>
      <c r="LG504" s="27" t="s">
        <v>8</v>
      </c>
      <c r="LH504" s="27" t="s">
        <v>7</v>
      </c>
      <c r="LI504" s="27" t="s">
        <v>8</v>
      </c>
      <c r="LJ504" s="27" t="s">
        <v>7</v>
      </c>
      <c r="LK504" s="27" t="s">
        <v>8</v>
      </c>
      <c r="LL504" s="27" t="s">
        <v>7</v>
      </c>
      <c r="LM504" s="27" t="s">
        <v>8</v>
      </c>
      <c r="LN504" s="27" t="s">
        <v>7</v>
      </c>
      <c r="LO504" s="27" t="s">
        <v>8</v>
      </c>
      <c r="LP504" s="27" t="s">
        <v>7</v>
      </c>
      <c r="LQ504" s="27" t="s">
        <v>8</v>
      </c>
      <c r="LS504" s="27" t="s">
        <v>8</v>
      </c>
      <c r="LT504" s="27" t="s">
        <v>7</v>
      </c>
      <c r="LU504" s="27" t="s">
        <v>8</v>
      </c>
      <c r="LV504" s="27" t="s">
        <v>7</v>
      </c>
      <c r="LW504" s="27" t="s">
        <v>8</v>
      </c>
      <c r="LX504" s="27" t="s">
        <v>7</v>
      </c>
      <c r="MT504" s="27" t="s">
        <v>7</v>
      </c>
      <c r="MU504" s="27" t="s">
        <v>8</v>
      </c>
      <c r="MX504" s="27" t="s">
        <v>7</v>
      </c>
      <c r="MY504" s="27" t="s">
        <v>8</v>
      </c>
      <c r="NJ504" s="27" t="s">
        <v>7</v>
      </c>
      <c r="NK504" s="27" t="s">
        <v>8</v>
      </c>
      <c r="NL504" s="27" t="s">
        <v>7</v>
      </c>
      <c r="NM504" s="27" t="s">
        <v>8</v>
      </c>
      <c r="NN504" s="27" t="s">
        <v>7</v>
      </c>
      <c r="OI504" s="27" t="s">
        <v>8</v>
      </c>
      <c r="OJ504" s="27" t="s">
        <v>7</v>
      </c>
      <c r="OK504" s="27" t="s">
        <v>8</v>
      </c>
      <c r="OX504" s="27" t="s">
        <v>7</v>
      </c>
      <c r="PB504" s="27" t="s">
        <v>7</v>
      </c>
      <c r="PF504" s="27" t="s">
        <v>7</v>
      </c>
      <c r="PG504" s="27" t="s">
        <v>8</v>
      </c>
      <c r="PH504" s="27" t="s">
        <v>7</v>
      </c>
      <c r="PM504" s="27" t="s">
        <v>8</v>
      </c>
      <c r="PP504" s="27" t="s">
        <v>7</v>
      </c>
      <c r="PQ504" s="27" t="s">
        <v>8</v>
      </c>
      <c r="PR504" s="27" t="s">
        <v>7</v>
      </c>
      <c r="PS504" s="27" t="s">
        <v>8</v>
      </c>
      <c r="PT504" s="27" t="s">
        <v>7</v>
      </c>
      <c r="PU504" s="27" t="s">
        <v>8</v>
      </c>
      <c r="PX504" s="27" t="s">
        <v>7</v>
      </c>
      <c r="PY504" s="27" t="s">
        <v>8</v>
      </c>
      <c r="QJ504" s="27" t="s">
        <v>7</v>
      </c>
      <c r="QL504" s="27" t="s">
        <v>7</v>
      </c>
      <c r="QM504" s="27" t="s">
        <v>8</v>
      </c>
    </row>
    <row r="505" spans="1:456" x14ac:dyDescent="0.25">
      <c r="A505" s="7">
        <v>5.07240689800269</v>
      </c>
      <c r="B505"/>
      <c r="C505"/>
      <c r="D505"/>
      <c r="E505"/>
      <c r="JS505" s="27" t="s">
        <v>8</v>
      </c>
      <c r="JT505" s="27" t="s">
        <v>7</v>
      </c>
      <c r="KQ505" s="27" t="s">
        <v>8</v>
      </c>
      <c r="KR505" s="27" t="s">
        <v>7</v>
      </c>
      <c r="KS505" s="27" t="s">
        <v>8</v>
      </c>
      <c r="KX505" s="27" t="s">
        <v>7</v>
      </c>
      <c r="KY505" s="27" t="s">
        <v>8</v>
      </c>
      <c r="KZ505" s="27" t="s">
        <v>7</v>
      </c>
      <c r="LA505" s="27" t="s">
        <v>8</v>
      </c>
      <c r="LB505" s="27" t="s">
        <v>7</v>
      </c>
      <c r="LC505" s="27" t="s">
        <v>8</v>
      </c>
      <c r="LD505" s="27" t="s">
        <v>7</v>
      </c>
      <c r="LE505" s="27" t="s">
        <v>8</v>
      </c>
      <c r="LF505" s="27" t="s">
        <v>7</v>
      </c>
      <c r="LG505" s="27" t="s">
        <v>8</v>
      </c>
      <c r="LH505" s="27" t="s">
        <v>7</v>
      </c>
      <c r="LJ505" s="27" t="s">
        <v>7</v>
      </c>
      <c r="LK505" s="27" t="s">
        <v>8</v>
      </c>
      <c r="LL505" s="27" t="s">
        <v>7</v>
      </c>
      <c r="LM505" s="27" t="s">
        <v>8</v>
      </c>
      <c r="LN505" s="27" t="s">
        <v>7</v>
      </c>
      <c r="LO505" s="27" t="s">
        <v>8</v>
      </c>
      <c r="LP505" s="27" t="s">
        <v>7</v>
      </c>
      <c r="LQ505" s="27" t="s">
        <v>8</v>
      </c>
      <c r="LR505" s="27" t="s">
        <v>7</v>
      </c>
      <c r="LS505" s="27" t="s">
        <v>8</v>
      </c>
      <c r="LT505" s="27" t="s">
        <v>7</v>
      </c>
      <c r="LU505" s="27" t="s">
        <v>8</v>
      </c>
      <c r="LV505" s="27" t="s">
        <v>7</v>
      </c>
      <c r="LW505" s="27" t="s">
        <v>8</v>
      </c>
      <c r="MT505" s="27" t="s">
        <v>7</v>
      </c>
      <c r="MU505" s="27" t="s">
        <v>8</v>
      </c>
      <c r="MX505" s="27" t="s">
        <v>7</v>
      </c>
      <c r="MY505" s="27" t="s">
        <v>8</v>
      </c>
      <c r="NJ505" s="27" t="s">
        <v>7</v>
      </c>
      <c r="NK505" s="27" t="s">
        <v>8</v>
      </c>
      <c r="NL505" s="27" t="s">
        <v>7</v>
      </c>
      <c r="NM505" s="27" t="s">
        <v>8</v>
      </c>
      <c r="NN505" s="27" t="s">
        <v>7</v>
      </c>
      <c r="NO505" s="27" t="s">
        <v>8</v>
      </c>
      <c r="NS505" s="27" t="s">
        <v>8</v>
      </c>
      <c r="OI505" s="27" t="s">
        <v>8</v>
      </c>
      <c r="OJ505" s="27" t="s">
        <v>7</v>
      </c>
      <c r="OK505" s="27" t="s">
        <v>8</v>
      </c>
      <c r="PF505" s="27" t="s">
        <v>7</v>
      </c>
      <c r="PG505" s="27" t="s">
        <v>8</v>
      </c>
      <c r="PH505" s="27" t="s">
        <v>7</v>
      </c>
      <c r="PM505" s="27" t="s">
        <v>8</v>
      </c>
      <c r="PP505" s="27" t="s">
        <v>7</v>
      </c>
      <c r="PR505" s="27" t="s">
        <v>7</v>
      </c>
      <c r="PS505" s="27" t="s">
        <v>8</v>
      </c>
      <c r="PT505" s="27" t="s">
        <v>7</v>
      </c>
      <c r="PX505" s="27" t="s">
        <v>7</v>
      </c>
      <c r="PY505" s="27" t="s">
        <v>8</v>
      </c>
      <c r="QL505" s="27" t="s">
        <v>7</v>
      </c>
      <c r="QM505" s="27" t="s">
        <v>8</v>
      </c>
      <c r="QN505" s="27" t="s">
        <v>7</v>
      </c>
    </row>
    <row r="506" spans="1:456" x14ac:dyDescent="0.25">
      <c r="A506" s="7">
        <v>4.9729479392183231</v>
      </c>
      <c r="B506"/>
      <c r="C506"/>
      <c r="D506"/>
      <c r="E506"/>
      <c r="JS506" s="27" t="s">
        <v>8</v>
      </c>
      <c r="JT506" s="27" t="s">
        <v>7</v>
      </c>
      <c r="KQ506" s="27" t="s">
        <v>8</v>
      </c>
      <c r="KR506" s="27" t="s">
        <v>7</v>
      </c>
      <c r="KX506" s="27" t="s">
        <v>7</v>
      </c>
      <c r="KY506" s="27" t="s">
        <v>8</v>
      </c>
      <c r="KZ506" s="27" t="s">
        <v>7</v>
      </c>
      <c r="LA506" s="27" t="s">
        <v>8</v>
      </c>
      <c r="LB506" s="27" t="s">
        <v>7</v>
      </c>
      <c r="LC506" s="27" t="s">
        <v>8</v>
      </c>
      <c r="LD506" s="27" t="s">
        <v>7</v>
      </c>
      <c r="LF506" s="27" t="s">
        <v>7</v>
      </c>
      <c r="LG506" s="27" t="s">
        <v>8</v>
      </c>
      <c r="LJ506" s="27" t="s">
        <v>7</v>
      </c>
      <c r="LK506" s="27" t="s">
        <v>8</v>
      </c>
      <c r="LL506" s="27" t="s">
        <v>7</v>
      </c>
      <c r="LM506" s="27" t="s">
        <v>8</v>
      </c>
      <c r="LN506" s="27" t="s">
        <v>7</v>
      </c>
      <c r="LP506" s="27" t="s">
        <v>7</v>
      </c>
      <c r="LQ506" s="27" t="s">
        <v>8</v>
      </c>
      <c r="LR506" s="27" t="s">
        <v>7</v>
      </c>
      <c r="LS506" s="27" t="s">
        <v>8</v>
      </c>
      <c r="LT506" s="27" t="s">
        <v>7</v>
      </c>
      <c r="LV506" s="27" t="s">
        <v>7</v>
      </c>
      <c r="MT506" s="27" t="s">
        <v>7</v>
      </c>
      <c r="MU506" s="27" t="s">
        <v>8</v>
      </c>
      <c r="MX506" s="27" t="s">
        <v>7</v>
      </c>
      <c r="MY506" s="27" t="s">
        <v>8</v>
      </c>
      <c r="NJ506" s="27" t="s">
        <v>7</v>
      </c>
      <c r="NK506" s="27" t="s">
        <v>8</v>
      </c>
      <c r="NL506" s="27" t="s">
        <v>7</v>
      </c>
      <c r="NM506" s="27" t="s">
        <v>8</v>
      </c>
      <c r="NN506" s="27" t="s">
        <v>7</v>
      </c>
      <c r="NO506" s="27" t="s">
        <v>8</v>
      </c>
      <c r="NP506" s="27" t="s">
        <v>7</v>
      </c>
      <c r="NS506" s="27" t="s">
        <v>8</v>
      </c>
      <c r="NT506" s="27" t="s">
        <v>7</v>
      </c>
      <c r="OI506" s="27" t="s">
        <v>8</v>
      </c>
      <c r="OJ506" s="27" t="s">
        <v>7</v>
      </c>
      <c r="OK506" s="27" t="s">
        <v>8</v>
      </c>
      <c r="PF506" s="27" t="s">
        <v>7</v>
      </c>
      <c r="PG506" s="27" t="s">
        <v>8</v>
      </c>
      <c r="PH506" s="27" t="s">
        <v>7</v>
      </c>
      <c r="PM506" s="27" t="s">
        <v>8</v>
      </c>
      <c r="PR506" s="27" t="s">
        <v>7</v>
      </c>
      <c r="PS506" s="27" t="s">
        <v>8</v>
      </c>
      <c r="PX506" s="27" t="s">
        <v>7</v>
      </c>
      <c r="QL506" s="27" t="s">
        <v>7</v>
      </c>
      <c r="QM506" s="27" t="s">
        <v>8</v>
      </c>
      <c r="QN506" s="27" t="s">
        <v>7</v>
      </c>
    </row>
    <row r="507" spans="1:456" x14ac:dyDescent="0.25">
      <c r="A507" s="7">
        <v>4.8754391560963954</v>
      </c>
      <c r="B507"/>
      <c r="C507"/>
      <c r="D507"/>
      <c r="E507"/>
      <c r="JS507" s="27" t="s">
        <v>8</v>
      </c>
      <c r="JT507" s="27" t="s">
        <v>7</v>
      </c>
      <c r="KO507" s="27" t="s">
        <v>8</v>
      </c>
      <c r="KQ507" s="27" t="s">
        <v>8</v>
      </c>
      <c r="KX507" s="27" t="s">
        <v>7</v>
      </c>
      <c r="KY507" s="27" t="s">
        <v>8</v>
      </c>
      <c r="KZ507" s="27" t="s">
        <v>7</v>
      </c>
      <c r="LA507" s="27" t="s">
        <v>8</v>
      </c>
      <c r="LB507" s="27" t="s">
        <v>7</v>
      </c>
      <c r="LC507" s="27" t="s">
        <v>8</v>
      </c>
      <c r="LF507" s="27" t="s">
        <v>7</v>
      </c>
      <c r="LJ507" s="27" t="s">
        <v>7</v>
      </c>
      <c r="LL507" s="27" t="s">
        <v>7</v>
      </c>
      <c r="LM507" s="27" t="s">
        <v>8</v>
      </c>
      <c r="LP507" s="27" t="s">
        <v>7</v>
      </c>
      <c r="LQ507" s="27" t="s">
        <v>8</v>
      </c>
      <c r="LR507" s="27" t="s">
        <v>7</v>
      </c>
      <c r="LS507" s="27" t="s">
        <v>8</v>
      </c>
      <c r="MT507" s="27" t="s">
        <v>7</v>
      </c>
      <c r="MU507" s="27" t="s">
        <v>8</v>
      </c>
      <c r="MX507" s="27" t="s">
        <v>7</v>
      </c>
      <c r="MY507" s="27" t="s">
        <v>8</v>
      </c>
      <c r="NJ507" s="27" t="s">
        <v>7</v>
      </c>
      <c r="NK507" s="27" t="s">
        <v>8</v>
      </c>
      <c r="NL507" s="27" t="s">
        <v>7</v>
      </c>
      <c r="NM507" s="27" t="s">
        <v>8</v>
      </c>
      <c r="NN507" s="27" t="s">
        <v>7</v>
      </c>
      <c r="NO507" s="27" t="s">
        <v>8</v>
      </c>
      <c r="NP507" s="27" t="s">
        <v>7</v>
      </c>
      <c r="NS507" s="27" t="s">
        <v>8</v>
      </c>
      <c r="NT507" s="27" t="s">
        <v>7</v>
      </c>
      <c r="OI507" s="27" t="s">
        <v>8</v>
      </c>
      <c r="OJ507" s="27" t="s">
        <v>7</v>
      </c>
      <c r="OK507" s="27" t="s">
        <v>8</v>
      </c>
      <c r="PF507" s="27" t="s">
        <v>7</v>
      </c>
      <c r="PG507" s="27" t="s">
        <v>8</v>
      </c>
      <c r="PH507" s="27" t="s">
        <v>7</v>
      </c>
      <c r="PI507" s="27" t="s">
        <v>8</v>
      </c>
      <c r="PM507" s="27" t="s">
        <v>8</v>
      </c>
      <c r="PR507" s="27" t="s">
        <v>7</v>
      </c>
      <c r="QL507" s="27" t="s">
        <v>7</v>
      </c>
      <c r="QM507" s="27" t="s">
        <v>8</v>
      </c>
      <c r="QN507" s="27" t="s">
        <v>7</v>
      </c>
    </row>
    <row r="508" spans="1:456" x14ac:dyDescent="0.25">
      <c r="A508" s="7">
        <v>4.7798423098984264</v>
      </c>
      <c r="B508"/>
      <c r="C508"/>
      <c r="D508"/>
      <c r="E508"/>
      <c r="JS508" s="27" t="s">
        <v>8</v>
      </c>
      <c r="JT508" s="27" t="s">
        <v>7</v>
      </c>
      <c r="KO508" s="27" t="s">
        <v>8</v>
      </c>
      <c r="KP508" s="27" t="s">
        <v>7</v>
      </c>
      <c r="KQ508" s="27" t="s">
        <v>8</v>
      </c>
      <c r="KX508" s="27" t="s">
        <v>7</v>
      </c>
      <c r="KY508" s="27" t="s">
        <v>8</v>
      </c>
      <c r="KZ508" s="27" t="s">
        <v>7</v>
      </c>
      <c r="LB508" s="27" t="s">
        <v>7</v>
      </c>
      <c r="LC508" s="27" t="s">
        <v>8</v>
      </c>
      <c r="LL508" s="27" t="s">
        <v>7</v>
      </c>
      <c r="LM508" s="27" t="s">
        <v>8</v>
      </c>
      <c r="LP508" s="27" t="s">
        <v>7</v>
      </c>
      <c r="LQ508" s="27" t="s">
        <v>8</v>
      </c>
      <c r="LR508" s="27" t="s">
        <v>7</v>
      </c>
      <c r="LS508" s="27" t="s">
        <v>8</v>
      </c>
      <c r="MT508" s="27" t="s">
        <v>7</v>
      </c>
      <c r="MU508" s="27" t="s">
        <v>8</v>
      </c>
      <c r="MX508" s="27" t="s">
        <v>7</v>
      </c>
      <c r="MY508" s="27" t="s">
        <v>8</v>
      </c>
      <c r="NJ508" s="27" t="s">
        <v>7</v>
      </c>
      <c r="NK508" s="27" t="s">
        <v>8</v>
      </c>
      <c r="NL508" s="27" t="s">
        <v>7</v>
      </c>
      <c r="NM508" s="27" t="s">
        <v>8</v>
      </c>
      <c r="NN508" s="27" t="s">
        <v>7</v>
      </c>
      <c r="NO508" s="27" t="s">
        <v>8</v>
      </c>
      <c r="NP508" s="27" t="s">
        <v>7</v>
      </c>
      <c r="NQ508" s="27" t="s">
        <v>8</v>
      </c>
      <c r="NS508" s="27" t="s">
        <v>8</v>
      </c>
      <c r="NT508" s="27" t="s">
        <v>7</v>
      </c>
      <c r="OI508" s="27" t="s">
        <v>8</v>
      </c>
      <c r="OJ508" s="27" t="s">
        <v>7</v>
      </c>
      <c r="PF508" s="27" t="s">
        <v>7</v>
      </c>
      <c r="PG508" s="27" t="s">
        <v>8</v>
      </c>
      <c r="PH508" s="27" t="s">
        <v>7</v>
      </c>
      <c r="PI508" s="27" t="s">
        <v>8</v>
      </c>
      <c r="PJ508" s="27" t="s">
        <v>7</v>
      </c>
      <c r="PM508" s="27" t="s">
        <v>8</v>
      </c>
      <c r="QL508" s="27" t="s">
        <v>7</v>
      </c>
      <c r="QM508" s="27" t="s">
        <v>8</v>
      </c>
      <c r="QN508" s="27" t="s">
        <v>7</v>
      </c>
    </row>
    <row r="509" spans="1:456" x14ac:dyDescent="0.25">
      <c r="A509" s="7">
        <v>4.6861199116651235</v>
      </c>
      <c r="B509"/>
      <c r="C509"/>
      <c r="D509"/>
      <c r="E509"/>
      <c r="JS509" s="27" t="s">
        <v>8</v>
      </c>
      <c r="JT509" s="27" t="s">
        <v>7</v>
      </c>
      <c r="KO509" s="27" t="s">
        <v>8</v>
      </c>
      <c r="KP509" s="27" t="s">
        <v>7</v>
      </c>
      <c r="KQ509" s="27" t="s">
        <v>8</v>
      </c>
      <c r="KX509" s="27" t="s">
        <v>7</v>
      </c>
      <c r="KY509" s="27" t="s">
        <v>8</v>
      </c>
      <c r="LB509" s="27" t="s">
        <v>7</v>
      </c>
      <c r="LL509" s="27" t="s">
        <v>7</v>
      </c>
      <c r="LP509" s="27" t="s">
        <v>7</v>
      </c>
      <c r="LR509" s="27" t="s">
        <v>7</v>
      </c>
      <c r="LS509" s="27" t="s">
        <v>8</v>
      </c>
      <c r="MT509" s="27" t="s">
        <v>7</v>
      </c>
      <c r="MX509" s="27" t="s">
        <v>7</v>
      </c>
      <c r="NJ509" s="27" t="s">
        <v>7</v>
      </c>
      <c r="NK509" s="27" t="s">
        <v>8</v>
      </c>
      <c r="NL509" s="27" t="s">
        <v>7</v>
      </c>
      <c r="NM509" s="27" t="s">
        <v>8</v>
      </c>
      <c r="NN509" s="27" t="s">
        <v>7</v>
      </c>
      <c r="NO509" s="27" t="s">
        <v>8</v>
      </c>
      <c r="NP509" s="27" t="s">
        <v>7</v>
      </c>
      <c r="NQ509" s="27" t="s">
        <v>8</v>
      </c>
      <c r="NR509" s="27" t="s">
        <v>7</v>
      </c>
      <c r="NS509" s="27" t="s">
        <v>8</v>
      </c>
      <c r="NT509" s="27" t="s">
        <v>7</v>
      </c>
      <c r="OI509" s="27" t="s">
        <v>8</v>
      </c>
      <c r="PF509" s="27" t="s">
        <v>7</v>
      </c>
      <c r="PG509" s="27" t="s">
        <v>8</v>
      </c>
      <c r="PH509" s="27" t="s">
        <v>7</v>
      </c>
      <c r="PI509" s="27" t="s">
        <v>8</v>
      </c>
      <c r="PJ509" s="27" t="s">
        <v>7</v>
      </c>
      <c r="PM509" s="27" t="s">
        <v>8</v>
      </c>
      <c r="QL509" s="27" t="s">
        <v>7</v>
      </c>
      <c r="QM509" s="27" t="s">
        <v>8</v>
      </c>
      <c r="QN509" s="27" t="s">
        <v>7</v>
      </c>
    </row>
    <row r="510" spans="1:456" x14ac:dyDescent="0.25">
      <c r="A510" s="7">
        <v>4.5942352075148269</v>
      </c>
      <c r="B510"/>
      <c r="C510"/>
      <c r="D510"/>
      <c r="E510"/>
      <c r="JS510" s="27" t="s">
        <v>8</v>
      </c>
      <c r="JT510" s="27" t="s">
        <v>7</v>
      </c>
      <c r="KO510" s="27" t="s">
        <v>8</v>
      </c>
      <c r="KP510" s="27" t="s">
        <v>7</v>
      </c>
      <c r="KQ510" s="27" t="s">
        <v>8</v>
      </c>
      <c r="KX510" s="27" t="s">
        <v>7</v>
      </c>
      <c r="KY510" s="27" t="s">
        <v>8</v>
      </c>
      <c r="LR510" s="27" t="s">
        <v>7</v>
      </c>
      <c r="LS510" s="27" t="s">
        <v>8</v>
      </c>
      <c r="NJ510" s="27" t="s">
        <v>7</v>
      </c>
      <c r="NK510" s="27" t="s">
        <v>8</v>
      </c>
      <c r="NL510" s="27" t="s">
        <v>7</v>
      </c>
      <c r="NM510" s="27" t="s">
        <v>8</v>
      </c>
      <c r="NN510" s="27" t="s">
        <v>7</v>
      </c>
      <c r="NP510" s="27" t="s">
        <v>7</v>
      </c>
      <c r="NQ510" s="27" t="s">
        <v>8</v>
      </c>
      <c r="NR510" s="27" t="s">
        <v>7</v>
      </c>
      <c r="NS510" s="27" t="s">
        <v>8</v>
      </c>
      <c r="NT510" s="27" t="s">
        <v>7</v>
      </c>
      <c r="OG510" s="27" t="s">
        <v>8</v>
      </c>
      <c r="OI510" s="27" t="s">
        <v>8</v>
      </c>
      <c r="PF510" s="27" t="s">
        <v>7</v>
      </c>
      <c r="PG510" s="27" t="s">
        <v>8</v>
      </c>
      <c r="PH510" s="27" t="s">
        <v>7</v>
      </c>
      <c r="PI510" s="27" t="s">
        <v>8</v>
      </c>
      <c r="PJ510" s="27" t="s">
        <v>7</v>
      </c>
      <c r="PK510" s="27" t="s">
        <v>8</v>
      </c>
      <c r="PM510" s="27" t="s">
        <v>8</v>
      </c>
      <c r="QL510" s="27" t="s">
        <v>7</v>
      </c>
      <c r="QM510" s="27" t="s">
        <v>8</v>
      </c>
      <c r="QN510" s="27" t="s">
        <v>7</v>
      </c>
    </row>
    <row r="511" spans="1:456" x14ac:dyDescent="0.25">
      <c r="A511" s="7">
        <v>4.5041521642302227</v>
      </c>
      <c r="B511"/>
      <c r="C511"/>
      <c r="D511"/>
      <c r="E511"/>
      <c r="JS511" s="27" t="s">
        <v>8</v>
      </c>
      <c r="JT511" s="27" t="s">
        <v>7</v>
      </c>
      <c r="KG511" s="27" t="s">
        <v>8</v>
      </c>
      <c r="KO511" s="27" t="s">
        <v>8</v>
      </c>
      <c r="KP511" s="27" t="s">
        <v>7</v>
      </c>
      <c r="KQ511" s="27" t="s">
        <v>8</v>
      </c>
      <c r="KX511" s="27" t="s">
        <v>7</v>
      </c>
      <c r="KY511" s="27" t="s">
        <v>8</v>
      </c>
      <c r="LR511" s="27" t="s">
        <v>7</v>
      </c>
      <c r="LS511" s="27" t="s">
        <v>8</v>
      </c>
      <c r="NJ511" s="27" t="s">
        <v>7</v>
      </c>
      <c r="NK511" s="27" t="s">
        <v>8</v>
      </c>
      <c r="NL511" s="27" t="s">
        <v>7</v>
      </c>
      <c r="NM511" s="27" t="s">
        <v>8</v>
      </c>
      <c r="NP511" s="27" t="s">
        <v>7</v>
      </c>
      <c r="NR511" s="27" t="s">
        <v>7</v>
      </c>
      <c r="NS511" s="27" t="s">
        <v>8</v>
      </c>
      <c r="NT511" s="27" t="s">
        <v>7</v>
      </c>
      <c r="OG511" s="27" t="s">
        <v>8</v>
      </c>
      <c r="OH511" s="27" t="s">
        <v>7</v>
      </c>
      <c r="OI511" s="27" t="s">
        <v>8</v>
      </c>
      <c r="PF511" s="27" t="s">
        <v>7</v>
      </c>
      <c r="PG511" s="27" t="s">
        <v>8</v>
      </c>
      <c r="PH511" s="27" t="s">
        <v>7</v>
      </c>
      <c r="PI511" s="27" t="s">
        <v>8</v>
      </c>
      <c r="PJ511" s="27" t="s">
        <v>7</v>
      </c>
      <c r="PK511" s="27" t="s">
        <v>8</v>
      </c>
      <c r="PL511" s="27" t="s">
        <v>7</v>
      </c>
      <c r="PM511" s="27" t="s">
        <v>8</v>
      </c>
      <c r="QL511" s="27" t="s">
        <v>7</v>
      </c>
      <c r="QN511" s="27" t="s">
        <v>7</v>
      </c>
    </row>
    <row r="512" spans="1:456" x14ac:dyDescent="0.25">
      <c r="A512" s="7">
        <v>4.4158354551276693</v>
      </c>
      <c r="B512"/>
      <c r="C512"/>
      <c r="D512"/>
      <c r="E512"/>
      <c r="JS512" s="27" t="s">
        <v>8</v>
      </c>
      <c r="JT512" s="27" t="s">
        <v>7</v>
      </c>
      <c r="KG512" s="27" t="s">
        <v>8</v>
      </c>
      <c r="KH512" s="27" t="s">
        <v>7</v>
      </c>
      <c r="KO512" s="27" t="s">
        <v>8</v>
      </c>
      <c r="KP512" s="27" t="s">
        <v>7</v>
      </c>
      <c r="KQ512" s="27" t="s">
        <v>8</v>
      </c>
      <c r="KX512" s="27" t="s">
        <v>7</v>
      </c>
      <c r="KY512" s="27" t="s">
        <v>8</v>
      </c>
      <c r="LR512" s="27" t="s">
        <v>7</v>
      </c>
      <c r="LS512" s="27" t="s">
        <v>8</v>
      </c>
      <c r="NJ512" s="27" t="s">
        <v>7</v>
      </c>
      <c r="NK512" s="27" t="s">
        <v>8</v>
      </c>
      <c r="NL512" s="27" t="s">
        <v>7</v>
      </c>
      <c r="NM512" s="27" t="s">
        <v>8</v>
      </c>
      <c r="NR512" s="27" t="s">
        <v>7</v>
      </c>
      <c r="NS512" s="27" t="s">
        <v>8</v>
      </c>
      <c r="NT512" s="27" t="s">
        <v>7</v>
      </c>
      <c r="OE512" s="27" t="s">
        <v>8</v>
      </c>
      <c r="OG512" s="27" t="s">
        <v>8</v>
      </c>
      <c r="OH512" s="27" t="s">
        <v>7</v>
      </c>
      <c r="OI512" s="27" t="s">
        <v>8</v>
      </c>
      <c r="PF512" s="27" t="s">
        <v>7</v>
      </c>
      <c r="PG512" s="27" t="s">
        <v>8</v>
      </c>
      <c r="PH512" s="27" t="s">
        <v>7</v>
      </c>
      <c r="PI512" s="27" t="s">
        <v>8</v>
      </c>
      <c r="PJ512" s="27" t="s">
        <v>7</v>
      </c>
      <c r="PK512" s="27" t="s">
        <v>8</v>
      </c>
      <c r="PL512" s="27" t="s">
        <v>7</v>
      </c>
      <c r="PM512" s="27" t="s">
        <v>8</v>
      </c>
      <c r="QN512" s="27" t="s">
        <v>7</v>
      </c>
    </row>
    <row r="513" spans="1:476" x14ac:dyDescent="0.25">
      <c r="A513" s="7">
        <v>4.3292504462035977</v>
      </c>
      <c r="B513"/>
      <c r="C513"/>
      <c r="D513"/>
      <c r="E513"/>
      <c r="JS513" s="27" t="s">
        <v>8</v>
      </c>
      <c r="JT513" s="27" t="s">
        <v>7</v>
      </c>
      <c r="KG513" s="27" t="s">
        <v>8</v>
      </c>
      <c r="KH513" s="27" t="s">
        <v>7</v>
      </c>
      <c r="KO513" s="27" t="s">
        <v>8</v>
      </c>
      <c r="KP513" s="27" t="s">
        <v>7</v>
      </c>
      <c r="KQ513" s="27" t="s">
        <v>8</v>
      </c>
      <c r="KX513" s="27" t="s">
        <v>7</v>
      </c>
      <c r="KY513" s="27" t="s">
        <v>8</v>
      </c>
      <c r="LR513" s="27" t="s">
        <v>7</v>
      </c>
      <c r="LS513" s="27" t="s">
        <v>8</v>
      </c>
      <c r="NJ513" s="27" t="s">
        <v>7</v>
      </c>
      <c r="NK513" s="27" t="s">
        <v>8</v>
      </c>
      <c r="NL513" s="27" t="s">
        <v>7</v>
      </c>
      <c r="NR513" s="27" t="s">
        <v>7</v>
      </c>
      <c r="NS513" s="27" t="s">
        <v>8</v>
      </c>
      <c r="NT513" s="27" t="s">
        <v>7</v>
      </c>
      <c r="OC513" s="27" t="s">
        <v>8</v>
      </c>
      <c r="OE513" s="27" t="s">
        <v>8</v>
      </c>
      <c r="OF513" s="27" t="s">
        <v>7</v>
      </c>
      <c r="OG513" s="27" t="s">
        <v>8</v>
      </c>
      <c r="OH513" s="27" t="s">
        <v>7</v>
      </c>
      <c r="OI513" s="27" t="s">
        <v>8</v>
      </c>
      <c r="PF513" s="27" t="s">
        <v>7</v>
      </c>
      <c r="PG513" s="27" t="s">
        <v>8</v>
      </c>
      <c r="PH513" s="27" t="s">
        <v>7</v>
      </c>
      <c r="PJ513" s="27" t="s">
        <v>7</v>
      </c>
      <c r="PK513" s="27" t="s">
        <v>8</v>
      </c>
      <c r="PL513" s="27" t="s">
        <v>7</v>
      </c>
      <c r="PM513" s="27" t="s">
        <v>8</v>
      </c>
      <c r="QN513" s="27" t="s">
        <v>7</v>
      </c>
    </row>
    <row r="514" spans="1:476" x14ac:dyDescent="0.25">
      <c r="A514" s="7">
        <v>4.2443631825525463</v>
      </c>
      <c r="B514"/>
      <c r="C514"/>
      <c r="D514"/>
      <c r="E514"/>
      <c r="JS514" s="27" t="s">
        <v>8</v>
      </c>
      <c r="JT514" s="27" t="s">
        <v>7</v>
      </c>
      <c r="KG514" s="27" t="s">
        <v>8</v>
      </c>
      <c r="KH514" s="27" t="s">
        <v>7</v>
      </c>
      <c r="KO514" s="27" t="s">
        <v>8</v>
      </c>
      <c r="KP514" s="27" t="s">
        <v>7</v>
      </c>
      <c r="KQ514" s="27" t="s">
        <v>8</v>
      </c>
      <c r="KX514" s="27" t="s">
        <v>7</v>
      </c>
      <c r="LR514" s="27" t="s">
        <v>7</v>
      </c>
      <c r="LS514" s="27" t="s">
        <v>8</v>
      </c>
      <c r="NJ514" s="27" t="s">
        <v>7</v>
      </c>
      <c r="NK514" s="27" t="s">
        <v>8</v>
      </c>
      <c r="NR514" s="27" t="s">
        <v>7</v>
      </c>
      <c r="NT514" s="27" t="s">
        <v>7</v>
      </c>
      <c r="NU514" s="27" t="s">
        <v>8</v>
      </c>
      <c r="OC514" s="27" t="s">
        <v>8</v>
      </c>
      <c r="OD514" s="27" t="s">
        <v>7</v>
      </c>
      <c r="OE514" s="27" t="s">
        <v>8</v>
      </c>
      <c r="OF514" s="27" t="s">
        <v>7</v>
      </c>
      <c r="OG514" s="27" t="s">
        <v>8</v>
      </c>
      <c r="OH514" s="27" t="s">
        <v>7</v>
      </c>
      <c r="PF514" s="27" t="s">
        <v>7</v>
      </c>
      <c r="PJ514" s="27" t="s">
        <v>7</v>
      </c>
      <c r="PL514" s="27" t="s">
        <v>7</v>
      </c>
      <c r="PM514" s="27" t="s">
        <v>8</v>
      </c>
      <c r="QN514" s="27" t="s">
        <v>7</v>
      </c>
      <c r="QO514" s="27" t="s">
        <v>8</v>
      </c>
      <c r="QQ514" s="27" t="s">
        <v>8</v>
      </c>
    </row>
    <row r="515" spans="1:476" x14ac:dyDescent="0.25">
      <c r="A515" s="7">
        <v>4.1611403750515157</v>
      </c>
      <c r="B515"/>
      <c r="C515"/>
      <c r="D515"/>
      <c r="E515"/>
      <c r="JS515" s="27" t="s">
        <v>8</v>
      </c>
      <c r="JT515" s="27" t="s">
        <v>7</v>
      </c>
      <c r="KG515" s="27" t="s">
        <v>8</v>
      </c>
      <c r="KH515" s="27" t="s">
        <v>7</v>
      </c>
      <c r="KM515" s="27" t="s">
        <v>8</v>
      </c>
      <c r="KO515" s="27" t="s">
        <v>8</v>
      </c>
      <c r="KP515" s="27" t="s">
        <v>7</v>
      </c>
      <c r="KQ515" s="27" t="s">
        <v>8</v>
      </c>
      <c r="LR515" s="27" t="s">
        <v>7</v>
      </c>
      <c r="NJ515" s="27" t="s">
        <v>7</v>
      </c>
      <c r="NK515" s="27" t="s">
        <v>8</v>
      </c>
      <c r="NT515" s="27" t="s">
        <v>7</v>
      </c>
      <c r="NU515" s="27" t="s">
        <v>8</v>
      </c>
      <c r="NV515" s="27" t="s">
        <v>7</v>
      </c>
      <c r="OC515" s="27" t="s">
        <v>8</v>
      </c>
      <c r="OD515" s="27" t="s">
        <v>7</v>
      </c>
      <c r="OE515" s="27" t="s">
        <v>8</v>
      </c>
      <c r="OF515" s="27" t="s">
        <v>7</v>
      </c>
      <c r="OG515" s="27" t="s">
        <v>8</v>
      </c>
      <c r="PL515" s="27" t="s">
        <v>7</v>
      </c>
      <c r="QN515" s="27" t="s">
        <v>7</v>
      </c>
      <c r="QO515" s="27" t="s">
        <v>8</v>
      </c>
      <c r="QP515" s="27" t="s">
        <v>7</v>
      </c>
      <c r="QQ515" s="27" t="s">
        <v>8</v>
      </c>
      <c r="QR515" s="27" t="s">
        <v>7</v>
      </c>
    </row>
    <row r="516" spans="1:476" x14ac:dyDescent="0.25">
      <c r="A516" s="7">
        <v>4.0795493873054074</v>
      </c>
      <c r="B516"/>
      <c r="C516"/>
      <c r="D516"/>
      <c r="E516"/>
      <c r="JS516" s="27" t="s">
        <v>8</v>
      </c>
      <c r="JT516" s="27" t="s">
        <v>7</v>
      </c>
      <c r="JU516" s="27" t="s">
        <v>8</v>
      </c>
      <c r="KG516" s="27" t="s">
        <v>8</v>
      </c>
      <c r="KH516" s="27" t="s">
        <v>7</v>
      </c>
      <c r="KM516" s="27" t="s">
        <v>8</v>
      </c>
      <c r="KN516" s="27" t="s">
        <v>7</v>
      </c>
      <c r="KO516" s="27" t="s">
        <v>8</v>
      </c>
      <c r="KP516" s="27" t="s">
        <v>7</v>
      </c>
      <c r="NJ516" s="27" t="s">
        <v>7</v>
      </c>
      <c r="NK516" s="27" t="s">
        <v>8</v>
      </c>
      <c r="NT516" s="27" t="s">
        <v>7</v>
      </c>
      <c r="NU516" s="27" t="s">
        <v>8</v>
      </c>
      <c r="NV516" s="27" t="s">
        <v>7</v>
      </c>
      <c r="OC516" s="27" t="s">
        <v>8</v>
      </c>
      <c r="OD516" s="27" t="s">
        <v>7</v>
      </c>
      <c r="OE516" s="27" t="s">
        <v>8</v>
      </c>
      <c r="OF516" s="27" t="s">
        <v>7</v>
      </c>
      <c r="QN516" s="27" t="s">
        <v>7</v>
      </c>
      <c r="QO516" s="27" t="s">
        <v>8</v>
      </c>
      <c r="QP516" s="27" t="s">
        <v>7</v>
      </c>
      <c r="QQ516" s="27" t="s">
        <v>8</v>
      </c>
      <c r="QR516" s="27" t="s">
        <v>7</v>
      </c>
      <c r="QY516" s="27" t="s">
        <v>8</v>
      </c>
    </row>
    <row r="517" spans="1:476" x14ac:dyDescent="0.25">
      <c r="A517" s="7">
        <v>3.9995582228484383</v>
      </c>
      <c r="B517"/>
      <c r="C517"/>
      <c r="D517"/>
      <c r="E517"/>
      <c r="JS517" s="27" t="s">
        <v>8</v>
      </c>
      <c r="JT517" s="27" t="s">
        <v>7</v>
      </c>
      <c r="JU517" s="27" t="s">
        <v>8</v>
      </c>
      <c r="JV517" s="27" t="s">
        <v>7</v>
      </c>
      <c r="JW517" s="27" t="s">
        <v>8</v>
      </c>
      <c r="KG517" s="27" t="s">
        <v>8</v>
      </c>
      <c r="KH517" s="27" t="s">
        <v>7</v>
      </c>
      <c r="KM517" s="27" t="s">
        <v>8</v>
      </c>
      <c r="KN517" s="27" t="s">
        <v>7</v>
      </c>
      <c r="KO517" s="27" t="s">
        <v>8</v>
      </c>
      <c r="NJ517" s="27" t="s">
        <v>7</v>
      </c>
      <c r="NK517" s="27" t="s">
        <v>8</v>
      </c>
      <c r="NT517" s="27" t="s">
        <v>7</v>
      </c>
      <c r="NV517" s="27" t="s">
        <v>7</v>
      </c>
      <c r="OA517" s="27" t="s">
        <v>8</v>
      </c>
      <c r="OC517" s="27" t="s">
        <v>8</v>
      </c>
      <c r="OD517" s="27" t="s">
        <v>7</v>
      </c>
      <c r="OE517" s="27" t="s">
        <v>8</v>
      </c>
      <c r="QN517" s="27" t="s">
        <v>7</v>
      </c>
      <c r="QO517" s="27" t="s">
        <v>8</v>
      </c>
      <c r="QP517" s="27" t="s">
        <v>7</v>
      </c>
      <c r="QQ517" s="27" t="s">
        <v>8</v>
      </c>
      <c r="QR517" s="27" t="s">
        <v>7</v>
      </c>
      <c r="QS517" s="27" t="s">
        <v>8</v>
      </c>
      <c r="QY517" s="27" t="s">
        <v>8</v>
      </c>
      <c r="QZ517" s="27" t="s">
        <v>7</v>
      </c>
    </row>
    <row r="518" spans="1:476" x14ac:dyDescent="0.25">
      <c r="A518" s="7">
        <v>3.9211355125965079</v>
      </c>
      <c r="B518"/>
      <c r="C518"/>
      <c r="D518"/>
      <c r="E518"/>
      <c r="JS518" s="27" t="s">
        <v>8</v>
      </c>
      <c r="JT518" s="27" t="s">
        <v>7</v>
      </c>
      <c r="JU518" s="27" t="s">
        <v>8</v>
      </c>
      <c r="JV518" s="27" t="s">
        <v>7</v>
      </c>
      <c r="JW518" s="27" t="s">
        <v>8</v>
      </c>
      <c r="JX518" s="27" t="s">
        <v>7</v>
      </c>
      <c r="KA518" s="27" t="s">
        <v>8</v>
      </c>
      <c r="KG518" s="27" t="s">
        <v>8</v>
      </c>
      <c r="KH518" s="27" t="s">
        <v>7</v>
      </c>
      <c r="KM518" s="27" t="s">
        <v>8</v>
      </c>
      <c r="KN518" s="27" t="s">
        <v>7</v>
      </c>
      <c r="KO518" s="27" t="s">
        <v>8</v>
      </c>
      <c r="NJ518" s="27" t="s">
        <v>7</v>
      </c>
      <c r="NK518" s="27" t="s">
        <v>8</v>
      </c>
      <c r="NV518" s="27" t="s">
        <v>7</v>
      </c>
      <c r="NW518" s="27" t="s">
        <v>8</v>
      </c>
      <c r="OA518" s="27" t="s">
        <v>8</v>
      </c>
      <c r="OB518" s="27" t="s">
        <v>7</v>
      </c>
      <c r="OC518" s="27" t="s">
        <v>8</v>
      </c>
      <c r="OD518" s="27" t="s">
        <v>7</v>
      </c>
      <c r="QN518" s="27" t="s">
        <v>7</v>
      </c>
      <c r="QO518" s="27" t="s">
        <v>8</v>
      </c>
      <c r="QP518" s="27" t="s">
        <v>7</v>
      </c>
      <c r="QQ518" s="27" t="s">
        <v>8</v>
      </c>
      <c r="QR518" s="27" t="s">
        <v>7</v>
      </c>
      <c r="QS518" s="27" t="s">
        <v>8</v>
      </c>
      <c r="QT518" s="27" t="s">
        <v>7</v>
      </c>
      <c r="QY518" s="27" t="s">
        <v>8</v>
      </c>
      <c r="QZ518" s="27" t="s">
        <v>7</v>
      </c>
      <c r="RC518" s="27" t="s">
        <v>8</v>
      </c>
    </row>
    <row r="519" spans="1:476" x14ac:dyDescent="0.25">
      <c r="A519" s="7">
        <v>3.844250502545596</v>
      </c>
      <c r="B519"/>
      <c r="C519"/>
      <c r="D519"/>
      <c r="E519"/>
      <c r="JS519" s="27" t="s">
        <v>8</v>
      </c>
      <c r="JT519" s="27" t="s">
        <v>7</v>
      </c>
      <c r="JU519" s="27" t="s">
        <v>8</v>
      </c>
      <c r="JV519" s="27" t="s">
        <v>7</v>
      </c>
      <c r="JW519" s="27" t="s">
        <v>8</v>
      </c>
      <c r="JX519" s="27" t="s">
        <v>7</v>
      </c>
      <c r="KA519" s="27" t="s">
        <v>8</v>
      </c>
      <c r="KB519" s="27" t="s">
        <v>7</v>
      </c>
      <c r="KC519" s="27" t="s">
        <v>8</v>
      </c>
      <c r="KG519" s="27" t="s">
        <v>8</v>
      </c>
      <c r="KH519" s="27" t="s">
        <v>7</v>
      </c>
      <c r="KM519" s="27" t="s">
        <v>8</v>
      </c>
      <c r="KN519" s="27" t="s">
        <v>7</v>
      </c>
      <c r="KO519" s="27" t="s">
        <v>8</v>
      </c>
      <c r="NJ519" s="27" t="s">
        <v>7</v>
      </c>
      <c r="NK519" s="27" t="s">
        <v>8</v>
      </c>
      <c r="NV519" s="27" t="s">
        <v>7</v>
      </c>
      <c r="NW519" s="27" t="s">
        <v>8</v>
      </c>
      <c r="NX519" s="27" t="s">
        <v>7</v>
      </c>
      <c r="OA519" s="27" t="s">
        <v>8</v>
      </c>
      <c r="OB519" s="27" t="s">
        <v>7</v>
      </c>
      <c r="OC519" s="27" t="s">
        <v>8</v>
      </c>
      <c r="QN519" s="27" t="s">
        <v>7</v>
      </c>
      <c r="QO519" s="27" t="s">
        <v>8</v>
      </c>
      <c r="QP519" s="27" t="s">
        <v>7</v>
      </c>
      <c r="QQ519" s="27" t="s">
        <v>8</v>
      </c>
      <c r="QR519" s="27" t="s">
        <v>7</v>
      </c>
      <c r="QS519" s="27" t="s">
        <v>8</v>
      </c>
      <c r="QT519" s="27" t="s">
        <v>7</v>
      </c>
      <c r="QY519" s="27" t="s">
        <v>8</v>
      </c>
      <c r="QZ519" s="27" t="s">
        <v>7</v>
      </c>
      <c r="RC519" s="27" t="s">
        <v>8</v>
      </c>
      <c r="RD519" s="27" t="s">
        <v>7</v>
      </c>
    </row>
    <row r="520" spans="1:476" x14ac:dyDescent="0.25">
      <c r="A520" s="7">
        <v>3.7688730417113687</v>
      </c>
      <c r="B520"/>
      <c r="C520"/>
      <c r="D520"/>
      <c r="E520"/>
      <c r="JS520" s="27" t="s">
        <v>8</v>
      </c>
      <c r="JT520" s="27" t="s">
        <v>7</v>
      </c>
      <c r="JU520" s="27" t="s">
        <v>8</v>
      </c>
      <c r="JV520" s="27" t="s">
        <v>7</v>
      </c>
      <c r="JW520" s="27" t="s">
        <v>8</v>
      </c>
      <c r="JX520" s="27" t="s">
        <v>7</v>
      </c>
      <c r="KA520" s="27" t="s">
        <v>8</v>
      </c>
      <c r="KB520" s="27" t="s">
        <v>7</v>
      </c>
      <c r="KC520" s="27" t="s">
        <v>8</v>
      </c>
      <c r="KD520" s="27" t="s">
        <v>7</v>
      </c>
      <c r="KG520" s="27" t="s">
        <v>8</v>
      </c>
      <c r="KH520" s="27" t="s">
        <v>7</v>
      </c>
      <c r="KM520" s="27" t="s">
        <v>8</v>
      </c>
      <c r="KN520" s="27" t="s">
        <v>7</v>
      </c>
      <c r="KO520" s="27" t="s">
        <v>8</v>
      </c>
      <c r="NJ520" s="27" t="s">
        <v>7</v>
      </c>
      <c r="NV520" s="27" t="s">
        <v>7</v>
      </c>
      <c r="NW520" s="27" t="s">
        <v>8</v>
      </c>
      <c r="NX520" s="27" t="s">
        <v>7</v>
      </c>
      <c r="OA520" s="27" t="s">
        <v>8</v>
      </c>
      <c r="OB520" s="27" t="s">
        <v>7</v>
      </c>
      <c r="QN520" s="27" t="s">
        <v>7</v>
      </c>
      <c r="QO520" s="27" t="s">
        <v>8</v>
      </c>
      <c r="QP520" s="27" t="s">
        <v>7</v>
      </c>
      <c r="QQ520" s="27" t="s">
        <v>8</v>
      </c>
      <c r="QR520" s="27" t="s">
        <v>7</v>
      </c>
      <c r="QS520" s="27" t="s">
        <v>8</v>
      </c>
      <c r="QT520" s="27" t="s">
        <v>7</v>
      </c>
      <c r="QY520" s="27" t="s">
        <v>8</v>
      </c>
      <c r="QZ520" s="27" t="s">
        <v>7</v>
      </c>
      <c r="RC520" s="27" t="s">
        <v>8</v>
      </c>
      <c r="RD520" s="27" t="s">
        <v>7</v>
      </c>
    </row>
    <row r="521" spans="1:476" x14ac:dyDescent="0.25">
      <c r="A521" s="7">
        <v>3.6949735703052635</v>
      </c>
      <c r="B521"/>
      <c r="C521"/>
      <c r="D521"/>
      <c r="E521"/>
      <c r="JS521" s="27" t="s">
        <v>8</v>
      </c>
      <c r="JT521" s="27" t="s">
        <v>7</v>
      </c>
      <c r="JU521" s="27" t="s">
        <v>8</v>
      </c>
      <c r="JV521" s="27" t="s">
        <v>7</v>
      </c>
      <c r="JW521" s="27" t="s">
        <v>8</v>
      </c>
      <c r="JX521" s="27" t="s">
        <v>7</v>
      </c>
      <c r="KA521" s="27" t="s">
        <v>8</v>
      </c>
      <c r="KB521" s="27" t="s">
        <v>7</v>
      </c>
      <c r="KC521" s="27" t="s">
        <v>8</v>
      </c>
      <c r="KD521" s="27" t="s">
        <v>7</v>
      </c>
      <c r="KG521" s="27" t="s">
        <v>8</v>
      </c>
      <c r="KH521" s="27" t="s">
        <v>7</v>
      </c>
      <c r="KI521" s="27" t="s">
        <v>8</v>
      </c>
      <c r="KK521" s="27" t="s">
        <v>8</v>
      </c>
      <c r="KM521" s="27" t="s">
        <v>8</v>
      </c>
      <c r="KN521" s="27" t="s">
        <v>7</v>
      </c>
      <c r="KO521" s="27" t="s">
        <v>8</v>
      </c>
      <c r="NV521" s="27" t="s">
        <v>7</v>
      </c>
      <c r="NX521" s="27" t="s">
        <v>7</v>
      </c>
      <c r="NY521" s="27" t="s">
        <v>8</v>
      </c>
      <c r="OA521" s="27" t="s">
        <v>8</v>
      </c>
      <c r="QN521" s="27" t="s">
        <v>7</v>
      </c>
      <c r="QP521" s="27" t="s">
        <v>7</v>
      </c>
      <c r="QQ521" s="27" t="s">
        <v>8</v>
      </c>
      <c r="QR521" s="27" t="s">
        <v>7</v>
      </c>
      <c r="QS521" s="27" t="s">
        <v>8</v>
      </c>
      <c r="QT521" s="27" t="s">
        <v>7</v>
      </c>
      <c r="QY521" s="27" t="s">
        <v>8</v>
      </c>
      <c r="QZ521" s="27" t="s">
        <v>7</v>
      </c>
      <c r="RC521" s="27" t="s">
        <v>8</v>
      </c>
      <c r="RD521" s="27" t="s">
        <v>7</v>
      </c>
    </row>
    <row r="522" spans="1:476" x14ac:dyDescent="0.25">
      <c r="A522" s="7">
        <v>3.6225231081424152</v>
      </c>
      <c r="B522"/>
      <c r="C522"/>
      <c r="D522"/>
      <c r="E522"/>
      <c r="JS522" s="27" t="s">
        <v>8</v>
      </c>
      <c r="JT522" s="27" t="s">
        <v>7</v>
      </c>
      <c r="JU522" s="27" t="s">
        <v>8</v>
      </c>
      <c r="JV522" s="27" t="s">
        <v>7</v>
      </c>
      <c r="JW522" s="27" t="s">
        <v>8</v>
      </c>
      <c r="JX522" s="27" t="s">
        <v>7</v>
      </c>
      <c r="KA522" s="27" t="s">
        <v>8</v>
      </c>
      <c r="KB522" s="27" t="s">
        <v>7</v>
      </c>
      <c r="KC522" s="27" t="s">
        <v>8</v>
      </c>
      <c r="KD522" s="27" t="s">
        <v>7</v>
      </c>
      <c r="KG522" s="27" t="s">
        <v>8</v>
      </c>
      <c r="KH522" s="27" t="s">
        <v>7</v>
      </c>
      <c r="KI522" s="27" t="s">
        <v>8</v>
      </c>
      <c r="KJ522" s="27" t="s">
        <v>7</v>
      </c>
      <c r="KK522" s="27" t="s">
        <v>8</v>
      </c>
      <c r="KL522" s="27" t="s">
        <v>7</v>
      </c>
      <c r="KM522" s="27" t="s">
        <v>8</v>
      </c>
      <c r="KN522" s="27" t="s">
        <v>7</v>
      </c>
      <c r="KO522" s="27" t="s">
        <v>8</v>
      </c>
      <c r="NX522" s="27" t="s">
        <v>7</v>
      </c>
      <c r="NY522" s="27" t="s">
        <v>8</v>
      </c>
      <c r="NZ522" s="27" t="s">
        <v>7</v>
      </c>
      <c r="OA522" s="27" t="s">
        <v>8</v>
      </c>
      <c r="QP522" s="27" t="s">
        <v>7</v>
      </c>
      <c r="QQ522" s="27" t="s">
        <v>8</v>
      </c>
      <c r="QR522" s="27" t="s">
        <v>7</v>
      </c>
      <c r="QT522" s="27" t="s">
        <v>7</v>
      </c>
      <c r="QU522" s="27" t="s">
        <v>8</v>
      </c>
      <c r="QY522" s="27" t="s">
        <v>8</v>
      </c>
      <c r="QZ522" s="27" t="s">
        <v>7</v>
      </c>
      <c r="RA522" s="27" t="s">
        <v>8</v>
      </c>
      <c r="RC522" s="27" t="s">
        <v>8</v>
      </c>
      <c r="RD522" s="27" t="s">
        <v>7</v>
      </c>
    </row>
    <row r="523" spans="1:476" x14ac:dyDescent="0.25">
      <c r="A523" s="7">
        <v>3.5514932432768775</v>
      </c>
      <c r="B523"/>
      <c r="C523"/>
      <c r="D523"/>
      <c r="E523"/>
      <c r="JS523" s="27" t="s">
        <v>8</v>
      </c>
      <c r="JT523" s="27" t="s">
        <v>7</v>
      </c>
      <c r="JU523" s="27" t="s">
        <v>8</v>
      </c>
      <c r="JV523" s="27" t="s">
        <v>7</v>
      </c>
      <c r="JW523" s="27" t="s">
        <v>8</v>
      </c>
      <c r="JX523" s="27" t="s">
        <v>7</v>
      </c>
      <c r="JY523" s="27" t="s">
        <v>8</v>
      </c>
      <c r="KA523" s="27" t="s">
        <v>8</v>
      </c>
      <c r="KB523" s="27" t="s">
        <v>7</v>
      </c>
      <c r="KC523" s="27" t="s">
        <v>8</v>
      </c>
      <c r="KD523" s="27" t="s">
        <v>7</v>
      </c>
      <c r="KG523" s="27" t="s">
        <v>8</v>
      </c>
      <c r="KH523" s="27" t="s">
        <v>7</v>
      </c>
      <c r="KI523" s="27" t="s">
        <v>8</v>
      </c>
      <c r="KJ523" s="27" t="s">
        <v>7</v>
      </c>
      <c r="KK523" s="27" t="s">
        <v>8</v>
      </c>
      <c r="KL523" s="27" t="s">
        <v>7</v>
      </c>
      <c r="KM523" s="27" t="s">
        <v>8</v>
      </c>
      <c r="KN523" s="27" t="s">
        <v>7</v>
      </c>
      <c r="KO523" s="27" t="s">
        <v>8</v>
      </c>
      <c r="NX523" s="18" t="s">
        <v>7</v>
      </c>
      <c r="NY523" s="27" t="s">
        <v>8</v>
      </c>
      <c r="NZ523" s="27" t="s">
        <v>7</v>
      </c>
      <c r="OA523" s="27" t="s">
        <v>8</v>
      </c>
      <c r="QP523" s="27" t="s">
        <v>7</v>
      </c>
      <c r="QT523" s="27" t="s">
        <v>7</v>
      </c>
      <c r="QU523" s="27" t="s">
        <v>8</v>
      </c>
      <c r="QV523" s="27" t="s">
        <v>7</v>
      </c>
      <c r="QY523" s="27" t="s">
        <v>8</v>
      </c>
      <c r="QZ523" s="27" t="s">
        <v>7</v>
      </c>
      <c r="RA523" s="27" t="s">
        <v>8</v>
      </c>
      <c r="RB523" s="27" t="s">
        <v>7</v>
      </c>
      <c r="RC523" s="27" t="s">
        <v>8</v>
      </c>
      <c r="RD523" s="27" t="s">
        <v>7</v>
      </c>
    </row>
    <row r="524" spans="1:476" x14ac:dyDescent="0.25">
      <c r="A524" s="7">
        <v>3.4818561208596837</v>
      </c>
      <c r="B524"/>
      <c r="C524"/>
      <c r="D524"/>
      <c r="E524"/>
      <c r="JS524" s="27" t="s">
        <v>8</v>
      </c>
      <c r="JT524" s="27" t="s">
        <v>7</v>
      </c>
      <c r="JU524" s="27" t="s">
        <v>8</v>
      </c>
      <c r="JV524" s="27" t="s">
        <v>7</v>
      </c>
      <c r="JW524" s="27" t="s">
        <v>8</v>
      </c>
      <c r="JX524" s="27" t="s">
        <v>7</v>
      </c>
      <c r="JY524" s="27" t="s">
        <v>8</v>
      </c>
      <c r="JZ524" s="27" t="s">
        <v>7</v>
      </c>
      <c r="KA524" s="27" t="s">
        <v>8</v>
      </c>
      <c r="KB524" s="27" t="s">
        <v>7</v>
      </c>
      <c r="KC524" s="27" t="s">
        <v>8</v>
      </c>
      <c r="KD524" s="27" t="s">
        <v>7</v>
      </c>
      <c r="KE524" s="27" t="s">
        <v>8</v>
      </c>
      <c r="KG524" s="27" t="s">
        <v>8</v>
      </c>
      <c r="KH524" s="27" t="s">
        <v>7</v>
      </c>
      <c r="KI524" s="27" t="s">
        <v>8</v>
      </c>
      <c r="KJ524" s="27" t="s">
        <v>7</v>
      </c>
      <c r="KL524" s="27" t="s">
        <v>7</v>
      </c>
      <c r="KM524" s="27" t="s">
        <v>8</v>
      </c>
      <c r="KN524" s="27" t="s">
        <v>7</v>
      </c>
      <c r="KO524" s="27" t="s">
        <v>8</v>
      </c>
      <c r="NX524" s="27" t="s">
        <v>7</v>
      </c>
      <c r="NY524" s="27" t="s">
        <v>8</v>
      </c>
      <c r="NZ524" s="27" t="s">
        <v>7</v>
      </c>
      <c r="QT524" s="27" t="s">
        <v>7</v>
      </c>
      <c r="QU524" s="27" t="s">
        <v>8</v>
      </c>
      <c r="QV524" s="27" t="s">
        <v>7</v>
      </c>
      <c r="QW524" s="27" t="s">
        <v>8</v>
      </c>
      <c r="QY524" s="27" t="s">
        <v>8</v>
      </c>
      <c r="QZ524" s="27" t="s">
        <v>7</v>
      </c>
      <c r="RA524" s="27" t="s">
        <v>8</v>
      </c>
      <c r="RB524" s="27" t="s">
        <v>7</v>
      </c>
      <c r="RC524" s="27" t="s">
        <v>8</v>
      </c>
      <c r="RD524" s="27" t="s">
        <v>7</v>
      </c>
    </row>
    <row r="525" spans="1:476" x14ac:dyDescent="0.25">
      <c r="A525" s="7">
        <v>3.4135844322153761</v>
      </c>
      <c r="B525"/>
      <c r="C525"/>
      <c r="D525"/>
      <c r="E525"/>
      <c r="JS525" s="27" t="s">
        <v>8</v>
      </c>
      <c r="JT525" s="27" t="s">
        <v>7</v>
      </c>
      <c r="JU525" s="27" t="s">
        <v>8</v>
      </c>
      <c r="JV525" s="27" t="s">
        <v>7</v>
      </c>
      <c r="JW525" s="27" t="s">
        <v>8</v>
      </c>
      <c r="JX525" s="27" t="s">
        <v>7</v>
      </c>
      <c r="JY525" s="27" t="s">
        <v>8</v>
      </c>
      <c r="JZ525" s="27" t="s">
        <v>7</v>
      </c>
      <c r="KA525" s="27" t="s">
        <v>8</v>
      </c>
      <c r="KB525" s="27" t="s">
        <v>7</v>
      </c>
      <c r="KC525" s="27" t="s">
        <v>8</v>
      </c>
      <c r="KD525" s="27" t="s">
        <v>7</v>
      </c>
      <c r="KE525" s="27" t="s">
        <v>8</v>
      </c>
      <c r="KF525" s="27" t="s">
        <v>7</v>
      </c>
      <c r="KG525" s="27" t="s">
        <v>8</v>
      </c>
      <c r="KH525" s="27" t="s">
        <v>7</v>
      </c>
      <c r="KI525" s="27" t="s">
        <v>8</v>
      </c>
      <c r="KL525" s="27" t="s">
        <v>7</v>
      </c>
      <c r="KN525" s="27" t="s">
        <v>7</v>
      </c>
      <c r="NX525" s="27" t="s">
        <v>7</v>
      </c>
      <c r="NY525" s="27" t="s">
        <v>8</v>
      </c>
      <c r="QT525" s="27" t="s">
        <v>7</v>
      </c>
      <c r="QU525" s="27" t="s">
        <v>8</v>
      </c>
      <c r="QV525" s="27" t="s">
        <v>7</v>
      </c>
      <c r="QW525" s="27" t="s">
        <v>8</v>
      </c>
      <c r="QX525" s="27" t="s">
        <v>7</v>
      </c>
      <c r="QY525" s="27" t="s">
        <v>8</v>
      </c>
      <c r="QZ525" s="27" t="s">
        <v>7</v>
      </c>
      <c r="RB525" s="27" t="s">
        <v>7</v>
      </c>
      <c r="RD525" s="27" t="s">
        <v>7</v>
      </c>
    </row>
    <row r="526" spans="1:476" x14ac:dyDescent="0.25">
      <c r="A526" s="7">
        <v>3.3466514041327216</v>
      </c>
      <c r="B526"/>
      <c r="C526"/>
      <c r="D526"/>
      <c r="E526"/>
      <c r="JS526" s="27" t="s">
        <v>8</v>
      </c>
      <c r="JT526" s="27" t="s">
        <v>7</v>
      </c>
      <c r="JU526" s="27" t="s">
        <v>8</v>
      </c>
      <c r="JV526" s="27" t="s">
        <v>7</v>
      </c>
      <c r="JW526" s="27" t="s">
        <v>8</v>
      </c>
      <c r="JX526" s="27" t="s">
        <v>7</v>
      </c>
      <c r="JY526" s="27" t="s">
        <v>8</v>
      </c>
      <c r="JZ526" s="27" t="s">
        <v>7</v>
      </c>
      <c r="KA526" s="27" t="s">
        <v>8</v>
      </c>
      <c r="KB526" s="27" t="s">
        <v>7</v>
      </c>
      <c r="KC526" s="27" t="s">
        <v>8</v>
      </c>
      <c r="KD526" s="27" t="s">
        <v>7</v>
      </c>
      <c r="KE526" s="27" t="s">
        <v>8</v>
      </c>
      <c r="KF526" s="27" t="s">
        <v>7</v>
      </c>
      <c r="KG526" s="27" t="s">
        <v>8</v>
      </c>
      <c r="KH526" s="27" t="s">
        <v>7</v>
      </c>
      <c r="KI526" s="27" t="s">
        <v>8</v>
      </c>
      <c r="NX526" s="27" t="s">
        <v>7</v>
      </c>
      <c r="NY526" s="27" t="s">
        <v>8</v>
      </c>
      <c r="QT526" s="27" t="s">
        <v>7</v>
      </c>
      <c r="QV526" s="27" t="s">
        <v>7</v>
      </c>
      <c r="QW526" s="27" t="s">
        <v>8</v>
      </c>
      <c r="QX526" s="27" t="s">
        <v>7</v>
      </c>
      <c r="QY526" s="27" t="s">
        <v>8</v>
      </c>
      <c r="RD526" s="27" t="s">
        <v>7</v>
      </c>
    </row>
    <row r="527" spans="1:476" x14ac:dyDescent="0.25">
      <c r="A527" s="7">
        <v>3.2810307883654133</v>
      </c>
      <c r="B527"/>
      <c r="C527"/>
      <c r="D527"/>
      <c r="E527"/>
      <c r="JS527" s="27" t="s">
        <v>8</v>
      </c>
      <c r="JT527" s="27" t="s">
        <v>7</v>
      </c>
      <c r="JU527" s="27" t="s">
        <v>8</v>
      </c>
      <c r="JV527" s="27" t="s">
        <v>7</v>
      </c>
      <c r="JW527" s="27" t="s">
        <v>8</v>
      </c>
      <c r="JX527" s="27" t="s">
        <v>7</v>
      </c>
      <c r="JY527" s="27" t="s">
        <v>8</v>
      </c>
      <c r="JZ527" s="27" t="s">
        <v>7</v>
      </c>
      <c r="KA527" s="27" t="s">
        <v>8</v>
      </c>
      <c r="KB527" s="27" t="s">
        <v>7</v>
      </c>
      <c r="KD527" s="27" t="s">
        <v>7</v>
      </c>
      <c r="KE527" s="27" t="s">
        <v>8</v>
      </c>
      <c r="KF527" s="27" t="s">
        <v>7</v>
      </c>
      <c r="KG527" s="27" t="s">
        <v>8</v>
      </c>
      <c r="KH527" s="27" t="s">
        <v>7</v>
      </c>
      <c r="NX527" s="27" t="s">
        <v>7</v>
      </c>
      <c r="NY527" s="27" t="s">
        <v>8</v>
      </c>
      <c r="QV527" s="27" t="s">
        <v>7</v>
      </c>
      <c r="QW527" s="27" t="s">
        <v>8</v>
      </c>
      <c r="QX527" s="27" t="s">
        <v>7</v>
      </c>
      <c r="QY527" s="27" t="s">
        <v>8</v>
      </c>
      <c r="RD527" s="27" t="s">
        <v>7</v>
      </c>
      <c r="RG527" s="27" t="s">
        <v>8</v>
      </c>
    </row>
    <row r="528" spans="1:476" x14ac:dyDescent="0.25">
      <c r="A528" s="7">
        <v>3.2166968513386403</v>
      </c>
      <c r="B528"/>
      <c r="C528"/>
      <c r="D528"/>
      <c r="E528"/>
      <c r="JS528" s="27" t="s">
        <v>8</v>
      </c>
      <c r="JT528" s="27" t="s">
        <v>7</v>
      </c>
      <c r="JU528" s="27" t="s">
        <v>8</v>
      </c>
      <c r="JV528" s="27" t="s">
        <v>7</v>
      </c>
      <c r="JW528" s="27" t="s">
        <v>8</v>
      </c>
      <c r="JX528" s="27" t="s">
        <v>7</v>
      </c>
      <c r="JY528" s="27" t="s">
        <v>8</v>
      </c>
      <c r="JZ528" s="27" t="s">
        <v>7</v>
      </c>
      <c r="KA528" s="27" t="s">
        <v>8</v>
      </c>
      <c r="KD528" s="27" t="s">
        <v>7</v>
      </c>
      <c r="KE528" s="27" t="s">
        <v>8</v>
      </c>
      <c r="KF528" s="27" t="s">
        <v>7</v>
      </c>
      <c r="KG528" s="27" t="s">
        <v>8</v>
      </c>
      <c r="NX528" s="27" t="s">
        <v>7</v>
      </c>
      <c r="NY528" s="27" t="s">
        <v>8</v>
      </c>
      <c r="QV528" s="27" t="s">
        <v>7</v>
      </c>
      <c r="QW528" s="27" t="s">
        <v>8</v>
      </c>
      <c r="QX528" s="27" t="s">
        <v>7</v>
      </c>
      <c r="QY528" s="27" t="s">
        <v>8</v>
      </c>
      <c r="RD528" s="27" t="s">
        <v>7</v>
      </c>
      <c r="RG528" s="27" t="s">
        <v>8</v>
      </c>
      <c r="RH528" s="27" t="s">
        <v>7</v>
      </c>
    </row>
    <row r="529" spans="1:482" x14ac:dyDescent="0.25">
      <c r="A529" s="7">
        <v>3.1536243640574906</v>
      </c>
      <c r="B529"/>
      <c r="C529"/>
      <c r="D529"/>
      <c r="E529"/>
      <c r="JS529" s="27" t="s">
        <v>8</v>
      </c>
      <c r="JT529" s="27" t="s">
        <v>7</v>
      </c>
      <c r="JU529" s="27" t="s">
        <v>8</v>
      </c>
      <c r="JV529" s="27" t="s">
        <v>7</v>
      </c>
      <c r="JW529" s="27" t="s">
        <v>8</v>
      </c>
      <c r="JX529" s="27" t="s">
        <v>7</v>
      </c>
      <c r="JZ529" s="27" t="s">
        <v>7</v>
      </c>
      <c r="KA529" s="27" t="s">
        <v>8</v>
      </c>
      <c r="KD529" s="27" t="s">
        <v>7</v>
      </c>
      <c r="KE529" s="27" t="s">
        <v>8</v>
      </c>
      <c r="KF529" s="27" t="s">
        <v>7</v>
      </c>
      <c r="KG529" s="27" t="s">
        <v>8</v>
      </c>
      <c r="NX529" s="27" t="s">
        <v>7</v>
      </c>
      <c r="QV529" s="27" t="s">
        <v>7</v>
      </c>
      <c r="QX529" s="27" t="s">
        <v>7</v>
      </c>
      <c r="RD529" s="27" t="s">
        <v>7</v>
      </c>
      <c r="RE529" s="27" t="s">
        <v>8</v>
      </c>
      <c r="RG529" s="27" t="s">
        <v>8</v>
      </c>
      <c r="RH529" s="27" t="s">
        <v>7</v>
      </c>
      <c r="RI529" s="27" t="s">
        <v>8</v>
      </c>
    </row>
    <row r="530" spans="1:482" x14ac:dyDescent="0.25">
      <c r="A530" s="7">
        <v>3.0917885922132262</v>
      </c>
      <c r="B530"/>
      <c r="C530"/>
      <c r="D530"/>
      <c r="E530"/>
      <c r="JS530" s="27" t="s">
        <v>8</v>
      </c>
      <c r="JT530" s="27" t="s">
        <v>7</v>
      </c>
      <c r="JV530" s="27" t="s">
        <v>7</v>
      </c>
      <c r="JW530" s="27" t="s">
        <v>8</v>
      </c>
      <c r="JZ530" s="27" t="s">
        <v>7</v>
      </c>
      <c r="KA530" s="27" t="s">
        <v>8</v>
      </c>
      <c r="KD530" s="27" t="s">
        <v>7</v>
      </c>
      <c r="KE530" s="27" t="s">
        <v>8</v>
      </c>
      <c r="KF530" s="27" t="s">
        <v>7</v>
      </c>
      <c r="KG530" s="27" t="s">
        <v>8</v>
      </c>
      <c r="RD530" s="27" t="s">
        <v>7</v>
      </c>
      <c r="RE530" s="27" t="s">
        <v>8</v>
      </c>
      <c r="RF530" s="27" t="s">
        <v>7</v>
      </c>
      <c r="RG530" s="27" t="s">
        <v>8</v>
      </c>
      <c r="RH530" s="27" t="s">
        <v>7</v>
      </c>
      <c r="RI530" s="27" t="s">
        <v>8</v>
      </c>
      <c r="RJ530" s="27" t="s">
        <v>7</v>
      </c>
      <c r="RK530" s="27" t="s">
        <v>8</v>
      </c>
    </row>
    <row r="531" spans="1:482" x14ac:dyDescent="0.25">
      <c r="A531" s="7">
        <v>3.0311652864835552</v>
      </c>
      <c r="B531"/>
      <c r="C531"/>
      <c r="D531"/>
      <c r="E531"/>
      <c r="JS531" s="27" t="s">
        <v>8</v>
      </c>
      <c r="JV531" s="27" t="s">
        <v>7</v>
      </c>
      <c r="JW531" s="27" t="s">
        <v>8</v>
      </c>
      <c r="JZ531" s="27" t="s">
        <v>7</v>
      </c>
      <c r="KA531" s="27" t="s">
        <v>8</v>
      </c>
      <c r="KD531" s="27" t="s">
        <v>7</v>
      </c>
      <c r="KE531" s="27" t="s">
        <v>8</v>
      </c>
      <c r="KF531" s="27" t="s">
        <v>7</v>
      </c>
      <c r="KG531" s="27" t="s">
        <v>8</v>
      </c>
      <c r="RD531" s="27" t="s">
        <v>7</v>
      </c>
      <c r="RE531" s="27" t="s">
        <v>8</v>
      </c>
      <c r="RF531" s="27" t="s">
        <v>7</v>
      </c>
      <c r="RG531" s="27" t="s">
        <v>8</v>
      </c>
      <c r="RH531" s="27" t="s">
        <v>7</v>
      </c>
      <c r="RI531" s="27" t="s">
        <v>8</v>
      </c>
      <c r="RJ531" s="27" t="s">
        <v>7</v>
      </c>
      <c r="RK531" s="27" t="s">
        <v>8</v>
      </c>
      <c r="RL531" s="27" t="s">
        <v>7</v>
      </c>
    </row>
    <row r="532" spans="1:482" x14ac:dyDescent="0.25">
      <c r="A532" s="7">
        <v>2.9717306730230932</v>
      </c>
      <c r="B532"/>
      <c r="C532"/>
      <c r="D532"/>
      <c r="E532"/>
      <c r="JS532" s="27" t="s">
        <v>8</v>
      </c>
      <c r="JV532" s="27" t="s">
        <v>7</v>
      </c>
      <c r="JW532" s="27" t="s">
        <v>8</v>
      </c>
      <c r="JZ532" s="27" t="s">
        <v>7</v>
      </c>
      <c r="KA532" s="27" t="s">
        <v>8</v>
      </c>
      <c r="KD532" s="27" t="s">
        <v>7</v>
      </c>
      <c r="KE532" s="27" t="s">
        <v>8</v>
      </c>
      <c r="KF532" s="27" t="s">
        <v>7</v>
      </c>
      <c r="KG532" s="27" t="s">
        <v>8</v>
      </c>
      <c r="RD532" s="27" t="s">
        <v>7</v>
      </c>
      <c r="RF532" s="27" t="s">
        <v>7</v>
      </c>
      <c r="RG532" s="27" t="s">
        <v>8</v>
      </c>
      <c r="RH532" s="27" t="s">
        <v>7</v>
      </c>
      <c r="RJ532" s="27" t="s">
        <v>7</v>
      </c>
      <c r="RK532" s="27" t="s">
        <v>8</v>
      </c>
      <c r="RL532" s="27" t="s">
        <v>7</v>
      </c>
    </row>
    <row r="533" spans="1:482" x14ac:dyDescent="0.25">
      <c r="A533" s="7">
        <v>2.9134614441402875</v>
      </c>
      <c r="B533"/>
      <c r="C533"/>
      <c r="D533"/>
      <c r="E533"/>
      <c r="JS533" s="27" t="s">
        <v>8</v>
      </c>
      <c r="JV533" s="27" t="s">
        <v>7</v>
      </c>
      <c r="JW533" s="27" t="s">
        <v>8</v>
      </c>
      <c r="JZ533" s="27" t="s">
        <v>7</v>
      </c>
      <c r="KA533" s="27" t="s">
        <v>8</v>
      </c>
      <c r="KD533" s="27" t="s">
        <v>7</v>
      </c>
      <c r="KE533" s="27" t="s">
        <v>8</v>
      </c>
      <c r="KF533" s="27" t="s">
        <v>7</v>
      </c>
      <c r="KG533" s="27" t="s">
        <v>8</v>
      </c>
      <c r="RF533" s="27" t="s">
        <v>7</v>
      </c>
      <c r="RG533" s="27" t="s">
        <v>8</v>
      </c>
      <c r="RJ533" s="27" t="s">
        <v>7</v>
      </c>
      <c r="RK533" s="27" t="s">
        <v>8</v>
      </c>
      <c r="RL533" s="27" t="s">
        <v>7</v>
      </c>
    </row>
    <row r="534" spans="1:482" x14ac:dyDescent="0.25">
      <c r="A534" s="7">
        <v>2.8563347491571447</v>
      </c>
      <c r="B534"/>
      <c r="C534"/>
      <c r="D534"/>
      <c r="E534"/>
      <c r="JS534" s="27" t="s">
        <v>8</v>
      </c>
      <c r="JV534" s="27" t="s">
        <v>7</v>
      </c>
      <c r="JW534" s="27" t="s">
        <v>8</v>
      </c>
      <c r="JZ534" s="27" t="s">
        <v>7</v>
      </c>
      <c r="KA534" s="27" t="s">
        <v>8</v>
      </c>
      <c r="KD534" s="27" t="s">
        <v>7</v>
      </c>
      <c r="KE534" s="27" t="s">
        <v>8</v>
      </c>
      <c r="KF534" s="27" t="s">
        <v>7</v>
      </c>
      <c r="KG534" s="27" t="s">
        <v>8</v>
      </c>
      <c r="RF534" s="27" t="s">
        <v>7</v>
      </c>
      <c r="RG534" s="27" t="s">
        <v>8</v>
      </c>
      <c r="RJ534" s="27" t="s">
        <v>7</v>
      </c>
      <c r="RL534" s="27" t="s">
        <v>7</v>
      </c>
    </row>
    <row r="535" spans="1:482" x14ac:dyDescent="0.25">
      <c r="A535" s="7">
        <v>2.8003281854481812</v>
      </c>
      <c r="B535"/>
      <c r="C535"/>
      <c r="D535"/>
      <c r="E535"/>
      <c r="JS535" s="27" t="s">
        <v>8</v>
      </c>
      <c r="JV535" s="27" t="s">
        <v>7</v>
      </c>
      <c r="JW535" s="27" t="s">
        <v>8</v>
      </c>
      <c r="JZ535" s="27" t="s">
        <v>7</v>
      </c>
      <c r="KD535" s="27" t="s">
        <v>7</v>
      </c>
      <c r="KE535" s="27" t="s">
        <v>8</v>
      </c>
      <c r="KF535" s="27" t="s">
        <v>7</v>
      </c>
      <c r="RF535" s="27" t="s">
        <v>7</v>
      </c>
      <c r="RL535" s="27" t="s">
        <v>7</v>
      </c>
    </row>
    <row r="536" spans="1:482" x14ac:dyDescent="0.25">
      <c r="A536" s="7">
        <v>2.7454197896550796</v>
      </c>
      <c r="B536"/>
      <c r="C536"/>
      <c r="D536"/>
      <c r="E536"/>
      <c r="JS536" s="27" t="s">
        <v>8</v>
      </c>
      <c r="JV536" s="27" t="s">
        <v>7</v>
      </c>
      <c r="JW536" s="27" t="s">
        <v>8</v>
      </c>
      <c r="KD536" s="27" t="s">
        <v>7</v>
      </c>
      <c r="KE536" s="27" t="s">
        <v>8</v>
      </c>
      <c r="RL536" s="27" t="s">
        <v>7</v>
      </c>
    </row>
    <row r="537" spans="1:482" x14ac:dyDescent="0.25">
      <c r="A537" s="7">
        <v>2.6915880290736074</v>
      </c>
      <c r="B537"/>
      <c r="C537"/>
      <c r="D537"/>
      <c r="E537"/>
      <c r="JS537" s="27" t="s">
        <v>8</v>
      </c>
      <c r="JV537" s="27" t="s">
        <v>7</v>
      </c>
      <c r="JW537" s="27" t="s">
        <v>8</v>
      </c>
      <c r="KD537" s="27" t="s">
        <v>7</v>
      </c>
      <c r="KE537" s="27" t="s">
        <v>8</v>
      </c>
      <c r="RL537" s="27" t="s">
        <v>7</v>
      </c>
    </row>
    <row r="538" spans="1:482" x14ac:dyDescent="0.25">
      <c r="A538" s="7">
        <v>2.6388117932094191</v>
      </c>
      <c r="B538"/>
      <c r="C538"/>
      <c r="D538"/>
      <c r="E538"/>
      <c r="JS538" s="27" t="s">
        <v>8</v>
      </c>
      <c r="JV538" s="27" t="s">
        <v>7</v>
      </c>
      <c r="JW538" s="27" t="s">
        <v>8</v>
      </c>
      <c r="KD538" s="27" t="s">
        <v>7</v>
      </c>
      <c r="RL538" s="27" t="s">
        <v>7</v>
      </c>
    </row>
    <row r="539" spans="1:482" x14ac:dyDescent="0.25">
      <c r="A539" s="7">
        <v>2.5870703854994304</v>
      </c>
      <c r="B539"/>
      <c r="C539"/>
      <c r="D539"/>
      <c r="E539"/>
      <c r="JS539" s="27" t="s">
        <v>8</v>
      </c>
      <c r="JV539" s="27" t="s">
        <v>7</v>
      </c>
      <c r="JW539" s="27" t="s">
        <v>8</v>
      </c>
      <c r="RL539" s="27" t="s">
        <v>7</v>
      </c>
    </row>
    <row r="540" spans="1:482" x14ac:dyDescent="0.25">
      <c r="A540" s="7">
        <v>2.53634351519552</v>
      </c>
      <c r="B540"/>
      <c r="C540"/>
      <c r="D540"/>
      <c r="E540"/>
      <c r="JS540" s="27" t="s">
        <v>8</v>
      </c>
      <c r="JV540" s="27" t="s">
        <v>7</v>
      </c>
      <c r="JW540" s="27" t="s">
        <v>8</v>
      </c>
      <c r="RL540" s="27" t="s">
        <v>7</v>
      </c>
    </row>
    <row r="541" spans="1:482" x14ac:dyDescent="0.25">
      <c r="A541" s="7">
        <v>2.4866112894073726</v>
      </c>
      <c r="B541"/>
      <c r="C541"/>
      <c r="D541"/>
      <c r="E541"/>
      <c r="JS541" s="27" t="s">
        <v>8</v>
      </c>
      <c r="JV541" s="27" t="s">
        <v>7</v>
      </c>
      <c r="JW541" s="27" t="s">
        <v>8</v>
      </c>
      <c r="RL541" s="27" t="s">
        <v>7</v>
      </c>
    </row>
    <row r="542" spans="1:482" x14ac:dyDescent="0.25">
      <c r="A542" s="7">
        <v>2.4378542053013459</v>
      </c>
      <c r="B542"/>
      <c r="C542"/>
      <c r="D542"/>
      <c r="E542"/>
      <c r="JS542" s="27" t="s">
        <v>8</v>
      </c>
      <c r="JV542" s="27" t="s">
        <v>7</v>
      </c>
      <c r="JW542" s="27" t="s">
        <v>8</v>
      </c>
      <c r="RL542" s="27" t="s">
        <v>7</v>
      </c>
    </row>
    <row r="543" spans="1:482" x14ac:dyDescent="0.25">
      <c r="A543" s="7">
        <v>2.3900531424522997</v>
      </c>
      <c r="B543"/>
      <c r="C543"/>
      <c r="D543"/>
      <c r="E543"/>
      <c r="JS543" s="27" t="s">
        <v>8</v>
      </c>
      <c r="JV543" s="27" t="s">
        <v>7</v>
      </c>
      <c r="JW543" s="27" t="s">
        <v>8</v>
      </c>
      <c r="RL543" s="27" t="s">
        <v>7</v>
      </c>
      <c r="RM543" s="27" t="s">
        <v>8</v>
      </c>
    </row>
    <row r="544" spans="1:482" x14ac:dyDescent="0.25">
      <c r="A544" s="7">
        <v>2.343189355345392</v>
      </c>
      <c r="B544"/>
      <c r="C544"/>
      <c r="D544"/>
      <c r="E544"/>
      <c r="JS544" s="27" t="s">
        <v>8</v>
      </c>
      <c r="JV544" s="27" t="s">
        <v>7</v>
      </c>
      <c r="JW544" s="27" t="s">
        <v>8</v>
      </c>
      <c r="RL544" s="27" t="s">
        <v>7</v>
      </c>
      <c r="RM544" s="27" t="s">
        <v>8</v>
      </c>
      <c r="RN544" s="27" t="s">
        <v>7</v>
      </c>
    </row>
    <row r="545" spans="1:482" x14ac:dyDescent="0.25">
      <c r="A545" s="7">
        <v>2.2972444660248938</v>
      </c>
      <c r="B545"/>
      <c r="C545"/>
      <c r="D545"/>
      <c r="E545"/>
      <c r="JS545" s="27" t="s">
        <v>8</v>
      </c>
      <c r="JV545" s="27" t="s">
        <v>7</v>
      </c>
      <c r="JW545" s="27" t="s">
        <v>8</v>
      </c>
      <c r="RL545" s="27" t="s">
        <v>7</v>
      </c>
      <c r="RM545" s="27" t="s">
        <v>8</v>
      </c>
      <c r="RN545" s="27" t="s">
        <v>7</v>
      </c>
    </row>
    <row r="546" spans="1:482" x14ac:dyDescent="0.25">
      <c r="A546" s="7">
        <v>2.252200456887151</v>
      </c>
      <c r="B546"/>
      <c r="C546"/>
      <c r="D546"/>
      <c r="E546"/>
      <c r="JS546" s="27" t="s">
        <v>8</v>
      </c>
      <c r="JV546" s="27" t="s">
        <v>7</v>
      </c>
      <c r="RL546" s="27" t="s">
        <v>7</v>
      </c>
      <c r="RM546" s="27" t="s">
        <v>8</v>
      </c>
      <c r="RN546" s="27" t="s">
        <v>7</v>
      </c>
    </row>
    <row r="547" spans="1:482" x14ac:dyDescent="0.25">
      <c r="A547" s="7">
        <v>2.208039663614854</v>
      </c>
      <c r="B547"/>
      <c r="C547"/>
      <c r="D547"/>
      <c r="E547"/>
      <c r="JS547" s="27" t="s">
        <v>8</v>
      </c>
      <c r="RL547" s="27" t="s">
        <v>7</v>
      </c>
      <c r="RM547" s="27" t="s">
        <v>8</v>
      </c>
      <c r="RN547" s="27" t="s">
        <v>7</v>
      </c>
    </row>
    <row r="548" spans="1:482" x14ac:dyDescent="0.25">
      <c r="A548" s="7">
        <v>2.1647447682498568</v>
      </c>
      <c r="B548"/>
      <c r="C548"/>
      <c r="D548"/>
      <c r="E548"/>
      <c r="JS548" s="27" t="s">
        <v>8</v>
      </c>
      <c r="RL548" s="27" t="s">
        <v>7</v>
      </c>
      <c r="RM548" s="27" t="s">
        <v>8</v>
      </c>
      <c r="RN548" s="27" t="s">
        <v>7</v>
      </c>
    </row>
    <row r="549" spans="1:482" x14ac:dyDescent="0.25">
      <c r="A549" s="7">
        <v>2.1222987924018204</v>
      </c>
      <c r="B549"/>
      <c r="C549"/>
      <c r="D549"/>
      <c r="E549"/>
      <c r="JS549" s="27" t="s">
        <v>8</v>
      </c>
      <c r="RL549" s="27" t="s">
        <v>7</v>
      </c>
      <c r="RM549" s="27" t="s">
        <v>8</v>
      </c>
    </row>
    <row r="550" spans="1:482" x14ac:dyDescent="0.25">
      <c r="A550" s="7">
        <v>2.0806850905900198</v>
      </c>
      <c r="B550"/>
      <c r="C550"/>
      <c r="D550"/>
      <c r="E550"/>
      <c r="JS550" s="27" t="s">
        <v>8</v>
      </c>
      <c r="RL550" s="27" t="s">
        <v>7</v>
      </c>
      <c r="RM550" s="27" t="s">
        <v>8</v>
      </c>
    </row>
    <row r="551" spans="1:482" x14ac:dyDescent="0.25">
      <c r="A551" s="7">
        <v>2.0398873437157055</v>
      </c>
      <c r="B551"/>
      <c r="C551"/>
      <c r="D551"/>
      <c r="E551"/>
      <c r="Y551" s="27" t="s">
        <v>8</v>
      </c>
      <c r="JS551" s="27" t="s">
        <v>8</v>
      </c>
      <c r="RL551" s="27" t="s">
        <v>7</v>
      </c>
      <c r="RM551" s="27" t="s">
        <v>8</v>
      </c>
    </row>
    <row r="552" spans="1:482" x14ac:dyDescent="0.25">
      <c r="A552" s="7">
        <v>1.9998895526624565</v>
      </c>
      <c r="B552"/>
      <c r="C552"/>
      <c r="D552"/>
      <c r="E552"/>
      <c r="Y552" s="27" t="s">
        <v>8</v>
      </c>
      <c r="Z552" s="27" t="s">
        <v>7</v>
      </c>
      <c r="JS552" s="27" t="s">
        <v>8</v>
      </c>
      <c r="RL552" s="27" t="s">
        <v>7</v>
      </c>
      <c r="RM552" s="27" t="s">
        <v>8</v>
      </c>
    </row>
    <row r="553" spans="1:482" x14ac:dyDescent="0.25">
      <c r="A553" s="7">
        <v>1.9606760320220162</v>
      </c>
      <c r="B553"/>
      <c r="C553"/>
      <c r="D553"/>
      <c r="E553"/>
      <c r="O553" s="27" t="s">
        <v>8</v>
      </c>
      <c r="Y553" s="27" t="s">
        <v>8</v>
      </c>
      <c r="Z553" s="27" t="s">
        <v>7</v>
      </c>
      <c r="JS553" s="27" t="s">
        <v>8</v>
      </c>
      <c r="RL553" s="27" t="s">
        <v>7</v>
      </c>
      <c r="RM553" s="27" t="s">
        <v>8</v>
      </c>
    </row>
    <row r="554" spans="1:482" x14ac:dyDescent="0.25">
      <c r="A554" s="7">
        <v>1.9222314039431532</v>
      </c>
      <c r="B554"/>
      <c r="C554"/>
      <c r="D554"/>
      <c r="E554"/>
      <c r="O554" s="27" t="s">
        <v>8</v>
      </c>
      <c r="P554" s="27" t="s">
        <v>7</v>
      </c>
      <c r="Y554" s="27" t="s">
        <v>8</v>
      </c>
      <c r="Z554" s="27" t="s">
        <v>7</v>
      </c>
      <c r="JS554" s="27" t="s">
        <v>8</v>
      </c>
      <c r="RL554" s="27" t="s">
        <v>7</v>
      </c>
      <c r="RM554" s="27" t="s">
        <v>8</v>
      </c>
    </row>
    <row r="555" spans="1:482" x14ac:dyDescent="0.25">
      <c r="A555" s="7">
        <v>1.8845405921011305</v>
      </c>
      <c r="B555"/>
      <c r="C555"/>
      <c r="D555"/>
      <c r="E555"/>
      <c r="O555" s="27" t="s">
        <v>8</v>
      </c>
      <c r="P555" s="27" t="s">
        <v>7</v>
      </c>
      <c r="Y555" s="27" t="s">
        <v>8</v>
      </c>
      <c r="Z555" s="27" t="s">
        <v>7</v>
      </c>
      <c r="JS555" s="27" t="s">
        <v>8</v>
      </c>
      <c r="RL555" s="27" t="s">
        <v>7</v>
      </c>
    </row>
    <row r="556" spans="1:482" x14ac:dyDescent="0.25">
      <c r="A556" s="7">
        <v>1.8475888157854219</v>
      </c>
      <c r="B556"/>
      <c r="C556"/>
      <c r="D556"/>
      <c r="E556"/>
      <c r="I556" s="27" t="s">
        <v>8</v>
      </c>
      <c r="O556" s="27" t="s">
        <v>8</v>
      </c>
      <c r="P556" s="27" t="s">
        <v>7</v>
      </c>
      <c r="Y556" s="27" t="s">
        <v>8</v>
      </c>
      <c r="Z556" s="27" t="s">
        <v>7</v>
      </c>
      <c r="AA556" s="27" t="s">
        <v>8</v>
      </c>
      <c r="JQ556" s="27" t="s">
        <v>8</v>
      </c>
      <c r="JS556" s="27" t="s">
        <v>8</v>
      </c>
    </row>
    <row r="557" spans="1:482" x14ac:dyDescent="0.25">
      <c r="A557" s="7">
        <v>1.8113615841033548</v>
      </c>
      <c r="B557"/>
      <c r="C557"/>
      <c r="D557"/>
      <c r="E557"/>
      <c r="I557" s="27" t="s">
        <v>8</v>
      </c>
      <c r="J557" s="27" t="s">
        <v>7</v>
      </c>
      <c r="O557" s="27" t="s">
        <v>8</v>
      </c>
      <c r="P557" s="27" t="s">
        <v>7</v>
      </c>
      <c r="Y557" s="27" t="s">
        <v>8</v>
      </c>
      <c r="Z557" s="27" t="s">
        <v>7</v>
      </c>
      <c r="AA557" s="27" t="s">
        <v>8</v>
      </c>
      <c r="AB557" s="27" t="s">
        <v>7</v>
      </c>
      <c r="AG557" s="27" t="s">
        <v>8</v>
      </c>
      <c r="AI557" s="27" t="s">
        <v>8</v>
      </c>
      <c r="JQ557" s="27" t="s">
        <v>8</v>
      </c>
      <c r="JR557" s="27" t="s">
        <v>7</v>
      </c>
      <c r="JS557" s="27" t="s">
        <v>8</v>
      </c>
    </row>
    <row r="558" spans="1:482" x14ac:dyDescent="0.25">
      <c r="A558" s="7">
        <v>1.7758446902974065</v>
      </c>
      <c r="B558"/>
      <c r="C558"/>
      <c r="D558"/>
      <c r="E558"/>
      <c r="I558" s="27" t="s">
        <v>8</v>
      </c>
      <c r="J558" s="27" t="s">
        <v>7</v>
      </c>
      <c r="O558" s="27" t="s">
        <v>8</v>
      </c>
      <c r="P558" s="27" t="s">
        <v>7</v>
      </c>
      <c r="Y558" s="27" t="s">
        <v>8</v>
      </c>
      <c r="Z558" s="27" t="s">
        <v>7</v>
      </c>
      <c r="AA558" s="27" t="s">
        <v>8</v>
      </c>
      <c r="AB558" s="27" t="s">
        <v>7</v>
      </c>
      <c r="AC558" s="27" t="s">
        <v>8</v>
      </c>
      <c r="AG558" s="27" t="s">
        <v>8</v>
      </c>
      <c r="AH558" s="27" t="s">
        <v>7</v>
      </c>
      <c r="AI558" s="27" t="s">
        <v>8</v>
      </c>
      <c r="AJ558" s="27" t="s">
        <v>7</v>
      </c>
      <c r="AQ558" s="27" t="s">
        <v>8</v>
      </c>
      <c r="JQ558" s="27" t="s">
        <v>8</v>
      </c>
      <c r="JR558" s="27" t="s">
        <v>7</v>
      </c>
      <c r="JS558" s="27" t="s">
        <v>8</v>
      </c>
    </row>
    <row r="559" spans="1:482" x14ac:dyDescent="0.25">
      <c r="A559" s="7">
        <v>1.7410242061739281</v>
      </c>
      <c r="B559"/>
      <c r="C559"/>
      <c r="D559"/>
      <c r="E559"/>
      <c r="I559" s="27" t="s">
        <v>8</v>
      </c>
      <c r="J559" s="27" t="s">
        <v>7</v>
      </c>
      <c r="M559" s="27" t="s">
        <v>8</v>
      </c>
      <c r="O559" s="27" t="s">
        <v>8</v>
      </c>
      <c r="P559" s="27" t="s">
        <v>7</v>
      </c>
      <c r="W559" s="27" t="s">
        <v>8</v>
      </c>
      <c r="Y559" s="27" t="s">
        <v>8</v>
      </c>
      <c r="Z559" s="27" t="s">
        <v>7</v>
      </c>
      <c r="AA559" s="27" t="s">
        <v>8</v>
      </c>
      <c r="AB559" s="27" t="s">
        <v>7</v>
      </c>
      <c r="AC559" s="27" t="s">
        <v>8</v>
      </c>
      <c r="AD559" s="27" t="s">
        <v>7</v>
      </c>
      <c r="AE559" s="27" t="s">
        <v>8</v>
      </c>
      <c r="AG559" s="27" t="s">
        <v>8</v>
      </c>
      <c r="AH559" s="27" t="s">
        <v>7</v>
      </c>
      <c r="AI559" s="27" t="s">
        <v>8</v>
      </c>
      <c r="AJ559" s="27" t="s">
        <v>7</v>
      </c>
      <c r="AQ559" s="27" t="s">
        <v>8</v>
      </c>
      <c r="AR559" s="27" t="s">
        <v>7</v>
      </c>
      <c r="JQ559" s="27" t="s">
        <v>8</v>
      </c>
      <c r="JR559" s="27" t="s">
        <v>7</v>
      </c>
      <c r="JS559" s="27" t="s">
        <v>8</v>
      </c>
    </row>
    <row r="560" spans="1:482" x14ac:dyDescent="0.25">
      <c r="A560" s="7">
        <v>1.7068864766411058</v>
      </c>
      <c r="B560"/>
      <c r="C560"/>
      <c r="D560"/>
      <c r="E560"/>
      <c r="I560" s="27" t="s">
        <v>8</v>
      </c>
      <c r="J560" s="27" t="s">
        <v>7</v>
      </c>
      <c r="M560" s="27" t="s">
        <v>8</v>
      </c>
      <c r="N560" s="27" t="s">
        <v>7</v>
      </c>
      <c r="O560" s="27" t="s">
        <v>8</v>
      </c>
      <c r="P560" s="27" t="s">
        <v>7</v>
      </c>
      <c r="W560" s="27" t="s">
        <v>8</v>
      </c>
      <c r="X560" s="27" t="s">
        <v>7</v>
      </c>
      <c r="Y560" s="27" t="s">
        <v>8</v>
      </c>
      <c r="Z560" s="27" t="s">
        <v>7</v>
      </c>
      <c r="AA560" s="27" t="s">
        <v>8</v>
      </c>
      <c r="AB560" s="27" t="s">
        <v>7</v>
      </c>
      <c r="AC560" s="27" t="s">
        <v>8</v>
      </c>
      <c r="AD560" s="27" t="s">
        <v>7</v>
      </c>
      <c r="AE560" s="27" t="s">
        <v>8</v>
      </c>
      <c r="AF560" s="27" t="s">
        <v>7</v>
      </c>
      <c r="AG560" s="27" t="s">
        <v>8</v>
      </c>
      <c r="AH560" s="27" t="s">
        <v>7</v>
      </c>
      <c r="AI560" s="27" t="s">
        <v>8</v>
      </c>
      <c r="AJ560" s="27" t="s">
        <v>7</v>
      </c>
      <c r="AQ560" s="27" t="s">
        <v>8</v>
      </c>
      <c r="AR560" s="27" t="s">
        <v>7</v>
      </c>
      <c r="JQ560" s="27" t="s">
        <v>8</v>
      </c>
      <c r="JR560" s="27" t="s">
        <v>7</v>
      </c>
      <c r="JS560" s="27" t="s">
        <v>8</v>
      </c>
    </row>
    <row r="561" spans="1:279" x14ac:dyDescent="0.25">
      <c r="A561" s="7">
        <v>1.6734181143540252</v>
      </c>
      <c r="B561"/>
      <c r="C561"/>
      <c r="D561"/>
      <c r="E561"/>
      <c r="I561" s="27" t="s">
        <v>8</v>
      </c>
      <c r="J561" s="27" t="s">
        <v>7</v>
      </c>
      <c r="M561" s="27" t="s">
        <v>8</v>
      </c>
      <c r="N561" s="27" t="s">
        <v>7</v>
      </c>
      <c r="O561" s="27" t="s">
        <v>8</v>
      </c>
      <c r="P561" s="27" t="s">
        <v>7</v>
      </c>
      <c r="Q561" s="27" t="s">
        <v>8</v>
      </c>
      <c r="W561" s="27" t="s">
        <v>8</v>
      </c>
      <c r="X561" s="27" t="s">
        <v>7</v>
      </c>
      <c r="Y561" s="27" t="s">
        <v>8</v>
      </c>
      <c r="Z561" s="27" t="s">
        <v>7</v>
      </c>
      <c r="AA561" s="27" t="s">
        <v>8</v>
      </c>
      <c r="AB561" s="27" t="s">
        <v>7</v>
      </c>
      <c r="AC561" s="27" t="s">
        <v>8</v>
      </c>
      <c r="AD561" s="27" t="s">
        <v>7</v>
      </c>
      <c r="AE561" s="27" t="s">
        <v>8</v>
      </c>
      <c r="AF561" s="27" t="s">
        <v>7</v>
      </c>
      <c r="AG561" s="27" t="s">
        <v>8</v>
      </c>
      <c r="AH561" s="27" t="s">
        <v>7</v>
      </c>
      <c r="AI561" s="27" t="s">
        <v>8</v>
      </c>
      <c r="AJ561" s="27" t="s">
        <v>7</v>
      </c>
      <c r="AQ561" s="27" t="s">
        <v>8</v>
      </c>
      <c r="AR561" s="27" t="s">
        <v>7</v>
      </c>
      <c r="JQ561" s="27" t="s">
        <v>8</v>
      </c>
      <c r="JR561" s="27" t="s">
        <v>7</v>
      </c>
      <c r="JS561" s="27" t="s">
        <v>8</v>
      </c>
    </row>
    <row r="562" spans="1:279" x14ac:dyDescent="0.25">
      <c r="A562" s="7">
        <v>1.6406059944647307</v>
      </c>
      <c r="B562"/>
      <c r="C562"/>
      <c r="D562"/>
      <c r="E562"/>
      <c r="I562" s="27" t="s">
        <v>8</v>
      </c>
      <c r="J562" s="27" t="s">
        <v>7</v>
      </c>
      <c r="K562" s="27" t="s">
        <v>8</v>
      </c>
      <c r="M562" s="27" t="s">
        <v>8</v>
      </c>
      <c r="N562" s="27" t="s">
        <v>7</v>
      </c>
      <c r="O562" s="27" t="s">
        <v>8</v>
      </c>
      <c r="P562" s="27" t="s">
        <v>7</v>
      </c>
      <c r="Q562" s="27" t="s">
        <v>8</v>
      </c>
      <c r="R562" s="27" t="s">
        <v>7</v>
      </c>
      <c r="U562" s="27" t="s">
        <v>8</v>
      </c>
      <c r="W562" s="27" t="s">
        <v>8</v>
      </c>
      <c r="X562" s="27" t="s">
        <v>7</v>
      </c>
      <c r="Y562" s="27" t="s">
        <v>8</v>
      </c>
      <c r="Z562" s="27" t="s">
        <v>7</v>
      </c>
      <c r="AA562" s="27" t="s">
        <v>8</v>
      </c>
      <c r="AB562" s="27" t="s">
        <v>7</v>
      </c>
      <c r="AD562" s="27" t="s">
        <v>7</v>
      </c>
      <c r="AE562" s="27" t="s">
        <v>8</v>
      </c>
      <c r="AF562" s="27" t="s">
        <v>7</v>
      </c>
      <c r="AH562" s="27" t="s">
        <v>7</v>
      </c>
      <c r="AI562" s="27" t="s">
        <v>8</v>
      </c>
      <c r="AJ562" s="27" t="s">
        <v>7</v>
      </c>
      <c r="AQ562" s="27" t="s">
        <v>8</v>
      </c>
      <c r="AR562" s="27" t="s">
        <v>7</v>
      </c>
      <c r="JQ562" s="27" t="s">
        <v>8</v>
      </c>
      <c r="JR562" s="27" t="s">
        <v>7</v>
      </c>
      <c r="JS562" s="27" t="s">
        <v>8</v>
      </c>
    </row>
    <row r="563" spans="1:279" x14ac:dyDescent="0.25">
      <c r="A563" s="7">
        <v>1.6084372494752261</v>
      </c>
      <c r="B563"/>
      <c r="C563"/>
      <c r="D563"/>
      <c r="E563"/>
      <c r="I563" s="27" t="s">
        <v>8</v>
      </c>
      <c r="J563" s="27" t="s">
        <v>7</v>
      </c>
      <c r="K563" s="27" t="s">
        <v>8</v>
      </c>
      <c r="L563" s="27" t="s">
        <v>7</v>
      </c>
      <c r="M563" s="27" t="s">
        <v>8</v>
      </c>
      <c r="N563" s="27" t="s">
        <v>7</v>
      </c>
      <c r="O563" s="27" t="s">
        <v>8</v>
      </c>
      <c r="P563" s="27" t="s">
        <v>7</v>
      </c>
      <c r="Q563" s="27" t="s">
        <v>8</v>
      </c>
      <c r="R563" s="27" t="s">
        <v>7</v>
      </c>
      <c r="U563" s="27" t="s">
        <v>8</v>
      </c>
      <c r="V563" s="27" t="s">
        <v>7</v>
      </c>
      <c r="W563" s="27" t="s">
        <v>8</v>
      </c>
      <c r="X563" s="27" t="s">
        <v>7</v>
      </c>
      <c r="Z563" s="27" t="s">
        <v>7</v>
      </c>
      <c r="AD563" s="27" t="s">
        <v>7</v>
      </c>
      <c r="AE563" s="27" t="s">
        <v>8</v>
      </c>
      <c r="AH563" s="27" t="s">
        <v>7</v>
      </c>
      <c r="AJ563" s="27" t="s">
        <v>7</v>
      </c>
      <c r="AM563" s="27" t="s">
        <v>8</v>
      </c>
      <c r="AO563" s="27" t="s">
        <v>8</v>
      </c>
      <c r="AQ563" s="27" t="s">
        <v>8</v>
      </c>
      <c r="AR563" s="27" t="s">
        <v>7</v>
      </c>
      <c r="AS563" s="27" t="s">
        <v>8</v>
      </c>
      <c r="AU563" s="27" t="s">
        <v>8</v>
      </c>
      <c r="JQ563" s="27" t="s">
        <v>8</v>
      </c>
      <c r="JR563" s="27" t="s">
        <v>7</v>
      </c>
      <c r="JS563" s="27" t="s">
        <v>8</v>
      </c>
    </row>
    <row r="564" spans="1:279" x14ac:dyDescent="0.25">
      <c r="A564" s="7">
        <v>1.5768992641913981</v>
      </c>
      <c r="B564"/>
      <c r="C564"/>
      <c r="D564"/>
      <c r="E564"/>
      <c r="I564" s="27" t="s">
        <v>8</v>
      </c>
      <c r="J564" s="27" t="s">
        <v>7</v>
      </c>
      <c r="K564" s="27" t="s">
        <v>8</v>
      </c>
      <c r="L564" s="27" t="s">
        <v>7</v>
      </c>
      <c r="M564" s="27" t="s">
        <v>8</v>
      </c>
      <c r="N564" s="27" t="s">
        <v>7</v>
      </c>
      <c r="P564" s="27" t="s">
        <v>7</v>
      </c>
      <c r="Q564" s="27" t="s">
        <v>8</v>
      </c>
      <c r="R564" s="27" t="s">
        <v>7</v>
      </c>
      <c r="U564" s="27" t="s">
        <v>8</v>
      </c>
      <c r="V564" s="27" t="s">
        <v>7</v>
      </c>
      <c r="W564" s="27" t="s">
        <v>8</v>
      </c>
      <c r="AD564" s="27" t="s">
        <v>7</v>
      </c>
      <c r="AJ564" s="27" t="s">
        <v>7</v>
      </c>
      <c r="AM564" s="27" t="s">
        <v>8</v>
      </c>
      <c r="AN564" s="27" t="s">
        <v>7</v>
      </c>
      <c r="AO564" s="27" t="s">
        <v>8</v>
      </c>
      <c r="AP564" s="27" t="s">
        <v>7</v>
      </c>
      <c r="AQ564" s="27" t="s">
        <v>8</v>
      </c>
      <c r="AR564" s="27" t="s">
        <v>7</v>
      </c>
      <c r="AS564" s="27" t="s">
        <v>8</v>
      </c>
      <c r="AT564" s="27" t="s">
        <v>7</v>
      </c>
      <c r="AU564" s="27" t="s">
        <v>8</v>
      </c>
      <c r="AV564" s="27" t="s">
        <v>7</v>
      </c>
      <c r="AW564" s="27" t="s">
        <v>8</v>
      </c>
      <c r="JQ564" s="27" t="s">
        <v>8</v>
      </c>
      <c r="JR564" s="27" t="s">
        <v>7</v>
      </c>
      <c r="JS564" s="27" t="s">
        <v>8</v>
      </c>
    </row>
    <row r="565" spans="1:279" x14ac:dyDescent="0.25">
      <c r="A565" s="7">
        <v>1.5459796707758806</v>
      </c>
      <c r="B565"/>
      <c r="C565"/>
      <c r="D565"/>
      <c r="E565"/>
      <c r="I565" s="27" t="s">
        <v>8</v>
      </c>
      <c r="J565" s="27" t="s">
        <v>7</v>
      </c>
      <c r="K565" s="27" t="s">
        <v>8</v>
      </c>
      <c r="L565" s="27" t="s">
        <v>7</v>
      </c>
      <c r="M565" s="27" t="s">
        <v>8</v>
      </c>
      <c r="P565" s="27" t="s">
        <v>7</v>
      </c>
      <c r="Q565" s="27" t="s">
        <v>8</v>
      </c>
      <c r="R565" s="27" t="s">
        <v>7</v>
      </c>
      <c r="S565" s="27" t="s">
        <v>8</v>
      </c>
      <c r="U565" s="27" t="s">
        <v>8</v>
      </c>
      <c r="V565" s="27" t="s">
        <v>7</v>
      </c>
      <c r="W565" s="27" t="s">
        <v>8</v>
      </c>
      <c r="AJ565" s="27" t="s">
        <v>7</v>
      </c>
      <c r="AM565" s="27" t="s">
        <v>8</v>
      </c>
      <c r="AN565" s="27" t="s">
        <v>7</v>
      </c>
      <c r="AO565" s="27" t="s">
        <v>8</v>
      </c>
      <c r="AP565" s="27" t="s">
        <v>7</v>
      </c>
      <c r="AQ565" s="27" t="s">
        <v>8</v>
      </c>
      <c r="AR565" s="27" t="s">
        <v>7</v>
      </c>
      <c r="AS565" s="27" t="s">
        <v>8</v>
      </c>
      <c r="AT565" s="27" t="s">
        <v>7</v>
      </c>
      <c r="AU565" s="27" t="s">
        <v>8</v>
      </c>
      <c r="AV565" s="27" t="s">
        <v>7</v>
      </c>
      <c r="AW565" s="27" t="s">
        <v>8</v>
      </c>
      <c r="AX565" s="27" t="s">
        <v>7</v>
      </c>
      <c r="JQ565" s="27" t="s">
        <v>8</v>
      </c>
      <c r="JR565" s="27" t="s">
        <v>7</v>
      </c>
      <c r="JS565" s="27" t="s">
        <v>8</v>
      </c>
    </row>
    <row r="566" spans="1:279" x14ac:dyDescent="0.25">
      <c r="A566" s="7">
        <v>1.5156663438979221</v>
      </c>
      <c r="B566"/>
      <c r="C566"/>
      <c r="D566"/>
      <c r="E566"/>
      <c r="I566" s="27" t="s">
        <v>8</v>
      </c>
      <c r="J566" s="27" t="s">
        <v>7</v>
      </c>
      <c r="K566" s="27" t="s">
        <v>8</v>
      </c>
      <c r="L566" s="27" t="s">
        <v>7</v>
      </c>
      <c r="M566" s="27" t="s">
        <v>8</v>
      </c>
      <c r="P566" s="27" t="s">
        <v>7</v>
      </c>
      <c r="Q566" s="27" t="s">
        <v>8</v>
      </c>
      <c r="R566" s="27" t="s">
        <v>7</v>
      </c>
      <c r="S566" s="27" t="s">
        <v>8</v>
      </c>
      <c r="T566" s="27" t="s">
        <v>7</v>
      </c>
      <c r="U566" s="27" t="s">
        <v>8</v>
      </c>
      <c r="V566" s="27" t="s">
        <v>7</v>
      </c>
      <c r="W566" s="27" t="s">
        <v>8</v>
      </c>
      <c r="AJ566" s="27" t="s">
        <v>7</v>
      </c>
      <c r="AK566" s="27" t="s">
        <v>8</v>
      </c>
      <c r="AM566" s="27" t="s">
        <v>8</v>
      </c>
      <c r="AN566" s="27" t="s">
        <v>7</v>
      </c>
      <c r="AO566" s="27" t="s">
        <v>8</v>
      </c>
      <c r="AP566" s="27" t="s">
        <v>7</v>
      </c>
      <c r="AR566" s="27" t="s">
        <v>7</v>
      </c>
      <c r="AT566" s="27" t="s">
        <v>7</v>
      </c>
      <c r="AV566" s="27" t="s">
        <v>7</v>
      </c>
      <c r="AW566" s="27" t="s">
        <v>8</v>
      </c>
      <c r="AX566" s="27" t="s">
        <v>7</v>
      </c>
      <c r="JQ566" s="27" t="s">
        <v>8</v>
      </c>
      <c r="JR566" s="27" t="s">
        <v>7</v>
      </c>
      <c r="JS566" s="27" t="s">
        <v>8</v>
      </c>
    </row>
    <row r="567" spans="1:279" x14ac:dyDescent="0.25">
      <c r="A567" s="7">
        <v>1.4859473959783549</v>
      </c>
      <c r="B567"/>
      <c r="C567"/>
      <c r="D567"/>
      <c r="E567"/>
      <c r="I567" s="27" t="s">
        <v>8</v>
      </c>
      <c r="J567" s="27" t="s">
        <v>7</v>
      </c>
      <c r="K567" s="27" t="s">
        <v>8</v>
      </c>
      <c r="L567" s="27" t="s">
        <v>7</v>
      </c>
      <c r="M567" s="27" t="s">
        <v>8</v>
      </c>
      <c r="P567" s="27" t="s">
        <v>7</v>
      </c>
      <c r="R567" s="27" t="s">
        <v>7</v>
      </c>
      <c r="S567" s="27" t="s">
        <v>8</v>
      </c>
      <c r="T567" s="27" t="s">
        <v>7</v>
      </c>
      <c r="U567" s="27" t="s">
        <v>8</v>
      </c>
      <c r="V567" s="27" t="s">
        <v>7</v>
      </c>
      <c r="W567" s="27" t="s">
        <v>8</v>
      </c>
      <c r="AJ567" s="27" t="s">
        <v>7</v>
      </c>
      <c r="AK567" s="27" t="s">
        <v>8</v>
      </c>
      <c r="AL567" s="27" t="s">
        <v>7</v>
      </c>
      <c r="AM567" s="27" t="s">
        <v>8</v>
      </c>
      <c r="AN567" s="27" t="s">
        <v>7</v>
      </c>
      <c r="AV567" s="27" t="s">
        <v>7</v>
      </c>
      <c r="AW567" s="27" t="s">
        <v>8</v>
      </c>
      <c r="AX567" s="27" t="s">
        <v>7</v>
      </c>
      <c r="IY567" s="27" t="s">
        <v>8</v>
      </c>
      <c r="JQ567" s="27" t="s">
        <v>8</v>
      </c>
      <c r="JR567" s="27" t="s">
        <v>7</v>
      </c>
      <c r="JS567" s="27" t="s">
        <v>8</v>
      </c>
    </row>
    <row r="568" spans="1:279" x14ac:dyDescent="0.25">
      <c r="A568" s="7">
        <v>1.4568111725277988</v>
      </c>
      <c r="B568"/>
      <c r="C568"/>
      <c r="D568"/>
      <c r="E568"/>
      <c r="G568" s="27" t="s">
        <v>8</v>
      </c>
      <c r="I568" s="27" t="s">
        <v>8</v>
      </c>
      <c r="J568" s="27" t="s">
        <v>7</v>
      </c>
      <c r="K568" s="27" t="s">
        <v>8</v>
      </c>
      <c r="L568" s="27" t="s">
        <v>7</v>
      </c>
      <c r="R568" s="27" t="s">
        <v>7</v>
      </c>
      <c r="S568" s="27" t="s">
        <v>8</v>
      </c>
      <c r="T568" s="27" t="s">
        <v>7</v>
      </c>
      <c r="U568" s="27" t="s">
        <v>8</v>
      </c>
      <c r="V568" s="27" t="s">
        <v>7</v>
      </c>
      <c r="W568" s="27" t="s">
        <v>8</v>
      </c>
      <c r="AJ568" s="27" t="s">
        <v>7</v>
      </c>
      <c r="AK568" s="27" t="s">
        <v>8</v>
      </c>
      <c r="AL568" s="27" t="s">
        <v>7</v>
      </c>
      <c r="AM568" s="27" t="s">
        <v>8</v>
      </c>
      <c r="AV568" s="27" t="s">
        <v>7</v>
      </c>
      <c r="AW568" s="27" t="s">
        <v>8</v>
      </c>
      <c r="AX568" s="27" t="s">
        <v>7</v>
      </c>
      <c r="BC568" s="27" t="s">
        <v>8</v>
      </c>
      <c r="BK568" s="27" t="s">
        <v>8</v>
      </c>
      <c r="IY568" s="27" t="s">
        <v>8</v>
      </c>
      <c r="IZ568" s="27" t="s">
        <v>7</v>
      </c>
      <c r="JQ568" s="27" t="s">
        <v>8</v>
      </c>
      <c r="JR568" s="27" t="s">
        <v>7</v>
      </c>
      <c r="JS568" s="27" t="s">
        <v>8</v>
      </c>
    </row>
    <row r="569" spans="1:279" x14ac:dyDescent="0.25">
      <c r="A569" s="7">
        <v>1.4282462475762734</v>
      </c>
      <c r="B569"/>
      <c r="C569"/>
      <c r="D569"/>
      <c r="E569" t="s">
        <v>8</v>
      </c>
      <c r="G569" s="27" t="s">
        <v>8</v>
      </c>
      <c r="H569" s="27" t="s">
        <v>7</v>
      </c>
      <c r="I569" s="27" t="s">
        <v>8</v>
      </c>
      <c r="J569" s="27" t="s">
        <v>7</v>
      </c>
      <c r="K569" s="27" t="s">
        <v>8</v>
      </c>
      <c r="R569" s="27" t="s">
        <v>7</v>
      </c>
      <c r="S569" s="27" t="s">
        <v>8</v>
      </c>
      <c r="T569" s="27" t="s">
        <v>7</v>
      </c>
      <c r="U569" s="27" t="s">
        <v>8</v>
      </c>
      <c r="V569" s="27" t="s">
        <v>7</v>
      </c>
      <c r="AJ569" s="27" t="s">
        <v>7</v>
      </c>
      <c r="AL569" s="27" t="s">
        <v>7</v>
      </c>
      <c r="AV569" s="27" t="s">
        <v>7</v>
      </c>
      <c r="AW569" s="27" t="s">
        <v>8</v>
      </c>
      <c r="AX569" s="27" t="s">
        <v>7</v>
      </c>
      <c r="BC569" s="27" t="s">
        <v>8</v>
      </c>
      <c r="BD569" s="27" t="s">
        <v>7</v>
      </c>
      <c r="BK569" s="27" t="s">
        <v>8</v>
      </c>
      <c r="BL569" s="27" t="s">
        <v>7</v>
      </c>
      <c r="BM569" s="27" t="s">
        <v>8</v>
      </c>
      <c r="HK569" s="27" t="s">
        <v>8</v>
      </c>
      <c r="HM569" s="27" t="s">
        <v>8</v>
      </c>
      <c r="IY569" s="27" t="s">
        <v>8</v>
      </c>
      <c r="IZ569" s="27" t="s">
        <v>7</v>
      </c>
      <c r="JQ569" s="27" t="s">
        <v>8</v>
      </c>
      <c r="JR569" s="27" t="s">
        <v>7</v>
      </c>
      <c r="JS569" s="27" t="s">
        <v>8</v>
      </c>
    </row>
    <row r="570" spans="1:279" x14ac:dyDescent="0.25">
      <c r="A570" s="7">
        <v>1.4002414191924248</v>
      </c>
      <c r="B570"/>
      <c r="C570"/>
      <c r="D570"/>
      <c r="E570" t="s">
        <v>8</v>
      </c>
      <c r="F570" s="27" t="s">
        <v>7</v>
      </c>
      <c r="G570" s="27" t="s">
        <v>8</v>
      </c>
      <c r="H570" s="27" t="s">
        <v>7</v>
      </c>
      <c r="I570" s="27" t="s">
        <v>8</v>
      </c>
      <c r="J570" s="27" t="s">
        <v>7</v>
      </c>
      <c r="R570" s="27" t="s">
        <v>7</v>
      </c>
      <c r="T570" s="27" t="s">
        <v>7</v>
      </c>
      <c r="U570" s="27" t="s">
        <v>8</v>
      </c>
      <c r="AV570" s="27" t="s">
        <v>7</v>
      </c>
      <c r="AX570" s="27" t="s">
        <v>7</v>
      </c>
      <c r="BC570" s="27" t="s">
        <v>8</v>
      </c>
      <c r="BD570" s="27" t="s">
        <v>7</v>
      </c>
      <c r="BK570" s="27" t="s">
        <v>8</v>
      </c>
      <c r="BL570" s="27" t="s">
        <v>7</v>
      </c>
      <c r="BM570" s="27" t="s">
        <v>8</v>
      </c>
      <c r="BN570" s="27" t="s">
        <v>7</v>
      </c>
      <c r="HK570" s="27" t="s">
        <v>8</v>
      </c>
      <c r="HL570" s="27" t="s">
        <v>7</v>
      </c>
      <c r="HM570" s="27" t="s">
        <v>8</v>
      </c>
      <c r="HN570" s="27" t="s">
        <v>7</v>
      </c>
      <c r="HO570" s="27" t="s">
        <v>8</v>
      </c>
      <c r="IY570" s="27" t="s">
        <v>8</v>
      </c>
      <c r="IZ570" s="27" t="s">
        <v>7</v>
      </c>
      <c r="JQ570" s="27" t="s">
        <v>8</v>
      </c>
      <c r="JR570" s="27" t="s">
        <v>7</v>
      </c>
      <c r="JS570" s="27" t="s">
        <v>8</v>
      </c>
    </row>
    <row r="571" spans="1:279" x14ac:dyDescent="0.25">
      <c r="A571" s="7">
        <v>1.3727857050906125</v>
      </c>
      <c r="B571"/>
      <c r="C571"/>
      <c r="D571"/>
      <c r="E571" t="s">
        <v>8</v>
      </c>
      <c r="F571" s="27" t="s">
        <v>7</v>
      </c>
      <c r="G571" s="27" t="s">
        <v>8</v>
      </c>
      <c r="H571" s="27" t="s">
        <v>7</v>
      </c>
      <c r="T571" s="27" t="s">
        <v>7</v>
      </c>
      <c r="AX571" s="27" t="s">
        <v>7</v>
      </c>
      <c r="AY571" s="27" t="s">
        <v>8</v>
      </c>
      <c r="BC571" s="27" t="s">
        <v>8</v>
      </c>
      <c r="BD571" s="27" t="s">
        <v>7</v>
      </c>
      <c r="BK571" s="27" t="s">
        <v>8</v>
      </c>
      <c r="BL571" s="27" t="s">
        <v>7</v>
      </c>
      <c r="BM571" s="27" t="s">
        <v>8</v>
      </c>
      <c r="BN571" s="27" t="s">
        <v>7</v>
      </c>
      <c r="HK571" s="27" t="s">
        <v>8</v>
      </c>
      <c r="HL571" s="27" t="s">
        <v>7</v>
      </c>
      <c r="HM571" s="27" t="s">
        <v>8</v>
      </c>
      <c r="HN571" s="27" t="s">
        <v>7</v>
      </c>
      <c r="HO571" s="27" t="s">
        <v>8</v>
      </c>
      <c r="HP571" s="27" t="s">
        <v>7</v>
      </c>
      <c r="IY571" s="27" t="s">
        <v>8</v>
      </c>
      <c r="IZ571" s="27" t="s">
        <v>7</v>
      </c>
      <c r="JQ571" s="27" t="s">
        <v>8</v>
      </c>
      <c r="JR571" s="27" t="s">
        <v>7</v>
      </c>
      <c r="JS571" s="27" t="s">
        <v>8</v>
      </c>
    </row>
    <row r="572" spans="1:279" x14ac:dyDescent="0.25">
      <c r="A572" s="7">
        <v>1.3458683383241299</v>
      </c>
      <c r="B572"/>
      <c r="C572"/>
      <c r="D572"/>
      <c r="E572" t="s">
        <v>8</v>
      </c>
      <c r="F572" s="27" t="s">
        <v>7</v>
      </c>
      <c r="G572" s="27" t="s">
        <v>8</v>
      </c>
      <c r="AX572" s="27" t="s">
        <v>7</v>
      </c>
      <c r="AY572" s="27" t="s">
        <v>8</v>
      </c>
      <c r="AZ572" s="27" t="s">
        <v>7</v>
      </c>
      <c r="BC572" s="27" t="s">
        <v>8</v>
      </c>
      <c r="BD572" s="27" t="s">
        <v>7</v>
      </c>
      <c r="BK572" s="27" t="s">
        <v>8</v>
      </c>
      <c r="BL572" s="27" t="s">
        <v>7</v>
      </c>
      <c r="BM572" s="27" t="s">
        <v>8</v>
      </c>
      <c r="BN572" s="27" t="s">
        <v>7</v>
      </c>
      <c r="HK572" s="27" t="s">
        <v>8</v>
      </c>
      <c r="HL572" s="27" t="s">
        <v>7</v>
      </c>
      <c r="HM572" s="27" t="s">
        <v>8</v>
      </c>
      <c r="HN572" s="27" t="s">
        <v>7</v>
      </c>
      <c r="HO572" s="27" t="s">
        <v>8</v>
      </c>
      <c r="HP572" s="27" t="s">
        <v>7</v>
      </c>
      <c r="IY572" s="27" t="s">
        <v>8</v>
      </c>
      <c r="IZ572" s="27" t="s">
        <v>7</v>
      </c>
      <c r="JQ572" s="27" t="s">
        <v>8</v>
      </c>
      <c r="JR572" s="27" t="s">
        <v>7</v>
      </c>
      <c r="JS572" s="27" t="s">
        <v>8</v>
      </c>
    </row>
    <row r="573" spans="1:279" x14ac:dyDescent="0.25">
      <c r="A573" s="7">
        <v>1.3194787630628724</v>
      </c>
      <c r="B573"/>
      <c r="C573"/>
      <c r="D573"/>
      <c r="E573" t="s">
        <v>8</v>
      </c>
      <c r="F573" s="27" t="s">
        <v>7</v>
      </c>
      <c r="AX573" s="27" t="s">
        <v>7</v>
      </c>
      <c r="AY573" s="27" t="s">
        <v>8</v>
      </c>
      <c r="AZ573" s="27" t="s">
        <v>7</v>
      </c>
      <c r="BA573" s="27" t="s">
        <v>8</v>
      </c>
      <c r="BC573" s="27" t="s">
        <v>8</v>
      </c>
      <c r="BD573" s="27" t="s">
        <v>7</v>
      </c>
      <c r="BK573" s="27" t="s">
        <v>8</v>
      </c>
      <c r="BL573" s="27" t="s">
        <v>7</v>
      </c>
      <c r="BM573" s="27" t="s">
        <v>8</v>
      </c>
      <c r="BN573" s="27" t="s">
        <v>7</v>
      </c>
      <c r="GI573" s="27" t="s">
        <v>8</v>
      </c>
      <c r="HK573" s="27" t="s">
        <v>8</v>
      </c>
      <c r="HL573" s="27" t="s">
        <v>7</v>
      </c>
      <c r="HM573" s="27" t="s">
        <v>8</v>
      </c>
      <c r="HN573" s="27" t="s">
        <v>7</v>
      </c>
      <c r="HO573" s="27" t="s">
        <v>8</v>
      </c>
      <c r="HP573" s="27" t="s">
        <v>7</v>
      </c>
      <c r="IY573" s="27" t="s">
        <v>8</v>
      </c>
      <c r="IZ573" s="27" t="s">
        <v>7</v>
      </c>
      <c r="JQ573" s="27" t="s">
        <v>8</v>
      </c>
      <c r="JR573" s="27" t="s">
        <v>7</v>
      </c>
      <c r="JS573" s="27" t="s">
        <v>8</v>
      </c>
    </row>
    <row r="574" spans="1:279" x14ac:dyDescent="0.25">
      <c r="A574" s="7">
        <v>1.2936066304537963</v>
      </c>
      <c r="B574"/>
      <c r="C574"/>
      <c r="D574"/>
      <c r="E574" t="s">
        <v>8</v>
      </c>
      <c r="AX574" s="27" t="s">
        <v>7</v>
      </c>
      <c r="AY574" s="27" t="s">
        <v>8</v>
      </c>
      <c r="AZ574" s="27" t="s">
        <v>7</v>
      </c>
      <c r="BA574" s="27" t="s">
        <v>8</v>
      </c>
      <c r="BB574" s="27" t="s">
        <v>7</v>
      </c>
      <c r="BC574" s="27" t="s">
        <v>8</v>
      </c>
      <c r="BD574" s="27" t="s">
        <v>7</v>
      </c>
      <c r="BI574" s="27" t="s">
        <v>8</v>
      </c>
      <c r="BK574" s="27" t="s">
        <v>8</v>
      </c>
      <c r="BL574" s="27" t="s">
        <v>7</v>
      </c>
      <c r="BM574" s="27" t="s">
        <v>8</v>
      </c>
      <c r="BN574" s="27" t="s">
        <v>7</v>
      </c>
      <c r="GI574" s="27" t="s">
        <v>8</v>
      </c>
      <c r="GJ574" s="27" t="s">
        <v>7</v>
      </c>
      <c r="GM574" s="27" t="s">
        <v>8</v>
      </c>
      <c r="HK574" s="27" t="s">
        <v>8</v>
      </c>
      <c r="HL574" s="27" t="s">
        <v>7</v>
      </c>
      <c r="HM574" s="27" t="s">
        <v>8</v>
      </c>
      <c r="HN574" s="27" t="s">
        <v>7</v>
      </c>
      <c r="HP574" s="27" t="s">
        <v>7</v>
      </c>
      <c r="IY574" s="27" t="s">
        <v>8</v>
      </c>
      <c r="IZ574" s="27" t="s">
        <v>7</v>
      </c>
      <c r="JC574" s="27" t="s">
        <v>8</v>
      </c>
      <c r="JQ574" s="27" t="s">
        <v>8</v>
      </c>
      <c r="JR574" s="27" t="s">
        <v>7</v>
      </c>
    </row>
    <row r="575" spans="1:279" x14ac:dyDescent="0.25">
      <c r="A575" s="7">
        <v>1.2682417945625455</v>
      </c>
      <c r="B575"/>
      <c r="C575"/>
      <c r="D575"/>
      <c r="E575" t="s">
        <v>8</v>
      </c>
      <c r="AX575" s="27" t="s">
        <v>7</v>
      </c>
      <c r="AY575" s="27" t="s">
        <v>8</v>
      </c>
      <c r="AZ575" s="27" t="s">
        <v>7</v>
      </c>
      <c r="BA575" s="27" t="s">
        <v>8</v>
      </c>
      <c r="BB575" s="27" t="s">
        <v>7</v>
      </c>
      <c r="BC575" s="27" t="s">
        <v>8</v>
      </c>
      <c r="BD575" s="27" t="s">
        <v>7</v>
      </c>
      <c r="BI575" s="27" t="s">
        <v>8</v>
      </c>
      <c r="BJ575" s="27" t="s">
        <v>7</v>
      </c>
      <c r="BK575" s="27" t="s">
        <v>8</v>
      </c>
      <c r="BL575" s="27" t="s">
        <v>7</v>
      </c>
      <c r="BN575" s="27" t="s">
        <v>7</v>
      </c>
      <c r="GI575" s="27" t="s">
        <v>8</v>
      </c>
      <c r="GJ575" s="27" t="s">
        <v>7</v>
      </c>
      <c r="GM575" s="27" t="s">
        <v>8</v>
      </c>
      <c r="GN575" s="27" t="s">
        <v>7</v>
      </c>
      <c r="HK575" s="27" t="s">
        <v>8</v>
      </c>
      <c r="HL575" s="27" t="s">
        <v>7</v>
      </c>
      <c r="HM575" s="27" t="s">
        <v>8</v>
      </c>
      <c r="HP575" s="27" t="s">
        <v>7</v>
      </c>
      <c r="HQ575" s="27" t="s">
        <v>8</v>
      </c>
      <c r="IY575" s="27" t="s">
        <v>8</v>
      </c>
      <c r="IZ575" s="27" t="s">
        <v>7</v>
      </c>
      <c r="JA575" s="27" t="s">
        <v>8</v>
      </c>
      <c r="JC575" s="27" t="s">
        <v>8</v>
      </c>
      <c r="JD575" s="27" t="s">
        <v>7</v>
      </c>
      <c r="JQ575" s="27" t="s">
        <v>8</v>
      </c>
    </row>
    <row r="576" spans="1:279" x14ac:dyDescent="0.25">
      <c r="A576" s="7">
        <v>1.2433743083946525</v>
      </c>
      <c r="B576"/>
      <c r="C576"/>
      <c r="D576"/>
      <c r="E576" t="s">
        <v>8</v>
      </c>
      <c r="AX576" s="27" t="s">
        <v>7</v>
      </c>
      <c r="AY576" s="27" t="s">
        <v>8</v>
      </c>
      <c r="AZ576" s="27" t="s">
        <v>7</v>
      </c>
      <c r="BA576" s="27" t="s">
        <v>8</v>
      </c>
      <c r="BB576" s="27" t="s">
        <v>7</v>
      </c>
      <c r="BC576" s="27" t="s">
        <v>8</v>
      </c>
      <c r="BD576" s="27" t="s">
        <v>7</v>
      </c>
      <c r="BE576" s="27" t="s">
        <v>8</v>
      </c>
      <c r="BI576" s="27" t="s">
        <v>8</v>
      </c>
      <c r="BJ576" s="27" t="s">
        <v>7</v>
      </c>
      <c r="BK576" s="27" t="s">
        <v>8</v>
      </c>
      <c r="BN576" s="27" t="s">
        <v>7</v>
      </c>
      <c r="GI576" s="27" t="s">
        <v>8</v>
      </c>
      <c r="GJ576" s="27" t="s">
        <v>7</v>
      </c>
      <c r="GM576" s="27" t="s">
        <v>8</v>
      </c>
      <c r="GN576" s="27" t="s">
        <v>7</v>
      </c>
      <c r="HK576" s="27" t="s">
        <v>8</v>
      </c>
      <c r="HL576" s="27" t="s">
        <v>7</v>
      </c>
      <c r="HM576" s="27" t="s">
        <v>8</v>
      </c>
      <c r="HP576" s="27" t="s">
        <v>7</v>
      </c>
      <c r="HQ576" s="27" t="s">
        <v>8</v>
      </c>
      <c r="HR576" s="27" t="s">
        <v>7</v>
      </c>
      <c r="IY576" s="27" t="s">
        <v>8</v>
      </c>
      <c r="IZ576" s="27" t="s">
        <v>7</v>
      </c>
      <c r="JA576" s="27" t="s">
        <v>8</v>
      </c>
      <c r="JB576" s="27" t="s">
        <v>7</v>
      </c>
      <c r="JC576" s="27" t="s">
        <v>8</v>
      </c>
      <c r="JD576" s="27" t="s">
        <v>7</v>
      </c>
      <c r="JQ576" s="27" t="s">
        <v>8</v>
      </c>
    </row>
    <row r="577" spans="1:277" x14ac:dyDescent="0.25">
      <c r="A577" s="7">
        <v>1.2189944199947573</v>
      </c>
      <c r="B577"/>
      <c r="C577"/>
      <c r="D577"/>
      <c r="E577" t="s">
        <v>8</v>
      </c>
      <c r="AX577" s="27" t="s">
        <v>7</v>
      </c>
      <c r="AZ577" s="27" t="s">
        <v>7</v>
      </c>
      <c r="BB577" s="27" t="s">
        <v>7</v>
      </c>
      <c r="BD577" s="27" t="s">
        <v>7</v>
      </c>
      <c r="BE577" s="27" t="s">
        <v>8</v>
      </c>
      <c r="BF577" s="27" t="s">
        <v>7</v>
      </c>
      <c r="BG577" s="27" t="s">
        <v>8</v>
      </c>
      <c r="BI577" s="27" t="s">
        <v>8</v>
      </c>
      <c r="BJ577" s="27" t="s">
        <v>7</v>
      </c>
      <c r="BK577" s="27" t="s">
        <v>8</v>
      </c>
      <c r="BN577" s="27" t="s">
        <v>7</v>
      </c>
      <c r="GI577" s="27" t="s">
        <v>8</v>
      </c>
      <c r="GJ577" s="27" t="s">
        <v>7</v>
      </c>
      <c r="GM577" s="27" t="s">
        <v>8</v>
      </c>
      <c r="GN577" s="27" t="s">
        <v>7</v>
      </c>
      <c r="HK577" s="27" t="s">
        <v>8</v>
      </c>
      <c r="HL577" s="27" t="s">
        <v>7</v>
      </c>
      <c r="HM577" s="27" t="s">
        <v>8</v>
      </c>
      <c r="HP577" s="27" t="s">
        <v>7</v>
      </c>
      <c r="HQ577" s="27" t="s">
        <v>8</v>
      </c>
      <c r="HR577" s="27" t="s">
        <v>7</v>
      </c>
      <c r="IY577" s="27" t="s">
        <v>8</v>
      </c>
      <c r="IZ577" s="27" t="s">
        <v>7</v>
      </c>
      <c r="JA577" s="27" t="s">
        <v>8</v>
      </c>
      <c r="JB577" s="27" t="s">
        <v>7</v>
      </c>
      <c r="JC577" s="27" t="s">
        <v>8</v>
      </c>
      <c r="JD577" s="27" t="s">
        <v>7</v>
      </c>
      <c r="JQ577" s="27" t="s">
        <v>8</v>
      </c>
    </row>
    <row r="578" spans="1:277" x14ac:dyDescent="0.25">
      <c r="A578" s="7">
        <v>1.1950925686223111</v>
      </c>
      <c r="B578"/>
      <c r="C578"/>
      <c r="D578"/>
      <c r="E578" t="s">
        <v>8</v>
      </c>
      <c r="BD578" s="27" t="s">
        <v>7</v>
      </c>
      <c r="BE578" s="27" t="s">
        <v>8</v>
      </c>
      <c r="BF578" s="27" t="s">
        <v>7</v>
      </c>
      <c r="BG578" s="27" t="s">
        <v>8</v>
      </c>
      <c r="BH578" s="27" t="s">
        <v>7</v>
      </c>
      <c r="BI578" s="27" t="s">
        <v>8</v>
      </c>
      <c r="BJ578" s="27" t="s">
        <v>7</v>
      </c>
      <c r="BK578" s="27" t="s">
        <v>8</v>
      </c>
      <c r="BN578" s="27" t="s">
        <v>7</v>
      </c>
      <c r="BO578" s="27" t="s">
        <v>8</v>
      </c>
      <c r="EI578" s="27" t="s">
        <v>8</v>
      </c>
      <c r="GI578" s="27" t="s">
        <v>8</v>
      </c>
      <c r="GJ578" s="27" t="s">
        <v>7</v>
      </c>
      <c r="GM578" s="27" t="s">
        <v>8</v>
      </c>
      <c r="GN578" s="27" t="s">
        <v>7</v>
      </c>
      <c r="HG578" s="27" t="s">
        <v>8</v>
      </c>
      <c r="HI578" s="27" t="s">
        <v>8</v>
      </c>
      <c r="HK578" s="27" t="s">
        <v>8</v>
      </c>
      <c r="HL578" s="27" t="s">
        <v>7</v>
      </c>
      <c r="HM578" s="27" t="s">
        <v>8</v>
      </c>
      <c r="HP578" s="27" t="s">
        <v>7</v>
      </c>
      <c r="HQ578" s="27" t="s">
        <v>8</v>
      </c>
      <c r="HR578" s="27" t="s">
        <v>7</v>
      </c>
      <c r="IY578" s="27" t="s">
        <v>8</v>
      </c>
      <c r="IZ578" s="27" t="s">
        <v>7</v>
      </c>
      <c r="JA578" s="27" t="s">
        <v>8</v>
      </c>
      <c r="JB578" s="27" t="s">
        <v>7</v>
      </c>
      <c r="JC578" s="27" t="s">
        <v>8</v>
      </c>
      <c r="JD578" s="27" t="s">
        <v>7</v>
      </c>
      <c r="JE578" s="27" t="s">
        <v>8</v>
      </c>
      <c r="JM578" s="27" t="s">
        <v>8</v>
      </c>
      <c r="JQ578" s="27" t="s">
        <v>8</v>
      </c>
    </row>
    <row r="579" spans="1:277" x14ac:dyDescent="0.25">
      <c r="A579" s="7">
        <v>1.1716593810022657</v>
      </c>
      <c r="B579"/>
      <c r="C579"/>
      <c r="D579"/>
      <c r="E579" t="s">
        <v>8</v>
      </c>
      <c r="BD579" s="27" t="s">
        <v>7</v>
      </c>
      <c r="BE579" s="27" t="s">
        <v>8</v>
      </c>
      <c r="BF579" s="27" t="s">
        <v>7</v>
      </c>
      <c r="BG579" s="27" t="s">
        <v>8</v>
      </c>
      <c r="BH579" s="27" t="s">
        <v>7</v>
      </c>
      <c r="BI579" s="27" t="s">
        <v>8</v>
      </c>
      <c r="BJ579" s="27" t="s">
        <v>7</v>
      </c>
      <c r="BK579" s="27" t="s">
        <v>8</v>
      </c>
      <c r="BN579" s="27" t="s">
        <v>7</v>
      </c>
      <c r="BO579" s="27" t="s">
        <v>8</v>
      </c>
      <c r="BP579" s="27" t="s">
        <v>7</v>
      </c>
      <c r="BQ579" s="27" t="s">
        <v>8</v>
      </c>
      <c r="BU579" s="27" t="s">
        <v>8</v>
      </c>
      <c r="EI579" s="27" t="s">
        <v>8</v>
      </c>
      <c r="EJ579" s="27" t="s">
        <v>7</v>
      </c>
      <c r="GI579" s="27" t="s">
        <v>8</v>
      </c>
      <c r="GJ579" s="27" t="s">
        <v>7</v>
      </c>
      <c r="GK579" s="27" t="s">
        <v>8</v>
      </c>
      <c r="GM579" s="27" t="s">
        <v>8</v>
      </c>
      <c r="GN579" s="27" t="s">
        <v>7</v>
      </c>
      <c r="GO579" s="27" t="s">
        <v>8</v>
      </c>
      <c r="HG579" s="27" t="s">
        <v>8</v>
      </c>
      <c r="HH579" s="27" t="s">
        <v>7</v>
      </c>
      <c r="HI579" s="27" t="s">
        <v>8</v>
      </c>
      <c r="HJ579" s="27" t="s">
        <v>7</v>
      </c>
      <c r="HK579" s="27" t="s">
        <v>8</v>
      </c>
      <c r="HL579" s="27" t="s">
        <v>7</v>
      </c>
      <c r="HP579" s="27" t="s">
        <v>7</v>
      </c>
      <c r="HR579" s="27" t="s">
        <v>7</v>
      </c>
      <c r="IY579" s="27" t="s">
        <v>8</v>
      </c>
      <c r="IZ579" s="27" t="s">
        <v>7</v>
      </c>
      <c r="JA579" s="27" t="s">
        <v>8</v>
      </c>
      <c r="JB579" s="27" t="s">
        <v>7</v>
      </c>
      <c r="JC579" s="27" t="s">
        <v>8</v>
      </c>
      <c r="JD579" s="27" t="s">
        <v>7</v>
      </c>
      <c r="JE579" s="27" t="s">
        <v>8</v>
      </c>
      <c r="JF579" s="27" t="s">
        <v>7</v>
      </c>
      <c r="JM579" s="27" t="s">
        <v>8</v>
      </c>
      <c r="JN579" s="27" t="s">
        <v>7</v>
      </c>
      <c r="JQ579" s="27" t="s">
        <v>8</v>
      </c>
    </row>
    <row r="580" spans="1:277" x14ac:dyDescent="0.25">
      <c r="A580" s="7">
        <v>1.14868566764928</v>
      </c>
      <c r="B580"/>
      <c r="C580"/>
      <c r="D580"/>
      <c r="E580" t="s">
        <v>8</v>
      </c>
      <c r="BD580" s="27" t="s">
        <v>7</v>
      </c>
      <c r="BE580" s="27" t="s">
        <v>8</v>
      </c>
      <c r="BF580" s="27" t="s">
        <v>7</v>
      </c>
      <c r="BG580" s="27" t="s">
        <v>8</v>
      </c>
      <c r="BH580" s="27" t="s">
        <v>7</v>
      </c>
      <c r="BI580" s="27" t="s">
        <v>8</v>
      </c>
      <c r="BJ580" s="27" t="s">
        <v>7</v>
      </c>
      <c r="BK580" s="27" t="s">
        <v>8</v>
      </c>
      <c r="BN580" s="27" t="s">
        <v>7</v>
      </c>
      <c r="BO580" s="27" t="s">
        <v>8</v>
      </c>
      <c r="BP580" s="27" t="s">
        <v>7</v>
      </c>
      <c r="BQ580" s="27" t="s">
        <v>8</v>
      </c>
      <c r="BR580" s="27" t="s">
        <v>7</v>
      </c>
      <c r="BU580" s="27" t="s">
        <v>8</v>
      </c>
      <c r="BV580" s="27" t="s">
        <v>7</v>
      </c>
      <c r="EG580" s="27" t="s">
        <v>8</v>
      </c>
      <c r="EI580" s="27" t="s">
        <v>8</v>
      </c>
      <c r="EJ580" s="27" t="s">
        <v>7</v>
      </c>
      <c r="GI580" s="27" t="s">
        <v>8</v>
      </c>
      <c r="GJ580" s="27" t="s">
        <v>7</v>
      </c>
      <c r="GK580" s="27" t="s">
        <v>8</v>
      </c>
      <c r="GL580" s="27" t="s">
        <v>7</v>
      </c>
      <c r="GM580" s="27" t="s">
        <v>8</v>
      </c>
      <c r="GN580" s="27" t="s">
        <v>7</v>
      </c>
      <c r="GO580" s="27" t="s">
        <v>8</v>
      </c>
      <c r="GP580" s="27" t="s">
        <v>7</v>
      </c>
      <c r="HG580" s="27" t="s">
        <v>8</v>
      </c>
      <c r="HH580" s="27" t="s">
        <v>7</v>
      </c>
      <c r="HI580" s="27" t="s">
        <v>8</v>
      </c>
      <c r="HJ580" s="27" t="s">
        <v>7</v>
      </c>
      <c r="HK580" s="27" t="s">
        <v>8</v>
      </c>
      <c r="HR580" s="27" t="s">
        <v>7</v>
      </c>
      <c r="IY580" s="27" t="s">
        <v>8</v>
      </c>
      <c r="IZ580" s="27" t="s">
        <v>7</v>
      </c>
      <c r="JA580" s="27" t="s">
        <v>8</v>
      </c>
      <c r="JB580" s="27" t="s">
        <v>7</v>
      </c>
      <c r="JD580" s="27" t="s">
        <v>7</v>
      </c>
      <c r="JE580" s="27" t="s">
        <v>8</v>
      </c>
      <c r="JF580" s="27" t="s">
        <v>7</v>
      </c>
      <c r="JM580" s="27" t="s">
        <v>8</v>
      </c>
      <c r="JN580" s="27" t="s">
        <v>7</v>
      </c>
      <c r="JO580" s="27" t="s">
        <v>8</v>
      </c>
      <c r="JQ580" s="27" t="s">
        <v>8</v>
      </c>
    </row>
    <row r="581" spans="1:277" x14ac:dyDescent="0.25">
      <c r="A581" s="7">
        <v>1.1261624192640001</v>
      </c>
      <c r="B581"/>
      <c r="C581"/>
      <c r="D581"/>
      <c r="E581" t="s">
        <v>8</v>
      </c>
      <c r="BD581" s="27" t="s">
        <v>7</v>
      </c>
      <c r="BE581" s="27" t="s">
        <v>8</v>
      </c>
      <c r="BF581" s="27" t="s">
        <v>7</v>
      </c>
      <c r="BG581" s="27" t="s">
        <v>8</v>
      </c>
      <c r="BH581" s="27" t="s">
        <v>7</v>
      </c>
      <c r="BI581" s="27" t="s">
        <v>8</v>
      </c>
      <c r="BJ581" s="27" t="s">
        <v>7</v>
      </c>
      <c r="BN581" s="27" t="s">
        <v>7</v>
      </c>
      <c r="BP581" s="27" t="s">
        <v>7</v>
      </c>
      <c r="BQ581" s="27" t="s">
        <v>8</v>
      </c>
      <c r="BR581" s="27" t="s">
        <v>7</v>
      </c>
      <c r="BU581" s="27" t="s">
        <v>8</v>
      </c>
      <c r="BV581" s="27" t="s">
        <v>7</v>
      </c>
      <c r="EG581" s="27" t="s">
        <v>8</v>
      </c>
      <c r="EH581" s="27" t="s">
        <v>7</v>
      </c>
      <c r="EI581" s="27" t="s">
        <v>8</v>
      </c>
      <c r="EJ581" s="27" t="s">
        <v>7</v>
      </c>
      <c r="GI581" s="27" t="s">
        <v>8</v>
      </c>
      <c r="GJ581" s="27" t="s">
        <v>7</v>
      </c>
      <c r="GK581" s="27" t="s">
        <v>8</v>
      </c>
      <c r="GL581" s="27" t="s">
        <v>7</v>
      </c>
      <c r="GM581" s="27" t="s">
        <v>8</v>
      </c>
      <c r="GN581" s="27" t="s">
        <v>7</v>
      </c>
      <c r="GO581" s="27" t="s">
        <v>8</v>
      </c>
      <c r="GP581" s="27" t="s">
        <v>7</v>
      </c>
      <c r="HG581" s="27" t="s">
        <v>8</v>
      </c>
      <c r="HH581" s="27" t="s">
        <v>7</v>
      </c>
      <c r="HI581" s="27" t="s">
        <v>8</v>
      </c>
      <c r="HJ581" s="27" t="s">
        <v>7</v>
      </c>
      <c r="HK581" s="27" t="s">
        <v>8</v>
      </c>
      <c r="HR581" s="27" t="s">
        <v>7</v>
      </c>
      <c r="IY581" s="27" t="s">
        <v>8</v>
      </c>
      <c r="IZ581" s="27" t="s">
        <v>7</v>
      </c>
      <c r="JA581" s="27" t="s">
        <v>8</v>
      </c>
      <c r="JD581" s="27" t="s">
        <v>7</v>
      </c>
      <c r="JF581" s="27" t="s">
        <v>7</v>
      </c>
      <c r="JG581" s="27" t="s">
        <v>8</v>
      </c>
      <c r="JM581" s="27" t="s">
        <v>8</v>
      </c>
      <c r="JN581" s="27" t="s">
        <v>7</v>
      </c>
      <c r="JO581" s="27" t="s">
        <v>8</v>
      </c>
      <c r="JP581" s="27" t="s">
        <v>7</v>
      </c>
      <c r="JQ581" s="27" t="s">
        <v>8</v>
      </c>
    </row>
    <row r="582" spans="1:277" x14ac:dyDescent="0.25">
      <c r="A582" s="7">
        <v>1.1040808032</v>
      </c>
      <c r="B582"/>
      <c r="C582"/>
      <c r="D582"/>
      <c r="E582" t="s">
        <v>8</v>
      </c>
      <c r="BD582" s="27" t="s">
        <v>7</v>
      </c>
      <c r="BE582" s="27" t="s">
        <v>8</v>
      </c>
      <c r="BF582" s="27" t="s">
        <v>7</v>
      </c>
      <c r="BG582" s="27" t="s">
        <v>8</v>
      </c>
      <c r="BH582" s="27" t="s">
        <v>7</v>
      </c>
      <c r="BI582" s="27" t="s">
        <v>8</v>
      </c>
      <c r="BP582" s="27" t="s">
        <v>7</v>
      </c>
      <c r="BQ582" s="27" t="s">
        <v>8</v>
      </c>
      <c r="BR582" s="27" t="s">
        <v>7</v>
      </c>
      <c r="BU582" s="27" t="s">
        <v>8</v>
      </c>
      <c r="BV582" s="27" t="s">
        <v>7</v>
      </c>
      <c r="EG582" s="27" t="s">
        <v>8</v>
      </c>
      <c r="EH582" s="27" t="s">
        <v>7</v>
      </c>
      <c r="EI582" s="27" t="s">
        <v>8</v>
      </c>
      <c r="EJ582" s="27" t="s">
        <v>7</v>
      </c>
      <c r="GG582" s="27" t="s">
        <v>8</v>
      </c>
      <c r="GI582" s="27" t="s">
        <v>8</v>
      </c>
      <c r="GJ582" s="27" t="s">
        <v>7</v>
      </c>
      <c r="GK582" s="27" t="s">
        <v>8</v>
      </c>
      <c r="GL582" s="27" t="s">
        <v>7</v>
      </c>
      <c r="GM582" s="27" t="s">
        <v>8</v>
      </c>
      <c r="GN582" s="27" t="s">
        <v>7</v>
      </c>
      <c r="GO582" s="27" t="s">
        <v>8</v>
      </c>
      <c r="GP582" s="27" t="s">
        <v>7</v>
      </c>
      <c r="GS582" s="27" t="s">
        <v>8</v>
      </c>
      <c r="HG582" s="27" t="s">
        <v>8</v>
      </c>
      <c r="HH582" s="27" t="s">
        <v>7</v>
      </c>
      <c r="HI582" s="27" t="s">
        <v>8</v>
      </c>
      <c r="HJ582" s="27" t="s">
        <v>7</v>
      </c>
      <c r="HR582" s="27" t="s">
        <v>7</v>
      </c>
      <c r="IY582" s="27" t="s">
        <v>8</v>
      </c>
      <c r="IZ582" s="27" t="s">
        <v>7</v>
      </c>
      <c r="JA582" s="27" t="s">
        <v>8</v>
      </c>
      <c r="JF582" s="27" t="s">
        <v>7</v>
      </c>
      <c r="JG582" s="27" t="s">
        <v>8</v>
      </c>
      <c r="JH582" s="27" t="s">
        <v>7</v>
      </c>
      <c r="JK582" s="27" t="s">
        <v>8</v>
      </c>
      <c r="JM582" s="27" t="s">
        <v>8</v>
      </c>
      <c r="JN582" s="27" t="s">
        <v>7</v>
      </c>
      <c r="JO582" s="27" t="s">
        <v>8</v>
      </c>
      <c r="JP582" s="27" t="s">
        <v>7</v>
      </c>
      <c r="JQ582" s="27" t="s">
        <v>8</v>
      </c>
    </row>
    <row r="583" spans="1:277" x14ac:dyDescent="0.25">
      <c r="A583" s="7">
        <v>1.08243216</v>
      </c>
      <c r="B583"/>
      <c r="C583"/>
      <c r="D583"/>
      <c r="E583" t="s">
        <v>8</v>
      </c>
      <c r="BD583" s="27" t="s">
        <v>7</v>
      </c>
      <c r="BF583" s="27" t="s">
        <v>7</v>
      </c>
      <c r="BG583" s="27" t="s">
        <v>8</v>
      </c>
      <c r="BH583" s="27" t="s">
        <v>7</v>
      </c>
      <c r="BI583" s="27" t="s">
        <v>8</v>
      </c>
      <c r="BP583" s="27" t="s">
        <v>7</v>
      </c>
      <c r="BQ583" s="27" t="s">
        <v>8</v>
      </c>
      <c r="BR583" s="27" t="s">
        <v>7</v>
      </c>
      <c r="BU583" s="27" t="s">
        <v>8</v>
      </c>
      <c r="BV583" s="27" t="s">
        <v>7</v>
      </c>
      <c r="CU583" s="27" t="s">
        <v>8</v>
      </c>
      <c r="EG583" s="27" t="s">
        <v>8</v>
      </c>
      <c r="EH583" s="27" t="s">
        <v>7</v>
      </c>
      <c r="EI583" s="27" t="s">
        <v>8</v>
      </c>
      <c r="EJ583" s="27" t="s">
        <v>7</v>
      </c>
      <c r="GG583" s="27" t="s">
        <v>8</v>
      </c>
      <c r="GH583" s="27" t="s">
        <v>7</v>
      </c>
      <c r="GI583" s="27" t="s">
        <v>8</v>
      </c>
      <c r="GJ583" s="27" t="s">
        <v>7</v>
      </c>
      <c r="GK583" s="27" t="s">
        <v>8</v>
      </c>
      <c r="GL583" s="27" t="s">
        <v>7</v>
      </c>
      <c r="GM583" s="27" t="s">
        <v>8</v>
      </c>
      <c r="GN583" s="27" t="s">
        <v>7</v>
      </c>
      <c r="GP583" s="27" t="s">
        <v>7</v>
      </c>
      <c r="GS583" s="27" t="s">
        <v>8</v>
      </c>
      <c r="GT583" s="27" t="s">
        <v>7</v>
      </c>
      <c r="GY583" s="27" t="s">
        <v>8</v>
      </c>
      <c r="HG583" s="27" t="s">
        <v>8</v>
      </c>
      <c r="HH583" s="27" t="s">
        <v>7</v>
      </c>
      <c r="HI583" s="27" t="s">
        <v>8</v>
      </c>
      <c r="HR583" s="27" t="s">
        <v>7</v>
      </c>
      <c r="IY583" s="27" t="s">
        <v>8</v>
      </c>
      <c r="IZ583" s="27" t="s">
        <v>7</v>
      </c>
      <c r="JA583" s="27" t="s">
        <v>8</v>
      </c>
      <c r="JF583" s="27" t="s">
        <v>7</v>
      </c>
      <c r="JG583" s="27" t="s">
        <v>8</v>
      </c>
      <c r="JH583" s="27" t="s">
        <v>7</v>
      </c>
      <c r="JK583" s="27" t="s">
        <v>8</v>
      </c>
      <c r="JL583" s="27" t="s">
        <v>7</v>
      </c>
      <c r="JM583" s="27" t="s">
        <v>8</v>
      </c>
      <c r="JN583" s="27" t="s">
        <v>7</v>
      </c>
      <c r="JO583" s="27" t="s">
        <v>8</v>
      </c>
      <c r="JP583" s="27" t="s">
        <v>7</v>
      </c>
      <c r="JQ583" s="27" t="s">
        <v>8</v>
      </c>
    </row>
    <row r="584" spans="1:277" x14ac:dyDescent="0.25">
      <c r="A584" s="7">
        <v>1.0612079999999999</v>
      </c>
      <c r="B584"/>
      <c r="C584"/>
      <c r="D584"/>
      <c r="E584" t="s">
        <v>8</v>
      </c>
      <c r="BF584" s="27" t="s">
        <v>7</v>
      </c>
      <c r="BG584" s="27" t="s">
        <v>8</v>
      </c>
      <c r="BH584" s="27" t="s">
        <v>7</v>
      </c>
      <c r="BP584" s="27" t="s">
        <v>7</v>
      </c>
      <c r="BQ584" s="27" t="s">
        <v>8</v>
      </c>
      <c r="BR584" s="27" t="s">
        <v>7</v>
      </c>
      <c r="BS584" s="27" t="s">
        <v>8</v>
      </c>
      <c r="BU584" s="27" t="s">
        <v>8</v>
      </c>
      <c r="BV584" s="27" t="s">
        <v>7</v>
      </c>
      <c r="BW584" s="27" t="s">
        <v>8</v>
      </c>
      <c r="CU584" s="27" t="s">
        <v>8</v>
      </c>
      <c r="CV584" s="27" t="s">
        <v>7</v>
      </c>
      <c r="CY584" s="27" t="s">
        <v>8</v>
      </c>
      <c r="EG584" s="27" t="s">
        <v>8</v>
      </c>
      <c r="EH584" s="27" t="s">
        <v>7</v>
      </c>
      <c r="EI584" s="27" t="s">
        <v>8</v>
      </c>
      <c r="EJ584" s="27" t="s">
        <v>7</v>
      </c>
      <c r="GG584" s="27" t="s">
        <v>8</v>
      </c>
      <c r="GH584" s="27" t="s">
        <v>7</v>
      </c>
      <c r="GI584" s="27" t="s">
        <v>8</v>
      </c>
      <c r="GJ584" s="27" t="s">
        <v>7</v>
      </c>
      <c r="GK584" s="27" t="s">
        <v>8</v>
      </c>
      <c r="GL584" s="27" t="s">
        <v>7</v>
      </c>
      <c r="GM584" s="27" t="s">
        <v>8</v>
      </c>
      <c r="GP584" s="27" t="s">
        <v>7</v>
      </c>
      <c r="GS584" s="27" t="s">
        <v>8</v>
      </c>
      <c r="GT584" s="27" t="s">
        <v>7</v>
      </c>
      <c r="GU584" s="27" t="s">
        <v>8</v>
      </c>
      <c r="GW584" s="27" t="s">
        <v>8</v>
      </c>
      <c r="GY584" s="27" t="s">
        <v>8</v>
      </c>
      <c r="GZ584" s="27" t="s">
        <v>7</v>
      </c>
      <c r="HE584" s="27" t="s">
        <v>8</v>
      </c>
      <c r="HG584" s="27" t="s">
        <v>8</v>
      </c>
      <c r="HH584" s="27" t="s">
        <v>7</v>
      </c>
      <c r="HI584" s="27" t="s">
        <v>8</v>
      </c>
      <c r="HR584" s="27" t="s">
        <v>7</v>
      </c>
      <c r="IY584" s="27" t="s">
        <v>8</v>
      </c>
      <c r="IZ584" s="27" t="s">
        <v>7</v>
      </c>
      <c r="JA584" s="27" t="s">
        <v>8</v>
      </c>
      <c r="JF584" s="27" t="s">
        <v>7</v>
      </c>
      <c r="JG584" s="27" t="s">
        <v>8</v>
      </c>
      <c r="JH584" s="27" t="s">
        <v>7</v>
      </c>
      <c r="JK584" s="27" t="s">
        <v>8</v>
      </c>
      <c r="JL584" s="27" t="s">
        <v>7</v>
      </c>
      <c r="JM584" s="27" t="s">
        <v>8</v>
      </c>
      <c r="JN584" s="27" t="s">
        <v>7</v>
      </c>
      <c r="JO584" s="27" t="s">
        <v>8</v>
      </c>
      <c r="JP584" s="27" t="s">
        <v>7</v>
      </c>
      <c r="JQ584" s="27" t="s">
        <v>8</v>
      </c>
    </row>
    <row r="585" spans="1:277" x14ac:dyDescent="0.25">
      <c r="A585" s="7">
        <v>1.0404</v>
      </c>
      <c r="B585"/>
      <c r="C585"/>
      <c r="D585"/>
      <c r="E585" t="s">
        <v>8</v>
      </c>
      <c r="BF585" s="27" t="s">
        <v>7</v>
      </c>
      <c r="BG585" s="27" t="s">
        <v>8</v>
      </c>
      <c r="BP585" s="27" t="s">
        <v>7</v>
      </c>
      <c r="BR585" s="27" t="s">
        <v>7</v>
      </c>
      <c r="BS585" s="27" t="s">
        <v>8</v>
      </c>
      <c r="BT585" s="27" t="s">
        <v>7</v>
      </c>
      <c r="BU585" s="27" t="s">
        <v>8</v>
      </c>
      <c r="BV585" s="27" t="s">
        <v>7</v>
      </c>
      <c r="BW585" s="27" t="s">
        <v>8</v>
      </c>
      <c r="BX585" s="27" t="s">
        <v>7</v>
      </c>
      <c r="CU585" s="27" t="s">
        <v>8</v>
      </c>
      <c r="CV585" s="27" t="s">
        <v>7</v>
      </c>
      <c r="CW585" s="27" t="s">
        <v>8</v>
      </c>
      <c r="CY585" s="27" t="s">
        <v>8</v>
      </c>
      <c r="CZ585" s="27" t="s">
        <v>7</v>
      </c>
      <c r="EG585" s="27" t="s">
        <v>8</v>
      </c>
      <c r="EH585" s="27" t="s">
        <v>7</v>
      </c>
      <c r="EI585" s="27" t="s">
        <v>8</v>
      </c>
      <c r="EJ585" s="27" t="s">
        <v>7</v>
      </c>
      <c r="GG585" s="27" t="s">
        <v>8</v>
      </c>
      <c r="GH585" s="27" t="s">
        <v>7</v>
      </c>
      <c r="GJ585" s="27" t="s">
        <v>7</v>
      </c>
      <c r="GL585" s="27" t="s">
        <v>7</v>
      </c>
      <c r="GM585" s="27" t="s">
        <v>8</v>
      </c>
      <c r="GP585" s="27" t="s">
        <v>7</v>
      </c>
      <c r="GS585" s="27" t="s">
        <v>8</v>
      </c>
      <c r="GT585" s="27" t="s">
        <v>7</v>
      </c>
      <c r="GU585" s="27" t="s">
        <v>8</v>
      </c>
      <c r="GV585" s="27" t="s">
        <v>7</v>
      </c>
      <c r="GW585" s="27" t="s">
        <v>8</v>
      </c>
      <c r="GX585" s="27" t="s">
        <v>7</v>
      </c>
      <c r="GY585" s="27" t="s">
        <v>8</v>
      </c>
      <c r="GZ585" s="27" t="s">
        <v>7</v>
      </c>
      <c r="HE585" s="27" t="s">
        <v>8</v>
      </c>
      <c r="HF585" s="27" t="s">
        <v>7</v>
      </c>
      <c r="HG585" s="27" t="s">
        <v>8</v>
      </c>
      <c r="HH585" s="27" t="s">
        <v>7</v>
      </c>
      <c r="HR585" s="27" t="s">
        <v>7</v>
      </c>
      <c r="IY585" s="27" t="s">
        <v>8</v>
      </c>
      <c r="IZ585" s="27" t="s">
        <v>7</v>
      </c>
      <c r="JA585" s="27" t="s">
        <v>8</v>
      </c>
      <c r="JF585" s="27" t="s">
        <v>7</v>
      </c>
      <c r="JH585" s="27" t="s">
        <v>7</v>
      </c>
      <c r="JI585" s="27" t="s">
        <v>8</v>
      </c>
      <c r="JK585" s="27" t="s">
        <v>8</v>
      </c>
      <c r="JL585" s="27" t="s">
        <v>7</v>
      </c>
      <c r="JN585" s="27" t="s">
        <v>7</v>
      </c>
      <c r="JO585" s="27" t="s">
        <v>8</v>
      </c>
      <c r="JP585" s="27" t="s">
        <v>7</v>
      </c>
      <c r="JQ585" s="27" t="s">
        <v>8</v>
      </c>
    </row>
    <row r="586" spans="1:277" x14ac:dyDescent="0.25">
      <c r="A586" s="7">
        <v>1.02</v>
      </c>
      <c r="B586"/>
      <c r="C586"/>
      <c r="D586"/>
      <c r="E586" t="s">
        <v>8</v>
      </c>
      <c r="BF586" s="27" t="s">
        <v>7</v>
      </c>
      <c r="BG586" s="27" t="s">
        <v>8</v>
      </c>
      <c r="BR586" s="27" t="s">
        <v>7</v>
      </c>
      <c r="BS586" s="27" t="s">
        <v>8</v>
      </c>
      <c r="BT586" s="27" t="s">
        <v>7</v>
      </c>
      <c r="BU586" s="27" t="s">
        <v>8</v>
      </c>
      <c r="BV586" s="27" t="s">
        <v>7</v>
      </c>
      <c r="BW586" s="27" t="s">
        <v>8</v>
      </c>
      <c r="BX586" s="27" t="s">
        <v>7</v>
      </c>
      <c r="BY586" s="27" t="s">
        <v>8</v>
      </c>
      <c r="CU586" s="27" t="s">
        <v>8</v>
      </c>
      <c r="CV586" s="27" t="s">
        <v>7</v>
      </c>
      <c r="CW586" s="27" t="s">
        <v>8</v>
      </c>
      <c r="CX586" s="27" t="s">
        <v>7</v>
      </c>
      <c r="CY586" s="27" t="s">
        <v>8</v>
      </c>
      <c r="CZ586" s="27" t="s">
        <v>7</v>
      </c>
      <c r="EG586" s="27" t="s">
        <v>8</v>
      </c>
      <c r="EH586" s="27" t="s">
        <v>7</v>
      </c>
      <c r="EJ586" s="27" t="s">
        <v>7</v>
      </c>
      <c r="EK586" s="27" t="s">
        <v>8</v>
      </c>
      <c r="GG586" s="27" t="s">
        <v>8</v>
      </c>
      <c r="GL586" s="27" t="s">
        <v>7</v>
      </c>
      <c r="GM586" s="27" t="s">
        <v>8</v>
      </c>
      <c r="GP586" s="27" t="s">
        <v>7</v>
      </c>
      <c r="GS586" s="27" t="s">
        <v>8</v>
      </c>
      <c r="GT586" s="27" t="s">
        <v>7</v>
      </c>
      <c r="GU586" s="27" t="s">
        <v>8</v>
      </c>
      <c r="GV586" s="27" t="s">
        <v>7</v>
      </c>
      <c r="GW586" s="27" t="s">
        <v>8</v>
      </c>
      <c r="GX586" s="27" t="s">
        <v>7</v>
      </c>
      <c r="GY586" s="27" t="s">
        <v>8</v>
      </c>
      <c r="GZ586" s="27" t="s">
        <v>7</v>
      </c>
      <c r="HE586" s="27" t="s">
        <v>8</v>
      </c>
      <c r="HF586" s="27" t="s">
        <v>7</v>
      </c>
      <c r="HG586" s="27" t="s">
        <v>8</v>
      </c>
      <c r="HR586" s="27" t="s">
        <v>7</v>
      </c>
      <c r="IY586" s="27" t="s">
        <v>8</v>
      </c>
      <c r="IZ586" s="27" t="s">
        <v>7</v>
      </c>
      <c r="JA586" s="27" t="s">
        <v>8</v>
      </c>
      <c r="JH586" s="27" t="s">
        <v>7</v>
      </c>
      <c r="JI586" s="27" t="s">
        <v>8</v>
      </c>
      <c r="JJ586" s="27" t="s">
        <v>7</v>
      </c>
      <c r="JK586" s="27" t="s">
        <v>8</v>
      </c>
      <c r="JN586" s="27" t="s">
        <v>7</v>
      </c>
      <c r="JO586" s="27" t="s">
        <v>8</v>
      </c>
      <c r="JP586" s="27" t="s">
        <v>7</v>
      </c>
      <c r="JQ586" s="27" t="s">
        <v>8</v>
      </c>
    </row>
    <row r="587" spans="1:277" x14ac:dyDescent="0.25">
      <c r="A587" s="7">
        <v>1</v>
      </c>
      <c r="B587"/>
      <c r="C587"/>
      <c r="D587"/>
      <c r="E587" s="29" t="s">
        <v>8</v>
      </c>
      <c r="BF587" s="27" t="s">
        <v>7</v>
      </c>
      <c r="BG587" s="27" t="s">
        <v>8</v>
      </c>
      <c r="BR587" s="27" t="s">
        <v>7</v>
      </c>
      <c r="BT587" s="27" t="s">
        <v>7</v>
      </c>
      <c r="BU587" s="27" t="s">
        <v>8</v>
      </c>
      <c r="BV587" s="27" t="s">
        <v>7</v>
      </c>
      <c r="BW587" s="27" t="s">
        <v>8</v>
      </c>
      <c r="BX587" s="27" t="s">
        <v>7</v>
      </c>
      <c r="BY587" s="27" t="s">
        <v>8</v>
      </c>
      <c r="BZ587" s="27" t="s">
        <v>7</v>
      </c>
      <c r="CU587" s="27" t="s">
        <v>8</v>
      </c>
      <c r="CV587" s="27" t="s">
        <v>7</v>
      </c>
      <c r="CW587" s="27" t="s">
        <v>8</v>
      </c>
      <c r="CX587" s="27" t="s">
        <v>7</v>
      </c>
      <c r="CY587" s="27" t="s">
        <v>8</v>
      </c>
      <c r="CZ587" s="27" t="s">
        <v>7</v>
      </c>
      <c r="EC587" s="27" t="s">
        <v>8</v>
      </c>
      <c r="EE587" s="27" t="s">
        <v>8</v>
      </c>
      <c r="EG587" s="27" t="s">
        <v>8</v>
      </c>
      <c r="EJ587" s="27" t="s">
        <v>7</v>
      </c>
      <c r="EK587" s="27" t="s">
        <v>8</v>
      </c>
      <c r="EL587" s="27" t="s">
        <v>7</v>
      </c>
      <c r="GA587" s="27" t="s">
        <v>8</v>
      </c>
      <c r="GG587" s="27" t="s">
        <v>8</v>
      </c>
      <c r="GL587" s="27" t="s">
        <v>7</v>
      </c>
      <c r="GM587" s="27" t="s">
        <v>8</v>
      </c>
      <c r="GP587" s="27" t="s">
        <v>7</v>
      </c>
      <c r="GS587" s="27" t="s">
        <v>8</v>
      </c>
      <c r="GT587" s="27" t="s">
        <v>7</v>
      </c>
      <c r="GV587" s="27" t="s">
        <v>7</v>
      </c>
      <c r="GW587" s="27" t="s">
        <v>8</v>
      </c>
      <c r="GX587" s="27" t="s">
        <v>7</v>
      </c>
      <c r="GY587" s="27" t="s">
        <v>8</v>
      </c>
      <c r="GZ587" s="27" t="s">
        <v>7</v>
      </c>
      <c r="HC587" s="27" t="s">
        <v>8</v>
      </c>
      <c r="HE587" s="27" t="s">
        <v>8</v>
      </c>
      <c r="HF587" s="27" t="s">
        <v>7</v>
      </c>
      <c r="HG587" s="27" t="s">
        <v>8</v>
      </c>
      <c r="HR587" s="27" t="s">
        <v>7</v>
      </c>
      <c r="IY587" s="27" t="s">
        <v>8</v>
      </c>
      <c r="IZ587" s="27" t="s">
        <v>7</v>
      </c>
      <c r="JA587" s="27" t="s">
        <v>8</v>
      </c>
      <c r="JH587" s="27" t="s">
        <v>7</v>
      </c>
      <c r="JI587" s="27" t="s">
        <v>8</v>
      </c>
      <c r="JJ587" s="27" t="s">
        <v>7</v>
      </c>
      <c r="JK587" s="27" t="s">
        <v>8</v>
      </c>
      <c r="JN587" s="27" t="s">
        <v>7</v>
      </c>
      <c r="JO587" s="27" t="s">
        <v>8</v>
      </c>
      <c r="JP587" s="27" t="s">
        <v>7</v>
      </c>
    </row>
    <row r="588" spans="1:277" x14ac:dyDescent="0.25">
      <c r="A588" s="7">
        <v>0.98039215686274506</v>
      </c>
      <c r="B588"/>
      <c r="C588"/>
      <c r="D588"/>
      <c r="E588"/>
      <c r="BF588" s="27" t="s">
        <v>7</v>
      </c>
      <c r="BG588" s="27" t="s">
        <v>8</v>
      </c>
      <c r="BT588" s="27" t="s">
        <v>7</v>
      </c>
      <c r="BV588" s="27" t="s">
        <v>7</v>
      </c>
      <c r="BX588" s="27" t="s">
        <v>7</v>
      </c>
      <c r="BY588" s="27" t="s">
        <v>8</v>
      </c>
      <c r="BZ588" s="27" t="s">
        <v>7</v>
      </c>
      <c r="CU588" s="27" t="s">
        <v>8</v>
      </c>
      <c r="CV588" s="27" t="s">
        <v>7</v>
      </c>
      <c r="CW588" s="27" t="s">
        <v>8</v>
      </c>
      <c r="CX588" s="27" t="s">
        <v>7</v>
      </c>
      <c r="CZ588" s="27" t="s">
        <v>7</v>
      </c>
      <c r="EC588" s="27" t="s">
        <v>8</v>
      </c>
      <c r="ED588" s="27" t="s">
        <v>7</v>
      </c>
      <c r="EE588" s="27" t="s">
        <v>8</v>
      </c>
      <c r="EF588" s="27" t="s">
        <v>7</v>
      </c>
      <c r="EG588" s="27" t="s">
        <v>8</v>
      </c>
      <c r="EJ588" s="27" t="s">
        <v>7</v>
      </c>
      <c r="EK588" s="27" t="s">
        <v>8</v>
      </c>
      <c r="EL588" s="27" t="s">
        <v>7</v>
      </c>
      <c r="EM588" s="27" t="s">
        <v>8</v>
      </c>
      <c r="FY588" s="27" t="s">
        <v>8</v>
      </c>
      <c r="GA588" s="27" t="s">
        <v>8</v>
      </c>
      <c r="GB588" s="27" t="s">
        <v>7</v>
      </c>
      <c r="GG588" s="27" t="s">
        <v>8</v>
      </c>
      <c r="GL588" s="27" t="s">
        <v>7</v>
      </c>
      <c r="GM588" s="27" t="s">
        <v>8</v>
      </c>
      <c r="GP588" s="27" t="s">
        <v>7</v>
      </c>
      <c r="GQ588" s="27" t="s">
        <v>8</v>
      </c>
      <c r="GS588" s="27" t="s">
        <v>8</v>
      </c>
      <c r="GV588" s="27" t="s">
        <v>7</v>
      </c>
      <c r="GW588" s="27" t="s">
        <v>8</v>
      </c>
      <c r="GX588" s="27" t="s">
        <v>7</v>
      </c>
      <c r="GY588" s="27" t="s">
        <v>8</v>
      </c>
      <c r="GZ588" s="27" t="s">
        <v>7</v>
      </c>
      <c r="HA588" s="27" t="s">
        <v>8</v>
      </c>
      <c r="HC588" s="27" t="s">
        <v>8</v>
      </c>
      <c r="HD588" s="27" t="s">
        <v>7</v>
      </c>
      <c r="HE588" s="27" t="s">
        <v>8</v>
      </c>
      <c r="HF588" s="27" t="s">
        <v>7</v>
      </c>
      <c r="HG588" s="27" t="s">
        <v>8</v>
      </c>
      <c r="HR588" s="27" t="s">
        <v>7</v>
      </c>
      <c r="IY588" s="27" t="s">
        <v>8</v>
      </c>
      <c r="IZ588" s="27" t="s">
        <v>7</v>
      </c>
      <c r="JA588" s="27" t="s">
        <v>8</v>
      </c>
      <c r="JH588" s="27" t="s">
        <v>7</v>
      </c>
      <c r="JI588" s="27" t="s">
        <v>8</v>
      </c>
      <c r="JJ588" s="27" t="s">
        <v>7</v>
      </c>
      <c r="JK588" s="27" t="s">
        <v>8</v>
      </c>
      <c r="JN588" s="27" t="s">
        <v>7</v>
      </c>
      <c r="JO588" s="27" t="s">
        <v>8</v>
      </c>
    </row>
    <row r="589" spans="1:277" x14ac:dyDescent="0.25">
      <c r="A589" s="7">
        <v>0.96116878123798544</v>
      </c>
      <c r="B589"/>
      <c r="C589"/>
      <c r="D589"/>
      <c r="E589"/>
      <c r="BF589" s="27" t="s">
        <v>7</v>
      </c>
      <c r="BG589" s="27" t="s">
        <v>8</v>
      </c>
      <c r="BX589" s="27" t="s">
        <v>7</v>
      </c>
      <c r="BY589" s="27" t="s">
        <v>8</v>
      </c>
      <c r="BZ589" s="27" t="s">
        <v>7</v>
      </c>
      <c r="CC589" s="27" t="s">
        <v>8</v>
      </c>
      <c r="CU589" s="27" t="s">
        <v>8</v>
      </c>
      <c r="CV589" s="27" t="s">
        <v>7</v>
      </c>
      <c r="CW589" s="27" t="s">
        <v>8</v>
      </c>
      <c r="CZ589" s="27" t="s">
        <v>7</v>
      </c>
      <c r="EC589" s="27" t="s">
        <v>8</v>
      </c>
      <c r="ED589" s="27" t="s">
        <v>7</v>
      </c>
      <c r="EE589" s="27" t="s">
        <v>8</v>
      </c>
      <c r="EF589" s="27" t="s">
        <v>7</v>
      </c>
      <c r="EG589" s="27" t="s">
        <v>8</v>
      </c>
      <c r="EJ589" s="27" t="s">
        <v>7</v>
      </c>
      <c r="EK589" s="27" t="s">
        <v>8</v>
      </c>
      <c r="EL589" s="27" t="s">
        <v>7</v>
      </c>
      <c r="EM589" s="27" t="s">
        <v>8</v>
      </c>
      <c r="EN589" s="27" t="s">
        <v>7</v>
      </c>
      <c r="FY589" s="27" t="s">
        <v>8</v>
      </c>
      <c r="FZ589" s="27" t="s">
        <v>7</v>
      </c>
      <c r="GA589" s="27" t="s">
        <v>8</v>
      </c>
      <c r="GB589" s="27" t="s">
        <v>7</v>
      </c>
      <c r="GG589" s="27" t="s">
        <v>8</v>
      </c>
      <c r="GL589" s="27" t="s">
        <v>7</v>
      </c>
      <c r="GM589" s="27" t="s">
        <v>8</v>
      </c>
      <c r="GP589" s="27" t="s">
        <v>7</v>
      </c>
      <c r="GQ589" s="27" t="s">
        <v>8</v>
      </c>
      <c r="GR589" s="27" t="s">
        <v>7</v>
      </c>
      <c r="GS589" s="27" t="s">
        <v>8</v>
      </c>
      <c r="GV589" s="27" t="s">
        <v>7</v>
      </c>
      <c r="GX589" s="27" t="s">
        <v>7</v>
      </c>
      <c r="GZ589" s="27" t="s">
        <v>7</v>
      </c>
      <c r="HA589" s="27" t="s">
        <v>8</v>
      </c>
      <c r="HB589" s="27" t="s">
        <v>7</v>
      </c>
      <c r="HC589" s="27" t="s">
        <v>8</v>
      </c>
      <c r="HD589" s="27" t="s">
        <v>7</v>
      </c>
      <c r="HE589" s="27" t="s">
        <v>8</v>
      </c>
      <c r="HF589" s="27" t="s">
        <v>7</v>
      </c>
      <c r="HG589" s="27" t="s">
        <v>8</v>
      </c>
      <c r="HR589" s="27" t="s">
        <v>7</v>
      </c>
      <c r="IY589" s="27" t="s">
        <v>8</v>
      </c>
      <c r="IZ589" s="27" t="s">
        <v>7</v>
      </c>
      <c r="JA589" s="27" t="s">
        <v>8</v>
      </c>
      <c r="JH589" s="27" t="s">
        <v>7</v>
      </c>
      <c r="JI589" s="27" t="s">
        <v>8</v>
      </c>
      <c r="JJ589" s="27" t="s">
        <v>7</v>
      </c>
      <c r="JK589" s="27" t="s">
        <v>8</v>
      </c>
      <c r="JN589" s="27" t="s">
        <v>7</v>
      </c>
      <c r="JO589" s="27" t="s">
        <v>8</v>
      </c>
    </row>
    <row r="590" spans="1:277" x14ac:dyDescent="0.25">
      <c r="A590" s="7">
        <v>0.94232233454704462</v>
      </c>
      <c r="B590"/>
      <c r="C590"/>
      <c r="D590"/>
      <c r="E590"/>
      <c r="BF590" s="27" t="s">
        <v>7</v>
      </c>
      <c r="BG590" s="27" t="s">
        <v>8</v>
      </c>
      <c r="BX590" s="27" t="s">
        <v>7</v>
      </c>
      <c r="BZ590" s="27" t="s">
        <v>7</v>
      </c>
      <c r="CA590" s="27" t="s">
        <v>8</v>
      </c>
      <c r="CC590" s="27" t="s">
        <v>8</v>
      </c>
      <c r="CD590" s="27" t="s">
        <v>7</v>
      </c>
      <c r="CU590" s="27" t="s">
        <v>8</v>
      </c>
      <c r="CV590" s="27" t="s">
        <v>7</v>
      </c>
      <c r="CZ590" s="27" t="s">
        <v>7</v>
      </c>
      <c r="EC590" s="27" t="s">
        <v>8</v>
      </c>
      <c r="ED590" s="27" t="s">
        <v>7</v>
      </c>
      <c r="EE590" s="27" t="s">
        <v>8</v>
      </c>
      <c r="EF590" s="27" t="s">
        <v>7</v>
      </c>
      <c r="EG590" s="27" t="s">
        <v>8</v>
      </c>
      <c r="EJ590" s="27" t="s">
        <v>7</v>
      </c>
      <c r="EK590" s="27" t="s">
        <v>8</v>
      </c>
      <c r="EL590" s="27" t="s">
        <v>7</v>
      </c>
      <c r="EM590" s="27" t="s">
        <v>8</v>
      </c>
      <c r="EN590" s="27" t="s">
        <v>7</v>
      </c>
      <c r="FY590" s="27" t="s">
        <v>8</v>
      </c>
      <c r="FZ590" s="27" t="s">
        <v>7</v>
      </c>
      <c r="GA590" s="27" t="s">
        <v>8</v>
      </c>
      <c r="GB590" s="27" t="s">
        <v>7</v>
      </c>
      <c r="GC590" s="27" t="s">
        <v>8</v>
      </c>
      <c r="GG590" s="27" t="s">
        <v>8</v>
      </c>
      <c r="GL590" s="27" t="s">
        <v>7</v>
      </c>
      <c r="GP590" s="27" t="s">
        <v>7</v>
      </c>
      <c r="GQ590" s="27" t="s">
        <v>8</v>
      </c>
      <c r="GR590" s="27" t="s">
        <v>7</v>
      </c>
      <c r="GS590" s="27" t="s">
        <v>8</v>
      </c>
      <c r="GZ590" s="27" t="s">
        <v>7</v>
      </c>
      <c r="HA590" s="27" t="s">
        <v>8</v>
      </c>
      <c r="HB590" s="27" t="s">
        <v>7</v>
      </c>
      <c r="HC590" s="27" t="s">
        <v>8</v>
      </c>
      <c r="HD590" s="27" t="s">
        <v>7</v>
      </c>
      <c r="HE590" s="27" t="s">
        <v>8</v>
      </c>
      <c r="HF590" s="27" t="s">
        <v>7</v>
      </c>
      <c r="HR590" s="27" t="s">
        <v>7</v>
      </c>
      <c r="HS590" s="27" t="s">
        <v>8</v>
      </c>
      <c r="HW590" s="27" t="s">
        <v>8</v>
      </c>
      <c r="IM590" s="27" t="s">
        <v>8</v>
      </c>
      <c r="IY590" s="27" t="s">
        <v>8</v>
      </c>
      <c r="IZ590" s="27" t="s">
        <v>7</v>
      </c>
      <c r="JA590" s="27" t="s">
        <v>8</v>
      </c>
      <c r="JH590" s="27" t="s">
        <v>7</v>
      </c>
      <c r="JI590" s="27" t="s">
        <v>8</v>
      </c>
      <c r="JJ590" s="27" t="s">
        <v>7</v>
      </c>
      <c r="JK590" s="27" t="s">
        <v>8</v>
      </c>
      <c r="JN590" s="27" t="s">
        <v>7</v>
      </c>
      <c r="JO590" s="27" t="s">
        <v>8</v>
      </c>
    </row>
    <row r="591" spans="1:277" x14ac:dyDescent="0.25">
      <c r="A591" s="7">
        <v>0.92384542602651432</v>
      </c>
      <c r="B591"/>
      <c r="C591"/>
      <c r="D591"/>
      <c r="E591"/>
      <c r="BF591" s="27" t="s">
        <v>7</v>
      </c>
      <c r="BG591" s="27" t="s">
        <v>8</v>
      </c>
      <c r="BZ591" s="27" t="s">
        <v>7</v>
      </c>
      <c r="CA591" s="27" t="s">
        <v>8</v>
      </c>
      <c r="CB591" s="27" t="s">
        <v>7</v>
      </c>
      <c r="CC591" s="27" t="s">
        <v>8</v>
      </c>
      <c r="CD591" s="27" t="s">
        <v>7</v>
      </c>
      <c r="CK591" s="27" t="s">
        <v>8</v>
      </c>
      <c r="CU591" s="27" t="s">
        <v>8</v>
      </c>
      <c r="CZ591" s="27" t="s">
        <v>7</v>
      </c>
      <c r="DA591" s="27" t="s">
        <v>8</v>
      </c>
      <c r="EC591" s="27" t="s">
        <v>8</v>
      </c>
      <c r="ED591" s="27" t="s">
        <v>7</v>
      </c>
      <c r="EE591" s="27" t="s">
        <v>8</v>
      </c>
      <c r="EF591" s="27" t="s">
        <v>7</v>
      </c>
      <c r="EJ591" s="27" t="s">
        <v>7</v>
      </c>
      <c r="EK591" s="27" t="s">
        <v>8</v>
      </c>
      <c r="EL591" s="27" t="s">
        <v>7</v>
      </c>
      <c r="EM591" s="27" t="s">
        <v>8</v>
      </c>
      <c r="EN591" s="27" t="s">
        <v>7</v>
      </c>
      <c r="FY591" s="27" t="s">
        <v>8</v>
      </c>
      <c r="FZ591" s="27" t="s">
        <v>7</v>
      </c>
      <c r="GA591" s="27" t="s">
        <v>8</v>
      </c>
      <c r="GB591" s="27" t="s">
        <v>7</v>
      </c>
      <c r="GC591" s="27" t="s">
        <v>8</v>
      </c>
      <c r="GD591" s="27" t="s">
        <v>7</v>
      </c>
      <c r="GE591" s="27" t="s">
        <v>8</v>
      </c>
      <c r="GG591" s="27" t="s">
        <v>8</v>
      </c>
      <c r="GP591" s="27" t="s">
        <v>7</v>
      </c>
      <c r="GQ591" s="27" t="s">
        <v>8</v>
      </c>
      <c r="GR591" s="27" t="s">
        <v>7</v>
      </c>
      <c r="GS591" s="27" t="s">
        <v>8</v>
      </c>
      <c r="GZ591" s="27" t="s">
        <v>7</v>
      </c>
      <c r="HA591" s="27" t="s">
        <v>8</v>
      </c>
      <c r="HB591" s="27" t="s">
        <v>7</v>
      </c>
      <c r="HD591" s="27" t="s">
        <v>7</v>
      </c>
      <c r="HE591" s="27" t="s">
        <v>8</v>
      </c>
      <c r="HR591" s="27" t="s">
        <v>7</v>
      </c>
      <c r="HS591" s="27" t="s">
        <v>8</v>
      </c>
      <c r="HT591" s="27" t="s">
        <v>7</v>
      </c>
      <c r="HW591" s="27" t="s">
        <v>8</v>
      </c>
      <c r="HX591" s="27" t="s">
        <v>7</v>
      </c>
      <c r="HY591" s="27" t="s">
        <v>8</v>
      </c>
      <c r="IM591" s="27" t="s">
        <v>8</v>
      </c>
      <c r="IN591" s="27" t="s">
        <v>7</v>
      </c>
      <c r="IY591" s="27" t="s">
        <v>8</v>
      </c>
      <c r="IZ591" s="27" t="s">
        <v>7</v>
      </c>
      <c r="JH591" s="27" t="s">
        <v>7</v>
      </c>
      <c r="JJ591" s="27" t="s">
        <v>7</v>
      </c>
      <c r="JN591" s="27" t="s">
        <v>7</v>
      </c>
    </row>
    <row r="592" spans="1:277" x14ac:dyDescent="0.25">
      <c r="A592" s="7">
        <v>0.90573080982991594</v>
      </c>
      <c r="B592"/>
      <c r="C592"/>
      <c r="D592"/>
      <c r="E592"/>
      <c r="BF592" s="27" t="s">
        <v>7</v>
      </c>
      <c r="BG592" s="27" t="s">
        <v>8</v>
      </c>
      <c r="BZ592" s="27" t="s">
        <v>7</v>
      </c>
      <c r="CA592" s="27" t="s">
        <v>8</v>
      </c>
      <c r="CB592" s="27" t="s">
        <v>7</v>
      </c>
      <c r="CC592" s="27" t="s">
        <v>8</v>
      </c>
      <c r="CD592" s="27" t="s">
        <v>7</v>
      </c>
      <c r="CK592" s="27" t="s">
        <v>8</v>
      </c>
      <c r="CL592" s="27" t="s">
        <v>7</v>
      </c>
      <c r="CU592" s="27" t="s">
        <v>8</v>
      </c>
      <c r="CZ592" s="27" t="s">
        <v>7</v>
      </c>
      <c r="DA592" s="27" t="s">
        <v>8</v>
      </c>
      <c r="DB592" s="27" t="s">
        <v>7</v>
      </c>
      <c r="DE592" s="27" t="s">
        <v>8</v>
      </c>
      <c r="DG592" s="27" t="s">
        <v>8</v>
      </c>
      <c r="EC592" s="27" t="s">
        <v>8</v>
      </c>
      <c r="ED592" s="27" t="s">
        <v>7</v>
      </c>
      <c r="EE592" s="27" t="s">
        <v>8</v>
      </c>
      <c r="EJ592" s="27" t="s">
        <v>7</v>
      </c>
      <c r="EL592" s="27" t="s">
        <v>7</v>
      </c>
      <c r="EM592" s="27" t="s">
        <v>8</v>
      </c>
      <c r="EN592" s="27" t="s">
        <v>7</v>
      </c>
      <c r="FY592" s="27" t="s">
        <v>8</v>
      </c>
      <c r="FZ592" s="27" t="s">
        <v>7</v>
      </c>
      <c r="GA592" s="27" t="s">
        <v>8</v>
      </c>
      <c r="GB592" s="27" t="s">
        <v>7</v>
      </c>
      <c r="GC592" s="27" t="s">
        <v>8</v>
      </c>
      <c r="GD592" s="27" t="s">
        <v>7</v>
      </c>
      <c r="GE592" s="27" t="s">
        <v>8</v>
      </c>
      <c r="GF592" s="27" t="s">
        <v>7</v>
      </c>
      <c r="GG592" s="27" t="s">
        <v>8</v>
      </c>
      <c r="GP592" s="27" t="s">
        <v>7</v>
      </c>
      <c r="GR592" s="27" t="s">
        <v>7</v>
      </c>
      <c r="GZ592" s="27" t="s">
        <v>7</v>
      </c>
      <c r="HD592" s="27" t="s">
        <v>7</v>
      </c>
      <c r="HE592" s="27" t="s">
        <v>8</v>
      </c>
      <c r="HR592" s="27" t="s">
        <v>7</v>
      </c>
      <c r="HS592" s="27" t="s">
        <v>8</v>
      </c>
      <c r="HT592" s="27" t="s">
        <v>7</v>
      </c>
      <c r="HW592" s="27" t="s">
        <v>8</v>
      </c>
      <c r="HX592" s="27" t="s">
        <v>7</v>
      </c>
      <c r="HY592" s="27" t="s">
        <v>8</v>
      </c>
      <c r="HZ592" s="27" t="s">
        <v>7</v>
      </c>
      <c r="IE592" s="27" t="s">
        <v>8</v>
      </c>
      <c r="IM592" s="27" t="s">
        <v>8</v>
      </c>
      <c r="IN592" s="27" t="s">
        <v>7</v>
      </c>
      <c r="IY592" s="27" t="s">
        <v>8</v>
      </c>
    </row>
    <row r="593" spans="1:259" x14ac:dyDescent="0.25">
      <c r="A593" s="7">
        <v>0.8879713821861922</v>
      </c>
      <c r="B593"/>
      <c r="C593"/>
      <c r="D593"/>
      <c r="E593"/>
      <c r="BF593" s="27" t="s">
        <v>7</v>
      </c>
      <c r="BZ593" s="27" t="s">
        <v>7</v>
      </c>
      <c r="CA593" s="27" t="s">
        <v>8</v>
      </c>
      <c r="CB593" s="27" t="s">
        <v>7</v>
      </c>
      <c r="CC593" s="27" t="s">
        <v>8</v>
      </c>
      <c r="CD593" s="27" t="s">
        <v>7</v>
      </c>
      <c r="CK593" s="27" t="s">
        <v>8</v>
      </c>
      <c r="CL593" s="27" t="s">
        <v>7</v>
      </c>
      <c r="CS593" s="27" t="s">
        <v>8</v>
      </c>
      <c r="CU593" s="27" t="s">
        <v>8</v>
      </c>
      <c r="CZ593" s="27" t="s">
        <v>7</v>
      </c>
      <c r="DA593" s="27" t="s">
        <v>8</v>
      </c>
      <c r="DB593" s="27" t="s">
        <v>7</v>
      </c>
      <c r="DE593" s="27" t="s">
        <v>8</v>
      </c>
      <c r="DF593" s="27" t="s">
        <v>7</v>
      </c>
      <c r="DG593" s="27" t="s">
        <v>8</v>
      </c>
      <c r="DH593" s="27" t="s">
        <v>7</v>
      </c>
      <c r="EC593" s="27" t="s">
        <v>8</v>
      </c>
      <c r="ED593" s="27" t="s">
        <v>7</v>
      </c>
      <c r="EE593" s="27" t="s">
        <v>8</v>
      </c>
      <c r="EL593" s="27" t="s">
        <v>7</v>
      </c>
      <c r="EN593" s="27" t="s">
        <v>7</v>
      </c>
      <c r="FY593" s="27" t="s">
        <v>8</v>
      </c>
      <c r="FZ593" s="27" t="s">
        <v>7</v>
      </c>
      <c r="GA593" s="27" t="s">
        <v>8</v>
      </c>
      <c r="GB593" s="27" t="s">
        <v>7</v>
      </c>
      <c r="GC593" s="27" t="s">
        <v>8</v>
      </c>
      <c r="GD593" s="27" t="s">
        <v>7</v>
      </c>
      <c r="GE593" s="27" t="s">
        <v>8</v>
      </c>
      <c r="GF593" s="27" t="s">
        <v>7</v>
      </c>
      <c r="GG593" s="27" t="s">
        <v>8</v>
      </c>
      <c r="HD593" s="27" t="s">
        <v>7</v>
      </c>
      <c r="HR593" s="27" t="s">
        <v>7</v>
      </c>
      <c r="HS593" s="27" t="s">
        <v>8</v>
      </c>
      <c r="HT593" s="27" t="s">
        <v>7</v>
      </c>
      <c r="HW593" s="27" t="s">
        <v>8</v>
      </c>
      <c r="HX593" s="27" t="s">
        <v>7</v>
      </c>
      <c r="HY593" s="27" t="s">
        <v>8</v>
      </c>
      <c r="HZ593" s="27" t="s">
        <v>7</v>
      </c>
      <c r="IE593" s="27" t="s">
        <v>8</v>
      </c>
      <c r="IF593" s="27" t="s">
        <v>7</v>
      </c>
      <c r="IM593" s="27" t="s">
        <v>8</v>
      </c>
      <c r="IN593" s="27" t="s">
        <v>7</v>
      </c>
      <c r="IY593" s="27" t="s">
        <v>8</v>
      </c>
    </row>
    <row r="594" spans="1:259" x14ac:dyDescent="0.25">
      <c r="A594" s="7">
        <v>0.87056017861391399</v>
      </c>
      <c r="B594"/>
      <c r="C594"/>
      <c r="D594"/>
      <c r="E594"/>
      <c r="BZ594" s="27" t="s">
        <v>7</v>
      </c>
      <c r="CB594" s="27" t="s">
        <v>7</v>
      </c>
      <c r="CD594" s="27" t="s">
        <v>7</v>
      </c>
      <c r="CK594" s="27" t="s">
        <v>8</v>
      </c>
      <c r="CL594" s="27" t="s">
        <v>7</v>
      </c>
      <c r="CM594" s="27" t="s">
        <v>8</v>
      </c>
      <c r="CQ594" s="27" t="s">
        <v>8</v>
      </c>
      <c r="CS594" s="27" t="s">
        <v>8</v>
      </c>
      <c r="CT594" s="27" t="s">
        <v>7</v>
      </c>
      <c r="CU594" s="27" t="s">
        <v>8</v>
      </c>
      <c r="CZ594" s="27" t="s">
        <v>7</v>
      </c>
      <c r="DA594" s="27" t="s">
        <v>8</v>
      </c>
      <c r="DB594" s="27" t="s">
        <v>7</v>
      </c>
      <c r="DE594" s="27" t="s">
        <v>8</v>
      </c>
      <c r="DF594" s="27" t="s">
        <v>7</v>
      </c>
      <c r="DG594" s="27" t="s">
        <v>8</v>
      </c>
      <c r="DH594" s="27" t="s">
        <v>7</v>
      </c>
      <c r="EC594" s="27" t="s">
        <v>8</v>
      </c>
      <c r="ED594" s="27" t="s">
        <v>7</v>
      </c>
      <c r="EE594" s="27" t="s">
        <v>8</v>
      </c>
      <c r="EN594" s="27" t="s">
        <v>7</v>
      </c>
      <c r="FY594" s="27" t="s">
        <v>8</v>
      </c>
      <c r="FZ594" s="27" t="s">
        <v>7</v>
      </c>
      <c r="GA594" s="27" t="s">
        <v>8</v>
      </c>
      <c r="GB594" s="27" t="s">
        <v>7</v>
      </c>
      <c r="GD594" s="27" t="s">
        <v>7</v>
      </c>
      <c r="GF594" s="27" t="s">
        <v>7</v>
      </c>
      <c r="GG594" s="27" t="s">
        <v>8</v>
      </c>
      <c r="HR594" s="27" t="s">
        <v>7</v>
      </c>
      <c r="HS594" s="27" t="s">
        <v>8</v>
      </c>
      <c r="HT594" s="27" t="s">
        <v>7</v>
      </c>
      <c r="HW594" s="27" t="s">
        <v>8</v>
      </c>
      <c r="HX594" s="27" t="s">
        <v>7</v>
      </c>
      <c r="HY594" s="27" t="s">
        <v>8</v>
      </c>
      <c r="HZ594" s="27" t="s">
        <v>7</v>
      </c>
      <c r="IC594" s="27" t="s">
        <v>8</v>
      </c>
      <c r="IE594" s="27" t="s">
        <v>8</v>
      </c>
      <c r="IF594" s="27" t="s">
        <v>7</v>
      </c>
      <c r="IM594" s="27" t="s">
        <v>8</v>
      </c>
      <c r="IN594" s="27" t="s">
        <v>7</v>
      </c>
      <c r="IY594" s="27" t="s">
        <v>8</v>
      </c>
    </row>
    <row r="595" spans="1:259" x14ac:dyDescent="0.25">
      <c r="A595" s="7">
        <v>0.85349037119011173</v>
      </c>
      <c r="B595"/>
      <c r="C595"/>
      <c r="D595"/>
      <c r="E595"/>
      <c r="CD595" s="27" t="s">
        <v>7</v>
      </c>
      <c r="CK595" s="27" t="s">
        <v>8</v>
      </c>
      <c r="CL595" s="27" t="s">
        <v>7</v>
      </c>
      <c r="CM595" s="27" t="s">
        <v>8</v>
      </c>
      <c r="CN595" s="27" t="s">
        <v>7</v>
      </c>
      <c r="CQ595" s="27" t="s">
        <v>8</v>
      </c>
      <c r="CR595" s="27" t="s">
        <v>7</v>
      </c>
      <c r="CS595" s="27" t="s">
        <v>8</v>
      </c>
      <c r="CT595" s="27" t="s">
        <v>7</v>
      </c>
      <c r="CU595" s="27" t="s">
        <v>8</v>
      </c>
      <c r="CZ595" s="27" t="s">
        <v>7</v>
      </c>
      <c r="DB595" s="27" t="s">
        <v>7</v>
      </c>
      <c r="DE595" s="27" t="s">
        <v>8</v>
      </c>
      <c r="DF595" s="27" t="s">
        <v>7</v>
      </c>
      <c r="DG595" s="27" t="s">
        <v>8</v>
      </c>
      <c r="DH595" s="27" t="s">
        <v>7</v>
      </c>
      <c r="EA595" s="27" t="s">
        <v>8</v>
      </c>
      <c r="EC595" s="27" t="s">
        <v>8</v>
      </c>
      <c r="ED595" s="27" t="s">
        <v>7</v>
      </c>
      <c r="EN595" s="27" t="s">
        <v>7</v>
      </c>
      <c r="FY595" s="27" t="s">
        <v>8</v>
      </c>
      <c r="FZ595" s="27" t="s">
        <v>7</v>
      </c>
      <c r="GA595" s="27" t="s">
        <v>8</v>
      </c>
      <c r="GF595" s="27" t="s">
        <v>7</v>
      </c>
      <c r="HR595" s="27" t="s">
        <v>7</v>
      </c>
      <c r="HS595" s="27" t="s">
        <v>8</v>
      </c>
      <c r="HT595" s="27" t="s">
        <v>7</v>
      </c>
      <c r="HU595" s="27" t="s">
        <v>8</v>
      </c>
      <c r="HW595" s="27" t="s">
        <v>8</v>
      </c>
      <c r="HX595" s="27" t="s">
        <v>7</v>
      </c>
      <c r="HZ595" s="27" t="s">
        <v>7</v>
      </c>
      <c r="IC595" s="27" t="s">
        <v>8</v>
      </c>
      <c r="ID595" s="27" t="s">
        <v>7</v>
      </c>
      <c r="IE595" s="27" t="s">
        <v>8</v>
      </c>
      <c r="IF595" s="27" t="s">
        <v>7</v>
      </c>
      <c r="IG595" s="27" t="s">
        <v>8</v>
      </c>
      <c r="IM595" s="27" t="s">
        <v>8</v>
      </c>
      <c r="IN595" s="27" t="s">
        <v>7</v>
      </c>
      <c r="IY595" s="27" t="s">
        <v>8</v>
      </c>
    </row>
    <row r="596" spans="1:259" x14ac:dyDescent="0.25">
      <c r="A596" s="7">
        <v>0.83675526587265858</v>
      </c>
      <c r="B596"/>
      <c r="C596"/>
      <c r="D596"/>
      <c r="E596"/>
      <c r="CD596" s="27" t="s">
        <v>7</v>
      </c>
      <c r="CK596" s="27" t="s">
        <v>8</v>
      </c>
      <c r="CL596" s="27" t="s">
        <v>7</v>
      </c>
      <c r="CM596" s="27" t="s">
        <v>8</v>
      </c>
      <c r="CN596" s="27" t="s">
        <v>7</v>
      </c>
      <c r="CQ596" s="27" t="s">
        <v>8</v>
      </c>
      <c r="CR596" s="27" t="s">
        <v>7</v>
      </c>
      <c r="CS596" s="27" t="s">
        <v>8</v>
      </c>
      <c r="CT596" s="27" t="s">
        <v>7</v>
      </c>
      <c r="DB596" s="27" t="s">
        <v>7</v>
      </c>
      <c r="DE596" s="27" t="s">
        <v>8</v>
      </c>
      <c r="DF596" s="27" t="s">
        <v>7</v>
      </c>
      <c r="DH596" s="27" t="s">
        <v>7</v>
      </c>
      <c r="DI596" s="27" t="s">
        <v>8</v>
      </c>
      <c r="EA596" s="27" t="s">
        <v>8</v>
      </c>
      <c r="EB596" s="27" t="s">
        <v>7</v>
      </c>
      <c r="EC596" s="27" t="s">
        <v>8</v>
      </c>
      <c r="EN596" s="27" t="s">
        <v>7</v>
      </c>
      <c r="EU596" s="27" t="s">
        <v>8</v>
      </c>
      <c r="FY596" s="27" t="s">
        <v>8</v>
      </c>
      <c r="FZ596" s="27" t="s">
        <v>7</v>
      </c>
      <c r="GA596" s="27" t="s">
        <v>8</v>
      </c>
      <c r="HR596" s="27" t="s">
        <v>7</v>
      </c>
      <c r="HS596" s="27" t="s">
        <v>8</v>
      </c>
      <c r="HT596" s="27" t="s">
        <v>7</v>
      </c>
      <c r="HU596" s="27" t="s">
        <v>8</v>
      </c>
      <c r="HV596" s="27" t="s">
        <v>7</v>
      </c>
      <c r="HW596" s="27" t="s">
        <v>8</v>
      </c>
      <c r="HZ596" s="27" t="s">
        <v>7</v>
      </c>
      <c r="IC596" s="27" t="s">
        <v>8</v>
      </c>
      <c r="ID596" s="27" t="s">
        <v>7</v>
      </c>
      <c r="IE596" s="27" t="s">
        <v>8</v>
      </c>
      <c r="IF596" s="27" t="s">
        <v>7</v>
      </c>
      <c r="IG596" s="27" t="s">
        <v>8</v>
      </c>
      <c r="IH596" s="27" t="s">
        <v>7</v>
      </c>
      <c r="IK596" s="27" t="s">
        <v>8</v>
      </c>
      <c r="IM596" s="27" t="s">
        <v>8</v>
      </c>
      <c r="IN596" s="27" t="s">
        <v>7</v>
      </c>
      <c r="IY596" s="27" t="s">
        <v>8</v>
      </c>
    </row>
    <row r="597" spans="1:259" x14ac:dyDescent="0.25">
      <c r="A597" s="7">
        <v>0.82034829987515545</v>
      </c>
      <c r="B597"/>
      <c r="C597"/>
      <c r="D597"/>
      <c r="E597"/>
      <c r="CD597" s="27" t="s">
        <v>7</v>
      </c>
      <c r="CI597" s="27" t="s">
        <v>8</v>
      </c>
      <c r="CK597" s="27" t="s">
        <v>8</v>
      </c>
      <c r="CL597" s="27" t="s">
        <v>7</v>
      </c>
      <c r="CM597" s="27" t="s">
        <v>8</v>
      </c>
      <c r="CN597" s="27" t="s">
        <v>7</v>
      </c>
      <c r="CO597" s="27" t="s">
        <v>8</v>
      </c>
      <c r="CQ597" s="27" t="s">
        <v>8</v>
      </c>
      <c r="CR597" s="27" t="s">
        <v>7</v>
      </c>
      <c r="CS597" s="27" t="s">
        <v>8</v>
      </c>
      <c r="DB597" s="27" t="s">
        <v>7</v>
      </c>
      <c r="DE597" s="27" t="s">
        <v>8</v>
      </c>
      <c r="DH597" s="27" t="s">
        <v>7</v>
      </c>
      <c r="DI597" s="27" t="s">
        <v>8</v>
      </c>
      <c r="DJ597" s="27" t="s">
        <v>7</v>
      </c>
      <c r="EA597" s="27" t="s">
        <v>8</v>
      </c>
      <c r="EB597" s="27" t="s">
        <v>7</v>
      </c>
      <c r="EC597" s="27" t="s">
        <v>8</v>
      </c>
      <c r="EN597" s="27" t="s">
        <v>7</v>
      </c>
      <c r="EU597" s="27" t="s">
        <v>8</v>
      </c>
      <c r="EV597" s="27" t="s">
        <v>7</v>
      </c>
      <c r="FY597" s="27" t="s">
        <v>8</v>
      </c>
      <c r="FZ597" s="27" t="s">
        <v>7</v>
      </c>
      <c r="GA597" s="27" t="s">
        <v>8</v>
      </c>
      <c r="HR597" s="27" t="s">
        <v>7</v>
      </c>
      <c r="HS597" s="27" t="s">
        <v>8</v>
      </c>
      <c r="HT597" s="27" t="s">
        <v>7</v>
      </c>
      <c r="HU597" s="27" t="s">
        <v>8</v>
      </c>
      <c r="HV597" s="27" t="s">
        <v>7</v>
      </c>
      <c r="HW597" s="27" t="s">
        <v>8</v>
      </c>
      <c r="HZ597" s="27" t="s">
        <v>7</v>
      </c>
      <c r="IC597" s="27" t="s">
        <v>8</v>
      </c>
      <c r="ID597" s="27" t="s">
        <v>7</v>
      </c>
      <c r="IE597" s="27" t="s">
        <v>8</v>
      </c>
      <c r="IF597" s="27" t="s">
        <v>7</v>
      </c>
      <c r="IG597" s="27" t="s">
        <v>8</v>
      </c>
      <c r="IH597" s="27" t="s">
        <v>7</v>
      </c>
      <c r="IK597" s="27" t="s">
        <v>8</v>
      </c>
      <c r="IL597" s="27" t="s">
        <v>7</v>
      </c>
      <c r="IM597" s="27" t="s">
        <v>8</v>
      </c>
      <c r="IN597" s="27" t="s">
        <v>7</v>
      </c>
      <c r="IU597" s="27" t="s">
        <v>8</v>
      </c>
      <c r="IY597" s="27" t="s">
        <v>8</v>
      </c>
    </row>
    <row r="598" spans="1:259" x14ac:dyDescent="0.25">
      <c r="A598" s="7">
        <v>0.80426303909328967</v>
      </c>
      <c r="B598"/>
      <c r="C598"/>
      <c r="D598"/>
      <c r="E598"/>
      <c r="CD598" s="27" t="s">
        <v>7</v>
      </c>
      <c r="CI598" s="27" t="s">
        <v>8</v>
      </c>
      <c r="CJ598" s="27" t="s">
        <v>7</v>
      </c>
      <c r="CK598" s="27" t="s">
        <v>8</v>
      </c>
      <c r="CL598" s="27" t="s">
        <v>7</v>
      </c>
      <c r="CM598" s="27" t="s">
        <v>8</v>
      </c>
      <c r="CN598" s="27" t="s">
        <v>7</v>
      </c>
      <c r="CO598" s="27" t="s">
        <v>8</v>
      </c>
      <c r="CP598" s="27" t="s">
        <v>7</v>
      </c>
      <c r="CQ598" s="27" t="s">
        <v>8</v>
      </c>
      <c r="CR598" s="27" t="s">
        <v>7</v>
      </c>
      <c r="DB598" s="27" t="s">
        <v>7</v>
      </c>
      <c r="DC598" s="27" t="s">
        <v>8</v>
      </c>
      <c r="DE598" s="27" t="s">
        <v>8</v>
      </c>
      <c r="DH598" s="27" t="s">
        <v>7</v>
      </c>
      <c r="DI598" s="27" t="s">
        <v>8</v>
      </c>
      <c r="DJ598" s="27" t="s">
        <v>7</v>
      </c>
      <c r="EA598" s="27" t="s">
        <v>8</v>
      </c>
      <c r="EB598" s="27" t="s">
        <v>7</v>
      </c>
      <c r="EN598" s="27" t="s">
        <v>7</v>
      </c>
      <c r="EO598" s="27" t="s">
        <v>8</v>
      </c>
      <c r="ES598" s="27" t="s">
        <v>8</v>
      </c>
      <c r="EU598" s="27" t="s">
        <v>8</v>
      </c>
      <c r="EV598" s="27" t="s">
        <v>7</v>
      </c>
      <c r="FY598" s="27" t="s">
        <v>8</v>
      </c>
      <c r="FZ598" s="27" t="s">
        <v>7</v>
      </c>
      <c r="GA598" s="27" t="s">
        <v>8</v>
      </c>
      <c r="HR598" s="27" t="s">
        <v>7</v>
      </c>
      <c r="HT598" s="27" t="s">
        <v>7</v>
      </c>
      <c r="HU598" s="27" t="s">
        <v>8</v>
      </c>
      <c r="HV598" s="27" t="s">
        <v>7</v>
      </c>
      <c r="HW598" s="27" t="s">
        <v>8</v>
      </c>
      <c r="HZ598" s="27" t="s">
        <v>7</v>
      </c>
      <c r="IC598" s="27" t="s">
        <v>8</v>
      </c>
      <c r="ID598" s="27" t="s">
        <v>7</v>
      </c>
      <c r="IE598" s="27" t="s">
        <v>8</v>
      </c>
      <c r="IF598" s="27" t="s">
        <v>7</v>
      </c>
      <c r="IG598" s="27" t="s">
        <v>8</v>
      </c>
      <c r="IH598" s="27" t="s">
        <v>7</v>
      </c>
      <c r="IK598" s="27" t="s">
        <v>8</v>
      </c>
      <c r="IL598" s="27" t="s">
        <v>7</v>
      </c>
      <c r="IM598" s="27" t="s">
        <v>8</v>
      </c>
      <c r="IN598" s="27" t="s">
        <v>7</v>
      </c>
      <c r="IU598" s="27" t="s">
        <v>8</v>
      </c>
      <c r="IV598" s="27" t="s">
        <v>7</v>
      </c>
      <c r="IW598" s="27" t="s">
        <v>8</v>
      </c>
      <c r="IY598" s="27" t="s">
        <v>8</v>
      </c>
    </row>
    <row r="599" spans="1:259" x14ac:dyDescent="0.25">
      <c r="A599" s="7">
        <v>0.78849317558165644</v>
      </c>
      <c r="B599"/>
      <c r="C599"/>
      <c r="D599"/>
      <c r="E599"/>
      <c r="CD599" s="27" t="s">
        <v>7</v>
      </c>
      <c r="CE599" s="27" t="s">
        <v>8</v>
      </c>
      <c r="CI599" s="27" t="s">
        <v>8</v>
      </c>
      <c r="CJ599" s="27" t="s">
        <v>7</v>
      </c>
      <c r="CK599" s="27" t="s">
        <v>8</v>
      </c>
      <c r="CL599" s="27" t="s">
        <v>7</v>
      </c>
      <c r="CM599" s="27" t="s">
        <v>8</v>
      </c>
      <c r="CN599" s="27" t="s">
        <v>7</v>
      </c>
      <c r="CO599" s="27" t="s">
        <v>8</v>
      </c>
      <c r="CP599" s="27" t="s">
        <v>7</v>
      </c>
      <c r="CQ599" s="27" t="s">
        <v>8</v>
      </c>
      <c r="DB599" s="27" t="s">
        <v>7</v>
      </c>
      <c r="DC599" s="27" t="s">
        <v>8</v>
      </c>
      <c r="DD599" s="27" t="s">
        <v>7</v>
      </c>
      <c r="DE599" s="27" t="s">
        <v>8</v>
      </c>
      <c r="DH599" s="27" t="s">
        <v>7</v>
      </c>
      <c r="DJ599" s="27" t="s">
        <v>7</v>
      </c>
      <c r="EA599" s="27" t="s">
        <v>8</v>
      </c>
      <c r="EN599" s="27" t="s">
        <v>7</v>
      </c>
      <c r="EO599" s="27" t="s">
        <v>8</v>
      </c>
      <c r="EP599" s="27" t="s">
        <v>7</v>
      </c>
      <c r="ES599" s="27" t="s">
        <v>8</v>
      </c>
      <c r="ET599" s="27" t="s">
        <v>7</v>
      </c>
      <c r="EU599" s="27" t="s">
        <v>8</v>
      </c>
      <c r="EV599" s="27" t="s">
        <v>7</v>
      </c>
      <c r="FW599" s="27" t="s">
        <v>8</v>
      </c>
      <c r="FY599" s="27" t="s">
        <v>8</v>
      </c>
      <c r="FZ599" s="27" t="s">
        <v>7</v>
      </c>
      <c r="HT599" s="27" t="s">
        <v>7</v>
      </c>
      <c r="HU599" s="27" t="s">
        <v>8</v>
      </c>
      <c r="HV599" s="27" t="s">
        <v>7</v>
      </c>
      <c r="HZ599" s="27" t="s">
        <v>7</v>
      </c>
      <c r="IC599" s="27" t="s">
        <v>8</v>
      </c>
      <c r="ID599" s="27" t="s">
        <v>7</v>
      </c>
      <c r="IF599" s="27" t="s">
        <v>7</v>
      </c>
      <c r="IH599" s="27" t="s">
        <v>7</v>
      </c>
      <c r="II599" s="27" t="s">
        <v>8</v>
      </c>
      <c r="IK599" s="27" t="s">
        <v>8</v>
      </c>
      <c r="IL599" s="27" t="s">
        <v>7</v>
      </c>
      <c r="IM599" s="27" t="s">
        <v>8</v>
      </c>
      <c r="IN599" s="27" t="s">
        <v>7</v>
      </c>
      <c r="IQ599" s="27" t="s">
        <v>8</v>
      </c>
      <c r="IS599" s="27" t="s">
        <v>8</v>
      </c>
      <c r="IU599" s="27" t="s">
        <v>8</v>
      </c>
      <c r="IV599" s="27" t="s">
        <v>7</v>
      </c>
      <c r="IW599" s="27" t="s">
        <v>8</v>
      </c>
      <c r="IX599" s="27" t="s">
        <v>7</v>
      </c>
      <c r="IY599" s="27" t="s">
        <v>8</v>
      </c>
    </row>
    <row r="600" spans="1:259" x14ac:dyDescent="0.25">
      <c r="A600" s="7">
        <v>0.77303252508005538</v>
      </c>
      <c r="B600"/>
      <c r="C600"/>
      <c r="D600"/>
      <c r="E600"/>
      <c r="CD600" s="27" t="s">
        <v>7</v>
      </c>
      <c r="CE600" s="27" t="s">
        <v>8</v>
      </c>
      <c r="CF600" s="27" t="s">
        <v>7</v>
      </c>
      <c r="CI600" s="27" t="s">
        <v>8</v>
      </c>
      <c r="CJ600" s="27" t="s">
        <v>7</v>
      </c>
      <c r="CL600" s="27" t="s">
        <v>7</v>
      </c>
      <c r="CN600" s="27" t="s">
        <v>7</v>
      </c>
      <c r="CP600" s="27" t="s">
        <v>7</v>
      </c>
      <c r="CQ600" s="27" t="s">
        <v>8</v>
      </c>
      <c r="DB600" s="27" t="s">
        <v>7</v>
      </c>
      <c r="DC600" s="27" t="s">
        <v>8</v>
      </c>
      <c r="DD600" s="27" t="s">
        <v>7</v>
      </c>
      <c r="DE600" s="27" t="s">
        <v>8</v>
      </c>
      <c r="DJ600" s="27" t="s">
        <v>7</v>
      </c>
      <c r="EA600" s="27" t="s">
        <v>8</v>
      </c>
      <c r="EN600" s="27" t="s">
        <v>7</v>
      </c>
      <c r="EO600" s="27" t="s">
        <v>8</v>
      </c>
      <c r="EP600" s="27" t="s">
        <v>7</v>
      </c>
      <c r="EQ600" s="27" t="s">
        <v>8</v>
      </c>
      <c r="ES600" s="27" t="s">
        <v>8</v>
      </c>
      <c r="ET600" s="27" t="s">
        <v>7</v>
      </c>
      <c r="EU600" s="27" t="s">
        <v>8</v>
      </c>
      <c r="EV600" s="27" t="s">
        <v>7</v>
      </c>
      <c r="FW600" s="27" t="s">
        <v>8</v>
      </c>
      <c r="FX600" s="27" t="s">
        <v>7</v>
      </c>
      <c r="FY600" s="27" t="s">
        <v>8</v>
      </c>
      <c r="HT600" s="27" t="s">
        <v>7</v>
      </c>
      <c r="HZ600" s="27" t="s">
        <v>7</v>
      </c>
      <c r="IC600" s="27" t="s">
        <v>8</v>
      </c>
      <c r="IH600" s="27" t="s">
        <v>7</v>
      </c>
      <c r="II600" s="27" t="s">
        <v>8</v>
      </c>
      <c r="IJ600" s="27" t="s">
        <v>7</v>
      </c>
      <c r="IK600" s="27" t="s">
        <v>8</v>
      </c>
      <c r="IL600" s="27" t="s">
        <v>7</v>
      </c>
      <c r="IM600" s="27" t="s">
        <v>8</v>
      </c>
      <c r="IN600" s="27" t="s">
        <v>7</v>
      </c>
      <c r="IQ600" s="27" t="s">
        <v>8</v>
      </c>
      <c r="IR600" s="27" t="s">
        <v>7</v>
      </c>
      <c r="IS600" s="27" t="s">
        <v>8</v>
      </c>
      <c r="IT600" s="27" t="s">
        <v>7</v>
      </c>
      <c r="IU600" s="27" t="s">
        <v>8</v>
      </c>
      <c r="IV600" s="27" t="s">
        <v>7</v>
      </c>
      <c r="IW600" s="27" t="s">
        <v>8</v>
      </c>
      <c r="IX600" s="27" t="s">
        <v>7</v>
      </c>
      <c r="IY600" s="27" t="s">
        <v>8</v>
      </c>
    </row>
    <row r="601" spans="1:259" x14ac:dyDescent="0.25">
      <c r="A601" s="7">
        <v>0.75787502458828959</v>
      </c>
      <c r="B601"/>
      <c r="C601"/>
      <c r="D601"/>
      <c r="E601"/>
      <c r="CD601" s="27" t="s">
        <v>7</v>
      </c>
      <c r="CE601" s="27" t="s">
        <v>8</v>
      </c>
      <c r="CF601" s="27" t="s">
        <v>7</v>
      </c>
      <c r="CG601" s="27" t="s">
        <v>8</v>
      </c>
      <c r="CI601" s="27" t="s">
        <v>8</v>
      </c>
      <c r="CP601" s="27" t="s">
        <v>7</v>
      </c>
      <c r="CQ601" s="27" t="s">
        <v>8</v>
      </c>
      <c r="DB601" s="27" t="s">
        <v>7</v>
      </c>
      <c r="DC601" s="27" t="s">
        <v>8</v>
      </c>
      <c r="DD601" s="27" t="s">
        <v>7</v>
      </c>
      <c r="DE601" s="27" t="s">
        <v>8</v>
      </c>
      <c r="DJ601" s="27" t="s">
        <v>7</v>
      </c>
      <c r="DW601" s="27" t="s">
        <v>8</v>
      </c>
      <c r="EA601" s="27" t="s">
        <v>8</v>
      </c>
      <c r="EN601" s="27" t="s">
        <v>7</v>
      </c>
      <c r="EO601" s="27" t="s">
        <v>8</v>
      </c>
      <c r="EP601" s="27" t="s">
        <v>7</v>
      </c>
      <c r="EQ601" s="27" t="s">
        <v>8</v>
      </c>
      <c r="ER601" s="27" t="s">
        <v>7</v>
      </c>
      <c r="ES601" s="27" t="s">
        <v>8</v>
      </c>
      <c r="ET601" s="27" t="s">
        <v>7</v>
      </c>
      <c r="EV601" s="27" t="s">
        <v>7</v>
      </c>
      <c r="FW601" s="27" t="s">
        <v>8</v>
      </c>
      <c r="FX601" s="27" t="s">
        <v>7</v>
      </c>
      <c r="FY601" s="27" t="s">
        <v>8</v>
      </c>
      <c r="HZ601" s="27" t="s">
        <v>7</v>
      </c>
      <c r="IA601" s="27" t="s">
        <v>8</v>
      </c>
      <c r="IC601" s="27" t="s">
        <v>8</v>
      </c>
      <c r="IH601" s="27" t="s">
        <v>7</v>
      </c>
      <c r="II601" s="27" t="s">
        <v>8</v>
      </c>
      <c r="IJ601" s="27" t="s">
        <v>7</v>
      </c>
      <c r="IK601" s="27" t="s">
        <v>8</v>
      </c>
      <c r="IL601" s="27" t="s">
        <v>7</v>
      </c>
      <c r="IN601" s="27" t="s">
        <v>7</v>
      </c>
      <c r="IQ601" s="27" t="s">
        <v>8</v>
      </c>
      <c r="IR601" s="27" t="s">
        <v>7</v>
      </c>
      <c r="IS601" s="27" t="s">
        <v>8</v>
      </c>
      <c r="IT601" s="27" t="s">
        <v>7</v>
      </c>
      <c r="IU601" s="27" t="s">
        <v>8</v>
      </c>
      <c r="IV601" s="27" t="s">
        <v>7</v>
      </c>
      <c r="IX601" s="27" t="s">
        <v>7</v>
      </c>
      <c r="IY601" s="27" t="s">
        <v>8</v>
      </c>
    </row>
    <row r="602" spans="1:259" x14ac:dyDescent="0.25">
      <c r="A602" s="7">
        <v>0.74301472998851925</v>
      </c>
      <c r="B602"/>
      <c r="C602"/>
      <c r="D602"/>
      <c r="E602"/>
      <c r="CD602" s="27" t="s">
        <v>7</v>
      </c>
      <c r="CE602" s="27" t="s">
        <v>8</v>
      </c>
      <c r="CF602" s="27" t="s">
        <v>7</v>
      </c>
      <c r="CG602" s="27" t="s">
        <v>8</v>
      </c>
      <c r="CH602" s="27" t="s">
        <v>7</v>
      </c>
      <c r="CI602" s="27" t="s">
        <v>8</v>
      </c>
      <c r="CP602" s="27" t="s">
        <v>7</v>
      </c>
      <c r="CQ602" s="27" t="s">
        <v>8</v>
      </c>
      <c r="DB602" s="27" t="s">
        <v>7</v>
      </c>
      <c r="DC602" s="27" t="s">
        <v>8</v>
      </c>
      <c r="DD602" s="27" t="s">
        <v>7</v>
      </c>
      <c r="DE602" s="27" t="s">
        <v>8</v>
      </c>
      <c r="DJ602" s="27" t="s">
        <v>7</v>
      </c>
      <c r="DU602" s="27" t="s">
        <v>8</v>
      </c>
      <c r="DW602" s="27" t="s">
        <v>8</v>
      </c>
      <c r="DX602" s="27" t="s">
        <v>7</v>
      </c>
      <c r="EA602" s="27" t="s">
        <v>8</v>
      </c>
      <c r="EN602" s="27" t="s">
        <v>7</v>
      </c>
      <c r="EO602" s="27" t="s">
        <v>8</v>
      </c>
      <c r="EP602" s="27" t="s">
        <v>7</v>
      </c>
      <c r="EQ602" s="27" t="s">
        <v>8</v>
      </c>
      <c r="ER602" s="27" t="s">
        <v>7</v>
      </c>
      <c r="ES602" s="27" t="s">
        <v>8</v>
      </c>
      <c r="EV602" s="27" t="s">
        <v>7</v>
      </c>
      <c r="FW602" s="27" t="s">
        <v>8</v>
      </c>
      <c r="FX602" s="27" t="s">
        <v>7</v>
      </c>
      <c r="FY602" s="27" t="s">
        <v>8</v>
      </c>
      <c r="HZ602" s="27" t="s">
        <v>7</v>
      </c>
      <c r="IA602" s="27" t="s">
        <v>8</v>
      </c>
      <c r="IB602" s="27" t="s">
        <v>7</v>
      </c>
      <c r="IC602" s="27" t="s">
        <v>8</v>
      </c>
      <c r="IH602" s="27" t="s">
        <v>7</v>
      </c>
      <c r="II602" s="27" t="s">
        <v>8</v>
      </c>
      <c r="IJ602" s="27" t="s">
        <v>7</v>
      </c>
      <c r="IK602" s="27" t="s">
        <v>8</v>
      </c>
      <c r="IN602" s="27" t="s">
        <v>7</v>
      </c>
      <c r="IO602" s="27" t="s">
        <v>8</v>
      </c>
      <c r="IQ602" s="27" t="s">
        <v>8</v>
      </c>
      <c r="IR602" s="27" t="s">
        <v>7</v>
      </c>
      <c r="IS602" s="27" t="s">
        <v>8</v>
      </c>
      <c r="IT602" s="27" t="s">
        <v>7</v>
      </c>
      <c r="IU602" s="27" t="s">
        <v>8</v>
      </c>
      <c r="IX602" s="27" t="s">
        <v>7</v>
      </c>
      <c r="IY602" s="27" t="s">
        <v>8</v>
      </c>
    </row>
    <row r="603" spans="1:259" x14ac:dyDescent="0.25">
      <c r="A603" s="7">
        <v>0.72844581371423456</v>
      </c>
      <c r="B603"/>
      <c r="C603"/>
      <c r="D603"/>
      <c r="E603"/>
      <c r="CD603" s="27" t="s">
        <v>7</v>
      </c>
      <c r="CE603" s="27" t="s">
        <v>8</v>
      </c>
      <c r="CF603" s="27" t="s">
        <v>7</v>
      </c>
      <c r="CG603" s="27" t="s">
        <v>8</v>
      </c>
      <c r="CH603" s="27" t="s">
        <v>7</v>
      </c>
      <c r="CI603" s="27" t="s">
        <v>8</v>
      </c>
      <c r="CP603" s="27" t="s">
        <v>7</v>
      </c>
      <c r="CQ603" s="27" t="s">
        <v>8</v>
      </c>
      <c r="DB603" s="27" t="s">
        <v>7</v>
      </c>
      <c r="DD603" s="27" t="s">
        <v>7</v>
      </c>
      <c r="DE603" s="27" t="s">
        <v>8</v>
      </c>
      <c r="DJ603" s="27" t="s">
        <v>7</v>
      </c>
      <c r="DU603" s="27" t="s">
        <v>8</v>
      </c>
      <c r="DV603" s="27" t="s">
        <v>7</v>
      </c>
      <c r="DW603" s="27" t="s">
        <v>8</v>
      </c>
      <c r="DX603" s="27" t="s">
        <v>7</v>
      </c>
      <c r="EA603" s="27" t="s">
        <v>8</v>
      </c>
      <c r="EN603" s="27" t="s">
        <v>7</v>
      </c>
      <c r="EP603" s="27" t="s">
        <v>7</v>
      </c>
      <c r="ER603" s="27" t="s">
        <v>7</v>
      </c>
      <c r="ES603" s="27" t="s">
        <v>8</v>
      </c>
      <c r="EV603" s="27" t="s">
        <v>7</v>
      </c>
      <c r="FW603" s="27" t="s">
        <v>8</v>
      </c>
      <c r="FX603" s="27" t="s">
        <v>7</v>
      </c>
      <c r="HZ603" s="27" t="s">
        <v>7</v>
      </c>
      <c r="IA603" s="27" t="s">
        <v>8</v>
      </c>
      <c r="IB603" s="27" t="s">
        <v>7</v>
      </c>
      <c r="IC603" s="27" t="s">
        <v>8</v>
      </c>
      <c r="IH603" s="27" t="s">
        <v>7</v>
      </c>
      <c r="IJ603" s="27" t="s">
        <v>7</v>
      </c>
      <c r="IK603" s="27" t="s">
        <v>8</v>
      </c>
      <c r="IN603" s="27" t="s">
        <v>7</v>
      </c>
      <c r="IO603" s="27" t="s">
        <v>8</v>
      </c>
      <c r="IP603" s="27" t="s">
        <v>7</v>
      </c>
      <c r="IQ603" s="27" t="s">
        <v>8</v>
      </c>
      <c r="IR603" s="27" t="s">
        <v>7</v>
      </c>
      <c r="IS603" s="27" t="s">
        <v>8</v>
      </c>
      <c r="IT603" s="27" t="s">
        <v>7</v>
      </c>
      <c r="IX603" s="27" t="s">
        <v>7</v>
      </c>
      <c r="IY603" s="27" t="s">
        <v>8</v>
      </c>
    </row>
    <row r="604" spans="1:259" x14ac:dyDescent="0.25">
      <c r="A604" s="7">
        <v>0.71416256246493581</v>
      </c>
      <c r="B604"/>
      <c r="C604"/>
      <c r="D604"/>
      <c r="E604"/>
      <c r="CD604" s="27" t="s">
        <v>7</v>
      </c>
      <c r="CE604" s="27" t="s">
        <v>8</v>
      </c>
      <c r="CF604" s="27" t="s">
        <v>7</v>
      </c>
      <c r="CG604" s="27" t="s">
        <v>8</v>
      </c>
      <c r="CH604" s="27" t="s">
        <v>7</v>
      </c>
      <c r="CP604" s="27" t="s">
        <v>7</v>
      </c>
      <c r="DD604" s="27" t="s">
        <v>7</v>
      </c>
      <c r="DE604" s="27" t="s">
        <v>8</v>
      </c>
      <c r="DJ604" s="27" t="s">
        <v>7</v>
      </c>
      <c r="DK604" s="27" t="s">
        <v>8</v>
      </c>
      <c r="DU604" s="27" t="s">
        <v>8</v>
      </c>
      <c r="DV604" s="27" t="s">
        <v>7</v>
      </c>
      <c r="DW604" s="27" t="s">
        <v>8</v>
      </c>
      <c r="DX604" s="27" t="s">
        <v>7</v>
      </c>
      <c r="DY604" s="27" t="s">
        <v>8</v>
      </c>
      <c r="EA604" s="27" t="s">
        <v>8</v>
      </c>
      <c r="ER604" s="27" t="s">
        <v>7</v>
      </c>
      <c r="EV604" s="27" t="s">
        <v>7</v>
      </c>
      <c r="FU604" s="27" t="s">
        <v>8</v>
      </c>
      <c r="FW604" s="27" t="s">
        <v>8</v>
      </c>
      <c r="HZ604" s="27" t="s">
        <v>7</v>
      </c>
      <c r="IA604" s="27" t="s">
        <v>8</v>
      </c>
      <c r="IB604" s="27" t="s">
        <v>7</v>
      </c>
      <c r="IC604" s="27" t="s">
        <v>8</v>
      </c>
      <c r="IJ604" s="27" t="s">
        <v>7</v>
      </c>
      <c r="IK604" s="27" t="s">
        <v>8</v>
      </c>
      <c r="IN604" s="27" t="s">
        <v>7</v>
      </c>
      <c r="IO604" s="27" t="s">
        <v>8</v>
      </c>
      <c r="IP604" s="27" t="s">
        <v>7</v>
      </c>
      <c r="IQ604" s="27" t="s">
        <v>8</v>
      </c>
      <c r="IR604" s="27" t="s">
        <v>7</v>
      </c>
      <c r="IS604" s="27" t="s">
        <v>8</v>
      </c>
      <c r="IX604" s="27" t="s">
        <v>7</v>
      </c>
    </row>
    <row r="605" spans="1:259" x14ac:dyDescent="0.25">
      <c r="A605" s="7">
        <v>0.7001593749656233</v>
      </c>
      <c r="B605"/>
      <c r="C605"/>
      <c r="D605"/>
      <c r="E605"/>
      <c r="CD605" s="27" t="s">
        <v>7</v>
      </c>
      <c r="CE605" s="27" t="s">
        <v>8</v>
      </c>
      <c r="CF605" s="27" t="s">
        <v>7</v>
      </c>
      <c r="DD605" s="27" t="s">
        <v>7</v>
      </c>
      <c r="DJ605" s="27" t="s">
        <v>7</v>
      </c>
      <c r="DK605" s="27" t="s">
        <v>8</v>
      </c>
      <c r="DL605" s="27" t="s">
        <v>7</v>
      </c>
      <c r="DM605" s="27" t="s">
        <v>8</v>
      </c>
      <c r="DO605" s="27" t="s">
        <v>8</v>
      </c>
      <c r="DS605" s="27" t="s">
        <v>8</v>
      </c>
      <c r="DU605" s="27" t="s">
        <v>8</v>
      </c>
      <c r="DV605" s="27" t="s">
        <v>7</v>
      </c>
      <c r="DW605" s="27" t="s">
        <v>8</v>
      </c>
      <c r="DX605" s="27" t="s">
        <v>7</v>
      </c>
      <c r="DY605" s="27" t="s">
        <v>8</v>
      </c>
      <c r="DZ605" s="27" t="s">
        <v>7</v>
      </c>
      <c r="EA605" s="27" t="s">
        <v>8</v>
      </c>
      <c r="EV605" s="27" t="s">
        <v>7</v>
      </c>
      <c r="EW605" s="27" t="s">
        <v>8</v>
      </c>
      <c r="FU605" s="27" t="s">
        <v>8</v>
      </c>
      <c r="FV605" s="27" t="s">
        <v>7</v>
      </c>
      <c r="FW605" s="27" t="s">
        <v>8</v>
      </c>
      <c r="HZ605" s="27" t="s">
        <v>7</v>
      </c>
      <c r="IA605" s="27" t="s">
        <v>8</v>
      </c>
      <c r="IB605" s="27" t="s">
        <v>7</v>
      </c>
      <c r="IC605" s="27" t="s">
        <v>8</v>
      </c>
      <c r="IJ605" s="27" t="s">
        <v>7</v>
      </c>
      <c r="IN605" s="27" t="s">
        <v>7</v>
      </c>
      <c r="IP605" s="27" t="s">
        <v>7</v>
      </c>
      <c r="IQ605" s="27" t="s">
        <v>8</v>
      </c>
      <c r="IR605" s="27" t="s">
        <v>7</v>
      </c>
    </row>
    <row r="606" spans="1:259" x14ac:dyDescent="0.25">
      <c r="A606" s="7">
        <v>0.68643075977021883</v>
      </c>
      <c r="B606"/>
      <c r="C606"/>
      <c r="D606"/>
      <c r="E606"/>
      <c r="CD606" s="27" t="s">
        <v>7</v>
      </c>
      <c r="CE606" s="27" t="s">
        <v>8</v>
      </c>
      <c r="DJ606" s="27" t="s">
        <v>7</v>
      </c>
      <c r="DK606" s="27" t="s">
        <v>8</v>
      </c>
      <c r="DL606" s="27" t="s">
        <v>7</v>
      </c>
      <c r="DM606" s="27" t="s">
        <v>8</v>
      </c>
      <c r="DN606" s="27" t="s">
        <v>7</v>
      </c>
      <c r="DO606" s="27" t="s">
        <v>8</v>
      </c>
      <c r="DP606" s="27" t="s">
        <v>7</v>
      </c>
      <c r="DQ606" s="27" t="s">
        <v>8</v>
      </c>
      <c r="DS606" s="27" t="s">
        <v>8</v>
      </c>
      <c r="DT606" s="27" t="s">
        <v>7</v>
      </c>
      <c r="DU606" s="27" t="s">
        <v>8</v>
      </c>
      <c r="DV606" s="27" t="s">
        <v>7</v>
      </c>
      <c r="DW606" s="27" t="s">
        <v>8</v>
      </c>
      <c r="DX606" s="27" t="s">
        <v>7</v>
      </c>
      <c r="DY606" s="27" t="s">
        <v>8</v>
      </c>
      <c r="DZ606" s="27" t="s">
        <v>7</v>
      </c>
      <c r="EA606" s="27" t="s">
        <v>8</v>
      </c>
      <c r="EV606" s="27" t="s">
        <v>7</v>
      </c>
      <c r="EW606" s="27" t="s">
        <v>8</v>
      </c>
      <c r="EX606" s="27" t="s">
        <v>7</v>
      </c>
      <c r="FQ606" s="27" t="s">
        <v>8</v>
      </c>
      <c r="FU606" s="27" t="s">
        <v>8</v>
      </c>
      <c r="FV606" s="27" t="s">
        <v>7</v>
      </c>
      <c r="FW606" s="27" t="s">
        <v>8</v>
      </c>
      <c r="HZ606" s="27" t="s">
        <v>7</v>
      </c>
      <c r="IA606" s="27" t="s">
        <v>8</v>
      </c>
      <c r="IB606" s="27" t="s">
        <v>7</v>
      </c>
      <c r="IC606" s="27" t="s">
        <v>8</v>
      </c>
      <c r="IP606" s="27" t="s">
        <v>7</v>
      </c>
      <c r="IQ606" s="27" t="s">
        <v>8</v>
      </c>
    </row>
    <row r="607" spans="1:259" x14ac:dyDescent="0.25">
      <c r="A607" s="7">
        <v>0.67297133310805768</v>
      </c>
      <c r="B607"/>
      <c r="C607"/>
      <c r="D607"/>
      <c r="E607"/>
      <c r="CD607" s="27" t="s">
        <v>7</v>
      </c>
      <c r="DJ607" s="27" t="s">
        <v>7</v>
      </c>
      <c r="DK607" s="27" t="s">
        <v>8</v>
      </c>
      <c r="DL607" s="27" t="s">
        <v>7</v>
      </c>
      <c r="DM607" s="27" t="s">
        <v>8</v>
      </c>
      <c r="DN607" s="27" t="s">
        <v>7</v>
      </c>
      <c r="DO607" s="27" t="s">
        <v>8</v>
      </c>
      <c r="DP607" s="27" t="s">
        <v>7</v>
      </c>
      <c r="DQ607" s="27" t="s">
        <v>8</v>
      </c>
      <c r="DR607" s="27" t="s">
        <v>7</v>
      </c>
      <c r="DS607" s="27" t="s">
        <v>8</v>
      </c>
      <c r="DT607" s="27" t="s">
        <v>7</v>
      </c>
      <c r="DU607" s="27" t="s">
        <v>8</v>
      </c>
      <c r="DV607" s="27" t="s">
        <v>7</v>
      </c>
      <c r="DW607" s="27" t="s">
        <v>8</v>
      </c>
      <c r="DX607" s="27" t="s">
        <v>7</v>
      </c>
      <c r="DY607" s="27" t="s">
        <v>8</v>
      </c>
      <c r="DZ607" s="27" t="s">
        <v>7</v>
      </c>
      <c r="EA607" s="27" t="s">
        <v>8</v>
      </c>
      <c r="EV607" s="27" t="s">
        <v>7</v>
      </c>
      <c r="EW607" s="27" t="s">
        <v>8</v>
      </c>
      <c r="EX607" s="27" t="s">
        <v>7</v>
      </c>
      <c r="FQ607" s="27" t="s">
        <v>8</v>
      </c>
      <c r="FR607" s="27" t="s">
        <v>7</v>
      </c>
      <c r="FU607" s="27" t="s">
        <v>8</v>
      </c>
      <c r="FV607" s="27" t="s">
        <v>7</v>
      </c>
      <c r="FW607" s="27" t="s">
        <v>8</v>
      </c>
      <c r="HZ607" s="27" t="s">
        <v>7</v>
      </c>
      <c r="IB607" s="27" t="s">
        <v>7</v>
      </c>
      <c r="IP607" s="27" t="s">
        <v>7</v>
      </c>
    </row>
    <row r="608" spans="1:259" x14ac:dyDescent="0.25">
      <c r="A608" s="7">
        <v>0.65977581677260566</v>
      </c>
      <c r="B608"/>
      <c r="C608"/>
      <c r="D608"/>
      <c r="E608"/>
      <c r="DJ608" s="27" t="s">
        <v>7</v>
      </c>
      <c r="DK608" s="27" t="s">
        <v>8</v>
      </c>
      <c r="DL608" s="27" t="s">
        <v>7</v>
      </c>
      <c r="DN608" s="27" t="s">
        <v>7</v>
      </c>
      <c r="DP608" s="27" t="s">
        <v>7</v>
      </c>
      <c r="DQ608" s="27" t="s">
        <v>8</v>
      </c>
      <c r="DR608" s="27" t="s">
        <v>7</v>
      </c>
      <c r="DS608" s="27" t="s">
        <v>8</v>
      </c>
      <c r="DT608" s="27" t="s">
        <v>7</v>
      </c>
      <c r="DU608" s="27" t="s">
        <v>8</v>
      </c>
      <c r="DV608" s="27" t="s">
        <v>7</v>
      </c>
      <c r="DX608" s="27" t="s">
        <v>7</v>
      </c>
      <c r="DZ608" s="27" t="s">
        <v>7</v>
      </c>
      <c r="EA608" s="27" t="s">
        <v>8</v>
      </c>
      <c r="EV608" s="27" t="s">
        <v>7</v>
      </c>
      <c r="EW608" s="27" t="s">
        <v>8</v>
      </c>
      <c r="EX608" s="27" t="s">
        <v>7</v>
      </c>
      <c r="FG608" s="27" t="s">
        <v>8</v>
      </c>
      <c r="FQ608" s="27" t="s">
        <v>8</v>
      </c>
      <c r="FR608" s="27" t="s">
        <v>7</v>
      </c>
      <c r="FS608" s="27" t="s">
        <v>8</v>
      </c>
      <c r="FU608" s="27" t="s">
        <v>8</v>
      </c>
      <c r="FV608" s="27" t="s">
        <v>7</v>
      </c>
      <c r="FW608" s="27" t="s">
        <v>8</v>
      </c>
    </row>
    <row r="609" spans="1:179" x14ac:dyDescent="0.25">
      <c r="A609" s="7">
        <v>0.64683903605157422</v>
      </c>
      <c r="B609"/>
      <c r="C609"/>
      <c r="D609"/>
      <c r="E609"/>
      <c r="DJ609" s="27" t="s">
        <v>7</v>
      </c>
      <c r="DK609" s="27" t="s">
        <v>8</v>
      </c>
      <c r="DP609" s="27" t="s">
        <v>7</v>
      </c>
      <c r="DR609" s="27" t="s">
        <v>7</v>
      </c>
      <c r="DS609" s="27" t="s">
        <v>8</v>
      </c>
      <c r="DT609" s="27" t="s">
        <v>7</v>
      </c>
      <c r="DU609" s="27" t="s">
        <v>8</v>
      </c>
      <c r="DZ609" s="27" t="s">
        <v>7</v>
      </c>
      <c r="EV609" s="27" t="s">
        <v>7</v>
      </c>
      <c r="EX609" s="27" t="s">
        <v>7</v>
      </c>
      <c r="FG609" s="27" t="s">
        <v>8</v>
      </c>
      <c r="FH609" s="27" t="s">
        <v>7</v>
      </c>
      <c r="FQ609" s="27" t="s">
        <v>8</v>
      </c>
      <c r="FR609" s="27" t="s">
        <v>7</v>
      </c>
      <c r="FS609" s="27" t="s">
        <v>8</v>
      </c>
      <c r="FT609" s="27" t="s">
        <v>7</v>
      </c>
      <c r="FU609" s="27" t="s">
        <v>8</v>
      </c>
      <c r="FV609" s="27" t="s">
        <v>7</v>
      </c>
      <c r="FW609" s="27" t="s">
        <v>8</v>
      </c>
    </row>
    <row r="610" spans="1:179" x14ac:dyDescent="0.25">
      <c r="A610" s="7">
        <v>0.63415591769762181</v>
      </c>
      <c r="B610"/>
      <c r="C610"/>
      <c r="D610"/>
      <c r="E610"/>
      <c r="DJ610" s="27" t="s">
        <v>7</v>
      </c>
      <c r="DK610" s="27" t="s">
        <v>8</v>
      </c>
      <c r="DR610" s="27" t="s">
        <v>7</v>
      </c>
      <c r="DS610" s="27" t="s">
        <v>8</v>
      </c>
      <c r="DT610" s="27" t="s">
        <v>7</v>
      </c>
      <c r="DU610" s="27" t="s">
        <v>8</v>
      </c>
      <c r="EX610" s="27" t="s">
        <v>7</v>
      </c>
      <c r="FG610" s="27" t="s">
        <v>8</v>
      </c>
      <c r="FH610" s="27" t="s">
        <v>7</v>
      </c>
      <c r="FQ610" s="27" t="s">
        <v>8</v>
      </c>
      <c r="FR610" s="27" t="s">
        <v>7</v>
      </c>
      <c r="FS610" s="27" t="s">
        <v>8</v>
      </c>
      <c r="FT610" s="27" t="s">
        <v>7</v>
      </c>
      <c r="FU610" s="27" t="s">
        <v>8</v>
      </c>
      <c r="FV610" s="27" t="s">
        <v>7</v>
      </c>
      <c r="FW610" s="27" t="s">
        <v>8</v>
      </c>
    </row>
    <row r="611" spans="1:179" x14ac:dyDescent="0.25">
      <c r="A611" s="7">
        <v>0.62172148793884496</v>
      </c>
      <c r="B611"/>
      <c r="C611"/>
      <c r="D611"/>
      <c r="E611"/>
      <c r="DJ611" s="27" t="s">
        <v>7</v>
      </c>
      <c r="DR611" s="27" t="s">
        <v>7</v>
      </c>
      <c r="DT611" s="27" t="s">
        <v>7</v>
      </c>
      <c r="DU611" s="27" t="s">
        <v>8</v>
      </c>
      <c r="EX611" s="27" t="s">
        <v>7</v>
      </c>
      <c r="FG611" s="27" t="s">
        <v>8</v>
      </c>
      <c r="FH611" s="27" t="s">
        <v>7</v>
      </c>
      <c r="FI611" s="27" t="s">
        <v>8</v>
      </c>
      <c r="FQ611" s="27" t="s">
        <v>8</v>
      </c>
      <c r="FR611" s="27" t="s">
        <v>7</v>
      </c>
      <c r="FT611" s="27" t="s">
        <v>7</v>
      </c>
      <c r="FU611" s="27" t="s">
        <v>8</v>
      </c>
      <c r="FV611" s="27" t="s">
        <v>7</v>
      </c>
      <c r="FW611" s="27" t="s">
        <v>8</v>
      </c>
    </row>
    <row r="612" spans="1:179" x14ac:dyDescent="0.25">
      <c r="A612" s="7">
        <v>0.60953087052827937</v>
      </c>
      <c r="B612"/>
      <c r="C612"/>
      <c r="D612"/>
      <c r="E612"/>
      <c r="DT612" s="27" t="s">
        <v>7</v>
      </c>
      <c r="DU612" s="27" t="s">
        <v>8</v>
      </c>
      <c r="EX612" s="27" t="s">
        <v>7</v>
      </c>
      <c r="FG612" s="27" t="s">
        <v>8</v>
      </c>
      <c r="FH612" s="27" t="s">
        <v>7</v>
      </c>
      <c r="FI612" s="27" t="s">
        <v>8</v>
      </c>
      <c r="FJ612" s="27" t="s">
        <v>7</v>
      </c>
      <c r="FO612" s="27" t="s">
        <v>8</v>
      </c>
      <c r="FQ612" s="27" t="s">
        <v>8</v>
      </c>
      <c r="FT612" s="27" t="s">
        <v>7</v>
      </c>
      <c r="FV612" s="27" t="s">
        <v>7</v>
      </c>
      <c r="FW612" s="27" t="s">
        <v>8</v>
      </c>
    </row>
    <row r="613" spans="1:179" x14ac:dyDescent="0.25">
      <c r="A613" s="7">
        <v>0.59757928483164646</v>
      </c>
      <c r="B613"/>
      <c r="C613"/>
      <c r="D613"/>
      <c r="E613"/>
      <c r="DT613" s="27" t="s">
        <v>7</v>
      </c>
      <c r="EX613" s="27" t="s">
        <v>7</v>
      </c>
      <c r="FG613" s="27" t="s">
        <v>8</v>
      </c>
      <c r="FH613" s="27" t="s">
        <v>7</v>
      </c>
      <c r="FI613" s="27" t="s">
        <v>8</v>
      </c>
      <c r="FJ613" s="27" t="s">
        <v>7</v>
      </c>
      <c r="FM613" s="27" t="s">
        <v>8</v>
      </c>
      <c r="FO613" s="27" t="s">
        <v>8</v>
      </c>
      <c r="FP613" s="27" t="s">
        <v>7</v>
      </c>
      <c r="FQ613" s="27" t="s">
        <v>8</v>
      </c>
      <c r="FV613" s="27" t="s">
        <v>7</v>
      </c>
      <c r="FW613" s="27" t="s">
        <v>8</v>
      </c>
    </row>
    <row r="614" spans="1:179" x14ac:dyDescent="0.25">
      <c r="A614" s="7">
        <v>0.58586204395259456</v>
      </c>
      <c r="B614"/>
      <c r="C614"/>
      <c r="D614"/>
      <c r="E614"/>
      <c r="EX614" s="27" t="s">
        <v>7</v>
      </c>
      <c r="FG614" s="27" t="s">
        <v>8</v>
      </c>
      <c r="FH614" s="27" t="s">
        <v>7</v>
      </c>
      <c r="FI614" s="27" t="s">
        <v>8</v>
      </c>
      <c r="FJ614" s="27" t="s">
        <v>7</v>
      </c>
      <c r="FM614" s="27" t="s">
        <v>8</v>
      </c>
      <c r="FN614" s="27" t="s">
        <v>7</v>
      </c>
      <c r="FO614" s="27" t="s">
        <v>8</v>
      </c>
      <c r="FP614" s="27" t="s">
        <v>7</v>
      </c>
      <c r="FQ614" s="27" t="s">
        <v>8</v>
      </c>
      <c r="FV614" s="27" t="s">
        <v>7</v>
      </c>
      <c r="FW614" s="27" t="s">
        <v>8</v>
      </c>
    </row>
    <row r="615" spans="1:179" x14ac:dyDescent="0.25">
      <c r="A615" s="7">
        <v>0.57437455289470052</v>
      </c>
      <c r="B615"/>
      <c r="C615"/>
      <c r="D615"/>
      <c r="E615"/>
      <c r="EX615" s="27" t="s">
        <v>7</v>
      </c>
      <c r="FG615" s="27" t="s">
        <v>8</v>
      </c>
      <c r="FH615" s="27" t="s">
        <v>7</v>
      </c>
      <c r="FJ615" s="27" t="s">
        <v>7</v>
      </c>
      <c r="FM615" s="27" t="s">
        <v>8</v>
      </c>
      <c r="FN615" s="27" t="s">
        <v>7</v>
      </c>
      <c r="FO615" s="27" t="s">
        <v>8</v>
      </c>
      <c r="FP615" s="27" t="s">
        <v>7</v>
      </c>
      <c r="FV615" s="27" t="s">
        <v>7</v>
      </c>
      <c r="FW615" s="27" t="s">
        <v>8</v>
      </c>
    </row>
    <row r="616" spans="1:179" x14ac:dyDescent="0.25">
      <c r="A616" s="7">
        <v>0.56311230675951029</v>
      </c>
      <c r="B616"/>
      <c r="C616"/>
      <c r="D616"/>
      <c r="E616"/>
      <c r="EX616" s="27" t="s">
        <v>7</v>
      </c>
      <c r="FG616" s="27" t="s">
        <v>8</v>
      </c>
      <c r="FJ616" s="27" t="s">
        <v>7</v>
      </c>
      <c r="FK616" s="27" t="s">
        <v>8</v>
      </c>
      <c r="FM616" s="27" t="s">
        <v>8</v>
      </c>
      <c r="FN616" s="27" t="s">
        <v>7</v>
      </c>
      <c r="FO616" s="27" t="s">
        <v>8</v>
      </c>
      <c r="FV616" s="27" t="s">
        <v>7</v>
      </c>
    </row>
    <row r="617" spans="1:179" x14ac:dyDescent="0.25">
      <c r="A617" s="7">
        <v>0.55207088897991208</v>
      </c>
      <c r="B617"/>
      <c r="C617"/>
      <c r="D617"/>
      <c r="E617"/>
      <c r="EX617" s="27" t="s">
        <v>7</v>
      </c>
      <c r="FG617" s="27" t="s">
        <v>8</v>
      </c>
      <c r="FJ617" s="27" t="s">
        <v>7</v>
      </c>
      <c r="FK617" s="27" t="s">
        <v>8</v>
      </c>
      <c r="FL617" s="27" t="s">
        <v>7</v>
      </c>
      <c r="FM617" s="27" t="s">
        <v>8</v>
      </c>
      <c r="FN617" s="27" t="s">
        <v>7</v>
      </c>
      <c r="FO617" s="27" t="s">
        <v>8</v>
      </c>
    </row>
    <row r="618" spans="1:179" x14ac:dyDescent="0.25">
      <c r="A618" s="7">
        <v>0.54124596958814908</v>
      </c>
      <c r="B618"/>
      <c r="C618"/>
      <c r="D618"/>
      <c r="E618"/>
      <c r="EX618" s="27" t="s">
        <v>7</v>
      </c>
      <c r="FG618" s="27" t="s">
        <v>8</v>
      </c>
      <c r="FJ618" s="27" t="s">
        <v>7</v>
      </c>
      <c r="FK618" s="27" t="s">
        <v>8</v>
      </c>
      <c r="FL618" s="27" t="s">
        <v>7</v>
      </c>
      <c r="FM618" s="27" t="s">
        <v>8</v>
      </c>
      <c r="FN618" s="27" t="s">
        <v>7</v>
      </c>
      <c r="FO618" s="27" t="s">
        <v>8</v>
      </c>
    </row>
    <row r="619" spans="1:179" x14ac:dyDescent="0.25">
      <c r="A619" s="7">
        <v>0.53063330351779314</v>
      </c>
      <c r="B619"/>
      <c r="C619"/>
      <c r="D619"/>
      <c r="E619"/>
      <c r="EX619" s="27" t="s">
        <v>7</v>
      </c>
      <c r="FA619" s="27" t="s">
        <v>8</v>
      </c>
      <c r="FG619" s="27" t="s">
        <v>8</v>
      </c>
      <c r="FJ619" s="27" t="s">
        <v>7</v>
      </c>
      <c r="FL619" s="27" t="s">
        <v>7</v>
      </c>
      <c r="FM619" s="27" t="s">
        <v>8</v>
      </c>
      <c r="FN619" s="27" t="s">
        <v>7</v>
      </c>
    </row>
    <row r="620" spans="1:179" x14ac:dyDescent="0.25">
      <c r="A620" s="7">
        <v>0.52022872893901284</v>
      </c>
      <c r="B620"/>
      <c r="C620"/>
      <c r="D620"/>
      <c r="E620"/>
      <c r="EX620" s="27" t="s">
        <v>7</v>
      </c>
      <c r="FA620" s="27" t="s">
        <v>8</v>
      </c>
      <c r="FB620" s="27" t="s">
        <v>7</v>
      </c>
      <c r="FC620" s="27" t="s">
        <v>8</v>
      </c>
      <c r="FG620" s="27" t="s">
        <v>8</v>
      </c>
      <c r="FL620" s="27" t="s">
        <v>7</v>
      </c>
    </row>
    <row r="621" spans="1:179" x14ac:dyDescent="0.25">
      <c r="A621" s="7">
        <v>0.51002816562648323</v>
      </c>
      <c r="B621"/>
      <c r="C621"/>
      <c r="D621"/>
      <c r="E621"/>
      <c r="EX621" s="27" t="s">
        <v>7</v>
      </c>
      <c r="FA621" s="27" t="s">
        <v>8</v>
      </c>
      <c r="FB621" s="27" t="s">
        <v>7</v>
      </c>
      <c r="FC621" s="27" t="s">
        <v>8</v>
      </c>
      <c r="FD621" s="27" t="s">
        <v>7</v>
      </c>
      <c r="FE621" s="27" t="s">
        <v>8</v>
      </c>
      <c r="FG621" s="27" t="s">
        <v>8</v>
      </c>
    </row>
    <row r="622" spans="1:179" x14ac:dyDescent="0.25">
      <c r="A622" s="7">
        <v>0.50002761335929735</v>
      </c>
      <c r="B622"/>
      <c r="C622"/>
      <c r="D622"/>
      <c r="E622"/>
      <c r="EX622" s="27" t="s">
        <v>7</v>
      </c>
      <c r="FA622" s="27" t="s">
        <v>8</v>
      </c>
      <c r="FB622" s="27" t="s">
        <v>7</v>
      </c>
      <c r="FC622" s="27" t="s">
        <v>8</v>
      </c>
      <c r="FD622" s="27" t="s">
        <v>7</v>
      </c>
      <c r="FE622" s="27" t="s">
        <v>8</v>
      </c>
      <c r="FF622" s="27" t="s">
        <v>7</v>
      </c>
      <c r="FG622" s="27" t="s">
        <v>8</v>
      </c>
    </row>
    <row r="623" spans="1:179" x14ac:dyDescent="0.25">
      <c r="A623" s="7">
        <v>0.49022315035225228</v>
      </c>
      <c r="B623"/>
      <c r="C623"/>
      <c r="D623"/>
      <c r="E623"/>
      <c r="EX623" s="27" t="s">
        <v>7</v>
      </c>
      <c r="FA623" s="27" t="s">
        <v>8</v>
      </c>
      <c r="FB623" s="27" t="s">
        <v>7</v>
      </c>
      <c r="FC623" s="27" t="s">
        <v>8</v>
      </c>
      <c r="FD623" s="27" t="s">
        <v>7</v>
      </c>
      <c r="FE623" s="27" t="s">
        <v>8</v>
      </c>
      <c r="FF623" s="27" t="s">
        <v>7</v>
      </c>
      <c r="FG623" s="27" t="s">
        <v>8</v>
      </c>
    </row>
    <row r="624" spans="1:179" x14ac:dyDescent="0.25">
      <c r="A624" s="7">
        <v>0.48061093171789437</v>
      </c>
      <c r="B624"/>
      <c r="C624"/>
      <c r="D624"/>
      <c r="E624"/>
      <c r="EX624" s="27" t="s">
        <v>7</v>
      </c>
      <c r="FA624" s="27" t="s">
        <v>8</v>
      </c>
      <c r="FB624" s="27" t="s">
        <v>7</v>
      </c>
      <c r="FC624" s="27" t="s">
        <v>8</v>
      </c>
      <c r="FD624" s="27" t="s">
        <v>7</v>
      </c>
      <c r="FE624" s="27" t="s">
        <v>8</v>
      </c>
      <c r="FF624" s="27" t="s">
        <v>7</v>
      </c>
      <c r="FG624" s="27" t="s">
        <v>8</v>
      </c>
    </row>
    <row r="625" spans="1:163" x14ac:dyDescent="0.25">
      <c r="A625" s="7">
        <v>0.47118718795871994</v>
      </c>
      <c r="B625"/>
      <c r="C625"/>
      <c r="D625"/>
      <c r="E625"/>
      <c r="EX625" s="27" t="s">
        <v>7</v>
      </c>
      <c r="FA625" s="27" t="s">
        <v>8</v>
      </c>
      <c r="FB625" s="27" t="s">
        <v>7</v>
      </c>
      <c r="FC625" s="27" t="s">
        <v>8</v>
      </c>
      <c r="FD625" s="27" t="s">
        <v>7</v>
      </c>
      <c r="FF625" s="27" t="s">
        <v>7</v>
      </c>
      <c r="FG625" s="27" t="s">
        <v>8</v>
      </c>
    </row>
    <row r="626" spans="1:163" x14ac:dyDescent="0.25">
      <c r="A626" s="7">
        <v>0.46194822348894116</v>
      </c>
      <c r="B626"/>
      <c r="C626"/>
      <c r="D626"/>
      <c r="E626"/>
      <c r="EX626" s="27" t="s">
        <v>7</v>
      </c>
      <c r="FA626" s="27" t="s">
        <v>8</v>
      </c>
      <c r="FB626" s="27" t="s">
        <v>7</v>
      </c>
      <c r="FC626" s="27" t="s">
        <v>8</v>
      </c>
      <c r="FF626" s="27" t="s">
        <v>7</v>
      </c>
      <c r="FG626" s="27" t="s">
        <v>8</v>
      </c>
    </row>
    <row r="627" spans="1:163" x14ac:dyDescent="0.25">
      <c r="A627" s="7">
        <v>0.45289041518523643</v>
      </c>
      <c r="B627"/>
      <c r="C627"/>
      <c r="D627"/>
      <c r="E627"/>
      <c r="EX627" s="27" t="s">
        <v>7</v>
      </c>
      <c r="FA627" s="27" t="s">
        <v>8</v>
      </c>
      <c r="FB627" s="27" t="s">
        <v>7</v>
      </c>
      <c r="FC627" s="27" t="s">
        <v>8</v>
      </c>
      <c r="FF627" s="27" t="s">
        <v>7</v>
      </c>
      <c r="FG627" s="27" t="s">
        <v>8</v>
      </c>
    </row>
    <row r="628" spans="1:163" x14ac:dyDescent="0.25">
      <c r="A628" s="7">
        <v>0.44401021096591808</v>
      </c>
      <c r="B628"/>
      <c r="C628"/>
      <c r="D628"/>
      <c r="E628"/>
      <c r="EX628" s="27" t="s">
        <v>7</v>
      </c>
      <c r="FA628" s="27" t="s">
        <v>8</v>
      </c>
      <c r="FB628" s="27" t="s">
        <v>7</v>
      </c>
      <c r="FC628" s="27" t="s">
        <v>8</v>
      </c>
      <c r="FF628" s="27" t="s">
        <v>7</v>
      </c>
      <c r="FG628" s="27" t="s">
        <v>8</v>
      </c>
    </row>
    <row r="629" spans="1:163" x14ac:dyDescent="0.25">
      <c r="A629" s="7">
        <v>0.4353041283979589</v>
      </c>
      <c r="B629"/>
      <c r="C629"/>
      <c r="D629"/>
      <c r="E629"/>
      <c r="EX629" s="27" t="s">
        <v>7</v>
      </c>
      <c r="EY629" s="27" t="s">
        <v>8</v>
      </c>
      <c r="FA629" s="27" t="s">
        <v>8</v>
      </c>
      <c r="FB629" s="27" t="s">
        <v>7</v>
      </c>
      <c r="FC629" s="27" t="s">
        <v>8</v>
      </c>
      <c r="FF629" s="27" t="s">
        <v>7</v>
      </c>
    </row>
    <row r="630" spans="1:163" x14ac:dyDescent="0.25">
      <c r="A630" s="7">
        <v>0.4267687533313323</v>
      </c>
      <c r="B630"/>
      <c r="C630"/>
      <c r="D630"/>
      <c r="E630"/>
      <c r="EX630" s="27" t="s">
        <v>7</v>
      </c>
      <c r="EY630" s="27" t="s">
        <v>8</v>
      </c>
      <c r="EZ630" s="27" t="s">
        <v>7</v>
      </c>
      <c r="FA630" s="27" t="s">
        <v>8</v>
      </c>
      <c r="FB630" s="27" t="s">
        <v>7</v>
      </c>
      <c r="FC630" s="27" t="s">
        <v>8</v>
      </c>
    </row>
    <row r="631" spans="1:163" x14ac:dyDescent="0.25">
      <c r="A631" s="7">
        <v>0.41840073856012971</v>
      </c>
      <c r="B631"/>
      <c r="C631"/>
      <c r="D631"/>
      <c r="E631"/>
      <c r="EX631" s="27" t="s">
        <v>7</v>
      </c>
      <c r="EY631" s="27" t="s">
        <v>8</v>
      </c>
      <c r="EZ631" s="27" t="s">
        <v>7</v>
      </c>
      <c r="FA631" s="27" t="s">
        <v>8</v>
      </c>
      <c r="FB631" s="27" t="s">
        <v>7</v>
      </c>
      <c r="FC631" s="27" t="s">
        <v>8</v>
      </c>
    </row>
    <row r="632" spans="1:163" x14ac:dyDescent="0.25">
      <c r="A632" s="7">
        <v>0.41019680250993112</v>
      </c>
      <c r="B632"/>
      <c r="C632"/>
      <c r="D632"/>
      <c r="E632"/>
      <c r="EX632" s="27" t="s">
        <v>7</v>
      </c>
      <c r="EY632" s="27" t="s">
        <v>8</v>
      </c>
      <c r="EZ632" s="27" t="s">
        <v>7</v>
      </c>
      <c r="FA632" s="27" t="s">
        <v>8</v>
      </c>
      <c r="FB632" s="27" t="s">
        <v>7</v>
      </c>
      <c r="FC632" s="27" t="s">
        <v>8</v>
      </c>
    </row>
    <row r="633" spans="1:163" x14ac:dyDescent="0.25">
      <c r="A633" s="7">
        <v>0.40215372795091286</v>
      </c>
      <c r="B633"/>
      <c r="C633"/>
      <c r="D633"/>
      <c r="E633"/>
      <c r="EX633" s="27" t="s">
        <v>7</v>
      </c>
      <c r="EY633" s="27" t="s">
        <v>8</v>
      </c>
      <c r="EZ633" s="27" t="s">
        <v>7</v>
      </c>
      <c r="FA633" s="27" t="s">
        <v>8</v>
      </c>
      <c r="FB633" s="27" t="s">
        <v>7</v>
      </c>
      <c r="FC633" s="27" t="s">
        <v>8</v>
      </c>
    </row>
    <row r="634" spans="1:163" x14ac:dyDescent="0.25">
      <c r="A634" s="7">
        <v>0.39426836073618904</v>
      </c>
      <c r="B634"/>
      <c r="C634"/>
      <c r="D634"/>
      <c r="E634"/>
      <c r="EX634" s="27" t="s">
        <v>7</v>
      </c>
      <c r="EY634" s="27" t="s">
        <v>8</v>
      </c>
      <c r="EZ634" s="27" t="s">
        <v>7</v>
      </c>
      <c r="FA634" s="27" t="s">
        <v>8</v>
      </c>
      <c r="FB634" s="27" t="s">
        <v>7</v>
      </c>
    </row>
    <row r="635" spans="1:163" x14ac:dyDescent="0.25">
      <c r="A635" s="7">
        <v>0.38653760856489122</v>
      </c>
      <c r="B635"/>
      <c r="C635"/>
      <c r="D635"/>
      <c r="E635"/>
      <c r="EX635" s="27" t="s">
        <v>7</v>
      </c>
      <c r="EY635" s="27" t="s">
        <v>8</v>
      </c>
      <c r="EZ635" s="27" t="s">
        <v>7</v>
      </c>
      <c r="FA635" s="27" t="s">
        <v>8</v>
      </c>
    </row>
    <row r="636" spans="1:163" x14ac:dyDescent="0.25">
      <c r="A636" s="7">
        <v>0.37895843976950117</v>
      </c>
      <c r="B636"/>
      <c r="C636"/>
      <c r="D636"/>
      <c r="E636"/>
      <c r="EX636" s="27" t="s">
        <v>7</v>
      </c>
      <c r="EY636" s="27" t="s">
        <v>8</v>
      </c>
      <c r="EZ636" s="27" t="s">
        <v>7</v>
      </c>
      <c r="FA636" s="27" t="s">
        <v>8</v>
      </c>
    </row>
    <row r="637" spans="1:163" x14ac:dyDescent="0.25">
      <c r="A637" s="7">
        <v>0.37152788212696197</v>
      </c>
      <c r="B637"/>
      <c r="C637"/>
      <c r="D637"/>
      <c r="E637"/>
      <c r="EX637" s="27" t="s">
        <v>7</v>
      </c>
      <c r="EY637" s="27" t="s">
        <v>8</v>
      </c>
      <c r="EZ637" s="27" t="s">
        <v>7</v>
      </c>
      <c r="FA637" s="27" t="s">
        <v>8</v>
      </c>
    </row>
    <row r="638" spans="1:163" x14ac:dyDescent="0.25">
      <c r="A638" s="7">
        <v>0.36424302169310002</v>
      </c>
      <c r="B638"/>
      <c r="C638"/>
      <c r="D638"/>
      <c r="E638"/>
      <c r="EX638" s="27" t="s">
        <v>7</v>
      </c>
      <c r="EY638" s="27" t="s">
        <v>8</v>
      </c>
      <c r="EZ638" s="27" t="s">
        <v>7</v>
      </c>
      <c r="FA638" s="27" t="s">
        <v>8</v>
      </c>
    </row>
    <row r="639" spans="1:163" x14ac:dyDescent="0.25">
      <c r="A639" s="7">
        <v>0.35710100165990194</v>
      </c>
      <c r="B639"/>
      <c r="C639"/>
      <c r="D639"/>
      <c r="E639"/>
      <c r="EX639" s="27" t="s">
        <v>7</v>
      </c>
      <c r="EY639" s="27" t="s">
        <v>8</v>
      </c>
      <c r="EZ639" s="27" t="s">
        <v>7</v>
      </c>
      <c r="FA639" s="27" t="s">
        <v>8</v>
      </c>
    </row>
    <row r="640" spans="1:163" x14ac:dyDescent="0.25">
      <c r="A640" s="7">
        <v>0.35009902123519804</v>
      </c>
      <c r="B640"/>
      <c r="C640"/>
      <c r="D640"/>
      <c r="E640"/>
      <c r="EX640" s="27" t="s">
        <v>7</v>
      </c>
      <c r="EY640" s="27" t="s">
        <v>8</v>
      </c>
      <c r="EZ640" s="27" t="s">
        <v>7</v>
      </c>
      <c r="FA640" s="27" t="s">
        <v>8</v>
      </c>
    </row>
    <row r="641" spans="1:157" x14ac:dyDescent="0.25">
      <c r="A641" s="7">
        <v>0.34323433454431179</v>
      </c>
      <c r="B641"/>
      <c r="C641"/>
      <c r="D641"/>
      <c r="E641"/>
      <c r="EX641" s="27" t="s">
        <v>7</v>
      </c>
      <c r="EY641" s="27" t="s">
        <v>8</v>
      </c>
      <c r="EZ641" s="27" t="s">
        <v>7</v>
      </c>
      <c r="FA641" s="27" t="s">
        <v>8</v>
      </c>
    </row>
    <row r="642" spans="1:157" x14ac:dyDescent="0.25">
      <c r="A642" s="7">
        <v>0.33650424955324681</v>
      </c>
      <c r="B642"/>
      <c r="C642"/>
      <c r="D642"/>
      <c r="E642"/>
      <c r="EX642" s="27" t="s">
        <v>7</v>
      </c>
      <c r="EY642" s="27" t="s">
        <v>8</v>
      </c>
      <c r="EZ642" s="27" t="s">
        <v>7</v>
      </c>
      <c r="FA642" s="27" t="s">
        <v>8</v>
      </c>
    </row>
    <row r="643" spans="1:157" x14ac:dyDescent="0.25">
      <c r="A643" s="7">
        <v>0.3299061270129871</v>
      </c>
      <c r="B643"/>
      <c r="C643"/>
      <c r="D643"/>
      <c r="E643"/>
      <c r="EX643" s="27" t="s">
        <v>7</v>
      </c>
      <c r="EY643" s="27" t="s">
        <v>8</v>
      </c>
      <c r="EZ643" s="27" t="s">
        <v>7</v>
      </c>
      <c r="FA643" s="27" t="s">
        <v>8</v>
      </c>
    </row>
    <row r="644" spans="1:157" x14ac:dyDescent="0.25">
      <c r="A644" s="7">
        <v>0.32343737942449713</v>
      </c>
      <c r="B644"/>
      <c r="C644"/>
      <c r="D644"/>
      <c r="E644"/>
      <c r="EX644" s="27" t="s">
        <v>7</v>
      </c>
      <c r="EY644" s="27" t="s">
        <v>8</v>
      </c>
      <c r="EZ644" s="27" t="s">
        <v>7</v>
      </c>
      <c r="FA644" s="27" t="s">
        <v>8</v>
      </c>
    </row>
    <row r="645" spans="1:157" x14ac:dyDescent="0.25">
      <c r="A645" s="7">
        <v>0.31709547002401678</v>
      </c>
      <c r="B645"/>
      <c r="C645"/>
      <c r="D645"/>
      <c r="E645"/>
      <c r="EX645" s="27" t="s">
        <v>7</v>
      </c>
      <c r="EY645" s="27" t="s">
        <v>8</v>
      </c>
      <c r="EZ645" s="27" t="s">
        <v>7</v>
      </c>
    </row>
    <row r="646" spans="1:157" x14ac:dyDescent="0.25">
      <c r="A646" s="7">
        <v>0.31087791178825175</v>
      </c>
      <c r="B646"/>
      <c r="C646"/>
      <c r="D646"/>
      <c r="E646"/>
      <c r="EX646" s="27" t="s">
        <v>7</v>
      </c>
      <c r="EY646" s="27" t="s">
        <v>8</v>
      </c>
    </row>
    <row r="647" spans="1:157" x14ac:dyDescent="0.25">
      <c r="A647" s="7">
        <v>0.30478226645907036</v>
      </c>
      <c r="B647"/>
      <c r="C647"/>
      <c r="D647"/>
      <c r="E647"/>
      <c r="EX647" s="27" t="s">
        <v>7</v>
      </c>
      <c r="EY647" s="27" t="s">
        <v>8</v>
      </c>
    </row>
    <row r="648" spans="1:157" x14ac:dyDescent="0.25">
      <c r="A648" s="7">
        <v>0.29880614358732388</v>
      </c>
      <c r="B648"/>
      <c r="C648"/>
      <c r="D648"/>
      <c r="E648"/>
      <c r="EX648" s="27" t="s">
        <v>7</v>
      </c>
      <c r="EY648" s="27" t="s">
        <v>8</v>
      </c>
    </row>
    <row r="649" spans="1:157" x14ac:dyDescent="0.25">
      <c r="A649" s="7">
        <v>0.2929471995954156</v>
      </c>
      <c r="B649"/>
      <c r="C649"/>
      <c r="D649"/>
      <c r="E649"/>
      <c r="EX649" s="27" t="s">
        <v>7</v>
      </c>
      <c r="EY649" s="27" t="s">
        <v>8</v>
      </c>
    </row>
    <row r="650" spans="1:157" x14ac:dyDescent="0.25">
      <c r="A650" s="7">
        <v>0.28720313685825055</v>
      </c>
      <c r="B650"/>
      <c r="C650"/>
      <c r="D650"/>
      <c r="E650"/>
      <c r="EX650" s="27" t="s">
        <v>7</v>
      </c>
      <c r="EY650" s="27" t="s">
        <v>8</v>
      </c>
    </row>
    <row r="651" spans="1:157" x14ac:dyDescent="0.25">
      <c r="A651" s="7">
        <v>0.28157170280220645</v>
      </c>
      <c r="B651"/>
      <c r="C651"/>
      <c r="D651"/>
      <c r="E651"/>
      <c r="EX651" s="27" t="s">
        <v>7</v>
      </c>
      <c r="EY651" s="27" t="s">
        <v>8</v>
      </c>
    </row>
    <row r="652" spans="1:157" x14ac:dyDescent="0.25">
      <c r="A652" s="7">
        <v>0.27605068902177105</v>
      </c>
      <c r="B652"/>
      <c r="C652"/>
      <c r="D652"/>
      <c r="E652"/>
      <c r="EX652" s="27" t="s">
        <v>7</v>
      </c>
      <c r="EY652" s="27" t="s">
        <v>8</v>
      </c>
    </row>
    <row r="653" spans="1:157" x14ac:dyDescent="0.25">
      <c r="A653" s="7">
        <v>0.27063793041350104</v>
      </c>
      <c r="B653"/>
      <c r="C653"/>
      <c r="D653"/>
      <c r="E653"/>
      <c r="EX653" s="27" t="s">
        <v>7</v>
      </c>
      <c r="EY653" s="27" t="s">
        <v>8</v>
      </c>
    </row>
    <row r="654" spans="1:157" x14ac:dyDescent="0.25">
      <c r="A654" s="7">
        <v>0.26533130432696184</v>
      </c>
      <c r="B654"/>
      <c r="C654"/>
      <c r="D654"/>
      <c r="E654"/>
      <c r="EX654" s="27" t="s">
        <v>7</v>
      </c>
      <c r="EY654" s="27" t="s">
        <v>8</v>
      </c>
    </row>
    <row r="655" spans="1:157" x14ac:dyDescent="0.25">
      <c r="A655" s="7">
        <v>0.26012872973231554</v>
      </c>
      <c r="B655"/>
      <c r="C655"/>
      <c r="D655"/>
      <c r="E655"/>
      <c r="EX655" s="27" t="s">
        <v>7</v>
      </c>
    </row>
    <row r="656" spans="1:157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36" operator="equal">
      <formula>$U$1</formula>
    </cfRule>
    <cfRule type="cellIs" dxfId="89" priority="1437" operator="equal">
      <formula>$S$1</formula>
    </cfRule>
  </conditionalFormatting>
  <conditionalFormatting sqref="D27">
    <cfRule type="cellIs" dxfId="88" priority="1434" operator="equal">
      <formula>$S$1</formula>
    </cfRule>
    <cfRule type="cellIs" dxfId="87" priority="1435" operator="equal">
      <formula>$U$1</formula>
    </cfRule>
  </conditionalFormatting>
  <conditionalFormatting sqref="C164">
    <cfRule type="cellIs" dxfId="86" priority="1432" operator="equal">
      <formula>$U$1</formula>
    </cfRule>
    <cfRule type="cellIs" dxfId="85" priority="1433" operator="equal">
      <formula>$S$1</formula>
    </cfRule>
  </conditionalFormatting>
  <conditionalFormatting sqref="D164">
    <cfRule type="cellIs" dxfId="84" priority="1430" operator="equal">
      <formula>$S$1</formula>
    </cfRule>
    <cfRule type="cellIs" dxfId="83" priority="1431" operator="equal">
      <formula>$U$1</formula>
    </cfRule>
  </conditionalFormatting>
  <conditionalFormatting sqref="C55">
    <cfRule type="cellIs" dxfId="82" priority="1428" operator="equal">
      <formula>$U$1</formula>
    </cfRule>
    <cfRule type="cellIs" dxfId="81" priority="1429" operator="equal">
      <formula>$S$1</formula>
    </cfRule>
  </conditionalFormatting>
  <conditionalFormatting sqref="D55">
    <cfRule type="cellIs" dxfId="80" priority="1426" operator="equal">
      <formula>$S$1</formula>
    </cfRule>
    <cfRule type="cellIs" dxfId="79" priority="1427" operator="equal">
      <formula>$U$1</formula>
    </cfRule>
  </conditionalFormatting>
  <conditionalFormatting sqref="C89">
    <cfRule type="cellIs" dxfId="78" priority="1424" operator="equal">
      <formula>$U$1</formula>
    </cfRule>
    <cfRule type="cellIs" dxfId="77" priority="1425" operator="equal">
      <formula>$S$1</formula>
    </cfRule>
  </conditionalFormatting>
  <conditionalFormatting sqref="D89">
    <cfRule type="cellIs" dxfId="76" priority="1422" operator="equal">
      <formula>$S$1</formula>
    </cfRule>
    <cfRule type="cellIs" dxfId="75" priority="1423" operator="equal">
      <formula>$U$1</formula>
    </cfRule>
  </conditionalFormatting>
  <conditionalFormatting sqref="C136">
    <cfRule type="cellIs" dxfId="74" priority="1420" operator="equal">
      <formula>$U$1</formula>
    </cfRule>
    <cfRule type="cellIs" dxfId="73" priority="1421" operator="equal">
      <formula>$S$1</formula>
    </cfRule>
  </conditionalFormatting>
  <conditionalFormatting sqref="D136">
    <cfRule type="cellIs" dxfId="72" priority="1418" operator="equal">
      <formula>$S$1</formula>
    </cfRule>
    <cfRule type="cellIs" dxfId="71" priority="1419" operator="equal">
      <formula>$U$1</formula>
    </cfRule>
  </conditionalFormatting>
  <conditionalFormatting sqref="C1">
    <cfRule type="cellIs" dxfId="70" priority="141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75" zoomScale="90" zoomScaleNormal="90" workbookViewId="0">
      <pane xSplit="4" topLeftCell="CD1" activePane="topRight" state="frozen"/>
      <selection activeCell="A109" sqref="A109"/>
      <selection pane="topRight" activeCell="FQ222" sqref="FQ22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$A$221</v>
      </c>
      <c r="D111" s="1" t="str">
        <f>ADDRESS(C121-1,D121,1,1)</f>
        <v>$FQ$221</v>
      </c>
      <c r="E111"/>
    </row>
    <row r="112" spans="1:5" x14ac:dyDescent="0.25">
      <c r="A112" s="30">
        <v>515.50191262726139</v>
      </c>
      <c r="C112" s="1" t="str">
        <f>ADDRESS(C121,1,1,1)</f>
        <v>$A$222</v>
      </c>
      <c r="D112" s="1" t="str">
        <f>ADDRESS(C121,D121-1,1,1)</f>
        <v>$FP$222</v>
      </c>
      <c r="E112"/>
    </row>
    <row r="113" spans="1:5" x14ac:dyDescent="0.25">
      <c r="A113" s="30">
        <v>490.95420250215363</v>
      </c>
      <c r="C113" s="1" t="str">
        <f>ADDRESS(C121+1,1,1,1)</f>
        <v>$A$223</v>
      </c>
      <c r="D113" s="1" t="str">
        <f>ADDRESS(C121-1,D121+1,1,1)</f>
        <v>$FR$221</v>
      </c>
    </row>
    <row r="114" spans="1:5" x14ac:dyDescent="0.25">
      <c r="A114" s="30">
        <v>467.57543095443202</v>
      </c>
      <c r="C114" s="1" t="str">
        <f>ADDRESS(C121,D121,1,1)</f>
        <v>$FQ$222</v>
      </c>
      <c r="D114" s="1" t="str">
        <f>ADDRESS(C121+1,D121+1,1,1)</f>
        <v>$FR$223</v>
      </c>
    </row>
    <row r="115" spans="1:5" x14ac:dyDescent="0.25">
      <c r="A115" s="30">
        <v>445.30993424231622</v>
      </c>
      <c r="C115" s="1" t="str">
        <f>ADDRESS(C121+1,D121,1,1)</f>
        <v>$FQ$223</v>
      </c>
    </row>
    <row r="116" spans="1:5" x14ac:dyDescent="0.25">
      <c r="A116" s="30">
        <v>424.10469927839637</v>
      </c>
      <c r="C116" s="1">
        <f>C117-1</f>
        <v>221</v>
      </c>
    </row>
    <row r="117" spans="1:5" x14ac:dyDescent="0.25">
      <c r="A117" s="30">
        <v>403.9092374079965</v>
      </c>
      <c r="C117" s="1">
        <f>C121</f>
        <v>222</v>
      </c>
      <c r="D117" s="1">
        <f>D121</f>
        <v>173</v>
      </c>
    </row>
    <row r="118" spans="1:5" x14ac:dyDescent="0.25">
      <c r="A118" s="30">
        <v>384.6754641980919</v>
      </c>
      <c r="C118" s="1">
        <f>C117+1</f>
        <v>223</v>
      </c>
      <c r="D118" s="1">
        <f>D117+1</f>
        <v>174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222</v>
      </c>
      <c r="D121" s="19">
        <v>173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R222</v>
      </c>
      <c r="D123" s="1" t="str">
        <f>"C"&amp;D121</f>
        <v>C173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2.4066192336910861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133" x14ac:dyDescent="0.25">
      <c r="A177" s="30">
        <v>21.623492570684135</v>
      </c>
      <c r="E177"/>
    </row>
    <row r="178" spans="1:133" x14ac:dyDescent="0.25">
      <c r="A178" s="30">
        <v>20.593802448270605</v>
      </c>
      <c r="C178" s="7"/>
      <c r="D178"/>
      <c r="E178"/>
    </row>
    <row r="179" spans="1:133" x14ac:dyDescent="0.25">
      <c r="A179" s="30">
        <v>19.613145188829147</v>
      </c>
      <c r="E179"/>
    </row>
    <row r="180" spans="1:133" x14ac:dyDescent="0.25">
      <c r="A180" s="30">
        <v>18.679185894122998</v>
      </c>
      <c r="E180"/>
    </row>
    <row r="181" spans="1:133" x14ac:dyDescent="0.25">
      <c r="A181" s="30">
        <v>17.78970085154571</v>
      </c>
      <c r="C181"/>
      <c r="D181"/>
      <c r="E181"/>
    </row>
    <row r="182" spans="1:133" x14ac:dyDescent="0.25">
      <c r="A182" s="30">
        <v>16.942572239567344</v>
      </c>
      <c r="E182"/>
      <c r="DS182" s="31" t="s">
        <v>8</v>
      </c>
    </row>
    <row r="183" spans="1:133" x14ac:dyDescent="0.25">
      <c r="A183" s="30">
        <v>16.135783085302233</v>
      </c>
      <c r="E183"/>
      <c r="DS183" s="27" t="s">
        <v>8</v>
      </c>
      <c r="DT183" s="31" t="s">
        <v>7</v>
      </c>
    </row>
    <row r="184" spans="1:133" x14ac:dyDescent="0.25">
      <c r="A184" s="30">
        <v>15.367412462192602</v>
      </c>
      <c r="E184"/>
      <c r="DS184" s="27" t="s">
        <v>8</v>
      </c>
      <c r="DT184" s="27" t="s">
        <v>7</v>
      </c>
      <c r="DU184" s="31"/>
    </row>
    <row r="185" spans="1:133" x14ac:dyDescent="0.25">
      <c r="A185" s="30">
        <v>14.635630916373906</v>
      </c>
      <c r="C185"/>
      <c r="E185"/>
      <c r="DS185" s="27" t="s">
        <v>8</v>
      </c>
      <c r="DT185" s="27" t="s">
        <v>7</v>
      </c>
      <c r="DV185" s="31"/>
    </row>
    <row r="186" spans="1:133" x14ac:dyDescent="0.25">
      <c r="A186" s="30">
        <v>13.938696110832291</v>
      </c>
      <c r="E186"/>
      <c r="DG186" s="27" t="s">
        <v>8</v>
      </c>
      <c r="DS186" s="27" t="s">
        <v>8</v>
      </c>
      <c r="DT186" s="27" t="s">
        <v>7</v>
      </c>
      <c r="DW186" s="31"/>
    </row>
    <row r="187" spans="1:133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DG187" s="27" t="s">
        <v>8</v>
      </c>
      <c r="DH187" s="27" t="s">
        <v>7</v>
      </c>
      <c r="DS187" s="27" t="s">
        <v>8</v>
      </c>
      <c r="DT187" s="27" t="s">
        <v>7</v>
      </c>
      <c r="DX187" s="31"/>
    </row>
    <row r="188" spans="1:133" x14ac:dyDescent="0.25">
      <c r="A188" s="30">
        <v>12.64280826379346</v>
      </c>
      <c r="E188"/>
      <c r="DG188" s="27" t="s">
        <v>8</v>
      </c>
      <c r="DH188" s="27" t="s">
        <v>7</v>
      </c>
      <c r="DS188" s="27" t="s">
        <v>8</v>
      </c>
      <c r="DT188" s="27" t="s">
        <v>7</v>
      </c>
      <c r="DY188" s="31"/>
    </row>
    <row r="189" spans="1:133" x14ac:dyDescent="0.25">
      <c r="A189" s="30">
        <v>12.04076977504139</v>
      </c>
      <c r="E189"/>
      <c r="DG189" s="27" t="s">
        <v>8</v>
      </c>
      <c r="DH189" s="27" t="s">
        <v>7</v>
      </c>
      <c r="DO189" s="27" t="s">
        <v>8</v>
      </c>
      <c r="DS189" s="27" t="s">
        <v>8</v>
      </c>
      <c r="DT189" s="27" t="s">
        <v>7</v>
      </c>
      <c r="DZ189" s="31"/>
    </row>
    <row r="190" spans="1:133" x14ac:dyDescent="0.25">
      <c r="A190" s="30">
        <v>11.467399785753704</v>
      </c>
      <c r="E190"/>
      <c r="DG190" s="27" t="s">
        <v>8</v>
      </c>
      <c r="DH190" s="27" t="s">
        <v>7</v>
      </c>
      <c r="DI190" s="27" t="s">
        <v>8</v>
      </c>
      <c r="DO190" s="27" t="s">
        <v>8</v>
      </c>
      <c r="DP190" s="27" t="s">
        <v>7</v>
      </c>
      <c r="DS190" s="32" t="s">
        <v>8</v>
      </c>
      <c r="DT190" s="27" t="s">
        <v>7</v>
      </c>
      <c r="DU190" s="27" t="s">
        <v>8</v>
      </c>
      <c r="EA190" s="31"/>
    </row>
    <row r="191" spans="1:133" x14ac:dyDescent="0.25">
      <c r="A191" s="30">
        <v>10.921333129289241</v>
      </c>
      <c r="E191"/>
      <c r="DG191" s="27" t="s">
        <v>8</v>
      </c>
      <c r="DH191" s="27" t="s">
        <v>7</v>
      </c>
      <c r="DI191" s="27" t="s">
        <v>8</v>
      </c>
      <c r="DJ191" s="27" t="s">
        <v>7</v>
      </c>
      <c r="DO191" s="27" t="s">
        <v>8</v>
      </c>
      <c r="DP191" s="27" t="s">
        <v>7</v>
      </c>
      <c r="DQ191" s="27" t="s">
        <v>8</v>
      </c>
      <c r="DS191" s="27" t="s">
        <v>8</v>
      </c>
      <c r="DT191" s="27" t="s">
        <v>7</v>
      </c>
      <c r="DU191" s="27" t="s">
        <v>8</v>
      </c>
      <c r="DV191" s="27" t="s">
        <v>7</v>
      </c>
      <c r="EB191" s="31"/>
    </row>
    <row r="192" spans="1:133" x14ac:dyDescent="0.25">
      <c r="A192" s="30">
        <v>10.401269646942135</v>
      </c>
      <c r="E192"/>
      <c r="DG192" s="27" t="s">
        <v>8</v>
      </c>
      <c r="DH192" s="27" t="s">
        <v>7</v>
      </c>
      <c r="DI192" s="27" t="s">
        <v>8</v>
      </c>
      <c r="DJ192" s="27" t="s">
        <v>7</v>
      </c>
      <c r="DK192" s="27" t="s">
        <v>8</v>
      </c>
      <c r="DO192" s="27" t="s">
        <v>8</v>
      </c>
      <c r="DP192" s="27" t="s">
        <v>7</v>
      </c>
      <c r="DQ192" s="27" t="s">
        <v>8</v>
      </c>
      <c r="DR192" s="27" t="s">
        <v>7</v>
      </c>
      <c r="DS192" s="27" t="s">
        <v>8</v>
      </c>
      <c r="DT192" s="27" t="s">
        <v>7</v>
      </c>
      <c r="DU192" s="27" t="s">
        <v>8</v>
      </c>
      <c r="DV192" s="27" t="s">
        <v>7</v>
      </c>
      <c r="EC192" s="31"/>
    </row>
    <row r="193" spans="1:164" x14ac:dyDescent="0.25">
      <c r="A193" s="30">
        <v>9.9059710923258422</v>
      </c>
      <c r="E193"/>
      <c r="DG193" s="27" t="s">
        <v>8</v>
      </c>
      <c r="DH193" s="27" t="s">
        <v>7</v>
      </c>
      <c r="DI193" s="27" t="s">
        <v>8</v>
      </c>
      <c r="DJ193" s="27" t="s">
        <v>7</v>
      </c>
      <c r="DK193" s="27" t="s">
        <v>8</v>
      </c>
      <c r="DL193" s="27" t="s">
        <v>7</v>
      </c>
      <c r="DO193" s="27" t="s">
        <v>8</v>
      </c>
      <c r="DP193" s="27" t="s">
        <v>7</v>
      </c>
      <c r="DQ193" s="27" t="s">
        <v>8</v>
      </c>
      <c r="DR193" s="27" t="s">
        <v>7</v>
      </c>
      <c r="DS193" s="27" t="s">
        <v>8</v>
      </c>
      <c r="DT193" s="27" t="s">
        <v>7</v>
      </c>
      <c r="DU193" s="27" t="s">
        <v>8</v>
      </c>
      <c r="DV193" s="27" t="s">
        <v>7</v>
      </c>
      <c r="DW193" s="27" t="s">
        <v>8</v>
      </c>
      <c r="ED193" s="31"/>
    </row>
    <row r="194" spans="1:164" x14ac:dyDescent="0.25">
      <c r="A194" s="30">
        <v>9.4342581831674686</v>
      </c>
      <c r="E194"/>
      <c r="DG194" s="27" t="s">
        <v>8</v>
      </c>
      <c r="DH194" s="27" t="s">
        <v>7</v>
      </c>
      <c r="DI194" s="27" t="s">
        <v>8</v>
      </c>
      <c r="DJ194" s="27" t="s">
        <v>7</v>
      </c>
      <c r="DK194" s="27" t="s">
        <v>8</v>
      </c>
      <c r="DL194" s="27" t="s">
        <v>7</v>
      </c>
      <c r="DO194" s="27" t="s">
        <v>8</v>
      </c>
      <c r="DP194" s="27" t="s">
        <v>7</v>
      </c>
      <c r="DQ194" s="27" t="s">
        <v>8</v>
      </c>
      <c r="DR194" s="27" t="s">
        <v>7</v>
      </c>
      <c r="DS194" s="27" t="s">
        <v>8</v>
      </c>
      <c r="DT194" s="27" t="s">
        <v>7</v>
      </c>
      <c r="DV194" s="27" t="s">
        <v>7</v>
      </c>
      <c r="DW194" s="27" t="s">
        <v>8</v>
      </c>
      <c r="DX194" s="27" t="s">
        <v>7</v>
      </c>
      <c r="EE194" s="32" t="s">
        <v>8</v>
      </c>
    </row>
    <row r="195" spans="1:164" x14ac:dyDescent="0.25">
      <c r="A195" s="30">
        <v>8.9850077934928265</v>
      </c>
      <c r="E195"/>
      <c r="DG195" s="27" t="s">
        <v>8</v>
      </c>
      <c r="DH195" s="27" t="s">
        <v>7</v>
      </c>
      <c r="DJ195" s="27" t="s">
        <v>7</v>
      </c>
      <c r="DK195" s="27" t="s">
        <v>8</v>
      </c>
      <c r="DL195" s="27" t="s">
        <v>7</v>
      </c>
      <c r="DO195" s="27" t="s">
        <v>8</v>
      </c>
      <c r="DP195" s="27" t="s">
        <v>7</v>
      </c>
      <c r="DR195" s="27" t="s">
        <v>7</v>
      </c>
      <c r="DS195" s="27" t="s">
        <v>8</v>
      </c>
      <c r="DV195" s="34" t="s">
        <v>7</v>
      </c>
      <c r="DW195" s="27" t="s">
        <v>8</v>
      </c>
      <c r="DX195" s="27" t="s">
        <v>7</v>
      </c>
      <c r="EC195" s="27" t="s">
        <v>8</v>
      </c>
      <c r="EE195" s="27" t="s">
        <v>8</v>
      </c>
      <c r="EF195" s="31" t="s">
        <v>7</v>
      </c>
    </row>
    <row r="196" spans="1:164" x14ac:dyDescent="0.25">
      <c r="A196" s="30">
        <v>8.5571502795169767</v>
      </c>
      <c r="E196"/>
      <c r="DG196" s="27" t="s">
        <v>8</v>
      </c>
      <c r="DJ196" s="27" t="s">
        <v>7</v>
      </c>
      <c r="DK196" s="27" t="s">
        <v>8</v>
      </c>
      <c r="DL196" s="27" t="s">
        <v>7</v>
      </c>
      <c r="DO196" s="32" t="s">
        <v>8</v>
      </c>
      <c r="DR196" s="33" t="s">
        <v>7</v>
      </c>
      <c r="DS196" s="27" t="s">
        <v>8</v>
      </c>
      <c r="DV196" s="27" t="s">
        <v>7</v>
      </c>
      <c r="DW196" s="27" t="s">
        <v>8</v>
      </c>
      <c r="DX196" s="27" t="s">
        <v>7</v>
      </c>
      <c r="EC196" s="27" t="s">
        <v>8</v>
      </c>
      <c r="ED196" s="27" t="s">
        <v>7</v>
      </c>
      <c r="EE196" s="27" t="s">
        <v>8</v>
      </c>
      <c r="EF196" s="27" t="s">
        <v>7</v>
      </c>
      <c r="EG196" s="31"/>
    </row>
    <row r="197" spans="1:164" x14ac:dyDescent="0.25">
      <c r="A197" s="30">
        <v>8.1496669328733109</v>
      </c>
      <c r="E197"/>
      <c r="DG197" s="27" t="s">
        <v>8</v>
      </c>
      <c r="DJ197" s="27" t="s">
        <v>7</v>
      </c>
      <c r="DL197" s="27" t="s">
        <v>7</v>
      </c>
      <c r="DM197" s="27" t="s">
        <v>8</v>
      </c>
      <c r="DO197" s="27" t="s">
        <v>8</v>
      </c>
      <c r="DR197" s="27" t="s">
        <v>7</v>
      </c>
      <c r="DV197" s="27" t="s">
        <v>7</v>
      </c>
      <c r="DW197" s="27" t="s">
        <v>8</v>
      </c>
      <c r="DX197" s="27" t="s">
        <v>7</v>
      </c>
      <c r="EC197" s="27" t="s">
        <v>8</v>
      </c>
      <c r="ED197" s="27" t="s">
        <v>7</v>
      </c>
      <c r="EE197" s="27" t="s">
        <v>8</v>
      </c>
      <c r="EF197" s="27" t="s">
        <v>7</v>
      </c>
      <c r="EH197" s="31"/>
    </row>
    <row r="198" spans="1:164" x14ac:dyDescent="0.25">
      <c r="A198" s="30">
        <v>7.7615875551174378</v>
      </c>
      <c r="E198"/>
      <c r="CS198" s="27" t="s">
        <v>8</v>
      </c>
      <c r="DG198" s="27" t="s">
        <v>8</v>
      </c>
      <c r="DL198" s="27" t="s">
        <v>7</v>
      </c>
      <c r="DM198" s="27" t="s">
        <v>8</v>
      </c>
      <c r="DN198" s="27" t="s">
        <v>7</v>
      </c>
      <c r="DO198" s="27" t="s">
        <v>8</v>
      </c>
      <c r="DV198" s="27" t="s">
        <v>7</v>
      </c>
      <c r="DW198" s="27" t="s">
        <v>8</v>
      </c>
      <c r="DX198" s="27" t="s">
        <v>7</v>
      </c>
      <c r="EA198" s="32" t="s">
        <v>8</v>
      </c>
      <c r="EC198" s="27" t="s">
        <v>8</v>
      </c>
      <c r="ED198" s="27" t="s">
        <v>7</v>
      </c>
      <c r="EE198" s="27" t="s">
        <v>8</v>
      </c>
      <c r="EF198" s="27" t="s">
        <v>7</v>
      </c>
      <c r="EI198" s="31"/>
    </row>
    <row r="199" spans="1:164" x14ac:dyDescent="0.25">
      <c r="A199" s="30">
        <v>7.3919881477308929</v>
      </c>
      <c r="E199"/>
      <c r="CS199" s="27" t="s">
        <v>8</v>
      </c>
      <c r="CT199" s="27" t="s">
        <v>7</v>
      </c>
      <c r="CU199" s="27" t="s">
        <v>8</v>
      </c>
      <c r="DG199" s="27" t="s">
        <v>8</v>
      </c>
      <c r="DL199" s="27" t="s">
        <v>7</v>
      </c>
      <c r="DM199" s="27" t="s">
        <v>8</v>
      </c>
      <c r="DN199" s="27" t="s">
        <v>7</v>
      </c>
      <c r="DO199" s="27" t="s">
        <v>8</v>
      </c>
      <c r="DV199" s="27" t="s">
        <v>7</v>
      </c>
      <c r="DW199" s="27" t="s">
        <v>8</v>
      </c>
      <c r="DX199" s="27" t="s">
        <v>7</v>
      </c>
      <c r="DY199" s="27" t="s">
        <v>8</v>
      </c>
      <c r="EA199" s="27" t="s">
        <v>8</v>
      </c>
      <c r="EB199" s="27" t="s">
        <v>7</v>
      </c>
      <c r="EC199" s="27" t="s">
        <v>8</v>
      </c>
      <c r="ED199" s="27" t="s">
        <v>7</v>
      </c>
      <c r="EE199" s="27" t="s">
        <v>8</v>
      </c>
      <c r="EF199" s="27" t="s">
        <v>7</v>
      </c>
      <c r="EJ199" s="31"/>
      <c r="ES199" s="27" t="s">
        <v>8</v>
      </c>
      <c r="EU199" s="27" t="s">
        <v>8</v>
      </c>
      <c r="FE199" s="27" t="s">
        <v>8</v>
      </c>
    </row>
    <row r="200" spans="1:164" x14ac:dyDescent="0.25">
      <c r="A200" s="30">
        <v>7.0399887121246598</v>
      </c>
      <c r="E200"/>
      <c r="CS200" s="27" t="s">
        <v>8</v>
      </c>
      <c r="CT200" s="27" t="s">
        <v>7</v>
      </c>
      <c r="CU200" s="27" t="s">
        <v>8</v>
      </c>
      <c r="CV200" s="27" t="s">
        <v>7</v>
      </c>
      <c r="DG200" s="27" t="s">
        <v>8</v>
      </c>
      <c r="DL200" s="31" t="s">
        <v>7</v>
      </c>
      <c r="DM200" s="27" t="s">
        <v>8</v>
      </c>
      <c r="DN200" s="27" t="s">
        <v>7</v>
      </c>
      <c r="DO200" s="27" t="s">
        <v>8</v>
      </c>
      <c r="DV200" s="27" t="s">
        <v>7</v>
      </c>
      <c r="DW200" s="27" t="s">
        <v>8</v>
      </c>
      <c r="DX200" s="27" t="s">
        <v>7</v>
      </c>
      <c r="DY200" s="27" t="s">
        <v>8</v>
      </c>
      <c r="DZ200" s="27" t="s">
        <v>7</v>
      </c>
      <c r="EA200" s="27" t="s">
        <v>8</v>
      </c>
      <c r="EB200" s="27" t="s">
        <v>7</v>
      </c>
      <c r="EC200" s="27" t="s">
        <v>8</v>
      </c>
      <c r="ED200" s="27" t="s">
        <v>7</v>
      </c>
      <c r="EE200" s="27" t="s">
        <v>8</v>
      </c>
      <c r="EF200" s="27" t="s">
        <v>7</v>
      </c>
      <c r="EK200" s="31"/>
      <c r="EQ200" s="27" t="s">
        <v>8</v>
      </c>
      <c r="ES200" s="27" t="s">
        <v>8</v>
      </c>
      <c r="ET200" s="27" t="s">
        <v>7</v>
      </c>
      <c r="EU200" s="27" t="s">
        <v>8</v>
      </c>
      <c r="EV200" s="27" t="s">
        <v>7</v>
      </c>
      <c r="FE200" s="27" t="s">
        <v>8</v>
      </c>
      <c r="FF200" s="27" t="s">
        <v>7</v>
      </c>
    </row>
    <row r="201" spans="1:164" x14ac:dyDescent="0.25">
      <c r="A201" s="30">
        <v>6.7047511544044376</v>
      </c>
      <c r="E201"/>
      <c r="CS201" s="27" t="s">
        <v>8</v>
      </c>
      <c r="CT201" s="27" t="s">
        <v>7</v>
      </c>
      <c r="CU201" s="27" t="s">
        <v>8</v>
      </c>
      <c r="CV201" s="27" t="s">
        <v>7</v>
      </c>
      <c r="DG201" s="27" t="s">
        <v>8</v>
      </c>
      <c r="DK201" s="31"/>
      <c r="DL201" s="27" t="s">
        <v>7</v>
      </c>
      <c r="DM201" s="27" t="s">
        <v>8</v>
      </c>
      <c r="DN201" s="27" t="s">
        <v>7</v>
      </c>
      <c r="DV201" s="27" t="s">
        <v>7</v>
      </c>
      <c r="DW201" s="27" t="s">
        <v>8</v>
      </c>
      <c r="DX201" s="27" t="s">
        <v>7</v>
      </c>
      <c r="DY201" s="27" t="s">
        <v>8</v>
      </c>
      <c r="DZ201" s="27" t="s">
        <v>7</v>
      </c>
      <c r="EA201" s="27" t="s">
        <v>8</v>
      </c>
      <c r="EB201" s="27" t="s">
        <v>7</v>
      </c>
      <c r="ED201" s="27" t="s">
        <v>7</v>
      </c>
      <c r="EE201" s="27" t="s">
        <v>8</v>
      </c>
      <c r="EF201" s="27" t="s">
        <v>7</v>
      </c>
      <c r="EG201" s="27" t="s">
        <v>8</v>
      </c>
      <c r="EL201" s="31"/>
      <c r="EQ201" s="27" t="s">
        <v>8</v>
      </c>
      <c r="ER201" s="27" t="s">
        <v>7</v>
      </c>
      <c r="ES201" s="27" t="s">
        <v>8</v>
      </c>
      <c r="ET201" s="27" t="s">
        <v>7</v>
      </c>
      <c r="EU201" s="27" t="s">
        <v>8</v>
      </c>
      <c r="EV201" s="27" t="s">
        <v>7</v>
      </c>
      <c r="FE201" s="27" t="s">
        <v>8</v>
      </c>
      <c r="FF201" s="27" t="s">
        <v>7</v>
      </c>
    </row>
    <row r="202" spans="1:164" x14ac:dyDescent="0.25">
      <c r="A202" s="30">
        <v>6.3854772899089882</v>
      </c>
      <c r="E202"/>
      <c r="CS202" s="27" t="s">
        <v>8</v>
      </c>
      <c r="CT202" s="27" t="s">
        <v>7</v>
      </c>
      <c r="CU202" s="27" t="s">
        <v>8</v>
      </c>
      <c r="CV202" s="27" t="s">
        <v>7</v>
      </c>
      <c r="DE202" s="27" t="s">
        <v>8</v>
      </c>
      <c r="DG202" s="27" t="s">
        <v>8</v>
      </c>
      <c r="DJ202" s="31"/>
      <c r="DL202" s="27" t="s">
        <v>7</v>
      </c>
      <c r="DV202" s="27" t="s">
        <v>7</v>
      </c>
      <c r="DW202" s="27" t="s">
        <v>8</v>
      </c>
      <c r="DX202" s="27" t="s">
        <v>7</v>
      </c>
      <c r="DZ202" s="27" t="s">
        <v>7</v>
      </c>
      <c r="EA202" s="27" t="s">
        <v>8</v>
      </c>
      <c r="ED202" s="33" t="s">
        <v>7</v>
      </c>
      <c r="EF202" s="27" t="s">
        <v>7</v>
      </c>
      <c r="EG202" s="27" t="s">
        <v>8</v>
      </c>
      <c r="EH202" s="27" t="s">
        <v>7</v>
      </c>
      <c r="EM202" s="31"/>
      <c r="EQ202" s="27" t="s">
        <v>8</v>
      </c>
      <c r="ER202" s="27" t="s">
        <v>7</v>
      </c>
      <c r="ES202" s="27" t="s">
        <v>8</v>
      </c>
      <c r="ET202" s="27" t="s">
        <v>7</v>
      </c>
      <c r="EV202" s="27" t="s">
        <v>7</v>
      </c>
      <c r="FE202" s="27" t="s">
        <v>8</v>
      </c>
      <c r="FF202" s="27" t="s">
        <v>7</v>
      </c>
      <c r="FG202" s="27" t="s">
        <v>8</v>
      </c>
    </row>
    <row r="203" spans="1:164" x14ac:dyDescent="0.25">
      <c r="A203" s="30">
        <v>6.0814069427704647</v>
      </c>
      <c r="C203" s="7"/>
      <c r="D203"/>
      <c r="E203"/>
      <c r="CS203" s="27" t="s">
        <v>8</v>
      </c>
      <c r="CT203" s="27" t="s">
        <v>7</v>
      </c>
      <c r="CU203" s="27" t="s">
        <v>8</v>
      </c>
      <c r="CV203" s="27" t="s">
        <v>7</v>
      </c>
      <c r="CW203" s="35" t="s">
        <v>8</v>
      </c>
      <c r="CY203" s="35" t="s">
        <v>8</v>
      </c>
      <c r="DC203" s="27" t="s">
        <v>8</v>
      </c>
      <c r="DE203" s="27" t="s">
        <v>8</v>
      </c>
      <c r="DF203" s="27" t="s">
        <v>7</v>
      </c>
      <c r="DG203" s="27" t="s">
        <v>8</v>
      </c>
      <c r="DI203" s="31"/>
      <c r="DV203" s="27" t="s">
        <v>7</v>
      </c>
      <c r="DW203" s="27" t="s">
        <v>8</v>
      </c>
      <c r="DZ203" s="27" t="s">
        <v>7</v>
      </c>
      <c r="EA203" s="27" t="s">
        <v>8</v>
      </c>
      <c r="EF203" s="33" t="s">
        <v>7</v>
      </c>
      <c r="EG203" s="27" t="s">
        <v>8</v>
      </c>
      <c r="EH203" s="27" t="s">
        <v>7</v>
      </c>
      <c r="EN203" s="31"/>
      <c r="EQ203" s="27" t="s">
        <v>8</v>
      </c>
      <c r="ER203" s="27" t="s">
        <v>7</v>
      </c>
      <c r="ES203" s="27" t="s">
        <v>8</v>
      </c>
      <c r="EV203" s="27" t="s">
        <v>7</v>
      </c>
      <c r="EW203" s="27" t="s">
        <v>8</v>
      </c>
      <c r="FA203" s="27" t="s">
        <v>8</v>
      </c>
      <c r="FE203" s="27" t="s">
        <v>8</v>
      </c>
      <c r="FF203" s="27" t="s">
        <v>7</v>
      </c>
      <c r="FG203" s="27" t="s">
        <v>8</v>
      </c>
      <c r="FH203" s="27" t="s">
        <v>7</v>
      </c>
    </row>
    <row r="204" spans="1:164" x14ac:dyDescent="0.25">
      <c r="A204" s="30">
        <v>5.7918161359718709</v>
      </c>
      <c r="E204"/>
      <c r="CS204" s="27" t="s">
        <v>8</v>
      </c>
      <c r="CT204" s="27" t="s">
        <v>7</v>
      </c>
      <c r="CU204" s="27" t="s">
        <v>8</v>
      </c>
      <c r="CV204" s="27" t="s">
        <v>7</v>
      </c>
      <c r="CW204" s="27" t="s">
        <v>8</v>
      </c>
      <c r="CX204" s="27" t="s">
        <v>7</v>
      </c>
      <c r="CY204" s="27" t="s">
        <v>8</v>
      </c>
      <c r="CZ204" s="27" t="s">
        <v>7</v>
      </c>
      <c r="DA204" s="27" t="s">
        <v>8</v>
      </c>
      <c r="DC204" s="27" t="s">
        <v>8</v>
      </c>
      <c r="DD204" s="27" t="s">
        <v>7</v>
      </c>
      <c r="DE204" s="27" t="s">
        <v>8</v>
      </c>
      <c r="DF204" s="27" t="s">
        <v>7</v>
      </c>
      <c r="DG204" s="27" t="s">
        <v>8</v>
      </c>
      <c r="DH204" s="31"/>
      <c r="DV204" s="27" t="s">
        <v>7</v>
      </c>
      <c r="DW204" s="27" t="s">
        <v>8</v>
      </c>
      <c r="DZ204" s="27" t="s">
        <v>7</v>
      </c>
      <c r="EA204" s="27" t="s">
        <v>8</v>
      </c>
      <c r="EF204" s="27" t="s">
        <v>7</v>
      </c>
      <c r="EH204" s="27" t="s">
        <v>7</v>
      </c>
      <c r="EO204" s="31"/>
      <c r="EQ204" s="27" t="s">
        <v>8</v>
      </c>
      <c r="ER204" s="27" t="s">
        <v>7</v>
      </c>
      <c r="EV204" s="27" t="s">
        <v>7</v>
      </c>
      <c r="EW204" s="27" t="s">
        <v>8</v>
      </c>
      <c r="EX204" s="27" t="s">
        <v>7</v>
      </c>
      <c r="FA204" s="27" t="s">
        <v>8</v>
      </c>
      <c r="FB204" s="27" t="s">
        <v>7</v>
      </c>
      <c r="FC204" s="27" t="s">
        <v>8</v>
      </c>
      <c r="FE204" s="27" t="s">
        <v>8</v>
      </c>
      <c r="FF204" s="27" t="s">
        <v>7</v>
      </c>
      <c r="FG204" s="27" t="s">
        <v>8</v>
      </c>
      <c r="FH204" s="27" t="s">
        <v>7</v>
      </c>
    </row>
    <row r="205" spans="1:164" x14ac:dyDescent="0.25">
      <c r="A205" s="30">
        <v>5.5160153675922574</v>
      </c>
      <c r="E205"/>
      <c r="CS205" s="27" t="s">
        <v>8</v>
      </c>
      <c r="CT205" s="27" t="s">
        <v>7</v>
      </c>
      <c r="CU205" s="27" t="s">
        <v>8</v>
      </c>
      <c r="CV205" s="27" t="s">
        <v>7</v>
      </c>
      <c r="CW205" s="27" t="s">
        <v>8</v>
      </c>
      <c r="CX205" s="27" t="s">
        <v>7</v>
      </c>
      <c r="CY205" s="27" t="s">
        <v>8</v>
      </c>
      <c r="CZ205" s="27" t="s">
        <v>7</v>
      </c>
      <c r="DA205" s="27" t="s">
        <v>8</v>
      </c>
      <c r="DB205" s="27" t="s">
        <v>7</v>
      </c>
      <c r="DC205" s="27" t="s">
        <v>8</v>
      </c>
      <c r="DD205" s="27" t="s">
        <v>7</v>
      </c>
      <c r="DE205" s="27" t="s">
        <v>8</v>
      </c>
      <c r="DF205" s="27" t="s">
        <v>7</v>
      </c>
      <c r="DG205" s="31" t="s">
        <v>8</v>
      </c>
      <c r="DV205" s="27" t="s">
        <v>7</v>
      </c>
      <c r="DW205" s="27" t="s">
        <v>8</v>
      </c>
      <c r="DZ205" s="27" t="s">
        <v>7</v>
      </c>
      <c r="EA205" s="27" t="s">
        <v>8</v>
      </c>
      <c r="EH205" s="27" t="s">
        <v>7</v>
      </c>
      <c r="EI205" s="35" t="s">
        <v>8</v>
      </c>
      <c r="EK205" s="35" t="s">
        <v>8</v>
      </c>
      <c r="EO205" s="27" t="s">
        <v>8</v>
      </c>
      <c r="EP205" s="31"/>
      <c r="EQ205" s="27" t="s">
        <v>8</v>
      </c>
      <c r="EV205" s="27" t="s">
        <v>7</v>
      </c>
      <c r="EW205" s="27" t="s">
        <v>8</v>
      </c>
      <c r="EX205" s="27" t="s">
        <v>7</v>
      </c>
      <c r="FA205" s="27" t="s">
        <v>8</v>
      </c>
      <c r="FB205" s="27" t="s">
        <v>7</v>
      </c>
      <c r="FC205" s="27" t="s">
        <v>8</v>
      </c>
      <c r="FD205" s="27" t="s">
        <v>7</v>
      </c>
      <c r="FE205" s="27" t="s">
        <v>8</v>
      </c>
      <c r="FF205" s="27" t="s">
        <v>7</v>
      </c>
      <c r="FH205" s="27" t="s">
        <v>7</v>
      </c>
    </row>
    <row r="206" spans="1:164" x14ac:dyDescent="0.25">
      <c r="A206" s="30">
        <v>5.2533479691354827</v>
      </c>
      <c r="C206"/>
      <c r="D206"/>
      <c r="E206"/>
      <c r="CS206" s="27" t="s">
        <v>8</v>
      </c>
      <c r="CT206" s="27" t="s">
        <v>7</v>
      </c>
      <c r="CU206" s="27" t="s">
        <v>8</v>
      </c>
      <c r="CV206" s="27" t="s">
        <v>7</v>
      </c>
      <c r="CW206" s="27" t="s">
        <v>8</v>
      </c>
      <c r="CX206" s="27" t="s">
        <v>7</v>
      </c>
      <c r="CY206" s="27" t="s">
        <v>8</v>
      </c>
      <c r="CZ206" s="27" t="s">
        <v>7</v>
      </c>
      <c r="DA206" s="27" t="s">
        <v>8</v>
      </c>
      <c r="DB206" s="27" t="s">
        <v>7</v>
      </c>
      <c r="DC206" s="27" t="s">
        <v>8</v>
      </c>
      <c r="DD206" s="27" t="s">
        <v>7</v>
      </c>
      <c r="DF206" s="31" t="s">
        <v>7</v>
      </c>
      <c r="DV206" s="27" t="s">
        <v>7</v>
      </c>
      <c r="DW206" s="27" t="s">
        <v>8</v>
      </c>
      <c r="DZ206" s="27" t="s">
        <v>7</v>
      </c>
      <c r="EA206" s="27" t="s">
        <v>8</v>
      </c>
      <c r="EH206" s="27" t="s">
        <v>7</v>
      </c>
      <c r="EI206" s="27" t="s">
        <v>8</v>
      </c>
      <c r="EJ206" s="27" t="s">
        <v>7</v>
      </c>
      <c r="EK206" s="27" t="s">
        <v>8</v>
      </c>
      <c r="EL206" s="27" t="s">
        <v>7</v>
      </c>
      <c r="EO206" s="27" t="s">
        <v>8</v>
      </c>
      <c r="EP206" s="27" t="s">
        <v>7</v>
      </c>
      <c r="EQ206" s="31" t="s">
        <v>8</v>
      </c>
      <c r="EV206" s="27" t="s">
        <v>7</v>
      </c>
      <c r="EX206" s="27" t="s">
        <v>7</v>
      </c>
      <c r="EY206" s="27" t="s">
        <v>8</v>
      </c>
      <c r="FA206" s="27" t="s">
        <v>8</v>
      </c>
      <c r="FB206" s="27" t="s">
        <v>7</v>
      </c>
      <c r="FC206" s="27" t="s">
        <v>8</v>
      </c>
      <c r="FD206" s="27" t="s">
        <v>7</v>
      </c>
      <c r="FE206" s="27" t="s">
        <v>8</v>
      </c>
      <c r="FH206" s="27" t="s">
        <v>7</v>
      </c>
    </row>
    <row r="207" spans="1:164" x14ac:dyDescent="0.25">
      <c r="A207" s="30">
        <v>5.0031885420337927</v>
      </c>
      <c r="E207"/>
      <c r="CA207" s="27" t="s">
        <v>8</v>
      </c>
      <c r="CS207" s="27" t="s">
        <v>8</v>
      </c>
      <c r="CT207" s="27" t="s">
        <v>7</v>
      </c>
      <c r="CV207" s="27" t="s">
        <v>7</v>
      </c>
      <c r="CW207" s="27" t="s">
        <v>8</v>
      </c>
      <c r="CX207" s="27" t="s">
        <v>7</v>
      </c>
      <c r="CY207" s="27" t="s">
        <v>8</v>
      </c>
      <c r="CZ207" s="27" t="s">
        <v>7</v>
      </c>
      <c r="DA207" s="27" t="s">
        <v>8</v>
      </c>
      <c r="DB207" s="27" t="s">
        <v>7</v>
      </c>
      <c r="DE207" s="31"/>
      <c r="DV207" s="27" t="s">
        <v>7</v>
      </c>
      <c r="DW207" s="27" t="s">
        <v>8</v>
      </c>
      <c r="DZ207" s="27" t="s">
        <v>7</v>
      </c>
      <c r="EA207" s="27" t="s">
        <v>8</v>
      </c>
      <c r="EH207" s="27" t="s">
        <v>7</v>
      </c>
      <c r="EI207" s="27" t="s">
        <v>8</v>
      </c>
      <c r="EJ207" s="27" t="s">
        <v>7</v>
      </c>
      <c r="EK207" s="27" t="s">
        <v>8</v>
      </c>
      <c r="EL207" s="27" t="s">
        <v>7</v>
      </c>
      <c r="EM207" s="27" t="s">
        <v>8</v>
      </c>
      <c r="EO207" s="27" t="s">
        <v>8</v>
      </c>
      <c r="EP207" s="27" t="s">
        <v>7</v>
      </c>
      <c r="EQ207" s="27" t="s">
        <v>8</v>
      </c>
      <c r="ER207" s="31"/>
      <c r="EX207" s="27" t="s">
        <v>7</v>
      </c>
      <c r="EY207" s="27" t="s">
        <v>8</v>
      </c>
      <c r="EZ207" s="27" t="s">
        <v>7</v>
      </c>
      <c r="FA207" s="27" t="s">
        <v>8</v>
      </c>
      <c r="FB207" s="27" t="s">
        <v>7</v>
      </c>
      <c r="FD207" s="27" t="s">
        <v>7</v>
      </c>
      <c r="FH207" s="27" t="s">
        <v>7</v>
      </c>
    </row>
    <row r="208" spans="1:164" x14ac:dyDescent="0.25">
      <c r="A208" s="30">
        <v>4.7649414686036122</v>
      </c>
      <c r="E208"/>
      <c r="CA208" s="27" t="s">
        <v>8</v>
      </c>
      <c r="CB208" s="27" t="s">
        <v>7</v>
      </c>
      <c r="CQ208" s="27" t="s">
        <v>8</v>
      </c>
      <c r="CS208" s="27" t="s">
        <v>8</v>
      </c>
      <c r="CV208" s="27" t="s">
        <v>7</v>
      </c>
      <c r="CW208" s="27" t="s">
        <v>8</v>
      </c>
      <c r="CX208" s="27" t="s">
        <v>7</v>
      </c>
      <c r="CZ208" s="27" t="s">
        <v>7</v>
      </c>
      <c r="DA208" s="27" t="s">
        <v>8</v>
      </c>
      <c r="DD208" s="31"/>
      <c r="DV208" s="27" t="s">
        <v>7</v>
      </c>
      <c r="DZ208" s="27" t="s">
        <v>7</v>
      </c>
      <c r="EH208" s="27" t="s">
        <v>7</v>
      </c>
      <c r="EI208" s="27" t="s">
        <v>8</v>
      </c>
      <c r="EJ208" s="27" t="s">
        <v>7</v>
      </c>
      <c r="EK208" s="27" t="s">
        <v>8</v>
      </c>
      <c r="EL208" s="27" t="s">
        <v>7</v>
      </c>
      <c r="EM208" s="27" t="s">
        <v>8</v>
      </c>
      <c r="EN208" s="27" t="s">
        <v>7</v>
      </c>
      <c r="EO208" s="27" t="s">
        <v>8</v>
      </c>
      <c r="EP208" s="27" t="s">
        <v>7</v>
      </c>
      <c r="EX208" s="27" t="s">
        <v>7</v>
      </c>
      <c r="EY208" s="27" t="s">
        <v>8</v>
      </c>
      <c r="EZ208" s="27" t="s">
        <v>7</v>
      </c>
      <c r="FA208" s="27" t="s">
        <v>8</v>
      </c>
      <c r="FH208" s="27" t="s">
        <v>7</v>
      </c>
    </row>
    <row r="209" spans="1:173" x14ac:dyDescent="0.25">
      <c r="A209" s="30">
        <v>4.5380394939082018</v>
      </c>
      <c r="E209"/>
      <c r="CA209" s="27" t="s">
        <v>8</v>
      </c>
      <c r="CB209" s="27" t="s">
        <v>7</v>
      </c>
      <c r="CM209" s="27" t="s">
        <v>8</v>
      </c>
      <c r="CQ209" s="27" t="s">
        <v>8</v>
      </c>
      <c r="CR209" s="27" t="s">
        <v>7</v>
      </c>
      <c r="CS209" s="27" t="s">
        <v>8</v>
      </c>
      <c r="CV209" s="27" t="s">
        <v>7</v>
      </c>
      <c r="CW209" s="27" t="s">
        <v>8</v>
      </c>
      <c r="CZ209" s="27" t="s">
        <v>7</v>
      </c>
      <c r="DA209" s="27" t="s">
        <v>8</v>
      </c>
      <c r="DC209" s="31"/>
      <c r="EH209" s="27" t="s">
        <v>7</v>
      </c>
      <c r="EI209" s="27" t="s">
        <v>8</v>
      </c>
      <c r="EJ209" s="27" t="s">
        <v>7</v>
      </c>
      <c r="EK209" s="27" t="s">
        <v>8</v>
      </c>
      <c r="EL209" s="27" t="s">
        <v>7</v>
      </c>
      <c r="EM209" s="27" t="s">
        <v>8</v>
      </c>
      <c r="EN209" s="27" t="s">
        <v>7</v>
      </c>
      <c r="EO209" s="27" t="s">
        <v>8</v>
      </c>
      <c r="EX209" s="27" t="s">
        <v>7</v>
      </c>
      <c r="EY209" s="27" t="s">
        <v>8</v>
      </c>
      <c r="EZ209" s="27" t="s">
        <v>7</v>
      </c>
      <c r="FA209" s="27" t="s">
        <v>8</v>
      </c>
      <c r="FH209" s="27" t="s">
        <v>7</v>
      </c>
    </row>
    <row r="210" spans="1:173" x14ac:dyDescent="0.25">
      <c r="A210" s="30">
        <v>4.3219423751506678</v>
      </c>
      <c r="C210"/>
      <c r="E210"/>
      <c r="CA210" s="27" t="s">
        <v>8</v>
      </c>
      <c r="CB210" s="27" t="s">
        <v>7</v>
      </c>
      <c r="CM210" s="27" t="s">
        <v>8</v>
      </c>
      <c r="CN210" s="27" t="s">
        <v>7</v>
      </c>
      <c r="CQ210" s="27" t="s">
        <v>8</v>
      </c>
      <c r="CR210" s="27" t="s">
        <v>7</v>
      </c>
      <c r="CS210" s="27" t="s">
        <v>8</v>
      </c>
      <c r="CV210" s="27" t="s">
        <v>7</v>
      </c>
      <c r="CZ210" s="27" t="s">
        <v>7</v>
      </c>
      <c r="DA210" s="27" t="s">
        <v>8</v>
      </c>
      <c r="DB210" s="31"/>
      <c r="EH210" s="27" t="s">
        <v>7</v>
      </c>
      <c r="EI210" s="27" t="s">
        <v>8</v>
      </c>
      <c r="EJ210" s="35" t="s">
        <v>7</v>
      </c>
      <c r="EL210" s="35" t="s">
        <v>7</v>
      </c>
      <c r="EN210" s="27" t="s">
        <v>7</v>
      </c>
      <c r="EO210" s="27" t="s">
        <v>8</v>
      </c>
      <c r="EX210" s="27" t="s">
        <v>7</v>
      </c>
      <c r="EZ210" s="27" t="s">
        <v>7</v>
      </c>
      <c r="FA210" s="27" t="s">
        <v>8</v>
      </c>
      <c r="FH210" s="27" t="s">
        <v>7</v>
      </c>
    </row>
    <row r="211" spans="1:173" x14ac:dyDescent="0.25">
      <c r="A211" s="30">
        <v>4.1161355953815884</v>
      </c>
      <c r="E211"/>
      <c r="CA211" s="27" t="s">
        <v>8</v>
      </c>
      <c r="CB211" s="27" t="s">
        <v>7</v>
      </c>
      <c r="CM211" s="27" t="s">
        <v>8</v>
      </c>
      <c r="CN211" s="27" t="s">
        <v>7</v>
      </c>
      <c r="CO211" s="27" t="s">
        <v>8</v>
      </c>
      <c r="CQ211" s="27" t="s">
        <v>8</v>
      </c>
      <c r="CR211" s="27" t="s">
        <v>7</v>
      </c>
      <c r="CZ211" s="27" t="s">
        <v>7</v>
      </c>
      <c r="DA211" s="31"/>
      <c r="EH211" s="27" t="s">
        <v>7</v>
      </c>
      <c r="EI211" s="27" t="s">
        <v>8</v>
      </c>
      <c r="EN211" s="27" t="s">
        <v>7</v>
      </c>
      <c r="EO211" s="27" t="s">
        <v>8</v>
      </c>
      <c r="EZ211" s="27" t="s">
        <v>7</v>
      </c>
      <c r="FH211" s="27" t="s">
        <v>7</v>
      </c>
      <c r="FI211" s="27" t="s">
        <v>8</v>
      </c>
    </row>
    <row r="212" spans="1:173" x14ac:dyDescent="0.25">
      <c r="A212" s="30">
        <v>3.9201291384586554</v>
      </c>
      <c r="E212"/>
      <c r="CA212" s="27" t="s">
        <v>8</v>
      </c>
      <c r="CB212" s="27" t="s">
        <v>7</v>
      </c>
      <c r="CC212" s="27" t="s">
        <v>8</v>
      </c>
      <c r="CE212" s="35" t="s">
        <v>8</v>
      </c>
      <c r="CG212" s="35" t="s">
        <v>8</v>
      </c>
      <c r="CM212" s="27" t="s">
        <v>8</v>
      </c>
      <c r="CN212" s="27" t="s">
        <v>7</v>
      </c>
      <c r="CO212" s="27" t="s">
        <v>8</v>
      </c>
      <c r="CP212" s="27" t="s">
        <v>7</v>
      </c>
      <c r="CQ212" s="27" t="s">
        <v>8</v>
      </c>
      <c r="CZ212" s="31"/>
      <c r="EH212" s="27" t="s">
        <v>7</v>
      </c>
      <c r="EI212" s="27" t="s">
        <v>8</v>
      </c>
      <c r="EN212" s="27" t="s">
        <v>7</v>
      </c>
      <c r="EO212" s="27" t="s">
        <v>8</v>
      </c>
      <c r="FH212" s="27" t="s">
        <v>7</v>
      </c>
      <c r="FI212" s="27" t="s">
        <v>8</v>
      </c>
      <c r="FJ212" s="27" t="s">
        <v>7</v>
      </c>
      <c r="FK212" s="27" t="s">
        <v>8</v>
      </c>
      <c r="FM212" s="27" t="s">
        <v>8</v>
      </c>
    </row>
    <row r="213" spans="1:173" x14ac:dyDescent="0.25">
      <c r="A213" s="30">
        <v>3.7334563223415764</v>
      </c>
      <c r="E213"/>
      <c r="CA213" s="27" t="s">
        <v>8</v>
      </c>
      <c r="CB213" s="27" t="s">
        <v>7</v>
      </c>
      <c r="CC213" s="27" t="s">
        <v>8</v>
      </c>
      <c r="CD213" s="27" t="s">
        <v>7</v>
      </c>
      <c r="CE213" s="27" t="s">
        <v>8</v>
      </c>
      <c r="CF213" s="27" t="s">
        <v>7</v>
      </c>
      <c r="CG213" s="27" t="s">
        <v>8</v>
      </c>
      <c r="CH213" s="27" t="s">
        <v>7</v>
      </c>
      <c r="CI213" s="27" t="s">
        <v>8</v>
      </c>
      <c r="CM213" s="27" t="s">
        <v>8</v>
      </c>
      <c r="CN213" s="27" t="s">
        <v>7</v>
      </c>
      <c r="CO213" s="27" t="s">
        <v>8</v>
      </c>
      <c r="CP213" s="27" t="s">
        <v>7</v>
      </c>
      <c r="CQ213" s="27" t="s">
        <v>8</v>
      </c>
      <c r="CY213" s="31"/>
      <c r="EH213" s="27" t="s">
        <v>7</v>
      </c>
      <c r="EN213" s="27" t="s">
        <v>7</v>
      </c>
      <c r="EO213" s="27" t="s">
        <v>8</v>
      </c>
      <c r="FH213" s="27" t="s">
        <v>7</v>
      </c>
      <c r="FI213" s="27" t="s">
        <v>8</v>
      </c>
      <c r="FJ213" s="27" t="s">
        <v>7</v>
      </c>
      <c r="FK213" s="27" t="s">
        <v>8</v>
      </c>
      <c r="FL213" s="27" t="s">
        <v>7</v>
      </c>
      <c r="FM213" s="27" t="s">
        <v>8</v>
      </c>
      <c r="FN213" s="27" t="s">
        <v>7</v>
      </c>
    </row>
    <row r="214" spans="1:173" x14ac:dyDescent="0.25">
      <c r="A214" s="30">
        <v>3.5556726879443583</v>
      </c>
      <c r="E214"/>
      <c r="CA214" s="27" t="s">
        <v>8</v>
      </c>
      <c r="CB214" s="27" t="s">
        <v>7</v>
      </c>
      <c r="CC214" s="27" t="s">
        <v>8</v>
      </c>
      <c r="CD214" s="27" t="s">
        <v>7</v>
      </c>
      <c r="CE214" s="27" t="s">
        <v>8</v>
      </c>
      <c r="CF214" s="27" t="s">
        <v>7</v>
      </c>
      <c r="CG214" s="27" t="s">
        <v>8</v>
      </c>
      <c r="CH214" s="27" t="s">
        <v>7</v>
      </c>
      <c r="CI214" s="27" t="s">
        <v>8</v>
      </c>
      <c r="CJ214" s="27" t="s">
        <v>7</v>
      </c>
      <c r="CM214" s="27" t="s">
        <v>8</v>
      </c>
      <c r="CN214" s="27" t="s">
        <v>7</v>
      </c>
      <c r="CO214" s="27" t="s">
        <v>8</v>
      </c>
      <c r="CP214" s="27" t="s">
        <v>7</v>
      </c>
      <c r="CQ214" s="27" t="s">
        <v>8</v>
      </c>
      <c r="CX214" s="31"/>
      <c r="EN214" s="18" t="s">
        <v>7</v>
      </c>
      <c r="EO214" s="27" t="s">
        <v>8</v>
      </c>
      <c r="FH214" s="27" t="s">
        <v>7</v>
      </c>
      <c r="FJ214" s="27" t="s">
        <v>7</v>
      </c>
      <c r="FK214" s="27" t="s">
        <v>8</v>
      </c>
      <c r="FL214" s="27" t="s">
        <v>7</v>
      </c>
      <c r="FM214" s="27" t="s">
        <v>8</v>
      </c>
      <c r="FN214" s="27" t="s">
        <v>7</v>
      </c>
    </row>
    <row r="215" spans="1:173" x14ac:dyDescent="0.25">
      <c r="A215" s="30">
        <v>3.3863549408993889</v>
      </c>
      <c r="E215"/>
      <c r="CA215" s="27" t="s">
        <v>8</v>
      </c>
      <c r="CB215" s="27" t="s">
        <v>7</v>
      </c>
      <c r="CC215" s="27" t="s">
        <v>8</v>
      </c>
      <c r="CD215" s="27" t="s">
        <v>7</v>
      </c>
      <c r="CE215" s="27" t="s">
        <v>8</v>
      </c>
      <c r="CF215" s="27" t="s">
        <v>7</v>
      </c>
      <c r="CG215" s="27" t="s">
        <v>8</v>
      </c>
      <c r="CH215" s="27" t="s">
        <v>7</v>
      </c>
      <c r="CI215" s="27" t="s">
        <v>8</v>
      </c>
      <c r="CJ215" s="27" t="s">
        <v>7</v>
      </c>
      <c r="CK215" s="27" t="s">
        <v>8</v>
      </c>
      <c r="CM215" s="27" t="s">
        <v>8</v>
      </c>
      <c r="CN215" s="27" t="s">
        <v>7</v>
      </c>
      <c r="CP215" s="27" t="s">
        <v>7</v>
      </c>
      <c r="CW215" s="31"/>
      <c r="EN215" s="27" t="s">
        <v>7</v>
      </c>
      <c r="EO215" s="27" t="s">
        <v>8</v>
      </c>
      <c r="FJ215" s="27" t="s">
        <v>7</v>
      </c>
      <c r="FK215" s="27" t="s">
        <v>8</v>
      </c>
      <c r="FL215" s="27" t="s">
        <v>7</v>
      </c>
      <c r="FN215" s="27" t="s">
        <v>7</v>
      </c>
    </row>
    <row r="216" spans="1:173" x14ac:dyDescent="0.25">
      <c r="A216" s="30">
        <v>3.2250999437137038</v>
      </c>
      <c r="E216"/>
      <c r="CA216" s="27" t="s">
        <v>8</v>
      </c>
      <c r="CB216" s="27" t="s">
        <v>7</v>
      </c>
      <c r="CC216" s="27" t="s">
        <v>8</v>
      </c>
      <c r="CD216" s="27" t="s">
        <v>7</v>
      </c>
      <c r="CE216" s="27" t="s">
        <v>8</v>
      </c>
      <c r="CF216" s="27" t="s">
        <v>7</v>
      </c>
      <c r="CG216" s="27" t="s">
        <v>8</v>
      </c>
      <c r="CH216" s="27" t="s">
        <v>7</v>
      </c>
      <c r="CJ216" s="27" t="s">
        <v>7</v>
      </c>
      <c r="CK216" s="27" t="s">
        <v>8</v>
      </c>
      <c r="CL216" s="27" t="s">
        <v>7</v>
      </c>
      <c r="CM216" s="27" t="s">
        <v>8</v>
      </c>
      <c r="CV216" s="31"/>
      <c r="EN216" s="27" t="s">
        <v>7</v>
      </c>
      <c r="FJ216" s="27" t="s">
        <v>7</v>
      </c>
      <c r="FN216" s="27" t="s">
        <v>7</v>
      </c>
      <c r="FO216" s="27" t="s">
        <v>8</v>
      </c>
    </row>
    <row r="217" spans="1:173" x14ac:dyDescent="0.25">
      <c r="A217" s="30">
        <v>3.0715237559178128</v>
      </c>
      <c r="E217"/>
      <c r="CA217" s="27" t="s">
        <v>8</v>
      </c>
      <c r="CB217" s="27" t="s">
        <v>7</v>
      </c>
      <c r="CD217" s="27" t="s">
        <v>7</v>
      </c>
      <c r="CE217" s="27" t="s">
        <v>8</v>
      </c>
      <c r="CF217" s="27" t="s">
        <v>7</v>
      </c>
      <c r="CG217" s="27" t="s">
        <v>8</v>
      </c>
      <c r="CJ217" s="27" t="s">
        <v>7</v>
      </c>
      <c r="CK217" s="27" t="s">
        <v>8</v>
      </c>
      <c r="CL217" s="27" t="s">
        <v>7</v>
      </c>
      <c r="CM217" s="27" t="s">
        <v>8</v>
      </c>
      <c r="CU217" s="31"/>
      <c r="FN217" s="27" t="s">
        <v>7</v>
      </c>
      <c r="FO217" s="27" t="s">
        <v>8</v>
      </c>
      <c r="FP217" s="27" t="s">
        <v>7</v>
      </c>
    </row>
    <row r="218" spans="1:173" x14ac:dyDescent="0.25">
      <c r="A218" s="30">
        <v>2.9252607199217264</v>
      </c>
      <c r="E218"/>
      <c r="CA218" s="27" t="s">
        <v>8</v>
      </c>
      <c r="CD218" s="27" t="s">
        <v>7</v>
      </c>
      <c r="CE218" s="27" t="s">
        <v>8</v>
      </c>
      <c r="CF218" s="27" t="s">
        <v>7</v>
      </c>
      <c r="CG218" s="27" t="s">
        <v>8</v>
      </c>
      <c r="CJ218" s="27" t="s">
        <v>7</v>
      </c>
      <c r="CK218" s="27" t="s">
        <v>8</v>
      </c>
      <c r="CL218" s="27" t="s">
        <v>7</v>
      </c>
      <c r="CT218" s="31"/>
      <c r="FN218" s="27" t="s">
        <v>7</v>
      </c>
      <c r="FO218" s="27" t="s">
        <v>8</v>
      </c>
      <c r="FP218" s="27" t="s">
        <v>7</v>
      </c>
    </row>
    <row r="219" spans="1:173" x14ac:dyDescent="0.25">
      <c r="A219" s="30">
        <v>2.7859625904016441</v>
      </c>
      <c r="E219"/>
      <c r="CA219" s="27" t="s">
        <v>8</v>
      </c>
      <c r="CD219" s="27" t="s">
        <v>7</v>
      </c>
      <c r="CE219" s="27" t="s">
        <v>8</v>
      </c>
      <c r="CF219" s="27" t="s">
        <v>7</v>
      </c>
      <c r="CJ219" s="27" t="s">
        <v>7</v>
      </c>
      <c r="CK219" s="27" t="s">
        <v>8</v>
      </c>
      <c r="CS219" s="31"/>
      <c r="FN219" s="27" t="s">
        <v>7</v>
      </c>
      <c r="FP219" s="27" t="s">
        <v>7</v>
      </c>
    </row>
    <row r="220" spans="1:173" x14ac:dyDescent="0.25">
      <c r="A220" s="30">
        <v>2.6532977051444226</v>
      </c>
      <c r="E220"/>
      <c r="CA220" s="27" t="s">
        <v>8</v>
      </c>
      <c r="CD220" s="27" t="s">
        <v>7</v>
      </c>
      <c r="CE220" s="27" t="s">
        <v>8</v>
      </c>
      <c r="CJ220" s="27" t="s">
        <v>7</v>
      </c>
      <c r="CR220" s="31"/>
      <c r="FP220" s="27" t="s">
        <v>7</v>
      </c>
    </row>
    <row r="221" spans="1:173" x14ac:dyDescent="0.25">
      <c r="A221" s="30">
        <v>2.5269501953756404</v>
      </c>
      <c r="E221"/>
      <c r="CA221" s="27" t="s">
        <v>8</v>
      </c>
      <c r="CD221" s="27" t="s">
        <v>7</v>
      </c>
      <c r="CE221" s="27" t="s">
        <v>8</v>
      </c>
      <c r="CQ221" s="31"/>
      <c r="FP221" s="27" t="s">
        <v>7</v>
      </c>
    </row>
    <row r="222" spans="1:173" x14ac:dyDescent="0.25">
      <c r="A222" s="30">
        <v>2.4066192336910861</v>
      </c>
      <c r="E222"/>
      <c r="CA222" s="27" t="s">
        <v>8</v>
      </c>
      <c r="CD222" s="27" t="s">
        <v>7</v>
      </c>
      <c r="CE222" s="27" t="s">
        <v>8</v>
      </c>
      <c r="CP222" s="31"/>
      <c r="FP222" s="27" t="s">
        <v>7</v>
      </c>
      <c r="FQ222" s="27" t="s">
        <v>8</v>
      </c>
    </row>
    <row r="223" spans="1:173" x14ac:dyDescent="0.25">
      <c r="A223" s="30">
        <v>2.2920183178010345</v>
      </c>
      <c r="E223"/>
      <c r="CA223" s="27" t="s">
        <v>8</v>
      </c>
      <c r="CD223" s="27" t="s">
        <v>7</v>
      </c>
      <c r="CO223" s="31"/>
      <c r="FP223" s="27" t="s">
        <v>7</v>
      </c>
      <c r="FQ223" s="27" t="s">
        <v>8</v>
      </c>
    </row>
    <row r="224" spans="1:173" x14ac:dyDescent="0.25">
      <c r="A224" s="30">
        <v>2.1828745883819374</v>
      </c>
      <c r="E224"/>
      <c r="CA224" s="27" t="s">
        <v>8</v>
      </c>
      <c r="CN224" s="31"/>
      <c r="FP224" s="27" t="s">
        <v>7</v>
      </c>
      <c r="FQ224" s="27" t="s">
        <v>8</v>
      </c>
    </row>
    <row r="225" spans="1:173" x14ac:dyDescent="0.25">
      <c r="A225" s="30">
        <v>2.0789281794113688</v>
      </c>
      <c r="E225"/>
      <c r="CA225" s="27" t="s">
        <v>8</v>
      </c>
      <c r="CM225" s="31"/>
      <c r="FP225" s="27" t="s">
        <v>7</v>
      </c>
      <c r="FQ225" s="27" t="s">
        <v>8</v>
      </c>
    </row>
    <row r="226" spans="1:173" x14ac:dyDescent="0.25">
      <c r="A226" s="30">
        <v>1.9799315994393987</v>
      </c>
      <c r="E226"/>
      <c r="K226" s="27" t="s">
        <v>8</v>
      </c>
      <c r="CA226" s="27" t="s">
        <v>8</v>
      </c>
      <c r="CL226" s="31"/>
      <c r="FP226" s="27" t="s">
        <v>7</v>
      </c>
      <c r="FQ226" s="27" t="s">
        <v>8</v>
      </c>
    </row>
    <row r="227" spans="1:173" x14ac:dyDescent="0.25">
      <c r="A227" s="30">
        <v>1.8856491423232367</v>
      </c>
      <c r="E227"/>
      <c r="G227" s="27" t="s">
        <v>8</v>
      </c>
      <c r="K227" s="27" t="s">
        <v>8</v>
      </c>
      <c r="L227" s="27" t="s">
        <v>7</v>
      </c>
      <c r="M227" s="27" t="s">
        <v>8</v>
      </c>
      <c r="CA227" s="27" t="s">
        <v>8</v>
      </c>
      <c r="CK227" s="31"/>
      <c r="FP227" s="27" t="s">
        <v>7</v>
      </c>
    </row>
    <row r="228" spans="1:173" x14ac:dyDescent="0.25">
      <c r="A228" s="30">
        <v>1.7958563260221301</v>
      </c>
      <c r="C228" s="7"/>
      <c r="D228"/>
      <c r="E228" t="s">
        <v>8</v>
      </c>
      <c r="G228" s="27" t="s">
        <v>8</v>
      </c>
      <c r="H228" s="27" t="s">
        <v>7</v>
      </c>
      <c r="K228" s="27" t="s">
        <v>8</v>
      </c>
      <c r="L228" s="27" t="s">
        <v>7</v>
      </c>
      <c r="M228" s="27" t="s">
        <v>8</v>
      </c>
      <c r="N228" s="27" t="s">
        <v>7</v>
      </c>
      <c r="BY228" s="27" t="s">
        <v>8</v>
      </c>
      <c r="CA228" s="27" t="s">
        <v>8</v>
      </c>
      <c r="CJ228" s="31"/>
    </row>
    <row r="229" spans="1:173" x14ac:dyDescent="0.25">
      <c r="A229" s="30">
        <v>1.7103393581163142</v>
      </c>
      <c r="E229" t="s">
        <v>8</v>
      </c>
      <c r="F229" s="27" t="s">
        <v>7</v>
      </c>
      <c r="G229" s="27" t="s">
        <v>8</v>
      </c>
      <c r="H229" s="27" t="s">
        <v>7</v>
      </c>
      <c r="K229" s="27" t="s">
        <v>8</v>
      </c>
      <c r="L229" s="27" t="s">
        <v>7</v>
      </c>
      <c r="M229" s="27" t="s">
        <v>8</v>
      </c>
      <c r="N229" s="27" t="s">
        <v>7</v>
      </c>
      <c r="O229" s="27" t="s">
        <v>8</v>
      </c>
      <c r="BY229" s="27" t="s">
        <v>8</v>
      </c>
      <c r="BZ229" s="27" t="s">
        <v>7</v>
      </c>
      <c r="CA229" s="27" t="s">
        <v>8</v>
      </c>
      <c r="CI229" s="31"/>
    </row>
    <row r="230" spans="1:173" x14ac:dyDescent="0.25">
      <c r="A230" s="30">
        <v>1.628894626777442</v>
      </c>
      <c r="E230" t="s">
        <v>8</v>
      </c>
      <c r="F230" s="27" t="s">
        <v>7</v>
      </c>
      <c r="G230" s="27" t="s">
        <v>8</v>
      </c>
      <c r="H230" s="27" t="s">
        <v>7</v>
      </c>
      <c r="I230" s="27" t="s">
        <v>8</v>
      </c>
      <c r="K230" s="27" t="s">
        <v>8</v>
      </c>
      <c r="L230" s="27" t="s">
        <v>7</v>
      </c>
      <c r="M230" s="27" t="s">
        <v>8</v>
      </c>
      <c r="N230" s="27" t="s">
        <v>7</v>
      </c>
      <c r="O230" s="27" t="s">
        <v>8</v>
      </c>
      <c r="P230" s="27" t="s">
        <v>7</v>
      </c>
      <c r="BY230" s="27" t="s">
        <v>8</v>
      </c>
      <c r="BZ230" s="27" t="s">
        <v>7</v>
      </c>
      <c r="CA230" s="27" t="s">
        <v>8</v>
      </c>
      <c r="CH230" s="31"/>
    </row>
    <row r="231" spans="1:173" x14ac:dyDescent="0.25">
      <c r="A231" s="30">
        <v>1.5513282159785162</v>
      </c>
      <c r="C231"/>
      <c r="D231"/>
      <c r="E231" t="s">
        <v>8</v>
      </c>
      <c r="F231" s="27" t="s">
        <v>7</v>
      </c>
      <c r="G231" s="27" t="s">
        <v>8</v>
      </c>
      <c r="H231" s="27" t="s">
        <v>7</v>
      </c>
      <c r="I231" s="27" t="s">
        <v>8</v>
      </c>
      <c r="J231" s="27" t="s">
        <v>7</v>
      </c>
      <c r="K231" s="27" t="s">
        <v>8</v>
      </c>
      <c r="L231" s="27" t="s">
        <v>7</v>
      </c>
      <c r="N231" s="27" t="s">
        <v>7</v>
      </c>
      <c r="O231" s="27" t="s">
        <v>8</v>
      </c>
      <c r="P231" s="27" t="s">
        <v>7</v>
      </c>
      <c r="BY231" s="27" t="s">
        <v>8</v>
      </c>
      <c r="BZ231" s="27" t="s">
        <v>7</v>
      </c>
      <c r="CA231" s="27" t="s">
        <v>8</v>
      </c>
      <c r="CG231" s="31"/>
    </row>
    <row r="232" spans="1:173" x14ac:dyDescent="0.25">
      <c r="A232" s="30">
        <v>1.477455443789063</v>
      </c>
      <c r="E232" t="s">
        <v>8</v>
      </c>
      <c r="F232" s="27" t="s">
        <v>7</v>
      </c>
      <c r="G232" s="27" t="s">
        <v>8</v>
      </c>
      <c r="H232" s="27" t="s">
        <v>7</v>
      </c>
      <c r="I232" s="27" t="s">
        <v>8</v>
      </c>
      <c r="J232" s="27" t="s">
        <v>7</v>
      </c>
      <c r="K232" s="27" t="s">
        <v>8</v>
      </c>
      <c r="N232" s="27" t="s">
        <v>7</v>
      </c>
      <c r="P232" s="27" t="s">
        <v>7</v>
      </c>
      <c r="BQ232" s="27" t="s">
        <v>8</v>
      </c>
      <c r="BY232" s="27" t="s">
        <v>8</v>
      </c>
      <c r="BZ232" s="27" t="s">
        <v>7</v>
      </c>
      <c r="CA232" s="27" t="s">
        <v>8</v>
      </c>
      <c r="CF232" s="31"/>
    </row>
    <row r="233" spans="1:173" x14ac:dyDescent="0.25">
      <c r="A233" s="30">
        <v>1.4071004226562505</v>
      </c>
      <c r="E233" t="s">
        <v>8</v>
      </c>
      <c r="F233" s="27" t="s">
        <v>7</v>
      </c>
      <c r="H233" s="27" t="s">
        <v>7</v>
      </c>
      <c r="J233" s="27" t="s">
        <v>7</v>
      </c>
      <c r="P233" s="27" t="s">
        <v>7</v>
      </c>
      <c r="Q233" s="27" t="s">
        <v>8</v>
      </c>
      <c r="S233" s="27" t="s">
        <v>8</v>
      </c>
      <c r="BE233" s="27" t="s">
        <v>8</v>
      </c>
      <c r="BG233" s="27" t="s">
        <v>8</v>
      </c>
      <c r="BQ233" s="27" t="s">
        <v>8</v>
      </c>
      <c r="BR233" s="27" t="s">
        <v>7</v>
      </c>
      <c r="BY233" s="27" t="s">
        <v>8</v>
      </c>
      <c r="BZ233" s="27" t="s">
        <v>7</v>
      </c>
      <c r="CA233" s="27" t="s">
        <v>8</v>
      </c>
      <c r="CE233" s="31"/>
    </row>
    <row r="234" spans="1:173" x14ac:dyDescent="0.25">
      <c r="A234" s="30">
        <v>1.3400956406250004</v>
      </c>
      <c r="E234" t="s">
        <v>8</v>
      </c>
      <c r="P234" s="27" t="s">
        <v>7</v>
      </c>
      <c r="Q234" s="27" t="s">
        <v>8</v>
      </c>
      <c r="R234" s="27" t="s">
        <v>7</v>
      </c>
      <c r="S234" s="27" t="s">
        <v>8</v>
      </c>
      <c r="T234" s="27" t="s">
        <v>7</v>
      </c>
      <c r="BE234" s="27" t="s">
        <v>8</v>
      </c>
      <c r="BF234" s="27" t="s">
        <v>7</v>
      </c>
      <c r="BG234" s="27" t="s">
        <v>8</v>
      </c>
      <c r="BH234" s="27" t="s">
        <v>7</v>
      </c>
      <c r="BQ234" s="27" t="s">
        <v>8</v>
      </c>
      <c r="BR234" s="27" t="s">
        <v>7</v>
      </c>
      <c r="BY234" s="27" t="s">
        <v>8</v>
      </c>
      <c r="BZ234" s="27" t="s">
        <v>7</v>
      </c>
      <c r="CD234" s="31"/>
    </row>
    <row r="235" spans="1:173" x14ac:dyDescent="0.25">
      <c r="A235" s="30">
        <v>1.2762815625000004</v>
      </c>
      <c r="C235"/>
      <c r="E235" t="s">
        <v>8</v>
      </c>
      <c r="P235" s="27" t="s">
        <v>7</v>
      </c>
      <c r="Q235" s="27" t="s">
        <v>8</v>
      </c>
      <c r="R235" s="27" t="s">
        <v>7</v>
      </c>
      <c r="S235" s="27" t="s">
        <v>8</v>
      </c>
      <c r="T235" s="27" t="s">
        <v>7</v>
      </c>
      <c r="AY235" s="27" t="s">
        <v>8</v>
      </c>
      <c r="BA235" s="27" t="s">
        <v>8</v>
      </c>
      <c r="BE235" s="27" t="s">
        <v>8</v>
      </c>
      <c r="BF235" s="27" t="s">
        <v>7</v>
      </c>
      <c r="BG235" s="27" t="s">
        <v>8</v>
      </c>
      <c r="BH235" s="27" t="s">
        <v>7</v>
      </c>
      <c r="BQ235" s="27" t="s">
        <v>8</v>
      </c>
      <c r="BR235" s="27" t="s">
        <v>7</v>
      </c>
      <c r="BS235" s="27" t="s">
        <v>8</v>
      </c>
      <c r="BY235" s="27" t="s">
        <v>8</v>
      </c>
      <c r="CC235" s="31"/>
    </row>
    <row r="236" spans="1:173" x14ac:dyDescent="0.25">
      <c r="A236" s="30">
        <v>1.2155062500000002</v>
      </c>
      <c r="E236" t="s">
        <v>8</v>
      </c>
      <c r="P236" s="27" t="s">
        <v>7</v>
      </c>
      <c r="R236" s="27" t="s">
        <v>7</v>
      </c>
      <c r="S236" s="27" t="s">
        <v>8</v>
      </c>
      <c r="T236" s="27" t="s">
        <v>7</v>
      </c>
      <c r="AG236" s="27" t="s">
        <v>8</v>
      </c>
      <c r="AY236" s="27" t="s">
        <v>8</v>
      </c>
      <c r="AZ236" s="27" t="s">
        <v>7</v>
      </c>
      <c r="BA236" s="27" t="s">
        <v>8</v>
      </c>
      <c r="BB236" s="27" t="s">
        <v>7</v>
      </c>
      <c r="BE236" s="27" t="s">
        <v>8</v>
      </c>
      <c r="BF236" s="27" t="s">
        <v>7</v>
      </c>
      <c r="BG236" s="27" t="s">
        <v>8</v>
      </c>
      <c r="BH236" s="27" t="s">
        <v>7</v>
      </c>
      <c r="BQ236" s="27" t="s">
        <v>8</v>
      </c>
      <c r="BR236" s="27" t="s">
        <v>7</v>
      </c>
      <c r="BS236" s="27" t="s">
        <v>8</v>
      </c>
      <c r="BT236" s="27" t="s">
        <v>7</v>
      </c>
      <c r="BU236" s="27" t="s">
        <v>8</v>
      </c>
      <c r="BY236" s="27" t="s">
        <v>8</v>
      </c>
      <c r="CB236" s="31"/>
    </row>
    <row r="237" spans="1:173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R237" s="27" t="s">
        <v>7</v>
      </c>
      <c r="S237" s="27" t="s">
        <v>8</v>
      </c>
      <c r="T237" s="27" t="s">
        <v>7</v>
      </c>
      <c r="U237" s="27" t="s">
        <v>8</v>
      </c>
      <c r="AG237" s="27" t="s">
        <v>8</v>
      </c>
      <c r="AH237" s="27" t="s">
        <v>7</v>
      </c>
      <c r="AY237" s="27" t="s">
        <v>8</v>
      </c>
      <c r="AZ237" s="27" t="s">
        <v>7</v>
      </c>
      <c r="BA237" s="27" t="s">
        <v>8</v>
      </c>
      <c r="BB237" s="27" t="s">
        <v>7</v>
      </c>
      <c r="BE237" s="27" t="s">
        <v>8</v>
      </c>
      <c r="BF237" s="27" t="s">
        <v>7</v>
      </c>
      <c r="BH237" s="27" t="s">
        <v>7</v>
      </c>
      <c r="BQ237" s="27" t="s">
        <v>8</v>
      </c>
      <c r="BR237" s="27" t="s">
        <v>7</v>
      </c>
      <c r="BS237" s="27" t="s">
        <v>8</v>
      </c>
      <c r="BT237" s="27" t="s">
        <v>7</v>
      </c>
      <c r="BU237" s="27" t="s">
        <v>8</v>
      </c>
      <c r="BV237" s="27" t="s">
        <v>7</v>
      </c>
      <c r="BW237" s="27" t="s">
        <v>8</v>
      </c>
      <c r="BY237" s="27" t="s">
        <v>8</v>
      </c>
      <c r="CA237" s="31"/>
    </row>
    <row r="238" spans="1:173" x14ac:dyDescent="0.25">
      <c r="A238" s="30">
        <v>1.1025</v>
      </c>
      <c r="E238" t="s">
        <v>8</v>
      </c>
      <c r="R238" s="27" t="s">
        <v>7</v>
      </c>
      <c r="S238" s="27" t="s">
        <v>8</v>
      </c>
      <c r="T238" s="27" t="s">
        <v>7</v>
      </c>
      <c r="U238" s="27" t="s">
        <v>8</v>
      </c>
      <c r="V238" s="27" t="s">
        <v>7</v>
      </c>
      <c r="AG238" s="27" t="s">
        <v>8</v>
      </c>
      <c r="AH238" s="27" t="s">
        <v>7</v>
      </c>
      <c r="AY238" s="27" t="s">
        <v>8</v>
      </c>
      <c r="AZ238" s="27" t="s">
        <v>7</v>
      </c>
      <c r="BA238" s="27" t="s">
        <v>8</v>
      </c>
      <c r="BB238" s="27" t="s">
        <v>7</v>
      </c>
      <c r="BC238" s="27" t="s">
        <v>8</v>
      </c>
      <c r="BE238" s="27" t="s">
        <v>8</v>
      </c>
      <c r="BH238" s="27" t="s">
        <v>7</v>
      </c>
      <c r="BQ238" s="27" t="s">
        <v>8</v>
      </c>
      <c r="BR238" s="27" t="s">
        <v>7</v>
      </c>
      <c r="BS238" s="27" t="s">
        <v>8</v>
      </c>
      <c r="BT238" s="27" t="s">
        <v>7</v>
      </c>
      <c r="BU238" s="27" t="s">
        <v>8</v>
      </c>
      <c r="BV238" s="27" t="s">
        <v>7</v>
      </c>
      <c r="BW238" s="27" t="s">
        <v>8</v>
      </c>
      <c r="BX238" s="27" t="s">
        <v>7</v>
      </c>
      <c r="BY238" s="27" t="s">
        <v>8</v>
      </c>
      <c r="BZ238" s="31"/>
    </row>
    <row r="239" spans="1:173" x14ac:dyDescent="0.25">
      <c r="A239" s="30">
        <v>1.05</v>
      </c>
      <c r="E239" t="s">
        <v>8</v>
      </c>
      <c r="R239" s="27" t="s">
        <v>7</v>
      </c>
      <c r="S239" s="27" t="s">
        <v>8</v>
      </c>
      <c r="T239" s="27" t="s">
        <v>7</v>
      </c>
      <c r="U239" s="27" t="s">
        <v>8</v>
      </c>
      <c r="V239" s="27" t="s">
        <v>7</v>
      </c>
      <c r="Y239" s="27" t="s">
        <v>8</v>
      </c>
      <c r="AG239" s="27" t="s">
        <v>8</v>
      </c>
      <c r="AH239" s="27" t="s">
        <v>7</v>
      </c>
      <c r="AY239" s="27" t="s">
        <v>8</v>
      </c>
      <c r="AZ239" s="27" t="s">
        <v>7</v>
      </c>
      <c r="BA239" s="27" t="s">
        <v>8</v>
      </c>
      <c r="BB239" s="27" t="s">
        <v>7</v>
      </c>
      <c r="BC239" s="27" t="s">
        <v>8</v>
      </c>
      <c r="BD239" s="27" t="s">
        <v>7</v>
      </c>
      <c r="BE239" s="27" t="s">
        <v>8</v>
      </c>
      <c r="BH239" s="27" t="s">
        <v>7</v>
      </c>
      <c r="BQ239" s="27" t="s">
        <v>8</v>
      </c>
      <c r="BR239" s="27" t="s">
        <v>7</v>
      </c>
      <c r="BS239" s="27" t="s">
        <v>8</v>
      </c>
      <c r="BT239" s="27" t="s">
        <v>7</v>
      </c>
      <c r="BU239" s="27" t="s">
        <v>8</v>
      </c>
      <c r="BV239" s="27" t="s">
        <v>7</v>
      </c>
      <c r="BW239" s="27" t="s">
        <v>8</v>
      </c>
      <c r="BX239" s="27" t="s">
        <v>7</v>
      </c>
      <c r="BY239" s="31" t="s">
        <v>8</v>
      </c>
    </row>
    <row r="240" spans="1:173" x14ac:dyDescent="0.25">
      <c r="A240" s="30">
        <v>1</v>
      </c>
      <c r="E240" s="29" t="s">
        <v>8</v>
      </c>
      <c r="R240" s="27" t="s">
        <v>7</v>
      </c>
      <c r="S240" s="27" t="s">
        <v>8</v>
      </c>
      <c r="T240" s="27" t="s">
        <v>7</v>
      </c>
      <c r="V240" s="27" t="s">
        <v>7</v>
      </c>
      <c r="Y240" s="27" t="s">
        <v>8</v>
      </c>
      <c r="Z240" s="27" t="s">
        <v>7</v>
      </c>
      <c r="AE240" s="27" t="s">
        <v>8</v>
      </c>
      <c r="AG240" s="27" t="s">
        <v>8</v>
      </c>
      <c r="AH240" s="27" t="s">
        <v>7</v>
      </c>
      <c r="AW240" s="27" t="s">
        <v>8</v>
      </c>
      <c r="AY240" s="27" t="s">
        <v>8</v>
      </c>
      <c r="AZ240" s="27" t="s">
        <v>7</v>
      </c>
      <c r="BA240" s="27" t="s">
        <v>8</v>
      </c>
      <c r="BB240" s="27" t="s">
        <v>7</v>
      </c>
      <c r="BC240" s="27" t="s">
        <v>8</v>
      </c>
      <c r="BD240" s="27" t="s">
        <v>7</v>
      </c>
      <c r="BE240" s="27" t="s">
        <v>8</v>
      </c>
      <c r="BH240" s="27" t="s">
        <v>7</v>
      </c>
      <c r="BQ240" s="27" t="s">
        <v>8</v>
      </c>
      <c r="BR240" s="27" t="s">
        <v>7</v>
      </c>
      <c r="BS240" s="27" t="s">
        <v>8</v>
      </c>
      <c r="BT240" s="27" t="s">
        <v>7</v>
      </c>
      <c r="BU240" s="27" t="s">
        <v>8</v>
      </c>
      <c r="BV240" s="27" t="s">
        <v>7</v>
      </c>
      <c r="BW240" s="27" t="s">
        <v>8</v>
      </c>
      <c r="BX240" s="31" t="s">
        <v>7</v>
      </c>
    </row>
    <row r="241" spans="1:74" x14ac:dyDescent="0.25">
      <c r="A241" s="30">
        <v>0.952380952380952</v>
      </c>
      <c r="B241"/>
      <c r="C241"/>
      <c r="D241"/>
      <c r="E241"/>
      <c r="R241" s="27" t="s">
        <v>7</v>
      </c>
      <c r="S241" s="27" t="s">
        <v>8</v>
      </c>
      <c r="V241" s="27" t="s">
        <v>7</v>
      </c>
      <c r="Y241" s="27" t="s">
        <v>8</v>
      </c>
      <c r="Z241" s="27" t="s">
        <v>7</v>
      </c>
      <c r="AE241" s="27" t="s">
        <v>8</v>
      </c>
      <c r="AF241" s="27" t="s">
        <v>7</v>
      </c>
      <c r="AG241" s="27" t="s">
        <v>8</v>
      </c>
      <c r="AH241" s="27" t="s">
        <v>7</v>
      </c>
      <c r="AU241" s="27" t="s">
        <v>8</v>
      </c>
      <c r="AW241" s="27" t="s">
        <v>8</v>
      </c>
      <c r="AX241" s="27" t="s">
        <v>7</v>
      </c>
      <c r="AY241" s="27" t="s">
        <v>8</v>
      </c>
      <c r="AZ241" s="27" t="s">
        <v>7</v>
      </c>
      <c r="BB241" s="27" t="s">
        <v>7</v>
      </c>
      <c r="BC241" s="27" t="s">
        <v>8</v>
      </c>
      <c r="BD241" s="27" t="s">
        <v>7</v>
      </c>
      <c r="BE241" s="27" t="s">
        <v>8</v>
      </c>
      <c r="BH241" s="27" t="s">
        <v>7</v>
      </c>
      <c r="BQ241" s="27" t="s">
        <v>8</v>
      </c>
      <c r="BR241" s="27" t="s">
        <v>7</v>
      </c>
      <c r="BT241" s="27" t="s">
        <v>7</v>
      </c>
      <c r="BV241" s="27" t="s">
        <v>7</v>
      </c>
    </row>
    <row r="242" spans="1:74" x14ac:dyDescent="0.25">
      <c r="A242" s="30">
        <v>0.90702947845804915</v>
      </c>
      <c r="B242"/>
      <c r="C242"/>
      <c r="D242"/>
      <c r="E242"/>
      <c r="R242" s="27" t="s">
        <v>7</v>
      </c>
      <c r="V242" s="27" t="s">
        <v>7</v>
      </c>
      <c r="W242" s="27" t="s">
        <v>8</v>
      </c>
      <c r="Y242" s="27" t="s">
        <v>8</v>
      </c>
      <c r="Z242" s="27" t="s">
        <v>7</v>
      </c>
      <c r="AA242" s="27" t="s">
        <v>8</v>
      </c>
      <c r="AE242" s="27" t="s">
        <v>8</v>
      </c>
      <c r="AF242" s="27" t="s">
        <v>7</v>
      </c>
      <c r="AG242" s="27" t="s">
        <v>8</v>
      </c>
      <c r="AH242" s="27" t="s">
        <v>7</v>
      </c>
      <c r="AU242" s="27" t="s">
        <v>8</v>
      </c>
      <c r="AV242" s="27" t="s">
        <v>7</v>
      </c>
      <c r="AW242" s="27" t="s">
        <v>8</v>
      </c>
      <c r="AX242" s="27" t="s">
        <v>7</v>
      </c>
      <c r="AY242" s="27" t="s">
        <v>8</v>
      </c>
      <c r="BB242" s="27" t="s">
        <v>7</v>
      </c>
      <c r="BD242" s="27" t="s">
        <v>7</v>
      </c>
      <c r="BH242" s="27" t="s">
        <v>7</v>
      </c>
      <c r="BI242" s="27" t="s">
        <v>8</v>
      </c>
      <c r="BK242" s="27" t="s">
        <v>8</v>
      </c>
      <c r="BM242" s="27" t="s">
        <v>8</v>
      </c>
      <c r="BQ242" s="27" t="s">
        <v>8</v>
      </c>
    </row>
    <row r="243" spans="1:74" x14ac:dyDescent="0.25">
      <c r="A243" s="30">
        <v>0.86383759853147501</v>
      </c>
      <c r="B243"/>
      <c r="C243"/>
      <c r="D243"/>
      <c r="E243"/>
      <c r="V243" s="27" t="s">
        <v>7</v>
      </c>
      <c r="W243" s="27" t="s">
        <v>8</v>
      </c>
      <c r="X243" s="27" t="s">
        <v>7</v>
      </c>
      <c r="Y243" s="27" t="s">
        <v>8</v>
      </c>
      <c r="Z243" s="27" t="s">
        <v>7</v>
      </c>
      <c r="AA243" s="27" t="s">
        <v>8</v>
      </c>
      <c r="AB243" s="27" t="s">
        <v>7</v>
      </c>
      <c r="AE243" s="27" t="s">
        <v>8</v>
      </c>
      <c r="AF243" s="27" t="s">
        <v>7</v>
      </c>
      <c r="AH243" s="27" t="s">
        <v>7</v>
      </c>
      <c r="AU243" s="27" t="s">
        <v>8</v>
      </c>
      <c r="AV243" s="27" t="s">
        <v>7</v>
      </c>
      <c r="AW243" s="27" t="s">
        <v>8</v>
      </c>
      <c r="AX243" s="27" t="s">
        <v>7</v>
      </c>
      <c r="BH243" s="27" t="s">
        <v>7</v>
      </c>
      <c r="BI243" s="27" t="s">
        <v>8</v>
      </c>
      <c r="BJ243" s="27" t="s">
        <v>7</v>
      </c>
      <c r="BK243" s="27" t="s">
        <v>8</v>
      </c>
      <c r="BL243" s="27" t="s">
        <v>7</v>
      </c>
      <c r="BM243" s="27" t="s">
        <v>8</v>
      </c>
      <c r="BN243" s="27" t="s">
        <v>7</v>
      </c>
      <c r="BQ243" s="27" t="s">
        <v>8</v>
      </c>
    </row>
    <row r="244" spans="1:74" x14ac:dyDescent="0.25">
      <c r="A244" s="30">
        <v>0.82270247479188063</v>
      </c>
      <c r="B244"/>
      <c r="C244"/>
      <c r="D244"/>
      <c r="E244"/>
      <c r="V244" s="27" t="s">
        <v>7</v>
      </c>
      <c r="W244" s="27" t="s">
        <v>8</v>
      </c>
      <c r="X244" s="27" t="s">
        <v>7</v>
      </c>
      <c r="Y244" s="27" t="s">
        <v>8</v>
      </c>
      <c r="Z244" s="27" t="s">
        <v>7</v>
      </c>
      <c r="AA244" s="27" t="s">
        <v>8</v>
      </c>
      <c r="AB244" s="27" t="s">
        <v>7</v>
      </c>
      <c r="AE244" s="27" t="s">
        <v>8</v>
      </c>
      <c r="AH244" s="27" t="s">
        <v>7</v>
      </c>
      <c r="AI244" s="27" t="s">
        <v>8</v>
      </c>
      <c r="AU244" s="27" t="s">
        <v>8</v>
      </c>
      <c r="AV244" s="27" t="s">
        <v>7</v>
      </c>
      <c r="AW244" s="27" t="s">
        <v>8</v>
      </c>
      <c r="BH244" s="27" t="s">
        <v>7</v>
      </c>
      <c r="BI244" s="27" t="s">
        <v>8</v>
      </c>
      <c r="BJ244" s="27" t="s">
        <v>7</v>
      </c>
      <c r="BK244" s="27" t="s">
        <v>8</v>
      </c>
      <c r="BL244" s="27" t="s">
        <v>7</v>
      </c>
      <c r="BM244" s="27" t="s">
        <v>8</v>
      </c>
      <c r="BN244" s="27" t="s">
        <v>7</v>
      </c>
      <c r="BO244" s="27" t="s">
        <v>8</v>
      </c>
      <c r="BQ244" s="27" t="s">
        <v>8</v>
      </c>
    </row>
    <row r="245" spans="1:74" x14ac:dyDescent="0.25">
      <c r="A245" s="30">
        <v>0.78352616646845741</v>
      </c>
      <c r="B245"/>
      <c r="C245"/>
      <c r="D245"/>
      <c r="E245"/>
      <c r="V245" s="27" t="s">
        <v>7</v>
      </c>
      <c r="W245" s="27" t="s">
        <v>8</v>
      </c>
      <c r="X245" s="27" t="s">
        <v>7</v>
      </c>
      <c r="Y245" s="27" t="s">
        <v>8</v>
      </c>
      <c r="Z245" s="27" t="s">
        <v>7</v>
      </c>
      <c r="AA245" s="27" t="s">
        <v>8</v>
      </c>
      <c r="AB245" s="27" t="s">
        <v>7</v>
      </c>
      <c r="AE245" s="27" t="s">
        <v>8</v>
      </c>
      <c r="AH245" s="27" t="s">
        <v>7</v>
      </c>
      <c r="AI245" s="27" t="s">
        <v>8</v>
      </c>
      <c r="AJ245" s="27" t="s">
        <v>7</v>
      </c>
      <c r="AU245" s="27" t="s">
        <v>8</v>
      </c>
      <c r="AV245" s="27" t="s">
        <v>7</v>
      </c>
      <c r="BH245" s="27" t="s">
        <v>7</v>
      </c>
      <c r="BJ245" s="27" t="s">
        <v>7</v>
      </c>
      <c r="BK245" s="27" t="s">
        <v>8</v>
      </c>
      <c r="BL245" s="27" t="s">
        <v>7</v>
      </c>
      <c r="BM245" s="27" t="s">
        <v>8</v>
      </c>
      <c r="BN245" s="27" t="s">
        <v>7</v>
      </c>
      <c r="BO245" s="27" t="s">
        <v>8</v>
      </c>
      <c r="BP245" s="27" t="s">
        <v>7</v>
      </c>
      <c r="BQ245" s="27" t="s">
        <v>8</v>
      </c>
    </row>
    <row r="246" spans="1:74" x14ac:dyDescent="0.25">
      <c r="A246" s="30">
        <v>0.74621539663662584</v>
      </c>
      <c r="B246"/>
      <c r="C246"/>
      <c r="D246"/>
      <c r="E246"/>
      <c r="V246" s="27" t="s">
        <v>7</v>
      </c>
      <c r="W246" s="27" t="s">
        <v>8</v>
      </c>
      <c r="X246" s="27" t="s">
        <v>7</v>
      </c>
      <c r="Y246" s="27" t="s">
        <v>8</v>
      </c>
      <c r="Z246" s="27" t="s">
        <v>7</v>
      </c>
      <c r="AA246" s="27" t="s">
        <v>8</v>
      </c>
      <c r="AB246" s="27" t="s">
        <v>7</v>
      </c>
      <c r="AC246" s="27" t="s">
        <v>8</v>
      </c>
      <c r="AE246" s="27" t="s">
        <v>8</v>
      </c>
      <c r="AH246" s="27" t="s">
        <v>7</v>
      </c>
      <c r="AI246" s="27" t="s">
        <v>8</v>
      </c>
      <c r="AJ246" s="27" t="s">
        <v>7</v>
      </c>
      <c r="AU246" s="27" t="s">
        <v>8</v>
      </c>
      <c r="BJ246" s="27" t="s">
        <v>7</v>
      </c>
      <c r="BK246" s="27" t="s">
        <v>8</v>
      </c>
      <c r="BL246" s="27" t="s">
        <v>7</v>
      </c>
      <c r="BM246" s="27" t="s">
        <v>8</v>
      </c>
      <c r="BN246" s="27" t="s">
        <v>7</v>
      </c>
      <c r="BO246" s="27" t="s">
        <v>8</v>
      </c>
      <c r="BP246" s="27" t="s">
        <v>7</v>
      </c>
      <c r="BQ246" s="27" t="s">
        <v>8</v>
      </c>
    </row>
    <row r="247" spans="1:74" x14ac:dyDescent="0.25">
      <c r="A247" s="30">
        <v>0.71068133013011958</v>
      </c>
      <c r="B247"/>
      <c r="C247"/>
      <c r="D247"/>
      <c r="E247"/>
      <c r="V247" s="27" t="s">
        <v>7</v>
      </c>
      <c r="W247" s="27" t="s">
        <v>8</v>
      </c>
      <c r="X247" s="27" t="s">
        <v>7</v>
      </c>
      <c r="Z247" s="27" t="s">
        <v>7</v>
      </c>
      <c r="AB247" s="27" t="s">
        <v>7</v>
      </c>
      <c r="AC247" s="27" t="s">
        <v>8</v>
      </c>
      <c r="AD247" s="27" t="s">
        <v>7</v>
      </c>
      <c r="AE247" s="27" t="s">
        <v>8</v>
      </c>
      <c r="AH247" s="27" t="s">
        <v>7</v>
      </c>
      <c r="AJ247" s="27" t="s">
        <v>7</v>
      </c>
      <c r="AS247" s="27" t="s">
        <v>8</v>
      </c>
      <c r="AU247" s="27" t="s">
        <v>8</v>
      </c>
      <c r="BJ247" s="27" t="s">
        <v>7</v>
      </c>
      <c r="BK247" s="27" t="s">
        <v>8</v>
      </c>
      <c r="BL247" s="27" t="s">
        <v>7</v>
      </c>
      <c r="BN247" s="27" t="s">
        <v>7</v>
      </c>
      <c r="BO247" s="27" t="s">
        <v>8</v>
      </c>
      <c r="BP247" s="27" t="s">
        <v>7</v>
      </c>
    </row>
    <row r="248" spans="1:74" x14ac:dyDescent="0.25">
      <c r="A248" s="30">
        <v>0.676839362028685</v>
      </c>
      <c r="B248"/>
      <c r="C248"/>
      <c r="D248"/>
      <c r="E248"/>
      <c r="V248" s="27" t="s">
        <v>7</v>
      </c>
      <c r="AB248" s="27" t="s">
        <v>7</v>
      </c>
      <c r="AC248" s="27" t="s">
        <v>8</v>
      </c>
      <c r="AD248" s="27" t="s">
        <v>7</v>
      </c>
      <c r="AE248" s="27" t="s">
        <v>8</v>
      </c>
      <c r="AJ248" s="27" t="s">
        <v>7</v>
      </c>
      <c r="AS248" s="27" t="s">
        <v>8</v>
      </c>
      <c r="AT248" s="27" t="s">
        <v>7</v>
      </c>
      <c r="AU248" s="27" t="s">
        <v>8</v>
      </c>
      <c r="BJ248" s="27" t="s">
        <v>7</v>
      </c>
      <c r="BN248" s="27" t="s">
        <v>7</v>
      </c>
    </row>
    <row r="249" spans="1:74" x14ac:dyDescent="0.25">
      <c r="A249" s="30">
        <v>0.64460891621779492</v>
      </c>
      <c r="B249"/>
      <c r="C249"/>
      <c r="D249"/>
      <c r="E249"/>
      <c r="AB249" s="27" t="s">
        <v>7</v>
      </c>
      <c r="AC249" s="27" t="s">
        <v>8</v>
      </c>
      <c r="AD249" s="27" t="s">
        <v>7</v>
      </c>
      <c r="AJ249" s="27" t="s">
        <v>7</v>
      </c>
      <c r="AQ249" s="27" t="s">
        <v>8</v>
      </c>
      <c r="AS249" s="27" t="s">
        <v>8</v>
      </c>
      <c r="AT249" s="27" t="s">
        <v>7</v>
      </c>
      <c r="AU249" s="27" t="s">
        <v>8</v>
      </c>
    </row>
    <row r="250" spans="1:74" x14ac:dyDescent="0.25">
      <c r="A250" s="30">
        <v>0.61391325354075688</v>
      </c>
      <c r="B250"/>
      <c r="C250"/>
      <c r="D250"/>
      <c r="E250"/>
      <c r="AB250" s="27" t="s">
        <v>7</v>
      </c>
      <c r="AJ250" s="27" t="s">
        <v>7</v>
      </c>
      <c r="AQ250" s="27" t="s">
        <v>8</v>
      </c>
      <c r="AR250" s="27" t="s">
        <v>7</v>
      </c>
      <c r="AS250" s="27" t="s">
        <v>8</v>
      </c>
      <c r="AT250" s="27" t="s">
        <v>7</v>
      </c>
      <c r="AU250" s="27" t="s">
        <v>8</v>
      </c>
    </row>
    <row r="251" spans="1:74" x14ac:dyDescent="0.25">
      <c r="A251" s="30">
        <v>0.58467928908643485</v>
      </c>
      <c r="B251"/>
      <c r="C251"/>
      <c r="D251"/>
      <c r="E251"/>
      <c r="AJ251" s="27" t="s">
        <v>7</v>
      </c>
      <c r="AQ251" s="27" t="s">
        <v>8</v>
      </c>
      <c r="AR251" s="27" t="s">
        <v>7</v>
      </c>
      <c r="AS251" s="27" t="s">
        <v>8</v>
      </c>
      <c r="AT251" s="27" t="s">
        <v>7</v>
      </c>
    </row>
    <row r="252" spans="1:74" x14ac:dyDescent="0.25">
      <c r="A252" s="30">
        <v>0.55683741817755672</v>
      </c>
      <c r="B252"/>
      <c r="C252"/>
      <c r="D252"/>
      <c r="E252"/>
      <c r="AJ252" s="27" t="s">
        <v>7</v>
      </c>
      <c r="AQ252" s="27" t="s">
        <v>8</v>
      </c>
      <c r="AR252" s="27" t="s">
        <v>7</v>
      </c>
      <c r="AS252" s="27" t="s">
        <v>8</v>
      </c>
    </row>
    <row r="253" spans="1:74" x14ac:dyDescent="0.25">
      <c r="A253" s="30">
        <v>0.53032135064529184</v>
      </c>
      <c r="B253"/>
      <c r="C253"/>
      <c r="D253"/>
      <c r="E253"/>
      <c r="AJ253" s="27" t="s">
        <v>7</v>
      </c>
      <c r="AM253" s="27" t="s">
        <v>8</v>
      </c>
      <c r="AQ253" s="27" t="s">
        <v>8</v>
      </c>
      <c r="AR253" s="27" t="s">
        <v>7</v>
      </c>
      <c r="AS253" s="27" t="s">
        <v>8</v>
      </c>
    </row>
    <row r="254" spans="1:74" x14ac:dyDescent="0.25">
      <c r="A254" s="30">
        <v>0.50506795299551588</v>
      </c>
      <c r="B254"/>
      <c r="C254"/>
      <c r="D254"/>
      <c r="E254"/>
      <c r="AJ254" s="27" t="s">
        <v>7</v>
      </c>
      <c r="AM254" s="27" t="s">
        <v>8</v>
      </c>
      <c r="AN254" s="27" t="s">
        <v>7</v>
      </c>
      <c r="AO254" s="27" t="s">
        <v>8</v>
      </c>
      <c r="AQ254" s="27" t="s">
        <v>8</v>
      </c>
      <c r="AR254" s="27" t="s">
        <v>7</v>
      </c>
    </row>
    <row r="255" spans="1:74" x14ac:dyDescent="0.25">
      <c r="A255" s="30">
        <v>0.48101709809096732</v>
      </c>
      <c r="E255"/>
      <c r="AJ255" s="27" t="s">
        <v>7</v>
      </c>
      <c r="AM255" s="27" t="s">
        <v>8</v>
      </c>
      <c r="AN255" s="27" t="s">
        <v>7</v>
      </c>
      <c r="AO255" s="27" t="s">
        <v>8</v>
      </c>
      <c r="AP255" s="27" t="s">
        <v>7</v>
      </c>
      <c r="AQ255" s="27" t="s">
        <v>8</v>
      </c>
    </row>
    <row r="256" spans="1:74" x14ac:dyDescent="0.25">
      <c r="A256" s="30">
        <v>0.45811152199139726</v>
      </c>
      <c r="E256"/>
      <c r="AJ256" s="27" t="s">
        <v>7</v>
      </c>
      <c r="AM256" s="27" t="s">
        <v>8</v>
      </c>
      <c r="AN256" s="27" t="s">
        <v>7</v>
      </c>
      <c r="AO256" s="27" t="s">
        <v>8</v>
      </c>
      <c r="AP256" s="27" t="s">
        <v>7</v>
      </c>
      <c r="AQ256" s="27" t="s">
        <v>8</v>
      </c>
    </row>
    <row r="257" spans="1:42" x14ac:dyDescent="0.25">
      <c r="A257" s="30">
        <v>0.43629668761085438</v>
      </c>
      <c r="B257"/>
      <c r="C257"/>
      <c r="D257"/>
      <c r="E257"/>
      <c r="AJ257" s="27" t="s">
        <v>7</v>
      </c>
      <c r="AM257" s="27" t="s">
        <v>8</v>
      </c>
      <c r="AN257" s="27" t="s">
        <v>7</v>
      </c>
      <c r="AO257" s="27" t="s">
        <v>8</v>
      </c>
      <c r="AP257" s="27" t="s">
        <v>7</v>
      </c>
    </row>
    <row r="258" spans="1:42" x14ac:dyDescent="0.25">
      <c r="A258" s="30">
        <v>0.41552065486748019</v>
      </c>
      <c r="B258"/>
      <c r="C258"/>
      <c r="D258"/>
      <c r="E258"/>
      <c r="AJ258" s="27" t="s">
        <v>7</v>
      </c>
      <c r="AK258" s="27" t="s">
        <v>8</v>
      </c>
      <c r="AM258" s="27" t="s">
        <v>8</v>
      </c>
      <c r="AN258" s="27" t="s">
        <v>7</v>
      </c>
      <c r="AO258" s="27" t="s">
        <v>8</v>
      </c>
    </row>
    <row r="259" spans="1:42" x14ac:dyDescent="0.25">
      <c r="A259" s="30">
        <v>0.39573395701664765</v>
      </c>
      <c r="B259"/>
      <c r="C259"/>
      <c r="D259"/>
      <c r="E259"/>
      <c r="AJ259" s="27" t="s">
        <v>7</v>
      </c>
      <c r="AK259" s="27" t="s">
        <v>8</v>
      </c>
      <c r="AL259" s="27" t="s">
        <v>7</v>
      </c>
      <c r="AM259" s="27" t="s">
        <v>8</v>
      </c>
      <c r="AN259" s="27" t="s">
        <v>7</v>
      </c>
    </row>
    <row r="260" spans="1:42" x14ac:dyDescent="0.25">
      <c r="A260" s="30">
        <v>0.37688948287299762</v>
      </c>
      <c r="B260"/>
      <c r="C260"/>
      <c r="D260"/>
      <c r="E260"/>
      <c r="AJ260" s="27" t="s">
        <v>7</v>
      </c>
      <c r="AK260" s="27" t="s">
        <v>8</v>
      </c>
      <c r="AL260" s="27" t="s">
        <v>7</v>
      </c>
      <c r="AM260" s="27" t="s">
        <v>8</v>
      </c>
    </row>
    <row r="261" spans="1:42" x14ac:dyDescent="0.25">
      <c r="A261" s="30">
        <v>0.35894236464094997</v>
      </c>
      <c r="B261"/>
      <c r="C261"/>
      <c r="D261"/>
      <c r="E261"/>
      <c r="AJ261" s="27" t="s">
        <v>7</v>
      </c>
      <c r="AK261" s="27" t="s">
        <v>8</v>
      </c>
      <c r="AL261" s="27" t="s">
        <v>7</v>
      </c>
      <c r="AM261" s="27" t="s">
        <v>8</v>
      </c>
    </row>
    <row r="262" spans="1:42" x14ac:dyDescent="0.25">
      <c r="A262" s="30">
        <v>0.34184987108661891</v>
      </c>
      <c r="B262"/>
      <c r="C262"/>
      <c r="D262"/>
      <c r="E262"/>
      <c r="AJ262" s="27" t="s">
        <v>7</v>
      </c>
      <c r="AK262" s="27" t="s">
        <v>8</v>
      </c>
      <c r="AL262" s="27" t="s">
        <v>7</v>
      </c>
      <c r="AM262" s="27" t="s">
        <v>8</v>
      </c>
    </row>
    <row r="263" spans="1:42" x14ac:dyDescent="0.25">
      <c r="A263" s="30">
        <v>0.32557130579677979</v>
      </c>
      <c r="B263"/>
      <c r="C263"/>
      <c r="D263"/>
      <c r="E263"/>
      <c r="AJ263" s="27" t="s">
        <v>7</v>
      </c>
      <c r="AK263" s="27" t="s">
        <v>8</v>
      </c>
      <c r="AL263" s="27" t="s">
        <v>7</v>
      </c>
    </row>
    <row r="264" spans="1:42" x14ac:dyDescent="0.25">
      <c r="A264" s="30">
        <v>0.3100679102826473</v>
      </c>
      <c r="B264"/>
      <c r="C264"/>
      <c r="D264"/>
      <c r="E264"/>
      <c r="AJ264" s="27" t="s">
        <v>7</v>
      </c>
      <c r="AK264" s="27" t="s">
        <v>8</v>
      </c>
    </row>
    <row r="265" spans="1:42" x14ac:dyDescent="0.25">
      <c r="A265" s="30">
        <v>0.2953027716977592</v>
      </c>
      <c r="B265"/>
      <c r="C265"/>
      <c r="D265"/>
      <c r="E265"/>
      <c r="AJ265" s="27" t="s">
        <v>7</v>
      </c>
      <c r="AK265" s="27" t="s">
        <v>8</v>
      </c>
    </row>
    <row r="266" spans="1:42" x14ac:dyDescent="0.25">
      <c r="A266" s="30">
        <v>0.28124073495024676</v>
      </c>
      <c r="B266"/>
      <c r="C266"/>
      <c r="D266"/>
      <c r="E266"/>
      <c r="AJ266" s="27" t="s">
        <v>7</v>
      </c>
      <c r="AK266" s="27" t="s">
        <v>8</v>
      </c>
    </row>
    <row r="267" spans="1:42" x14ac:dyDescent="0.25">
      <c r="A267" s="30">
        <v>0.26784831900023492</v>
      </c>
      <c r="B267"/>
      <c r="C267"/>
      <c r="D267"/>
      <c r="E267"/>
      <c r="AJ267" s="27" t="s">
        <v>7</v>
      </c>
    </row>
    <row r="268" spans="1:42" x14ac:dyDescent="0.25">
      <c r="A268" s="30">
        <v>0.25509363714308075</v>
      </c>
      <c r="B268"/>
      <c r="C268"/>
      <c r="D268"/>
      <c r="E268"/>
    </row>
    <row r="269" spans="1:42" x14ac:dyDescent="0.25">
      <c r="A269" s="30">
        <v>0.24294632108864825</v>
      </c>
      <c r="B269"/>
      <c r="C269"/>
      <c r="D269"/>
      <c r="E269"/>
    </row>
    <row r="270" spans="1:42" x14ac:dyDescent="0.25">
      <c r="A270" s="30">
        <v>0.23137744865585538</v>
      </c>
      <c r="B270"/>
      <c r="C270"/>
      <c r="D270"/>
      <c r="E270"/>
    </row>
    <row r="271" spans="1:42" x14ac:dyDescent="0.25">
      <c r="A271" s="30">
        <v>0.22035947491033836</v>
      </c>
      <c r="B271"/>
      <c r="C271"/>
      <c r="D271"/>
      <c r="E271"/>
    </row>
    <row r="272" spans="1:42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51" operator="equal">
      <formula>$U$1</formula>
    </cfRule>
    <cfRule type="cellIs" dxfId="67" priority="1452" operator="equal">
      <formula>$S$1</formula>
    </cfRule>
  </conditionalFormatting>
  <conditionalFormatting sqref="D136">
    <cfRule type="cellIs" dxfId="66" priority="1449" operator="equal">
      <formula>$S$1</formula>
    </cfRule>
    <cfRule type="cellIs" dxfId="65" priority="1450" operator="equal">
      <formula>$U$1</formula>
    </cfRule>
  </conditionalFormatting>
  <conditionalFormatting sqref="C162">
    <cfRule type="cellIs" dxfId="64" priority="1447" operator="equal">
      <formula>$U$1</formula>
    </cfRule>
    <cfRule type="cellIs" dxfId="63" priority="1448" operator="equal">
      <formula>$S$1</formula>
    </cfRule>
  </conditionalFormatting>
  <conditionalFormatting sqref="D162">
    <cfRule type="cellIs" dxfId="62" priority="1445" operator="equal">
      <formula>$S$1</formula>
    </cfRule>
    <cfRule type="cellIs" dxfId="61" priority="1446" operator="equal">
      <formula>$U$1</formula>
    </cfRule>
  </conditionalFormatting>
  <conditionalFormatting sqref="C187">
    <cfRule type="cellIs" dxfId="60" priority="1443" operator="equal">
      <formula>$U$1</formula>
    </cfRule>
    <cfRule type="cellIs" dxfId="59" priority="1444" operator="equal">
      <formula>$S$1</formula>
    </cfRule>
  </conditionalFormatting>
  <conditionalFormatting sqref="D187">
    <cfRule type="cellIs" dxfId="58" priority="1441" operator="equal">
      <formula>$S$1</formula>
    </cfRule>
    <cfRule type="cellIs" dxfId="57" priority="1442" operator="equal">
      <formula>$U$1</formula>
    </cfRule>
  </conditionalFormatting>
  <conditionalFormatting sqref="C212">
    <cfRule type="cellIs" dxfId="56" priority="1439" operator="equal">
      <formula>$U$1</formula>
    </cfRule>
    <cfRule type="cellIs" dxfId="55" priority="1440" operator="equal">
      <formula>$S$1</formula>
    </cfRule>
  </conditionalFormatting>
  <conditionalFormatting sqref="D212">
    <cfRule type="cellIs" dxfId="54" priority="1437" operator="equal">
      <formula>$S$1</formula>
    </cfRule>
    <cfRule type="cellIs" dxfId="53" priority="1438" operator="equal">
      <formula>$U$1</formula>
    </cfRule>
  </conditionalFormatting>
  <conditionalFormatting sqref="C237">
    <cfRule type="cellIs" dxfId="52" priority="1435" operator="equal">
      <formula>$U$1</formula>
    </cfRule>
    <cfRule type="cellIs" dxfId="51" priority="1436" operator="equal">
      <formula>$S$1</formula>
    </cfRule>
  </conditionalFormatting>
  <conditionalFormatting sqref="D237">
    <cfRule type="cellIs" dxfId="50" priority="1433" operator="equal">
      <formula>$S$1</formula>
    </cfRule>
    <cfRule type="cellIs" dxfId="49" priority="1434" operator="equal">
      <formula>$U$1</formula>
    </cfRule>
  </conditionalFormatting>
  <conditionalFormatting sqref="C106">
    <cfRule type="cellIs" dxfId="48" priority="1431" operator="equal">
      <formula>$U$1</formula>
    </cfRule>
    <cfRule type="cellIs" dxfId="47" priority="1432" operator="equal">
      <formula>$S$1</formula>
    </cfRule>
  </conditionalFormatting>
  <conditionalFormatting sqref="D106">
    <cfRule type="cellIs" dxfId="46" priority="1429" operator="equal">
      <formula>$S$1</formula>
    </cfRule>
    <cfRule type="cellIs" dxfId="45" priority="1430" operator="equal">
      <formula>$U$1</formula>
    </cfRule>
  </conditionalFormatting>
  <conditionalFormatting sqref="C81">
    <cfRule type="cellIs" dxfId="44" priority="1427" operator="equal">
      <formula>$U$1</formula>
    </cfRule>
    <cfRule type="cellIs" dxfId="43" priority="1428" operator="equal">
      <formula>$S$1</formula>
    </cfRule>
  </conditionalFormatting>
  <conditionalFormatting sqref="D81">
    <cfRule type="cellIs" dxfId="42" priority="1425" operator="equal">
      <formula>$S$1</formula>
    </cfRule>
    <cfRule type="cellIs" dxfId="41" priority="1426" operator="equal">
      <formula>$U$1</formula>
    </cfRule>
  </conditionalFormatting>
  <conditionalFormatting sqref="C56">
    <cfRule type="cellIs" dxfId="40" priority="1423" operator="equal">
      <formula>$U$1</formula>
    </cfRule>
    <cfRule type="cellIs" dxfId="39" priority="1424" operator="equal">
      <formula>$S$1</formula>
    </cfRule>
  </conditionalFormatting>
  <conditionalFormatting sqref="D56">
    <cfRule type="cellIs" dxfId="38" priority="1421" operator="equal">
      <formula>$S$1</formula>
    </cfRule>
    <cfRule type="cellIs" dxfId="37" priority="1422" operator="equal">
      <formula>$U$1</formula>
    </cfRule>
  </conditionalFormatting>
  <conditionalFormatting sqref="C31">
    <cfRule type="cellIs" dxfId="36" priority="1419" operator="equal">
      <formula>$U$1</formula>
    </cfRule>
    <cfRule type="cellIs" dxfId="35" priority="1420" operator="equal">
      <formula>$S$1</formula>
    </cfRule>
  </conditionalFormatting>
  <conditionalFormatting sqref="D31">
    <cfRule type="cellIs" dxfId="34" priority="1417" operator="equal">
      <formula>$S$1</formula>
    </cfRule>
    <cfRule type="cellIs" dxfId="33" priority="141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0" zoomScale="90" zoomScaleNormal="90" workbookViewId="0">
      <pane xSplit="4" topLeftCell="G1" activePane="topRight" state="frozen"/>
      <selection activeCell="A109" sqref="A109"/>
      <selection pane="topRight" activeCell="BD114" sqref="BD11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8" x14ac:dyDescent="0.25">
      <c r="A81" s="30">
        <v>45.259255568176073</v>
      </c>
      <c r="E81"/>
    </row>
    <row r="82" spans="1:48" x14ac:dyDescent="0.25">
      <c r="A82" s="30">
        <v>41.144777789250973</v>
      </c>
      <c r="E82"/>
    </row>
    <row r="83" spans="1:48" x14ac:dyDescent="0.25">
      <c r="A83" s="30">
        <v>37.404343444773609</v>
      </c>
      <c r="E83"/>
    </row>
    <row r="84" spans="1:48" x14ac:dyDescent="0.25">
      <c r="A84" s="30">
        <v>34.003948586157826</v>
      </c>
      <c r="E84"/>
    </row>
    <row r="85" spans="1:48" x14ac:dyDescent="0.25">
      <c r="A85" s="30">
        <v>30.912680532870748</v>
      </c>
      <c r="E85"/>
    </row>
    <row r="86" spans="1:48" x14ac:dyDescent="0.25">
      <c r="A86" s="30">
        <v>28.102436848064315</v>
      </c>
      <c r="E86"/>
    </row>
    <row r="87" spans="1:48" x14ac:dyDescent="0.25">
      <c r="A87" s="30">
        <v>25.547669861876649</v>
      </c>
      <c r="E87"/>
    </row>
    <row r="88" spans="1:48" x14ac:dyDescent="0.25">
      <c r="A88" s="30">
        <v>23.225154419887861</v>
      </c>
      <c r="E88"/>
    </row>
    <row r="89" spans="1:48" x14ac:dyDescent="0.25">
      <c r="A89" s="30">
        <v>21.113776745352599</v>
      </c>
      <c r="E89"/>
    </row>
    <row r="90" spans="1:48" x14ac:dyDescent="0.25">
      <c r="A90" s="30">
        <v>19.194342495775089</v>
      </c>
      <c r="E90"/>
    </row>
    <row r="91" spans="1:48" x14ac:dyDescent="0.25">
      <c r="A91" s="30">
        <v>17.449402268886445</v>
      </c>
      <c r="E91"/>
      <c r="AQ91" s="31" t="s">
        <v>8</v>
      </c>
    </row>
    <row r="92" spans="1:48" x14ac:dyDescent="0.25">
      <c r="A92" s="30">
        <v>15.863092971714948</v>
      </c>
      <c r="C92" s="1" t="s">
        <v>15</v>
      </c>
      <c r="E92"/>
      <c r="AQ92" s="27" t="s">
        <v>8</v>
      </c>
      <c r="AR92" s="31" t="s">
        <v>7</v>
      </c>
    </row>
    <row r="93" spans="1:48" x14ac:dyDescent="0.25">
      <c r="A93" s="30">
        <v>14.420993610649951</v>
      </c>
      <c r="C93" s="7">
        <v>0.11167815779424731</v>
      </c>
      <c r="D93"/>
      <c r="E93"/>
      <c r="AM93" s="27" t="s">
        <v>8</v>
      </c>
      <c r="AQ93" s="27" t="s">
        <v>8</v>
      </c>
      <c r="AR93" s="27" t="s">
        <v>7</v>
      </c>
      <c r="AS93" s="31"/>
    </row>
    <row r="94" spans="1:48" x14ac:dyDescent="0.25">
      <c r="A94" s="30">
        <v>13.109994191499954</v>
      </c>
      <c r="E94"/>
      <c r="AM94" s="27" t="s">
        <v>8</v>
      </c>
      <c r="AN94" s="27" t="s">
        <v>7</v>
      </c>
      <c r="AQ94" s="27" t="s">
        <v>8</v>
      </c>
      <c r="AR94" s="27" t="s">
        <v>7</v>
      </c>
      <c r="AT94" s="31"/>
    </row>
    <row r="95" spans="1:48" x14ac:dyDescent="0.25">
      <c r="A95" s="30">
        <v>11.918176537727231</v>
      </c>
      <c r="C95" s="1" t="s">
        <v>11</v>
      </c>
      <c r="D95" s="1" t="s">
        <v>12</v>
      </c>
      <c r="E95"/>
      <c r="AM95" s="27" t="s">
        <v>8</v>
      </c>
      <c r="AN95" s="27" t="s">
        <v>7</v>
      </c>
      <c r="AO95" s="27" t="s">
        <v>8</v>
      </c>
      <c r="AQ95" s="27" t="s">
        <v>8</v>
      </c>
      <c r="AR95" s="27" t="s">
        <v>7</v>
      </c>
      <c r="AU95" s="31"/>
    </row>
    <row r="96" spans="1:48" x14ac:dyDescent="0.25">
      <c r="A96" s="30">
        <v>10.834705943388391</v>
      </c>
      <c r="C96"/>
      <c r="D96"/>
      <c r="E96"/>
      <c r="AM96" s="27" t="s">
        <v>8</v>
      </c>
      <c r="AN96" s="27" t="s">
        <v>7</v>
      </c>
      <c r="AO96" s="27" t="s">
        <v>8</v>
      </c>
      <c r="AP96" s="27" t="s">
        <v>7</v>
      </c>
      <c r="AQ96" s="27" t="s">
        <v>8</v>
      </c>
      <c r="AR96" s="27" t="s">
        <v>7</v>
      </c>
      <c r="AV96" s="31"/>
    </row>
    <row r="97" spans="1:56" x14ac:dyDescent="0.25">
      <c r="A97" s="30">
        <v>9.849732675807628</v>
      </c>
      <c r="E97"/>
      <c r="AM97" s="27" t="s">
        <v>8</v>
      </c>
      <c r="AN97" s="27" t="s">
        <v>7</v>
      </c>
      <c r="AO97" s="27" t="s">
        <v>8</v>
      </c>
      <c r="AP97" s="27" t="s">
        <v>7</v>
      </c>
      <c r="AQ97" s="27" t="s">
        <v>8</v>
      </c>
      <c r="AR97" s="27" t="s">
        <v>7</v>
      </c>
      <c r="AS97" s="27" t="s">
        <v>8</v>
      </c>
      <c r="AW97" s="31"/>
    </row>
    <row r="98" spans="1:56" x14ac:dyDescent="0.25">
      <c r="A98" s="30">
        <v>8.9543024325523888</v>
      </c>
      <c r="C98" s="1" t="s">
        <v>13</v>
      </c>
      <c r="E98"/>
      <c r="AM98" s="27" t="s">
        <v>8</v>
      </c>
      <c r="AN98" s="27" t="s">
        <v>7</v>
      </c>
      <c r="AO98" s="27" t="s">
        <v>8</v>
      </c>
      <c r="AP98" s="27" t="s">
        <v>7</v>
      </c>
      <c r="AQ98" s="27" t="s">
        <v>8</v>
      </c>
      <c r="AR98" s="27" t="s">
        <v>7</v>
      </c>
      <c r="AS98" s="27" t="s">
        <v>8</v>
      </c>
      <c r="AT98" s="27" t="s">
        <v>7</v>
      </c>
      <c r="AU98" s="35" t="s">
        <v>8</v>
      </c>
      <c r="AW98" s="35" t="s">
        <v>8</v>
      </c>
      <c r="AX98" s="31"/>
    </row>
    <row r="99" spans="1:56" x14ac:dyDescent="0.25">
      <c r="A99" s="30">
        <v>8.140274938683989</v>
      </c>
      <c r="C99" s="1">
        <f>C88</f>
        <v>0</v>
      </c>
      <c r="E99"/>
      <c r="AM99" s="27" t="s">
        <v>8</v>
      </c>
      <c r="AN99" s="27" t="s">
        <v>7</v>
      </c>
      <c r="AO99" s="27" t="s">
        <v>8</v>
      </c>
      <c r="AP99" s="27" t="s">
        <v>7</v>
      </c>
      <c r="AR99" s="27" t="s">
        <v>7</v>
      </c>
      <c r="AS99" s="27" t="s">
        <v>8</v>
      </c>
      <c r="AT99" s="27" t="s">
        <v>7</v>
      </c>
      <c r="AU99" s="27" t="s">
        <v>8</v>
      </c>
      <c r="AV99" s="27" t="s">
        <v>7</v>
      </c>
      <c r="AW99" s="27" t="s">
        <v>8</v>
      </c>
      <c r="AX99" s="27" t="s">
        <v>7</v>
      </c>
      <c r="AY99" s="31"/>
    </row>
    <row r="100" spans="1:56" x14ac:dyDescent="0.25">
      <c r="A100" s="30">
        <v>7.4002499442581717</v>
      </c>
      <c r="C100"/>
      <c r="D100"/>
      <c r="E100"/>
      <c r="AG100" s="35" t="s">
        <v>8</v>
      </c>
      <c r="AI100" s="35" t="s">
        <v>8</v>
      </c>
      <c r="AM100" s="27" t="s">
        <v>8</v>
      </c>
      <c r="AN100" s="27" t="s">
        <v>7</v>
      </c>
      <c r="AO100" s="27" t="s">
        <v>8</v>
      </c>
      <c r="AR100" s="33" t="s">
        <v>7</v>
      </c>
      <c r="AS100" s="27" t="s">
        <v>8</v>
      </c>
      <c r="AT100" s="27" t="s">
        <v>7</v>
      </c>
      <c r="AU100" s="27" t="s">
        <v>8</v>
      </c>
      <c r="AV100" s="27" t="s">
        <v>7</v>
      </c>
      <c r="AW100" s="27" t="s">
        <v>8</v>
      </c>
      <c r="AX100" s="27" t="s">
        <v>7</v>
      </c>
      <c r="AZ100" s="31"/>
      <c r="BA100" s="27" t="s">
        <v>8</v>
      </c>
      <c r="BC100" s="27" t="s">
        <v>8</v>
      </c>
    </row>
    <row r="101" spans="1:56" x14ac:dyDescent="0.25">
      <c r="A101" s="30">
        <v>6.72749994932561</v>
      </c>
      <c r="C101" s="1" t="s">
        <v>14</v>
      </c>
      <c r="E101"/>
      <c r="AG101" s="27" t="s">
        <v>8</v>
      </c>
      <c r="AH101" s="27" t="s">
        <v>7</v>
      </c>
      <c r="AI101" s="27" t="s">
        <v>8</v>
      </c>
      <c r="AJ101" s="27" t="s">
        <v>7</v>
      </c>
      <c r="AM101" s="32" t="s">
        <v>8</v>
      </c>
      <c r="AN101" s="27" t="s">
        <v>7</v>
      </c>
      <c r="AR101" s="27" t="s">
        <v>7</v>
      </c>
      <c r="AS101" s="27" t="s">
        <v>8</v>
      </c>
      <c r="AT101" s="27" t="s">
        <v>7</v>
      </c>
      <c r="AU101" s="27" t="s">
        <v>8</v>
      </c>
      <c r="AV101" s="27" t="s">
        <v>7</v>
      </c>
      <c r="AX101" s="27" t="s">
        <v>7</v>
      </c>
      <c r="BA101" s="31" t="s">
        <v>8</v>
      </c>
      <c r="BB101" s="27" t="s">
        <v>7</v>
      </c>
      <c r="BC101" s="27" t="s">
        <v>8</v>
      </c>
      <c r="BD101" s="27" t="s">
        <v>7</v>
      </c>
    </row>
    <row r="102" spans="1:5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G102" s="27" t="s">
        <v>8</v>
      </c>
      <c r="AH102" s="27" t="s">
        <v>7</v>
      </c>
      <c r="AI102" s="27" t="s">
        <v>8</v>
      </c>
      <c r="AJ102" s="27" t="s">
        <v>7</v>
      </c>
      <c r="AK102" s="27" t="s">
        <v>8</v>
      </c>
      <c r="AM102" s="27" t="s">
        <v>8</v>
      </c>
      <c r="AR102" s="27" t="s">
        <v>7</v>
      </c>
      <c r="AS102" s="27" t="s">
        <v>8</v>
      </c>
      <c r="AT102" s="27" t="s">
        <v>7</v>
      </c>
      <c r="AU102" s="27" t="s">
        <v>8</v>
      </c>
      <c r="AX102" s="27" t="s">
        <v>7</v>
      </c>
      <c r="BA102" s="27" t="s">
        <v>8</v>
      </c>
      <c r="BB102" s="31" t="s">
        <v>7</v>
      </c>
      <c r="BC102" s="27" t="s">
        <v>8</v>
      </c>
      <c r="BD102" s="27" t="s">
        <v>7</v>
      </c>
    </row>
    <row r="103" spans="1:56" x14ac:dyDescent="0.25">
      <c r="A103" s="30">
        <v>5.5599173134922388</v>
      </c>
      <c r="E103"/>
      <c r="AG103" s="27" t="s">
        <v>8</v>
      </c>
      <c r="AH103" s="27" t="s">
        <v>7</v>
      </c>
      <c r="AI103" s="27" t="s">
        <v>8</v>
      </c>
      <c r="AJ103" s="27" t="s">
        <v>7</v>
      </c>
      <c r="AK103" s="27" t="s">
        <v>8</v>
      </c>
      <c r="AL103" s="27" t="s">
        <v>7</v>
      </c>
      <c r="AM103" s="27" t="s">
        <v>8</v>
      </c>
      <c r="AR103" s="27" t="s">
        <v>7</v>
      </c>
      <c r="AS103" s="27" t="s">
        <v>8</v>
      </c>
      <c r="AT103" s="27" t="s">
        <v>7</v>
      </c>
      <c r="AU103" s="27" t="s">
        <v>8</v>
      </c>
      <c r="AX103" s="27" t="s">
        <v>7</v>
      </c>
      <c r="AY103" s="27" t="s">
        <v>8</v>
      </c>
      <c r="BA103" s="27" t="s">
        <v>8</v>
      </c>
      <c r="BB103" s="27" t="s">
        <v>7</v>
      </c>
      <c r="BC103" s="31" t="s">
        <v>8</v>
      </c>
      <c r="BD103" s="27" t="s">
        <v>7</v>
      </c>
    </row>
    <row r="104" spans="1:56" x14ac:dyDescent="0.25">
      <c r="A104" s="30">
        <v>5.0544702849929442</v>
      </c>
      <c r="E104"/>
      <c r="AA104" s="27" t="s">
        <v>8</v>
      </c>
      <c r="AG104" s="27" t="s">
        <v>8</v>
      </c>
      <c r="AH104" s="27" t="s">
        <v>7</v>
      </c>
      <c r="AJ104" s="27" t="s">
        <v>7</v>
      </c>
      <c r="AK104" s="27" t="s">
        <v>8</v>
      </c>
      <c r="AL104" s="27" t="s">
        <v>7</v>
      </c>
      <c r="AM104" s="27" t="s">
        <v>8</v>
      </c>
      <c r="AR104" s="35" t="s">
        <v>7</v>
      </c>
      <c r="AS104" s="31"/>
      <c r="AT104" s="35" t="s">
        <v>7</v>
      </c>
      <c r="AX104" s="27" t="s">
        <v>7</v>
      </c>
      <c r="AY104" s="27" t="s">
        <v>8</v>
      </c>
      <c r="AZ104" s="27" t="s">
        <v>7</v>
      </c>
      <c r="BA104" s="27" t="s">
        <v>8</v>
      </c>
      <c r="BB104" s="27" t="s">
        <v>7</v>
      </c>
      <c r="BC104" s="27" t="s">
        <v>8</v>
      </c>
      <c r="BD104" s="31" t="s">
        <v>7</v>
      </c>
    </row>
    <row r="105" spans="1:56" x14ac:dyDescent="0.25">
      <c r="A105" s="30">
        <v>4.594972986357222</v>
      </c>
      <c r="E105"/>
      <c r="AA105" s="27" t="s">
        <v>8</v>
      </c>
      <c r="AB105" s="27" t="s">
        <v>7</v>
      </c>
      <c r="AG105" s="27" t="s">
        <v>8</v>
      </c>
      <c r="AJ105" s="27" t="s">
        <v>7</v>
      </c>
      <c r="AL105" s="27" t="s">
        <v>7</v>
      </c>
      <c r="AM105" s="27" t="s">
        <v>8</v>
      </c>
      <c r="AR105" s="31"/>
      <c r="AX105" s="27" t="s">
        <v>7</v>
      </c>
      <c r="AY105" s="27" t="s">
        <v>8</v>
      </c>
      <c r="AZ105" s="27" t="s">
        <v>7</v>
      </c>
      <c r="BA105" s="27" t="s">
        <v>8</v>
      </c>
      <c r="BB105" s="27" t="s">
        <v>7</v>
      </c>
      <c r="BC105" s="27" t="s">
        <v>8</v>
      </c>
      <c r="BD105" s="27" t="s">
        <v>7</v>
      </c>
    </row>
    <row r="106" spans="1:56" x14ac:dyDescent="0.25">
      <c r="A106" s="30">
        <v>4.1772481694156562</v>
      </c>
      <c r="E106"/>
      <c r="AA106" s="27" t="s">
        <v>8</v>
      </c>
      <c r="AB106" s="27" t="s">
        <v>7</v>
      </c>
      <c r="AG106" s="27" t="s">
        <v>8</v>
      </c>
      <c r="AL106" s="33" t="s">
        <v>7</v>
      </c>
      <c r="AQ106" s="31"/>
      <c r="AX106" s="27" t="s">
        <v>7</v>
      </c>
      <c r="AY106" s="27" t="s">
        <v>8</v>
      </c>
      <c r="AZ106" s="27" t="s">
        <v>7</v>
      </c>
      <c r="BA106" s="27" t="s">
        <v>8</v>
      </c>
      <c r="BB106" s="27" t="s">
        <v>7</v>
      </c>
      <c r="BD106" s="27" t="s">
        <v>7</v>
      </c>
    </row>
    <row r="107" spans="1:56" x14ac:dyDescent="0.25">
      <c r="A107" s="30">
        <v>3.7974983358324148</v>
      </c>
      <c r="E107"/>
      <c r="AA107" s="27" t="s">
        <v>8</v>
      </c>
      <c r="AB107" s="27" t="s">
        <v>7</v>
      </c>
      <c r="AC107" s="35" t="s">
        <v>8</v>
      </c>
      <c r="AE107" s="35" t="s">
        <v>8</v>
      </c>
      <c r="AG107" s="27" t="s">
        <v>8</v>
      </c>
      <c r="AP107" s="31"/>
      <c r="AX107" s="27" t="s">
        <v>7</v>
      </c>
      <c r="AZ107" s="18" t="s">
        <v>7</v>
      </c>
      <c r="BA107" s="27" t="s">
        <v>8</v>
      </c>
      <c r="BD107" s="27" t="s">
        <v>7</v>
      </c>
    </row>
    <row r="108" spans="1:56" x14ac:dyDescent="0.25">
      <c r="A108" s="30">
        <v>3.4522712143931042</v>
      </c>
      <c r="E108"/>
      <c r="AA108" s="27" t="s">
        <v>8</v>
      </c>
      <c r="AB108" s="27" t="s">
        <v>7</v>
      </c>
      <c r="AC108" s="27" t="s">
        <v>8</v>
      </c>
      <c r="AD108" s="27" t="s">
        <v>7</v>
      </c>
      <c r="AE108" s="27" t="s">
        <v>8</v>
      </c>
      <c r="AF108" s="27" t="s">
        <v>7</v>
      </c>
      <c r="AG108" s="27" t="s">
        <v>8</v>
      </c>
      <c r="AO108" s="31"/>
      <c r="AZ108" s="27" t="s">
        <v>7</v>
      </c>
      <c r="BA108" s="27" t="s">
        <v>8</v>
      </c>
      <c r="BD108" s="27" t="s">
        <v>7</v>
      </c>
    </row>
    <row r="109" spans="1:56" x14ac:dyDescent="0.25">
      <c r="A109" s="30">
        <v>3.1384283767210035</v>
      </c>
      <c r="E109"/>
      <c r="AA109" s="27" t="s">
        <v>8</v>
      </c>
      <c r="AB109" s="27" t="s">
        <v>7</v>
      </c>
      <c r="AC109" s="27" t="s">
        <v>8</v>
      </c>
      <c r="AD109" s="27" t="s">
        <v>7</v>
      </c>
      <c r="AE109" s="27" t="s">
        <v>8</v>
      </c>
      <c r="AF109" s="27" t="s">
        <v>7</v>
      </c>
      <c r="AG109" s="27" t="s">
        <v>8</v>
      </c>
      <c r="AN109" s="31"/>
      <c r="AZ109" s="27" t="s">
        <v>7</v>
      </c>
      <c r="BD109" s="27" t="s">
        <v>7</v>
      </c>
    </row>
    <row r="110" spans="1:56" x14ac:dyDescent="0.25">
      <c r="A110" s="30">
        <v>2.8531167061100029</v>
      </c>
      <c r="E110"/>
      <c r="AA110" s="27" t="s">
        <v>8</v>
      </c>
      <c r="AB110" s="27" t="s">
        <v>7</v>
      </c>
      <c r="AC110" s="27" t="s">
        <v>8</v>
      </c>
      <c r="AD110" s="35" t="s">
        <v>7</v>
      </c>
      <c r="AF110" s="35" t="s">
        <v>7</v>
      </c>
      <c r="AM110" s="31"/>
      <c r="BD110" s="27" t="s">
        <v>7</v>
      </c>
    </row>
    <row r="111" spans="1:56" x14ac:dyDescent="0.25">
      <c r="A111" s="30">
        <v>2.5937424601000023</v>
      </c>
      <c r="C111" s="1" t="str">
        <f>ADDRESS(C121-1,1,1,1)</f>
        <v>$A$113</v>
      </c>
      <c r="D111" s="1" t="str">
        <f>ADDRESS(C121-1,D121,1,1)</f>
        <v>$BD$113</v>
      </c>
      <c r="E111"/>
      <c r="AA111" s="27" t="s">
        <v>8</v>
      </c>
      <c r="AB111" s="27" t="s">
        <v>7</v>
      </c>
      <c r="AC111" s="27" t="s">
        <v>8</v>
      </c>
      <c r="AL111" s="31"/>
      <c r="BD111" s="27" t="s">
        <v>7</v>
      </c>
    </row>
    <row r="112" spans="1:56" x14ac:dyDescent="0.25">
      <c r="A112" s="30">
        <v>2.3579476910000019</v>
      </c>
      <c r="C112" s="1" t="str">
        <f>ADDRESS(C121,1,1,1)</f>
        <v>$A$114</v>
      </c>
      <c r="D112" s="1" t="str">
        <f>ADDRESS(C121,D121-1,1,1)</f>
        <v>$BC$114</v>
      </c>
      <c r="E112"/>
      <c r="AA112" s="27" t="s">
        <v>8</v>
      </c>
      <c r="AB112" s="27" t="s">
        <v>7</v>
      </c>
      <c r="AK112" s="31"/>
      <c r="BD112" s="27" t="s">
        <v>7</v>
      </c>
    </row>
    <row r="113" spans="1:56" x14ac:dyDescent="0.25">
      <c r="A113" s="30">
        <v>2.1435888100000016</v>
      </c>
      <c r="C113" s="1" t="str">
        <f>ADDRESS(C121+1,1,1,1)</f>
        <v>$A$115</v>
      </c>
      <c r="D113" s="1" t="str">
        <f>ADDRESS(C121-1,D121+1,1,1)</f>
        <v>$BE$113</v>
      </c>
      <c r="AA113" s="27" t="s">
        <v>8</v>
      </c>
      <c r="AJ113" s="31"/>
      <c r="BD113" s="27" t="s">
        <v>7</v>
      </c>
    </row>
    <row r="114" spans="1:56" x14ac:dyDescent="0.25">
      <c r="A114" s="30">
        <v>1.9487171000000014</v>
      </c>
      <c r="C114" s="1" t="str">
        <f>ADDRESS(C121,D121,1,1)</f>
        <v>$BD$114</v>
      </c>
      <c r="D114" s="1" t="str">
        <f>ADDRESS(C121+1,D121+1,1,1)</f>
        <v>$BE$115</v>
      </c>
      <c r="E114" s="1" t="s">
        <v>8</v>
      </c>
      <c r="G114" s="27" t="s">
        <v>8</v>
      </c>
      <c r="AA114" s="27" t="s">
        <v>8</v>
      </c>
      <c r="AI114" s="31"/>
      <c r="BD114" s="27" t="s">
        <v>7</v>
      </c>
    </row>
    <row r="115" spans="1:56" x14ac:dyDescent="0.25">
      <c r="A115" s="30">
        <v>1.7715610000000011</v>
      </c>
      <c r="C115" s="1" t="str">
        <f>ADDRESS(C121+1,D121,1,1)</f>
        <v>$BD$115</v>
      </c>
      <c r="E115" s="1" t="s">
        <v>8</v>
      </c>
      <c r="F115" s="27" t="s">
        <v>7</v>
      </c>
      <c r="G115" s="27" t="s">
        <v>8</v>
      </c>
      <c r="H115" s="27" t="s">
        <v>7</v>
      </c>
      <c r="Y115" s="27" t="s">
        <v>8</v>
      </c>
      <c r="AA115" s="27" t="s">
        <v>8</v>
      </c>
      <c r="AH115" s="31"/>
    </row>
    <row r="116" spans="1:56" x14ac:dyDescent="0.25">
      <c r="A116" s="30">
        <v>1.6105100000000008</v>
      </c>
      <c r="C116" s="1">
        <f>C117-1</f>
        <v>113</v>
      </c>
      <c r="E116" s="1" t="s">
        <v>8</v>
      </c>
      <c r="F116" s="27" t="s">
        <v>7</v>
      </c>
      <c r="G116" s="27" t="s">
        <v>8</v>
      </c>
      <c r="H116" s="27" t="s">
        <v>7</v>
      </c>
      <c r="Y116" s="27" t="s">
        <v>8</v>
      </c>
      <c r="Z116" s="27" t="s">
        <v>7</v>
      </c>
      <c r="AA116" s="27" t="s">
        <v>8</v>
      </c>
      <c r="AG116" s="31"/>
    </row>
    <row r="117" spans="1:56" x14ac:dyDescent="0.25">
      <c r="A117" s="30">
        <v>1.4641000000000006</v>
      </c>
      <c r="C117" s="1">
        <f>C121</f>
        <v>114</v>
      </c>
      <c r="D117" s="1">
        <f>D121</f>
        <v>56</v>
      </c>
      <c r="E117" s="1" t="s">
        <v>8</v>
      </c>
      <c r="F117" s="27" t="s">
        <v>7</v>
      </c>
      <c r="H117" s="27" t="s">
        <v>7</v>
      </c>
      <c r="I117" s="27" t="s">
        <v>8</v>
      </c>
      <c r="W117" s="27" t="s">
        <v>8</v>
      </c>
      <c r="Y117" s="27" t="s">
        <v>8</v>
      </c>
      <c r="Z117" s="27" t="s">
        <v>7</v>
      </c>
      <c r="AA117" s="27" t="s">
        <v>8</v>
      </c>
      <c r="AF117" s="31"/>
    </row>
    <row r="118" spans="1:56" x14ac:dyDescent="0.25">
      <c r="A118" s="30">
        <v>1.3310000000000004</v>
      </c>
      <c r="C118" s="1">
        <f>C117+1</f>
        <v>115</v>
      </c>
      <c r="D118" s="1">
        <f>D117+1</f>
        <v>57</v>
      </c>
      <c r="E118" s="1" t="s">
        <v>8</v>
      </c>
      <c r="H118" s="27" t="s">
        <v>7</v>
      </c>
      <c r="I118" s="27" t="s">
        <v>8</v>
      </c>
      <c r="J118" s="27" t="s">
        <v>7</v>
      </c>
      <c r="S118" s="27" t="s">
        <v>8</v>
      </c>
      <c r="W118" s="27" t="s">
        <v>8</v>
      </c>
      <c r="X118" s="27" t="s">
        <v>7</v>
      </c>
      <c r="Y118" s="27" t="s">
        <v>8</v>
      </c>
      <c r="Z118" s="27" t="s">
        <v>7</v>
      </c>
      <c r="AE118" s="31"/>
    </row>
    <row r="119" spans="1:56" x14ac:dyDescent="0.25">
      <c r="A119" s="30">
        <v>1.2100000000000002</v>
      </c>
      <c r="E119" s="1" t="s">
        <v>8</v>
      </c>
      <c r="H119" s="27" t="s">
        <v>7</v>
      </c>
      <c r="I119" s="27" t="s">
        <v>8</v>
      </c>
      <c r="J119" s="27" t="s">
        <v>7</v>
      </c>
      <c r="M119" s="27" t="s">
        <v>8</v>
      </c>
      <c r="Q119" s="27" t="s">
        <v>8</v>
      </c>
      <c r="S119" s="27" t="s">
        <v>8</v>
      </c>
      <c r="T119" s="27" t="s">
        <v>7</v>
      </c>
      <c r="W119" s="27" t="s">
        <v>8</v>
      </c>
      <c r="X119" s="27" t="s">
        <v>7</v>
      </c>
      <c r="Y119" s="27" t="s">
        <v>8</v>
      </c>
      <c r="AD119" s="31"/>
    </row>
    <row r="120" spans="1:56" x14ac:dyDescent="0.25">
      <c r="A120" s="30">
        <v>1.1000000000000001</v>
      </c>
      <c r="C120" s="1" t="s">
        <v>9</v>
      </c>
      <c r="E120" s="1" t="s">
        <v>8</v>
      </c>
      <c r="H120" s="27" t="s">
        <v>7</v>
      </c>
      <c r="I120" s="27" t="s">
        <v>8</v>
      </c>
      <c r="J120" s="27" t="s">
        <v>7</v>
      </c>
      <c r="M120" s="27" t="s">
        <v>8</v>
      </c>
      <c r="N120" s="27" t="s">
        <v>7</v>
      </c>
      <c r="Q120" s="27" t="s">
        <v>8</v>
      </c>
      <c r="R120" s="27" t="s">
        <v>7</v>
      </c>
      <c r="S120" s="27" t="s">
        <v>8</v>
      </c>
      <c r="T120" s="27" t="s">
        <v>7</v>
      </c>
      <c r="W120" s="27" t="s">
        <v>8</v>
      </c>
      <c r="X120" s="27" t="s">
        <v>7</v>
      </c>
      <c r="Y120" s="27" t="s">
        <v>8</v>
      </c>
      <c r="AC120" s="31"/>
    </row>
    <row r="121" spans="1:56" x14ac:dyDescent="0.25">
      <c r="A121" s="30">
        <v>1</v>
      </c>
      <c r="C121" s="18">
        <v>114</v>
      </c>
      <c r="D121" s="19">
        <v>56</v>
      </c>
      <c r="E121" s="18" t="s">
        <v>8</v>
      </c>
      <c r="H121" s="27" t="s">
        <v>7</v>
      </c>
      <c r="I121" s="27" t="s">
        <v>8</v>
      </c>
      <c r="J121" s="27" t="s">
        <v>7</v>
      </c>
      <c r="K121" s="27" t="s">
        <v>8</v>
      </c>
      <c r="M121" s="27" t="s">
        <v>8</v>
      </c>
      <c r="N121" s="27" t="s">
        <v>7</v>
      </c>
      <c r="Q121" s="27" t="s">
        <v>8</v>
      </c>
      <c r="R121" s="27" t="s">
        <v>7</v>
      </c>
      <c r="S121" s="27" t="s">
        <v>8</v>
      </c>
      <c r="T121" s="27" t="s">
        <v>7</v>
      </c>
      <c r="W121" s="27" t="s">
        <v>8</v>
      </c>
      <c r="X121" s="27" t="s">
        <v>7</v>
      </c>
      <c r="AB121" s="31"/>
    </row>
    <row r="122" spans="1:56" x14ac:dyDescent="0.25">
      <c r="A122" s="30">
        <v>0.90909090909090895</v>
      </c>
      <c r="C122" s="1" t="str">
        <f>INDEX(1:1048576,C117,D117)</f>
        <v>O</v>
      </c>
      <c r="H122" s="27" t="s">
        <v>7</v>
      </c>
      <c r="J122" s="27" t="s">
        <v>7</v>
      </c>
      <c r="K122" s="27" t="s">
        <v>8</v>
      </c>
      <c r="L122" s="27" t="s">
        <v>7</v>
      </c>
      <c r="M122" s="27" t="s">
        <v>8</v>
      </c>
      <c r="N122" s="27" t="s">
        <v>7</v>
      </c>
      <c r="Q122" s="27" t="s">
        <v>8</v>
      </c>
      <c r="R122" s="27" t="s">
        <v>7</v>
      </c>
      <c r="T122" s="27" t="s">
        <v>7</v>
      </c>
      <c r="U122" s="27" t="s">
        <v>8</v>
      </c>
      <c r="W122" s="27" t="s">
        <v>8</v>
      </c>
      <c r="AA122" s="31"/>
    </row>
    <row r="123" spans="1:56" x14ac:dyDescent="0.25">
      <c r="A123" s="30">
        <v>0.82644628099173523</v>
      </c>
      <c r="C123" s="1" t="str">
        <f>"R"&amp;C121</f>
        <v>R114</v>
      </c>
      <c r="D123" s="1" t="str">
        <f>"C"&amp;D121</f>
        <v>C56</v>
      </c>
      <c r="J123" s="27" t="s">
        <v>7</v>
      </c>
      <c r="K123" s="27" t="s">
        <v>8</v>
      </c>
      <c r="L123" s="27" t="s">
        <v>7</v>
      </c>
      <c r="M123" s="27" t="s">
        <v>8</v>
      </c>
      <c r="N123" s="27" t="s">
        <v>7</v>
      </c>
      <c r="Q123" s="27" t="s">
        <v>8</v>
      </c>
      <c r="T123" s="27" t="s">
        <v>7</v>
      </c>
      <c r="U123" s="27" t="s">
        <v>8</v>
      </c>
      <c r="V123" s="27" t="s">
        <v>7</v>
      </c>
      <c r="W123" s="27" t="s">
        <v>8</v>
      </c>
      <c r="Z123" s="31"/>
    </row>
    <row r="124" spans="1:56" x14ac:dyDescent="0.25">
      <c r="A124" s="30">
        <v>0.75131480090157732</v>
      </c>
      <c r="C124" s="1">
        <f>SUM(C130:D130)</f>
        <v>0</v>
      </c>
      <c r="D124" s="1">
        <f>IF(C124=0,0,1)</f>
        <v>0</v>
      </c>
      <c r="J124" s="27" t="s">
        <v>7</v>
      </c>
      <c r="K124" s="27" t="s">
        <v>8</v>
      </c>
      <c r="L124" s="27" t="s">
        <v>7</v>
      </c>
      <c r="M124" s="27" t="s">
        <v>8</v>
      </c>
      <c r="N124" s="27" t="s">
        <v>7</v>
      </c>
      <c r="Q124" s="27" t="s">
        <v>8</v>
      </c>
      <c r="T124" s="27" t="s">
        <v>7</v>
      </c>
      <c r="U124" s="27" t="s">
        <v>8</v>
      </c>
      <c r="V124" s="27" t="s">
        <v>7</v>
      </c>
      <c r="W124" s="27" t="s">
        <v>8</v>
      </c>
      <c r="Y124" s="31"/>
    </row>
    <row r="125" spans="1:56" x14ac:dyDescent="0.25">
      <c r="A125" s="30">
        <v>0.68301345536507019</v>
      </c>
      <c r="J125" s="27" t="s">
        <v>7</v>
      </c>
      <c r="L125" s="27" t="s">
        <v>7</v>
      </c>
      <c r="M125" s="27" t="s">
        <v>8</v>
      </c>
      <c r="N125" s="27" t="s">
        <v>7</v>
      </c>
      <c r="Q125" s="27" t="s">
        <v>8</v>
      </c>
      <c r="T125" s="35" t="s">
        <v>7</v>
      </c>
      <c r="V125" s="35" t="s">
        <v>7</v>
      </c>
      <c r="X125" s="31"/>
    </row>
    <row r="126" spans="1:56" x14ac:dyDescent="0.25">
      <c r="A126" s="30">
        <v>0.6209213230591546</v>
      </c>
      <c r="C126" s="1" t="s">
        <v>10</v>
      </c>
      <c r="L126" s="27" t="s">
        <v>7</v>
      </c>
      <c r="N126" s="27" t="s">
        <v>7</v>
      </c>
      <c r="Q126" s="27" t="s">
        <v>8</v>
      </c>
      <c r="W126" s="31"/>
    </row>
    <row r="127" spans="1:56" x14ac:dyDescent="0.25">
      <c r="A127" s="30">
        <v>0.56447393005377677</v>
      </c>
      <c r="C127" s="30">
        <v>1.9487171000000014</v>
      </c>
      <c r="D127"/>
      <c r="N127" s="27" t="s">
        <v>7</v>
      </c>
      <c r="Q127" s="27" t="s">
        <v>8</v>
      </c>
      <c r="V127" s="31"/>
    </row>
    <row r="128" spans="1:56" x14ac:dyDescent="0.25">
      <c r="A128" s="30">
        <v>0.51315811823070612</v>
      </c>
      <c r="N128" s="27" t="s">
        <v>7</v>
      </c>
      <c r="Q128" s="27" t="s">
        <v>8</v>
      </c>
      <c r="U128" s="31"/>
    </row>
    <row r="129" spans="1:20" x14ac:dyDescent="0.25">
      <c r="A129" s="30">
        <v>0.46650738020973276</v>
      </c>
      <c r="C129" s="1" t="s">
        <v>11</v>
      </c>
      <c r="D129" s="1" t="s">
        <v>12</v>
      </c>
      <c r="E129"/>
      <c r="N129" s="27" t="s">
        <v>7</v>
      </c>
      <c r="Q129" s="32" t="s">
        <v>8</v>
      </c>
      <c r="T129" s="31"/>
    </row>
    <row r="130" spans="1:20" x14ac:dyDescent="0.25">
      <c r="A130" s="30">
        <v>0.42409761837248428</v>
      </c>
      <c r="C130" s="6"/>
      <c r="D130" s="6"/>
      <c r="E130"/>
      <c r="N130" s="27" t="s">
        <v>7</v>
      </c>
      <c r="O130" s="27" t="s">
        <v>8</v>
      </c>
      <c r="Q130" s="27" t="s">
        <v>8</v>
      </c>
      <c r="S130" s="31"/>
    </row>
    <row r="131" spans="1:20" x14ac:dyDescent="0.25">
      <c r="A131" s="30">
        <v>0.38554328942953109</v>
      </c>
      <c r="E131"/>
      <c r="N131" s="27" t="s">
        <v>7</v>
      </c>
      <c r="O131" s="27" t="s">
        <v>8</v>
      </c>
      <c r="P131" s="27" t="s">
        <v>7</v>
      </c>
      <c r="Q131" s="27" t="s">
        <v>8</v>
      </c>
      <c r="R131" s="31"/>
    </row>
    <row r="132" spans="1:20" x14ac:dyDescent="0.25">
      <c r="A132" s="30">
        <v>0.35049389948139187</v>
      </c>
      <c r="C132" s="1" t="s">
        <v>13</v>
      </c>
      <c r="E132"/>
      <c r="N132" s="27" t="s">
        <v>7</v>
      </c>
      <c r="O132" s="27" t="s">
        <v>8</v>
      </c>
      <c r="P132" s="27" t="s">
        <v>7</v>
      </c>
      <c r="Q132" s="31" t="s">
        <v>8</v>
      </c>
    </row>
    <row r="133" spans="1:20" x14ac:dyDescent="0.25">
      <c r="A133" s="30">
        <v>0.31863081771035617</v>
      </c>
      <c r="C133" s="1" t="str">
        <f>C122</f>
        <v>O</v>
      </c>
      <c r="E133"/>
      <c r="N133" s="27" t="s">
        <v>7</v>
      </c>
      <c r="O133" s="27" t="s">
        <v>8</v>
      </c>
      <c r="P133" s="31" t="s">
        <v>7</v>
      </c>
    </row>
    <row r="134" spans="1:20" x14ac:dyDescent="0.25">
      <c r="A134" s="30">
        <v>0.28966437973668741</v>
      </c>
      <c r="C134"/>
      <c r="D134"/>
      <c r="E134"/>
      <c r="N134" s="27" t="s">
        <v>7</v>
      </c>
      <c r="O134" s="31" t="s">
        <v>8</v>
      </c>
    </row>
    <row r="135" spans="1:20" x14ac:dyDescent="0.25">
      <c r="A135" s="30">
        <v>0.2633312543060794</v>
      </c>
      <c r="C135" s="1" t="s">
        <v>14</v>
      </c>
      <c r="E135"/>
      <c r="N135" s="31" t="s">
        <v>7</v>
      </c>
    </row>
    <row r="136" spans="1:2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20" x14ac:dyDescent="0.25">
      <c r="A137" s="30">
        <v>0.2176291357901482</v>
      </c>
      <c r="E137"/>
    </row>
    <row r="138" spans="1:2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20" x14ac:dyDescent="0.25">
      <c r="A139" s="30">
        <v>0.17985878990921333</v>
      </c>
      <c r="E139"/>
    </row>
    <row r="140" spans="1:20" x14ac:dyDescent="0.25">
      <c r="A140" s="30">
        <v>0.16350799082655756</v>
      </c>
      <c r="C140" s="1">
        <v>0</v>
      </c>
      <c r="E140"/>
    </row>
    <row r="141" spans="1:20" x14ac:dyDescent="0.25">
      <c r="A141" s="30">
        <v>0.14864362802414322</v>
      </c>
      <c r="C141" s="1">
        <v>1</v>
      </c>
      <c r="E141"/>
    </row>
    <row r="142" spans="1:20" x14ac:dyDescent="0.25">
      <c r="A142" s="30">
        <v>0.13513057093103928</v>
      </c>
      <c r="C142" s="1">
        <v>2</v>
      </c>
      <c r="E142"/>
    </row>
    <row r="143" spans="1:20" x14ac:dyDescent="0.25">
      <c r="A143" s="30">
        <v>0.12284597357367205</v>
      </c>
      <c r="C143" s="1">
        <v>3</v>
      </c>
      <c r="E143"/>
    </row>
    <row r="144" spans="1:20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35" operator="equal">
      <formula>$U$1</formula>
    </cfRule>
    <cfRule type="cellIs" dxfId="30" priority="1436" operator="equal">
      <formula>$S$1</formula>
    </cfRule>
  </conditionalFormatting>
  <conditionalFormatting sqref="D136">
    <cfRule type="cellIs" dxfId="29" priority="1433" operator="equal">
      <formula>$S$1</formula>
    </cfRule>
    <cfRule type="cellIs" dxfId="28" priority="1434" operator="equal">
      <formula>$U$1</formula>
    </cfRule>
  </conditionalFormatting>
  <conditionalFormatting sqref="C102">
    <cfRule type="cellIs" dxfId="27" priority="1431" operator="equal">
      <formula>$U$1</formula>
    </cfRule>
    <cfRule type="cellIs" dxfId="26" priority="1432" operator="equal">
      <formula>$S$1</formula>
    </cfRule>
  </conditionalFormatting>
  <conditionalFormatting sqref="D102">
    <cfRule type="cellIs" dxfId="25" priority="1429" operator="equal">
      <formula>$S$1</formula>
    </cfRule>
    <cfRule type="cellIs" dxfId="24" priority="1430" operator="equal">
      <formula>$U$1</formula>
    </cfRule>
  </conditionalFormatting>
  <conditionalFormatting sqref="C77">
    <cfRule type="cellIs" dxfId="23" priority="1427" operator="equal">
      <formula>$U$1</formula>
    </cfRule>
    <cfRule type="cellIs" dxfId="22" priority="1428" operator="equal">
      <formula>$S$1</formula>
    </cfRule>
  </conditionalFormatting>
  <conditionalFormatting sqref="D77">
    <cfRule type="cellIs" dxfId="21" priority="1425" operator="equal">
      <formula>$S$1</formula>
    </cfRule>
    <cfRule type="cellIs" dxfId="20" priority="1426" operator="equal">
      <formula>$U$1</formula>
    </cfRule>
  </conditionalFormatting>
  <conditionalFormatting sqref="C52">
    <cfRule type="cellIs" dxfId="19" priority="1423" operator="equal">
      <formula>$U$1</formula>
    </cfRule>
    <cfRule type="cellIs" dxfId="18" priority="1424" operator="equal">
      <formula>$S$1</formula>
    </cfRule>
  </conditionalFormatting>
  <conditionalFormatting sqref="D52">
    <cfRule type="cellIs" dxfId="17" priority="1421" operator="equal">
      <formula>$S$1</formula>
    </cfRule>
    <cfRule type="cellIs" dxfId="16" priority="1422" operator="equal">
      <formula>$U$1</formula>
    </cfRule>
  </conditionalFormatting>
  <conditionalFormatting sqref="C26">
    <cfRule type="cellIs" dxfId="15" priority="1419" operator="equal">
      <formula>$U$1</formula>
    </cfRule>
    <cfRule type="cellIs" dxfId="14" priority="1420" operator="equal">
      <formula>$S$1</formula>
    </cfRule>
  </conditionalFormatting>
  <conditionalFormatting sqref="D26">
    <cfRule type="cellIs" dxfId="13" priority="1417" operator="equal">
      <formula>$S$1</formula>
    </cfRule>
    <cfRule type="cellIs" dxfId="12" priority="141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2022-01-28T01:19:14Z</dcterms:modified>
</cp:coreProperties>
</file>