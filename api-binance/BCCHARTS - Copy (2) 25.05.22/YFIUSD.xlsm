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A14F51B-6F82-4CB5-A136-EC78801F25F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Sheet1" sheetId="8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540" i="1"/>
  <c r="Q540" i="1" s="1"/>
  <c r="R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4"/>
  <c r="C133" i="4" s="1"/>
  <c r="D136" i="4" s="1"/>
  <c r="C116" i="4"/>
  <c r="C118" i="3"/>
  <c r="C122" i="3"/>
  <c r="C133" i="3" s="1"/>
  <c r="C136" i="3" s="1"/>
  <c r="D136" i="5"/>
  <c r="C136" i="5"/>
  <c r="S540" i="1"/>
  <c r="T540" i="1" s="1"/>
  <c r="R539" i="1"/>
  <c r="C136" i="4" l="1"/>
  <c r="C138" i="4" s="1"/>
  <c r="C138" i="5"/>
  <c r="D136" i="3"/>
  <c r="C138" i="3" s="1"/>
  <c r="R538" i="1"/>
  <c r="S539" i="1"/>
  <c r="T539" i="1" s="1"/>
  <c r="R537" i="1" l="1"/>
  <c r="S538" i="1"/>
  <c r="T538" i="1" s="1"/>
  <c r="S537" i="1" l="1"/>
  <c r="T537" i="1" s="1"/>
  <c r="R536" i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S513" i="1" l="1"/>
  <c r="T513" i="1" s="1"/>
  <c r="R512" i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S489" i="1" l="1"/>
  <c r="T489" i="1" s="1"/>
  <c r="R488" i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R474" i="1" l="1"/>
  <c r="S475" i="1"/>
  <c r="T475" i="1" s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S441" i="1" l="1"/>
  <c r="T441" i="1" s="1"/>
  <c r="R440" i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<sst xmlns="http://schemas.openxmlformats.org/spreadsheetml/2006/main" count="6380" uniqueCount="34">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</sst>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23930.080000000002</c:v>
                </c:pt>
                <c:pt idx="1">
                  <c:v>24175.23</c:v>
                </c:pt>
                <c:pt idx="2">
                  <c:v>24455.43</c:v>
                </c:pt>
                <c:pt idx="3">
                  <c:v>23955.08</c:v>
                </c:pt>
                <c:pt idx="4">
                  <c:v>25090.13</c:v>
                </c:pt>
                <c:pt idx="5">
                  <c:v>22884.3</c:v>
                </c:pt>
                <c:pt idx="6">
                  <c:v>25746.560000000001</c:v>
                </c:pt>
                <c:pt idx="7">
                  <c:v>31436.9</c:v>
                </c:pt>
                <c:pt idx="8">
                  <c:v>32148.67</c:v>
                </c:pt>
                <c:pt idx="9">
                  <c:v>32581.39</c:v>
                </c:pt>
                <c:pt idx="10">
                  <c:v>31579.45</c:v>
                </c:pt>
                <c:pt idx="11">
                  <c:v>33595.75</c:v>
                </c:pt>
                <c:pt idx="12">
                  <c:v>33477.72</c:v>
                </c:pt>
                <c:pt idx="13">
                  <c:v>32246.87</c:v>
                </c:pt>
                <c:pt idx="14">
                  <c:v>31456.58</c:v>
                </c:pt>
                <c:pt idx="15">
                  <c:v>33830.629999999997</c:v>
                </c:pt>
                <c:pt idx="16">
                  <c:v>32765.27</c:v>
                </c:pt>
                <c:pt idx="17">
                  <c:v>32002.69</c:v>
                </c:pt>
                <c:pt idx="18">
                  <c:v>32692.12</c:v>
                </c:pt>
                <c:pt idx="19">
                  <c:v>33104.22</c:v>
                </c:pt>
                <c:pt idx="20">
                  <c:v>35815.879999999997</c:v>
                </c:pt>
                <c:pt idx="21">
                  <c:v>35942.06</c:v>
                </c:pt>
                <c:pt idx="22">
                  <c:v>32549.01</c:v>
                </c:pt>
                <c:pt idx="23">
                  <c:v>36278.67</c:v>
                </c:pt>
                <c:pt idx="24">
                  <c:v>38707.67</c:v>
                </c:pt>
                <c:pt idx="25">
                  <c:v>39101.120000000003</c:v>
                </c:pt>
                <c:pt idx="26">
                  <c:v>36554.04</c:v>
                </c:pt>
                <c:pt idx="27">
                  <c:v>33057.839999999997</c:v>
                </c:pt>
                <c:pt idx="28">
                  <c:v>30199.65</c:v>
                </c:pt>
                <c:pt idx="29">
                  <c:v>28567.38</c:v>
                </c:pt>
                <c:pt idx="30">
                  <c:v>28686.35</c:v>
                </c:pt>
                <c:pt idx="31">
                  <c:v>31718.28</c:v>
                </c:pt>
                <c:pt idx="32">
                  <c:v>31124.02</c:v>
                </c:pt>
                <c:pt idx="33">
                  <c:v>31173.63</c:v>
                </c:pt>
                <c:pt idx="34">
                  <c:v>32557.82</c:v>
                </c:pt>
                <c:pt idx="35">
                  <c:v>31551.01</c:v>
                </c:pt>
                <c:pt idx="36">
                  <c:v>31661.48</c:v>
                </c:pt>
                <c:pt idx="37">
                  <c:v>34665.89</c:v>
                </c:pt>
                <c:pt idx="38">
                  <c:v>36818.339999999997</c:v>
                </c:pt>
                <c:pt idx="39">
                  <c:v>31979.29</c:v>
                </c:pt>
                <c:pt idx="40">
                  <c:v>31340.5</c:v>
                </c:pt>
                <c:pt idx="41">
                  <c:v>33609.99</c:v>
                </c:pt>
                <c:pt idx="42">
                  <c:v>24611.37</c:v>
                </c:pt>
                <c:pt idx="43">
                  <c:v>20637.62</c:v>
                </c:pt>
                <c:pt idx="44">
                  <c:v>20120.2</c:v>
                </c:pt>
                <c:pt idx="45">
                  <c:v>19576.46</c:v>
                </c:pt>
                <c:pt idx="46">
                  <c:v>21699.64</c:v>
                </c:pt>
                <c:pt idx="47">
                  <c:v>20320.310000000001</c:v>
                </c:pt>
                <c:pt idx="48">
                  <c:v>20054.88</c:v>
                </c:pt>
                <c:pt idx="49">
                  <c:v>20951.48</c:v>
                </c:pt>
                <c:pt idx="50">
                  <c:v>23141.39</c:v>
                </c:pt>
                <c:pt idx="51">
                  <c:v>22077.72</c:v>
                </c:pt>
                <c:pt idx="52">
                  <c:v>23845.74</c:v>
                </c:pt>
                <c:pt idx="53">
                  <c:v>23740.13</c:v>
                </c:pt>
                <c:pt idx="54">
                  <c:v>24663.040000000001</c:v>
                </c:pt>
                <c:pt idx="55">
                  <c:v>27476.03</c:v>
                </c:pt>
                <c:pt idx="56">
                  <c:v>28830.85</c:v>
                </c:pt>
                <c:pt idx="57">
                  <c:v>28930.22</c:v>
                </c:pt>
                <c:pt idx="58">
                  <c:v>29626.15</c:v>
                </c:pt>
                <c:pt idx="59">
                  <c:v>30165.58</c:v>
                </c:pt>
                <c:pt idx="60">
                  <c:v>29994.09</c:v>
                </c:pt>
                <c:pt idx="61">
                  <c:v>29203.200000000001</c:v>
                </c:pt>
                <c:pt idx="62">
                  <c:v>28778.9</c:v>
                </c:pt>
                <c:pt idx="63">
                  <c:v>32035.97</c:v>
                </c:pt>
                <c:pt idx="64">
                  <c:v>31288.02</c:v>
                </c:pt>
                <c:pt idx="65">
                  <c:v>31632.23</c:v>
                </c:pt>
                <c:pt idx="66">
                  <c:v>31183.24</c:v>
                </c:pt>
                <c:pt idx="67">
                  <c:v>31590.93</c:v>
                </c:pt>
                <c:pt idx="68">
                  <c:v>31992.41</c:v>
                </c:pt>
                <c:pt idx="69">
                  <c:v>31782.42</c:v>
                </c:pt>
                <c:pt idx="70">
                  <c:v>32463.57</c:v>
                </c:pt>
                <c:pt idx="71">
                  <c:v>31205.78</c:v>
                </c:pt>
                <c:pt idx="72">
                  <c:v>30671.55</c:v>
                </c:pt>
                <c:pt idx="73">
                  <c:v>33449.08</c:v>
                </c:pt>
                <c:pt idx="74">
                  <c:v>33574.559999999998</c:v>
                </c:pt>
                <c:pt idx="75">
                  <c:v>32703.73</c:v>
                </c:pt>
                <c:pt idx="76">
                  <c:v>32240.91</c:v>
                </c:pt>
                <c:pt idx="77">
                  <c:v>33708.76</c:v>
                </c:pt>
                <c:pt idx="78">
                  <c:v>32950.51</c:v>
                </c:pt>
                <c:pt idx="79">
                  <c:v>34549.54</c:v>
                </c:pt>
                <c:pt idx="80">
                  <c:v>35641.29</c:v>
                </c:pt>
                <c:pt idx="81">
                  <c:v>35515.730000000003</c:v>
                </c:pt>
                <c:pt idx="82">
                  <c:v>33860.61</c:v>
                </c:pt>
                <c:pt idx="83">
                  <c:v>34006.21</c:v>
                </c:pt>
                <c:pt idx="84">
                  <c:v>33962.19</c:v>
                </c:pt>
                <c:pt idx="85">
                  <c:v>34696.97</c:v>
                </c:pt>
                <c:pt idx="86">
                  <c:v>35016.14</c:v>
                </c:pt>
                <c:pt idx="87">
                  <c:v>34757.660000000003</c:v>
                </c:pt>
                <c:pt idx="88">
                  <c:v>34123.58</c:v>
                </c:pt>
                <c:pt idx="89">
                  <c:v>33765.019999999997</c:v>
                </c:pt>
                <c:pt idx="90">
                  <c:v>35053.75</c:v>
                </c:pt>
                <c:pt idx="91">
                  <c:v>34125.870000000003</c:v>
                </c:pt>
                <c:pt idx="92">
                  <c:v>33926.44</c:v>
                </c:pt>
                <c:pt idx="93">
                  <c:v>37655.760000000002</c:v>
                </c:pt>
                <c:pt idx="94">
                  <c:v>34777.279999999999</c:v>
                </c:pt>
                <c:pt idx="95">
                  <c:v>34527.22</c:v>
                </c:pt>
                <c:pt idx="96">
                  <c:v>35790.28</c:v>
                </c:pt>
                <c:pt idx="97">
                  <c:v>34592.379999999997</c:v>
                </c:pt>
                <c:pt idx="98">
                  <c:v>34295.69</c:v>
                </c:pt>
                <c:pt idx="99">
                  <c:v>36073.519999999997</c:v>
                </c:pt>
                <c:pt idx="100">
                  <c:v>34748.730000000003</c:v>
                </c:pt>
                <c:pt idx="101">
                  <c:v>33852.75</c:v>
                </c:pt>
                <c:pt idx="102">
                  <c:v>34827.050000000003</c:v>
                </c:pt>
                <c:pt idx="103">
                  <c:v>35135</c:v>
                </c:pt>
                <c:pt idx="104">
                  <c:v>35994.14</c:v>
                </c:pt>
                <c:pt idx="105">
                  <c:v>35442.800000000003</c:v>
                </c:pt>
                <c:pt idx="106">
                  <c:v>34626.94</c:v>
                </c:pt>
                <c:pt idx="107">
                  <c:v>34839.440000000002</c:v>
                </c:pt>
                <c:pt idx="108">
                  <c:v>35518.79</c:v>
                </c:pt>
                <c:pt idx="109">
                  <c:v>32615.64</c:v>
                </c:pt>
                <c:pt idx="110">
                  <c:v>33997.370000000003</c:v>
                </c:pt>
                <c:pt idx="111">
                  <c:v>34580.980000000003</c:v>
                </c:pt>
                <c:pt idx="112">
                  <c:v>32142.06</c:v>
                </c:pt>
                <c:pt idx="113">
                  <c:v>32048.17</c:v>
                </c:pt>
                <c:pt idx="114">
                  <c:v>31860.04</c:v>
                </c:pt>
                <c:pt idx="115">
                  <c:v>30791.08</c:v>
                </c:pt>
                <c:pt idx="116">
                  <c:v>31348.400000000001</c:v>
                </c:pt>
                <c:pt idx="117">
                  <c:v>31900</c:v>
                </c:pt>
                <c:pt idx="118">
                  <c:v>31674.21</c:v>
                </c:pt>
                <c:pt idx="119">
                  <c:v>29196.42</c:v>
                </c:pt>
                <c:pt idx="120">
                  <c:v>28595.02</c:v>
                </c:pt>
                <c:pt idx="121">
                  <c:v>28243.89</c:v>
                </c:pt>
                <c:pt idx="122">
                  <c:v>28620.97</c:v>
                </c:pt>
                <c:pt idx="123">
                  <c:v>30402.41</c:v>
                </c:pt>
                <c:pt idx="124">
                  <c:v>30276.74</c:v>
                </c:pt>
                <c:pt idx="125">
                  <c:v>29252.9</c:v>
                </c:pt>
                <c:pt idx="126">
                  <c:v>31257.14</c:v>
                </c:pt>
                <c:pt idx="127">
                  <c:v>30502.63</c:v>
                </c:pt>
                <c:pt idx="128">
                  <c:v>27359.71</c:v>
                </c:pt>
                <c:pt idx="129">
                  <c:v>30634.87</c:v>
                </c:pt>
                <c:pt idx="130">
                  <c:v>33029.39</c:v>
                </c:pt>
                <c:pt idx="131">
                  <c:v>33923.019999999997</c:v>
                </c:pt>
                <c:pt idx="132">
                  <c:v>33238.14</c:v>
                </c:pt>
                <c:pt idx="133">
                  <c:v>34786.94</c:v>
                </c:pt>
                <c:pt idx="134">
                  <c:v>36491.279999999999</c:v>
                </c:pt>
                <c:pt idx="135">
                  <c:v>35700.01</c:v>
                </c:pt>
                <c:pt idx="136">
                  <c:v>32745.01</c:v>
                </c:pt>
                <c:pt idx="137">
                  <c:v>33292.06</c:v>
                </c:pt>
                <c:pt idx="138">
                  <c:v>32952.550000000003</c:v>
                </c:pt>
                <c:pt idx="139">
                  <c:v>32808.92</c:v>
                </c:pt>
                <c:pt idx="140">
                  <c:v>34343.71</c:v>
                </c:pt>
                <c:pt idx="141">
                  <c:v>34683.839999999997</c:v>
                </c:pt>
                <c:pt idx="142">
                  <c:v>34595.379999999997</c:v>
                </c:pt>
                <c:pt idx="143">
                  <c:v>42207.519999999997</c:v>
                </c:pt>
                <c:pt idx="144">
                  <c:v>42911.21</c:v>
                </c:pt>
                <c:pt idx="145">
                  <c:v>41460</c:v>
                </c:pt>
                <c:pt idx="146">
                  <c:v>40417.480000000003</c:v>
                </c:pt>
                <c:pt idx="147">
                  <c:v>38663.39</c:v>
                </c:pt>
                <c:pt idx="148">
                  <c:v>39981.21</c:v>
                </c:pt>
                <c:pt idx="149">
                  <c:v>38312.42</c:v>
                </c:pt>
                <c:pt idx="150">
                  <c:v>36268.949999999997</c:v>
                </c:pt>
                <c:pt idx="151">
                  <c:v>37472.050000000003</c:v>
                </c:pt>
                <c:pt idx="152">
                  <c:v>38044.51</c:v>
                </c:pt>
                <c:pt idx="153">
                  <c:v>37815.56</c:v>
                </c:pt>
                <c:pt idx="154">
                  <c:v>36132.58</c:v>
                </c:pt>
                <c:pt idx="155">
                  <c:v>38291.69</c:v>
                </c:pt>
                <c:pt idx="156">
                  <c:v>37110</c:v>
                </c:pt>
                <c:pt idx="157">
                  <c:v>40008.65</c:v>
                </c:pt>
                <c:pt idx="158">
                  <c:v>39624.06</c:v>
                </c:pt>
                <c:pt idx="159">
                  <c:v>38800</c:v>
                </c:pt>
                <c:pt idx="160">
                  <c:v>39756.82</c:v>
                </c:pt>
                <c:pt idx="161">
                  <c:v>39146.870000000003</c:v>
                </c:pt>
                <c:pt idx="162">
                  <c:v>37127.94</c:v>
                </c:pt>
                <c:pt idx="163">
                  <c:v>37860.089999999997</c:v>
                </c:pt>
                <c:pt idx="164">
                  <c:v>39306.97</c:v>
                </c:pt>
                <c:pt idx="165">
                  <c:v>39818.47</c:v>
                </c:pt>
                <c:pt idx="166">
                  <c:v>39497.4</c:v>
                </c:pt>
                <c:pt idx="167">
                  <c:v>40212.19</c:v>
                </c:pt>
                <c:pt idx="168">
                  <c:v>37029.919999999998</c:v>
                </c:pt>
                <c:pt idx="169">
                  <c:v>37988.129999999997</c:v>
                </c:pt>
                <c:pt idx="170">
                  <c:v>34870.35</c:v>
                </c:pt>
                <c:pt idx="171">
                  <c:v>33955.839999999997</c:v>
                </c:pt>
                <c:pt idx="172">
                  <c:v>32720.78</c:v>
                </c:pt>
                <c:pt idx="173">
                  <c:v>34637.56</c:v>
                </c:pt>
                <c:pt idx="174">
                  <c:v>33244.89</c:v>
                </c:pt>
                <c:pt idx="175">
                  <c:v>32915.129999999997</c:v>
                </c:pt>
                <c:pt idx="176">
                  <c:v>32998.269999999997</c:v>
                </c:pt>
                <c:pt idx="177">
                  <c:v>31861.87</c:v>
                </c:pt>
                <c:pt idx="178">
                  <c:v>31953.23</c:v>
                </c:pt>
                <c:pt idx="179">
                  <c:v>31682.42</c:v>
                </c:pt>
                <c:pt idx="180">
                  <c:v>33056.01</c:v>
                </c:pt>
                <c:pt idx="181">
                  <c:v>31302.06</c:v>
                </c:pt>
                <c:pt idx="182">
                  <c:v>30858.5</c:v>
                </c:pt>
                <c:pt idx="183">
                  <c:v>29859.22</c:v>
                </c:pt>
                <c:pt idx="184">
                  <c:v>29650.55</c:v>
                </c:pt>
                <c:pt idx="185">
                  <c:v>30064.28</c:v>
                </c:pt>
                <c:pt idx="186">
                  <c:v>29945.19</c:v>
                </c:pt>
                <c:pt idx="187">
                  <c:v>29485.39</c:v>
                </c:pt>
                <c:pt idx="188">
                  <c:v>29424.63</c:v>
                </c:pt>
                <c:pt idx="189">
                  <c:v>28492.57</c:v>
                </c:pt>
                <c:pt idx="190">
                  <c:v>28289.5</c:v>
                </c:pt>
                <c:pt idx="191">
                  <c:v>25787.3</c:v>
                </c:pt>
                <c:pt idx="192">
                  <c:v>26855.4</c:v>
                </c:pt>
                <c:pt idx="193">
                  <c:v>27959.51</c:v>
                </c:pt>
                <c:pt idx="194">
                  <c:v>27648.76</c:v>
                </c:pt>
                <c:pt idx="195">
                  <c:v>27602.38</c:v>
                </c:pt>
                <c:pt idx="196">
                  <c:v>30101.45</c:v>
                </c:pt>
                <c:pt idx="197">
                  <c:v>31505.81</c:v>
                </c:pt>
                <c:pt idx="198">
                  <c:v>32267.26</c:v>
                </c:pt>
                <c:pt idx="199">
                  <c:v>32843</c:v>
                </c:pt>
                <c:pt idx="200">
                  <c:v>33826.33</c:v>
                </c:pt>
                <c:pt idx="201">
                  <c:v>33154.699999999997</c:v>
                </c:pt>
                <c:pt idx="202">
                  <c:v>33473.06</c:v>
                </c:pt>
                <c:pt idx="203">
                  <c:v>33070.65</c:v>
                </c:pt>
                <c:pt idx="204">
                  <c:v>35399.46</c:v>
                </c:pt>
                <c:pt idx="205">
                  <c:v>35904.47</c:v>
                </c:pt>
                <c:pt idx="206">
                  <c:v>32417.360000000001</c:v>
                </c:pt>
                <c:pt idx="207">
                  <c:v>33394</c:v>
                </c:pt>
                <c:pt idx="208">
                  <c:v>32670.53</c:v>
                </c:pt>
                <c:pt idx="209">
                  <c:v>32039.4</c:v>
                </c:pt>
                <c:pt idx="210">
                  <c:v>31931.17</c:v>
                </c:pt>
                <c:pt idx="211">
                  <c:v>33843.07</c:v>
                </c:pt>
                <c:pt idx="212">
                  <c:v>33635.360000000001</c:v>
                </c:pt>
                <c:pt idx="213">
                  <c:v>31409.26</c:v>
                </c:pt>
                <c:pt idx="214">
                  <c:v>30273.17</c:v>
                </c:pt>
                <c:pt idx="215">
                  <c:v>28694.41</c:v>
                </c:pt>
                <c:pt idx="216">
                  <c:v>28110.46</c:v>
                </c:pt>
                <c:pt idx="217">
                  <c:v>31349.41</c:v>
                </c:pt>
                <c:pt idx="218">
                  <c:v>30957.17</c:v>
                </c:pt>
                <c:pt idx="219">
                  <c:v>28737.14</c:v>
                </c:pt>
                <c:pt idx="220">
                  <c:v>29367.23</c:v>
                </c:pt>
                <c:pt idx="221">
                  <c:v>36012.15</c:v>
                </c:pt>
                <c:pt idx="222">
                  <c:v>33213.29</c:v>
                </c:pt>
                <c:pt idx="223">
                  <c:v>34163.129999999997</c:v>
                </c:pt>
                <c:pt idx="224">
                  <c:v>36319.919999999998</c:v>
                </c:pt>
                <c:pt idx="225">
                  <c:v>36457.89</c:v>
                </c:pt>
                <c:pt idx="226">
                  <c:v>38901.31</c:v>
                </c:pt>
                <c:pt idx="227">
                  <c:v>39425.21</c:v>
                </c:pt>
                <c:pt idx="228">
                  <c:v>38527.58</c:v>
                </c:pt>
                <c:pt idx="229">
                  <c:v>36305.39</c:v>
                </c:pt>
                <c:pt idx="230">
                  <c:v>36926.6</c:v>
                </c:pt>
                <c:pt idx="231">
                  <c:v>37793.199999999997</c:v>
                </c:pt>
                <c:pt idx="232">
                  <c:v>40500</c:v>
                </c:pt>
                <c:pt idx="233">
                  <c:v>39643.919999999998</c:v>
                </c:pt>
                <c:pt idx="234">
                  <c:v>40442.230000000003</c:v>
                </c:pt>
                <c:pt idx="235">
                  <c:v>43072.75</c:v>
                </c:pt>
                <c:pt idx="236">
                  <c:v>42237.59</c:v>
                </c:pt>
                <c:pt idx="237">
                  <c:v>42593.43</c:v>
                </c:pt>
                <c:pt idx="238">
                  <c:v>45924</c:v>
                </c:pt>
                <c:pt idx="239">
                  <c:v>45170.74</c:v>
                </c:pt>
                <c:pt idx="240">
                  <c:v>45071.01</c:v>
                </c:pt>
                <c:pt idx="241">
                  <c:v>46962.62</c:v>
                </c:pt>
                <c:pt idx="242">
                  <c:v>41883.699999999997</c:v>
                </c:pt>
                <c:pt idx="243">
                  <c:v>39164.57</c:v>
                </c:pt>
                <c:pt idx="244">
                  <c:v>40835.65</c:v>
                </c:pt>
                <c:pt idx="245">
                  <c:v>46882.55</c:v>
                </c:pt>
                <c:pt idx="246">
                  <c:v>50225.97</c:v>
                </c:pt>
                <c:pt idx="247">
                  <c:v>46899.38</c:v>
                </c:pt>
                <c:pt idx="248">
                  <c:v>48350</c:v>
                </c:pt>
                <c:pt idx="249">
                  <c:v>32549.68</c:v>
                </c:pt>
                <c:pt idx="250">
                  <c:v>38445.21</c:v>
                </c:pt>
                <c:pt idx="251">
                  <c:v>43601.120000000003</c:v>
                </c:pt>
                <c:pt idx="252">
                  <c:v>51700.14</c:v>
                </c:pt>
                <c:pt idx="253">
                  <c:v>45704.98</c:v>
                </c:pt>
                <c:pt idx="254">
                  <c:v>72833.03</c:v>
                </c:pt>
                <c:pt idx="255">
                  <c:v>64316.81</c:v>
                </c:pt>
                <c:pt idx="256">
                  <c:v>65807.679999999993</c:v>
                </c:pt>
                <c:pt idx="257">
                  <c:v>66907.28</c:v>
                </c:pt>
                <c:pt idx="258">
                  <c:v>77676.94</c:v>
                </c:pt>
                <c:pt idx="259">
                  <c:v>66018.27</c:v>
                </c:pt>
                <c:pt idx="260">
                  <c:v>65548.55</c:v>
                </c:pt>
                <c:pt idx="261">
                  <c:v>82885.119999999995</c:v>
                </c:pt>
                <c:pt idx="262">
                  <c:v>62425.79</c:v>
                </c:pt>
                <c:pt idx="263">
                  <c:v>53360.52</c:v>
                </c:pt>
                <c:pt idx="264">
                  <c:v>54073.52</c:v>
                </c:pt>
                <c:pt idx="265">
                  <c:v>53352.9</c:v>
                </c:pt>
                <c:pt idx="266">
                  <c:v>52407.92</c:v>
                </c:pt>
                <c:pt idx="267">
                  <c:v>54521.66</c:v>
                </c:pt>
                <c:pt idx="268">
                  <c:v>50288.71</c:v>
                </c:pt>
                <c:pt idx="269">
                  <c:v>53382.78</c:v>
                </c:pt>
                <c:pt idx="270">
                  <c:v>48513.34</c:v>
                </c:pt>
                <c:pt idx="271">
                  <c:v>49816.58</c:v>
                </c:pt>
                <c:pt idx="272">
                  <c:v>48905.73</c:v>
                </c:pt>
                <c:pt idx="273">
                  <c:v>46787.64</c:v>
                </c:pt>
                <c:pt idx="274">
                  <c:v>48036.58</c:v>
                </c:pt>
                <c:pt idx="275">
                  <c:v>48762.07</c:v>
                </c:pt>
                <c:pt idx="276">
                  <c:v>45256.01</c:v>
                </c:pt>
                <c:pt idx="277">
                  <c:v>39759.1</c:v>
                </c:pt>
                <c:pt idx="278">
                  <c:v>39211.49</c:v>
                </c:pt>
                <c:pt idx="279">
                  <c:v>43314.66</c:v>
                </c:pt>
                <c:pt idx="280">
                  <c:v>45407.34</c:v>
                </c:pt>
                <c:pt idx="281">
                  <c:v>45343.74</c:v>
                </c:pt>
                <c:pt idx="282">
                  <c:v>48880.61</c:v>
                </c:pt>
                <c:pt idx="283">
                  <c:v>46740.3</c:v>
                </c:pt>
                <c:pt idx="284">
                  <c:v>53464.77</c:v>
                </c:pt>
                <c:pt idx="285">
                  <c:v>48625</c:v>
                </c:pt>
                <c:pt idx="286">
                  <c:v>53019.06</c:v>
                </c:pt>
                <c:pt idx="287">
                  <c:v>50249.46</c:v>
                </c:pt>
                <c:pt idx="288">
                  <c:v>47290.53</c:v>
                </c:pt>
                <c:pt idx="289">
                  <c:v>44796.800000000003</c:v>
                </c:pt>
                <c:pt idx="290">
                  <c:v>43023.81</c:v>
                </c:pt>
                <c:pt idx="291">
                  <c:v>45024.95</c:v>
                </c:pt>
                <c:pt idx="292">
                  <c:v>44570.99</c:v>
                </c:pt>
                <c:pt idx="293">
                  <c:v>45782.07</c:v>
                </c:pt>
                <c:pt idx="294">
                  <c:v>47273.11</c:v>
                </c:pt>
                <c:pt idx="295">
                  <c:v>43966.06</c:v>
                </c:pt>
                <c:pt idx="296">
                  <c:v>41302.31</c:v>
                </c:pt>
                <c:pt idx="297">
                  <c:v>38488.199999999997</c:v>
                </c:pt>
                <c:pt idx="298">
                  <c:v>37589.82</c:v>
                </c:pt>
                <c:pt idx="299">
                  <c:v>35816.449999999997</c:v>
                </c:pt>
                <c:pt idx="300">
                  <c:v>39286.22</c:v>
                </c:pt>
                <c:pt idx="301">
                  <c:v>36583.839999999997</c:v>
                </c:pt>
                <c:pt idx="302">
                  <c:v>36142.51</c:v>
                </c:pt>
                <c:pt idx="303">
                  <c:v>35476.25</c:v>
                </c:pt>
                <c:pt idx="304">
                  <c:v>35386.410000000003</c:v>
                </c:pt>
                <c:pt idx="305">
                  <c:v>32608.04</c:v>
                </c:pt>
                <c:pt idx="306">
                  <c:v>32711.68</c:v>
                </c:pt>
                <c:pt idx="307">
                  <c:v>33194.68</c:v>
                </c:pt>
                <c:pt idx="308">
                  <c:v>31840.43</c:v>
                </c:pt>
                <c:pt idx="309">
                  <c:v>30918.5</c:v>
                </c:pt>
                <c:pt idx="310">
                  <c:v>33729.019999999997</c:v>
                </c:pt>
                <c:pt idx="311">
                  <c:v>33247</c:v>
                </c:pt>
                <c:pt idx="312">
                  <c:v>35345.550000000003</c:v>
                </c:pt>
                <c:pt idx="313">
                  <c:v>35073.9</c:v>
                </c:pt>
                <c:pt idx="314">
                  <c:v>35976.65</c:v>
                </c:pt>
                <c:pt idx="315">
                  <c:v>35677.35</c:v>
                </c:pt>
                <c:pt idx="316">
                  <c:v>35081.480000000003</c:v>
                </c:pt>
                <c:pt idx="317">
                  <c:v>34961.5</c:v>
                </c:pt>
                <c:pt idx="318">
                  <c:v>34557.17</c:v>
                </c:pt>
                <c:pt idx="319">
                  <c:v>35827.51</c:v>
                </c:pt>
                <c:pt idx="320">
                  <c:v>38166.6</c:v>
                </c:pt>
                <c:pt idx="321">
                  <c:v>35967.32</c:v>
                </c:pt>
                <c:pt idx="322">
                  <c:v>37899.9</c:v>
                </c:pt>
                <c:pt idx="323">
                  <c:v>37839.519999999997</c:v>
                </c:pt>
                <c:pt idx="324">
                  <c:v>38936.519999999997</c:v>
                </c:pt>
                <c:pt idx="325">
                  <c:v>39767.07</c:v>
                </c:pt>
                <c:pt idx="326">
                  <c:v>39133.019999999997</c:v>
                </c:pt>
                <c:pt idx="327">
                  <c:v>34047.86</c:v>
                </c:pt>
                <c:pt idx="328">
                  <c:v>31950.75</c:v>
                </c:pt>
                <c:pt idx="329">
                  <c:v>32392.48</c:v>
                </c:pt>
                <c:pt idx="330">
                  <c:v>33750.68</c:v>
                </c:pt>
                <c:pt idx="331">
                  <c:v>33220.239999999998</c:v>
                </c:pt>
                <c:pt idx="332">
                  <c:v>34782.120000000003</c:v>
                </c:pt>
                <c:pt idx="333">
                  <c:v>30722.16</c:v>
                </c:pt>
                <c:pt idx="334">
                  <c:v>31442.6</c:v>
                </c:pt>
                <c:pt idx="335">
                  <c:v>31141.43</c:v>
                </c:pt>
                <c:pt idx="336">
                  <c:v>31600.98</c:v>
                </c:pt>
                <c:pt idx="337">
                  <c:v>33800.25</c:v>
                </c:pt>
                <c:pt idx="338">
                  <c:v>33410.699999999997</c:v>
                </c:pt>
                <c:pt idx="339">
                  <c:v>39229.56</c:v>
                </c:pt>
                <c:pt idx="340">
                  <c:v>43097.2</c:v>
                </c:pt>
                <c:pt idx="341">
                  <c:v>42251.78</c:v>
                </c:pt>
                <c:pt idx="342">
                  <c:v>44711.81</c:v>
                </c:pt>
                <c:pt idx="343">
                  <c:v>44278.54</c:v>
                </c:pt>
                <c:pt idx="344">
                  <c:v>43781.87</c:v>
                </c:pt>
                <c:pt idx="345">
                  <c:v>42977.36</c:v>
                </c:pt>
                <c:pt idx="346">
                  <c:v>40273.620000000003</c:v>
                </c:pt>
                <c:pt idx="347">
                  <c:v>43369.16</c:v>
                </c:pt>
                <c:pt idx="348">
                  <c:v>47157.24</c:v>
                </c:pt>
                <c:pt idx="349">
                  <c:v>47007.1</c:v>
                </c:pt>
                <c:pt idx="350">
                  <c:v>43831.19</c:v>
                </c:pt>
                <c:pt idx="351">
                  <c:v>36353.03</c:v>
                </c:pt>
                <c:pt idx="352">
                  <c:v>35214.33</c:v>
                </c:pt>
                <c:pt idx="353">
                  <c:v>32500</c:v>
                </c:pt>
                <c:pt idx="354">
                  <c:v>30866.54</c:v>
                </c:pt>
                <c:pt idx="355">
                  <c:v>31542.61</c:v>
                </c:pt>
                <c:pt idx="356">
                  <c:v>32447.8</c:v>
                </c:pt>
                <c:pt idx="357">
                  <c:v>31098.22</c:v>
                </c:pt>
                <c:pt idx="358">
                  <c:v>34095.5</c:v>
                </c:pt>
                <c:pt idx="359">
                  <c:v>31690.62</c:v>
                </c:pt>
                <c:pt idx="360">
                  <c:v>31166.45</c:v>
                </c:pt>
                <c:pt idx="361">
                  <c:v>30114.54</c:v>
                </c:pt>
                <c:pt idx="362">
                  <c:v>31150.11</c:v>
                </c:pt>
                <c:pt idx="363">
                  <c:v>29974.1</c:v>
                </c:pt>
                <c:pt idx="364">
                  <c:v>29664.06</c:v>
                </c:pt>
                <c:pt idx="365">
                  <c:v>27617.41</c:v>
                </c:pt>
                <c:pt idx="366">
                  <c:v>30298.17</c:v>
                </c:pt>
                <c:pt idx="367">
                  <c:v>29311.96</c:v>
                </c:pt>
                <c:pt idx="368">
                  <c:v>32200.52</c:v>
                </c:pt>
                <c:pt idx="369">
                  <c:v>30560.03</c:v>
                </c:pt>
                <c:pt idx="370">
                  <c:v>30780</c:v>
                </c:pt>
                <c:pt idx="371">
                  <c:v>27938.25</c:v>
                </c:pt>
                <c:pt idx="372">
                  <c:v>34040.18</c:v>
                </c:pt>
                <c:pt idx="373">
                  <c:v>34365.15</c:v>
                </c:pt>
                <c:pt idx="374">
                  <c:v>37994.33</c:v>
                </c:pt>
                <c:pt idx="375">
                  <c:v>34544.730000000003</c:v>
                </c:pt>
                <c:pt idx="376">
                  <c:v>33823.089999999997</c:v>
                </c:pt>
                <c:pt idx="377">
                  <c:v>30205.26</c:v>
                </c:pt>
                <c:pt idx="378">
                  <c:v>32924.519999999997</c:v>
                </c:pt>
                <c:pt idx="379">
                  <c:v>33599.65</c:v>
                </c:pt>
                <c:pt idx="380">
                  <c:v>29743.08</c:v>
                </c:pt>
                <c:pt idx="381">
                  <c:v>30102.880000000001</c:v>
                </c:pt>
                <c:pt idx="382">
                  <c:v>33982.730000000003</c:v>
                </c:pt>
                <c:pt idx="383">
                  <c:v>35735.599999999999</c:v>
                </c:pt>
                <c:pt idx="384">
                  <c:v>34908.589999999997</c:v>
                </c:pt>
                <c:pt idx="385">
                  <c:v>33057.949999999997</c:v>
                </c:pt>
                <c:pt idx="386">
                  <c:v>24742.87</c:v>
                </c:pt>
                <c:pt idx="387">
                  <c:v>23731.87</c:v>
                </c:pt>
                <c:pt idx="388">
                  <c:v>23387.84</c:v>
                </c:pt>
                <c:pt idx="389">
                  <c:v>23879.16</c:v>
                </c:pt>
                <c:pt idx="390">
                  <c:v>21477.83</c:v>
                </c:pt>
                <c:pt idx="391">
                  <c:v>21845.15</c:v>
                </c:pt>
                <c:pt idx="392">
                  <c:v>22687.96</c:v>
                </c:pt>
                <c:pt idx="393">
                  <c:v>21765.85</c:v>
                </c:pt>
                <c:pt idx="394">
                  <c:v>22155.55</c:v>
                </c:pt>
                <c:pt idx="395">
                  <c:v>22796.58</c:v>
                </c:pt>
                <c:pt idx="396">
                  <c:v>22785.06</c:v>
                </c:pt>
                <c:pt idx="397">
                  <c:v>22588.76</c:v>
                </c:pt>
                <c:pt idx="398">
                  <c:v>23612.29</c:v>
                </c:pt>
                <c:pt idx="399">
                  <c:v>24024.95</c:v>
                </c:pt>
                <c:pt idx="400">
                  <c:v>20092.38</c:v>
                </c:pt>
                <c:pt idx="401">
                  <c:v>24850</c:v>
                </c:pt>
                <c:pt idx="402">
                  <c:v>24569.93</c:v>
                </c:pt>
                <c:pt idx="403">
                  <c:v>26114.07</c:v>
                </c:pt>
                <c:pt idx="404">
                  <c:v>27604.76</c:v>
                </c:pt>
                <c:pt idx="405">
                  <c:v>27869.03</c:v>
                </c:pt>
                <c:pt idx="406">
                  <c:v>26599.01</c:v>
                </c:pt>
                <c:pt idx="407">
                  <c:v>26965.41</c:v>
                </c:pt>
                <c:pt idx="408">
                  <c:v>24784.11</c:v>
                </c:pt>
                <c:pt idx="409">
                  <c:v>25819.99</c:v>
                </c:pt>
                <c:pt idx="410">
                  <c:v>26341.06</c:v>
                </c:pt>
                <c:pt idx="411">
                  <c:v>25347.85</c:v>
                </c:pt>
                <c:pt idx="412">
                  <c:v>23387.89</c:v>
                </c:pt>
                <c:pt idx="413">
                  <c:v>23974.15</c:v>
                </c:pt>
                <c:pt idx="414">
                  <c:v>25556.16</c:v>
                </c:pt>
                <c:pt idx="415">
                  <c:v>25448.82</c:v>
                </c:pt>
                <c:pt idx="416">
                  <c:v>28486.5</c:v>
                </c:pt>
                <c:pt idx="417">
                  <c:v>28794.240000000002</c:v>
                </c:pt>
                <c:pt idx="418">
                  <c:v>29352.73</c:v>
                </c:pt>
                <c:pt idx="419">
                  <c:v>26452.77</c:v>
                </c:pt>
                <c:pt idx="420">
                  <c:v>29649.42</c:v>
                </c:pt>
                <c:pt idx="421">
                  <c:v>30306.15</c:v>
                </c:pt>
                <c:pt idx="422">
                  <c:v>25684.04</c:v>
                </c:pt>
                <c:pt idx="423">
                  <c:v>26470.400000000001</c:v>
                </c:pt>
                <c:pt idx="424">
                  <c:v>24600.71</c:v>
                </c:pt>
                <c:pt idx="425">
                  <c:v>23353.75</c:v>
                </c:pt>
                <c:pt idx="426">
                  <c:v>23452.98</c:v>
                </c:pt>
                <c:pt idx="427">
                  <c:v>23345.46</c:v>
                </c:pt>
                <c:pt idx="428">
                  <c:v>22324.66</c:v>
                </c:pt>
                <c:pt idx="429">
                  <c:v>24749.99</c:v>
                </c:pt>
                <c:pt idx="430">
                  <c:v>25216.48</c:v>
                </c:pt>
                <c:pt idx="431">
                  <c:v>24419.040000000001</c:v>
                </c:pt>
                <c:pt idx="432">
                  <c:v>24479.24</c:v>
                </c:pt>
                <c:pt idx="433">
                  <c:v>26515.16</c:v>
                </c:pt>
                <c:pt idx="434">
                  <c:v>27800</c:v>
                </c:pt>
                <c:pt idx="435">
                  <c:v>25444.39</c:v>
                </c:pt>
                <c:pt idx="436">
                  <c:v>23944.68</c:v>
                </c:pt>
                <c:pt idx="437">
                  <c:v>18565.47</c:v>
                </c:pt>
                <c:pt idx="438">
                  <c:v>17606.900000000001</c:v>
                </c:pt>
                <c:pt idx="439">
                  <c:v>17217.05</c:v>
                </c:pt>
                <c:pt idx="440">
                  <c:v>17881.060000000001</c:v>
                </c:pt>
                <c:pt idx="441">
                  <c:v>15462.62</c:v>
                </c:pt>
                <c:pt idx="442">
                  <c:v>16679.560000000001</c:v>
                </c:pt>
                <c:pt idx="443">
                  <c:v>18274.93</c:v>
                </c:pt>
                <c:pt idx="444">
                  <c:v>15010.12</c:v>
                </c:pt>
                <c:pt idx="445">
                  <c:v>15108.29</c:v>
                </c:pt>
                <c:pt idx="446">
                  <c:v>14281.47</c:v>
                </c:pt>
                <c:pt idx="447">
                  <c:v>11821.27</c:v>
                </c:pt>
                <c:pt idx="448">
                  <c:v>8488.35</c:v>
                </c:pt>
                <c:pt idx="449">
                  <c:v>8484.18</c:v>
                </c:pt>
                <c:pt idx="450">
                  <c:v>9351.52</c:v>
                </c:pt>
                <c:pt idx="451">
                  <c:v>10092.299999999999</c:v>
                </c:pt>
                <c:pt idx="452">
                  <c:v>10689.46</c:v>
                </c:pt>
                <c:pt idx="453">
                  <c:v>10492.89</c:v>
                </c:pt>
                <c:pt idx="454">
                  <c:v>11014.56</c:v>
                </c:pt>
                <c:pt idx="455">
                  <c:v>10781.1</c:v>
                </c:pt>
                <c:pt idx="456">
                  <c:v>12556.47</c:v>
                </c:pt>
                <c:pt idx="457">
                  <c:v>13372.88</c:v>
                </c:pt>
                <c:pt idx="458">
                  <c:v>13589.52</c:v>
                </c:pt>
                <c:pt idx="459">
                  <c:v>14297</c:v>
                </c:pt>
                <c:pt idx="460">
                  <c:v>14872.72</c:v>
                </c:pt>
                <c:pt idx="461">
                  <c:v>14903.15</c:v>
                </c:pt>
                <c:pt idx="462">
                  <c:v>13724.82</c:v>
                </c:pt>
                <c:pt idx="463">
                  <c:v>13293.14</c:v>
                </c:pt>
                <c:pt idx="464">
                  <c:v>13053.33</c:v>
                </c:pt>
                <c:pt idx="465">
                  <c:v>13709.88</c:v>
                </c:pt>
                <c:pt idx="466">
                  <c:v>15427.68</c:v>
                </c:pt>
                <c:pt idx="467">
                  <c:v>14039.17</c:v>
                </c:pt>
                <c:pt idx="468">
                  <c:v>13403.4</c:v>
                </c:pt>
                <c:pt idx="469">
                  <c:v>14614.29</c:v>
                </c:pt>
                <c:pt idx="470">
                  <c:v>14578.98</c:v>
                </c:pt>
                <c:pt idx="471">
                  <c:v>15634.07</c:v>
                </c:pt>
                <c:pt idx="472">
                  <c:v>16521.11</c:v>
                </c:pt>
                <c:pt idx="473">
                  <c:v>16900</c:v>
                </c:pt>
                <c:pt idx="474">
                  <c:v>15995.01</c:v>
                </c:pt>
                <c:pt idx="475">
                  <c:v>18040.96</c:v>
                </c:pt>
                <c:pt idx="476">
                  <c:v>16732.580000000002</c:v>
                </c:pt>
                <c:pt idx="477">
                  <c:v>14853.84</c:v>
                </c:pt>
                <c:pt idx="478">
                  <c:v>16601.439999999999</c:v>
                </c:pt>
                <c:pt idx="479">
                  <c:v>19176.46</c:v>
                </c:pt>
                <c:pt idx="480">
                  <c:v>19149.939999999999</c:v>
                </c:pt>
                <c:pt idx="481">
                  <c:v>18850</c:v>
                </c:pt>
                <c:pt idx="482">
                  <c:v>21047.03</c:v>
                </c:pt>
                <c:pt idx="483">
                  <c:v>22790.75</c:v>
                </c:pt>
                <c:pt idx="484">
                  <c:v>23822.04</c:v>
                </c:pt>
                <c:pt idx="485">
                  <c:v>25039.35</c:v>
                </c:pt>
                <c:pt idx="486">
                  <c:v>28460.240000000002</c:v>
                </c:pt>
                <c:pt idx="487">
                  <c:v>30621.02</c:v>
                </c:pt>
                <c:pt idx="488">
                  <c:v>31645.39</c:v>
                </c:pt>
                <c:pt idx="489">
                  <c:v>26807.53</c:v>
                </c:pt>
                <c:pt idx="490">
                  <c:v>25258.49</c:v>
                </c:pt>
                <c:pt idx="491">
                  <c:v>21191.4</c:v>
                </c:pt>
                <c:pt idx="492">
                  <c:v>25017.3</c:v>
                </c:pt>
                <c:pt idx="493">
                  <c:v>24045.53</c:v>
                </c:pt>
                <c:pt idx="494">
                  <c:v>28071.33</c:v>
                </c:pt>
                <c:pt idx="495">
                  <c:v>30932.7</c:v>
                </c:pt>
                <c:pt idx="496">
                  <c:v>33065.96</c:v>
                </c:pt>
                <c:pt idx="497">
                  <c:v>33258.339999999997</c:v>
                </c:pt>
                <c:pt idx="498">
                  <c:v>34885.58</c:v>
                </c:pt>
                <c:pt idx="499">
                  <c:v>35380</c:v>
                </c:pt>
                <c:pt idx="500">
                  <c:v>39868.080000000002</c:v>
                </c:pt>
                <c:pt idx="501">
                  <c:v>36893.01</c:v>
                </c:pt>
                <c:pt idx="502">
                  <c:v>43194.45</c:v>
                </c:pt>
                <c:pt idx="503">
                  <c:v>38146.99</c:v>
                </c:pt>
                <c:pt idx="504">
                  <c:v>34045.730000000003</c:v>
                </c:pt>
                <c:pt idx="505">
                  <c:v>27500.03</c:v>
                </c:pt>
                <c:pt idx="506">
                  <c:v>22518.41</c:v>
                </c:pt>
                <c:pt idx="507">
                  <c:v>22985.3</c:v>
                </c:pt>
                <c:pt idx="508">
                  <c:v>23797.1</c:v>
                </c:pt>
                <c:pt idx="509">
                  <c:v>22193.5</c:v>
                </c:pt>
                <c:pt idx="510">
                  <c:v>27311.919999999998</c:v>
                </c:pt>
                <c:pt idx="511">
                  <c:v>29400.07</c:v>
                </c:pt>
                <c:pt idx="512">
                  <c:v>32000</c:v>
                </c:pt>
                <c:pt idx="513">
                  <c:v>31951.5</c:v>
                </c:pt>
                <c:pt idx="514">
                  <c:v>34835.300000000003</c:v>
                </c:pt>
                <c:pt idx="515">
                  <c:v>31677.95</c:v>
                </c:pt>
                <c:pt idx="516">
                  <c:v>27400</c:v>
                </c:pt>
                <c:pt idx="517">
                  <c:v>18848.990000000002</c:v>
                </c:pt>
                <c:pt idx="518">
                  <c:v>14183.1</c:v>
                </c:pt>
                <c:pt idx="519">
                  <c:v>15677.91</c:v>
                </c:pt>
                <c:pt idx="520">
                  <c:v>13510.2</c:v>
                </c:pt>
                <c:pt idx="521">
                  <c:v>14466.02</c:v>
                </c:pt>
                <c:pt idx="522">
                  <c:v>12571.37</c:v>
                </c:pt>
                <c:pt idx="523">
                  <c:v>14034.28</c:v>
                </c:pt>
                <c:pt idx="524">
                  <c:v>12296.34</c:v>
                </c:pt>
                <c:pt idx="525">
                  <c:v>15275</c:v>
                </c:pt>
                <c:pt idx="526">
                  <c:v>12599.72</c:v>
                </c:pt>
                <c:pt idx="527">
                  <c:v>9655</c:v>
                </c:pt>
                <c:pt idx="528">
                  <c:v>8900</c:v>
                </c:pt>
                <c:pt idx="529">
                  <c:v>6660</c:v>
                </c:pt>
                <c:pt idx="530">
                  <c:v>5414.22</c:v>
                </c:pt>
                <c:pt idx="531">
                  <c:v>5016.1400000000003</c:v>
                </c:pt>
                <c:pt idx="532">
                  <c:v>5346.99</c:v>
                </c:pt>
                <c:pt idx="533">
                  <c:v>5749.62</c:v>
                </c:pt>
                <c:pt idx="534">
                  <c:v>6040.2</c:v>
                </c:pt>
                <c:pt idx="535">
                  <c:v>6229.19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F-4312-B5ED-EAC1063D479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6.6128260444616013E-4</c:v>
                </c:pt>
                <c:pt idx="1">
                  <c:v>6.6195617024914139E-4</c:v>
                </c:pt>
                <c:pt idx="2">
                  <c:v>6.6585009275974721E-4</c:v>
                </c:pt>
                <c:pt idx="3">
                  <c:v>6.6323446531361724E-4</c:v>
                </c:pt>
                <c:pt idx="4">
                  <c:v>6.5936611988513707E-4</c:v>
                </c:pt>
                <c:pt idx="5">
                  <c:v>6.5117007092971801E-4</c:v>
                </c:pt>
                <c:pt idx="6">
                  <c:v>6.545686304524291E-4</c:v>
                </c:pt>
                <c:pt idx="7">
                  <c:v>6.6334324272292709E-4</c:v>
                </c:pt>
                <c:pt idx="8">
                  <c:v>6.7357474531507563E-4</c:v>
                </c:pt>
                <c:pt idx="9">
                  <c:v>6.7527515651191771E-4</c:v>
                </c:pt>
                <c:pt idx="10">
                  <c:v>6.7287834651339167E-4</c:v>
                </c:pt>
                <c:pt idx="11">
                  <c:v>6.7609203312179057E-4</c:v>
                </c:pt>
                <c:pt idx="12">
                  <c:v>6.7620318225323605E-4</c:v>
                </c:pt>
                <c:pt idx="13">
                  <c:v>6.7336195387316809E-4</c:v>
                </c:pt>
                <c:pt idx="14">
                  <c:v>6.7213651090966304E-4</c:v>
                </c:pt>
                <c:pt idx="15">
                  <c:v>6.7701657468641002E-4</c:v>
                </c:pt>
                <c:pt idx="16">
                  <c:v>6.7546198374869397E-4</c:v>
                </c:pt>
                <c:pt idx="17">
                  <c:v>6.7244813405907273E-4</c:v>
                </c:pt>
                <c:pt idx="18">
                  <c:v>6.6578328902601696E-4</c:v>
                </c:pt>
                <c:pt idx="19">
                  <c:v>6.7471690371315716E-4</c:v>
                </c:pt>
                <c:pt idx="20">
                  <c:v>6.8074514057963427E-4</c:v>
                </c:pt>
                <c:pt idx="21">
                  <c:v>6.5947607984226213E-4</c:v>
                </c:pt>
                <c:pt idx="22">
                  <c:v>6.447231878272887E-4</c:v>
                </c:pt>
                <c:pt idx="23">
                  <c:v>6.522930328317334E-4</c:v>
                </c:pt>
                <c:pt idx="24">
                  <c:v>6.635383048449238E-4</c:v>
                </c:pt>
                <c:pt idx="25">
                  <c:v>6.7638933736934124E-4</c:v>
                </c:pt>
                <c:pt idx="26">
                  <c:v>6.5924711081520105E-4</c:v>
                </c:pt>
                <c:pt idx="27">
                  <c:v>6.5079029585990032E-4</c:v>
                </c:pt>
                <c:pt idx="28">
                  <c:v>6.3705870659804366E-4</c:v>
                </c:pt>
                <c:pt idx="29">
                  <c:v>6.3079564998283391E-4</c:v>
                </c:pt>
                <c:pt idx="30">
                  <c:v>6.3739174521644461E-4</c:v>
                </c:pt>
                <c:pt idx="31">
                  <c:v>6.4906877502168489E-4</c:v>
                </c:pt>
                <c:pt idx="32">
                  <c:v>6.5651547898200498E-4</c:v>
                </c:pt>
                <c:pt idx="33">
                  <c:v>6.566425407353001E-4</c:v>
                </c:pt>
                <c:pt idx="34">
                  <c:v>6.6083648673945282E-4</c:v>
                </c:pt>
                <c:pt idx="35">
                  <c:v>6.5637815262868779E-4</c:v>
                </c:pt>
                <c:pt idx="36">
                  <c:v>6.6246226006504453E-4</c:v>
                </c:pt>
                <c:pt idx="37">
                  <c:v>6.7678089236708494E-4</c:v>
                </c:pt>
                <c:pt idx="38">
                  <c:v>6.8810404199761029E-4</c:v>
                </c:pt>
                <c:pt idx="39">
                  <c:v>6.6958926365696481E-4</c:v>
                </c:pt>
                <c:pt idx="40">
                  <c:v>6.6822685995835654E-4</c:v>
                </c:pt>
                <c:pt idx="41">
                  <c:v>6.8620914771868593E-4</c:v>
                </c:pt>
                <c:pt idx="42">
                  <c:v>6.2624027367119272E-4</c:v>
                </c:pt>
                <c:pt idx="43">
                  <c:v>6.160391374258066E-4</c:v>
                </c:pt>
                <c:pt idx="44">
                  <c:v>6.1220786191121116E-4</c:v>
                </c:pt>
                <c:pt idx="45">
                  <c:v>6.1006012715420844E-4</c:v>
                </c:pt>
                <c:pt idx="46">
                  <c:v>6.128195062742027E-4</c:v>
                </c:pt>
                <c:pt idx="47">
                  <c:v>6.1307347948823547E-4</c:v>
                </c:pt>
                <c:pt idx="48">
                  <c:v>6.1287232579313269E-4</c:v>
                </c:pt>
                <c:pt idx="49">
                  <c:v>6.1747280352297839E-4</c:v>
                </c:pt>
                <c:pt idx="50">
                  <c:v>6.2546143247924567E-4</c:v>
                </c:pt>
                <c:pt idx="51">
                  <c:v>6.1697950758127565E-4</c:v>
                </c:pt>
                <c:pt idx="52">
                  <c:v>6.2283909390294925E-4</c:v>
                </c:pt>
                <c:pt idx="53">
                  <c:v>6.1791732508908266E-4</c:v>
                </c:pt>
                <c:pt idx="54">
                  <c:v>6.2030845269973661E-4</c:v>
                </c:pt>
                <c:pt idx="55">
                  <c:v>6.1619916233772779E-4</c:v>
                </c:pt>
                <c:pt idx="56">
                  <c:v>6.175531427706684E-4</c:v>
                </c:pt>
                <c:pt idx="57">
                  <c:v>6.1705590236780052E-4</c:v>
                </c:pt>
                <c:pt idx="58">
                  <c:v>6.1874442087522894E-4</c:v>
                </c:pt>
                <c:pt idx="59">
                  <c:v>6.1977049036257927E-4</c:v>
                </c:pt>
                <c:pt idx="60">
                  <c:v>6.1892586052641053E-4</c:v>
                </c:pt>
                <c:pt idx="61">
                  <c:v>6.1655870520274463E-4</c:v>
                </c:pt>
                <c:pt idx="62">
                  <c:v>6.1645040322418402E-4</c:v>
                </c:pt>
                <c:pt idx="63">
                  <c:v>6.2119807021293713E-4</c:v>
                </c:pt>
                <c:pt idx="64">
                  <c:v>6.2051816376924786E-4</c:v>
                </c:pt>
                <c:pt idx="65">
                  <c:v>6.2077500723832643E-4</c:v>
                </c:pt>
                <c:pt idx="66">
                  <c:v>6.2053792389279885E-4</c:v>
                </c:pt>
                <c:pt idx="67">
                  <c:v>6.2211119974368248E-4</c:v>
                </c:pt>
                <c:pt idx="68">
                  <c:v>6.2360595360112445E-4</c:v>
                </c:pt>
                <c:pt idx="69">
                  <c:v>6.2199850589117597E-4</c:v>
                </c:pt>
                <c:pt idx="70">
                  <c:v>6.2292639203932298E-4</c:v>
                </c:pt>
                <c:pt idx="71">
                  <c:v>6.2825967502008761E-4</c:v>
                </c:pt>
                <c:pt idx="72">
                  <c:v>6.2571758057555402E-4</c:v>
                </c:pt>
                <c:pt idx="73">
                  <c:v>6.2900532220922141E-4</c:v>
                </c:pt>
                <c:pt idx="74">
                  <c:v>6.3679339566541046E-4</c:v>
                </c:pt>
                <c:pt idx="75">
                  <c:v>6.3697733589436391E-4</c:v>
                </c:pt>
                <c:pt idx="76">
                  <c:v>6.364237030469786E-4</c:v>
                </c:pt>
                <c:pt idx="77">
                  <c:v>6.417778458900125E-4</c:v>
                </c:pt>
                <c:pt idx="78">
                  <c:v>6.4203168765748797E-4</c:v>
                </c:pt>
                <c:pt idx="79">
                  <c:v>6.468011045104499E-4</c:v>
                </c:pt>
                <c:pt idx="80">
                  <c:v>6.496731218625008E-4</c:v>
                </c:pt>
                <c:pt idx="81">
                  <c:v>6.504433403164533E-4</c:v>
                </c:pt>
                <c:pt idx="82">
                  <c:v>6.4692601170557773E-4</c:v>
                </c:pt>
                <c:pt idx="83">
                  <c:v>6.4454270718864988E-4</c:v>
                </c:pt>
                <c:pt idx="84">
                  <c:v>6.4484004738566639E-4</c:v>
                </c:pt>
                <c:pt idx="85">
                  <c:v>6.4356263960461599E-4</c:v>
                </c:pt>
                <c:pt idx="86">
                  <c:v>6.4314822697197178E-4</c:v>
                </c:pt>
                <c:pt idx="87">
                  <c:v>6.4202992094896728E-4</c:v>
                </c:pt>
                <c:pt idx="88">
                  <c:v>6.3931858268812599E-4</c:v>
                </c:pt>
                <c:pt idx="89">
                  <c:v>6.3730160911719999E-4</c:v>
                </c:pt>
                <c:pt idx="90">
                  <c:v>6.3982350488417817E-4</c:v>
                </c:pt>
                <c:pt idx="91">
                  <c:v>6.3843783644472636E-4</c:v>
                </c:pt>
                <c:pt idx="92">
                  <c:v>6.3897487878738742E-4</c:v>
                </c:pt>
                <c:pt idx="93">
                  <c:v>6.4872864065232481E-4</c:v>
                </c:pt>
                <c:pt idx="94">
                  <c:v>6.4475135794224523E-4</c:v>
                </c:pt>
                <c:pt idx="95">
                  <c:v>6.4443826797429466E-4</c:v>
                </c:pt>
                <c:pt idx="96">
                  <c:v>6.4558989865891488E-4</c:v>
                </c:pt>
                <c:pt idx="97">
                  <c:v>6.4168632451638873E-4</c:v>
                </c:pt>
                <c:pt idx="98">
                  <c:v>6.3911477616433797E-4</c:v>
                </c:pt>
                <c:pt idx="99">
                  <c:v>6.4408748743458217E-4</c:v>
                </c:pt>
                <c:pt idx="100">
                  <c:v>6.4157997223828671E-4</c:v>
                </c:pt>
                <c:pt idx="101">
                  <c:v>6.3982841799288634E-4</c:v>
                </c:pt>
                <c:pt idx="102">
                  <c:v>6.4080847313952374E-4</c:v>
                </c:pt>
                <c:pt idx="103">
                  <c:v>6.3992509470258015E-4</c:v>
                </c:pt>
                <c:pt idx="104">
                  <c:v>6.422706710496976E-4</c:v>
                </c:pt>
                <c:pt idx="105">
                  <c:v>6.4084390956527801E-4</c:v>
                </c:pt>
                <c:pt idx="106">
                  <c:v>6.4022810952049755E-4</c:v>
                </c:pt>
                <c:pt idx="107">
                  <c:v>6.4186531136160808E-4</c:v>
                </c:pt>
                <c:pt idx="108">
                  <c:v>6.3994270154907275E-4</c:v>
                </c:pt>
                <c:pt idx="109">
                  <c:v>6.3442231077816106E-4</c:v>
                </c:pt>
                <c:pt idx="110">
                  <c:v>6.3813657036729254E-4</c:v>
                </c:pt>
                <c:pt idx="111">
                  <c:v>6.4103993688515186E-4</c:v>
                </c:pt>
                <c:pt idx="112">
                  <c:v>6.4204149030285126E-4</c:v>
                </c:pt>
                <c:pt idx="113">
                  <c:v>6.4046055995019497E-4</c:v>
                </c:pt>
                <c:pt idx="114">
                  <c:v>6.3763090839247033E-4</c:v>
                </c:pt>
                <c:pt idx="115">
                  <c:v>6.3414533612990551E-4</c:v>
                </c:pt>
                <c:pt idx="116">
                  <c:v>6.3311791410682982E-4</c:v>
                </c:pt>
                <c:pt idx="117">
                  <c:v>6.3502731299752799E-4</c:v>
                </c:pt>
                <c:pt idx="118">
                  <c:v>6.3490184866421952E-4</c:v>
                </c:pt>
                <c:pt idx="119">
                  <c:v>6.2947372248659905E-4</c:v>
                </c:pt>
                <c:pt idx="120">
                  <c:v>6.2854400478501394E-4</c:v>
                </c:pt>
                <c:pt idx="121">
                  <c:v>6.2894100734158572E-4</c:v>
                </c:pt>
                <c:pt idx="122">
                  <c:v>6.3247841176226579E-4</c:v>
                </c:pt>
                <c:pt idx="123">
                  <c:v>6.3657579307194005E-4</c:v>
                </c:pt>
                <c:pt idx="124">
                  <c:v>6.3330572629999857E-4</c:v>
                </c:pt>
                <c:pt idx="125">
                  <c:v>6.306076587554375E-4</c:v>
                </c:pt>
                <c:pt idx="126">
                  <c:v>6.305348051088963E-4</c:v>
                </c:pt>
                <c:pt idx="127">
                  <c:v>6.2854175680423152E-4</c:v>
                </c:pt>
                <c:pt idx="128">
                  <c:v>6.2510968497648763E-4</c:v>
                </c:pt>
                <c:pt idx="129">
                  <c:v>6.2818198077348273E-4</c:v>
                </c:pt>
                <c:pt idx="130">
                  <c:v>6.3040398641594402E-4</c:v>
                </c:pt>
                <c:pt idx="131">
                  <c:v>6.3114833059547991E-4</c:v>
                </c:pt>
                <c:pt idx="132">
                  <c:v>6.3011580161212726E-4</c:v>
                </c:pt>
                <c:pt idx="133">
                  <c:v>6.3260500987223612E-4</c:v>
                </c:pt>
                <c:pt idx="134">
                  <c:v>6.3530578209890676E-4</c:v>
                </c:pt>
                <c:pt idx="135">
                  <c:v>6.3559024378910002E-4</c:v>
                </c:pt>
                <c:pt idx="136">
                  <c:v>6.3066415790206812E-4</c:v>
                </c:pt>
                <c:pt idx="137">
                  <c:v>6.291904989986001E-4</c:v>
                </c:pt>
                <c:pt idx="138">
                  <c:v>6.2936381251485235E-4</c:v>
                </c:pt>
                <c:pt idx="139">
                  <c:v>6.3050608771113563E-4</c:v>
                </c:pt>
                <c:pt idx="140">
                  <c:v>6.3285162684519958E-4</c:v>
                </c:pt>
                <c:pt idx="141">
                  <c:v>6.3388134560193009E-4</c:v>
                </c:pt>
                <c:pt idx="142">
                  <c:v>6.3165886669436407E-4</c:v>
                </c:pt>
                <c:pt idx="143">
                  <c:v>6.3789019807753279E-4</c:v>
                </c:pt>
                <c:pt idx="144">
                  <c:v>6.3907420863620423E-4</c:v>
                </c:pt>
                <c:pt idx="145">
                  <c:v>6.3553278739082925E-4</c:v>
                </c:pt>
                <c:pt idx="146">
                  <c:v>6.3666501251796476E-4</c:v>
                </c:pt>
                <c:pt idx="147">
                  <c:v>6.3103347184767457E-4</c:v>
                </c:pt>
                <c:pt idx="148">
                  <c:v>6.347617664447208E-4</c:v>
                </c:pt>
                <c:pt idx="149">
                  <c:v>6.2809813330601651E-4</c:v>
                </c:pt>
                <c:pt idx="150">
                  <c:v>6.2344257211051639E-4</c:v>
                </c:pt>
                <c:pt idx="151">
                  <c:v>6.2556033460691612E-4</c:v>
                </c:pt>
                <c:pt idx="152">
                  <c:v>6.2676955455324534E-4</c:v>
                </c:pt>
                <c:pt idx="153">
                  <c:v>6.2521069319421455E-4</c:v>
                </c:pt>
                <c:pt idx="154">
                  <c:v>6.2253535153066982E-4</c:v>
                </c:pt>
                <c:pt idx="155">
                  <c:v>6.2438813217142845E-4</c:v>
                </c:pt>
                <c:pt idx="156">
                  <c:v>6.2032444420645645E-4</c:v>
                </c:pt>
                <c:pt idx="157">
                  <c:v>6.2453661173525639E-4</c:v>
                </c:pt>
                <c:pt idx="158">
                  <c:v>6.2486965295004138E-4</c:v>
                </c:pt>
                <c:pt idx="159">
                  <c:v>6.2423122117310906E-4</c:v>
                </c:pt>
                <c:pt idx="160">
                  <c:v>6.2651429896322516E-4</c:v>
                </c:pt>
                <c:pt idx="161">
                  <c:v>6.2541773950279273E-4</c:v>
                </c:pt>
                <c:pt idx="162">
                  <c:v>6.2106838042049839E-4</c:v>
                </c:pt>
                <c:pt idx="163">
                  <c:v>6.2396868399935805E-4</c:v>
                </c:pt>
                <c:pt idx="164">
                  <c:v>6.2915491594467746E-4</c:v>
                </c:pt>
                <c:pt idx="165">
                  <c:v>6.3640072462829093E-4</c:v>
                </c:pt>
                <c:pt idx="166">
                  <c:v>6.3233478297206806E-4</c:v>
                </c:pt>
                <c:pt idx="167">
                  <c:v>6.3056775231679627E-4</c:v>
                </c:pt>
                <c:pt idx="168">
                  <c:v>6.2465964468626993E-4</c:v>
                </c:pt>
                <c:pt idx="169">
                  <c:v>6.2833281690235945E-4</c:v>
                </c:pt>
                <c:pt idx="170">
                  <c:v>6.3169425525556107E-4</c:v>
                </c:pt>
                <c:pt idx="171">
                  <c:v>6.3011161053564725E-4</c:v>
                </c:pt>
                <c:pt idx="172">
                  <c:v>6.2702987693980786E-4</c:v>
                </c:pt>
                <c:pt idx="173">
                  <c:v>6.3014621386799736E-4</c:v>
                </c:pt>
                <c:pt idx="174">
                  <c:v>6.2560744497326107E-4</c:v>
                </c:pt>
                <c:pt idx="175">
                  <c:v>6.2351455619092592E-4</c:v>
                </c:pt>
                <c:pt idx="176">
                  <c:v>6.2100957844077765E-4</c:v>
                </c:pt>
                <c:pt idx="177">
                  <c:v>6.1846949029757377E-4</c:v>
                </c:pt>
                <c:pt idx="178">
                  <c:v>6.1728480887245465E-4</c:v>
                </c:pt>
                <c:pt idx="179">
                  <c:v>6.1841514899910969E-4</c:v>
                </c:pt>
                <c:pt idx="180">
                  <c:v>6.2321566762877083E-4</c:v>
                </c:pt>
                <c:pt idx="181">
                  <c:v>6.1896036351166564E-4</c:v>
                </c:pt>
                <c:pt idx="182">
                  <c:v>6.1531540081797632E-4</c:v>
                </c:pt>
                <c:pt idx="183">
                  <c:v>6.1291339700693327E-4</c:v>
                </c:pt>
                <c:pt idx="184">
                  <c:v>6.1427621863823108E-4</c:v>
                </c:pt>
                <c:pt idx="185">
                  <c:v>6.1538118290666531E-4</c:v>
                </c:pt>
                <c:pt idx="186">
                  <c:v>6.2204594513368334E-4</c:v>
                </c:pt>
                <c:pt idx="187">
                  <c:v>6.1976686926461428E-4</c:v>
                </c:pt>
                <c:pt idx="188">
                  <c:v>6.2033000801128943E-4</c:v>
                </c:pt>
                <c:pt idx="189">
                  <c:v>6.1734645032158596E-4</c:v>
                </c:pt>
                <c:pt idx="190">
                  <c:v>6.1574529673336217E-4</c:v>
                </c:pt>
                <c:pt idx="191">
                  <c:v>6.139111251881105E-4</c:v>
                </c:pt>
                <c:pt idx="192">
                  <c:v>6.1475152658715775E-4</c:v>
                </c:pt>
                <c:pt idx="193">
                  <c:v>6.1685884726275667E-4</c:v>
                </c:pt>
                <c:pt idx="194">
                  <c:v>6.180362577055382E-4</c:v>
                </c:pt>
                <c:pt idx="195">
                  <c:v>6.1781670053198722E-4</c:v>
                </c:pt>
                <c:pt idx="196">
                  <c:v>6.2420182129783325E-4</c:v>
                </c:pt>
                <c:pt idx="197">
                  <c:v>6.2674922860705593E-4</c:v>
                </c:pt>
                <c:pt idx="198">
                  <c:v>6.2583072092797603E-4</c:v>
                </c:pt>
                <c:pt idx="199">
                  <c:v>6.2816414981328196E-4</c:v>
                </c:pt>
                <c:pt idx="200">
                  <c:v>6.2914169313473033E-4</c:v>
                </c:pt>
                <c:pt idx="201">
                  <c:v>6.284334049317501E-4</c:v>
                </c:pt>
                <c:pt idx="202">
                  <c:v>6.2876304896568617E-4</c:v>
                </c:pt>
                <c:pt idx="203">
                  <c:v>6.2689646360458077E-4</c:v>
                </c:pt>
                <c:pt idx="204">
                  <c:v>6.3131767865027123E-4</c:v>
                </c:pt>
                <c:pt idx="205">
                  <c:v>6.3662650395708174E-4</c:v>
                </c:pt>
                <c:pt idx="206">
                  <c:v>6.3147240280847061E-4</c:v>
                </c:pt>
                <c:pt idx="207">
                  <c:v>6.3075090883151343E-4</c:v>
                </c:pt>
                <c:pt idx="208">
                  <c:v>6.2968375725307201E-4</c:v>
                </c:pt>
                <c:pt idx="209">
                  <c:v>6.3085169723189492E-4</c:v>
                </c:pt>
                <c:pt idx="210">
                  <c:v>6.2929443234375397E-4</c:v>
                </c:pt>
                <c:pt idx="211">
                  <c:v>6.3303583951366811E-4</c:v>
                </c:pt>
                <c:pt idx="212">
                  <c:v>6.2764189740907464E-4</c:v>
                </c:pt>
                <c:pt idx="213">
                  <c:v>6.2506434111526412E-4</c:v>
                </c:pt>
                <c:pt idx="214">
                  <c:v>6.247586152046188E-4</c:v>
                </c:pt>
                <c:pt idx="215">
                  <c:v>6.2104896651223387E-4</c:v>
                </c:pt>
                <c:pt idx="216">
                  <c:v>6.1680998316560596E-4</c:v>
                </c:pt>
                <c:pt idx="217">
                  <c:v>6.2139306076729683E-4</c:v>
                </c:pt>
                <c:pt idx="218">
                  <c:v>6.2000378322079306E-4</c:v>
                </c:pt>
                <c:pt idx="219">
                  <c:v>6.1667662621287314E-4</c:v>
                </c:pt>
                <c:pt idx="220">
                  <c:v>6.1434386530252749E-4</c:v>
                </c:pt>
                <c:pt idx="221">
                  <c:v>6.2325838067204859E-4</c:v>
                </c:pt>
                <c:pt idx="222">
                  <c:v>6.1982473268603429E-4</c:v>
                </c:pt>
                <c:pt idx="223">
                  <c:v>6.2165846604928692E-4</c:v>
                </c:pt>
                <c:pt idx="224">
                  <c:v>6.2246497466348564E-4</c:v>
                </c:pt>
                <c:pt idx="225">
                  <c:v>6.2272087327538614E-4</c:v>
                </c:pt>
                <c:pt idx="226">
                  <c:v>6.2494531545064229E-4</c:v>
                </c:pt>
                <c:pt idx="227">
                  <c:v>6.2610841404288884E-4</c:v>
                </c:pt>
                <c:pt idx="228">
                  <c:v>6.2532517892924266E-4</c:v>
                </c:pt>
                <c:pt idx="229">
                  <c:v>6.2187659269099204E-4</c:v>
                </c:pt>
                <c:pt idx="230">
                  <c:v>6.2074244717865844E-4</c:v>
                </c:pt>
                <c:pt idx="231">
                  <c:v>6.2196561025891668E-4</c:v>
                </c:pt>
                <c:pt idx="232">
                  <c:v>6.2449605308880266E-4</c:v>
                </c:pt>
                <c:pt idx="233">
                  <c:v>6.2025481208814542E-4</c:v>
                </c:pt>
                <c:pt idx="234">
                  <c:v>6.1653202665855203E-4</c:v>
                </c:pt>
                <c:pt idx="235">
                  <c:v>6.2129434305699795E-4</c:v>
                </c:pt>
                <c:pt idx="236">
                  <c:v>6.2212647776631292E-4</c:v>
                </c:pt>
                <c:pt idx="237">
                  <c:v>6.2340376220655289E-4</c:v>
                </c:pt>
                <c:pt idx="238">
                  <c:v>6.2533335713765446E-4</c:v>
                </c:pt>
                <c:pt idx="239">
                  <c:v>6.248628207377369E-4</c:v>
                </c:pt>
                <c:pt idx="240">
                  <c:v>6.2493242121484645E-4</c:v>
                </c:pt>
                <c:pt idx="241">
                  <c:v>6.2776283455532374E-4</c:v>
                </c:pt>
                <c:pt idx="242">
                  <c:v>6.1805747352048875E-4</c:v>
                </c:pt>
                <c:pt idx="243">
                  <c:v>6.1533166147534444E-4</c:v>
                </c:pt>
                <c:pt idx="244">
                  <c:v>6.1826674656272323E-4</c:v>
                </c:pt>
                <c:pt idx="245">
                  <c:v>6.2476964319213774E-4</c:v>
                </c:pt>
                <c:pt idx="246">
                  <c:v>6.2733055602014675E-4</c:v>
                </c:pt>
                <c:pt idx="247">
                  <c:v>6.1811059316247471E-4</c:v>
                </c:pt>
                <c:pt idx="248">
                  <c:v>6.1606583067856343E-4</c:v>
                </c:pt>
                <c:pt idx="249">
                  <c:v>5.8990827113947545E-4</c:v>
                </c:pt>
                <c:pt idx="250">
                  <c:v>5.8753335249612192E-4</c:v>
                </c:pt>
                <c:pt idx="251">
                  <c:v>5.9647422984190662E-4</c:v>
                </c:pt>
                <c:pt idx="252">
                  <c:v>6.0014764457825783E-4</c:v>
                </c:pt>
                <c:pt idx="253">
                  <c:v>5.8826682846797938E-4</c:v>
                </c:pt>
                <c:pt idx="254">
                  <c:v>6.0635228065651506E-4</c:v>
                </c:pt>
                <c:pt idx="255">
                  <c:v>6.0043429427746487E-4</c:v>
                </c:pt>
                <c:pt idx="256">
                  <c:v>5.9834626976875164E-4</c:v>
                </c:pt>
                <c:pt idx="257">
                  <c:v>5.9694678053166426E-4</c:v>
                </c:pt>
                <c:pt idx="258">
                  <c:v>6.0898681517713559E-4</c:v>
                </c:pt>
                <c:pt idx="259">
                  <c:v>5.9976165776275548E-4</c:v>
                </c:pt>
                <c:pt idx="260">
                  <c:v>6.1058439211241497E-4</c:v>
                </c:pt>
                <c:pt idx="261">
                  <c:v>6.5779205835764536E-4</c:v>
                </c:pt>
                <c:pt idx="262">
                  <c:v>5.9727175990903145E-4</c:v>
                </c:pt>
                <c:pt idx="263">
                  <c:v>5.7711803183399361E-4</c:v>
                </c:pt>
                <c:pt idx="264">
                  <c:v>5.7712058777938016E-4</c:v>
                </c:pt>
                <c:pt idx="265">
                  <c:v>5.7556335654799216E-4</c:v>
                </c:pt>
                <c:pt idx="266">
                  <c:v>5.6997087020265087E-4</c:v>
                </c:pt>
                <c:pt idx="267">
                  <c:v>5.7909256839806897E-4</c:v>
                </c:pt>
                <c:pt idx="268">
                  <c:v>5.7170974020673033E-4</c:v>
                </c:pt>
                <c:pt idx="269">
                  <c:v>5.7972122719081938E-4</c:v>
                </c:pt>
                <c:pt idx="270">
                  <c:v>5.7404239863078754E-4</c:v>
                </c:pt>
                <c:pt idx="271">
                  <c:v>5.7445106746994773E-4</c:v>
                </c:pt>
                <c:pt idx="272">
                  <c:v>5.7333007073468031E-4</c:v>
                </c:pt>
                <c:pt idx="273">
                  <c:v>5.6999084810831083E-4</c:v>
                </c:pt>
                <c:pt idx="274">
                  <c:v>5.7160230409312388E-4</c:v>
                </c:pt>
                <c:pt idx="275">
                  <c:v>5.7556923445330394E-4</c:v>
                </c:pt>
                <c:pt idx="276">
                  <c:v>5.6954777191353656E-4</c:v>
                </c:pt>
                <c:pt idx="277">
                  <c:v>5.6208004445741145E-4</c:v>
                </c:pt>
                <c:pt idx="278">
                  <c:v>5.625049860480902E-4</c:v>
                </c:pt>
                <c:pt idx="279">
                  <c:v>5.6723746913247099E-4</c:v>
                </c:pt>
                <c:pt idx="280">
                  <c:v>5.6457768015582015E-4</c:v>
                </c:pt>
                <c:pt idx="281">
                  <c:v>5.7484027705736226E-4</c:v>
                </c:pt>
                <c:pt idx="282">
                  <c:v>5.8280978806407005E-4</c:v>
                </c:pt>
                <c:pt idx="283">
                  <c:v>5.7603644408020245E-4</c:v>
                </c:pt>
                <c:pt idx="284">
                  <c:v>5.9615471719033284E-4</c:v>
                </c:pt>
                <c:pt idx="285">
                  <c:v>5.7762904472768062E-4</c:v>
                </c:pt>
                <c:pt idx="286">
                  <c:v>5.8922809709225418E-4</c:v>
                </c:pt>
                <c:pt idx="287">
                  <c:v>5.7793248594211844E-4</c:v>
                </c:pt>
                <c:pt idx="288">
                  <c:v>5.7672701396701772E-4</c:v>
                </c:pt>
                <c:pt idx="289">
                  <c:v>5.6799084536248985E-4</c:v>
                </c:pt>
                <c:pt idx="290">
                  <c:v>5.6556709819110195E-4</c:v>
                </c:pt>
                <c:pt idx="291">
                  <c:v>5.6762250785094201E-4</c:v>
                </c:pt>
                <c:pt idx="292">
                  <c:v>5.707161317752825E-4</c:v>
                </c:pt>
                <c:pt idx="293">
                  <c:v>5.7116300318121405E-4</c:v>
                </c:pt>
                <c:pt idx="294">
                  <c:v>5.7721671763371967E-4</c:v>
                </c:pt>
                <c:pt idx="295">
                  <c:v>5.7086866750386445E-4</c:v>
                </c:pt>
                <c:pt idx="296">
                  <c:v>5.5700414269652305E-4</c:v>
                </c:pt>
                <c:pt idx="297">
                  <c:v>5.5337482662095889E-4</c:v>
                </c:pt>
                <c:pt idx="298">
                  <c:v>5.490997113430108E-4</c:v>
                </c:pt>
                <c:pt idx="299">
                  <c:v>5.4622667672986271E-4</c:v>
                </c:pt>
                <c:pt idx="300">
                  <c:v>5.5256066006066249E-4</c:v>
                </c:pt>
                <c:pt idx="301">
                  <c:v>5.4595005942551812E-4</c:v>
                </c:pt>
                <c:pt idx="302">
                  <c:v>5.4438566108887536E-4</c:v>
                </c:pt>
                <c:pt idx="303">
                  <c:v>5.4053472245121123E-4</c:v>
                </c:pt>
                <c:pt idx="304">
                  <c:v>5.4308001206164892E-4</c:v>
                </c:pt>
                <c:pt idx="305">
                  <c:v>5.394003679640286E-4</c:v>
                </c:pt>
                <c:pt idx="306">
                  <c:v>5.4081333609373142E-4</c:v>
                </c:pt>
                <c:pt idx="307">
                  <c:v>5.4007747815934548E-4</c:v>
                </c:pt>
                <c:pt idx="308">
                  <c:v>5.3676290201811101E-4</c:v>
                </c:pt>
                <c:pt idx="309">
                  <c:v>5.3336487815057671E-4</c:v>
                </c:pt>
                <c:pt idx="310">
                  <c:v>5.3653824028782147E-4</c:v>
                </c:pt>
                <c:pt idx="311">
                  <c:v>5.3571761030243815E-4</c:v>
                </c:pt>
                <c:pt idx="312">
                  <c:v>5.3898355107886954E-4</c:v>
                </c:pt>
                <c:pt idx="313">
                  <c:v>5.3793782375915274E-4</c:v>
                </c:pt>
                <c:pt idx="314">
                  <c:v>5.4263469360944306E-4</c:v>
                </c:pt>
                <c:pt idx="315">
                  <c:v>5.419535292453927E-4</c:v>
                </c:pt>
                <c:pt idx="316">
                  <c:v>5.4467463624415077E-4</c:v>
                </c:pt>
                <c:pt idx="317">
                  <c:v>5.4172618936375566E-4</c:v>
                </c:pt>
                <c:pt idx="318">
                  <c:v>5.3871160300349792E-4</c:v>
                </c:pt>
                <c:pt idx="319">
                  <c:v>5.4089524331114576E-4</c:v>
                </c:pt>
                <c:pt idx="320">
                  <c:v>5.4643464048099901E-4</c:v>
                </c:pt>
                <c:pt idx="321">
                  <c:v>5.4169462613027947E-4</c:v>
                </c:pt>
                <c:pt idx="322">
                  <c:v>5.4407137510336376E-4</c:v>
                </c:pt>
                <c:pt idx="323">
                  <c:v>5.4094580284881437E-4</c:v>
                </c:pt>
                <c:pt idx="324">
                  <c:v>5.3991994675456161E-4</c:v>
                </c:pt>
                <c:pt idx="325">
                  <c:v>5.4446183498552396E-4</c:v>
                </c:pt>
                <c:pt idx="326">
                  <c:v>5.4783823366585938E-4</c:v>
                </c:pt>
                <c:pt idx="327">
                  <c:v>5.3331625477538367E-4</c:v>
                </c:pt>
                <c:pt idx="328">
                  <c:v>5.2847170778001871E-4</c:v>
                </c:pt>
                <c:pt idx="329">
                  <c:v>5.2617144559941249E-4</c:v>
                </c:pt>
                <c:pt idx="330">
                  <c:v>5.2894282695508364E-4</c:v>
                </c:pt>
                <c:pt idx="331">
                  <c:v>5.3215156290391209E-4</c:v>
                </c:pt>
                <c:pt idx="332">
                  <c:v>5.347576874635819E-4</c:v>
                </c:pt>
                <c:pt idx="333">
                  <c:v>5.2662598523984573E-4</c:v>
                </c:pt>
                <c:pt idx="334">
                  <c:v>5.2158332217536673E-4</c:v>
                </c:pt>
                <c:pt idx="335">
                  <c:v>5.2463897202163637E-4</c:v>
                </c:pt>
                <c:pt idx="336">
                  <c:v>5.2683749792952796E-4</c:v>
                </c:pt>
                <c:pt idx="337">
                  <c:v>5.3477935215765925E-4</c:v>
                </c:pt>
                <c:pt idx="338">
                  <c:v>5.3844154514637885E-4</c:v>
                </c:pt>
                <c:pt idx="339">
                  <c:v>5.4090793394895591E-4</c:v>
                </c:pt>
                <c:pt idx="340">
                  <c:v>5.312239839790065E-4</c:v>
                </c:pt>
                <c:pt idx="341">
                  <c:v>5.3069766744034453E-4</c:v>
                </c:pt>
                <c:pt idx="342">
                  <c:v>5.3740526328433511E-4</c:v>
                </c:pt>
                <c:pt idx="343">
                  <c:v>5.2970711529585102E-4</c:v>
                </c:pt>
                <c:pt idx="344">
                  <c:v>5.308836326302107E-4</c:v>
                </c:pt>
                <c:pt idx="345">
                  <c:v>5.2124411943517044E-4</c:v>
                </c:pt>
                <c:pt idx="346">
                  <c:v>5.1663684773810867E-4</c:v>
                </c:pt>
                <c:pt idx="347">
                  <c:v>5.2192735247937787E-4</c:v>
                </c:pt>
                <c:pt idx="348">
                  <c:v>5.3285808955529665E-4</c:v>
                </c:pt>
                <c:pt idx="349">
                  <c:v>5.2504418240023045E-4</c:v>
                </c:pt>
                <c:pt idx="350">
                  <c:v>5.3596952428046406E-4</c:v>
                </c:pt>
                <c:pt idx="351">
                  <c:v>5.0499800757354096E-4</c:v>
                </c:pt>
                <c:pt idx="352">
                  <c:v>5.0186712182801688E-4</c:v>
                </c:pt>
                <c:pt idx="353">
                  <c:v>4.8457291994783808E-4</c:v>
                </c:pt>
                <c:pt idx="354">
                  <c:v>4.8044981961455736E-4</c:v>
                </c:pt>
                <c:pt idx="355">
                  <c:v>4.7856705392875122E-4</c:v>
                </c:pt>
                <c:pt idx="356">
                  <c:v>4.8217776689767934E-4</c:v>
                </c:pt>
                <c:pt idx="357">
                  <c:v>4.7908094812603602E-4</c:v>
                </c:pt>
                <c:pt idx="358">
                  <c:v>4.9002355098059689E-4</c:v>
                </c:pt>
                <c:pt idx="359">
                  <c:v>4.794277406302211E-4</c:v>
                </c:pt>
                <c:pt idx="360">
                  <c:v>4.779310286153157E-4</c:v>
                </c:pt>
                <c:pt idx="361">
                  <c:v>4.6943610601344959E-4</c:v>
                </c:pt>
                <c:pt idx="362">
                  <c:v>4.7955550482820924E-4</c:v>
                </c:pt>
                <c:pt idx="363">
                  <c:v>4.7402757663493871E-4</c:v>
                </c:pt>
                <c:pt idx="364">
                  <c:v>4.759018591663484E-4</c:v>
                </c:pt>
                <c:pt idx="365">
                  <c:v>4.7219083416485193E-4</c:v>
                </c:pt>
                <c:pt idx="366">
                  <c:v>4.8042412272867794E-4</c:v>
                </c:pt>
                <c:pt idx="367">
                  <c:v>4.7080134709191122E-4</c:v>
                </c:pt>
                <c:pt idx="368">
                  <c:v>4.8478413390902199E-4</c:v>
                </c:pt>
                <c:pt idx="369">
                  <c:v>4.7925941494435871E-4</c:v>
                </c:pt>
                <c:pt idx="370">
                  <c:v>4.8027990791733969E-4</c:v>
                </c:pt>
                <c:pt idx="371">
                  <c:v>4.6901819524220107E-4</c:v>
                </c:pt>
                <c:pt idx="372">
                  <c:v>4.8286864019521348E-4</c:v>
                </c:pt>
                <c:pt idx="373">
                  <c:v>4.766573934839535E-4</c:v>
                </c:pt>
                <c:pt idx="374">
                  <c:v>4.9301353430265891E-4</c:v>
                </c:pt>
                <c:pt idx="375">
                  <c:v>4.8551631201439492E-4</c:v>
                </c:pt>
                <c:pt idx="376">
                  <c:v>4.8608814530194433E-4</c:v>
                </c:pt>
                <c:pt idx="377">
                  <c:v>4.7023744873156951E-4</c:v>
                </c:pt>
                <c:pt idx="378">
                  <c:v>4.7881814582993786E-4</c:v>
                </c:pt>
                <c:pt idx="379">
                  <c:v>4.7558240951227246E-4</c:v>
                </c:pt>
                <c:pt idx="380">
                  <c:v>4.4402533745002644E-4</c:v>
                </c:pt>
                <c:pt idx="381">
                  <c:v>4.5200216975665113E-4</c:v>
                </c:pt>
                <c:pt idx="382">
                  <c:v>4.4590813972825811E-4</c:v>
                </c:pt>
                <c:pt idx="383">
                  <c:v>4.5224532571880787E-4</c:v>
                </c:pt>
                <c:pt idx="384">
                  <c:v>4.6718103199045065E-4</c:v>
                </c:pt>
                <c:pt idx="385">
                  <c:v>4.2942497440282262E-4</c:v>
                </c:pt>
                <c:pt idx="386">
                  <c:v>3.9666488239697154E-4</c:v>
                </c:pt>
                <c:pt idx="387">
                  <c:v>3.8770719868153958E-4</c:v>
                </c:pt>
                <c:pt idx="388">
                  <c:v>3.8432187506698005E-4</c:v>
                </c:pt>
                <c:pt idx="389">
                  <c:v>3.9909815624247346E-4</c:v>
                </c:pt>
                <c:pt idx="390">
                  <c:v>3.8047237694045186E-4</c:v>
                </c:pt>
                <c:pt idx="391">
                  <c:v>3.8849886246723341E-4</c:v>
                </c:pt>
                <c:pt idx="392">
                  <c:v>3.955062567903236E-4</c:v>
                </c:pt>
                <c:pt idx="393">
                  <c:v>3.9080548090652671E-4</c:v>
                </c:pt>
                <c:pt idx="394">
                  <c:v>3.9552736172593914E-4</c:v>
                </c:pt>
                <c:pt idx="395">
                  <c:v>3.9469643093254864E-4</c:v>
                </c:pt>
                <c:pt idx="396">
                  <c:v>4.0676845744474518E-4</c:v>
                </c:pt>
                <c:pt idx="397">
                  <c:v>4.1418214538870279E-4</c:v>
                </c:pt>
                <c:pt idx="398">
                  <c:v>4.1928227874107573E-4</c:v>
                </c:pt>
                <c:pt idx="399">
                  <c:v>4.2322230754414565E-4</c:v>
                </c:pt>
                <c:pt idx="400">
                  <c:v>3.8914635642968675E-4</c:v>
                </c:pt>
                <c:pt idx="401">
                  <c:v>4.0243360385632622E-4</c:v>
                </c:pt>
                <c:pt idx="402">
                  <c:v>3.91644358102806E-4</c:v>
                </c:pt>
                <c:pt idx="403">
                  <c:v>4.0117154998177982E-4</c:v>
                </c:pt>
                <c:pt idx="404">
                  <c:v>4.0494983630403301E-4</c:v>
                </c:pt>
                <c:pt idx="405">
                  <c:v>4.1306398346837046E-4</c:v>
                </c:pt>
                <c:pt idx="406">
                  <c:v>4.0341801515943047E-4</c:v>
                </c:pt>
                <c:pt idx="407">
                  <c:v>4.1250243850305806E-4</c:v>
                </c:pt>
                <c:pt idx="408">
                  <c:v>3.9780342779794416E-4</c:v>
                </c:pt>
                <c:pt idx="409">
                  <c:v>4.0580087437573577E-4</c:v>
                </c:pt>
                <c:pt idx="410">
                  <c:v>4.030997974383697E-4</c:v>
                </c:pt>
                <c:pt idx="411">
                  <c:v>4.0285817178624877E-4</c:v>
                </c:pt>
                <c:pt idx="412">
                  <c:v>3.9130247166698807E-4</c:v>
                </c:pt>
                <c:pt idx="413">
                  <c:v>3.8573141307361004E-4</c:v>
                </c:pt>
                <c:pt idx="414">
                  <c:v>4.0003792690344701E-4</c:v>
                </c:pt>
                <c:pt idx="415">
                  <c:v>3.8787162439229386E-4</c:v>
                </c:pt>
                <c:pt idx="416">
                  <c:v>4.0374110046669583E-4</c:v>
                </c:pt>
                <c:pt idx="417">
                  <c:v>4.070725015938284E-4</c:v>
                </c:pt>
                <c:pt idx="418">
                  <c:v>4.0524928337357769E-4</c:v>
                </c:pt>
                <c:pt idx="419">
                  <c:v>3.8692534620371461E-4</c:v>
                </c:pt>
                <c:pt idx="420">
                  <c:v>4.1146245905258422E-4</c:v>
                </c:pt>
                <c:pt idx="421">
                  <c:v>4.1635796504304375E-4</c:v>
                </c:pt>
                <c:pt idx="422">
                  <c:v>3.8420620670045975E-4</c:v>
                </c:pt>
                <c:pt idx="423">
                  <c:v>3.9456632711205446E-4</c:v>
                </c:pt>
                <c:pt idx="424">
                  <c:v>3.732966692758393E-4</c:v>
                </c:pt>
                <c:pt idx="425">
                  <c:v>3.5894085873097931E-4</c:v>
                </c:pt>
                <c:pt idx="426">
                  <c:v>3.6227514039408152E-4</c:v>
                </c:pt>
                <c:pt idx="427">
                  <c:v>3.7692338580428184E-4</c:v>
                </c:pt>
                <c:pt idx="428">
                  <c:v>2.999225960154566E-4</c:v>
                </c:pt>
                <c:pt idx="429">
                  <c:v>3.1695520636635879E-4</c:v>
                </c:pt>
                <c:pt idx="430">
                  <c:v>3.1891316720091402E-4</c:v>
                </c:pt>
                <c:pt idx="431">
                  <c:v>3.0122325129193289E-4</c:v>
                </c:pt>
                <c:pt idx="432">
                  <c:v>2.9723566284978051E-4</c:v>
                </c:pt>
                <c:pt idx="433">
                  <c:v>3.27980775398188E-4</c:v>
                </c:pt>
                <c:pt idx="434">
                  <c:v>3.714045651521391E-4</c:v>
                </c:pt>
                <c:pt idx="435">
                  <c:v>3.3914000775802229E-4</c:v>
                </c:pt>
                <c:pt idx="436">
                  <c:v>2.5637567330644585E-4</c:v>
                </c:pt>
                <c:pt idx="437">
                  <c:v>2.0034751294096192E-4</c:v>
                </c:pt>
                <c:pt idx="438">
                  <c:v>1.7269345818632655E-4</c:v>
                </c:pt>
                <c:pt idx="439">
                  <c:v>1.6616715130895519E-4</c:v>
                </c:pt>
                <c:pt idx="440">
                  <c:v>1.5480580077563096E-4</c:v>
                </c:pt>
                <c:pt idx="441">
                  <c:v>1.0978963357243585E-4</c:v>
                </c:pt>
                <c:pt idx="442">
                  <c:v>1.4305939557781688E-4</c:v>
                </c:pt>
                <c:pt idx="443">
                  <c:v>1.7830500634093314E-4</c:v>
                </c:pt>
                <c:pt idx="444">
                  <c:v>1.0342390816101627E-4</c:v>
                </c:pt>
                <c:pt idx="445">
                  <c:v>8.65850481401162E-5</c:v>
                </c:pt>
                <c:pt idx="446">
                  <c:v>5.9115661463869164E-5</c:v>
                </c:pt>
                <c:pt idx="447">
                  <c:v>8.7830884739280554E-5</c:v>
                </c:pt>
                <c:pt idx="448">
                  <c:v>2.2091707560795158E-6</c:v>
                </c:pt>
                <c:pt idx="449">
                  <c:v>1.8285550888812054E-5</c:v>
                </c:pt>
                <c:pt idx="450">
                  <c:v>5.1825533295656197E-5</c:v>
                </c:pt>
                <c:pt idx="451">
                  <c:v>7.8141591150922751E-5</c:v>
                </c:pt>
                <c:pt idx="452">
                  <c:v>9.9580513773757918E-5</c:v>
                </c:pt>
                <c:pt idx="453">
                  <c:v>9.278932716800907E-5</c:v>
                </c:pt>
                <c:pt idx="454">
                  <c:v>1.0654714829751885E-4</c:v>
                </c:pt>
                <c:pt idx="455">
                  <c:v>9.4720523430773484E-5</c:v>
                </c:pt>
                <c:pt idx="456">
                  <c:v>1.2368291670432051E-4</c:v>
                </c:pt>
                <c:pt idx="457">
                  <c:v>1.3046481160610546E-4</c:v>
                </c:pt>
                <c:pt idx="458">
                  <c:v>1.4317206687025828E-4</c:v>
                </c:pt>
                <c:pt idx="459">
                  <c:v>1.5149414032780345E-4</c:v>
                </c:pt>
                <c:pt idx="460">
                  <c:v>1.5902764077164343E-4</c:v>
                </c:pt>
                <c:pt idx="461">
                  <c:v>1.6420519110814307E-4</c:v>
                </c:pt>
                <c:pt idx="462">
                  <c:v>1.3800694283368133E-4</c:v>
                </c:pt>
                <c:pt idx="463">
                  <c:v>1.3916751347122457E-4</c:v>
                </c:pt>
                <c:pt idx="464">
                  <c:v>1.5912412890901946E-4</c:v>
                </c:pt>
                <c:pt idx="465">
                  <c:v>1.7341830058708677E-4</c:v>
                </c:pt>
                <c:pt idx="466">
                  <c:v>1.9655684246708681E-4</c:v>
                </c:pt>
                <c:pt idx="467">
                  <c:v>1.7929290189657379E-4</c:v>
                </c:pt>
                <c:pt idx="468">
                  <c:v>1.6833853489632396E-4</c:v>
                </c:pt>
                <c:pt idx="469">
                  <c:v>1.8694094868898744E-4</c:v>
                </c:pt>
                <c:pt idx="470">
                  <c:v>1.9426459339487177E-4</c:v>
                </c:pt>
                <c:pt idx="471">
                  <c:v>2.0278202471521125E-4</c:v>
                </c:pt>
                <c:pt idx="472">
                  <c:v>2.1353358851923686E-4</c:v>
                </c:pt>
                <c:pt idx="473">
                  <c:v>2.1562746818633893E-4</c:v>
                </c:pt>
                <c:pt idx="474">
                  <c:v>1.9941132278339434E-4</c:v>
                </c:pt>
                <c:pt idx="475">
                  <c:v>2.3162443345977097E-4</c:v>
                </c:pt>
                <c:pt idx="476">
                  <c:v>2.190819811573543E-4</c:v>
                </c:pt>
                <c:pt idx="477">
                  <c:v>1.4579967943703228E-4</c:v>
                </c:pt>
                <c:pt idx="478">
                  <c:v>1.5745575146938284E-4</c:v>
                </c:pt>
                <c:pt idx="479">
                  <c:v>1.7829311640019471E-4</c:v>
                </c:pt>
                <c:pt idx="480">
                  <c:v>1.7470352277814712E-4</c:v>
                </c:pt>
                <c:pt idx="481">
                  <c:v>1.5194729893076896E-4</c:v>
                </c:pt>
                <c:pt idx="482">
                  <c:v>1.6868968483290533E-4</c:v>
                </c:pt>
                <c:pt idx="483">
                  <c:v>1.6931338270467398E-4</c:v>
                </c:pt>
                <c:pt idx="484">
                  <c:v>1.8203036541135798E-4</c:v>
                </c:pt>
                <c:pt idx="485">
                  <c:v>1.7573220365389461E-4</c:v>
                </c:pt>
                <c:pt idx="486">
                  <c:v>1.9176192575067919E-4</c:v>
                </c:pt>
                <c:pt idx="487">
                  <c:v>2.0153985561092113E-4</c:v>
                </c:pt>
                <c:pt idx="488">
                  <c:v>2.075854993965132E-4</c:v>
                </c:pt>
                <c:pt idx="489">
                  <c:v>1.8424968879625291E-4</c:v>
                </c:pt>
                <c:pt idx="490">
                  <c:v>1.7313340744134809E-4</c:v>
                </c:pt>
                <c:pt idx="491">
                  <c:v>1.5173128211663743E-4</c:v>
                </c:pt>
                <c:pt idx="492">
                  <c:v>1.7223002403643714E-4</c:v>
                </c:pt>
                <c:pt idx="493">
                  <c:v>1.7039201633856776E-4</c:v>
                </c:pt>
                <c:pt idx="494">
                  <c:v>1.8039802791790783E-4</c:v>
                </c:pt>
                <c:pt idx="495">
                  <c:v>1.8403339820014571E-4</c:v>
                </c:pt>
                <c:pt idx="496">
                  <c:v>1.8130499394887126E-4</c:v>
                </c:pt>
                <c:pt idx="497">
                  <c:v>1.8056613651440948E-4</c:v>
                </c:pt>
                <c:pt idx="498">
                  <c:v>1.7990936505250078E-4</c:v>
                </c:pt>
                <c:pt idx="499">
                  <c:v>1.718053649901406E-4</c:v>
                </c:pt>
                <c:pt idx="500">
                  <c:v>1.9186304632463742E-4</c:v>
                </c:pt>
                <c:pt idx="501">
                  <c:v>1.8300765076655735E-4</c:v>
                </c:pt>
                <c:pt idx="502">
                  <c:v>1.8818573000985118E-4</c:v>
                </c:pt>
                <c:pt idx="503">
                  <c:v>1.6412963005638331E-4</c:v>
                </c:pt>
                <c:pt idx="504">
                  <c:v>1.4411749270853698E-4</c:v>
                </c:pt>
                <c:pt idx="505">
                  <c:v>1.1934478179746046E-4</c:v>
                </c:pt>
                <c:pt idx="506">
                  <c:v>1.0625194056461692E-4</c:v>
                </c:pt>
                <c:pt idx="507">
                  <c:v>1.0455653842169597E-4</c:v>
                </c:pt>
                <c:pt idx="508">
                  <c:v>1.0228574770012682E-4</c:v>
                </c:pt>
                <c:pt idx="509">
                  <c:v>9.1983319524997149E-5</c:v>
                </c:pt>
                <c:pt idx="510">
                  <c:v>9.9996983597183962E-5</c:v>
                </c:pt>
                <c:pt idx="511">
                  <c:v>9.9540756182777635E-5</c:v>
                </c:pt>
                <c:pt idx="512">
                  <c:v>1.0801981777051905E-4</c:v>
                </c:pt>
                <c:pt idx="513">
                  <c:v>8.1562209171801004E-5</c:v>
                </c:pt>
                <c:pt idx="514">
                  <c:v>1.0745988206815866E-4</c:v>
                </c:pt>
                <c:pt idx="515">
                  <c:v>1.0577377541429902E-4</c:v>
                </c:pt>
                <c:pt idx="516">
                  <c:v>1.2271174856396213E-4</c:v>
                </c:pt>
                <c:pt idx="517">
                  <c:v>7.5230422576967447E-5</c:v>
                </c:pt>
                <c:pt idx="518">
                  <c:v>5.7279648474847772E-5</c:v>
                </c:pt>
                <c:pt idx="519">
                  <c:v>6.2579956358041071E-5</c:v>
                </c:pt>
                <c:pt idx="520">
                  <c:v>5.7372113977344644E-5</c:v>
                </c:pt>
                <c:pt idx="521">
                  <c:v>5.9189658007686612E-5</c:v>
                </c:pt>
                <c:pt idx="522">
                  <c:v>5.1735076330395114E-5</c:v>
                </c:pt>
                <c:pt idx="523">
                  <c:v>5.5175966509128061E-5</c:v>
                </c:pt>
                <c:pt idx="524">
                  <c:v>4.5244269399100903E-5</c:v>
                </c:pt>
                <c:pt idx="525">
                  <c:v>6.2904726157212953E-5</c:v>
                </c:pt>
                <c:pt idx="526">
                  <c:v>4.3327465099423337E-5</c:v>
                </c:pt>
                <c:pt idx="527">
                  <c:v>2.3656949707350456E-5</c:v>
                </c:pt>
                <c:pt idx="528">
                  <c:v>4.0480329689385335E-5</c:v>
                </c:pt>
                <c:pt idx="529">
                  <c:v>2.5947580083424238E-5</c:v>
                </c:pt>
                <c:pt idx="530">
                  <c:v>1.5979049085090637E-5</c:v>
                </c:pt>
                <c:pt idx="531">
                  <c:v>7.7545850503140697E-6</c:v>
                </c:pt>
                <c:pt idx="532">
                  <c:v>7.7474615786178014E-6</c:v>
                </c:pt>
                <c:pt idx="533">
                  <c:v>3.0637834792111536E-8</c:v>
                </c:pt>
                <c:pt idx="534">
                  <c:v>-1.1739872131768992E-6</c:v>
                </c:pt>
                <c:pt idx="535">
                  <c:v>1.7730472209621987E-6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F-4312-B5ED-EAC1063D4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6760127"/>
        <c:axId val="1596755135"/>
      </c:lineChart>
      <c:dateAx>
        <c:axId val="15967601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55135"/>
        <c:crosses val="autoZero"/>
        <c:auto val="1"/>
        <c:lblOffset val="100"/>
        <c:baseTimeUnit val="days"/>
      </c:dateAx>
      <c:valAx>
        <c:axId val="159675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60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1D8E1B9-2511-40E7-8E8A-1D7987F390E6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DBBE0E-A8D7-452C-9225-D8E38C592E0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95000</v>
      </c>
      <c r="D2" s="4">
        <f>MIN(D3:D1912)</f>
        <v>3000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24195.61</v>
      </c>
      <c r="C5">
        <v>24748.52</v>
      </c>
      <c r="D5">
        <v>23907.94</v>
      </c>
      <c r="E5">
        <v>23930.080000000002</v>
      </c>
      <c r="F5">
        <v>71.102090000000004</v>
      </c>
      <c r="G5">
        <v>23930.080000000002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-0.94732208713030763</v>
      </c>
      <c r="Q5">
        <f t="shared" ref="Q5" si="1">F5*P5</f>
        <v>-67.356580298126985</v>
      </c>
      <c r="R5">
        <f t="shared" ref="R5" si="2">R6+Q5</f>
        <v>66128.260444616011</v>
      </c>
      <c r="S5">
        <f t="shared" ref="S5" si="3">R5/100000</f>
        <v>0.66128260444616016</v>
      </c>
      <c r="T5">
        <f t="shared" ref="T5" si="4">S5/1000</f>
        <v>6.6128260444616013E-4</v>
      </c>
    </row>
    <row r="6" spans="1:20" x14ac:dyDescent="0.25">
      <c r="A6" s="5">
        <v>44587</v>
      </c>
      <c r="B6">
        <v>24493.15</v>
      </c>
      <c r="C6">
        <v>26230</v>
      </c>
      <c r="D6">
        <v>23453.58</v>
      </c>
      <c r="E6">
        <v>24175.23</v>
      </c>
      <c r="F6">
        <v>810.96708000000001</v>
      </c>
      <c r="G6">
        <v>24175.23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-0.48015790118209906</v>
      </c>
      <c r="Q6">
        <f t="shared" ref="Q6" si="6">F6*P6</f>
        <v>-389.3922510605754</v>
      </c>
      <c r="R6">
        <f t="shared" ref="R6" si="7">R7+Q6</f>
        <v>66195.617024914143</v>
      </c>
      <c r="S6">
        <f t="shared" ref="S6" si="8">R6/100000</f>
        <v>0.66195617024914144</v>
      </c>
      <c r="T6">
        <f t="shared" ref="T6" si="9">S6/1000</f>
        <v>6.6195617024914139E-4</v>
      </c>
    </row>
    <row r="7" spans="1:20" x14ac:dyDescent="0.25">
      <c r="A7" s="5">
        <v>44586</v>
      </c>
      <c r="B7">
        <v>23951.8</v>
      </c>
      <c r="C7">
        <v>24950</v>
      </c>
      <c r="D7">
        <v>23362.66</v>
      </c>
      <c r="E7">
        <v>24455.43</v>
      </c>
      <c r="F7">
        <v>694.06386999999995</v>
      </c>
      <c r="G7">
        <v>24455.43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0.37685688006350287</v>
      </c>
      <c r="Q7">
        <f t="shared" ref="Q7" si="11">F7*P7</f>
        <v>261.56274461300063</v>
      </c>
      <c r="R7">
        <f t="shared" ref="R7" si="12">R8+Q7</f>
        <v>66585.00927597472</v>
      </c>
      <c r="S7">
        <f t="shared" ref="S7" si="13">R7/100000</f>
        <v>0.66585009275974716</v>
      </c>
      <c r="T7">
        <f t="shared" ref="T7" si="14">S7/1000</f>
        <v>6.6585009275974721E-4</v>
      </c>
    </row>
    <row r="8" spans="1:20" x14ac:dyDescent="0.25">
      <c r="A8" s="5">
        <v>44585</v>
      </c>
      <c r="B8">
        <v>25105.43</v>
      </c>
      <c r="C8">
        <v>25136.79</v>
      </c>
      <c r="D8">
        <v>21375.17</v>
      </c>
      <c r="E8">
        <v>23955.08</v>
      </c>
      <c r="F8">
        <v>1040.7127399999999</v>
      </c>
      <c r="G8">
        <v>23955.08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0.37170155411764172</v>
      </c>
      <c r="Q8">
        <f t="shared" ref="Q8" si="16">F8*P8</f>
        <v>386.83454284802917</v>
      </c>
      <c r="R8">
        <f t="shared" ref="R8" si="17">R9+Q8</f>
        <v>66323.446531361726</v>
      </c>
      <c r="S8">
        <f t="shared" ref="S8" si="18">R8/100000</f>
        <v>0.66323446531361729</v>
      </c>
      <c r="T8">
        <f t="shared" ref="T8" si="19">S8/1000</f>
        <v>6.6323446531361724E-4</v>
      </c>
    </row>
    <row r="9" spans="1:20" x14ac:dyDescent="0.25">
      <c r="A9" s="5">
        <v>44584</v>
      </c>
      <c r="B9">
        <v>22896.65</v>
      </c>
      <c r="C9">
        <v>25158.3</v>
      </c>
      <c r="D9">
        <v>22682.47</v>
      </c>
      <c r="E9">
        <v>25090.13</v>
      </c>
      <c r="F9">
        <v>867.36955</v>
      </c>
      <c r="G9">
        <v>25090.13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0.94493159869619614</v>
      </c>
      <c r="Q9">
        <f t="shared" ref="Q9" si="21">F9*P9</f>
        <v>819.60489554190019</v>
      </c>
      <c r="R9">
        <f t="shared" ref="R9" si="22">R10+Q9</f>
        <v>65936.611988513701</v>
      </c>
      <c r="S9">
        <f t="shared" ref="S9" si="23">R9/100000</f>
        <v>0.65936611988513705</v>
      </c>
      <c r="T9">
        <f t="shared" ref="T9" si="24">S9/1000</f>
        <v>6.5936611988513707E-4</v>
      </c>
    </row>
    <row r="10" spans="1:20" x14ac:dyDescent="0.25">
      <c r="A10" s="5">
        <v>44583</v>
      </c>
      <c r="B10">
        <v>25737.15</v>
      </c>
      <c r="C10">
        <v>26705</v>
      </c>
      <c r="D10">
        <v>20200.490000000002</v>
      </c>
      <c r="E10">
        <v>22884.3</v>
      </c>
      <c r="F10">
        <v>1944.4242099999999</v>
      </c>
      <c r="G10">
        <v>22884.3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-0.17478488002939549</v>
      </c>
      <c r="Q10">
        <f t="shared" ref="Q10" si="26">F10*P10</f>
        <v>-339.85595227110207</v>
      </c>
      <c r="R10">
        <f t="shared" ref="R10" si="27">R11+Q10</f>
        <v>65117.007092971806</v>
      </c>
      <c r="S10">
        <f t="shared" ref="S10" si="28">R10/100000</f>
        <v>0.65117007092971801</v>
      </c>
      <c r="T10">
        <f t="shared" ref="T10" si="29">S10/1000</f>
        <v>6.5117007092971801E-4</v>
      </c>
    </row>
    <row r="11" spans="1:20" x14ac:dyDescent="0.25">
      <c r="A11" s="5">
        <v>44582</v>
      </c>
      <c r="B11">
        <v>31394.83</v>
      </c>
      <c r="C11">
        <v>31414.02</v>
      </c>
      <c r="D11">
        <v>25100</v>
      </c>
      <c r="E11">
        <v>25746.560000000001</v>
      </c>
      <c r="F11">
        <v>1103.44913</v>
      </c>
      <c r="G11">
        <v>25746.560000000001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-0.79519862148045106</v>
      </c>
      <c r="Q11">
        <f t="shared" ref="Q11" si="31">F11*P11</f>
        <v>-877.46122704980303</v>
      </c>
      <c r="R11">
        <f t="shared" ref="R11" si="32">R12+Q11</f>
        <v>65456.863045242906</v>
      </c>
      <c r="S11">
        <f t="shared" ref="S11" si="33">R11/100000</f>
        <v>0.65456863045242908</v>
      </c>
      <c r="T11">
        <f t="shared" ref="T11" si="34">S11/1000</f>
        <v>6.545686304524291E-4</v>
      </c>
    </row>
    <row r="12" spans="1:20" x14ac:dyDescent="0.25">
      <c r="A12" s="5">
        <v>44581</v>
      </c>
      <c r="B12">
        <v>32154.71</v>
      </c>
      <c r="C12">
        <v>34392.639999999999</v>
      </c>
      <c r="D12">
        <v>31259.66</v>
      </c>
      <c r="E12">
        <v>31436.9</v>
      </c>
      <c r="F12">
        <v>1153.6833899999999</v>
      </c>
      <c r="G12">
        <v>31436.9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-0.88685532623891528</v>
      </c>
      <c r="Q12">
        <f t="shared" ref="Q12" si="36">F12*P12</f>
        <v>-1023.1502592148677</v>
      </c>
      <c r="R12">
        <f t="shared" ref="R12" si="37">R13+Q12</f>
        <v>66334.32427229271</v>
      </c>
      <c r="S12">
        <f t="shared" ref="S12" si="38">R12/100000</f>
        <v>0.66334324272292711</v>
      </c>
      <c r="T12">
        <f t="shared" ref="T12" si="39">S12/1000</f>
        <v>6.6334324272292709E-4</v>
      </c>
    </row>
    <row r="13" spans="1:20" x14ac:dyDescent="0.25">
      <c r="A13" s="5">
        <v>44580</v>
      </c>
      <c r="B13">
        <v>32572.74</v>
      </c>
      <c r="C13">
        <v>33515.69</v>
      </c>
      <c r="D13">
        <v>31200</v>
      </c>
      <c r="E13">
        <v>32148.67</v>
      </c>
      <c r="F13">
        <v>941.22748999999999</v>
      </c>
      <c r="G13">
        <v>32148.67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-0.18065889648441949</v>
      </c>
      <c r="Q13">
        <f t="shared" ref="Q13" si="41">F13*P13</f>
        <v>-170.04111968419997</v>
      </c>
      <c r="R13">
        <f t="shared" ref="R13" si="42">R14+Q13</f>
        <v>67357.474531507571</v>
      </c>
      <c r="S13">
        <f t="shared" ref="S13" si="43">R13/100000</f>
        <v>0.67357474531507566</v>
      </c>
      <c r="T13">
        <f t="shared" ref="T13" si="44">S13/1000</f>
        <v>6.7357474531507563E-4</v>
      </c>
    </row>
    <row r="14" spans="1:20" x14ac:dyDescent="0.25">
      <c r="A14" s="5">
        <v>44579</v>
      </c>
      <c r="B14">
        <v>31592.35</v>
      </c>
      <c r="C14">
        <v>33523.46</v>
      </c>
      <c r="D14">
        <v>30842.16</v>
      </c>
      <c r="E14">
        <v>32581.39</v>
      </c>
      <c r="F14">
        <v>806.18277999999998</v>
      </c>
      <c r="G14">
        <v>32581.39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0.29730354678700632</v>
      </c>
      <c r="Q14">
        <f t="shared" ref="Q14" si="46">F14*P14</f>
        <v>239.68099985260881</v>
      </c>
      <c r="R14">
        <f t="shared" ref="R14" si="47">R15+Q14</f>
        <v>67527.515651191774</v>
      </c>
      <c r="S14">
        <f t="shared" ref="S14" si="48">R14/100000</f>
        <v>0.67527515651191772</v>
      </c>
      <c r="T14">
        <f t="shared" ref="T14" si="49">S14/1000</f>
        <v>6.7527515651191771E-4</v>
      </c>
    </row>
    <row r="15" spans="1:20" x14ac:dyDescent="0.25">
      <c r="A15" s="5">
        <v>44578</v>
      </c>
      <c r="B15">
        <v>33595.75</v>
      </c>
      <c r="C15">
        <v>33695.910000000003</v>
      </c>
      <c r="D15">
        <v>31200</v>
      </c>
      <c r="E15">
        <v>31579.45</v>
      </c>
      <c r="F15">
        <v>461.77469000000002</v>
      </c>
      <c r="G15">
        <v>31579.45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-0.6959425620314833</v>
      </c>
      <c r="Q15">
        <f t="shared" ref="Q15" si="51">F15*P15</f>
        <v>-321.36866083989401</v>
      </c>
      <c r="R15">
        <f t="shared" ref="R15" si="52">R16+Q15</f>
        <v>67287.834651339159</v>
      </c>
      <c r="S15">
        <f t="shared" ref="S15" si="53">R15/100000</f>
        <v>0.67287834651339162</v>
      </c>
      <c r="T15">
        <f t="shared" ref="T15" si="54">S15/1000</f>
        <v>6.7287834651339167E-4</v>
      </c>
    </row>
    <row r="16" spans="1:20" x14ac:dyDescent="0.25">
      <c r="A16" s="5">
        <v>44577</v>
      </c>
      <c r="B16">
        <v>33477.72</v>
      </c>
      <c r="C16">
        <v>34200</v>
      </c>
      <c r="D16">
        <v>33020.239999999998</v>
      </c>
      <c r="E16">
        <v>33595.75</v>
      </c>
      <c r="F16">
        <v>456.26060999999999</v>
      </c>
      <c r="G16">
        <v>33595.75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-2.4360886960057903E-2</v>
      </c>
      <c r="Q16">
        <f t="shared" ref="Q16" si="56">F16*P16</f>
        <v>-11.114913144537065</v>
      </c>
      <c r="R16">
        <f t="shared" ref="R16" si="57">R17+Q16</f>
        <v>67609.203312179059</v>
      </c>
      <c r="S16">
        <f t="shared" ref="S16" si="58">R16/100000</f>
        <v>0.67609203312179056</v>
      </c>
      <c r="T16">
        <f t="shared" ref="T16" si="59">S16/1000</f>
        <v>6.7609203312179057E-4</v>
      </c>
    </row>
    <row r="17" spans="1:20" x14ac:dyDescent="0.25">
      <c r="A17" s="5">
        <v>44576</v>
      </c>
      <c r="B17">
        <v>32246.23</v>
      </c>
      <c r="C17">
        <v>33904.959999999999</v>
      </c>
      <c r="D17">
        <v>31688.29</v>
      </c>
      <c r="E17">
        <v>33477.72</v>
      </c>
      <c r="F17">
        <v>462.34854999999999</v>
      </c>
      <c r="G17">
        <v>33477.72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0.61452088041973019</v>
      </c>
      <c r="Q17">
        <f t="shared" ref="Q17" si="61">F17*P17</f>
        <v>284.12283800678563</v>
      </c>
      <c r="R17">
        <f t="shared" ref="R17" si="62">R18+Q17</f>
        <v>67620.318225323601</v>
      </c>
      <c r="S17">
        <f t="shared" ref="S17" si="63">R17/100000</f>
        <v>0.67620318225323606</v>
      </c>
      <c r="T17">
        <f t="shared" ref="T17" si="64">S17/1000</f>
        <v>6.7620318225323605E-4</v>
      </c>
    </row>
    <row r="18" spans="1:20" x14ac:dyDescent="0.25">
      <c r="A18" s="5">
        <v>44575</v>
      </c>
      <c r="B18">
        <v>31460.1</v>
      </c>
      <c r="C18">
        <v>33085.550000000003</v>
      </c>
      <c r="D18">
        <v>31000</v>
      </c>
      <c r="E18">
        <v>32246.87</v>
      </c>
      <c r="F18">
        <v>626.11102000000005</v>
      </c>
      <c r="G18">
        <v>32246.87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0.19572295078036703</v>
      </c>
      <c r="Q18">
        <f t="shared" ref="Q18" si="66">F18*P18</f>
        <v>122.54429635050541</v>
      </c>
      <c r="R18">
        <f t="shared" ref="R18" si="67">R19+Q18</f>
        <v>67336.19538731681</v>
      </c>
      <c r="S18">
        <f t="shared" ref="S18" si="68">R18/100000</f>
        <v>0.67336195387316811</v>
      </c>
      <c r="T18">
        <f t="shared" ref="T18" si="69">S18/1000</f>
        <v>6.7336195387316809E-4</v>
      </c>
    </row>
    <row r="19" spans="1:20" x14ac:dyDescent="0.25">
      <c r="A19" s="5">
        <v>44574</v>
      </c>
      <c r="B19">
        <v>33814.49</v>
      </c>
      <c r="C19">
        <v>34252.79</v>
      </c>
      <c r="D19">
        <v>31139</v>
      </c>
      <c r="E19">
        <v>31456.58</v>
      </c>
      <c r="F19">
        <v>613.06019000000003</v>
      </c>
      <c r="G19">
        <v>31456.58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-0.79601707244226383</v>
      </c>
      <c r="Q19">
        <f t="shared" ref="Q19" si="71">F19*P19</f>
        <v>-488.00637767469806</v>
      </c>
      <c r="R19">
        <f t="shared" ref="R19" si="72">R20+Q19</f>
        <v>67213.651090966305</v>
      </c>
      <c r="S19">
        <f t="shared" ref="S19" si="73">R19/100000</f>
        <v>0.67213651090966309</v>
      </c>
      <c r="T19">
        <f t="shared" ref="T19" si="74">S19/1000</f>
        <v>6.7213651090966304E-4</v>
      </c>
    </row>
    <row r="20" spans="1:20" x14ac:dyDescent="0.25">
      <c r="A20" s="5">
        <v>44573</v>
      </c>
      <c r="B20">
        <v>32758.3</v>
      </c>
      <c r="C20">
        <v>34735.56</v>
      </c>
      <c r="D20">
        <v>32515.66</v>
      </c>
      <c r="E20">
        <v>33830.629999999997</v>
      </c>
      <c r="F20">
        <v>841.63409000000001</v>
      </c>
      <c r="G20">
        <v>33830.629999999997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0.18471102301905384</v>
      </c>
      <c r="Q20">
        <f t="shared" ref="Q20" si="76">F20*P20</f>
        <v>155.45909377161044</v>
      </c>
      <c r="R20">
        <f t="shared" ref="R20" si="77">R21+Q20</f>
        <v>67701.657468641002</v>
      </c>
      <c r="S20">
        <f t="shared" ref="S20" si="78">R20/100000</f>
        <v>0.67701657468640997</v>
      </c>
      <c r="T20">
        <f t="shared" ref="T20" si="79">S20/1000</f>
        <v>6.7701657468641002E-4</v>
      </c>
    </row>
    <row r="21" spans="1:20" x14ac:dyDescent="0.25">
      <c r="A21" s="5">
        <v>44572</v>
      </c>
      <c r="B21">
        <v>31983.82</v>
      </c>
      <c r="C21">
        <v>33354.800000000003</v>
      </c>
      <c r="D21">
        <v>31521.35</v>
      </c>
      <c r="E21">
        <v>32765.27</v>
      </c>
      <c r="F21">
        <v>844.41124000000002</v>
      </c>
      <c r="G21">
        <v>32765.27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0.35691728708172998</v>
      </c>
      <c r="Q21">
        <f t="shared" ref="Q21" si="81">F21*P21</f>
        <v>301.38496896211961</v>
      </c>
      <c r="R21">
        <f t="shared" ref="R21" si="82">R22+Q21</f>
        <v>67546.198374869389</v>
      </c>
      <c r="S21">
        <f t="shared" ref="S21" si="83">R21/100000</f>
        <v>0.67546198374869393</v>
      </c>
      <c r="T21">
        <f t="shared" ref="T21" si="84">S21/1000</f>
        <v>6.7546198374869397E-4</v>
      </c>
    </row>
    <row r="22" spans="1:20" x14ac:dyDescent="0.25">
      <c r="A22" s="5">
        <v>44571</v>
      </c>
      <c r="B22">
        <v>32696.54</v>
      </c>
      <c r="C22">
        <v>32790.519999999997</v>
      </c>
      <c r="D22">
        <v>29372</v>
      </c>
      <c r="E22">
        <v>32002.69</v>
      </c>
      <c r="F22">
        <v>1236.3340700000001</v>
      </c>
      <c r="G22">
        <v>32002.69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0.53908123983478295</v>
      </c>
      <c r="Q22">
        <f t="shared" ref="Q22" si="86">F22*P22</f>
        <v>666.48450330558342</v>
      </c>
      <c r="R22">
        <f t="shared" ref="R22" si="87">R23+Q22</f>
        <v>67244.813405907276</v>
      </c>
      <c r="S22">
        <f t="shared" ref="S22" si="88">R22/100000</f>
        <v>0.67244813405907278</v>
      </c>
      <c r="T22">
        <f t="shared" ref="T22" si="89">S22/1000</f>
        <v>6.7244813405907273E-4</v>
      </c>
    </row>
    <row r="23" spans="1:20" x14ac:dyDescent="0.25">
      <c r="A23" s="5">
        <v>44570</v>
      </c>
      <c r="B23">
        <v>33104.22</v>
      </c>
      <c r="C23">
        <v>35329.199999999997</v>
      </c>
      <c r="D23">
        <v>32407.200000000001</v>
      </c>
      <c r="E23">
        <v>32692.12</v>
      </c>
      <c r="F23">
        <v>1109.7893899999999</v>
      </c>
      <c r="G23">
        <v>32692.12</v>
      </c>
      <c r="L23" t="s">
        <v>7</v>
      </c>
      <c r="M23" t="s">
        <v>8</v>
      </c>
      <c r="N23" t="s">
        <v>8</v>
      </c>
      <c r="P23">
        <f t="shared" ref="P23" si="90">IF(C23=D23,0,((E23-D23)-(C23-E23))/(C23-D23))</f>
        <v>-0.80498288843258137</v>
      </c>
      <c r="Q23">
        <f t="shared" ref="Q23" si="91">F23*P23</f>
        <v>-893.36146871403241</v>
      </c>
      <c r="R23">
        <f t="shared" ref="R23" si="92">R24+Q23</f>
        <v>66578.328902601686</v>
      </c>
      <c r="S23">
        <f t="shared" ref="S23" si="93">R23/100000</f>
        <v>0.66578328902601691</v>
      </c>
      <c r="T23">
        <f t="shared" ref="T23" si="94">S23/1000</f>
        <v>6.6578328902601696E-4</v>
      </c>
    </row>
    <row r="24" spans="1:20" x14ac:dyDescent="0.25">
      <c r="A24" s="5">
        <v>44569</v>
      </c>
      <c r="B24">
        <v>35822.42</v>
      </c>
      <c r="C24">
        <v>36700</v>
      </c>
      <c r="D24">
        <v>31955.27</v>
      </c>
      <c r="E24">
        <v>33104.22</v>
      </c>
      <c r="F24">
        <v>1168.9556</v>
      </c>
      <c r="G24">
        <v>33104.22</v>
      </c>
      <c r="L24" t="s">
        <v>8</v>
      </c>
      <c r="M24" t="s">
        <v>8</v>
      </c>
      <c r="N24" t="s">
        <v>8</v>
      </c>
      <c r="P24">
        <f t="shared" ref="P24" si="95">IF(C24=D24,0,((E24-D24)-(C24-E24))/(C24-D24))</f>
        <v>-0.51569425446758788</v>
      </c>
      <c r="Q24">
        <f t="shared" ref="Q24" si="96">F24*P24</f>
        <v>-602.82368664771184</v>
      </c>
      <c r="R24">
        <f t="shared" ref="R24" si="97">R25+Q24</f>
        <v>67471.690371315723</v>
      </c>
      <c r="S24">
        <f t="shared" ref="S24" si="98">R24/100000</f>
        <v>0.67471690371315718</v>
      </c>
      <c r="T24">
        <f t="shared" ref="T24" si="99">S24/1000</f>
        <v>6.7471690371315716E-4</v>
      </c>
    </row>
    <row r="25" spans="1:20" x14ac:dyDescent="0.25">
      <c r="A25" s="5">
        <v>44568</v>
      </c>
      <c r="B25">
        <v>35943.599999999999</v>
      </c>
      <c r="C25">
        <v>37095.120000000003</v>
      </c>
      <c r="D25">
        <v>31328.35</v>
      </c>
      <c r="E25">
        <v>35815.879999999997</v>
      </c>
      <c r="F25">
        <v>3823.02664</v>
      </c>
      <c r="G25">
        <v>35815.879999999997</v>
      </c>
      <c r="L25" t="s">
        <v>7</v>
      </c>
      <c r="M25" t="s">
        <v>8</v>
      </c>
      <c r="N25" t="s">
        <v>8</v>
      </c>
      <c r="P25">
        <f t="shared" ref="P25" si="100">IF(C25=D25,0,((E25-D25)-(C25-E25))/(C25-D25))</f>
        <v>0.5563408979376655</v>
      </c>
      <c r="Q25">
        <f t="shared" ref="Q25" si="101">F25*P25</f>
        <v>2126.9060737372165</v>
      </c>
      <c r="R25">
        <f t="shared" ref="R25" si="102">R26+Q25</f>
        <v>68074.514057963432</v>
      </c>
      <c r="S25">
        <f t="shared" ref="S25" si="103">R25/100000</f>
        <v>0.68074514057963431</v>
      </c>
      <c r="T25">
        <f t="shared" ref="T25" si="104">S25/1000</f>
        <v>6.8074514057963427E-4</v>
      </c>
    </row>
    <row r="26" spans="1:20" x14ac:dyDescent="0.25">
      <c r="A26" s="5">
        <v>44567</v>
      </c>
      <c r="B26">
        <v>32568.07</v>
      </c>
      <c r="C26">
        <v>36992.9</v>
      </c>
      <c r="D26">
        <v>31144</v>
      </c>
      <c r="E26">
        <v>35942.06</v>
      </c>
      <c r="F26">
        <v>2302.7254899999998</v>
      </c>
      <c r="G26">
        <v>35942.06</v>
      </c>
      <c r="L26" t="s">
        <v>8</v>
      </c>
      <c r="M26" t="s">
        <v>8</v>
      </c>
      <c r="N26" t="s">
        <v>8</v>
      </c>
      <c r="P26">
        <f t="shared" ref="P26" si="105">IF(C26=D26,0,((E26-D26)-(C26-E26))/(C26-D26))</f>
        <v>0.64067089538203648</v>
      </c>
      <c r="Q26">
        <f t="shared" ref="Q26" si="106">F26*P26</f>
        <v>1475.2892014973386</v>
      </c>
      <c r="R26">
        <f t="shared" ref="R26" si="107">R27+Q26</f>
        <v>65947.607984226212</v>
      </c>
      <c r="S26">
        <f t="shared" ref="S26" si="108">R26/100000</f>
        <v>0.65947607984226209</v>
      </c>
      <c r="T26">
        <f t="shared" ref="T26" si="109">S26/1000</f>
        <v>6.5947607984226213E-4</v>
      </c>
    </row>
    <row r="27" spans="1:20" x14ac:dyDescent="0.25">
      <c r="A27" s="5">
        <v>44566</v>
      </c>
      <c r="B27">
        <v>36275.83</v>
      </c>
      <c r="C27">
        <v>37399.370000000003</v>
      </c>
      <c r="D27">
        <v>30868.67</v>
      </c>
      <c r="E27">
        <v>32549.01</v>
      </c>
      <c r="F27">
        <v>1559.4976300000001</v>
      </c>
      <c r="G27">
        <v>32549.01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-0.48540278990001101</v>
      </c>
      <c r="Q27">
        <f t="shared" ref="Q27" si="111">F27*P27</f>
        <v>-756.98450044445519</v>
      </c>
      <c r="R27">
        <f t="shared" ref="R27" si="112">R28+Q27</f>
        <v>64472.318782728871</v>
      </c>
      <c r="S27">
        <f t="shared" ref="S27" si="113">R27/100000</f>
        <v>0.64472318782728866</v>
      </c>
      <c r="T27">
        <f t="shared" ref="T27" si="114">S27/1000</f>
        <v>6.447231878272887E-4</v>
      </c>
    </row>
    <row r="28" spans="1:20" x14ac:dyDescent="0.25">
      <c r="A28" s="5">
        <v>44565</v>
      </c>
      <c r="B28">
        <v>38735.94</v>
      </c>
      <c r="C28">
        <v>39741.51</v>
      </c>
      <c r="D28">
        <v>36035</v>
      </c>
      <c r="E28">
        <v>36278.67</v>
      </c>
      <c r="F28">
        <v>1294.7658300000001</v>
      </c>
      <c r="G28">
        <v>36278.67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-0.86851782404472233</v>
      </c>
      <c r="Q28">
        <f t="shared" ref="Q28" si="116">F28*P28</f>
        <v>-1124.5272013190588</v>
      </c>
      <c r="R28">
        <f t="shared" ref="R28" si="117">R29+Q28</f>
        <v>65229.303283173329</v>
      </c>
      <c r="S28">
        <f t="shared" ref="S28" si="118">R28/100000</f>
        <v>0.65229303283173334</v>
      </c>
      <c r="T28">
        <f t="shared" ref="T28" si="119">S28/1000</f>
        <v>6.522930328317334E-4</v>
      </c>
    </row>
    <row r="29" spans="1:20" x14ac:dyDescent="0.25">
      <c r="A29" s="5">
        <v>44564</v>
      </c>
      <c r="B29">
        <v>39080.86</v>
      </c>
      <c r="C29">
        <v>41749.339999999997</v>
      </c>
      <c r="D29">
        <v>37800.1</v>
      </c>
      <c r="E29">
        <v>38707.67</v>
      </c>
      <c r="F29">
        <v>2378.1365300000002</v>
      </c>
      <c r="G29">
        <v>38707.67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-0.540382453332793</v>
      </c>
      <c r="Q29">
        <f t="shared" ref="Q29" si="121">F29*P29</f>
        <v>-1285.1032524417353</v>
      </c>
      <c r="R29">
        <f t="shared" ref="R29" si="122">R30+Q29</f>
        <v>66353.830484492384</v>
      </c>
      <c r="S29">
        <f t="shared" ref="S29" si="123">R29/100000</f>
        <v>0.66353830484492382</v>
      </c>
      <c r="T29">
        <f t="shared" ref="T29" si="124">S29/1000</f>
        <v>6.635383048449238E-4</v>
      </c>
    </row>
    <row r="30" spans="1:20" x14ac:dyDescent="0.25">
      <c r="A30" s="5">
        <v>44563</v>
      </c>
      <c r="B30">
        <v>36577.96</v>
      </c>
      <c r="C30">
        <v>39500</v>
      </c>
      <c r="D30">
        <v>35609.269999999997</v>
      </c>
      <c r="E30">
        <v>39101.120000000003</v>
      </c>
      <c r="F30">
        <v>2156.3667</v>
      </c>
      <c r="G30">
        <v>39101.120000000003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0.79495878665443398</v>
      </c>
      <c r="Q30">
        <f t="shared" ref="Q30" si="126">F30*P30</f>
        <v>1714.2226554140259</v>
      </c>
      <c r="R30">
        <f t="shared" ref="R30" si="127">R31+Q30</f>
        <v>67638.933736934123</v>
      </c>
      <c r="S30">
        <f t="shared" ref="S30" si="128">R30/100000</f>
        <v>0.67638933736934126</v>
      </c>
      <c r="T30">
        <f t="shared" ref="T30" si="129">S30/1000</f>
        <v>6.7638933736934124E-4</v>
      </c>
    </row>
    <row r="31" spans="1:20" x14ac:dyDescent="0.25">
      <c r="A31" s="5">
        <v>44562</v>
      </c>
      <c r="B31">
        <v>33056.93</v>
      </c>
      <c r="C31">
        <v>38495.78</v>
      </c>
      <c r="D31">
        <v>32440.959999999999</v>
      </c>
      <c r="E31">
        <v>36554.04</v>
      </c>
      <c r="F31">
        <v>2358.1978100000001</v>
      </c>
      <c r="G31">
        <v>36554.04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0.35861346827816581</v>
      </c>
      <c r="Q31">
        <f t="shared" ref="Q31" si="131">F31*P31</f>
        <v>845.68149553007515</v>
      </c>
      <c r="R31">
        <f t="shared" ref="R31" si="132">R32+Q31</f>
        <v>65924.711081520101</v>
      </c>
      <c r="S31">
        <f t="shared" ref="S31" si="133">R31/100000</f>
        <v>0.65924711081520104</v>
      </c>
      <c r="T31">
        <f t="shared" ref="T31" si="134">S31/1000</f>
        <v>6.5924711081520105E-4</v>
      </c>
    </row>
    <row r="32" spans="1:20" x14ac:dyDescent="0.25">
      <c r="A32" s="5">
        <v>44561</v>
      </c>
      <c r="B32">
        <v>30198.880000000001</v>
      </c>
      <c r="C32">
        <v>33404.99</v>
      </c>
      <c r="D32">
        <v>29594.89</v>
      </c>
      <c r="E32">
        <v>33057.839999999997</v>
      </c>
      <c r="F32">
        <v>1679.1427000000001</v>
      </c>
      <c r="G32">
        <v>33057.839999999997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0.81777381171097785</v>
      </c>
      <c r="Q32">
        <f t="shared" ref="Q32" si="136">F32*P32</f>
        <v>1373.1589261856629</v>
      </c>
      <c r="R32">
        <f t="shared" ref="R32" si="137">R33+Q32</f>
        <v>65079.029585990029</v>
      </c>
      <c r="S32">
        <f t="shared" ref="S32" si="138">R32/100000</f>
        <v>0.65079029585990034</v>
      </c>
      <c r="T32">
        <f t="shared" ref="T32" si="139">S32/1000</f>
        <v>6.5079029585990032E-4</v>
      </c>
    </row>
    <row r="33" spans="1:20" x14ac:dyDescent="0.25">
      <c r="A33" s="5">
        <v>44560</v>
      </c>
      <c r="B33">
        <v>28567.38</v>
      </c>
      <c r="C33">
        <v>30455</v>
      </c>
      <c r="D33">
        <v>28000</v>
      </c>
      <c r="E33">
        <v>30199.65</v>
      </c>
      <c r="F33">
        <v>790.81438000000003</v>
      </c>
      <c r="G33">
        <v>30199.65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0.79197556008146763</v>
      </c>
      <c r="Q33">
        <f t="shared" ref="Q33" si="141">F33*P33</f>
        <v>626.30566152097856</v>
      </c>
      <c r="R33">
        <f t="shared" ref="R33" si="142">R34+Q33</f>
        <v>63705.870659804365</v>
      </c>
      <c r="S33">
        <f t="shared" ref="S33" si="143">R33/100000</f>
        <v>0.63705870659804364</v>
      </c>
      <c r="T33">
        <f t="shared" ref="T33" si="144">S33/1000</f>
        <v>6.3705870659804366E-4</v>
      </c>
    </row>
    <row r="34" spans="1:20" x14ac:dyDescent="0.25">
      <c r="A34" s="5">
        <v>44559</v>
      </c>
      <c r="B34">
        <v>28686.34</v>
      </c>
      <c r="C34">
        <v>31318.33</v>
      </c>
      <c r="D34">
        <v>27748.63</v>
      </c>
      <c r="E34">
        <v>28567.38</v>
      </c>
      <c r="F34">
        <v>1218.61511</v>
      </c>
      <c r="G34">
        <v>28567.38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-0.54127797854161419</v>
      </c>
      <c r="Q34">
        <f t="shared" ref="Q34" si="146">F34*P34</f>
        <v>-659.60952336106675</v>
      </c>
      <c r="R34">
        <f t="shared" ref="R34" si="147">R35+Q34</f>
        <v>63079.564998283386</v>
      </c>
      <c r="S34">
        <f t="shared" ref="S34" si="148">R34/100000</f>
        <v>0.63079564998283388</v>
      </c>
      <c r="T34">
        <f t="shared" ref="T34" si="149">S34/1000</f>
        <v>6.3079564998283391E-4</v>
      </c>
    </row>
    <row r="35" spans="1:20" x14ac:dyDescent="0.25">
      <c r="A35" s="5">
        <v>44558</v>
      </c>
      <c r="B35">
        <v>31742.92</v>
      </c>
      <c r="C35">
        <v>31748.95</v>
      </c>
      <c r="D35">
        <v>28559.3</v>
      </c>
      <c r="E35">
        <v>28686.35</v>
      </c>
      <c r="F35">
        <v>1268.7788700000001</v>
      </c>
      <c r="G35">
        <v>28686.35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-0.92033608703149294</v>
      </c>
      <c r="Q35">
        <f t="shared" ref="Q35" si="151">F35*P35</f>
        <v>-1167.7029805240393</v>
      </c>
      <c r="R35">
        <f t="shared" ref="R35" si="152">R36+Q35</f>
        <v>63739.174521644454</v>
      </c>
      <c r="S35">
        <f t="shared" ref="S35" si="153">R35/100000</f>
        <v>0.63739174521644459</v>
      </c>
      <c r="T35">
        <f t="shared" ref="T35" si="154">S35/1000</f>
        <v>6.3739174521644461E-4</v>
      </c>
    </row>
    <row r="36" spans="1:20" x14ac:dyDescent="0.25">
      <c r="A36" s="5">
        <v>44557</v>
      </c>
      <c r="B36">
        <v>31185.61</v>
      </c>
      <c r="C36">
        <v>34750</v>
      </c>
      <c r="D36">
        <v>30929.81</v>
      </c>
      <c r="E36">
        <v>31718.28</v>
      </c>
      <c r="F36">
        <v>1268.15219</v>
      </c>
      <c r="G36">
        <v>31718.28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-0.58720901316426788</v>
      </c>
      <c r="Q36">
        <f t="shared" ref="Q36" si="156">F36*P36</f>
        <v>-744.6703960320051</v>
      </c>
      <c r="R36">
        <f t="shared" ref="R36" si="157">R37+Q36</f>
        <v>64906.877502168492</v>
      </c>
      <c r="S36">
        <f t="shared" ref="S36" si="158">R36/100000</f>
        <v>0.64906877502168492</v>
      </c>
      <c r="T36">
        <f t="shared" ref="T36" si="159">S36/1000</f>
        <v>6.4906877502168489E-4</v>
      </c>
    </row>
    <row r="37" spans="1:20" x14ac:dyDescent="0.25">
      <c r="A37" s="5">
        <v>44556</v>
      </c>
      <c r="B37">
        <v>31192.95</v>
      </c>
      <c r="C37">
        <v>32100</v>
      </c>
      <c r="D37">
        <v>30188.25</v>
      </c>
      <c r="E37">
        <v>31124.02</v>
      </c>
      <c r="F37">
        <v>604.10422000000005</v>
      </c>
      <c r="G37">
        <v>31124.02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-2.1033084869883159E-2</v>
      </c>
      <c r="Q37">
        <f t="shared" ref="Q37" si="161">F37*P37</f>
        <v>-12.706175329514569</v>
      </c>
      <c r="R37">
        <f t="shared" ref="R37" si="162">R38+Q37</f>
        <v>65651.547898200501</v>
      </c>
      <c r="S37">
        <f t="shared" ref="S37" si="163">R37/100000</f>
        <v>0.65651547898200502</v>
      </c>
      <c r="T37">
        <f t="shared" ref="T37" si="164">S37/1000</f>
        <v>6.5651547898200498E-4</v>
      </c>
    </row>
    <row r="38" spans="1:20" x14ac:dyDescent="0.25">
      <c r="A38" s="5">
        <v>44555</v>
      </c>
      <c r="B38">
        <v>32565.53</v>
      </c>
      <c r="C38">
        <v>32922.11</v>
      </c>
      <c r="D38">
        <v>30750</v>
      </c>
      <c r="E38">
        <v>31173.63</v>
      </c>
      <c r="F38">
        <v>687.60328000000004</v>
      </c>
      <c r="G38">
        <v>31173.63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-0.60993688164963933</v>
      </c>
      <c r="Q38">
        <f t="shared" ref="Q38" si="166">F38*P38</f>
        <v>-419.39460041526382</v>
      </c>
      <c r="R38">
        <f t="shared" ref="R38" si="167">R39+Q38</f>
        <v>65664.254073530014</v>
      </c>
      <c r="S38">
        <f t="shared" ref="S38" si="168">R38/100000</f>
        <v>0.65664254073530015</v>
      </c>
      <c r="T38">
        <f t="shared" ref="T38" si="169">S38/1000</f>
        <v>6.566425407353001E-4</v>
      </c>
    </row>
    <row r="39" spans="1:20" x14ac:dyDescent="0.25">
      <c r="A39" s="5">
        <v>44554</v>
      </c>
      <c r="B39">
        <v>31573.89</v>
      </c>
      <c r="C39">
        <v>33689.599999999999</v>
      </c>
      <c r="D39">
        <v>30334.82</v>
      </c>
      <c r="E39">
        <v>32557.82</v>
      </c>
      <c r="F39">
        <v>1370.6429599999999</v>
      </c>
      <c r="G39">
        <v>32557.82</v>
      </c>
      <c r="L39" t="s">
        <v>7</v>
      </c>
      <c r="M39" t="s">
        <v>7</v>
      </c>
      <c r="N39" t="s">
        <v>8</v>
      </c>
      <c r="P39">
        <f t="shared" ref="P39" si="170">IF(C39=D39,0,((E39-D39)-(C39-E39))/(C39-D39))</f>
        <v>0.32527319228086538</v>
      </c>
      <c r="Q39">
        <f t="shared" ref="Q39" si="171">F39*P39</f>
        <v>445.83341107649443</v>
      </c>
      <c r="R39">
        <f t="shared" ref="R39" si="172">R40+Q39</f>
        <v>66083.648673945281</v>
      </c>
      <c r="S39">
        <f t="shared" ref="S39" si="173">R39/100000</f>
        <v>0.66083648673945283</v>
      </c>
      <c r="T39">
        <f t="shared" ref="T39" si="174">S39/1000</f>
        <v>6.6083648673945282E-4</v>
      </c>
    </row>
    <row r="40" spans="1:20" x14ac:dyDescent="0.25">
      <c r="A40" s="5">
        <v>44553</v>
      </c>
      <c r="B40">
        <v>31660.04</v>
      </c>
      <c r="C40">
        <v>33299</v>
      </c>
      <c r="D40">
        <v>30937.56</v>
      </c>
      <c r="E40">
        <v>31551.01</v>
      </c>
      <c r="F40">
        <v>1266.3506500000001</v>
      </c>
      <c r="G40">
        <v>31551.01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-0.4804441357815592</v>
      </c>
      <c r="Q40">
        <f t="shared" ref="Q40" si="176">F40*P40</f>
        <v>-608.41074363566577</v>
      </c>
      <c r="R40">
        <f t="shared" ref="R40" si="177">R41+Q40</f>
        <v>65637.815262868782</v>
      </c>
      <c r="S40">
        <f t="shared" ref="S40" si="178">R40/100000</f>
        <v>0.65637815262868782</v>
      </c>
      <c r="T40">
        <f t="shared" ref="T40" si="179">S40/1000</f>
        <v>6.5637815262868779E-4</v>
      </c>
    </row>
    <row r="41" spans="1:20" x14ac:dyDescent="0.25">
      <c r="A41" s="5">
        <v>44552</v>
      </c>
      <c r="B41">
        <v>34672.31</v>
      </c>
      <c r="C41">
        <v>35320.620000000003</v>
      </c>
      <c r="D41">
        <v>31531.06</v>
      </c>
      <c r="E41">
        <v>31661.48</v>
      </c>
      <c r="F41">
        <v>1537.70535</v>
      </c>
      <c r="G41">
        <v>31661.48</v>
      </c>
      <c r="L41" t="s">
        <v>7</v>
      </c>
      <c r="M41" t="s">
        <v>7</v>
      </c>
      <c r="N41" t="s">
        <v>8</v>
      </c>
      <c r="P41">
        <f t="shared" ref="P41" si="180">IF(C41=D41,0,((E41-D41)-(C41-E41))/(C41-D41))</f>
        <v>-0.9311687900442277</v>
      </c>
      <c r="Q41">
        <f t="shared" ref="Q41" si="181">F41*P41</f>
        <v>-1431.8632302040355</v>
      </c>
      <c r="R41">
        <f t="shared" ref="R41" si="182">R42+Q41</f>
        <v>66246.226006504454</v>
      </c>
      <c r="S41">
        <f t="shared" ref="S41" si="183">R41/100000</f>
        <v>0.66246226006504449</v>
      </c>
      <c r="T41">
        <f t="shared" ref="T41" si="184">S41/1000</f>
        <v>6.6246226006504453E-4</v>
      </c>
    </row>
    <row r="42" spans="1:20" x14ac:dyDescent="0.25">
      <c r="A42" s="5">
        <v>44551</v>
      </c>
      <c r="B42">
        <v>36818.339999999997</v>
      </c>
      <c r="C42">
        <v>36920.07</v>
      </c>
      <c r="D42">
        <v>34133.379999999997</v>
      </c>
      <c r="E42">
        <v>34665.89</v>
      </c>
      <c r="F42">
        <v>1832.7616700000001</v>
      </c>
      <c r="G42">
        <v>34665.89</v>
      </c>
      <c r="L42" t="s">
        <v>7</v>
      </c>
      <c r="M42" t="s">
        <v>8</v>
      </c>
      <c r="N42" t="s">
        <v>8</v>
      </c>
      <c r="P42">
        <f t="shared" ref="P42" si="185">IF(C42=D42,0,((E42-D42)-(C42-E42))/(C42-D42))</f>
        <v>-0.61781898955391412</v>
      </c>
      <c r="Q42">
        <f t="shared" ref="Q42" si="186">F42*P42</f>
        <v>-1132.3149630525443</v>
      </c>
      <c r="R42">
        <f t="shared" ref="R42" si="187">R43+Q42</f>
        <v>67678.089236708489</v>
      </c>
      <c r="S42">
        <f t="shared" ref="S42" si="188">R42/100000</f>
        <v>0.67678089236708494</v>
      </c>
      <c r="T42">
        <f t="shared" ref="T42" si="189">S42/1000</f>
        <v>6.7678089236708494E-4</v>
      </c>
    </row>
    <row r="43" spans="1:20" x14ac:dyDescent="0.25">
      <c r="A43" s="5">
        <v>44550</v>
      </c>
      <c r="B43">
        <v>31997.09</v>
      </c>
      <c r="C43">
        <v>39271.769999999997</v>
      </c>
      <c r="D43">
        <v>31460</v>
      </c>
      <c r="E43">
        <v>36818.339999999997</v>
      </c>
      <c r="F43">
        <v>4978.92155</v>
      </c>
      <c r="G43">
        <v>36818.339999999997</v>
      </c>
      <c r="L43" t="s">
        <v>8</v>
      </c>
      <c r="M43" t="s">
        <v>8</v>
      </c>
      <c r="N43" t="s">
        <v>8</v>
      </c>
      <c r="P43">
        <f t="shared" ref="P43" si="190">IF(C43=D43,0,((E43-D43)-(C43-E43))/(C43-D43))</f>
        <v>0.37186322689992118</v>
      </c>
      <c r="Q43">
        <f t="shared" ref="Q43" si="191">F43*P43</f>
        <v>1851.4778340645573</v>
      </c>
      <c r="R43">
        <f t="shared" ref="R43" si="192">R44+Q43</f>
        <v>68810.404199761033</v>
      </c>
      <c r="S43">
        <f t="shared" ref="S43" si="193">R43/100000</f>
        <v>0.68810404199761033</v>
      </c>
      <c r="T43">
        <f t="shared" ref="T43" si="194">S43/1000</f>
        <v>6.8810404199761029E-4</v>
      </c>
    </row>
    <row r="44" spans="1:20" x14ac:dyDescent="0.25">
      <c r="A44" s="5">
        <v>44549</v>
      </c>
      <c r="B44">
        <v>31321.01</v>
      </c>
      <c r="C44">
        <v>33226.39</v>
      </c>
      <c r="D44">
        <v>30500.46</v>
      </c>
      <c r="E44">
        <v>31979.29</v>
      </c>
      <c r="F44">
        <v>1602.6483900000001</v>
      </c>
      <c r="G44">
        <v>31979.29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8.5009519686860324E-2</v>
      </c>
      <c r="Q44">
        <f t="shared" ref="Q44" si="196">F44*P44</f>
        <v>136.24036986082001</v>
      </c>
      <c r="R44">
        <f t="shared" ref="R44" si="197">R45+Q44</f>
        <v>66958.926365696476</v>
      </c>
      <c r="S44">
        <f t="shared" ref="S44" si="198">R44/100000</f>
        <v>0.66958926365696481</v>
      </c>
      <c r="T44">
        <f t="shared" ref="T44" si="199">S44/1000</f>
        <v>6.6958926365696481E-4</v>
      </c>
    </row>
    <row r="45" spans="1:20" x14ac:dyDescent="0.25">
      <c r="A45" s="5">
        <v>44548</v>
      </c>
      <c r="B45">
        <v>33596.22</v>
      </c>
      <c r="C45">
        <v>34744.129999999997</v>
      </c>
      <c r="D45">
        <v>30262.66</v>
      </c>
      <c r="E45">
        <v>31340.5</v>
      </c>
      <c r="F45">
        <v>3464.9337700000001</v>
      </c>
      <c r="G45">
        <v>31340.5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-0.51897926350059209</v>
      </c>
      <c r="Q45">
        <f t="shared" ref="Q45" si="201">F45*P45</f>
        <v>-1798.22877603293</v>
      </c>
      <c r="R45">
        <f t="shared" ref="R45" si="202">R46+Q45</f>
        <v>66822.685995835651</v>
      </c>
      <c r="S45">
        <f t="shared" ref="S45" si="203">R45/100000</f>
        <v>0.66822685995835651</v>
      </c>
      <c r="T45">
        <f t="shared" ref="T45" si="204">S45/1000</f>
        <v>6.6822685995835654E-4</v>
      </c>
    </row>
    <row r="46" spans="1:20" x14ac:dyDescent="0.25">
      <c r="A46" s="5">
        <v>44547</v>
      </c>
      <c r="B46">
        <v>24591.919999999998</v>
      </c>
      <c r="C46">
        <v>34000</v>
      </c>
      <c r="D46">
        <v>24303.33</v>
      </c>
      <c r="E46">
        <v>33609.99</v>
      </c>
      <c r="F46">
        <v>6521.4893700000002</v>
      </c>
      <c r="G46">
        <v>33609.99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0.91955795133793305</v>
      </c>
      <c r="Q46">
        <f t="shared" ref="Q46" si="206">F46*P46</f>
        <v>5996.8874047493082</v>
      </c>
      <c r="R46">
        <f t="shared" ref="R46" si="207">R47+Q46</f>
        <v>68620.914771868585</v>
      </c>
      <c r="S46">
        <f t="shared" ref="S46" si="208">R46/100000</f>
        <v>0.68620914771868591</v>
      </c>
      <c r="T46">
        <f t="shared" ref="T46" si="209">S46/1000</f>
        <v>6.8620914771868593E-4</v>
      </c>
    </row>
    <row r="47" spans="1:20" x14ac:dyDescent="0.25">
      <c r="A47" s="5">
        <v>44546</v>
      </c>
      <c r="B47">
        <v>20637.62</v>
      </c>
      <c r="C47">
        <v>25983.97</v>
      </c>
      <c r="D47">
        <v>20637.62</v>
      </c>
      <c r="E47">
        <v>24611.37</v>
      </c>
      <c r="F47">
        <v>2096.72048</v>
      </c>
      <c r="G47">
        <v>24611.37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0.48652819213107945</v>
      </c>
      <c r="Q47">
        <f t="shared" ref="Q47" si="211">F47*P47</f>
        <v>1020.1136245386091</v>
      </c>
      <c r="R47">
        <f t="shared" ref="R47" si="212">R48+Q47</f>
        <v>62624.02736711927</v>
      </c>
      <c r="S47">
        <f t="shared" ref="S47" si="213">R47/100000</f>
        <v>0.62624027367119273</v>
      </c>
      <c r="T47">
        <f t="shared" ref="T47" si="214">S47/1000</f>
        <v>6.2624027367119272E-4</v>
      </c>
    </row>
    <row r="48" spans="1:20" x14ac:dyDescent="0.25">
      <c r="A48" s="5">
        <v>44545</v>
      </c>
      <c r="B48">
        <v>20139.080000000002</v>
      </c>
      <c r="C48">
        <v>21006.98</v>
      </c>
      <c r="D48">
        <v>18852.34</v>
      </c>
      <c r="E48">
        <v>20637.62</v>
      </c>
      <c r="F48">
        <v>583.01454000000001</v>
      </c>
      <c r="G48">
        <v>20637.62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0.65714922214383775</v>
      </c>
      <c r="Q48">
        <f t="shared" ref="Q48" si="216">F48*P48</f>
        <v>383.12755145954736</v>
      </c>
      <c r="R48">
        <f t="shared" ref="R48" si="217">R49+Q48</f>
        <v>61603.913742580662</v>
      </c>
      <c r="S48">
        <f t="shared" ref="S48" si="218">R48/100000</f>
        <v>0.61603913742580663</v>
      </c>
      <c r="T48">
        <f t="shared" ref="T48" si="219">S48/1000</f>
        <v>6.160391374258066E-4</v>
      </c>
    </row>
    <row r="49" spans="1:20" x14ac:dyDescent="0.25">
      <c r="A49" s="5">
        <v>44544</v>
      </c>
      <c r="B49">
        <v>19567.419999999998</v>
      </c>
      <c r="C49">
        <v>20429.240000000002</v>
      </c>
      <c r="D49">
        <v>19252.21</v>
      </c>
      <c r="E49">
        <v>20120.2</v>
      </c>
      <c r="F49">
        <v>452.26733000000002</v>
      </c>
      <c r="G49">
        <v>20120.2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0.47488169375461931</v>
      </c>
      <c r="Q49">
        <f t="shared" ref="Q49" si="221">F49*P49</f>
        <v>214.77347570027936</v>
      </c>
      <c r="R49">
        <f t="shared" ref="R49" si="222">R50+Q49</f>
        <v>61220.786191121115</v>
      </c>
      <c r="S49">
        <f t="shared" ref="S49" si="223">R49/100000</f>
        <v>0.61220786191121113</v>
      </c>
      <c r="T49">
        <f t="shared" ref="T49" si="224">S49/1000</f>
        <v>6.1220786191121116E-4</v>
      </c>
    </row>
    <row r="50" spans="1:20" x14ac:dyDescent="0.25">
      <c r="A50" s="5">
        <v>44543</v>
      </c>
      <c r="B50">
        <v>21712.44</v>
      </c>
      <c r="C50">
        <v>21858.26</v>
      </c>
      <c r="D50">
        <v>19004.45</v>
      </c>
      <c r="E50">
        <v>19576.46</v>
      </c>
      <c r="F50">
        <v>460.56788999999998</v>
      </c>
      <c r="G50">
        <v>19576.46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-0.59912537975548552</v>
      </c>
      <c r="Q50">
        <f t="shared" ref="Q50" si="226">F50*P50</f>
        <v>-275.93791199943269</v>
      </c>
      <c r="R50">
        <f t="shared" ref="R50" si="227">R51+Q50</f>
        <v>61006.012715420839</v>
      </c>
      <c r="S50">
        <f t="shared" ref="S50" si="228">R50/100000</f>
        <v>0.61006012715420843</v>
      </c>
      <c r="T50">
        <f t="shared" ref="T50" si="229">S50/1000</f>
        <v>6.1006012715420844E-4</v>
      </c>
    </row>
    <row r="51" spans="1:20" x14ac:dyDescent="0.25">
      <c r="A51" s="5">
        <v>44542</v>
      </c>
      <c r="B51">
        <v>21559.439999999999</v>
      </c>
      <c r="C51">
        <v>22652.75</v>
      </c>
      <c r="D51">
        <v>20868.91</v>
      </c>
      <c r="E51">
        <v>21699.64</v>
      </c>
      <c r="F51">
        <v>370.19740000000002</v>
      </c>
      <c r="G51">
        <v>21699.64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-6.8604807606063883E-2</v>
      </c>
      <c r="Q51">
        <f t="shared" ref="Q51" si="231">F51*P51</f>
        <v>-25.397321403265074</v>
      </c>
      <c r="R51">
        <f t="shared" ref="R51" si="232">R52+Q51</f>
        <v>61281.950627420272</v>
      </c>
      <c r="S51">
        <f t="shared" ref="S51" si="233">R51/100000</f>
        <v>0.61281950627420267</v>
      </c>
      <c r="T51">
        <f t="shared" ref="T51" si="234">S51/1000</f>
        <v>6.128195062742027E-4</v>
      </c>
    </row>
    <row r="52" spans="1:20" x14ac:dyDescent="0.25">
      <c r="A52" s="5">
        <v>44541</v>
      </c>
      <c r="B52">
        <v>20077.03</v>
      </c>
      <c r="C52">
        <v>20518.3</v>
      </c>
      <c r="D52">
        <v>19759.099999999999</v>
      </c>
      <c r="E52">
        <v>20320.310000000001</v>
      </c>
      <c r="F52">
        <v>42.045009999999998</v>
      </c>
      <c r="G52">
        <v>20320.310000000001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0.47842465753425245</v>
      </c>
      <c r="Q52">
        <f t="shared" ref="Q52" si="236">F52*P52</f>
        <v>20.115369510274217</v>
      </c>
      <c r="R52">
        <f t="shared" ref="R52" si="237">R53+Q52</f>
        <v>61307.347948823539</v>
      </c>
      <c r="S52">
        <f t="shared" ref="S52" si="238">R52/100000</f>
        <v>0.61307347948823543</v>
      </c>
      <c r="T52">
        <f t="shared" ref="T52" si="239">S52/1000</f>
        <v>6.1307347948823547E-4</v>
      </c>
    </row>
    <row r="53" spans="1:20" x14ac:dyDescent="0.25">
      <c r="A53" s="5">
        <v>44540</v>
      </c>
      <c r="B53">
        <v>20955.72</v>
      </c>
      <c r="C53">
        <v>21586.15</v>
      </c>
      <c r="D53">
        <v>19941.7</v>
      </c>
      <c r="E53">
        <v>20054.88</v>
      </c>
      <c r="F53">
        <v>533.48204999999996</v>
      </c>
      <c r="G53">
        <v>20054.88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-0.86234911368542644</v>
      </c>
      <c r="Q53">
        <f t="shared" ref="Q53" si="241">F53*P53</f>
        <v>-460.0477729845843</v>
      </c>
      <c r="R53">
        <f t="shared" ref="R53" si="242">R54+Q53</f>
        <v>61287.232579313262</v>
      </c>
      <c r="S53">
        <f t="shared" ref="S53" si="243">R53/100000</f>
        <v>0.61287232579313267</v>
      </c>
      <c r="T53">
        <f t="shared" ref="T53" si="244">S53/1000</f>
        <v>6.1287232579313269E-4</v>
      </c>
    </row>
    <row r="54" spans="1:20" x14ac:dyDescent="0.25">
      <c r="A54" s="5">
        <v>44539</v>
      </c>
      <c r="B54">
        <v>23148.06</v>
      </c>
      <c r="C54">
        <v>23950</v>
      </c>
      <c r="D54">
        <v>20750.07</v>
      </c>
      <c r="E54">
        <v>20951.48</v>
      </c>
      <c r="F54">
        <v>913.90948000000003</v>
      </c>
      <c r="G54">
        <v>20951.48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-0.87411599628741887</v>
      </c>
      <c r="Q54">
        <f t="shared" ref="Q54" si="246">F54*P54</f>
        <v>-798.86289562671698</v>
      </c>
      <c r="R54">
        <f t="shared" ref="R54" si="247">R55+Q54</f>
        <v>61747.280352297843</v>
      </c>
      <c r="S54">
        <f t="shared" ref="S54" si="248">R54/100000</f>
        <v>0.6174728035229784</v>
      </c>
      <c r="T54">
        <f t="shared" ref="T54" si="249">S54/1000</f>
        <v>6.1747280352297839E-4</v>
      </c>
    </row>
    <row r="55" spans="1:20" x14ac:dyDescent="0.25">
      <c r="A55" s="5">
        <v>44538</v>
      </c>
      <c r="B55">
        <v>22077.72</v>
      </c>
      <c r="C55">
        <v>23150</v>
      </c>
      <c r="D55">
        <v>21393.3</v>
      </c>
      <c r="E55">
        <v>23141.39</v>
      </c>
      <c r="F55">
        <v>856.58918000000006</v>
      </c>
      <c r="G55">
        <v>23141.39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0.99019752945864337</v>
      </c>
      <c r="Q55">
        <f t="shared" ref="Q55" si="251">F55*P55</f>
        <v>848.19248979700524</v>
      </c>
      <c r="R55">
        <f t="shared" ref="R55" si="252">R56+Q55</f>
        <v>62546.143247924563</v>
      </c>
      <c r="S55">
        <f t="shared" ref="S55" si="253">R55/100000</f>
        <v>0.62546143247924568</v>
      </c>
      <c r="T55">
        <f t="shared" ref="T55" si="254">S55/1000</f>
        <v>6.2546143247924567E-4</v>
      </c>
    </row>
    <row r="56" spans="1:20" x14ac:dyDescent="0.25">
      <c r="A56" s="5">
        <v>44537</v>
      </c>
      <c r="B56">
        <v>23840.58</v>
      </c>
      <c r="C56">
        <v>24548.37</v>
      </c>
      <c r="D56">
        <v>21858.92</v>
      </c>
      <c r="E56">
        <v>22077.72</v>
      </c>
      <c r="F56">
        <v>699.82745</v>
      </c>
      <c r="G56">
        <v>22077.72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-0.83729015226161274</v>
      </c>
      <c r="Q56">
        <f t="shared" ref="Q56" si="256">F56*P56</f>
        <v>-585.9586321673562</v>
      </c>
      <c r="R56">
        <f t="shared" ref="R56" si="257">R57+Q56</f>
        <v>61697.950758127561</v>
      </c>
      <c r="S56">
        <f t="shared" ref="S56" si="258">R56/100000</f>
        <v>0.61697950758127562</v>
      </c>
      <c r="T56">
        <f t="shared" ref="T56" si="259">S56/1000</f>
        <v>6.1697950758127565E-4</v>
      </c>
    </row>
    <row r="57" spans="1:20" x14ac:dyDescent="0.25">
      <c r="A57" s="5">
        <v>44536</v>
      </c>
      <c r="B57">
        <v>23759.45</v>
      </c>
      <c r="C57">
        <v>23973.67</v>
      </c>
      <c r="D57">
        <v>21761.72</v>
      </c>
      <c r="E57">
        <v>23845.74</v>
      </c>
      <c r="F57">
        <v>556.55448000000001</v>
      </c>
      <c r="G57">
        <v>23845.74</v>
      </c>
      <c r="L57" t="s">
        <v>7</v>
      </c>
      <c r="M57" t="s">
        <v>8</v>
      </c>
      <c r="N57" t="s">
        <v>8</v>
      </c>
      <c r="P57">
        <f t="shared" ref="P57" si="260">IF(C57=D57,0,((E57-D57)-(C57-E57))/(C57-D57))</f>
        <v>0.88432830760189263</v>
      </c>
      <c r="Q57">
        <f t="shared" ref="Q57" si="261">F57*P57</f>
        <v>492.17688138665142</v>
      </c>
      <c r="R57">
        <f t="shared" ref="R57" si="262">R58+Q57</f>
        <v>62283.909390294917</v>
      </c>
      <c r="S57">
        <f t="shared" ref="S57" si="263">R57/100000</f>
        <v>0.62283909390294923</v>
      </c>
      <c r="T57">
        <f t="shared" ref="T57" si="264">S57/1000</f>
        <v>6.2283909390294925E-4</v>
      </c>
    </row>
    <row r="58" spans="1:20" x14ac:dyDescent="0.25">
      <c r="A58" s="5">
        <v>44535</v>
      </c>
      <c r="B58">
        <v>24683.55</v>
      </c>
      <c r="C58">
        <v>25484.09</v>
      </c>
      <c r="D58">
        <v>23033.15</v>
      </c>
      <c r="E58">
        <v>23740.13</v>
      </c>
      <c r="F58">
        <v>565.15171999999995</v>
      </c>
      <c r="G58">
        <v>23740.13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-0.42309481260251175</v>
      </c>
      <c r="Q58">
        <f t="shared" ref="Q58" si="266">F58*P58</f>
        <v>-239.11276106538716</v>
      </c>
      <c r="R58">
        <f t="shared" ref="R58" si="267">R59+Q58</f>
        <v>61791.732508908266</v>
      </c>
      <c r="S58">
        <f t="shared" ref="S58" si="268">R58/100000</f>
        <v>0.6179173250890827</v>
      </c>
      <c r="T58">
        <f t="shared" ref="T58" si="269">S58/1000</f>
        <v>6.1791732508908266E-4</v>
      </c>
    </row>
    <row r="59" spans="1:20" x14ac:dyDescent="0.25">
      <c r="A59" s="5">
        <v>44534</v>
      </c>
      <c r="B59">
        <v>27462.11</v>
      </c>
      <c r="C59">
        <v>27596.33</v>
      </c>
      <c r="D59">
        <v>17699.810000000001</v>
      </c>
      <c r="E59">
        <v>24663.040000000001</v>
      </c>
      <c r="F59">
        <v>1009.138455</v>
      </c>
      <c r="G59">
        <v>24663.040000000001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0.40720778617130049</v>
      </c>
      <c r="Q59">
        <f t="shared" ref="Q59" si="271">F59*P59</f>
        <v>410.92903620087657</v>
      </c>
      <c r="R59">
        <f t="shared" ref="R59" si="272">R60+Q59</f>
        <v>62030.845269973652</v>
      </c>
      <c r="S59">
        <f t="shared" ref="S59" si="273">R59/100000</f>
        <v>0.62030845269973656</v>
      </c>
      <c r="T59">
        <f t="shared" ref="T59" si="274">S59/1000</f>
        <v>6.2030845269973661E-4</v>
      </c>
    </row>
    <row r="60" spans="1:20" x14ac:dyDescent="0.25">
      <c r="A60" s="5">
        <v>44533</v>
      </c>
      <c r="B60">
        <v>28830.84</v>
      </c>
      <c r="C60">
        <v>29430.43</v>
      </c>
      <c r="D60">
        <v>26653.07</v>
      </c>
      <c r="E60">
        <v>27476.03</v>
      </c>
      <c r="F60">
        <v>332.36327999999997</v>
      </c>
      <c r="G60">
        <v>27476.03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-0.40737966990235408</v>
      </c>
      <c r="Q60">
        <f t="shared" ref="Q60" si="276">F60*P60</f>
        <v>-135.39804329406368</v>
      </c>
      <c r="R60">
        <f t="shared" ref="R60" si="277">R61+Q60</f>
        <v>61619.916233772776</v>
      </c>
      <c r="S60">
        <f t="shared" ref="S60" si="278">R60/100000</f>
        <v>0.61619916233772776</v>
      </c>
      <c r="T60">
        <f t="shared" ref="T60" si="279">S60/1000</f>
        <v>6.1619916233772779E-4</v>
      </c>
    </row>
    <row r="61" spans="1:20" x14ac:dyDescent="0.25">
      <c r="A61" s="5">
        <v>44532</v>
      </c>
      <c r="B61">
        <v>28960.67</v>
      </c>
      <c r="C61">
        <v>29421.42</v>
      </c>
      <c r="D61">
        <v>28062.59</v>
      </c>
      <c r="E61">
        <v>28830.85</v>
      </c>
      <c r="F61">
        <v>380.24941000000001</v>
      </c>
      <c r="G61">
        <v>28830.85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0.13076690976796138</v>
      </c>
      <c r="Q61">
        <f t="shared" ref="Q61" si="281">F61*P61</f>
        <v>49.724040286790554</v>
      </c>
      <c r="R61">
        <f t="shared" ref="R61" si="282">R62+Q61</f>
        <v>61755.314277066842</v>
      </c>
      <c r="S61">
        <f t="shared" ref="S61" si="283">R61/100000</f>
        <v>0.61755314277066842</v>
      </c>
      <c r="T61">
        <f t="shared" ref="T61" si="284">S61/1000</f>
        <v>6.175531427706684E-4</v>
      </c>
    </row>
    <row r="62" spans="1:20" x14ac:dyDescent="0.25">
      <c r="A62" s="5">
        <v>44531</v>
      </c>
      <c r="B62">
        <v>29648.51</v>
      </c>
      <c r="C62">
        <v>30167.27</v>
      </c>
      <c r="D62">
        <v>28455.21</v>
      </c>
      <c r="E62">
        <v>28930.22</v>
      </c>
      <c r="F62">
        <v>379.35606999999999</v>
      </c>
      <c r="G62">
        <v>28930.22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-0.44510122308797395</v>
      </c>
      <c r="Q62">
        <f t="shared" ref="Q62" si="286">F62*P62</f>
        <v>-168.85185074284706</v>
      </c>
      <c r="R62">
        <f t="shared" ref="R62" si="287">R63+Q62</f>
        <v>61705.590236780052</v>
      </c>
      <c r="S62">
        <f t="shared" ref="S62" si="288">R62/100000</f>
        <v>0.6170559023678005</v>
      </c>
      <c r="T62">
        <f t="shared" ref="T62" si="289">S62/1000</f>
        <v>6.1705590236780052E-4</v>
      </c>
    </row>
    <row r="63" spans="1:20" x14ac:dyDescent="0.25">
      <c r="A63" s="5">
        <v>44530</v>
      </c>
      <c r="B63">
        <v>30165.52</v>
      </c>
      <c r="C63">
        <v>30500</v>
      </c>
      <c r="D63">
        <v>29198</v>
      </c>
      <c r="E63">
        <v>29626.15</v>
      </c>
      <c r="F63">
        <v>299.74029000000002</v>
      </c>
      <c r="G63">
        <v>29626.15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-0.34231950844853848</v>
      </c>
      <c r="Q63">
        <f t="shared" ref="Q63" si="291">F63*P63</f>
        <v>-102.60694873502239</v>
      </c>
      <c r="R63">
        <f t="shared" ref="R63" si="292">R64+Q63</f>
        <v>61874.442087522897</v>
      </c>
      <c r="S63">
        <f t="shared" ref="S63" si="293">R63/100000</f>
        <v>0.61874442087522896</v>
      </c>
      <c r="T63">
        <f t="shared" ref="T63" si="294">S63/1000</f>
        <v>6.1874442087522894E-4</v>
      </c>
    </row>
    <row r="64" spans="1:20" x14ac:dyDescent="0.25">
      <c r="A64" s="5">
        <v>44529</v>
      </c>
      <c r="B64">
        <v>29996.89</v>
      </c>
      <c r="C64">
        <v>30385.15</v>
      </c>
      <c r="D64">
        <v>29455.23</v>
      </c>
      <c r="E64">
        <v>30165.58</v>
      </c>
      <c r="F64">
        <v>160.03874999999999</v>
      </c>
      <c r="G64">
        <v>30165.58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0.52776582931865268</v>
      </c>
      <c r="Q64">
        <f t="shared" ref="Q64" si="296">F64*P64</f>
        <v>84.462983616870517</v>
      </c>
      <c r="R64">
        <f t="shared" ref="R64" si="297">R65+Q64</f>
        <v>61977.049036257922</v>
      </c>
      <c r="S64">
        <f t="shared" ref="S64" si="298">R64/100000</f>
        <v>0.61977049036257925</v>
      </c>
      <c r="T64">
        <f t="shared" ref="T64" si="299">S64/1000</f>
        <v>6.1977049036257927E-4</v>
      </c>
    </row>
    <row r="65" spans="1:20" x14ac:dyDescent="0.25">
      <c r="A65" s="5">
        <v>44528</v>
      </c>
      <c r="B65">
        <v>29203.3</v>
      </c>
      <c r="C65">
        <v>30085.13</v>
      </c>
      <c r="D65">
        <v>27786</v>
      </c>
      <c r="E65">
        <v>29994.09</v>
      </c>
      <c r="F65">
        <v>257.07459999999998</v>
      </c>
      <c r="G65">
        <v>29994.09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0.92080482617337789</v>
      </c>
      <c r="Q65">
        <f t="shared" ref="Q65" si="301">F65*P65</f>
        <v>236.71553236659062</v>
      </c>
      <c r="R65">
        <f t="shared" ref="R65" si="302">R66+Q65</f>
        <v>61892.586052641054</v>
      </c>
      <c r="S65">
        <f t="shared" ref="S65" si="303">R65/100000</f>
        <v>0.61892586052641052</v>
      </c>
      <c r="T65">
        <f t="shared" ref="T65" si="304">S65/1000</f>
        <v>6.1892586052641053E-4</v>
      </c>
    </row>
    <row r="66" spans="1:20" x14ac:dyDescent="0.25">
      <c r="A66" s="5">
        <v>44527</v>
      </c>
      <c r="B66">
        <v>28810.51</v>
      </c>
      <c r="C66">
        <v>29709.27</v>
      </c>
      <c r="D66">
        <v>28635.17</v>
      </c>
      <c r="E66">
        <v>29203.200000000001</v>
      </c>
      <c r="F66">
        <v>187.74556999999999</v>
      </c>
      <c r="G66">
        <v>29203.200000000001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5.7685504143005904E-2</v>
      </c>
      <c r="Q66">
        <f t="shared" ref="Q66" si="306">F66*P66</f>
        <v>10.830197856066004</v>
      </c>
      <c r="R66">
        <f t="shared" ref="R66" si="307">R67+Q66</f>
        <v>61655.87052027446</v>
      </c>
      <c r="S66">
        <f t="shared" ref="S66" si="308">R66/100000</f>
        <v>0.61655870520274458</v>
      </c>
      <c r="T66">
        <f t="shared" ref="T66" si="309">S66/1000</f>
        <v>6.1655870520274463E-4</v>
      </c>
    </row>
    <row r="67" spans="1:20" x14ac:dyDescent="0.25">
      <c r="A67" s="5">
        <v>44526</v>
      </c>
      <c r="B67">
        <v>32113.05</v>
      </c>
      <c r="C67">
        <v>32228.22</v>
      </c>
      <c r="D67">
        <v>28416.12</v>
      </c>
      <c r="E67">
        <v>28778.9</v>
      </c>
      <c r="F67">
        <v>586.37118999999996</v>
      </c>
      <c r="G67">
        <v>28778.9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-0.80966921119592761</v>
      </c>
      <c r="Q67">
        <f t="shared" ref="Q67" si="311">F67*P67</f>
        <v>-474.76669887531733</v>
      </c>
      <c r="R67">
        <f t="shared" ref="R67" si="312">R68+Q67</f>
        <v>61645.040322418397</v>
      </c>
      <c r="S67">
        <f t="shared" ref="S67" si="313">R67/100000</f>
        <v>0.61645040322418398</v>
      </c>
      <c r="T67">
        <f t="shared" ref="T67" si="314">S67/1000</f>
        <v>6.1645040322418402E-4</v>
      </c>
    </row>
    <row r="68" spans="1:20" x14ac:dyDescent="0.25">
      <c r="A68" s="5">
        <v>44525</v>
      </c>
      <c r="B68">
        <v>31110.080000000002</v>
      </c>
      <c r="C68">
        <v>32750</v>
      </c>
      <c r="D68">
        <v>30893.62</v>
      </c>
      <c r="E68">
        <v>32035.97</v>
      </c>
      <c r="F68">
        <v>294.67797999999999</v>
      </c>
      <c r="G68">
        <v>32035.97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0.23072862237257627</v>
      </c>
      <c r="Q68">
        <f t="shared" ref="Q68" si="316">F68*P68</f>
        <v>67.990644368933587</v>
      </c>
      <c r="R68">
        <f t="shared" ref="R68" si="317">R69+Q68</f>
        <v>62119.807021293716</v>
      </c>
      <c r="S68">
        <f t="shared" ref="S68" si="318">R68/100000</f>
        <v>0.62119807021293716</v>
      </c>
      <c r="T68">
        <f t="shared" ref="T68" si="319">S68/1000</f>
        <v>6.2119807021293713E-4</v>
      </c>
    </row>
    <row r="69" spans="1:20" x14ac:dyDescent="0.25">
      <c r="A69" s="5">
        <v>44524</v>
      </c>
      <c r="B69">
        <v>31632.11</v>
      </c>
      <c r="C69">
        <v>31802.71</v>
      </c>
      <c r="D69">
        <v>31029.78</v>
      </c>
      <c r="E69">
        <v>31288.02</v>
      </c>
      <c r="F69">
        <v>77.411590000000004</v>
      </c>
      <c r="G69">
        <v>31288.02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-0.33178942465682143</v>
      </c>
      <c r="Q69">
        <f t="shared" ref="Q69" si="321">F69*P69</f>
        <v>-25.684346907869752</v>
      </c>
      <c r="R69">
        <f t="shared" ref="R69" si="322">R70+Q69</f>
        <v>62051.816376924784</v>
      </c>
      <c r="S69">
        <f t="shared" ref="S69" si="323">R69/100000</f>
        <v>0.62051816376924784</v>
      </c>
      <c r="T69">
        <f t="shared" ref="T69" si="324">S69/1000</f>
        <v>6.2051816376924786E-4</v>
      </c>
    </row>
    <row r="70" spans="1:20" x14ac:dyDescent="0.25">
      <c r="A70" s="5">
        <v>44523</v>
      </c>
      <c r="B70">
        <v>31192.58</v>
      </c>
      <c r="C70">
        <v>32215.119999999999</v>
      </c>
      <c r="D70">
        <v>30944.2</v>
      </c>
      <c r="E70">
        <v>31632.23</v>
      </c>
      <c r="F70">
        <v>286.58357000000001</v>
      </c>
      <c r="G70">
        <v>31632.23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8.2727473011676239E-2</v>
      </c>
      <c r="Q70">
        <f t="shared" ref="Q70" si="326">F70*P70</f>
        <v>23.708334552764828</v>
      </c>
      <c r="R70">
        <f t="shared" ref="R70" si="327">R71+Q70</f>
        <v>62077.500723832651</v>
      </c>
      <c r="S70">
        <f t="shared" ref="S70" si="328">R70/100000</f>
        <v>0.62077500723832646</v>
      </c>
      <c r="T70">
        <f t="shared" ref="T70" si="329">S70/1000</f>
        <v>6.2077500723832643E-4</v>
      </c>
    </row>
    <row r="71" spans="1:20" x14ac:dyDescent="0.25">
      <c r="A71" s="5">
        <v>44522</v>
      </c>
      <c r="B71">
        <v>31580.560000000001</v>
      </c>
      <c r="C71">
        <v>32600</v>
      </c>
      <c r="D71">
        <v>30468.98</v>
      </c>
      <c r="E71">
        <v>31183.24</v>
      </c>
      <c r="F71">
        <v>477.25015000000002</v>
      </c>
      <c r="G71">
        <v>31183.24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-0.32965434392919646</v>
      </c>
      <c r="Q71">
        <f t="shared" ref="Q71" si="331">F71*P71</f>
        <v>-157.32758508836059</v>
      </c>
      <c r="R71">
        <f t="shared" ref="R71" si="332">R72+Q71</f>
        <v>62053.792389279886</v>
      </c>
      <c r="S71">
        <f t="shared" ref="S71" si="333">R71/100000</f>
        <v>0.62053792389279883</v>
      </c>
      <c r="T71">
        <f t="shared" ref="T71" si="334">S71/1000</f>
        <v>6.2053792389279885E-4</v>
      </c>
    </row>
    <row r="72" spans="1:20" x14ac:dyDescent="0.25">
      <c r="A72" s="5">
        <v>44521</v>
      </c>
      <c r="B72">
        <v>31992.41</v>
      </c>
      <c r="C72">
        <v>32688.19</v>
      </c>
      <c r="D72">
        <v>31247.38</v>
      </c>
      <c r="E72">
        <v>31590.93</v>
      </c>
      <c r="F72">
        <v>285.74070999999998</v>
      </c>
      <c r="G72">
        <v>31590.93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-0.52311546977047652</v>
      </c>
      <c r="Q72">
        <f t="shared" ref="Q72" si="336">F72*P72</f>
        <v>-149.47538574419949</v>
      </c>
      <c r="R72">
        <f t="shared" ref="R72" si="337">R73+Q72</f>
        <v>62211.119974368245</v>
      </c>
      <c r="S72">
        <f t="shared" ref="S72" si="338">R72/100000</f>
        <v>0.62211119974368245</v>
      </c>
      <c r="T72">
        <f t="shared" ref="T72" si="339">S72/1000</f>
        <v>6.2211119974368248E-4</v>
      </c>
    </row>
    <row r="73" spans="1:20" x14ac:dyDescent="0.25">
      <c r="A73" s="5">
        <v>44520</v>
      </c>
      <c r="B73">
        <v>31777.83</v>
      </c>
      <c r="C73">
        <v>32293.78</v>
      </c>
      <c r="D73">
        <v>30790.23</v>
      </c>
      <c r="E73">
        <v>31992.41</v>
      </c>
      <c r="F73">
        <v>268.30052999999998</v>
      </c>
      <c r="G73">
        <v>31992.41</v>
      </c>
      <c r="L73" t="s">
        <v>7</v>
      </c>
      <c r="M73" t="s">
        <v>7</v>
      </c>
      <c r="N73" t="s">
        <v>8</v>
      </c>
      <c r="P73">
        <f t="shared" ref="P73" si="340">IF(C73=D73,0,((E73-D73)-(C73-E73))/(C73-D73))</f>
        <v>0.5991220777493278</v>
      </c>
      <c r="Q73">
        <f t="shared" ref="Q73" si="341">F73*P73</f>
        <v>160.74477099484585</v>
      </c>
      <c r="R73">
        <f t="shared" ref="R73" si="342">R74+Q73</f>
        <v>62360.595360112442</v>
      </c>
      <c r="S73">
        <f t="shared" ref="S73" si="343">R73/100000</f>
        <v>0.62360595360112447</v>
      </c>
      <c r="T73">
        <f t="shared" ref="T73" si="344">S73/1000</f>
        <v>6.2360595360112445E-4</v>
      </c>
    </row>
    <row r="74" spans="1:20" x14ac:dyDescent="0.25">
      <c r="A74" s="5">
        <v>44519</v>
      </c>
      <c r="B74">
        <v>32465.86</v>
      </c>
      <c r="C74">
        <v>33020.400000000001</v>
      </c>
      <c r="D74">
        <v>31001.46</v>
      </c>
      <c r="E74">
        <v>31782.42</v>
      </c>
      <c r="F74">
        <v>409.90469999999999</v>
      </c>
      <c r="G74">
        <v>31782.42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-0.22636631103450502</v>
      </c>
      <c r="Q74">
        <f t="shared" ref="Q74" si="346">F74*P74</f>
        <v>-92.788614814705468</v>
      </c>
      <c r="R74">
        <f t="shared" ref="R74" si="347">R75+Q74</f>
        <v>62199.850589117596</v>
      </c>
      <c r="S74">
        <f t="shared" ref="S74" si="348">R74/100000</f>
        <v>0.621998505891176</v>
      </c>
      <c r="T74">
        <f t="shared" ref="T74" si="349">S74/1000</f>
        <v>6.2199850589117597E-4</v>
      </c>
    </row>
    <row r="75" spans="1:20" x14ac:dyDescent="0.25">
      <c r="A75" s="5">
        <v>44518</v>
      </c>
      <c r="B75">
        <v>31144.639999999999</v>
      </c>
      <c r="C75">
        <v>35827.94</v>
      </c>
      <c r="D75">
        <v>30431.37</v>
      </c>
      <c r="E75">
        <v>32463.57</v>
      </c>
      <c r="F75">
        <v>2160.4926500000001</v>
      </c>
      <c r="G75">
        <v>32463.57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-0.24685494675321568</v>
      </c>
      <c r="Q75">
        <f t="shared" ref="Q75" si="351">F75*P75</f>
        <v>-533.32829807646385</v>
      </c>
      <c r="R75">
        <f t="shared" ref="R75" si="352">R76+Q75</f>
        <v>62292.639203932304</v>
      </c>
      <c r="S75">
        <f t="shared" ref="S75" si="353">R75/100000</f>
        <v>0.62292639203932298</v>
      </c>
      <c r="T75">
        <f t="shared" ref="T75" si="354">S75/1000</f>
        <v>6.2292639203932298E-4</v>
      </c>
    </row>
    <row r="76" spans="1:20" x14ac:dyDescent="0.25">
      <c r="A76" s="5">
        <v>44517</v>
      </c>
      <c r="B76">
        <v>30681.07</v>
      </c>
      <c r="C76">
        <v>31279</v>
      </c>
      <c r="D76">
        <v>29783.95</v>
      </c>
      <c r="E76">
        <v>31205.78</v>
      </c>
      <c r="F76">
        <v>281.81299999999999</v>
      </c>
      <c r="G76">
        <v>31205.78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0.90205009865890617</v>
      </c>
      <c r="Q76">
        <f t="shared" ref="Q76" si="356">F76*P76</f>
        <v>254.20944445336232</v>
      </c>
      <c r="R76">
        <f t="shared" ref="R76" si="357">R77+Q76</f>
        <v>62825.967502008767</v>
      </c>
      <c r="S76">
        <f t="shared" ref="S76" si="358">R76/100000</f>
        <v>0.62825967502008762</v>
      </c>
      <c r="T76">
        <f t="shared" ref="T76" si="359">S76/1000</f>
        <v>6.2825967502008761E-4</v>
      </c>
    </row>
    <row r="77" spans="1:20" x14ac:dyDescent="0.25">
      <c r="A77" s="5">
        <v>44516</v>
      </c>
      <c r="B77">
        <v>33434.879999999997</v>
      </c>
      <c r="C77">
        <v>33434.89</v>
      </c>
      <c r="D77">
        <v>29743.9</v>
      </c>
      <c r="E77">
        <v>30671.55</v>
      </c>
      <c r="F77">
        <v>661.06050000000005</v>
      </c>
      <c r="G77">
        <v>30671.55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-0.49734353113934293</v>
      </c>
      <c r="Q77">
        <f t="shared" ref="Q77" si="361">F77*P77</f>
        <v>-328.77416336673963</v>
      </c>
      <c r="R77">
        <f t="shared" ref="R77" si="362">R78+Q77</f>
        <v>62571.758057555402</v>
      </c>
      <c r="S77">
        <f t="shared" ref="S77" si="363">R77/100000</f>
        <v>0.62571758057555404</v>
      </c>
      <c r="T77">
        <f t="shared" ref="T77" si="364">S77/1000</f>
        <v>6.2571758057555402E-4</v>
      </c>
    </row>
    <row r="78" spans="1:20" x14ac:dyDescent="0.25">
      <c r="A78" s="5">
        <v>44515</v>
      </c>
      <c r="B78">
        <v>33575.42</v>
      </c>
      <c r="C78">
        <v>35394.129999999997</v>
      </c>
      <c r="D78">
        <v>33388.6</v>
      </c>
      <c r="E78">
        <v>33449.08</v>
      </c>
      <c r="F78">
        <v>828.79462999999998</v>
      </c>
      <c r="G78">
        <v>33449.08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-0.93968676609175306</v>
      </c>
      <c r="Q78">
        <f t="shared" ref="Q78" si="366">F78*P78</f>
        <v>-778.80734561891097</v>
      </c>
      <c r="R78">
        <f t="shared" ref="R78" si="367">R79+Q78</f>
        <v>62900.532220922141</v>
      </c>
      <c r="S78">
        <f t="shared" ref="S78" si="368">R78/100000</f>
        <v>0.62900532220922145</v>
      </c>
      <c r="T78">
        <f t="shared" ref="T78" si="369">S78/1000</f>
        <v>6.2900532220922141E-4</v>
      </c>
    </row>
    <row r="79" spans="1:20" x14ac:dyDescent="0.25">
      <c r="A79" s="5">
        <v>44514</v>
      </c>
      <c r="B79">
        <v>32720.39</v>
      </c>
      <c r="C79">
        <v>34506.33</v>
      </c>
      <c r="D79">
        <v>32715.31</v>
      </c>
      <c r="E79">
        <v>33574.559999999998</v>
      </c>
      <c r="F79">
        <v>454.27555000000001</v>
      </c>
      <c r="G79">
        <v>33574.559999999998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-4.0490893457363793E-2</v>
      </c>
      <c r="Q79">
        <f t="shared" ref="Q79" si="371">F79*P79</f>
        <v>-18.39402289533534</v>
      </c>
      <c r="R79">
        <f t="shared" ref="R79" si="372">R80+Q79</f>
        <v>63679.33956654105</v>
      </c>
      <c r="S79">
        <f t="shared" ref="S79" si="373">R79/100000</f>
        <v>0.63679339566541049</v>
      </c>
      <c r="T79">
        <f t="shared" ref="T79" si="374">S79/1000</f>
        <v>6.3679339566541046E-4</v>
      </c>
    </row>
    <row r="80" spans="1:20" x14ac:dyDescent="0.25">
      <c r="A80" s="5">
        <v>44513</v>
      </c>
      <c r="B80">
        <v>32232.71</v>
      </c>
      <c r="C80">
        <v>33070.699999999997</v>
      </c>
      <c r="D80">
        <v>32143.66</v>
      </c>
      <c r="E80">
        <v>32703.73</v>
      </c>
      <c r="F80">
        <v>265.78964000000002</v>
      </c>
      <c r="G80">
        <v>32703.73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0.20829737659648209</v>
      </c>
      <c r="Q80">
        <f t="shared" ref="Q80" si="376">F80*P80</f>
        <v>55.363284738523404</v>
      </c>
      <c r="R80">
        <f t="shared" ref="R80" si="377">R81+Q80</f>
        <v>63697.733589436386</v>
      </c>
      <c r="S80">
        <f t="shared" ref="S80" si="378">R80/100000</f>
        <v>0.63697733589436389</v>
      </c>
      <c r="T80">
        <f t="shared" ref="T80" si="379">S80/1000</f>
        <v>6.3697733589436391E-4</v>
      </c>
    </row>
    <row r="81" spans="1:20" x14ac:dyDescent="0.25">
      <c r="A81" s="5">
        <v>44512</v>
      </c>
      <c r="B81">
        <v>33700</v>
      </c>
      <c r="C81">
        <v>35601.68</v>
      </c>
      <c r="D81">
        <v>31701.5</v>
      </c>
      <c r="E81">
        <v>32240.91</v>
      </c>
      <c r="F81">
        <v>740.14378999999997</v>
      </c>
      <c r="G81">
        <v>32240.91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-0.72339225369085536</v>
      </c>
      <c r="Q81">
        <f t="shared" ref="Q81" si="381">F81*P81</f>
        <v>-535.41428430339113</v>
      </c>
      <c r="R81">
        <f t="shared" ref="R81" si="382">R82+Q81</f>
        <v>63642.370304697863</v>
      </c>
      <c r="S81">
        <f t="shared" ref="S81" si="383">R81/100000</f>
        <v>0.63642370304697859</v>
      </c>
      <c r="T81">
        <f t="shared" ref="T81" si="384">S81/1000</f>
        <v>6.364237030469786E-4</v>
      </c>
    </row>
    <row r="82" spans="1:20" x14ac:dyDescent="0.25">
      <c r="A82" s="5">
        <v>44511</v>
      </c>
      <c r="B82">
        <v>32932.06</v>
      </c>
      <c r="C82">
        <v>34999.93</v>
      </c>
      <c r="D82">
        <v>32557.56</v>
      </c>
      <c r="E82">
        <v>33708.76</v>
      </c>
      <c r="F82">
        <v>442.93457000000001</v>
      </c>
      <c r="G82">
        <v>33708.76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-5.7309089122449745E-2</v>
      </c>
      <c r="Q82">
        <f t="shared" ref="Q82" si="386">F82*P82</f>
        <v>-25.384176747543957</v>
      </c>
      <c r="R82">
        <f t="shared" ref="R82" si="387">R83+Q82</f>
        <v>64177.784589001254</v>
      </c>
      <c r="S82">
        <f t="shared" ref="S82" si="388">R82/100000</f>
        <v>0.64177784589001252</v>
      </c>
      <c r="T82">
        <f t="shared" ref="T82" si="389">S82/1000</f>
        <v>6.417778458900125E-4</v>
      </c>
    </row>
    <row r="83" spans="1:20" x14ac:dyDescent="0.25">
      <c r="A83" s="5">
        <v>44510</v>
      </c>
      <c r="B83">
        <v>34549.54</v>
      </c>
      <c r="C83">
        <v>35840.800000000003</v>
      </c>
      <c r="D83">
        <v>32472.42</v>
      </c>
      <c r="E83">
        <v>32950.51</v>
      </c>
      <c r="F83">
        <v>665.99819000000002</v>
      </c>
      <c r="G83">
        <v>32950.51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-0.71613060284172025</v>
      </c>
      <c r="Q83">
        <f t="shared" ref="Q83" si="391">F83*P83</f>
        <v>-476.94168529619458</v>
      </c>
      <c r="R83">
        <f t="shared" ref="R83" si="392">R84+Q83</f>
        <v>64203.1687657488</v>
      </c>
      <c r="S83">
        <f t="shared" ref="S83" si="393">R83/100000</f>
        <v>0.64203168765748797</v>
      </c>
      <c r="T83">
        <f t="shared" ref="T83" si="394">S83/1000</f>
        <v>6.4203168765748797E-4</v>
      </c>
    </row>
    <row r="84" spans="1:20" x14ac:dyDescent="0.25">
      <c r="A84" s="5">
        <v>44509</v>
      </c>
      <c r="B84">
        <v>35658.629999999997</v>
      </c>
      <c r="C84">
        <v>35695.440000000002</v>
      </c>
      <c r="D84">
        <v>34446.660000000003</v>
      </c>
      <c r="E84">
        <v>34549.54</v>
      </c>
      <c r="F84">
        <v>343.85897</v>
      </c>
      <c r="G84">
        <v>34549.54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-0.8352311856371859</v>
      </c>
      <c r="Q84">
        <f t="shared" ref="Q84" si="396">F84*P84</f>
        <v>-287.20173520508155</v>
      </c>
      <c r="R84">
        <f t="shared" ref="R84" si="397">R85+Q84</f>
        <v>64680.110451044995</v>
      </c>
      <c r="S84">
        <f t="shared" ref="S84" si="398">R84/100000</f>
        <v>0.64680110451044992</v>
      </c>
      <c r="T84">
        <f t="shared" ref="T84" si="399">S84/1000</f>
        <v>6.468011045104499E-4</v>
      </c>
    </row>
    <row r="85" spans="1:20" x14ac:dyDescent="0.25">
      <c r="A85" s="5">
        <v>44508</v>
      </c>
      <c r="B85">
        <v>35537.85</v>
      </c>
      <c r="C85">
        <v>36414.410000000003</v>
      </c>
      <c r="D85">
        <v>35096.81</v>
      </c>
      <c r="E85">
        <v>35641.29</v>
      </c>
      <c r="F85">
        <v>443.85926999999998</v>
      </c>
      <c r="G85">
        <v>35641.29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-0.17352762598664118</v>
      </c>
      <c r="Q85">
        <f t="shared" ref="Q85" si="401">F85*P85</f>
        <v>-77.021845395263583</v>
      </c>
      <c r="R85">
        <f t="shared" ref="R85" si="402">R86+Q85</f>
        <v>64967.312186250078</v>
      </c>
      <c r="S85">
        <f t="shared" ref="S85" si="403">R85/100000</f>
        <v>0.64967312186250081</v>
      </c>
      <c r="T85">
        <f t="shared" ref="T85" si="404">S85/1000</f>
        <v>6.496731218625008E-4</v>
      </c>
    </row>
    <row r="86" spans="1:20" x14ac:dyDescent="0.25">
      <c r="A86" s="5">
        <v>44507</v>
      </c>
      <c r="B86">
        <v>33877.730000000003</v>
      </c>
      <c r="C86">
        <v>35537.85</v>
      </c>
      <c r="D86">
        <v>33453.1</v>
      </c>
      <c r="E86">
        <v>35515.730000000003</v>
      </c>
      <c r="F86">
        <v>359.35872999999998</v>
      </c>
      <c r="G86">
        <v>35515.730000000003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0.97877923012352053</v>
      </c>
      <c r="Q86">
        <f t="shared" ref="Q86" si="406">F86*P86</f>
        <v>351.73286108756605</v>
      </c>
      <c r="R86">
        <f t="shared" ref="R86" si="407">R87+Q86</f>
        <v>65044.33403164534</v>
      </c>
      <c r="S86">
        <f t="shared" ref="S86" si="408">R86/100000</f>
        <v>0.65044334031645334</v>
      </c>
      <c r="T86">
        <f t="shared" ref="T86" si="409">S86/1000</f>
        <v>6.504433403164533E-4</v>
      </c>
    </row>
    <row r="87" spans="1:20" x14ac:dyDescent="0.25">
      <c r="A87" s="5">
        <v>44506</v>
      </c>
      <c r="B87">
        <v>34006.21</v>
      </c>
      <c r="C87">
        <v>34027.120000000003</v>
      </c>
      <c r="D87">
        <v>32350</v>
      </c>
      <c r="E87">
        <v>33860.61</v>
      </c>
      <c r="F87">
        <v>297.38022999999998</v>
      </c>
      <c r="G87">
        <v>33860.61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0.80143340965464394</v>
      </c>
      <c r="Q87">
        <f t="shared" ref="Q87" si="411">F87*P87</f>
        <v>238.33045169278222</v>
      </c>
      <c r="R87">
        <f t="shared" ref="R87" si="412">R88+Q87</f>
        <v>64692.601170557777</v>
      </c>
      <c r="S87">
        <f t="shared" ref="S87" si="413">R87/100000</f>
        <v>0.64692601170557773</v>
      </c>
      <c r="T87">
        <f t="shared" ref="T87" si="414">S87/1000</f>
        <v>6.4692601170557773E-4</v>
      </c>
    </row>
    <row r="88" spans="1:20" x14ac:dyDescent="0.25">
      <c r="A88" s="5">
        <v>44505</v>
      </c>
      <c r="B88">
        <v>33970.660000000003</v>
      </c>
      <c r="C88">
        <v>34410.620000000003</v>
      </c>
      <c r="D88">
        <v>33694.720000000001</v>
      </c>
      <c r="E88">
        <v>34006.21</v>
      </c>
      <c r="F88">
        <v>229.08507</v>
      </c>
      <c r="G88">
        <v>34006.21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-0.12979466405923362</v>
      </c>
      <c r="Q88">
        <f t="shared" ref="Q88" si="416">F88*P88</f>
        <v>-29.734019701636019</v>
      </c>
      <c r="R88">
        <f t="shared" ref="R88" si="417">R89+Q88</f>
        <v>64454.270718864995</v>
      </c>
      <c r="S88">
        <f t="shared" ref="S88" si="418">R88/100000</f>
        <v>0.64454270718864992</v>
      </c>
      <c r="T88">
        <f t="shared" ref="T88" si="419">S88/1000</f>
        <v>6.4454270718864988E-4</v>
      </c>
    </row>
    <row r="89" spans="1:20" x14ac:dyDescent="0.25">
      <c r="A89" s="5">
        <v>44504</v>
      </c>
      <c r="B89">
        <v>34691.800000000003</v>
      </c>
      <c r="C89">
        <v>34691.800000000003</v>
      </c>
      <c r="D89">
        <v>32500</v>
      </c>
      <c r="E89">
        <v>33962.19</v>
      </c>
      <c r="F89">
        <v>382.18657000000002</v>
      </c>
      <c r="G89">
        <v>33962.19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0.3342367004288716</v>
      </c>
      <c r="Q89">
        <f t="shared" ref="Q89" si="421">F89*P89</f>
        <v>127.74077810502797</v>
      </c>
      <c r="R89">
        <f t="shared" ref="R89" si="422">R90+Q89</f>
        <v>64484.004738566633</v>
      </c>
      <c r="S89">
        <f t="shared" ref="S89" si="423">R89/100000</f>
        <v>0.64484004738566636</v>
      </c>
      <c r="T89">
        <f t="shared" ref="T89" si="424">S89/1000</f>
        <v>6.4484004738566639E-4</v>
      </c>
    </row>
    <row r="90" spans="1:20" x14ac:dyDescent="0.25">
      <c r="A90" s="5">
        <v>44503</v>
      </c>
      <c r="B90">
        <v>35021.15</v>
      </c>
      <c r="C90">
        <v>35491.339999999997</v>
      </c>
      <c r="D90">
        <v>33689</v>
      </c>
      <c r="E90">
        <v>34696.97</v>
      </c>
      <c r="F90">
        <v>349.67811999999998</v>
      </c>
      <c r="G90">
        <v>34696.97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0.11851260028629794</v>
      </c>
      <c r="Q90">
        <f t="shared" ref="Q90" si="426">F90*P90</f>
        <v>41.441263264424123</v>
      </c>
      <c r="R90">
        <f t="shared" ref="R90" si="427">R91+Q90</f>
        <v>64356.263960461605</v>
      </c>
      <c r="S90">
        <f t="shared" ref="S90" si="428">R90/100000</f>
        <v>0.64356263960461602</v>
      </c>
      <c r="T90">
        <f t="shared" ref="T90" si="429">S90/1000</f>
        <v>6.4356263960461599E-4</v>
      </c>
    </row>
    <row r="91" spans="1:20" x14ac:dyDescent="0.25">
      <c r="A91" s="5">
        <v>44502</v>
      </c>
      <c r="B91">
        <v>34757.67</v>
      </c>
      <c r="C91">
        <v>35371</v>
      </c>
      <c r="D91">
        <v>34265.22</v>
      </c>
      <c r="E91">
        <v>35016.14</v>
      </c>
      <c r="F91">
        <v>312.22552999999999</v>
      </c>
      <c r="G91">
        <v>35016.14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0.35817251171118858</v>
      </c>
      <c r="Q91">
        <f t="shared" ref="Q91" si="431">F91*P91</f>
        <v>111.83060230045706</v>
      </c>
      <c r="R91">
        <f t="shared" ref="R91" si="432">R92+Q91</f>
        <v>64314.822697197182</v>
      </c>
      <c r="S91">
        <f t="shared" ref="S91" si="433">R91/100000</f>
        <v>0.64314822697197183</v>
      </c>
      <c r="T91">
        <f t="shared" ref="T91" si="434">S91/1000</f>
        <v>6.4314822697197178E-4</v>
      </c>
    </row>
    <row r="92" spans="1:20" x14ac:dyDescent="0.25">
      <c r="A92" s="5">
        <v>44501</v>
      </c>
      <c r="B92">
        <v>34117.69</v>
      </c>
      <c r="C92">
        <v>35000</v>
      </c>
      <c r="D92">
        <v>33255</v>
      </c>
      <c r="E92">
        <v>34757.660000000003</v>
      </c>
      <c r="F92">
        <v>375.40348999999998</v>
      </c>
      <c r="G92">
        <v>34757.660000000003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0.72224641833811287</v>
      </c>
      <c r="Q92">
        <f t="shared" ref="Q92" si="436">F92*P92</f>
        <v>271.13382608412758</v>
      </c>
      <c r="R92">
        <f t="shared" ref="R92" si="437">R93+Q92</f>
        <v>64202.992094896726</v>
      </c>
      <c r="S92">
        <f t="shared" ref="S92" si="438">R92/100000</f>
        <v>0.64202992094896727</v>
      </c>
      <c r="T92">
        <f t="shared" ref="T92" si="439">S92/1000</f>
        <v>6.4202992094896728E-4</v>
      </c>
    </row>
    <row r="93" spans="1:20" x14ac:dyDescent="0.25">
      <c r="A93" s="5">
        <v>44500</v>
      </c>
      <c r="B93">
        <v>33759.5</v>
      </c>
      <c r="C93">
        <v>34318.26</v>
      </c>
      <c r="D93">
        <v>33150</v>
      </c>
      <c r="E93">
        <v>34123.58</v>
      </c>
      <c r="F93">
        <v>302.52273000000002</v>
      </c>
      <c r="G93">
        <v>34123.58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0.66671802509715317</v>
      </c>
      <c r="Q93">
        <f t="shared" ref="Q93" si="441">F93*P93</f>
        <v>201.6973570925993</v>
      </c>
      <c r="R93">
        <f t="shared" ref="R93" si="442">R94+Q93</f>
        <v>63931.858268812597</v>
      </c>
      <c r="S93">
        <f t="shared" ref="S93" si="443">R93/100000</f>
        <v>0.63931858268812602</v>
      </c>
      <c r="T93">
        <f t="shared" ref="T93" si="444">S93/1000</f>
        <v>6.3931858268812599E-4</v>
      </c>
    </row>
    <row r="94" spans="1:20" x14ac:dyDescent="0.25">
      <c r="A94" s="5">
        <v>44499</v>
      </c>
      <c r="B94">
        <v>35053.75</v>
      </c>
      <c r="C94">
        <v>35066.86</v>
      </c>
      <c r="D94">
        <v>33423.1</v>
      </c>
      <c r="E94">
        <v>33765.019999999997</v>
      </c>
      <c r="F94">
        <v>431.84759000000003</v>
      </c>
      <c r="G94">
        <v>33765.019999999997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-0.58397819633036718</v>
      </c>
      <c r="Q94">
        <f t="shared" ref="Q94" si="446">F94*P94</f>
        <v>-252.18957669781594</v>
      </c>
      <c r="R94">
        <f t="shared" ref="R94" si="447">R95+Q94</f>
        <v>63730.160911719999</v>
      </c>
      <c r="S94">
        <f t="shared" ref="S94" si="448">R94/100000</f>
        <v>0.63730160911720002</v>
      </c>
      <c r="T94">
        <f t="shared" ref="T94" si="449">S94/1000</f>
        <v>6.3730160911719999E-4</v>
      </c>
    </row>
    <row r="95" spans="1:20" x14ac:dyDescent="0.25">
      <c r="A95" s="5">
        <v>44498</v>
      </c>
      <c r="B95">
        <v>34157.050000000003</v>
      </c>
      <c r="C95">
        <v>35562</v>
      </c>
      <c r="D95">
        <v>34062.949999999997</v>
      </c>
      <c r="E95">
        <v>35053.75</v>
      </c>
      <c r="F95">
        <v>430.46032000000002</v>
      </c>
      <c r="G95">
        <v>35053.75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0.32190387245255458</v>
      </c>
      <c r="Q95">
        <f t="shared" ref="Q95" si="451">F95*P95</f>
        <v>138.56684394516583</v>
      </c>
      <c r="R95">
        <f t="shared" ref="R95" si="452">R96+Q95</f>
        <v>63982.350488417811</v>
      </c>
      <c r="S95">
        <f t="shared" ref="S95" si="453">R95/100000</f>
        <v>0.63982350488417816</v>
      </c>
      <c r="T95">
        <f t="shared" ref="T95" si="454">S95/1000</f>
        <v>6.3982350488417817E-4</v>
      </c>
    </row>
    <row r="96" spans="1:20" x14ac:dyDescent="0.25">
      <c r="A96" s="5">
        <v>44497</v>
      </c>
      <c r="B96">
        <v>33924.519999999997</v>
      </c>
      <c r="C96">
        <v>35090.26</v>
      </c>
      <c r="D96">
        <v>33332.78</v>
      </c>
      <c r="E96">
        <v>34125.870000000003</v>
      </c>
      <c r="F96">
        <v>550.98725999999999</v>
      </c>
      <c r="G96">
        <v>34125.870000000003</v>
      </c>
      <c r="L96" t="s">
        <v>7</v>
      </c>
      <c r="M96" t="s">
        <v>8</v>
      </c>
      <c r="N96" t="s">
        <v>8</v>
      </c>
      <c r="P96">
        <f t="shared" ref="P96" si="455">IF(C96=D96,0,((E96-D96)-(C96-E96))/(C96-D96))</f>
        <v>-9.7469103489083983E-2</v>
      </c>
      <c r="Q96">
        <f t="shared" ref="Q96" si="456">F96*P96</f>
        <v>-53.704234266106823</v>
      </c>
      <c r="R96">
        <f t="shared" ref="R96" si="457">R97+Q96</f>
        <v>63843.783644472642</v>
      </c>
      <c r="S96">
        <f t="shared" ref="S96" si="458">R96/100000</f>
        <v>0.6384378364447264</v>
      </c>
      <c r="T96">
        <f t="shared" ref="T96" si="459">S96/1000</f>
        <v>6.3843783644472636E-4</v>
      </c>
    </row>
    <row r="97" spans="1:20" x14ac:dyDescent="0.25">
      <c r="A97" s="5">
        <v>44496</v>
      </c>
      <c r="B97">
        <v>37654.14</v>
      </c>
      <c r="C97">
        <v>39554.29</v>
      </c>
      <c r="D97">
        <v>33757.760000000002</v>
      </c>
      <c r="E97">
        <v>33926.44</v>
      </c>
      <c r="F97">
        <v>1035.6514500000001</v>
      </c>
      <c r="G97">
        <v>33926.44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-0.94179966290177042</v>
      </c>
      <c r="Q97">
        <f t="shared" ref="Q97" si="461">F97*P97</f>
        <v>-975.37618649372985</v>
      </c>
      <c r="R97">
        <f t="shared" ref="R97" si="462">R98+Q97</f>
        <v>63897.48787873875</v>
      </c>
      <c r="S97">
        <f t="shared" ref="S97" si="463">R97/100000</f>
        <v>0.63897487878738746</v>
      </c>
      <c r="T97">
        <f t="shared" ref="T97" si="464">S97/1000</f>
        <v>6.3897487878738742E-4</v>
      </c>
    </row>
    <row r="98" spans="1:20" x14ac:dyDescent="0.25">
      <c r="A98" s="5">
        <v>44495</v>
      </c>
      <c r="B98">
        <v>34807.32</v>
      </c>
      <c r="C98">
        <v>38842.29</v>
      </c>
      <c r="D98">
        <v>34718.910000000003</v>
      </c>
      <c r="E98">
        <v>37655.760000000002</v>
      </c>
      <c r="F98">
        <v>936.96284000000003</v>
      </c>
      <c r="G98">
        <v>37655.760000000002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0.42448670750694839</v>
      </c>
      <c r="Q98">
        <f t="shared" ref="Q98" si="466">F98*P98</f>
        <v>397.72827100795968</v>
      </c>
      <c r="R98">
        <f t="shared" ref="R98" si="467">R99+Q98</f>
        <v>64872.864065232483</v>
      </c>
      <c r="S98">
        <f t="shared" ref="S98" si="468">R98/100000</f>
        <v>0.64872864065232483</v>
      </c>
      <c r="T98">
        <f t="shared" ref="T98" si="469">S98/1000</f>
        <v>6.4872864065232481E-4</v>
      </c>
    </row>
    <row r="99" spans="1:20" x14ac:dyDescent="0.25">
      <c r="A99" s="5">
        <v>44494</v>
      </c>
      <c r="B99">
        <v>34519.620000000003</v>
      </c>
      <c r="C99">
        <v>35096.97</v>
      </c>
      <c r="D99">
        <v>34350</v>
      </c>
      <c r="E99">
        <v>34777.279999999999</v>
      </c>
      <c r="F99">
        <v>217.37039999999999</v>
      </c>
      <c r="G99">
        <v>34777.279999999999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0.14403523568549786</v>
      </c>
      <c r="Q99">
        <f t="shared" ref="Q99" si="471">F99*P99</f>
        <v>31.308996795050945</v>
      </c>
      <c r="R99">
        <f t="shared" ref="R99" si="472">R100+Q99</f>
        <v>64475.135794224523</v>
      </c>
      <c r="S99">
        <f t="shared" ref="S99" si="473">R99/100000</f>
        <v>0.64475135794224525</v>
      </c>
      <c r="T99">
        <f t="shared" ref="T99" si="474">S99/1000</f>
        <v>6.4475135794224523E-4</v>
      </c>
    </row>
    <row r="100" spans="1:20" x14ac:dyDescent="0.25">
      <c r="A100" s="5">
        <v>44493</v>
      </c>
      <c r="B100">
        <v>35790.28</v>
      </c>
      <c r="C100">
        <v>35904.699999999997</v>
      </c>
      <c r="D100">
        <v>33951.69</v>
      </c>
      <c r="E100">
        <v>34527.22</v>
      </c>
      <c r="F100">
        <v>280.45965999999999</v>
      </c>
      <c r="G100">
        <v>34527.22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-0.4106225774573603</v>
      </c>
      <c r="Q100">
        <f t="shared" ref="Q100" si="476">F100*P100</f>
        <v>-115.16306846201493</v>
      </c>
      <c r="R100">
        <f t="shared" ref="R100" si="477">R101+Q100</f>
        <v>64443.826797429472</v>
      </c>
      <c r="S100">
        <f t="shared" ref="S100" si="478">R100/100000</f>
        <v>0.64443826797429471</v>
      </c>
      <c r="T100">
        <f t="shared" ref="T100" si="479">S100/1000</f>
        <v>6.4443826797429466E-4</v>
      </c>
    </row>
    <row r="101" spans="1:20" x14ac:dyDescent="0.25">
      <c r="A101" s="5">
        <v>44492</v>
      </c>
      <c r="B101">
        <v>34613.129999999997</v>
      </c>
      <c r="C101">
        <v>35823.67</v>
      </c>
      <c r="D101">
        <v>34408.26</v>
      </c>
      <c r="E101">
        <v>35790.28</v>
      </c>
      <c r="F101">
        <v>409.68671000000001</v>
      </c>
      <c r="G101">
        <v>35790.28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0.95281932443602979</v>
      </c>
      <c r="Q101">
        <f t="shared" ref="Q101" si="481">F101*P101</f>
        <v>390.35741425261966</v>
      </c>
      <c r="R101">
        <f t="shared" ref="R101" si="482">R102+Q101</f>
        <v>64558.98986589149</v>
      </c>
      <c r="S101">
        <f t="shared" ref="S101" si="483">R101/100000</f>
        <v>0.64558989865891492</v>
      </c>
      <c r="T101">
        <f t="shared" ref="T101" si="484">S101/1000</f>
        <v>6.4558989865891488E-4</v>
      </c>
    </row>
    <row r="102" spans="1:20" x14ac:dyDescent="0.25">
      <c r="A102" s="5">
        <v>44491</v>
      </c>
      <c r="B102">
        <v>34314.57</v>
      </c>
      <c r="C102">
        <v>34865.11</v>
      </c>
      <c r="D102">
        <v>33513.39</v>
      </c>
      <c r="E102">
        <v>34592.379999999997</v>
      </c>
      <c r="F102">
        <v>431.12808999999999</v>
      </c>
      <c r="G102">
        <v>34592.379999999997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0.596469683070454</v>
      </c>
      <c r="Q102">
        <f t="shared" ref="Q102" si="486">F102*P102</f>
        <v>257.15483520507019</v>
      </c>
      <c r="R102">
        <f t="shared" ref="R102" si="487">R103+Q102</f>
        <v>64168.63245163887</v>
      </c>
      <c r="S102">
        <f t="shared" ref="S102" si="488">R102/100000</f>
        <v>0.64168632451638874</v>
      </c>
      <c r="T102">
        <f t="shared" ref="T102" si="489">S102/1000</f>
        <v>6.4168632451638873E-4</v>
      </c>
    </row>
    <row r="103" spans="1:20" x14ac:dyDescent="0.25">
      <c r="A103" s="5">
        <v>44490</v>
      </c>
      <c r="B103">
        <v>36063.03</v>
      </c>
      <c r="C103">
        <v>36628.769999999997</v>
      </c>
      <c r="D103">
        <v>34200</v>
      </c>
      <c r="E103">
        <v>34295.69</v>
      </c>
      <c r="F103">
        <v>539.80628999999999</v>
      </c>
      <c r="G103">
        <v>34295.69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-0.92120291340884275</v>
      </c>
      <c r="Q103">
        <f t="shared" ref="Q103" si="491">F103*P103</f>
        <v>-497.27112702441866</v>
      </c>
      <c r="R103">
        <f t="shared" ref="R103" si="492">R104+Q103</f>
        <v>63911.477616433804</v>
      </c>
      <c r="S103">
        <f t="shared" ref="S103" si="493">R103/100000</f>
        <v>0.63911477616433798</v>
      </c>
      <c r="T103">
        <f t="shared" ref="T103" si="494">S103/1000</f>
        <v>6.3911477616433797E-4</v>
      </c>
    </row>
    <row r="104" spans="1:20" x14ac:dyDescent="0.25">
      <c r="A104" s="5">
        <v>44489</v>
      </c>
      <c r="B104">
        <v>34766.959999999999</v>
      </c>
      <c r="C104">
        <v>36197.870000000003</v>
      </c>
      <c r="D104">
        <v>34186.54</v>
      </c>
      <c r="E104">
        <v>36073.519999999997</v>
      </c>
      <c r="F104">
        <v>286.13155</v>
      </c>
      <c r="G104">
        <v>36073.519999999997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0.87635047456160275</v>
      </c>
      <c r="Q104">
        <f t="shared" ref="Q104" si="496">F104*P104</f>
        <v>250.75151962954698</v>
      </c>
      <c r="R104">
        <f t="shared" ref="R104" si="497">R105+Q104</f>
        <v>64408.748743458222</v>
      </c>
      <c r="S104">
        <f t="shared" ref="S104" si="498">R104/100000</f>
        <v>0.64408748743458222</v>
      </c>
      <c r="T104">
        <f t="shared" ref="T104" si="499">S104/1000</f>
        <v>6.4408748743458217E-4</v>
      </c>
    </row>
    <row r="105" spans="1:20" x14ac:dyDescent="0.25">
      <c r="A105" s="5">
        <v>44488</v>
      </c>
      <c r="B105">
        <v>33850.94</v>
      </c>
      <c r="C105">
        <v>34766.959999999999</v>
      </c>
      <c r="D105">
        <v>33605.56</v>
      </c>
      <c r="E105">
        <v>34748.730000000003</v>
      </c>
      <c r="F105">
        <v>180.83232000000001</v>
      </c>
      <c r="G105">
        <v>34748.730000000003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0.96860685379714839</v>
      </c>
      <c r="Q105">
        <f t="shared" ref="Q105" si="501">F105*P105</f>
        <v>175.15542454003915</v>
      </c>
      <c r="R105">
        <f t="shared" ref="R105" si="502">R106+Q105</f>
        <v>64157.997223828672</v>
      </c>
      <c r="S105">
        <f t="shared" ref="S105" si="503">R105/100000</f>
        <v>0.64157997223828667</v>
      </c>
      <c r="T105">
        <f t="shared" ref="T105" si="504">S105/1000</f>
        <v>6.4157997223828671E-4</v>
      </c>
    </row>
    <row r="106" spans="1:20" x14ac:dyDescent="0.25">
      <c r="A106" s="5">
        <v>44487</v>
      </c>
      <c r="B106">
        <v>34798.54</v>
      </c>
      <c r="C106">
        <v>35000</v>
      </c>
      <c r="D106">
        <v>33314.57</v>
      </c>
      <c r="E106">
        <v>33852.75</v>
      </c>
      <c r="F106">
        <v>271.20271000000002</v>
      </c>
      <c r="G106">
        <v>33852.75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-0.36137365538764565</v>
      </c>
      <c r="Q106">
        <f t="shared" ref="Q106" si="506">F106*P106</f>
        <v>-98.00551466373561</v>
      </c>
      <c r="R106">
        <f t="shared" ref="R106" si="507">R107+Q106</f>
        <v>63982.841799288632</v>
      </c>
      <c r="S106">
        <f t="shared" ref="S106" si="508">R106/100000</f>
        <v>0.63982841799288637</v>
      </c>
      <c r="T106">
        <f t="shared" ref="T106" si="509">S106/1000</f>
        <v>6.3982841799288634E-4</v>
      </c>
    </row>
    <row r="107" spans="1:20" x14ac:dyDescent="0.25">
      <c r="A107" s="5">
        <v>44486</v>
      </c>
      <c r="B107">
        <v>35139.19</v>
      </c>
      <c r="C107">
        <v>35608.230000000003</v>
      </c>
      <c r="D107">
        <v>33088.06</v>
      </c>
      <c r="E107">
        <v>34827.050000000003</v>
      </c>
      <c r="F107">
        <v>232.43271999999999</v>
      </c>
      <c r="G107">
        <v>34827.050000000003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0.38005769452060889</v>
      </c>
      <c r="Q107">
        <f t="shared" ref="Q107" si="511">F107*P107</f>
        <v>88.33784369435422</v>
      </c>
      <c r="R107">
        <f t="shared" ref="R107" si="512">R108+Q107</f>
        <v>64080.84731395237</v>
      </c>
      <c r="S107">
        <f t="shared" ref="S107" si="513">R107/100000</f>
        <v>0.64080847313952372</v>
      </c>
      <c r="T107">
        <f t="shared" ref="T107" si="514">S107/1000</f>
        <v>6.4080847313952374E-4</v>
      </c>
    </row>
    <row r="108" spans="1:20" x14ac:dyDescent="0.25">
      <c r="A108" s="5">
        <v>44485</v>
      </c>
      <c r="B108">
        <v>35993.879999999997</v>
      </c>
      <c r="C108">
        <v>36363.519999999997</v>
      </c>
      <c r="D108">
        <v>34990.06</v>
      </c>
      <c r="E108">
        <v>35135</v>
      </c>
      <c r="F108">
        <v>297.30664000000002</v>
      </c>
      <c r="G108">
        <v>35135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-0.78894179663040431</v>
      </c>
      <c r="Q108">
        <f t="shared" ref="Q108" si="516">F108*P108</f>
        <v>-234.55763471174885</v>
      </c>
      <c r="R108">
        <f t="shared" ref="R108" si="517">R109+Q108</f>
        <v>63992.509470258017</v>
      </c>
      <c r="S108">
        <f t="shared" ref="S108" si="518">R108/100000</f>
        <v>0.63992509470258019</v>
      </c>
      <c r="T108">
        <f t="shared" ref="T108" si="519">S108/1000</f>
        <v>6.3992509470258015E-4</v>
      </c>
    </row>
    <row r="109" spans="1:20" x14ac:dyDescent="0.25">
      <c r="A109" s="5">
        <v>44484</v>
      </c>
      <c r="B109">
        <v>35413.06</v>
      </c>
      <c r="C109">
        <v>36674.1</v>
      </c>
      <c r="D109">
        <v>34634.81</v>
      </c>
      <c r="E109">
        <v>35994.14</v>
      </c>
      <c r="F109">
        <v>428.27625999999998</v>
      </c>
      <c r="G109">
        <v>35994.14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0.33314045574685419</v>
      </c>
      <c r="Q109">
        <f t="shared" ref="Q109" si="521">F109*P109</f>
        <v>142.67614844195822</v>
      </c>
      <c r="R109">
        <f t="shared" ref="R109" si="522">R110+Q109</f>
        <v>64227.067104969763</v>
      </c>
      <c r="S109">
        <f t="shared" ref="S109" si="523">R109/100000</f>
        <v>0.64227067104969759</v>
      </c>
      <c r="T109">
        <f t="shared" ref="T109" si="524">S109/1000</f>
        <v>6.422706710496976E-4</v>
      </c>
    </row>
    <row r="110" spans="1:20" x14ac:dyDescent="0.25">
      <c r="A110" s="5">
        <v>44483</v>
      </c>
      <c r="B110">
        <v>34626.94</v>
      </c>
      <c r="C110">
        <v>36112.47</v>
      </c>
      <c r="D110">
        <v>34438.080000000002</v>
      </c>
      <c r="E110">
        <v>35442.800000000003</v>
      </c>
      <c r="F110">
        <v>307.74196000000001</v>
      </c>
      <c r="G110">
        <v>35442.800000000003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0.20010272397709197</v>
      </c>
      <c r="Q110">
        <f t="shared" ref="Q110" si="526">F110*P110</f>
        <v>61.580004478049283</v>
      </c>
      <c r="R110">
        <f t="shared" ref="R110" si="527">R111+Q110</f>
        <v>64084.390956527808</v>
      </c>
      <c r="S110">
        <f t="shared" ref="S110" si="528">R110/100000</f>
        <v>0.64084390956527804</v>
      </c>
      <c r="T110">
        <f t="shared" ref="T110" si="529">S110/1000</f>
        <v>6.4084390956527801E-4</v>
      </c>
    </row>
    <row r="111" spans="1:20" x14ac:dyDescent="0.25">
      <c r="A111" s="5">
        <v>44482</v>
      </c>
      <c r="B111">
        <v>34827.14</v>
      </c>
      <c r="C111">
        <v>35660.07</v>
      </c>
      <c r="D111">
        <v>34102.949999999997</v>
      </c>
      <c r="E111">
        <v>34626.94</v>
      </c>
      <c r="F111">
        <v>500.71095000000003</v>
      </c>
      <c r="G111">
        <v>34626.94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-0.32697544184134253</v>
      </c>
      <c r="Q111">
        <f t="shared" ref="Q111" si="531">F111*P111</f>
        <v>-163.72018411104838</v>
      </c>
      <c r="R111">
        <f t="shared" ref="R111" si="532">R112+Q111</f>
        <v>64022.81095204976</v>
      </c>
      <c r="S111">
        <f t="shared" ref="S111" si="533">R111/100000</f>
        <v>0.64022810952049758</v>
      </c>
      <c r="T111">
        <f t="shared" ref="T111" si="534">S111/1000</f>
        <v>6.4022810952049755E-4</v>
      </c>
    </row>
    <row r="112" spans="1:20" x14ac:dyDescent="0.25">
      <c r="A112" s="5">
        <v>44481</v>
      </c>
      <c r="B112">
        <v>35526.79</v>
      </c>
      <c r="C112">
        <v>35526.81</v>
      </c>
      <c r="D112">
        <v>33228.03</v>
      </c>
      <c r="E112">
        <v>34839.440000000002</v>
      </c>
      <c r="F112">
        <v>478.29714999999999</v>
      </c>
      <c r="G112">
        <v>34839.440000000002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0.40196974047103623</v>
      </c>
      <c r="Q112">
        <f t="shared" ref="Q112" si="536">F112*P112</f>
        <v>192.26098125353627</v>
      </c>
      <c r="R112">
        <f t="shared" ref="R112" si="537">R113+Q112</f>
        <v>64186.531136160811</v>
      </c>
      <c r="S112">
        <f t="shared" ref="S112" si="538">R112/100000</f>
        <v>0.64186531136160807</v>
      </c>
      <c r="T112">
        <f t="shared" ref="T112" si="539">S112/1000</f>
        <v>6.4186531136160808E-4</v>
      </c>
    </row>
    <row r="113" spans="1:20" x14ac:dyDescent="0.25">
      <c r="A113" s="5">
        <v>44480</v>
      </c>
      <c r="B113">
        <v>32577.48</v>
      </c>
      <c r="C113">
        <v>35549.29</v>
      </c>
      <c r="D113">
        <v>32110.11</v>
      </c>
      <c r="E113">
        <v>35518.79</v>
      </c>
      <c r="F113">
        <v>562.00728000000004</v>
      </c>
      <c r="G113">
        <v>35518.79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0.98226321390564031</v>
      </c>
      <c r="Q113">
        <f t="shared" ref="Q113" si="541">F113*P113</f>
        <v>552.03907709116709</v>
      </c>
      <c r="R113">
        <f t="shared" ref="R113" si="542">R114+Q113</f>
        <v>63994.270154907274</v>
      </c>
      <c r="S113">
        <f t="shared" ref="S113" si="543">R113/100000</f>
        <v>0.63994270154907273</v>
      </c>
      <c r="T113">
        <f t="shared" ref="T113" si="544">S113/1000</f>
        <v>6.3994270154907275E-4</v>
      </c>
    </row>
    <row r="114" spans="1:20" x14ac:dyDescent="0.25">
      <c r="A114" s="5">
        <v>44479</v>
      </c>
      <c r="B114">
        <v>34001.660000000003</v>
      </c>
      <c r="C114">
        <v>34900.400000000001</v>
      </c>
      <c r="D114">
        <v>32427.39</v>
      </c>
      <c r="E114">
        <v>32615.64</v>
      </c>
      <c r="F114">
        <v>438.12817999999999</v>
      </c>
      <c r="G114">
        <v>32615.64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-0.8477563778553262</v>
      </c>
      <c r="Q114">
        <f t="shared" ref="Q114" si="546">F114*P114</f>
        <v>-371.42595891314636</v>
      </c>
      <c r="R114">
        <f t="shared" ref="R114" si="547">R115+Q114</f>
        <v>63442.231077816105</v>
      </c>
      <c r="S114">
        <f t="shared" ref="S114" si="548">R114/100000</f>
        <v>0.63442231077816102</v>
      </c>
      <c r="T114">
        <f t="shared" ref="T114" si="549">S114/1000</f>
        <v>6.3442231077816106E-4</v>
      </c>
    </row>
    <row r="115" spans="1:20" x14ac:dyDescent="0.25">
      <c r="A115" s="5">
        <v>44478</v>
      </c>
      <c r="B115">
        <v>34629.17</v>
      </c>
      <c r="C115">
        <v>35359.99</v>
      </c>
      <c r="D115">
        <v>33792.629999999997</v>
      </c>
      <c r="E115">
        <v>33997.370000000003</v>
      </c>
      <c r="F115">
        <v>393.01314000000002</v>
      </c>
      <c r="G115">
        <v>33997.370000000003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-0.73874540628827434</v>
      </c>
      <c r="Q115">
        <f t="shared" ref="Q115" si="551">F115*P115</f>
        <v>-290.33665178593048</v>
      </c>
      <c r="R115">
        <f t="shared" ref="R115" si="552">R116+Q115</f>
        <v>63813.657036729252</v>
      </c>
      <c r="S115">
        <f t="shared" ref="S115" si="553">R115/100000</f>
        <v>0.63813657036729254</v>
      </c>
      <c r="T115">
        <f t="shared" ref="T115" si="554">S115/1000</f>
        <v>6.3813657036729254E-4</v>
      </c>
    </row>
    <row r="116" spans="1:20" x14ac:dyDescent="0.25">
      <c r="A116" s="5">
        <v>44477</v>
      </c>
      <c r="B116">
        <v>32188.15</v>
      </c>
      <c r="C116">
        <v>37458.75</v>
      </c>
      <c r="D116">
        <v>32062.84</v>
      </c>
      <c r="E116">
        <v>34580.980000000003</v>
      </c>
      <c r="F116">
        <v>1502.7367300000001</v>
      </c>
      <c r="G116">
        <v>34580.980000000003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-6.6648628312924743E-2</v>
      </c>
      <c r="Q116">
        <f t="shared" ref="Q116" si="556">F116*P116</f>
        <v>-100.15534176994996</v>
      </c>
      <c r="R116">
        <f t="shared" ref="R116" si="557">R117+Q116</f>
        <v>64103.993688515184</v>
      </c>
      <c r="S116">
        <f t="shared" ref="S116" si="558">R116/100000</f>
        <v>0.64103993688515182</v>
      </c>
      <c r="T116">
        <f t="shared" ref="T116" si="559">S116/1000</f>
        <v>6.4103993688515186E-4</v>
      </c>
    </row>
    <row r="117" spans="1:20" x14ac:dyDescent="0.25">
      <c r="A117" s="5">
        <v>44476</v>
      </c>
      <c r="B117">
        <v>32058.55</v>
      </c>
      <c r="C117">
        <v>32763.19</v>
      </c>
      <c r="D117">
        <v>30902.86</v>
      </c>
      <c r="E117">
        <v>32142.06</v>
      </c>
      <c r="F117">
        <v>475.84451000000001</v>
      </c>
      <c r="G117">
        <v>32142.06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0.33223675369423916</v>
      </c>
      <c r="Q117">
        <f t="shared" ref="Q117" si="561">F117*P117</f>
        <v>158.09303526562593</v>
      </c>
      <c r="R117">
        <f t="shared" ref="R117" si="562">R118+Q117</f>
        <v>64204.149030285131</v>
      </c>
      <c r="S117">
        <f t="shared" ref="S117" si="563">R117/100000</f>
        <v>0.64204149030285129</v>
      </c>
      <c r="T117">
        <f t="shared" ref="T117" si="564">S117/1000</f>
        <v>6.4204149030285126E-4</v>
      </c>
    </row>
    <row r="118" spans="1:20" x14ac:dyDescent="0.25">
      <c r="A118" s="5">
        <v>44475</v>
      </c>
      <c r="B118">
        <v>31866.5</v>
      </c>
      <c r="C118">
        <v>32800</v>
      </c>
      <c r="D118">
        <v>29862.2</v>
      </c>
      <c r="E118">
        <v>32048.17</v>
      </c>
      <c r="F118">
        <v>579.64706000000001</v>
      </c>
      <c r="G118">
        <v>32048.17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0.4881680168833808</v>
      </c>
      <c r="Q118">
        <f t="shared" ref="Q118" si="566">F118*P118</f>
        <v>282.96515577248203</v>
      </c>
      <c r="R118">
        <f t="shared" ref="R118" si="567">R119+Q118</f>
        <v>64046.055995019502</v>
      </c>
      <c r="S118">
        <f t="shared" ref="S118" si="568">R118/100000</f>
        <v>0.64046055995019502</v>
      </c>
      <c r="T118">
        <f t="shared" ref="T118" si="569">S118/1000</f>
        <v>6.4046055995019497E-4</v>
      </c>
    </row>
    <row r="119" spans="1:20" x14ac:dyDescent="0.25">
      <c r="A119" s="5">
        <v>44474</v>
      </c>
      <c r="B119">
        <v>30798.720000000001</v>
      </c>
      <c r="C119">
        <v>32362.05</v>
      </c>
      <c r="D119">
        <v>30101</v>
      </c>
      <c r="E119">
        <v>31860.04</v>
      </c>
      <c r="F119">
        <v>626.95824000000005</v>
      </c>
      <c r="G119">
        <v>31860.04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0.55594966940138557</v>
      </c>
      <c r="Q119">
        <f t="shared" ref="Q119" si="571">F119*P119</f>
        <v>348.55722625647456</v>
      </c>
      <c r="R119">
        <f t="shared" ref="R119" si="572">R120+Q119</f>
        <v>63763.090839247023</v>
      </c>
      <c r="S119">
        <f t="shared" ref="S119" si="573">R119/100000</f>
        <v>0.63763090839247027</v>
      </c>
      <c r="T119">
        <f t="shared" ref="T119" si="574">S119/1000</f>
        <v>6.3763090839247033E-4</v>
      </c>
    </row>
    <row r="120" spans="1:20" x14ac:dyDescent="0.25">
      <c r="A120" s="5">
        <v>44473</v>
      </c>
      <c r="B120">
        <v>31350.51</v>
      </c>
      <c r="C120">
        <v>31373.54</v>
      </c>
      <c r="D120">
        <v>29674.78</v>
      </c>
      <c r="E120">
        <v>30791.08</v>
      </c>
      <c r="F120">
        <v>326.94130000000001</v>
      </c>
      <c r="G120">
        <v>30791.08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0.31425274906402501</v>
      </c>
      <c r="Q120">
        <f t="shared" ref="Q120" si="576">F120*P120</f>
        <v>102.74220230756612</v>
      </c>
      <c r="R120">
        <f t="shared" ref="R120" si="577">R121+Q120</f>
        <v>63414.533612990548</v>
      </c>
      <c r="S120">
        <f t="shared" ref="S120" si="578">R120/100000</f>
        <v>0.63414533612990553</v>
      </c>
      <c r="T120">
        <f t="shared" ref="T120" si="579">S120/1000</f>
        <v>6.3414533612990551E-4</v>
      </c>
    </row>
    <row r="121" spans="1:20" x14ac:dyDescent="0.25">
      <c r="A121" s="5">
        <v>44472</v>
      </c>
      <c r="B121">
        <v>31896.23</v>
      </c>
      <c r="C121">
        <v>32261.98</v>
      </c>
      <c r="D121">
        <v>31164.45</v>
      </c>
      <c r="E121">
        <v>31348.400000000001</v>
      </c>
      <c r="F121">
        <v>287.21715999999998</v>
      </c>
      <c r="G121">
        <v>31348.400000000001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-0.66479276192905723</v>
      </c>
      <c r="Q121">
        <f t="shared" ref="Q121" si="581">F121*P121</f>
        <v>-190.93988906981991</v>
      </c>
      <c r="R121">
        <f t="shared" ref="R121" si="582">R122+Q121</f>
        <v>63311.791410682985</v>
      </c>
      <c r="S121">
        <f t="shared" ref="S121" si="583">R121/100000</f>
        <v>0.63311791410682983</v>
      </c>
      <c r="T121">
        <f t="shared" ref="T121" si="584">S121/1000</f>
        <v>6.3311791410682982E-4</v>
      </c>
    </row>
    <row r="122" spans="1:20" x14ac:dyDescent="0.25">
      <c r="A122" s="5">
        <v>44471</v>
      </c>
      <c r="B122">
        <v>31674.71</v>
      </c>
      <c r="C122">
        <v>32780.26</v>
      </c>
      <c r="D122">
        <v>30949.02</v>
      </c>
      <c r="E122">
        <v>31900</v>
      </c>
      <c r="F122">
        <v>324.88024000000001</v>
      </c>
      <c r="G122">
        <v>31900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3.8618640920904668E-2</v>
      </c>
      <c r="Q122">
        <f t="shared" ref="Q122" si="586">F122*P122</f>
        <v>12.546433330857329</v>
      </c>
      <c r="R122">
        <f t="shared" ref="R122" si="587">R123+Q122</f>
        <v>63502.731299752806</v>
      </c>
      <c r="S122">
        <f t="shared" ref="S122" si="588">R122/100000</f>
        <v>0.63502731299752802</v>
      </c>
      <c r="T122">
        <f t="shared" ref="T122" si="589">S122/1000</f>
        <v>6.3502731299752799E-4</v>
      </c>
    </row>
    <row r="123" spans="1:20" x14ac:dyDescent="0.25">
      <c r="A123" s="5">
        <v>44470</v>
      </c>
      <c r="B123">
        <v>29199.24</v>
      </c>
      <c r="C123">
        <v>31698.83</v>
      </c>
      <c r="D123">
        <v>28830.9</v>
      </c>
      <c r="E123">
        <v>31674.21</v>
      </c>
      <c r="F123">
        <v>552.29507000000001</v>
      </c>
      <c r="G123">
        <v>31674.21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0.98283082223066631</v>
      </c>
      <c r="Q123">
        <f t="shared" ref="Q123" si="591">F123*P123</f>
        <v>542.81261776204337</v>
      </c>
      <c r="R123">
        <f t="shared" ref="R123" si="592">R124+Q123</f>
        <v>63490.184866421951</v>
      </c>
      <c r="S123">
        <f t="shared" ref="S123" si="593">R123/100000</f>
        <v>0.6349018486642195</v>
      </c>
      <c r="T123">
        <f t="shared" ref="T123" si="594">S123/1000</f>
        <v>6.3490184866421952E-4</v>
      </c>
    </row>
    <row r="124" spans="1:20" x14ac:dyDescent="0.25">
      <c r="A124" s="5">
        <v>44469</v>
      </c>
      <c r="B124">
        <v>28608.880000000001</v>
      </c>
      <c r="C124">
        <v>29584.93</v>
      </c>
      <c r="D124">
        <v>28410.27</v>
      </c>
      <c r="E124">
        <v>29196.42</v>
      </c>
      <c r="F124">
        <v>274.64596</v>
      </c>
      <c r="G124">
        <v>29196.42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0.33851497454582247</v>
      </c>
      <c r="Q124">
        <f t="shared" ref="Q124" si="596">F124*P124</f>
        <v>92.971770158512982</v>
      </c>
      <c r="R124">
        <f t="shared" ref="R124" si="597">R125+Q124</f>
        <v>62947.372248659907</v>
      </c>
      <c r="S124">
        <f t="shared" ref="S124" si="598">R124/100000</f>
        <v>0.62947372248659905</v>
      </c>
      <c r="T124">
        <f t="shared" ref="T124" si="599">S124/1000</f>
        <v>6.2947372248659905E-4</v>
      </c>
    </row>
    <row r="125" spans="1:20" x14ac:dyDescent="0.25">
      <c r="A125" s="5">
        <v>44468</v>
      </c>
      <c r="B125">
        <v>28229.02</v>
      </c>
      <c r="C125">
        <v>29586.22</v>
      </c>
      <c r="D125">
        <v>27926.79</v>
      </c>
      <c r="E125">
        <v>28595.02</v>
      </c>
      <c r="F125">
        <v>203.98115999999999</v>
      </c>
      <c r="G125">
        <v>28595.02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-0.19462707074115879</v>
      </c>
      <c r="Q125">
        <f t="shared" ref="Q125" si="601">F125*P125</f>
        <v>-39.700255657183625</v>
      </c>
      <c r="R125">
        <f t="shared" ref="R125" si="602">R126+Q125</f>
        <v>62854.400478501397</v>
      </c>
      <c r="S125">
        <f t="shared" ref="S125" si="603">R125/100000</f>
        <v>0.62854400478501393</v>
      </c>
      <c r="T125">
        <f t="shared" ref="T125" si="604">S125/1000</f>
        <v>6.2854400478501394E-4</v>
      </c>
    </row>
    <row r="126" spans="1:20" x14ac:dyDescent="0.25">
      <c r="A126" s="5">
        <v>44467</v>
      </c>
      <c r="B126">
        <v>28647.03</v>
      </c>
      <c r="C126">
        <v>29974.07</v>
      </c>
      <c r="D126">
        <v>28118.9</v>
      </c>
      <c r="E126">
        <v>28243.89</v>
      </c>
      <c r="F126">
        <v>408.82927000000001</v>
      </c>
      <c r="G126">
        <v>28243.89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-0.86525224103451648</v>
      </c>
      <c r="Q126">
        <f t="shared" ref="Q126" si="606">F126*P126</f>
        <v>-353.74044206800545</v>
      </c>
      <c r="R126">
        <f t="shared" ref="R126" si="607">R127+Q126</f>
        <v>62894.100734158579</v>
      </c>
      <c r="S126">
        <f t="shared" ref="S126" si="608">R126/100000</f>
        <v>0.62894100734158576</v>
      </c>
      <c r="T126">
        <f t="shared" ref="T126" si="609">S126/1000</f>
        <v>6.2894100734158572E-4</v>
      </c>
    </row>
    <row r="127" spans="1:20" x14ac:dyDescent="0.25">
      <c r="A127" s="5">
        <v>44466</v>
      </c>
      <c r="B127">
        <v>30381.69</v>
      </c>
      <c r="C127">
        <v>31741.31</v>
      </c>
      <c r="D127">
        <v>28593.37</v>
      </c>
      <c r="E127">
        <v>28620.97</v>
      </c>
      <c r="F127">
        <v>417.05124000000001</v>
      </c>
      <c r="G127">
        <v>28620.97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-0.98246472296168152</v>
      </c>
      <c r="Q127">
        <f t="shared" ref="Q127" si="611">F127*P127</f>
        <v>-409.73813096742577</v>
      </c>
      <c r="R127">
        <f t="shared" ref="R127" si="612">R128+Q127</f>
        <v>63247.841176226582</v>
      </c>
      <c r="S127">
        <f t="shared" ref="S127" si="613">R127/100000</f>
        <v>0.63247841176226582</v>
      </c>
      <c r="T127">
        <f t="shared" ref="T127" si="614">S127/1000</f>
        <v>6.3247841176226579E-4</v>
      </c>
    </row>
    <row r="128" spans="1:20" x14ac:dyDescent="0.25">
      <c r="A128" s="5">
        <v>44465</v>
      </c>
      <c r="B128">
        <v>30276.74</v>
      </c>
      <c r="C128">
        <v>30999.99</v>
      </c>
      <c r="D128">
        <v>27716.93</v>
      </c>
      <c r="E128">
        <v>30402.41</v>
      </c>
      <c r="F128">
        <v>514.19250999999997</v>
      </c>
      <c r="G128">
        <v>30402.41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0.63596157243547091</v>
      </c>
      <c r="Q128">
        <f t="shared" ref="Q128" si="616">F128*P128</f>
        <v>327.00667719414156</v>
      </c>
      <c r="R128">
        <f t="shared" ref="R128" si="617">R129+Q128</f>
        <v>63657.579307194006</v>
      </c>
      <c r="S128">
        <f t="shared" ref="S128" si="618">R128/100000</f>
        <v>0.63657579307194001</v>
      </c>
      <c r="T128">
        <f t="shared" ref="T128" si="619">S128/1000</f>
        <v>6.3657579307194005E-4</v>
      </c>
    </row>
    <row r="129" spans="1:20" x14ac:dyDescent="0.25">
      <c r="A129" s="5">
        <v>44464</v>
      </c>
      <c r="B129">
        <v>29252.85</v>
      </c>
      <c r="C129">
        <v>30510</v>
      </c>
      <c r="D129">
        <v>28511.4</v>
      </c>
      <c r="E129">
        <v>30276.74</v>
      </c>
      <c r="F129">
        <v>351.96319999999997</v>
      </c>
      <c r="G129">
        <v>30276.74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0.76657660362253721</v>
      </c>
      <c r="Q129">
        <f t="shared" ref="Q129" si="621">F129*P129</f>
        <v>269.80675445611979</v>
      </c>
      <c r="R129">
        <f t="shared" ref="R129" si="622">R130+Q129</f>
        <v>63330.572629999864</v>
      </c>
      <c r="S129">
        <f t="shared" ref="S129" si="623">R129/100000</f>
        <v>0.63330572629999859</v>
      </c>
      <c r="T129">
        <f t="shared" ref="T129" si="624">S129/1000</f>
        <v>6.3330572629999857E-4</v>
      </c>
    </row>
    <row r="130" spans="1:20" x14ac:dyDescent="0.25">
      <c r="A130" s="5">
        <v>44463</v>
      </c>
      <c r="B130">
        <v>31257.14</v>
      </c>
      <c r="C130">
        <v>31365.75</v>
      </c>
      <c r="D130">
        <v>27076.43</v>
      </c>
      <c r="E130">
        <v>29252.9</v>
      </c>
      <c r="F130">
        <v>491.18610999999999</v>
      </c>
      <c r="G130">
        <v>29252.9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1.4832187852620608E-2</v>
      </c>
      <c r="Q130">
        <f t="shared" ref="Q130" si="626">F130*P130</f>
        <v>7.2853646541179691</v>
      </c>
      <c r="R130">
        <f t="shared" ref="R130" si="627">R131+Q130</f>
        <v>63060.765875543744</v>
      </c>
      <c r="S130">
        <f t="shared" ref="S130" si="628">R130/100000</f>
        <v>0.63060765875543745</v>
      </c>
      <c r="T130">
        <f t="shared" ref="T130" si="629">S130/1000</f>
        <v>6.306076587554375E-4</v>
      </c>
    </row>
    <row r="131" spans="1:20" x14ac:dyDescent="0.25">
      <c r="A131" s="5">
        <v>44462</v>
      </c>
      <c r="B131">
        <v>30519.46</v>
      </c>
      <c r="C131">
        <v>31417.29</v>
      </c>
      <c r="D131">
        <v>29954.62</v>
      </c>
      <c r="E131">
        <v>31257.14</v>
      </c>
      <c r="F131">
        <v>255.18631999999999</v>
      </c>
      <c r="G131">
        <v>31257.14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0.78101690743639884</v>
      </c>
      <c r="Q131">
        <f t="shared" ref="Q131" si="631">F131*P131</f>
        <v>199.30483046647524</v>
      </c>
      <c r="R131">
        <f t="shared" ref="R131" si="632">R132+Q131</f>
        <v>63053.480510889625</v>
      </c>
      <c r="S131">
        <f t="shared" ref="S131" si="633">R131/100000</f>
        <v>0.63053480510889626</v>
      </c>
      <c r="T131">
        <f t="shared" ref="T131" si="634">S131/1000</f>
        <v>6.305348051088963E-4</v>
      </c>
    </row>
    <row r="132" spans="1:20" x14ac:dyDescent="0.25">
      <c r="A132" s="5">
        <v>44461</v>
      </c>
      <c r="B132">
        <v>27390.07</v>
      </c>
      <c r="C132">
        <v>30603.72</v>
      </c>
      <c r="D132">
        <v>26973.73</v>
      </c>
      <c r="E132">
        <v>30502.63</v>
      </c>
      <c r="F132">
        <v>363.45031999999998</v>
      </c>
      <c r="G132">
        <v>30502.63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0.94430287686742931</v>
      </c>
      <c r="Q132">
        <f t="shared" ref="Q132" si="636">F132*P132</f>
        <v>343.20718277438777</v>
      </c>
      <c r="R132">
        <f t="shared" ref="R132" si="637">R133+Q132</f>
        <v>62854.175680423148</v>
      </c>
      <c r="S132">
        <f t="shared" ref="S132" si="638">R132/100000</f>
        <v>0.62854175680423152</v>
      </c>
      <c r="T132">
        <f t="shared" ref="T132" si="639">S132/1000</f>
        <v>6.2854175680423152E-4</v>
      </c>
    </row>
    <row r="133" spans="1:20" x14ac:dyDescent="0.25">
      <c r="A133" s="5">
        <v>44460</v>
      </c>
      <c r="B133">
        <v>29573.61</v>
      </c>
      <c r="C133">
        <v>30401.16</v>
      </c>
      <c r="D133">
        <v>26515.46</v>
      </c>
      <c r="E133">
        <v>27359.71</v>
      </c>
      <c r="F133">
        <v>543.32877199999996</v>
      </c>
      <c r="G133">
        <v>27359.71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-0.56545796124250469</v>
      </c>
      <c r="Q133">
        <f t="shared" ref="Q133" si="641">F133*P133</f>
        <v>-307.22957969951364</v>
      </c>
      <c r="R133">
        <f t="shared" ref="R133" si="642">R134+Q133</f>
        <v>62510.968497648762</v>
      </c>
      <c r="S133">
        <f t="shared" ref="S133" si="643">R133/100000</f>
        <v>0.62510968497648767</v>
      </c>
      <c r="T133">
        <f t="shared" ref="T133" si="644">S133/1000</f>
        <v>6.2510968497648763E-4</v>
      </c>
    </row>
    <row r="134" spans="1:20" x14ac:dyDescent="0.25">
      <c r="A134" s="5">
        <v>44459</v>
      </c>
      <c r="B134">
        <v>33036.339999999997</v>
      </c>
      <c r="C134">
        <v>33063.94</v>
      </c>
      <c r="D134">
        <v>30390.79</v>
      </c>
      <c r="E134">
        <v>30634.87</v>
      </c>
      <c r="F134">
        <v>271.84354999999999</v>
      </c>
      <c r="G134">
        <v>30634.87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-0.81738398518601796</v>
      </c>
      <c r="Q134">
        <f t="shared" ref="Q134" si="646">F134*P134</f>
        <v>-222.20056424611454</v>
      </c>
      <c r="R134">
        <f t="shared" ref="R134" si="647">R135+Q134</f>
        <v>62818.198077348279</v>
      </c>
      <c r="S134">
        <f t="shared" ref="S134" si="648">R134/100000</f>
        <v>0.62818198077348275</v>
      </c>
      <c r="T134">
        <f t="shared" ref="T134" si="649">S134/1000</f>
        <v>6.2818198077348273E-4</v>
      </c>
    </row>
    <row r="135" spans="1:20" x14ac:dyDescent="0.25">
      <c r="A135" s="5">
        <v>44458</v>
      </c>
      <c r="B135">
        <v>33917.94</v>
      </c>
      <c r="C135">
        <v>33984.910000000003</v>
      </c>
      <c r="D135">
        <v>32467.71</v>
      </c>
      <c r="E135">
        <v>33029.39</v>
      </c>
      <c r="F135">
        <v>286.74563000000001</v>
      </c>
      <c r="G135">
        <v>33029.39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-0.25958344318481585</v>
      </c>
      <c r="Q135">
        <f t="shared" ref="Q135" si="651">F135*P135</f>
        <v>-74.434417953599237</v>
      </c>
      <c r="R135">
        <f t="shared" ref="R135" si="652">R136+Q135</f>
        <v>63040.398641594395</v>
      </c>
      <c r="S135">
        <f t="shared" ref="S135" si="653">R135/100000</f>
        <v>0.63040398641594397</v>
      </c>
      <c r="T135">
        <f t="shared" ref="T135" si="654">S135/1000</f>
        <v>6.3040398641594402E-4</v>
      </c>
    </row>
    <row r="136" spans="1:20" x14ac:dyDescent="0.25">
      <c r="A136" s="5">
        <v>44457</v>
      </c>
      <c r="B136">
        <v>33248.46</v>
      </c>
      <c r="C136">
        <v>34424.400000000001</v>
      </c>
      <c r="D136">
        <v>32830.14</v>
      </c>
      <c r="E136">
        <v>33923.019999999997</v>
      </c>
      <c r="F136">
        <v>278.29579999999999</v>
      </c>
      <c r="G136">
        <v>33923.019999999997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0.3710185289726845</v>
      </c>
      <c r="Q136">
        <f t="shared" ref="Q136" si="656">F136*P136</f>
        <v>103.25289833527641</v>
      </c>
      <c r="R136">
        <f t="shared" ref="R136" si="657">R137+Q136</f>
        <v>63114.833059547993</v>
      </c>
      <c r="S136">
        <f t="shared" ref="S136" si="658">R136/100000</f>
        <v>0.63114833059547992</v>
      </c>
      <c r="T136">
        <f t="shared" ref="T136" si="659">S136/1000</f>
        <v>6.3114833059547991E-4</v>
      </c>
    </row>
    <row r="137" spans="1:20" x14ac:dyDescent="0.25">
      <c r="A137" s="5">
        <v>44456</v>
      </c>
      <c r="B137">
        <v>34778.769999999997</v>
      </c>
      <c r="C137">
        <v>35093.120000000003</v>
      </c>
      <c r="D137">
        <v>32768.79</v>
      </c>
      <c r="E137">
        <v>33238.14</v>
      </c>
      <c r="F137">
        <v>417.55313000000001</v>
      </c>
      <c r="G137">
        <v>33238.14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-0.59614168384007593</v>
      </c>
      <c r="Q137">
        <f t="shared" ref="Q137" si="661">F137*P137</f>
        <v>-248.92082601089413</v>
      </c>
      <c r="R137">
        <f t="shared" ref="R137" si="662">R138+Q137</f>
        <v>63011.580161212718</v>
      </c>
      <c r="S137">
        <f t="shared" ref="S137" si="663">R137/100000</f>
        <v>0.63011580161212721</v>
      </c>
      <c r="T137">
        <f t="shared" ref="T137" si="664">S137/1000</f>
        <v>6.3011580161212726E-4</v>
      </c>
    </row>
    <row r="138" spans="1:20" x14ac:dyDescent="0.25">
      <c r="A138" s="5">
        <v>44455</v>
      </c>
      <c r="B138">
        <v>36520.379999999997</v>
      </c>
      <c r="C138">
        <v>36780.370000000003</v>
      </c>
      <c r="D138">
        <v>34145</v>
      </c>
      <c r="E138">
        <v>34786.94</v>
      </c>
      <c r="F138">
        <v>526.64349000000004</v>
      </c>
      <c r="G138">
        <v>34786.94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-0.51282742081756894</v>
      </c>
      <c r="Q138">
        <f t="shared" ref="Q138" si="666">F138*P138</f>
        <v>-270.07722266706315</v>
      </c>
      <c r="R138">
        <f t="shared" ref="R138" si="667">R139+Q138</f>
        <v>63260.500987223611</v>
      </c>
      <c r="S138">
        <f t="shared" ref="S138" si="668">R138/100000</f>
        <v>0.63260500987223611</v>
      </c>
      <c r="T138">
        <f t="shared" ref="T138" si="669">S138/1000</f>
        <v>6.3260500987223612E-4</v>
      </c>
    </row>
    <row r="139" spans="1:20" x14ac:dyDescent="0.25">
      <c r="A139" s="5">
        <v>44454</v>
      </c>
      <c r="B139">
        <v>35700.01</v>
      </c>
      <c r="C139">
        <v>38000</v>
      </c>
      <c r="D139">
        <v>35087.99</v>
      </c>
      <c r="E139">
        <v>36491.279999999999</v>
      </c>
      <c r="F139">
        <v>785.69219999999996</v>
      </c>
      <c r="G139">
        <v>36491.279999999999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-3.6205232811700586E-2</v>
      </c>
      <c r="Q139">
        <f t="shared" ref="Q139" si="671">F139*P139</f>
        <v>-28.446169019337216</v>
      </c>
      <c r="R139">
        <f t="shared" ref="R139" si="672">R140+Q139</f>
        <v>63530.578209890671</v>
      </c>
      <c r="S139">
        <f t="shared" ref="S139" si="673">R139/100000</f>
        <v>0.63530578209890676</v>
      </c>
      <c r="T139">
        <f t="shared" ref="T139" si="674">S139/1000</f>
        <v>6.3530578209890676E-4</v>
      </c>
    </row>
    <row r="140" spans="1:20" x14ac:dyDescent="0.25">
      <c r="A140" s="5">
        <v>44453</v>
      </c>
      <c r="B140">
        <v>32752.67</v>
      </c>
      <c r="C140">
        <v>35738.39</v>
      </c>
      <c r="D140">
        <v>32540.46</v>
      </c>
      <c r="E140">
        <v>35700.01</v>
      </c>
      <c r="F140">
        <v>504.72348</v>
      </c>
      <c r="G140">
        <v>35700.01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0.97599697304193811</v>
      </c>
      <c r="Q140">
        <f t="shared" ref="Q140" si="676">F140*P140</f>
        <v>492.60858870319316</v>
      </c>
      <c r="R140">
        <f t="shared" ref="R140" si="677">R141+Q140</f>
        <v>63559.024378910006</v>
      </c>
      <c r="S140">
        <f t="shared" ref="S140" si="678">R140/100000</f>
        <v>0.63559024378910001</v>
      </c>
      <c r="T140">
        <f t="shared" ref="T140" si="679">S140/1000</f>
        <v>6.3559024378910002E-4</v>
      </c>
    </row>
    <row r="141" spans="1:20" x14ac:dyDescent="0.25">
      <c r="A141" s="5">
        <v>44452</v>
      </c>
      <c r="B141">
        <v>33244.620000000003</v>
      </c>
      <c r="C141">
        <v>33613.9</v>
      </c>
      <c r="D141">
        <v>31082.74</v>
      </c>
      <c r="E141">
        <v>32745.01</v>
      </c>
      <c r="F141">
        <v>470.14879000000002</v>
      </c>
      <c r="G141">
        <v>32745.01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0.31344521879296205</v>
      </c>
      <c r="Q141">
        <f t="shared" ref="Q141" si="681">F141*P141</f>
        <v>147.36589034679636</v>
      </c>
      <c r="R141">
        <f t="shared" ref="R141" si="682">R142+Q141</f>
        <v>63066.415790206811</v>
      </c>
      <c r="S141">
        <f t="shared" ref="S141" si="683">R141/100000</f>
        <v>0.63066415790206809</v>
      </c>
      <c r="T141">
        <f t="shared" ref="T141" si="684">S141/1000</f>
        <v>6.3066415790206812E-4</v>
      </c>
    </row>
    <row r="142" spans="1:20" x14ac:dyDescent="0.25">
      <c r="A142" s="5">
        <v>44451</v>
      </c>
      <c r="B142">
        <v>32971.15</v>
      </c>
      <c r="C142">
        <v>34333.46</v>
      </c>
      <c r="D142">
        <v>32372.07</v>
      </c>
      <c r="E142">
        <v>33292.06</v>
      </c>
      <c r="F142">
        <v>279.98962</v>
      </c>
      <c r="G142">
        <v>33292.06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-6.1899979096458904E-2</v>
      </c>
      <c r="Q142">
        <f t="shared" ref="Q142" si="686">F142*P142</f>
        <v>-17.331351625225473</v>
      </c>
      <c r="R142">
        <f t="shared" ref="R142" si="687">R143+Q142</f>
        <v>62919.049899860016</v>
      </c>
      <c r="S142">
        <f t="shared" ref="S142" si="688">R142/100000</f>
        <v>0.62919049899860013</v>
      </c>
      <c r="T142">
        <f t="shared" ref="T142" si="689">S142/1000</f>
        <v>6.291904989986001E-4</v>
      </c>
    </row>
    <row r="143" spans="1:20" x14ac:dyDescent="0.25">
      <c r="A143" s="5">
        <v>44450</v>
      </c>
      <c r="B143">
        <v>32832.81</v>
      </c>
      <c r="C143">
        <v>34013.379999999997</v>
      </c>
      <c r="D143">
        <v>32530.94</v>
      </c>
      <c r="E143">
        <v>32952.550000000003</v>
      </c>
      <c r="F143">
        <v>264.90949000000001</v>
      </c>
      <c r="G143">
        <v>32952.550000000003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-0.43119451714739943</v>
      </c>
      <c r="Q143">
        <f t="shared" ref="Q143" si="691">F143*P143</f>
        <v>-114.22751962831384</v>
      </c>
      <c r="R143">
        <f t="shared" ref="R143" si="692">R144+Q143</f>
        <v>62936.38125148524</v>
      </c>
      <c r="S143">
        <f t="shared" ref="S143" si="693">R143/100000</f>
        <v>0.62936381251485241</v>
      </c>
      <c r="T143">
        <f t="shared" ref="T143" si="694">S143/1000</f>
        <v>6.2936381251485235E-4</v>
      </c>
    </row>
    <row r="144" spans="1:20" x14ac:dyDescent="0.25">
      <c r="A144" s="5">
        <v>44449</v>
      </c>
      <c r="B144">
        <v>34363.629999999997</v>
      </c>
      <c r="C144">
        <v>35500</v>
      </c>
      <c r="D144">
        <v>32000</v>
      </c>
      <c r="E144">
        <v>32808.92</v>
      </c>
      <c r="F144">
        <v>436.16838999999999</v>
      </c>
      <c r="G144">
        <v>32808.92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-0.53776000000000101</v>
      </c>
      <c r="Q144">
        <f t="shared" ref="Q144" si="696">F144*P144</f>
        <v>-234.55391340640043</v>
      </c>
      <c r="R144">
        <f t="shared" ref="R144" si="697">R145+Q144</f>
        <v>63050.608771113555</v>
      </c>
      <c r="S144">
        <f t="shared" ref="S144" si="698">R144/100000</f>
        <v>0.63050608771113559</v>
      </c>
      <c r="T144">
        <f t="shared" ref="T144" si="699">S144/1000</f>
        <v>6.3050608771113563E-4</v>
      </c>
    </row>
    <row r="145" spans="1:20" x14ac:dyDescent="0.25">
      <c r="A145" s="5">
        <v>44448</v>
      </c>
      <c r="B145">
        <v>34703.15</v>
      </c>
      <c r="C145">
        <v>35699</v>
      </c>
      <c r="D145">
        <v>33417.11</v>
      </c>
      <c r="E145">
        <v>34343.71</v>
      </c>
      <c r="F145">
        <v>548.11284000000001</v>
      </c>
      <c r="G145">
        <v>34343.71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-0.18786619863358989</v>
      </c>
      <c r="Q145">
        <f t="shared" ref="Q145" si="701">F145*P145</f>
        <v>-102.97187567306108</v>
      </c>
      <c r="R145">
        <f t="shared" ref="R145" si="702">R146+Q145</f>
        <v>63285.162684519957</v>
      </c>
      <c r="S145">
        <f t="shared" ref="S145" si="703">R145/100000</f>
        <v>0.63285162684519958</v>
      </c>
      <c r="T145">
        <f t="shared" ref="T145" si="704">S145/1000</f>
        <v>6.3285162684519958E-4</v>
      </c>
    </row>
    <row r="146" spans="1:20" x14ac:dyDescent="0.25">
      <c r="A146" s="5">
        <v>44447</v>
      </c>
      <c r="B146">
        <v>34595.360000000001</v>
      </c>
      <c r="C146">
        <v>36060.44</v>
      </c>
      <c r="D146">
        <v>32179.94</v>
      </c>
      <c r="E146">
        <v>34683.839999999997</v>
      </c>
      <c r="F146">
        <v>765.04296999999997</v>
      </c>
      <c r="G146">
        <v>34683.839999999997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0.29050380105656254</v>
      </c>
      <c r="Q146">
        <f t="shared" ref="Q146" si="706">F146*P146</f>
        <v>222.24789075660172</v>
      </c>
      <c r="R146">
        <f t="shared" ref="R146" si="707">R147+Q146</f>
        <v>63388.134560193015</v>
      </c>
      <c r="S146">
        <f t="shared" ref="S146" si="708">R146/100000</f>
        <v>0.6338813456019301</v>
      </c>
      <c r="T146">
        <f t="shared" ref="T146" si="709">S146/1000</f>
        <v>6.3388134560193009E-4</v>
      </c>
    </row>
    <row r="147" spans="1:20" x14ac:dyDescent="0.25">
      <c r="A147" s="5">
        <v>44446</v>
      </c>
      <c r="B147">
        <v>42225.45</v>
      </c>
      <c r="C147">
        <v>42788.57</v>
      </c>
      <c r="D147">
        <v>31050</v>
      </c>
      <c r="E147">
        <v>34595.379999999997</v>
      </c>
      <c r="F147">
        <v>1573.7932410000001</v>
      </c>
      <c r="G147">
        <v>34595.379999999997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-0.39594345818954141</v>
      </c>
      <c r="Q147">
        <f t="shared" ref="Q147" si="711">F147*P147</f>
        <v>-623.13313831686639</v>
      </c>
      <c r="R147">
        <f t="shared" ref="R147" si="712">R148+Q147</f>
        <v>63165.886669436411</v>
      </c>
      <c r="S147">
        <f t="shared" ref="S147" si="713">R147/100000</f>
        <v>0.63165886669436411</v>
      </c>
      <c r="T147">
        <f t="shared" ref="T147" si="714">S147/1000</f>
        <v>6.3165886669436407E-4</v>
      </c>
    </row>
    <row r="148" spans="1:20" x14ac:dyDescent="0.25">
      <c r="A148" s="5">
        <v>44445</v>
      </c>
      <c r="B148">
        <v>42911.55</v>
      </c>
      <c r="C148">
        <v>43534.85</v>
      </c>
      <c r="D148">
        <v>41233.39</v>
      </c>
      <c r="E148">
        <v>42207.519999999997</v>
      </c>
      <c r="F148">
        <v>771.50423000000001</v>
      </c>
      <c r="G148">
        <v>42207.519999999997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-0.15346779870169566</v>
      </c>
      <c r="Q148">
        <f t="shared" ref="Q148" si="716">F148*P148</f>
        <v>-118.40105586714671</v>
      </c>
      <c r="R148">
        <f t="shared" ref="R148" si="717">R149+Q148</f>
        <v>63789.019807753277</v>
      </c>
      <c r="S148">
        <f t="shared" ref="S148" si="718">R148/100000</f>
        <v>0.63789019807753278</v>
      </c>
      <c r="T148">
        <f t="shared" ref="T148" si="719">S148/1000</f>
        <v>6.3789019807753279E-4</v>
      </c>
    </row>
    <row r="149" spans="1:20" x14ac:dyDescent="0.25">
      <c r="A149" s="5">
        <v>44444</v>
      </c>
      <c r="B149">
        <v>41486.99</v>
      </c>
      <c r="C149">
        <v>43862.5</v>
      </c>
      <c r="D149">
        <v>40452.36</v>
      </c>
      <c r="E149">
        <v>42911.21</v>
      </c>
      <c r="F149">
        <v>801.07871299999999</v>
      </c>
      <c r="G149">
        <v>42911.21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0.44208155676892968</v>
      </c>
      <c r="Q149">
        <f t="shared" ref="Q149" si="721">F149*P149</f>
        <v>354.14212453749064</v>
      </c>
      <c r="R149">
        <f t="shared" ref="R149" si="722">R150+Q149</f>
        <v>63907.42086362042</v>
      </c>
      <c r="S149">
        <f t="shared" ref="S149" si="723">R149/100000</f>
        <v>0.63907420863620423</v>
      </c>
      <c r="T149">
        <f t="shared" ref="T149" si="724">S149/1000</f>
        <v>6.3907420863620423E-4</v>
      </c>
    </row>
    <row r="150" spans="1:20" x14ac:dyDescent="0.25">
      <c r="A150" s="5">
        <v>44443</v>
      </c>
      <c r="B150">
        <v>40454.21</v>
      </c>
      <c r="C150">
        <v>43557</v>
      </c>
      <c r="D150">
        <v>39752.15</v>
      </c>
      <c r="E150">
        <v>41460</v>
      </c>
      <c r="F150">
        <v>1107.014461</v>
      </c>
      <c r="G150">
        <v>41460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-0.10227735653179537</v>
      </c>
      <c r="Q150">
        <f t="shared" ref="Q150" si="726">F150*P150</f>
        <v>-113.22251271355029</v>
      </c>
      <c r="R150">
        <f t="shared" ref="R150" si="727">R151+Q150</f>
        <v>63553.278739082933</v>
      </c>
      <c r="S150">
        <f t="shared" ref="S150" si="728">R150/100000</f>
        <v>0.6355327873908293</v>
      </c>
      <c r="T150">
        <f t="shared" ref="T150" si="729">S150/1000</f>
        <v>6.3553278739082925E-4</v>
      </c>
    </row>
    <row r="151" spans="1:20" x14ac:dyDescent="0.25">
      <c r="A151" s="5">
        <v>44442</v>
      </c>
      <c r="B151">
        <v>38663.39</v>
      </c>
      <c r="C151">
        <v>41054.6</v>
      </c>
      <c r="D151">
        <v>37712.21</v>
      </c>
      <c r="E151">
        <v>40417.480000000003</v>
      </c>
      <c r="F151">
        <v>910.12766099999999</v>
      </c>
      <c r="G151">
        <v>40417.480000000003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0.61876381870458241</v>
      </c>
      <c r="Q151">
        <f t="shared" ref="Q151" si="731">F151*P151</f>
        <v>563.15406702902965</v>
      </c>
      <c r="R151">
        <f t="shared" ref="R151" si="732">R152+Q151</f>
        <v>63666.501251796486</v>
      </c>
      <c r="S151">
        <f t="shared" ref="S151" si="733">R151/100000</f>
        <v>0.63666501251796481</v>
      </c>
      <c r="T151">
        <f t="shared" ref="T151" si="734">S151/1000</f>
        <v>6.3666501251796476E-4</v>
      </c>
    </row>
    <row r="152" spans="1:20" x14ac:dyDescent="0.25">
      <c r="A152" s="5">
        <v>44441</v>
      </c>
      <c r="B152">
        <v>39982.980000000003</v>
      </c>
      <c r="C152">
        <v>40290.35</v>
      </c>
      <c r="D152">
        <v>38472.99</v>
      </c>
      <c r="E152">
        <v>38663.39</v>
      </c>
      <c r="F152">
        <v>471.65823</v>
      </c>
      <c r="G152">
        <v>38663.39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-0.79046529031121915</v>
      </c>
      <c r="Q152">
        <f t="shared" ref="Q152" si="736">F152*P152</f>
        <v>-372.82945970462578</v>
      </c>
      <c r="R152">
        <f t="shared" ref="R152" si="737">R153+Q152</f>
        <v>63103.347184767459</v>
      </c>
      <c r="S152">
        <f t="shared" ref="S152" si="738">R152/100000</f>
        <v>0.63103347184767455</v>
      </c>
      <c r="T152">
        <f t="shared" ref="T152" si="739">S152/1000</f>
        <v>6.3103347184767457E-4</v>
      </c>
    </row>
    <row r="153" spans="1:20" x14ac:dyDescent="0.25">
      <c r="A153" s="5">
        <v>44440</v>
      </c>
      <c r="B153">
        <v>38349.65</v>
      </c>
      <c r="C153">
        <v>40463.08</v>
      </c>
      <c r="D153">
        <v>37784.6</v>
      </c>
      <c r="E153">
        <v>39981.21</v>
      </c>
      <c r="F153">
        <v>1040.8813050000001</v>
      </c>
      <c r="G153">
        <v>39981.21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0.64019145186822224</v>
      </c>
      <c r="Q153">
        <f t="shared" ref="Q153" si="741">F153*P153</f>
        <v>666.36331387043992</v>
      </c>
      <c r="R153">
        <f t="shared" ref="R153" si="742">R154+Q153</f>
        <v>63476.176644472085</v>
      </c>
      <c r="S153">
        <f t="shared" ref="S153" si="743">R153/100000</f>
        <v>0.63476176644472082</v>
      </c>
      <c r="T153">
        <f t="shared" ref="T153" si="744">S153/1000</f>
        <v>6.347617664447208E-4</v>
      </c>
    </row>
    <row r="154" spans="1:20" x14ac:dyDescent="0.25">
      <c r="A154" s="5">
        <v>44439</v>
      </c>
      <c r="B154">
        <v>36245.94</v>
      </c>
      <c r="C154">
        <v>38811.56</v>
      </c>
      <c r="D154">
        <v>35629.03</v>
      </c>
      <c r="E154">
        <v>38312.42</v>
      </c>
      <c r="F154">
        <v>678.33183799999995</v>
      </c>
      <c r="G154">
        <v>38312.42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0.68632503071455753</v>
      </c>
      <c r="Q154">
        <f t="shared" ref="Q154" si="746">F154*P154</f>
        <v>465.55611955001223</v>
      </c>
      <c r="R154">
        <f t="shared" ref="R154" si="747">R155+Q154</f>
        <v>62809.813330601646</v>
      </c>
      <c r="S154">
        <f t="shared" ref="S154" si="748">R154/100000</f>
        <v>0.62809813330601649</v>
      </c>
      <c r="T154">
        <f t="shared" ref="T154" si="749">S154/1000</f>
        <v>6.2809813330601651E-4</v>
      </c>
    </row>
    <row r="155" spans="1:20" x14ac:dyDescent="0.25">
      <c r="A155" s="5">
        <v>44438</v>
      </c>
      <c r="B155">
        <v>37473.65</v>
      </c>
      <c r="C155">
        <v>37705.11</v>
      </c>
      <c r="D155">
        <v>35940.800000000003</v>
      </c>
      <c r="E155">
        <v>36268.949999999997</v>
      </c>
      <c r="F155">
        <v>337.21623</v>
      </c>
      <c r="G155">
        <v>36268.949999999997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-0.62801321763182816</v>
      </c>
      <c r="Q155">
        <f t="shared" ref="Q155" si="751">F155*P155</f>
        <v>-211.77624963997462</v>
      </c>
      <c r="R155">
        <f t="shared" ref="R155" si="752">R156+Q155</f>
        <v>62344.257211051634</v>
      </c>
      <c r="S155">
        <f t="shared" ref="S155" si="753">R155/100000</f>
        <v>0.62344257211051635</v>
      </c>
      <c r="T155">
        <f t="shared" ref="T155" si="754">S155/1000</f>
        <v>6.2344257211051639E-4</v>
      </c>
    </row>
    <row r="156" spans="1:20" x14ac:dyDescent="0.25">
      <c r="A156" s="5">
        <v>44437</v>
      </c>
      <c r="B156">
        <v>38073.32</v>
      </c>
      <c r="C156">
        <v>38683.9</v>
      </c>
      <c r="D156">
        <v>36945</v>
      </c>
      <c r="E156">
        <v>37472.050000000003</v>
      </c>
      <c r="F156">
        <v>307.05498899999998</v>
      </c>
      <c r="G156">
        <v>37472.050000000003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-0.39381218011386226</v>
      </c>
      <c r="Q156">
        <f t="shared" ref="Q156" si="756">F156*P156</f>
        <v>-120.92199463292799</v>
      </c>
      <c r="R156">
        <f t="shared" ref="R156" si="757">R157+Q156</f>
        <v>62556.033460691608</v>
      </c>
      <c r="S156">
        <f t="shared" ref="S156" si="758">R156/100000</f>
        <v>0.62556033460691607</v>
      </c>
      <c r="T156">
        <f t="shared" ref="T156" si="759">S156/1000</f>
        <v>6.2556033460691612E-4</v>
      </c>
    </row>
    <row r="157" spans="1:20" x14ac:dyDescent="0.25">
      <c r="A157" s="5">
        <v>44436</v>
      </c>
      <c r="B157">
        <v>37816.32</v>
      </c>
      <c r="C157">
        <v>38280</v>
      </c>
      <c r="D157">
        <v>37053.42</v>
      </c>
      <c r="E157">
        <v>38044.51</v>
      </c>
      <c r="F157">
        <v>253.05296000000001</v>
      </c>
      <c r="G157">
        <v>38044.51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0.61602178414779696</v>
      </c>
      <c r="Q157">
        <f t="shared" ref="Q157" si="761">F157*P157</f>
        <v>155.88613590308111</v>
      </c>
      <c r="R157">
        <f t="shared" ref="R157" si="762">R158+Q157</f>
        <v>62676.955455324533</v>
      </c>
      <c r="S157">
        <f t="shared" ref="S157" si="763">R157/100000</f>
        <v>0.62676955455324534</v>
      </c>
      <c r="T157">
        <f t="shared" ref="T157" si="764">S157/1000</f>
        <v>6.2676955455324534E-4</v>
      </c>
    </row>
    <row r="158" spans="1:20" x14ac:dyDescent="0.25">
      <c r="A158" s="5">
        <v>44435</v>
      </c>
      <c r="B158">
        <v>36145.14</v>
      </c>
      <c r="C158">
        <v>38334.89</v>
      </c>
      <c r="D158">
        <v>35167.1</v>
      </c>
      <c r="E158">
        <v>37815.56</v>
      </c>
      <c r="F158">
        <v>398.046177</v>
      </c>
      <c r="G158">
        <v>37815.56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0.67211841694051588</v>
      </c>
      <c r="Q158">
        <f t="shared" ref="Q158" si="766">F158*P158</f>
        <v>267.53416635446439</v>
      </c>
      <c r="R158">
        <f t="shared" ref="R158" si="767">R159+Q158</f>
        <v>62521.069319421455</v>
      </c>
      <c r="S158">
        <f t="shared" ref="S158" si="768">R158/100000</f>
        <v>0.62521069319421452</v>
      </c>
      <c r="T158">
        <f t="shared" ref="T158" si="769">S158/1000</f>
        <v>6.2521069319421455E-4</v>
      </c>
    </row>
    <row r="159" spans="1:20" x14ac:dyDescent="0.25">
      <c r="A159" s="5">
        <v>44434</v>
      </c>
      <c r="B159">
        <v>38315.269999999997</v>
      </c>
      <c r="C159">
        <v>38481.31</v>
      </c>
      <c r="D159">
        <v>35526.300000000003</v>
      </c>
      <c r="E159">
        <v>36132.58</v>
      </c>
      <c r="F159">
        <v>314.211904</v>
      </c>
      <c r="G159">
        <v>36132.58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-0.58965959506059207</v>
      </c>
      <c r="Q159">
        <f t="shared" ref="Q159" si="771">F159*P159</f>
        <v>-185.27806407585763</v>
      </c>
      <c r="R159">
        <f t="shared" ref="R159" si="772">R160+Q159</f>
        <v>62253.535153066987</v>
      </c>
      <c r="S159">
        <f t="shared" ref="S159" si="773">R159/100000</f>
        <v>0.62253535153066986</v>
      </c>
      <c r="T159">
        <f t="shared" ref="T159" si="774">S159/1000</f>
        <v>6.2253535153066982E-4</v>
      </c>
    </row>
    <row r="160" spans="1:20" x14ac:dyDescent="0.25">
      <c r="A160" s="5">
        <v>44433</v>
      </c>
      <c r="B160">
        <v>37085.33</v>
      </c>
      <c r="C160">
        <v>38426.99</v>
      </c>
      <c r="D160">
        <v>36011.68</v>
      </c>
      <c r="E160">
        <v>38291.69</v>
      </c>
      <c r="F160">
        <v>457.640715</v>
      </c>
      <c r="G160">
        <v>38291.69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0.88796469190290628</v>
      </c>
      <c r="Q160">
        <f t="shared" ref="Q160" si="776">F160*P160</f>
        <v>406.36879649720072</v>
      </c>
      <c r="R160">
        <f t="shared" ref="R160" si="777">R161+Q160</f>
        <v>62438.813217142844</v>
      </c>
      <c r="S160">
        <f t="shared" ref="S160" si="778">R160/100000</f>
        <v>0.62438813217142841</v>
      </c>
      <c r="T160">
        <f t="shared" ref="T160" si="779">S160/1000</f>
        <v>6.2438813217142845E-4</v>
      </c>
    </row>
    <row r="161" spans="1:20" x14ac:dyDescent="0.25">
      <c r="A161" s="5">
        <v>44432</v>
      </c>
      <c r="B161">
        <v>40000.050000000003</v>
      </c>
      <c r="C161">
        <v>40400</v>
      </c>
      <c r="D161">
        <v>36900</v>
      </c>
      <c r="E161">
        <v>37110</v>
      </c>
      <c r="F161">
        <v>478.65540099999998</v>
      </c>
      <c r="G161">
        <v>37110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-0.88</v>
      </c>
      <c r="Q161">
        <f t="shared" ref="Q161" si="781">F161*P161</f>
        <v>-421.21675288</v>
      </c>
      <c r="R161">
        <f t="shared" ref="R161" si="782">R162+Q161</f>
        <v>62032.444420645646</v>
      </c>
      <c r="S161">
        <f t="shared" ref="S161" si="783">R161/100000</f>
        <v>0.62032444420645649</v>
      </c>
      <c r="T161">
        <f t="shared" ref="T161" si="784">S161/1000</f>
        <v>6.2032444420645645E-4</v>
      </c>
    </row>
    <row r="162" spans="1:20" x14ac:dyDescent="0.25">
      <c r="A162" s="5">
        <v>44431</v>
      </c>
      <c r="B162">
        <v>39500.699999999997</v>
      </c>
      <c r="C162">
        <v>40651.18</v>
      </c>
      <c r="D162">
        <v>39452.120000000003</v>
      </c>
      <c r="E162">
        <v>40008.65</v>
      </c>
      <c r="F162">
        <v>464.34465</v>
      </c>
      <c r="G162">
        <v>40008.65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-7.1722849565493102E-2</v>
      </c>
      <c r="Q162">
        <f t="shared" ref="Q162" si="786">F162*P162</f>
        <v>-33.304121478491545</v>
      </c>
      <c r="R162">
        <f t="shared" ref="R162" si="787">R163+Q162</f>
        <v>62453.661173525645</v>
      </c>
      <c r="S162">
        <f t="shared" ref="S162" si="788">R162/100000</f>
        <v>0.62453661173525643</v>
      </c>
      <c r="T162">
        <f t="shared" ref="T162" si="789">S162/1000</f>
        <v>6.2453661173525639E-4</v>
      </c>
    </row>
    <row r="163" spans="1:20" x14ac:dyDescent="0.25">
      <c r="A163" s="5">
        <v>44430</v>
      </c>
      <c r="B163">
        <v>38760.879999999997</v>
      </c>
      <c r="C163">
        <v>39759.82</v>
      </c>
      <c r="D163">
        <v>38760.879999999997</v>
      </c>
      <c r="E163">
        <v>39624.06</v>
      </c>
      <c r="F163">
        <v>87.673563999999999</v>
      </c>
      <c r="G163">
        <v>39624.06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0.72819188339639673</v>
      </c>
      <c r="Q163">
        <f t="shared" ref="Q163" si="791">F163*P163</f>
        <v>63.843177693234523</v>
      </c>
      <c r="R163">
        <f t="shared" ref="R163" si="792">R164+Q163</f>
        <v>62486.965295004135</v>
      </c>
      <c r="S163">
        <f t="shared" ref="S163" si="793">R163/100000</f>
        <v>0.62486965295004138</v>
      </c>
      <c r="T163">
        <f t="shared" ref="T163" si="794">S163/1000</f>
        <v>6.2486965295004138E-4</v>
      </c>
    </row>
    <row r="164" spans="1:20" x14ac:dyDescent="0.25">
      <c r="A164" s="5">
        <v>44429</v>
      </c>
      <c r="B164">
        <v>39756.82</v>
      </c>
      <c r="C164">
        <v>39934.97</v>
      </c>
      <c r="D164">
        <v>38541.980000000003</v>
      </c>
      <c r="E164">
        <v>38800</v>
      </c>
      <c r="F164">
        <v>362.65517199999999</v>
      </c>
      <c r="G164">
        <v>38800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-0.62954507928987691</v>
      </c>
      <c r="Q164">
        <f t="shared" ref="Q164" si="796">F164*P164</f>
        <v>-228.30777901162395</v>
      </c>
      <c r="R164">
        <f t="shared" ref="R164" si="797">R165+Q164</f>
        <v>62423.122117310901</v>
      </c>
      <c r="S164">
        <f t="shared" ref="S164" si="798">R164/100000</f>
        <v>0.62423122117310903</v>
      </c>
      <c r="T164">
        <f t="shared" ref="T164" si="799">S164/1000</f>
        <v>6.2423122117310906E-4</v>
      </c>
    </row>
    <row r="165" spans="1:20" x14ac:dyDescent="0.25">
      <c r="A165" s="5">
        <v>44428</v>
      </c>
      <c r="B165">
        <v>39157.58</v>
      </c>
      <c r="C165">
        <v>40337.279999999999</v>
      </c>
      <c r="D165">
        <v>38833.18</v>
      </c>
      <c r="E165">
        <v>39756.82</v>
      </c>
      <c r="F165">
        <v>480.603498</v>
      </c>
      <c r="G165">
        <v>39756.82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0.22816302107572675</v>
      </c>
      <c r="Q165">
        <f t="shared" ref="Q165" si="801">F165*P165</f>
        <v>109.655946043242</v>
      </c>
      <c r="R165">
        <f t="shared" ref="R165" si="802">R166+Q165</f>
        <v>62651.429896322523</v>
      </c>
      <c r="S165">
        <f t="shared" ref="S165" si="803">R165/100000</f>
        <v>0.62651429896322519</v>
      </c>
      <c r="T165">
        <f t="shared" ref="T165" si="804">S165/1000</f>
        <v>6.2651429896322516E-4</v>
      </c>
    </row>
    <row r="166" spans="1:20" x14ac:dyDescent="0.25">
      <c r="A166" s="5">
        <v>44427</v>
      </c>
      <c r="B166">
        <v>37127.94</v>
      </c>
      <c r="C166">
        <v>39166.699999999997</v>
      </c>
      <c r="D166">
        <v>36108.370000000003</v>
      </c>
      <c r="E166">
        <v>39146.870000000003</v>
      </c>
      <c r="F166">
        <v>440.65019899999999</v>
      </c>
      <c r="G166">
        <v>39146.870000000003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0.98703213845465043</v>
      </c>
      <c r="Q166">
        <f t="shared" ref="Q166" si="806">F166*P166</f>
        <v>434.93590822943725</v>
      </c>
      <c r="R166">
        <f t="shared" ref="R166" si="807">R167+Q166</f>
        <v>62541.773950279283</v>
      </c>
      <c r="S166">
        <f t="shared" ref="S166" si="808">R166/100000</f>
        <v>0.62541773950279278</v>
      </c>
      <c r="T166">
        <f t="shared" ref="T166" si="809">S166/1000</f>
        <v>6.2541773950279273E-4</v>
      </c>
    </row>
    <row r="167" spans="1:20" x14ac:dyDescent="0.25">
      <c r="A167" s="5">
        <v>44426</v>
      </c>
      <c r="B167">
        <v>37851.42</v>
      </c>
      <c r="C167">
        <v>38860.82</v>
      </c>
      <c r="D167">
        <v>36814.28</v>
      </c>
      <c r="E167">
        <v>37127.94</v>
      </c>
      <c r="F167">
        <v>418.228836</v>
      </c>
      <c r="G167">
        <v>37127.94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-0.69347288594407797</v>
      </c>
      <c r="Q167">
        <f t="shared" ref="Q167" si="811">F167*P167</f>
        <v>-290.03035788595247</v>
      </c>
      <c r="R167">
        <f t="shared" ref="R167" si="812">R168+Q167</f>
        <v>62106.838042049843</v>
      </c>
      <c r="S167">
        <f t="shared" ref="S167" si="813">R167/100000</f>
        <v>0.62106838042049839</v>
      </c>
      <c r="T167">
        <f t="shared" ref="T167" si="814">S167/1000</f>
        <v>6.2106838042049839E-4</v>
      </c>
    </row>
    <row r="168" spans="1:20" x14ac:dyDescent="0.25">
      <c r="A168" s="5">
        <v>44425</v>
      </c>
      <c r="B168">
        <v>39263.15</v>
      </c>
      <c r="C168">
        <v>41841.370000000003</v>
      </c>
      <c r="D168">
        <v>37398.17</v>
      </c>
      <c r="E168">
        <v>37860.089999999997</v>
      </c>
      <c r="F168">
        <v>654.76296200000002</v>
      </c>
      <c r="G168">
        <v>37860.089999999997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-0.79207778177889909</v>
      </c>
      <c r="Q168">
        <f t="shared" ref="Q168" si="816">F168*P168</f>
        <v>-518.62319453194164</v>
      </c>
      <c r="R168">
        <f t="shared" ref="R168" si="817">R169+Q168</f>
        <v>62396.868399935796</v>
      </c>
      <c r="S168">
        <f t="shared" ref="S168" si="818">R168/100000</f>
        <v>0.62396868399935801</v>
      </c>
      <c r="T168">
        <f t="shared" ref="T168" si="819">S168/1000</f>
        <v>6.2396868399935805E-4</v>
      </c>
    </row>
    <row r="169" spans="1:20" x14ac:dyDescent="0.25">
      <c r="A169" s="5">
        <v>44424</v>
      </c>
      <c r="B169">
        <v>39850.5</v>
      </c>
      <c r="C169">
        <v>41993.57</v>
      </c>
      <c r="D169">
        <v>39000</v>
      </c>
      <c r="E169">
        <v>39306.97</v>
      </c>
      <c r="F169">
        <v>911.52134999999998</v>
      </c>
      <c r="G169">
        <v>39306.97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-0.79491376517001355</v>
      </c>
      <c r="Q169">
        <f t="shared" ref="Q169" si="821">F169*P169</f>
        <v>-724.58086836135374</v>
      </c>
      <c r="R169">
        <f t="shared" ref="R169" si="822">R170+Q169</f>
        <v>62915.491594467741</v>
      </c>
      <c r="S169">
        <f t="shared" ref="S169" si="823">R169/100000</f>
        <v>0.62915491594467743</v>
      </c>
      <c r="T169">
        <f t="shared" ref="T169" si="824">S169/1000</f>
        <v>6.2915491594467746E-4</v>
      </c>
    </row>
    <row r="170" spans="1:20" x14ac:dyDescent="0.25">
      <c r="A170" s="5">
        <v>44423</v>
      </c>
      <c r="B170">
        <v>39527.11</v>
      </c>
      <c r="C170">
        <v>40008.07</v>
      </c>
      <c r="D170">
        <v>37688.53</v>
      </c>
      <c r="E170">
        <v>39818.47</v>
      </c>
      <c r="F170">
        <v>486.05472800000001</v>
      </c>
      <c r="G170">
        <v>39818.47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0.83651930986316381</v>
      </c>
      <c r="Q170">
        <f t="shared" ref="Q170" si="826">F170*P170</f>
        <v>406.59416562228779</v>
      </c>
      <c r="R170">
        <f t="shared" ref="R170" si="827">R171+Q170</f>
        <v>63640.072462829092</v>
      </c>
      <c r="S170">
        <f t="shared" ref="S170" si="828">R170/100000</f>
        <v>0.63640072462829089</v>
      </c>
      <c r="T170">
        <f t="shared" ref="T170" si="829">S170/1000</f>
        <v>6.3640072462829093E-4</v>
      </c>
    </row>
    <row r="171" spans="1:20" x14ac:dyDescent="0.25">
      <c r="A171" s="5">
        <v>44422</v>
      </c>
      <c r="B171">
        <v>40211.53</v>
      </c>
      <c r="C171">
        <v>40211.53</v>
      </c>
      <c r="D171">
        <v>38211.730000000003</v>
      </c>
      <c r="E171">
        <v>39497.4</v>
      </c>
      <c r="F171">
        <v>618.27831900000001</v>
      </c>
      <c r="G171">
        <v>39497.4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0.28579857985798685</v>
      </c>
      <c r="Q171">
        <f t="shared" ref="Q171" si="831">F171*P171</f>
        <v>176.70306552718336</v>
      </c>
      <c r="R171">
        <f t="shared" ref="R171" si="832">R172+Q171</f>
        <v>63233.478297206806</v>
      </c>
      <c r="S171">
        <f t="shared" ref="S171" si="833">R171/100000</f>
        <v>0.63233478297206802</v>
      </c>
      <c r="T171">
        <f t="shared" ref="T171" si="834">S171/1000</f>
        <v>6.3233478297206806E-4</v>
      </c>
    </row>
    <row r="172" spans="1:20" x14ac:dyDescent="0.25">
      <c r="A172" s="5">
        <v>44421</v>
      </c>
      <c r="B172">
        <v>37004.519999999997</v>
      </c>
      <c r="C172">
        <v>40469.870000000003</v>
      </c>
      <c r="D172">
        <v>36611.11</v>
      </c>
      <c r="E172">
        <v>40212.19</v>
      </c>
      <c r="F172">
        <v>681.87980500000003</v>
      </c>
      <c r="G172">
        <v>40212.19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0.86644414267795866</v>
      </c>
      <c r="Q172">
        <f t="shared" ref="Q172" si="836">F172*P172</f>
        <v>590.81076305263866</v>
      </c>
      <c r="R172">
        <f t="shared" ref="R172" si="837">R173+Q172</f>
        <v>63056.775231679625</v>
      </c>
      <c r="S172">
        <f t="shared" ref="S172" si="838">R172/100000</f>
        <v>0.63056775231679629</v>
      </c>
      <c r="T172">
        <f t="shared" ref="T172" si="839">S172/1000</f>
        <v>6.3056775231679627E-4</v>
      </c>
    </row>
    <row r="173" spans="1:20" x14ac:dyDescent="0.25">
      <c r="A173" s="5">
        <v>44420</v>
      </c>
      <c r="B173">
        <v>37973.31</v>
      </c>
      <c r="C173">
        <v>40003.120000000003</v>
      </c>
      <c r="D173">
        <v>35547.81</v>
      </c>
      <c r="E173">
        <v>37029.919999999998</v>
      </c>
      <c r="F173">
        <v>1097.5273729999999</v>
      </c>
      <c r="G173">
        <v>37029.919999999998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-0.33467704828620276</v>
      </c>
      <c r="Q173">
        <f t="shared" ref="Q173" si="841">F173*P173</f>
        <v>-367.31722160895021</v>
      </c>
      <c r="R173">
        <f t="shared" ref="R173" si="842">R174+Q173</f>
        <v>62465.964468626989</v>
      </c>
      <c r="S173">
        <f t="shared" ref="S173" si="843">R173/100000</f>
        <v>0.62465964468626989</v>
      </c>
      <c r="T173">
        <f t="shared" ref="T173" si="844">S173/1000</f>
        <v>6.2465964468626993E-4</v>
      </c>
    </row>
    <row r="174" spans="1:20" x14ac:dyDescent="0.25">
      <c r="A174" s="5">
        <v>44419</v>
      </c>
      <c r="B174">
        <v>34870.35</v>
      </c>
      <c r="C174">
        <v>45000</v>
      </c>
      <c r="D174">
        <v>34786.32</v>
      </c>
      <c r="E174">
        <v>37988.129999999997</v>
      </c>
      <c r="F174">
        <v>901.10538099999997</v>
      </c>
      <c r="G174">
        <v>37988.129999999997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-0.37303498836854149</v>
      </c>
      <c r="Q174">
        <f t="shared" ref="Q174" si="846">F174*P174</f>
        <v>-336.14383532016512</v>
      </c>
      <c r="R174">
        <f t="shared" ref="R174" si="847">R175+Q174</f>
        <v>62833.281690235941</v>
      </c>
      <c r="S174">
        <f t="shared" ref="S174" si="848">R174/100000</f>
        <v>0.62833281690235943</v>
      </c>
      <c r="T174">
        <f t="shared" ref="T174" si="849">S174/1000</f>
        <v>6.2833281690235945E-4</v>
      </c>
    </row>
    <row r="175" spans="1:20" x14ac:dyDescent="0.25">
      <c r="A175" s="5">
        <v>44418</v>
      </c>
      <c r="B175">
        <v>33928.57</v>
      </c>
      <c r="C175">
        <v>35615.379999999997</v>
      </c>
      <c r="D175">
        <v>33499.99</v>
      </c>
      <c r="E175">
        <v>34870.35</v>
      </c>
      <c r="F175">
        <v>535.38304800000003</v>
      </c>
      <c r="G175">
        <v>34870.35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0.29560979299325513</v>
      </c>
      <c r="Q175">
        <f t="shared" ref="Q175" si="851">F175*P175</f>
        <v>158.26447199137797</v>
      </c>
      <c r="R175">
        <f t="shared" ref="R175" si="852">R176+Q175</f>
        <v>63169.425525556107</v>
      </c>
      <c r="S175">
        <f t="shared" ref="S175" si="853">R175/100000</f>
        <v>0.63169425525556111</v>
      </c>
      <c r="T175">
        <f t="shared" ref="T175" si="854">S175/1000</f>
        <v>6.3169425525556107E-4</v>
      </c>
    </row>
    <row r="176" spans="1:20" x14ac:dyDescent="0.25">
      <c r="A176" s="5">
        <v>44417</v>
      </c>
      <c r="B176">
        <v>32738.77</v>
      </c>
      <c r="C176">
        <v>34303.49</v>
      </c>
      <c r="D176">
        <v>31800</v>
      </c>
      <c r="E176">
        <v>33955.839999999997</v>
      </c>
      <c r="F176">
        <v>426.67469899999998</v>
      </c>
      <c r="G176">
        <v>33955.839999999997</v>
      </c>
      <c r="L176" t="s">
        <v>7</v>
      </c>
      <c r="M176" t="s">
        <v>8</v>
      </c>
      <c r="N176" t="s">
        <v>7</v>
      </c>
      <c r="P176">
        <f t="shared" ref="P176" si="855">IF(C176=D176,0,((E176-D176)-(C176-E176))/(C176-D176))</f>
        <v>0.72226771427087644</v>
      </c>
      <c r="Q176">
        <f t="shared" ref="Q176" si="856">F176*P176</f>
        <v>308.1733595839442</v>
      </c>
      <c r="R176">
        <f t="shared" ref="R176" si="857">R177+Q176</f>
        <v>63011.161053564727</v>
      </c>
      <c r="S176">
        <f t="shared" ref="S176" si="858">R176/100000</f>
        <v>0.63011161053564724</v>
      </c>
      <c r="T176">
        <f t="shared" ref="T176" si="859">S176/1000</f>
        <v>6.3011161053564725E-4</v>
      </c>
    </row>
    <row r="177" spans="1:20" x14ac:dyDescent="0.25">
      <c r="A177" s="5">
        <v>44416</v>
      </c>
      <c r="B177">
        <v>34641.269999999997</v>
      </c>
      <c r="C177">
        <v>34836.69</v>
      </c>
      <c r="D177">
        <v>32123.68</v>
      </c>
      <c r="E177">
        <v>32720.78</v>
      </c>
      <c r="F177">
        <v>556.66299600000002</v>
      </c>
      <c r="G177">
        <v>32720.78</v>
      </c>
      <c r="L177" t="s">
        <v>7</v>
      </c>
      <c r="M177" t="s">
        <v>8</v>
      </c>
      <c r="N177" t="s">
        <v>7</v>
      </c>
      <c r="P177">
        <f t="shared" ref="P177" si="860">IF(C177=D177,0,((E177-D177)-(C177-E177))/(C177-D177))</f>
        <v>-0.55982469655475053</v>
      </c>
      <c r="Q177">
        <f t="shared" ref="Q177" si="861">F177*P177</f>
        <v>-311.63369281895831</v>
      </c>
      <c r="R177">
        <f t="shared" ref="R177" si="862">R178+Q177</f>
        <v>62702.98769398078</v>
      </c>
      <c r="S177">
        <f t="shared" ref="S177" si="863">R177/100000</f>
        <v>0.62702987693980783</v>
      </c>
      <c r="T177">
        <f t="shared" ref="T177" si="864">S177/1000</f>
        <v>6.2702987693980786E-4</v>
      </c>
    </row>
    <row r="178" spans="1:20" x14ac:dyDescent="0.25">
      <c r="A178" s="5">
        <v>44415</v>
      </c>
      <c r="B178">
        <v>33242.660000000003</v>
      </c>
      <c r="C178">
        <v>35070.629999999997</v>
      </c>
      <c r="D178">
        <v>32852</v>
      </c>
      <c r="E178">
        <v>34637.56</v>
      </c>
      <c r="F178">
        <v>744.54146300000002</v>
      </c>
      <c r="G178">
        <v>34637.56</v>
      </c>
      <c r="L178" t="s">
        <v>8</v>
      </c>
      <c r="M178" t="s">
        <v>8</v>
      </c>
      <c r="N178" t="s">
        <v>7</v>
      </c>
      <c r="P178">
        <f t="shared" ref="P178" si="865">IF(C178=D178,0,((E178-D178)-(C178-E178))/(C178-D178))</f>
        <v>0.60960592798258362</v>
      </c>
      <c r="Q178">
        <f t="shared" ref="Q178" si="866">F178*P178</f>
        <v>453.87688947362545</v>
      </c>
      <c r="R178">
        <f t="shared" ref="R178" si="867">R179+Q178</f>
        <v>63014.621386799736</v>
      </c>
      <c r="S178">
        <f t="shared" ref="S178" si="868">R178/100000</f>
        <v>0.63014621386799741</v>
      </c>
      <c r="T178">
        <f t="shared" ref="T178" si="869">S178/1000</f>
        <v>6.3014621386799736E-4</v>
      </c>
    </row>
    <row r="179" spans="1:20" x14ac:dyDescent="0.25">
      <c r="A179" s="5">
        <v>44414</v>
      </c>
      <c r="B179">
        <v>32915.129999999997</v>
      </c>
      <c r="C179">
        <v>33710.99</v>
      </c>
      <c r="D179">
        <v>32150</v>
      </c>
      <c r="E179">
        <v>33244.89</v>
      </c>
      <c r="F179">
        <v>519.56590600000004</v>
      </c>
      <c r="G179">
        <v>33244.89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0.40281488030032331</v>
      </c>
      <c r="Q179">
        <f t="shared" ref="Q179" si="871">F179*P179</f>
        <v>209.28887823351906</v>
      </c>
      <c r="R179">
        <f t="shared" ref="R179" si="872">R180+Q179</f>
        <v>62560.744497326108</v>
      </c>
      <c r="S179">
        <f t="shared" ref="S179" si="873">R179/100000</f>
        <v>0.62560744497326104</v>
      </c>
      <c r="T179">
        <f t="shared" ref="T179" si="874">S179/1000</f>
        <v>6.2560744497326107E-4</v>
      </c>
    </row>
    <row r="180" spans="1:20" x14ac:dyDescent="0.25">
      <c r="A180" s="5">
        <v>44413</v>
      </c>
      <c r="B180">
        <v>33002.089999999997</v>
      </c>
      <c r="C180">
        <v>33690</v>
      </c>
      <c r="D180">
        <v>31330</v>
      </c>
      <c r="E180">
        <v>32915.129999999997</v>
      </c>
      <c r="F180">
        <v>729.61117300000001</v>
      </c>
      <c r="G180">
        <v>32915.129999999997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0.34333050847457403</v>
      </c>
      <c r="Q180">
        <f t="shared" ref="Q180" si="876">F180*P180</f>
        <v>250.49777501482041</v>
      </c>
      <c r="R180">
        <f t="shared" ref="R180" si="877">R181+Q180</f>
        <v>62351.455619092587</v>
      </c>
      <c r="S180">
        <f t="shared" ref="S180" si="878">R180/100000</f>
        <v>0.62351455619092588</v>
      </c>
      <c r="T180">
        <f t="shared" ref="T180" si="879">S180/1000</f>
        <v>6.2351455619092592E-4</v>
      </c>
    </row>
    <row r="181" spans="1:20" x14ac:dyDescent="0.25">
      <c r="A181" s="5">
        <v>44412</v>
      </c>
      <c r="B181">
        <v>31901.08</v>
      </c>
      <c r="C181">
        <v>33324.25</v>
      </c>
      <c r="D181">
        <v>31139.84</v>
      </c>
      <c r="E181">
        <v>32998.269999999997</v>
      </c>
      <c r="F181">
        <v>362.07340799999997</v>
      </c>
      <c r="G181">
        <v>32998.269999999997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0.70153954614746938</v>
      </c>
      <c r="Q181">
        <f t="shared" ref="Q181" si="881">F181*P181</f>
        <v>254.0088143203875</v>
      </c>
      <c r="R181">
        <f t="shared" ref="R181" si="882">R182+Q181</f>
        <v>62100.95784407777</v>
      </c>
      <c r="S181">
        <f t="shared" ref="S181" si="883">R181/100000</f>
        <v>0.62100957844077764</v>
      </c>
      <c r="T181">
        <f t="shared" ref="T181" si="884">S181/1000</f>
        <v>6.2100957844077765E-4</v>
      </c>
    </row>
    <row r="182" spans="1:20" x14ac:dyDescent="0.25">
      <c r="A182" s="5">
        <v>44411</v>
      </c>
      <c r="B182">
        <v>31953.23</v>
      </c>
      <c r="C182">
        <v>32622.36</v>
      </c>
      <c r="D182">
        <v>30568.63</v>
      </c>
      <c r="E182">
        <v>31861.87</v>
      </c>
      <c r="F182">
        <v>456.68996399999997</v>
      </c>
      <c r="G182">
        <v>31861.87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0.25940605629756419</v>
      </c>
      <c r="Q182">
        <f t="shared" ref="Q182" si="886">F182*P182</f>
        <v>118.46814251191655</v>
      </c>
      <c r="R182">
        <f t="shared" ref="R182" si="887">R183+Q182</f>
        <v>61846.949029757379</v>
      </c>
      <c r="S182">
        <f t="shared" ref="S182" si="888">R182/100000</f>
        <v>0.61846949029757381</v>
      </c>
      <c r="T182">
        <f t="shared" ref="T182" si="889">S182/1000</f>
        <v>6.1846949029757377E-4</v>
      </c>
    </row>
    <row r="183" spans="1:20" x14ac:dyDescent="0.25">
      <c r="A183" s="5">
        <v>44410</v>
      </c>
      <c r="B183">
        <v>31679.73</v>
      </c>
      <c r="C183">
        <v>33500</v>
      </c>
      <c r="D183">
        <v>31073.1</v>
      </c>
      <c r="E183">
        <v>31953.23</v>
      </c>
      <c r="F183">
        <v>411.49982799999998</v>
      </c>
      <c r="G183">
        <v>31953.23</v>
      </c>
      <c r="L183" t="s">
        <v>8</v>
      </c>
      <c r="M183" t="s">
        <v>8</v>
      </c>
      <c r="N183" t="s">
        <v>7</v>
      </c>
      <c r="P183">
        <f t="shared" ref="P183" si="890">IF(C183=D183,0,((E183-D183)-(C183-E183))/(C183-D183))</f>
        <v>-0.27468787341876427</v>
      </c>
      <c r="Q183">
        <f t="shared" ref="Q183" si="891">F183*P183</f>
        <v>-113.03401266550726</v>
      </c>
      <c r="R183">
        <f t="shared" ref="R183" si="892">R184+Q183</f>
        <v>61728.48088724546</v>
      </c>
      <c r="S183">
        <f t="shared" ref="S183" si="893">R183/100000</f>
        <v>0.61728480887245463</v>
      </c>
      <c r="T183">
        <f t="shared" ref="T183" si="894">S183/1000</f>
        <v>6.1728480887245465E-4</v>
      </c>
    </row>
    <row r="184" spans="1:20" x14ac:dyDescent="0.25">
      <c r="A184" s="5">
        <v>44409</v>
      </c>
      <c r="B184">
        <v>33112.97</v>
      </c>
      <c r="C184">
        <v>33990</v>
      </c>
      <c r="D184">
        <v>31349.94</v>
      </c>
      <c r="E184">
        <v>31682.42</v>
      </c>
      <c r="F184">
        <v>641.67167300000006</v>
      </c>
      <c r="G184">
        <v>31682.42</v>
      </c>
      <c r="L184" t="s">
        <v>7</v>
      </c>
      <c r="M184" t="s">
        <v>8</v>
      </c>
      <c r="N184" t="s">
        <v>7</v>
      </c>
      <c r="P184">
        <f t="shared" ref="P184" si="895">IF(C184=D184,0,((E184-D184)-(C184-E184))/(C184-D184))</f>
        <v>-0.74812693650901918</v>
      </c>
      <c r="Q184">
        <f t="shared" ref="Q184" si="896">F184*P184</f>
        <v>-480.05186296610714</v>
      </c>
      <c r="R184">
        <f t="shared" ref="R184" si="897">R185+Q184</f>
        <v>61841.514899910966</v>
      </c>
      <c r="S184">
        <f t="shared" ref="S184" si="898">R184/100000</f>
        <v>0.61841514899910965</v>
      </c>
      <c r="T184">
        <f t="shared" ref="T184" si="899">S184/1000</f>
        <v>6.1841514899910969E-4</v>
      </c>
    </row>
    <row r="185" spans="1:20" x14ac:dyDescent="0.25">
      <c r="A185" s="5">
        <v>44408</v>
      </c>
      <c r="B185">
        <v>31297.53</v>
      </c>
      <c r="C185">
        <v>33736.53</v>
      </c>
      <c r="D185">
        <v>30713.18</v>
      </c>
      <c r="E185">
        <v>33056.01</v>
      </c>
      <c r="F185">
        <v>773.93949999999995</v>
      </c>
      <c r="G185">
        <v>33056.01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0.54982387087171702</v>
      </c>
      <c r="Q185">
        <f t="shared" ref="Q185" si="901">F185*P185</f>
        <v>425.53041171052121</v>
      </c>
      <c r="R185">
        <f t="shared" ref="R185" si="902">R186+Q185</f>
        <v>62321.566762877075</v>
      </c>
      <c r="S185">
        <f t="shared" ref="S185" si="903">R185/100000</f>
        <v>0.62321566762877079</v>
      </c>
      <c r="T185">
        <f t="shared" ref="T185" si="904">S185/1000</f>
        <v>6.2321566762877083E-4</v>
      </c>
    </row>
    <row r="186" spans="1:20" x14ac:dyDescent="0.25">
      <c r="A186" s="5">
        <v>44407</v>
      </c>
      <c r="B186">
        <v>30846.25</v>
      </c>
      <c r="C186">
        <v>31435.89</v>
      </c>
      <c r="D186">
        <v>29749</v>
      </c>
      <c r="E186">
        <v>31302.06</v>
      </c>
      <c r="F186">
        <v>433.23852499999998</v>
      </c>
      <c r="G186">
        <v>31302.06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0.84132931015063439</v>
      </c>
      <c r="Q186">
        <f t="shared" ref="Q186" si="906">F186*P186</f>
        <v>364.49626936892838</v>
      </c>
      <c r="R186">
        <f t="shared" ref="R186" si="907">R187+Q186</f>
        <v>61896.036351166556</v>
      </c>
      <c r="S186">
        <f t="shared" ref="S186" si="908">R186/100000</f>
        <v>0.61896036351166561</v>
      </c>
      <c r="T186">
        <f t="shared" ref="T186" si="909">S186/1000</f>
        <v>6.1896036351166564E-4</v>
      </c>
    </row>
    <row r="187" spans="1:20" x14ac:dyDescent="0.25">
      <c r="A187" s="5">
        <v>44406</v>
      </c>
      <c r="B187">
        <v>29858.66</v>
      </c>
      <c r="C187">
        <v>31137.51</v>
      </c>
      <c r="D187">
        <v>29403.57</v>
      </c>
      <c r="E187">
        <v>30858.5</v>
      </c>
      <c r="F187">
        <v>354.18484999999998</v>
      </c>
      <c r="G187">
        <v>30858.5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0.67817802230757862</v>
      </c>
      <c r="Q187">
        <f t="shared" ref="Q187" si="911">F187*P187</f>
        <v>240.20038110430639</v>
      </c>
      <c r="R187">
        <f t="shared" ref="R187" si="912">R188+Q187</f>
        <v>61531.540081797626</v>
      </c>
      <c r="S187">
        <f t="shared" ref="S187" si="913">R187/100000</f>
        <v>0.61531540081797631</v>
      </c>
      <c r="T187">
        <f t="shared" ref="T187" si="914">S187/1000</f>
        <v>6.1531540081797632E-4</v>
      </c>
    </row>
    <row r="188" spans="1:20" x14ac:dyDescent="0.25">
      <c r="A188" s="5">
        <v>44405</v>
      </c>
      <c r="B188">
        <v>29643.96</v>
      </c>
      <c r="C188">
        <v>30899.99</v>
      </c>
      <c r="D188">
        <v>29224.799999999999</v>
      </c>
      <c r="E188">
        <v>29859.22</v>
      </c>
      <c r="F188">
        <v>561.82728399999996</v>
      </c>
      <c r="G188">
        <v>29859.22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-0.242569499579151</v>
      </c>
      <c r="Q188">
        <f t="shared" ref="Q188" si="916">F188*P188</f>
        <v>-136.28216312979353</v>
      </c>
      <c r="R188">
        <f t="shared" ref="R188" si="917">R189+Q188</f>
        <v>61291.339700693323</v>
      </c>
      <c r="S188">
        <f t="shared" ref="S188" si="918">R188/100000</f>
        <v>0.61291339700693326</v>
      </c>
      <c r="T188">
        <f t="shared" ref="T188" si="919">S188/1000</f>
        <v>6.1291339700693327E-4</v>
      </c>
    </row>
    <row r="189" spans="1:20" x14ac:dyDescent="0.25">
      <c r="A189" s="5">
        <v>44404</v>
      </c>
      <c r="B189">
        <v>30018.37</v>
      </c>
      <c r="C189">
        <v>31000</v>
      </c>
      <c r="D189">
        <v>28779.52</v>
      </c>
      <c r="E189">
        <v>29650.55</v>
      </c>
      <c r="F189">
        <v>512.84458400000005</v>
      </c>
      <c r="G189">
        <v>29650.55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-0.21545791900850356</v>
      </c>
      <c r="Q189">
        <f t="shared" ref="Q189" si="921">F189*P189</f>
        <v>-110.49642684342172</v>
      </c>
      <c r="R189">
        <f t="shared" ref="R189" si="922">R190+Q189</f>
        <v>61427.621863823115</v>
      </c>
      <c r="S189">
        <f t="shared" ref="S189" si="923">R189/100000</f>
        <v>0.61427621863823112</v>
      </c>
      <c r="T189">
        <f t="shared" ref="T189" si="924">S189/1000</f>
        <v>6.1427621863823108E-4</v>
      </c>
    </row>
    <row r="190" spans="1:20" x14ac:dyDescent="0.25">
      <c r="A190" s="5">
        <v>44403</v>
      </c>
      <c r="B190">
        <v>29971.88</v>
      </c>
      <c r="C190">
        <v>33187.97</v>
      </c>
      <c r="D190">
        <v>29817.37</v>
      </c>
      <c r="E190">
        <v>30064.28</v>
      </c>
      <c r="F190">
        <v>780.881665</v>
      </c>
      <c r="G190">
        <v>30064.28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-0.85349195988844739</v>
      </c>
      <c r="Q190">
        <f t="shared" ref="Q190" si="926">F190*P190</f>
        <v>-666.47622270180398</v>
      </c>
      <c r="R190">
        <f t="shared" ref="R190" si="927">R191+Q190</f>
        <v>61538.118290666534</v>
      </c>
      <c r="S190">
        <f t="shared" ref="S190" si="928">R190/100000</f>
        <v>0.61538118290666532</v>
      </c>
      <c r="T190">
        <f t="shared" ref="T190" si="929">S190/1000</f>
        <v>6.1538118290666531E-4</v>
      </c>
    </row>
    <row r="191" spans="1:20" x14ac:dyDescent="0.25">
      <c r="A191" s="5">
        <v>44402</v>
      </c>
      <c r="B191">
        <v>29509.34</v>
      </c>
      <c r="C191">
        <v>29976.62</v>
      </c>
      <c r="D191">
        <v>28653.13</v>
      </c>
      <c r="E191">
        <v>29945.19</v>
      </c>
      <c r="F191">
        <v>239.271961</v>
      </c>
      <c r="G191">
        <v>29945.19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0.95250436346326706</v>
      </c>
      <c r="Q191">
        <f t="shared" ref="Q191" si="931">F191*P191</f>
        <v>227.90758690691266</v>
      </c>
      <c r="R191">
        <f t="shared" ref="R191" si="932">R192+Q191</f>
        <v>62204.594513368342</v>
      </c>
      <c r="S191">
        <f t="shared" ref="S191" si="933">R191/100000</f>
        <v>0.62204594513368339</v>
      </c>
      <c r="T191">
        <f t="shared" ref="T191:T197" si="934">S191/1000</f>
        <v>6.2204594513368334E-4</v>
      </c>
    </row>
    <row r="192" spans="1:20" x14ac:dyDescent="0.25">
      <c r="A192" s="5">
        <v>44401</v>
      </c>
      <c r="B192">
        <v>29427.03</v>
      </c>
      <c r="C192">
        <v>30268.69</v>
      </c>
      <c r="D192">
        <v>28900</v>
      </c>
      <c r="E192">
        <v>29485.39</v>
      </c>
      <c r="F192">
        <v>389.45094799999998</v>
      </c>
      <c r="G192">
        <v>29485.39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-0.14459811936961622</v>
      </c>
      <c r="Q192">
        <f t="shared" ref="Q192" si="936">F192*P192</f>
        <v>-56.313874667514199</v>
      </c>
      <c r="R192">
        <f t="shared" ref="R192" si="937">R193+Q192</f>
        <v>61976.686926461429</v>
      </c>
      <c r="S192">
        <f t="shared" ref="S192" si="938">R192/100000</f>
        <v>0.61976686926461433</v>
      </c>
      <c r="T192">
        <f t="shared" si="934"/>
        <v>6.1976686926461428E-4</v>
      </c>
    </row>
    <row r="193" spans="1:20" x14ac:dyDescent="0.25">
      <c r="A193" s="5">
        <v>44400</v>
      </c>
      <c r="B193">
        <v>28513.61</v>
      </c>
      <c r="C193">
        <v>29441.88</v>
      </c>
      <c r="D193">
        <v>27911.81</v>
      </c>
      <c r="E193">
        <v>29424.63</v>
      </c>
      <c r="F193">
        <v>305.23827799999998</v>
      </c>
      <c r="G193">
        <v>29424.63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0.97745201199945098</v>
      </c>
      <c r="Q193">
        <f t="shared" ref="Q193" si="940">F193*P193</f>
        <v>298.35576897034775</v>
      </c>
      <c r="R193">
        <f t="shared" ref="R193" si="941">R194+Q193</f>
        <v>62033.000801128946</v>
      </c>
      <c r="S193">
        <f t="shared" ref="S193" si="942">R193/100000</f>
        <v>0.62033000801128946</v>
      </c>
      <c r="T193">
        <f t="shared" si="934"/>
        <v>6.2033000801128943E-4</v>
      </c>
    </row>
    <row r="194" spans="1:20" x14ac:dyDescent="0.25">
      <c r="A194" s="5">
        <v>44399</v>
      </c>
      <c r="B194">
        <v>28292.84</v>
      </c>
      <c r="C194">
        <v>28866.86</v>
      </c>
      <c r="D194">
        <v>27462.82</v>
      </c>
      <c r="E194">
        <v>28492.57</v>
      </c>
      <c r="F194">
        <v>342.97801299999998</v>
      </c>
      <c r="G194">
        <v>28492.57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0.46683855160821536</v>
      </c>
      <c r="Q194">
        <f t="shared" ref="Q194" si="944">F194*P194</f>
        <v>160.11535882238366</v>
      </c>
      <c r="R194">
        <f t="shared" ref="R194" si="945">R195+Q194</f>
        <v>61734.645032158602</v>
      </c>
      <c r="S194">
        <f t="shared" ref="S194" si="946">R194/100000</f>
        <v>0.61734645032158597</v>
      </c>
      <c r="T194">
        <f t="shared" si="934"/>
        <v>6.1734645032158596E-4</v>
      </c>
    </row>
    <row r="195" spans="1:20" x14ac:dyDescent="0.25">
      <c r="A195" s="5">
        <v>44398</v>
      </c>
      <c r="B195">
        <v>25811.48</v>
      </c>
      <c r="C195">
        <v>29772.21</v>
      </c>
      <c r="D195">
        <v>25296.12</v>
      </c>
      <c r="E195">
        <v>28289.5</v>
      </c>
      <c r="F195">
        <v>543.46196799999996</v>
      </c>
      <c r="G195">
        <v>28289.5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0.33749768212882264</v>
      </c>
      <c r="Q195">
        <f t="shared" ref="Q195" si="948">F195*P195</f>
        <v>183.41715452516837</v>
      </c>
      <c r="R195">
        <f t="shared" ref="R195" si="949">R196+Q195</f>
        <v>61574.529673336219</v>
      </c>
      <c r="S195">
        <f t="shared" ref="S195" si="950">R195/100000</f>
        <v>0.6157452967333622</v>
      </c>
      <c r="T195">
        <f t="shared" si="934"/>
        <v>6.1574529673336217E-4</v>
      </c>
    </row>
    <row r="196" spans="1:20" x14ac:dyDescent="0.25">
      <c r="A196" s="5">
        <v>44397</v>
      </c>
      <c r="B196">
        <v>26882.41</v>
      </c>
      <c r="C196">
        <v>27300</v>
      </c>
      <c r="D196">
        <v>24800</v>
      </c>
      <c r="E196">
        <v>25787.3</v>
      </c>
      <c r="F196">
        <v>399.88646699999998</v>
      </c>
      <c r="G196">
        <v>25787.3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-0.21016000000000057</v>
      </c>
      <c r="Q196">
        <f t="shared" ref="Q196" si="952">F196*P196</f>
        <v>-84.04013990472022</v>
      </c>
      <c r="R196">
        <f t="shared" ref="R196" si="953">R197+Q196</f>
        <v>61391.112518811053</v>
      </c>
      <c r="S196">
        <f t="shared" ref="S196" si="954">R196/100000</f>
        <v>0.61391112518811053</v>
      </c>
      <c r="T196">
        <f t="shared" si="934"/>
        <v>6.139111251881105E-4</v>
      </c>
    </row>
    <row r="197" spans="1:20" x14ac:dyDescent="0.25">
      <c r="A197" s="5">
        <v>44396</v>
      </c>
      <c r="B197">
        <v>27965.89</v>
      </c>
      <c r="C197">
        <v>28311.99</v>
      </c>
      <c r="D197">
        <v>26607.439999999999</v>
      </c>
      <c r="E197">
        <v>26855.4</v>
      </c>
      <c r="F197">
        <v>297.19876699999998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-0.70906104250388391</v>
      </c>
      <c r="Q197">
        <f t="shared" ref="Q197" si="956">F197*P197</f>
        <v>-210.73206755988886</v>
      </c>
      <c r="R197">
        <f t="shared" ref="R197" si="957">R198+Q197</f>
        <v>61475.152658715771</v>
      </c>
      <c r="S197">
        <f t="shared" ref="S197" si="958">R197/100000</f>
        <v>0.6147515265871577</v>
      </c>
      <c r="T197">
        <f t="shared" si="934"/>
        <v>6.1475152658715775E-4</v>
      </c>
    </row>
    <row r="198" spans="1:20" x14ac:dyDescent="0.25">
      <c r="A198" s="5">
        <v>44395</v>
      </c>
      <c r="B198">
        <v>27679.599999999999</v>
      </c>
      <c r="C198">
        <v>28917.040000000001</v>
      </c>
      <c r="D198">
        <v>27525.81</v>
      </c>
      <c r="E198">
        <v>27959.51</v>
      </c>
      <c r="F198">
        <v>312.70616999999999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-0.37652293294423317</v>
      </c>
      <c r="Q198">
        <f t="shared" ref="Q198:Q261" si="960">F198*P198</f>
        <v>-117.74104427815797</v>
      </c>
      <c r="R198">
        <f t="shared" ref="R198:R261" si="961">R199+Q198</f>
        <v>61685.884726275661</v>
      </c>
      <c r="S198">
        <f t="shared" ref="S198:S261" si="962">R198/100000</f>
        <v>0.61685884726275664</v>
      </c>
      <c r="T198">
        <f t="shared" ref="T198:T261" si="963">S198/1000</f>
        <v>6.1685884726275667E-4</v>
      </c>
    </row>
    <row r="199" spans="1:20" x14ac:dyDescent="0.25">
      <c r="A199" s="5">
        <v>44394</v>
      </c>
      <c r="B199">
        <v>27615.37</v>
      </c>
      <c r="C199">
        <v>28200</v>
      </c>
      <c r="D199">
        <v>27013.84</v>
      </c>
      <c r="E199">
        <v>27648.76</v>
      </c>
      <c r="F199">
        <v>311.22124400000001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7.0546975112966773E-2</v>
      </c>
      <c r="Q199">
        <f t="shared" si="960"/>
        <v>21.95571735509456</v>
      </c>
      <c r="R199">
        <f t="shared" si="961"/>
        <v>61803.625770553816</v>
      </c>
      <c r="S199">
        <f t="shared" si="962"/>
        <v>0.61803625770553816</v>
      </c>
      <c r="T199">
        <f t="shared" si="963"/>
        <v>6.180362577055382E-4</v>
      </c>
    </row>
    <row r="200" spans="1:20" x14ac:dyDescent="0.25">
      <c r="A200" s="5">
        <v>44393</v>
      </c>
      <c r="B200">
        <v>30101.45</v>
      </c>
      <c r="C200">
        <v>30556.35</v>
      </c>
      <c r="D200">
        <v>27483.88</v>
      </c>
      <c r="E200">
        <v>27602.38</v>
      </c>
      <c r="F200">
        <v>691.88148699999999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-0.92286336400355407</v>
      </c>
      <c r="Q200">
        <f t="shared" si="960"/>
        <v>-638.51207658460123</v>
      </c>
      <c r="R200">
        <f t="shared" si="961"/>
        <v>61781.670053198723</v>
      </c>
      <c r="S200">
        <f t="shared" si="962"/>
        <v>0.61781670053198723</v>
      </c>
      <c r="T200">
        <f t="shared" si="963"/>
        <v>6.1781670053198722E-4</v>
      </c>
    </row>
    <row r="201" spans="1:20" x14ac:dyDescent="0.25">
      <c r="A201" s="5">
        <v>44392</v>
      </c>
      <c r="B201">
        <v>31517.39</v>
      </c>
      <c r="C201">
        <v>32315.49</v>
      </c>
      <c r="D201">
        <v>29720</v>
      </c>
      <c r="E201">
        <v>30101.45</v>
      </c>
      <c r="F201">
        <v>360.78829400000001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-0.7060670624814579</v>
      </c>
      <c r="Q201">
        <f t="shared" si="960"/>
        <v>-254.74073092227661</v>
      </c>
      <c r="R201">
        <f t="shared" si="961"/>
        <v>62420.182129783323</v>
      </c>
      <c r="S201">
        <f t="shared" si="962"/>
        <v>0.62420182129783319</v>
      </c>
      <c r="T201">
        <f t="shared" si="963"/>
        <v>6.2420182129783325E-4</v>
      </c>
    </row>
    <row r="202" spans="1:20" x14ac:dyDescent="0.25">
      <c r="A202" s="5">
        <v>44391</v>
      </c>
      <c r="B202">
        <v>32282.31</v>
      </c>
      <c r="C202">
        <v>32432.35</v>
      </c>
      <c r="D202">
        <v>30124.74</v>
      </c>
      <c r="E202">
        <v>31505.81</v>
      </c>
      <c r="F202">
        <v>466.31850600000001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0.19697002526423577</v>
      </c>
      <c r="Q202">
        <f t="shared" si="960"/>
        <v>91.850767908000677</v>
      </c>
      <c r="R202">
        <f t="shared" si="961"/>
        <v>62674.922860705599</v>
      </c>
      <c r="S202">
        <f t="shared" si="962"/>
        <v>0.62674922860705595</v>
      </c>
      <c r="T202">
        <f t="shared" si="963"/>
        <v>6.2674922860705593E-4</v>
      </c>
    </row>
    <row r="203" spans="1:20" x14ac:dyDescent="0.25">
      <c r="A203" s="5">
        <v>44390</v>
      </c>
      <c r="B203">
        <v>32814.36</v>
      </c>
      <c r="C203">
        <v>33868</v>
      </c>
      <c r="D203">
        <v>31915.13</v>
      </c>
      <c r="E203">
        <v>32267.26</v>
      </c>
      <c r="F203">
        <v>364.95649300000002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-0.63937179638173813</v>
      </c>
      <c r="Q203">
        <f t="shared" si="960"/>
        <v>-233.34288853058925</v>
      </c>
      <c r="R203">
        <f t="shared" si="961"/>
        <v>62583.0720927976</v>
      </c>
      <c r="S203">
        <f t="shared" si="962"/>
        <v>0.62583072092797598</v>
      </c>
      <c r="T203">
        <f t="shared" si="963"/>
        <v>6.2583072092797603E-4</v>
      </c>
    </row>
    <row r="204" spans="1:20" x14ac:dyDescent="0.25">
      <c r="A204" s="5">
        <v>44389</v>
      </c>
      <c r="B204">
        <v>33827.64</v>
      </c>
      <c r="C204">
        <v>34388</v>
      </c>
      <c r="D204">
        <v>32234</v>
      </c>
      <c r="E204">
        <v>32843</v>
      </c>
      <c r="F204">
        <v>224.96028999999999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-0.43454038997214484</v>
      </c>
      <c r="Q204">
        <f t="shared" si="960"/>
        <v>-97.754332144846785</v>
      </c>
      <c r="R204">
        <f t="shared" si="961"/>
        <v>62816.414981328191</v>
      </c>
      <c r="S204">
        <f t="shared" si="962"/>
        <v>0.62816414981328195</v>
      </c>
      <c r="T204">
        <f t="shared" si="963"/>
        <v>6.2816414981328196E-4</v>
      </c>
    </row>
    <row r="205" spans="1:20" x14ac:dyDescent="0.25">
      <c r="A205" s="5">
        <v>44388</v>
      </c>
      <c r="B205">
        <v>33183.14</v>
      </c>
      <c r="C205">
        <v>34319.56</v>
      </c>
      <c r="D205">
        <v>32766.94</v>
      </c>
      <c r="E205">
        <v>33826.33</v>
      </c>
      <c r="F205">
        <v>194.23880700000001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0.36464814313869942</v>
      </c>
      <c r="Q205">
        <f t="shared" si="960"/>
        <v>70.828820298026216</v>
      </c>
      <c r="R205">
        <f t="shared" si="961"/>
        <v>62914.169313473038</v>
      </c>
      <c r="S205">
        <f t="shared" si="962"/>
        <v>0.62914169313473034</v>
      </c>
      <c r="T205">
        <f t="shared" si="963"/>
        <v>6.2914169313473033E-4</v>
      </c>
    </row>
    <row r="206" spans="1:20" x14ac:dyDescent="0.25">
      <c r="A206" s="5">
        <v>44387</v>
      </c>
      <c r="B206">
        <v>33508.68</v>
      </c>
      <c r="C206">
        <v>34084.22</v>
      </c>
      <c r="D206">
        <v>32452.03</v>
      </c>
      <c r="E206">
        <v>33154.699999999997</v>
      </c>
      <c r="F206">
        <v>237.17949999999999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-0.13898504463328748</v>
      </c>
      <c r="Q206">
        <f t="shared" si="960"/>
        <v>-32.964403393600804</v>
      </c>
      <c r="R206">
        <f t="shared" si="961"/>
        <v>62843.340493175012</v>
      </c>
      <c r="S206">
        <f t="shared" si="962"/>
        <v>0.62843340493175015</v>
      </c>
      <c r="T206">
        <f t="shared" si="963"/>
        <v>6.284334049317501E-4</v>
      </c>
    </row>
    <row r="207" spans="1:20" x14ac:dyDescent="0.25">
      <c r="A207" s="5">
        <v>44386</v>
      </c>
      <c r="B207">
        <v>33074.86</v>
      </c>
      <c r="C207">
        <v>34026.699999999997</v>
      </c>
      <c r="D207">
        <v>31635.58</v>
      </c>
      <c r="E207">
        <v>33473.06</v>
      </c>
      <c r="F207">
        <v>347.64687099999998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0.53691993710060515</v>
      </c>
      <c r="Q207">
        <f t="shared" si="960"/>
        <v>186.65853611054217</v>
      </c>
      <c r="R207">
        <f t="shared" si="961"/>
        <v>62876.30489656861</v>
      </c>
      <c r="S207">
        <f t="shared" si="962"/>
        <v>0.62876304896568613</v>
      </c>
      <c r="T207">
        <f t="shared" si="963"/>
        <v>6.2876304896568617E-4</v>
      </c>
    </row>
    <row r="208" spans="1:20" x14ac:dyDescent="0.25">
      <c r="A208" s="5">
        <v>44385</v>
      </c>
      <c r="B208">
        <v>35439.11</v>
      </c>
      <c r="C208">
        <v>35501.25</v>
      </c>
      <c r="D208">
        <v>32322</v>
      </c>
      <c r="E208">
        <v>33070.65</v>
      </c>
      <c r="F208">
        <v>835.70545700000002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-0.52903986789337021</v>
      </c>
      <c r="Q208">
        <f t="shared" si="960"/>
        <v>-442.12150456904857</v>
      </c>
      <c r="R208">
        <f t="shared" si="961"/>
        <v>62689.646360458071</v>
      </c>
      <c r="S208">
        <f t="shared" si="962"/>
        <v>0.62689646360458073</v>
      </c>
      <c r="T208">
        <f t="shared" si="963"/>
        <v>6.2689646360458077E-4</v>
      </c>
    </row>
    <row r="209" spans="1:20" x14ac:dyDescent="0.25">
      <c r="A209" s="5">
        <v>44384</v>
      </c>
      <c r="B209">
        <v>35911.03</v>
      </c>
      <c r="C209">
        <v>37783.660000000003</v>
      </c>
      <c r="D209">
        <v>35176.080000000002</v>
      </c>
      <c r="E209">
        <v>35399.46</v>
      </c>
      <c r="F209">
        <v>640.64506500000005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-0.82866872732572172</v>
      </c>
      <c r="Q209">
        <f t="shared" si="960"/>
        <v>-530.88253068105428</v>
      </c>
      <c r="R209">
        <f t="shared" si="961"/>
        <v>63131.767865027119</v>
      </c>
      <c r="S209">
        <f t="shared" si="962"/>
        <v>0.63131767865027122</v>
      </c>
      <c r="T209">
        <f t="shared" si="963"/>
        <v>6.3131767865027123E-4</v>
      </c>
    </row>
    <row r="210" spans="1:20" x14ac:dyDescent="0.25">
      <c r="A210" s="5">
        <v>44383</v>
      </c>
      <c r="B210">
        <v>32421.59</v>
      </c>
      <c r="C210">
        <v>37365</v>
      </c>
      <c r="D210">
        <v>32405.8</v>
      </c>
      <c r="E210">
        <v>35904.47</v>
      </c>
      <c r="F210">
        <v>1254.095323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0.41098160993708716</v>
      </c>
      <c r="Q210">
        <f t="shared" si="960"/>
        <v>515.41011486111131</v>
      </c>
      <c r="R210">
        <f t="shared" si="961"/>
        <v>63662.650395708173</v>
      </c>
      <c r="S210">
        <f t="shared" si="962"/>
        <v>0.63662650395708176</v>
      </c>
      <c r="T210">
        <f t="shared" si="963"/>
        <v>6.3662650395708174E-4</v>
      </c>
    </row>
    <row r="211" spans="1:20" x14ac:dyDescent="0.25">
      <c r="A211" s="5">
        <v>44382</v>
      </c>
      <c r="B211">
        <v>33394</v>
      </c>
      <c r="C211">
        <v>33447.15</v>
      </c>
      <c r="D211">
        <v>31000</v>
      </c>
      <c r="E211">
        <v>32417.360000000001</v>
      </c>
      <c r="F211">
        <v>455.55744399999998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0.15837607012238705</v>
      </c>
      <c r="Q211">
        <f t="shared" si="960"/>
        <v>72.149397695719415</v>
      </c>
      <c r="R211">
        <f t="shared" si="961"/>
        <v>63147.240280847065</v>
      </c>
      <c r="S211">
        <f t="shared" si="962"/>
        <v>0.63147240280847061</v>
      </c>
      <c r="T211">
        <f t="shared" si="963"/>
        <v>6.3147240280847061E-4</v>
      </c>
    </row>
    <row r="212" spans="1:20" x14ac:dyDescent="0.25">
      <c r="A212" s="5">
        <v>44381</v>
      </c>
      <c r="B212">
        <v>32670.53</v>
      </c>
      <c r="C212">
        <v>34500</v>
      </c>
      <c r="D212">
        <v>31602.76</v>
      </c>
      <c r="E212">
        <v>33394</v>
      </c>
      <c r="F212">
        <v>451.19873899999999</v>
      </c>
      <c r="G212">
        <v>0</v>
      </c>
      <c r="L212" t="s">
        <v>7</v>
      </c>
      <c r="M212" t="s">
        <v>8</v>
      </c>
      <c r="N212" t="s">
        <v>7</v>
      </c>
      <c r="P212">
        <f t="shared" si="959"/>
        <v>0.23651475197084162</v>
      </c>
      <c r="Q212">
        <f t="shared" si="960"/>
        <v>106.7151578441415</v>
      </c>
      <c r="R212">
        <f t="shared" si="961"/>
        <v>63075.090883151344</v>
      </c>
      <c r="S212">
        <f t="shared" si="962"/>
        <v>0.63075090883151341</v>
      </c>
      <c r="T212">
        <f t="shared" si="963"/>
        <v>6.3075090883151343E-4</v>
      </c>
    </row>
    <row r="213" spans="1:20" x14ac:dyDescent="0.25">
      <c r="A213" s="5">
        <v>44380</v>
      </c>
      <c r="B213">
        <v>32051.79</v>
      </c>
      <c r="C213">
        <v>34800</v>
      </c>
      <c r="D213">
        <v>31518.01</v>
      </c>
      <c r="E213">
        <v>32670.53</v>
      </c>
      <c r="F213">
        <v>392.36064599999997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-0.29767001118224012</v>
      </c>
      <c r="Q213">
        <f t="shared" si="960"/>
        <v>-116.79399788229095</v>
      </c>
      <c r="R213">
        <f t="shared" si="961"/>
        <v>62968.375725307204</v>
      </c>
      <c r="S213">
        <f t="shared" si="962"/>
        <v>0.62968375725307202</v>
      </c>
      <c r="T213">
        <f t="shared" si="963"/>
        <v>6.2968375725307201E-4</v>
      </c>
    </row>
    <row r="214" spans="1:20" x14ac:dyDescent="0.25">
      <c r="A214" s="5">
        <v>44379</v>
      </c>
      <c r="B214">
        <v>31947.24</v>
      </c>
      <c r="C214">
        <v>32396.49</v>
      </c>
      <c r="D214">
        <v>30582.26</v>
      </c>
      <c r="E214">
        <v>32039.4</v>
      </c>
      <c r="F214">
        <v>256.82802400000003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0.6063453917088798</v>
      </c>
      <c r="Q214">
        <f t="shared" si="960"/>
        <v>155.72648881409759</v>
      </c>
      <c r="R214">
        <f t="shared" si="961"/>
        <v>63085.169723189494</v>
      </c>
      <c r="S214">
        <f t="shared" si="962"/>
        <v>0.63085169723189494</v>
      </c>
      <c r="T214">
        <f t="shared" si="963"/>
        <v>6.3085169723189492E-4</v>
      </c>
    </row>
    <row r="215" spans="1:20" x14ac:dyDescent="0.25">
      <c r="A215" s="5">
        <v>44378</v>
      </c>
      <c r="B215">
        <v>33845.17</v>
      </c>
      <c r="C215">
        <v>34252.81</v>
      </c>
      <c r="D215">
        <v>31585.62</v>
      </c>
      <c r="E215">
        <v>31931.17</v>
      </c>
      <c r="F215">
        <v>504.98933699999998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-0.74088835066118319</v>
      </c>
      <c r="Q215">
        <f t="shared" si="960"/>
        <v>-374.14071699141442</v>
      </c>
      <c r="R215">
        <f t="shared" si="961"/>
        <v>62929.443234375394</v>
      </c>
      <c r="S215">
        <f t="shared" si="962"/>
        <v>0.62929443234375393</v>
      </c>
      <c r="T215">
        <f t="shared" si="963"/>
        <v>6.2929443234375397E-4</v>
      </c>
    </row>
    <row r="216" spans="1:20" x14ac:dyDescent="0.25">
      <c r="A216" s="5">
        <v>44377</v>
      </c>
      <c r="B216">
        <v>33624.5</v>
      </c>
      <c r="C216">
        <v>34039.519999999997</v>
      </c>
      <c r="D216">
        <v>31173.48</v>
      </c>
      <c r="E216">
        <v>33843.07</v>
      </c>
      <c r="F216">
        <v>625.08607800000004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0.86291189236717059</v>
      </c>
      <c r="Q216">
        <f t="shared" si="960"/>
        <v>539.39421045935285</v>
      </c>
      <c r="R216">
        <f t="shared" si="961"/>
        <v>63303.583951366811</v>
      </c>
      <c r="S216">
        <f t="shared" si="962"/>
        <v>0.63303583951366815</v>
      </c>
      <c r="T216">
        <f t="shared" si="963"/>
        <v>6.3303583951366811E-4</v>
      </c>
    </row>
    <row r="217" spans="1:20" x14ac:dyDescent="0.25">
      <c r="A217" s="5">
        <v>44376</v>
      </c>
      <c r="B217">
        <v>31408.880000000001</v>
      </c>
      <c r="C217">
        <v>34850</v>
      </c>
      <c r="D217">
        <v>31266.639999999999</v>
      </c>
      <c r="E217">
        <v>33635.360000000001</v>
      </c>
      <c r="F217">
        <v>800.31818599999997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0.32206644043579252</v>
      </c>
      <c r="Q217">
        <f t="shared" si="960"/>
        <v>257.75562938105054</v>
      </c>
      <c r="R217">
        <f t="shared" si="961"/>
        <v>62764.189740907459</v>
      </c>
      <c r="S217">
        <f t="shared" si="962"/>
        <v>0.62764189740907461</v>
      </c>
      <c r="T217">
        <f t="shared" si="963"/>
        <v>6.2764189740907464E-4</v>
      </c>
    </row>
    <row r="218" spans="1:20" x14ac:dyDescent="0.25">
      <c r="A218" s="5">
        <v>44375</v>
      </c>
      <c r="B218">
        <v>30273.17</v>
      </c>
      <c r="C218">
        <v>32887.93</v>
      </c>
      <c r="D218">
        <v>29784.28</v>
      </c>
      <c r="E218">
        <v>31409.26</v>
      </c>
      <c r="F218">
        <v>648.53135299999997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4.7141269150837758E-2</v>
      </c>
      <c r="Q218">
        <f t="shared" si="960"/>
        <v>30.57259106452997</v>
      </c>
      <c r="R218">
        <f t="shared" si="961"/>
        <v>62506.434111526411</v>
      </c>
      <c r="S218">
        <f t="shared" si="962"/>
        <v>0.6250643411152641</v>
      </c>
      <c r="T218">
        <f t="shared" si="963"/>
        <v>6.2506434111526412E-4</v>
      </c>
    </row>
    <row r="219" spans="1:20" x14ac:dyDescent="0.25">
      <c r="A219" s="5">
        <v>44374</v>
      </c>
      <c r="B219">
        <v>28713.93</v>
      </c>
      <c r="C219">
        <v>30275.33</v>
      </c>
      <c r="D219">
        <v>27891.73</v>
      </c>
      <c r="E219">
        <v>30273.17</v>
      </c>
      <c r="F219">
        <v>371.63842099999999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0.99818761537170375</v>
      </c>
      <c r="Q219">
        <f t="shared" si="960"/>
        <v>370.96486923849528</v>
      </c>
      <c r="R219">
        <f t="shared" si="961"/>
        <v>62475.861520461884</v>
      </c>
      <c r="S219">
        <f t="shared" si="962"/>
        <v>0.62475861520461884</v>
      </c>
      <c r="T219">
        <f t="shared" si="963"/>
        <v>6.247586152046188E-4</v>
      </c>
    </row>
    <row r="220" spans="1:20" x14ac:dyDescent="0.25">
      <c r="A220" s="5">
        <v>44373</v>
      </c>
      <c r="B220">
        <v>28106.52</v>
      </c>
      <c r="C220">
        <v>28948.52</v>
      </c>
      <c r="D220">
        <v>26749.89</v>
      </c>
      <c r="E220">
        <v>28694.41</v>
      </c>
      <c r="F220">
        <v>551.34292600000003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0.76884696379108763</v>
      </c>
      <c r="Q220">
        <f t="shared" si="960"/>
        <v>423.89833466279435</v>
      </c>
      <c r="R220">
        <f t="shared" si="961"/>
        <v>62104.896651223389</v>
      </c>
      <c r="S220">
        <f t="shared" si="962"/>
        <v>0.62104896651223385</v>
      </c>
      <c r="T220">
        <f t="shared" si="963"/>
        <v>6.2104896651223387E-4</v>
      </c>
    </row>
    <row r="221" spans="1:20" x14ac:dyDescent="0.25">
      <c r="A221" s="5">
        <v>44372</v>
      </c>
      <c r="B221">
        <v>31407.83</v>
      </c>
      <c r="C221">
        <v>31855.95</v>
      </c>
      <c r="D221">
        <v>27874.85</v>
      </c>
      <c r="E221">
        <v>28110.46</v>
      </c>
      <c r="F221">
        <v>519.83800699999995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-0.88163572881866803</v>
      </c>
      <c r="Q221">
        <f t="shared" si="960"/>
        <v>-458.30776016908879</v>
      </c>
      <c r="R221">
        <f t="shared" si="961"/>
        <v>61680.998316560595</v>
      </c>
      <c r="S221">
        <f t="shared" si="962"/>
        <v>0.61680998316560598</v>
      </c>
      <c r="T221">
        <f t="shared" si="963"/>
        <v>6.1680998316560596E-4</v>
      </c>
    </row>
    <row r="222" spans="1:20" x14ac:dyDescent="0.25">
      <c r="A222" s="5">
        <v>44371</v>
      </c>
      <c r="B222">
        <v>31019.57</v>
      </c>
      <c r="C222">
        <v>32112.38</v>
      </c>
      <c r="D222">
        <v>29382.41</v>
      </c>
      <c r="E222">
        <v>31349.41</v>
      </c>
      <c r="F222">
        <v>314.99929600000002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0.44104147664626292</v>
      </c>
      <c r="Q222">
        <f t="shared" si="960"/>
        <v>138.92775465037326</v>
      </c>
      <c r="R222">
        <f t="shared" si="961"/>
        <v>62139.306076729685</v>
      </c>
      <c r="S222">
        <f t="shared" si="962"/>
        <v>0.62139306076729683</v>
      </c>
      <c r="T222">
        <f t="shared" si="963"/>
        <v>6.2139306076729683E-4</v>
      </c>
    </row>
    <row r="223" spans="1:20" x14ac:dyDescent="0.25">
      <c r="A223" s="5">
        <v>44370</v>
      </c>
      <c r="B223">
        <v>28704.87</v>
      </c>
      <c r="C223">
        <v>32438.66</v>
      </c>
      <c r="D223">
        <v>27620.54</v>
      </c>
      <c r="E223">
        <v>30957.17</v>
      </c>
      <c r="F223">
        <v>864.12032099999999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0.38503399666259791</v>
      </c>
      <c r="Q223">
        <f t="shared" si="960"/>
        <v>332.71570079199705</v>
      </c>
      <c r="R223">
        <f t="shared" si="961"/>
        <v>62000.378322079312</v>
      </c>
      <c r="S223">
        <f t="shared" si="962"/>
        <v>0.62000378322079308</v>
      </c>
      <c r="T223">
        <f t="shared" si="963"/>
        <v>6.2000378322079306E-4</v>
      </c>
    </row>
    <row r="224" spans="1:20" x14ac:dyDescent="0.25">
      <c r="A224" s="5">
        <v>44369</v>
      </c>
      <c r="B224">
        <v>29377.34</v>
      </c>
      <c r="C224">
        <v>31433.73</v>
      </c>
      <c r="D224">
        <v>25000</v>
      </c>
      <c r="E224">
        <v>28737.14</v>
      </c>
      <c r="F224">
        <v>1442.3481670000001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0.16173355114373766</v>
      </c>
      <c r="Q224">
        <f t="shared" si="960"/>
        <v>233.27609103457078</v>
      </c>
      <c r="R224">
        <f t="shared" si="961"/>
        <v>61667.662621287316</v>
      </c>
      <c r="S224">
        <f t="shared" si="962"/>
        <v>0.61667662621287311</v>
      </c>
      <c r="T224">
        <f t="shared" si="963"/>
        <v>6.1667662621287314E-4</v>
      </c>
    </row>
    <row r="225" spans="1:20" x14ac:dyDescent="0.25">
      <c r="A225" s="5">
        <v>44368</v>
      </c>
      <c r="B225">
        <v>36039.24</v>
      </c>
      <c r="C225">
        <v>36264.07</v>
      </c>
      <c r="D225">
        <v>28872.44</v>
      </c>
      <c r="E225">
        <v>29367.23</v>
      </c>
      <c r="F225">
        <v>1029.245308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-0.86612154558602072</v>
      </c>
      <c r="Q225">
        <f t="shared" si="960"/>
        <v>-891.45153695211991</v>
      </c>
      <c r="R225">
        <f t="shared" si="961"/>
        <v>61434.386530252748</v>
      </c>
      <c r="S225">
        <f t="shared" si="962"/>
        <v>0.61434386530252749</v>
      </c>
      <c r="T225">
        <f t="shared" si="963"/>
        <v>6.1434386530252749E-4</v>
      </c>
    </row>
    <row r="226" spans="1:20" x14ac:dyDescent="0.25">
      <c r="A226" s="5">
        <v>44367</v>
      </c>
      <c r="B226">
        <v>33213.29</v>
      </c>
      <c r="C226">
        <v>37351.919999999998</v>
      </c>
      <c r="D226">
        <v>32834.400000000001</v>
      </c>
      <c r="E226">
        <v>36012.15</v>
      </c>
      <c r="F226">
        <v>843.94680300000005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0.40685597407427182</v>
      </c>
      <c r="Q226">
        <f t="shared" si="960"/>
        <v>343.3647986014326</v>
      </c>
      <c r="R226">
        <f t="shared" si="961"/>
        <v>62325.838067204866</v>
      </c>
      <c r="S226">
        <f t="shared" si="962"/>
        <v>0.62325838067204864</v>
      </c>
      <c r="T226">
        <f t="shared" si="963"/>
        <v>6.2325838067204859E-4</v>
      </c>
    </row>
    <row r="227" spans="1:20" x14ac:dyDescent="0.25">
      <c r="A227" s="5">
        <v>44366</v>
      </c>
      <c r="B227">
        <v>34163.129999999997</v>
      </c>
      <c r="C227">
        <v>34889.440000000002</v>
      </c>
      <c r="D227">
        <v>33200</v>
      </c>
      <c r="E227">
        <v>33213.29</v>
      </c>
      <c r="F227">
        <v>186.30446900000001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-0.98426697603939661</v>
      </c>
      <c r="Q227">
        <f t="shared" si="960"/>
        <v>-183.37333632525551</v>
      </c>
      <c r="R227">
        <f t="shared" si="961"/>
        <v>61982.473268603433</v>
      </c>
      <c r="S227">
        <f t="shared" si="962"/>
        <v>0.61982473268603433</v>
      </c>
      <c r="T227">
        <f t="shared" si="963"/>
        <v>6.1982473268603429E-4</v>
      </c>
    </row>
    <row r="228" spans="1:20" x14ac:dyDescent="0.25">
      <c r="A228" s="5">
        <v>44365</v>
      </c>
      <c r="B228">
        <v>36297.93</v>
      </c>
      <c r="C228">
        <v>36494.800000000003</v>
      </c>
      <c r="D228">
        <v>32513.1</v>
      </c>
      <c r="E228">
        <v>34163.129999999997</v>
      </c>
      <c r="F228">
        <v>471.11016799999999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-0.17119320893086018</v>
      </c>
      <c r="Q228">
        <f t="shared" si="960"/>
        <v>-80.650861419876634</v>
      </c>
      <c r="R228">
        <f t="shared" si="961"/>
        <v>62165.846604928687</v>
      </c>
      <c r="S228">
        <f t="shared" si="962"/>
        <v>0.62165846604928687</v>
      </c>
      <c r="T228">
        <f t="shared" si="963"/>
        <v>6.2165846604928692E-4</v>
      </c>
    </row>
    <row r="229" spans="1:20" x14ac:dyDescent="0.25">
      <c r="A229" s="5">
        <v>44364</v>
      </c>
      <c r="B229">
        <v>36406.32</v>
      </c>
      <c r="C229">
        <v>37598.68</v>
      </c>
      <c r="D229">
        <v>35351.629999999997</v>
      </c>
      <c r="E229">
        <v>36319.919999999998</v>
      </c>
      <c r="F229">
        <v>185.20854700000001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-0.13816782003070727</v>
      </c>
      <c r="Q229">
        <f t="shared" si="960"/>
        <v>-25.58986119004479</v>
      </c>
      <c r="R229">
        <f t="shared" si="961"/>
        <v>62246.497466348563</v>
      </c>
      <c r="S229">
        <f t="shared" si="962"/>
        <v>0.6224649746634856</v>
      </c>
      <c r="T229">
        <f t="shared" si="963"/>
        <v>6.2246497466348564E-4</v>
      </c>
    </row>
    <row r="230" spans="1:20" x14ac:dyDescent="0.25">
      <c r="A230" s="5">
        <v>44363</v>
      </c>
      <c r="B230">
        <v>38902.92</v>
      </c>
      <c r="C230">
        <v>38972.550000000003</v>
      </c>
      <c r="D230">
        <v>36101.61</v>
      </c>
      <c r="E230">
        <v>36457.89</v>
      </c>
      <c r="F230">
        <v>295.88117099999999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-0.75180254550774417</v>
      </c>
      <c r="Q230">
        <f t="shared" si="960"/>
        <v>-222.44421752561212</v>
      </c>
      <c r="R230">
        <f t="shared" si="961"/>
        <v>62272.087327538611</v>
      </c>
      <c r="S230">
        <f t="shared" si="962"/>
        <v>0.62272087327538617</v>
      </c>
      <c r="T230">
        <f t="shared" si="963"/>
        <v>6.2272087327538614E-4</v>
      </c>
    </row>
    <row r="231" spans="1:20" x14ac:dyDescent="0.25">
      <c r="A231" s="5">
        <v>44362</v>
      </c>
      <c r="B231">
        <v>39425.21</v>
      </c>
      <c r="C231">
        <v>40200</v>
      </c>
      <c r="D231">
        <v>38431.54</v>
      </c>
      <c r="E231">
        <v>38901.31</v>
      </c>
      <c r="F231">
        <v>248.141357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-0.46872420071701137</v>
      </c>
      <c r="Q231">
        <f t="shared" si="960"/>
        <v>-116.30985922465958</v>
      </c>
      <c r="R231">
        <f t="shared" si="961"/>
        <v>62494.531545064223</v>
      </c>
      <c r="S231">
        <f t="shared" si="962"/>
        <v>0.62494531545064225</v>
      </c>
      <c r="T231">
        <f t="shared" si="963"/>
        <v>6.2494531545064229E-4</v>
      </c>
    </row>
    <row r="232" spans="1:20" x14ac:dyDescent="0.25">
      <c r="A232" s="5">
        <v>44361</v>
      </c>
      <c r="B232">
        <v>38533.56</v>
      </c>
      <c r="C232">
        <v>40455.47</v>
      </c>
      <c r="D232">
        <v>38002.559999999998</v>
      </c>
      <c r="E232">
        <v>39425.21</v>
      </c>
      <c r="F232">
        <v>489.61626000000001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0.15996917946439082</v>
      </c>
      <c r="Q232">
        <f t="shared" si="960"/>
        <v>78.32351136462384</v>
      </c>
      <c r="R232">
        <f t="shared" si="961"/>
        <v>62610.841404288883</v>
      </c>
      <c r="S232">
        <f t="shared" si="962"/>
        <v>0.62610841404288886</v>
      </c>
      <c r="T232">
        <f t="shared" si="963"/>
        <v>6.2610841404288884E-4</v>
      </c>
    </row>
    <row r="233" spans="1:20" x14ac:dyDescent="0.25">
      <c r="A233" s="5">
        <v>44360</v>
      </c>
      <c r="B233">
        <v>36349.089999999997</v>
      </c>
      <c r="C233">
        <v>39000.519999999997</v>
      </c>
      <c r="D233">
        <v>35175.11</v>
      </c>
      <c r="E233">
        <v>38527.58</v>
      </c>
      <c r="F233">
        <v>458.13922000000002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0.75273761505302939</v>
      </c>
      <c r="Q233">
        <f t="shared" si="960"/>
        <v>344.85862382505513</v>
      </c>
      <c r="R233">
        <f t="shared" si="961"/>
        <v>62532.517892924261</v>
      </c>
      <c r="S233">
        <f t="shared" si="962"/>
        <v>0.62532517892924266</v>
      </c>
      <c r="T233">
        <f t="shared" si="963"/>
        <v>6.2532517892924266E-4</v>
      </c>
    </row>
    <row r="234" spans="1:20" x14ac:dyDescent="0.25">
      <c r="A234" s="5">
        <v>44359</v>
      </c>
      <c r="B234">
        <v>36927.53</v>
      </c>
      <c r="C234">
        <v>37291.82</v>
      </c>
      <c r="D234">
        <v>34601.53</v>
      </c>
      <c r="E234">
        <v>36305.39</v>
      </c>
      <c r="F234">
        <v>425.29310600000002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0.26667385300469471</v>
      </c>
      <c r="Q234">
        <f t="shared" si="960"/>
        <v>113.41455123335405</v>
      </c>
      <c r="R234">
        <f t="shared" si="961"/>
        <v>62187.659269099204</v>
      </c>
      <c r="S234">
        <f t="shared" si="962"/>
        <v>0.62187659269099205</v>
      </c>
      <c r="T234">
        <f t="shared" si="963"/>
        <v>6.2187659269099204E-4</v>
      </c>
    </row>
    <row r="235" spans="1:20" x14ac:dyDescent="0.25">
      <c r="A235" s="5">
        <v>44358</v>
      </c>
      <c r="B235">
        <v>37793.33</v>
      </c>
      <c r="C235">
        <v>38401.129999999997</v>
      </c>
      <c r="D235">
        <v>36029.01</v>
      </c>
      <c r="E235">
        <v>36926.6</v>
      </c>
      <c r="F235">
        <v>502.91011300000002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-0.24321703792388388</v>
      </c>
      <c r="Q235">
        <f t="shared" si="960"/>
        <v>-122.31630802582573</v>
      </c>
      <c r="R235">
        <f t="shared" si="961"/>
        <v>62074.244717865848</v>
      </c>
      <c r="S235">
        <f t="shared" si="962"/>
        <v>0.62074244717865845</v>
      </c>
      <c r="T235">
        <f t="shared" si="963"/>
        <v>6.2074244717865844E-4</v>
      </c>
    </row>
    <row r="236" spans="1:20" x14ac:dyDescent="0.25">
      <c r="A236" s="5">
        <v>44357</v>
      </c>
      <c r="B236">
        <v>40500</v>
      </c>
      <c r="C236">
        <v>40626.730000000003</v>
      </c>
      <c r="D236">
        <v>37052.5</v>
      </c>
      <c r="E236">
        <v>37793.199999999997</v>
      </c>
      <c r="F236">
        <v>432.160504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-0.58553310783021995</v>
      </c>
      <c r="Q236">
        <f t="shared" si="960"/>
        <v>-253.0442829885942</v>
      </c>
      <c r="R236">
        <f t="shared" si="961"/>
        <v>62196.561025891671</v>
      </c>
      <c r="S236">
        <f t="shared" si="962"/>
        <v>0.62196561025891672</v>
      </c>
      <c r="T236">
        <f t="shared" si="963"/>
        <v>6.2196561025891668E-4</v>
      </c>
    </row>
    <row r="237" spans="1:20" x14ac:dyDescent="0.25">
      <c r="A237" s="5">
        <v>44356</v>
      </c>
      <c r="B237">
        <v>39680.15</v>
      </c>
      <c r="C237">
        <v>41128.019999999997</v>
      </c>
      <c r="D237">
        <v>37685.519999999997</v>
      </c>
      <c r="E237">
        <v>40500</v>
      </c>
      <c r="F237">
        <v>667.76763100000005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0.6351372549019626</v>
      </c>
      <c r="Q237">
        <f t="shared" si="960"/>
        <v>424.12410006572674</v>
      </c>
      <c r="R237">
        <f t="shared" si="961"/>
        <v>62449.605308880266</v>
      </c>
      <c r="S237">
        <f t="shared" si="962"/>
        <v>0.62449605308880263</v>
      </c>
      <c r="T237">
        <f t="shared" si="963"/>
        <v>6.2449605308880266E-4</v>
      </c>
    </row>
    <row r="238" spans="1:20" x14ac:dyDescent="0.25">
      <c r="A238" s="5">
        <v>44355</v>
      </c>
      <c r="B238">
        <v>40382.81</v>
      </c>
      <c r="C238">
        <v>41109.040000000001</v>
      </c>
      <c r="D238">
        <v>35854.47</v>
      </c>
      <c r="E238">
        <v>39643.919999999998</v>
      </c>
      <c r="F238">
        <v>841.60324200000002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0.44234447347737199</v>
      </c>
      <c r="Q238">
        <f t="shared" si="960"/>
        <v>372.27854295933929</v>
      </c>
      <c r="R238">
        <f t="shared" si="961"/>
        <v>62025.481208814541</v>
      </c>
      <c r="S238">
        <f t="shared" si="962"/>
        <v>0.62025481208814537</v>
      </c>
      <c r="T238">
        <f t="shared" si="963"/>
        <v>6.2025481208814542E-4</v>
      </c>
    </row>
    <row r="239" spans="1:20" x14ac:dyDescent="0.25">
      <c r="A239" s="5">
        <v>44354</v>
      </c>
      <c r="B239">
        <v>43072.76</v>
      </c>
      <c r="C239">
        <v>44300</v>
      </c>
      <c r="D239">
        <v>40001.019999999997</v>
      </c>
      <c r="E239">
        <v>40442.230000000003</v>
      </c>
      <c r="F239">
        <v>599.23147700000004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-0.79473735630312026</v>
      </c>
      <c r="Q239">
        <f t="shared" si="960"/>
        <v>-476.23163984459404</v>
      </c>
      <c r="R239">
        <f t="shared" si="961"/>
        <v>61653.202665855199</v>
      </c>
      <c r="S239">
        <f t="shared" si="962"/>
        <v>0.616532026658552</v>
      </c>
      <c r="T239">
        <f t="shared" si="963"/>
        <v>6.1653202665855203E-4</v>
      </c>
    </row>
    <row r="240" spans="1:20" x14ac:dyDescent="0.25">
      <c r="A240" s="5">
        <v>44353</v>
      </c>
      <c r="B240">
        <v>42180.01</v>
      </c>
      <c r="C240">
        <v>44729.67</v>
      </c>
      <c r="D240">
        <v>41707.46</v>
      </c>
      <c r="E240">
        <v>43072.75</v>
      </c>
      <c r="F240">
        <v>862.35498399999994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-9.6495610827837072E-2</v>
      </c>
      <c r="Q240">
        <f t="shared" si="960"/>
        <v>-83.213470931509661</v>
      </c>
      <c r="R240">
        <f t="shared" si="961"/>
        <v>62129.43430569979</v>
      </c>
      <c r="S240">
        <f t="shared" si="962"/>
        <v>0.62129434305699793</v>
      </c>
      <c r="T240">
        <f t="shared" si="963"/>
        <v>6.2129434305699795E-4</v>
      </c>
    </row>
    <row r="241" spans="1:20" x14ac:dyDescent="0.25">
      <c r="A241" s="5">
        <v>44352</v>
      </c>
      <c r="B241">
        <v>42640.4</v>
      </c>
      <c r="C241">
        <v>44572.41</v>
      </c>
      <c r="D241">
        <v>40692.01</v>
      </c>
      <c r="E241">
        <v>42237.59</v>
      </c>
      <c r="F241">
        <v>627.99332800000002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-0.20339140294815283</v>
      </c>
      <c r="Q241">
        <f t="shared" si="960"/>
        <v>-127.72844402399951</v>
      </c>
      <c r="R241">
        <f t="shared" si="961"/>
        <v>62212.647776631296</v>
      </c>
      <c r="S241">
        <f t="shared" si="962"/>
        <v>0.62212647776631291</v>
      </c>
      <c r="T241">
        <f t="shared" si="963"/>
        <v>6.2212647776631292E-4</v>
      </c>
    </row>
    <row r="242" spans="1:20" x14ac:dyDescent="0.25">
      <c r="A242" s="5">
        <v>44351</v>
      </c>
      <c r="B242">
        <v>45920.19</v>
      </c>
      <c r="C242">
        <v>45961.27</v>
      </c>
      <c r="D242">
        <v>40692.410000000003</v>
      </c>
      <c r="E242">
        <v>42593.43</v>
      </c>
      <c r="F242">
        <v>693.11609799999997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-0.27839418773700603</v>
      </c>
      <c r="Q242">
        <f t="shared" si="960"/>
        <v>-192.95949311015306</v>
      </c>
      <c r="R242">
        <f t="shared" si="961"/>
        <v>62340.376220655293</v>
      </c>
      <c r="S242">
        <f t="shared" si="962"/>
        <v>0.62340376220655291</v>
      </c>
      <c r="T242">
        <f t="shared" si="963"/>
        <v>6.2340376220655289E-4</v>
      </c>
    </row>
    <row r="243" spans="1:20" x14ac:dyDescent="0.25">
      <c r="A243" s="5">
        <v>44350</v>
      </c>
      <c r="B243">
        <v>45167.519999999997</v>
      </c>
      <c r="C243">
        <v>47192.36</v>
      </c>
      <c r="D243">
        <v>44476.97</v>
      </c>
      <c r="E243">
        <v>45924</v>
      </c>
      <c r="F243">
        <v>715.11156600000004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6.5799019662000038E-2</v>
      </c>
      <c r="Q243">
        <f t="shared" si="960"/>
        <v>47.053639991757642</v>
      </c>
      <c r="R243">
        <f t="shared" si="961"/>
        <v>62533.335713765446</v>
      </c>
      <c r="S243">
        <f t="shared" si="962"/>
        <v>0.62533335713765448</v>
      </c>
      <c r="T243">
        <f t="shared" si="963"/>
        <v>6.2533335713765446E-4</v>
      </c>
    </row>
    <row r="244" spans="1:20" x14ac:dyDescent="0.25">
      <c r="A244" s="5">
        <v>44349</v>
      </c>
      <c r="B244">
        <v>45071.01</v>
      </c>
      <c r="C244">
        <v>46632.54</v>
      </c>
      <c r="D244">
        <v>43736</v>
      </c>
      <c r="E244">
        <v>45170.74</v>
      </c>
      <c r="F244">
        <v>745.01317800000004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-9.342180670732992E-3</v>
      </c>
      <c r="Q244">
        <f t="shared" si="960"/>
        <v>-6.9600477109529582</v>
      </c>
      <c r="R244">
        <f t="shared" si="961"/>
        <v>62486.282073773691</v>
      </c>
      <c r="S244">
        <f t="shared" si="962"/>
        <v>0.62486282073773691</v>
      </c>
      <c r="T244">
        <f t="shared" si="963"/>
        <v>6.248628207377369E-4</v>
      </c>
    </row>
    <row r="245" spans="1:20" x14ac:dyDescent="0.25">
      <c r="A245" s="5">
        <v>44348</v>
      </c>
      <c r="B245">
        <v>46938.89</v>
      </c>
      <c r="C245">
        <v>47786.62</v>
      </c>
      <c r="D245">
        <v>43858.58</v>
      </c>
      <c r="E245">
        <v>45071.01</v>
      </c>
      <c r="F245">
        <v>739.63043800000003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-0.38267940245007687</v>
      </c>
      <c r="Q245">
        <f t="shared" si="960"/>
        <v>-283.04133404772864</v>
      </c>
      <c r="R245">
        <f t="shared" si="961"/>
        <v>62493.242121484647</v>
      </c>
      <c r="S245">
        <f t="shared" si="962"/>
        <v>0.62493242121484649</v>
      </c>
      <c r="T245">
        <f t="shared" si="963"/>
        <v>6.2493242121484645E-4</v>
      </c>
    </row>
    <row r="246" spans="1:20" x14ac:dyDescent="0.25">
      <c r="A246" s="5">
        <v>44347</v>
      </c>
      <c r="B246">
        <v>41823.919999999998</v>
      </c>
      <c r="C246">
        <v>47280</v>
      </c>
      <c r="D246">
        <v>40000</v>
      </c>
      <c r="E246">
        <v>46962.62</v>
      </c>
      <c r="F246">
        <v>1063.2426869999999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0.91280769230769299</v>
      </c>
      <c r="Q246">
        <f t="shared" si="960"/>
        <v>970.53610348350071</v>
      </c>
      <c r="R246">
        <f t="shared" si="961"/>
        <v>62776.283455532379</v>
      </c>
      <c r="S246">
        <f t="shared" si="962"/>
        <v>0.62776283455532378</v>
      </c>
      <c r="T246">
        <f t="shared" si="963"/>
        <v>6.2776283455532374E-4</v>
      </c>
    </row>
    <row r="247" spans="1:20" x14ac:dyDescent="0.25">
      <c r="A247" s="5">
        <v>44346</v>
      </c>
      <c r="B247">
        <v>39182.639999999999</v>
      </c>
      <c r="C247">
        <v>43932.4</v>
      </c>
      <c r="D247">
        <v>37259.25</v>
      </c>
      <c r="E247">
        <v>41883.699999999997</v>
      </c>
      <c r="F247">
        <v>706.19247399999995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0.38598712751848707</v>
      </c>
      <c r="Q247">
        <f t="shared" si="960"/>
        <v>272.58120451443386</v>
      </c>
      <c r="R247">
        <f t="shared" si="961"/>
        <v>61805.747352048878</v>
      </c>
      <c r="S247">
        <f t="shared" si="962"/>
        <v>0.61805747352048879</v>
      </c>
      <c r="T247">
        <f t="shared" si="963"/>
        <v>6.1805747352048875E-4</v>
      </c>
    </row>
    <row r="248" spans="1:20" x14ac:dyDescent="0.25">
      <c r="A248" s="5">
        <v>44345</v>
      </c>
      <c r="B248">
        <v>40899.15</v>
      </c>
      <c r="C248">
        <v>42942.7</v>
      </c>
      <c r="D248">
        <v>37500</v>
      </c>
      <c r="E248">
        <v>39164.57</v>
      </c>
      <c r="F248">
        <v>755.82371000000001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-0.38832932184393754</v>
      </c>
      <c r="Q248">
        <f t="shared" si="960"/>
        <v>-293.50850873786891</v>
      </c>
      <c r="R248">
        <f t="shared" si="961"/>
        <v>61533.166147534444</v>
      </c>
      <c r="S248">
        <f t="shared" si="962"/>
        <v>0.61533166147534446</v>
      </c>
      <c r="T248">
        <f t="shared" si="963"/>
        <v>6.1533166147534444E-4</v>
      </c>
    </row>
    <row r="249" spans="1:20" x14ac:dyDescent="0.25">
      <c r="A249" s="5">
        <v>44344</v>
      </c>
      <c r="B249">
        <v>46840.63</v>
      </c>
      <c r="C249">
        <v>47335.83</v>
      </c>
      <c r="D249">
        <v>39000</v>
      </c>
      <c r="E249">
        <v>40835.65</v>
      </c>
      <c r="F249">
        <v>1162.111527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-0.55957595104506663</v>
      </c>
      <c r="Q249">
        <f t="shared" si="960"/>
        <v>-650.2896629414596</v>
      </c>
      <c r="R249">
        <f t="shared" si="961"/>
        <v>61826.674656272313</v>
      </c>
      <c r="S249">
        <f t="shared" si="962"/>
        <v>0.61826674656272318</v>
      </c>
      <c r="T249">
        <f t="shared" si="963"/>
        <v>6.1826674656272323E-4</v>
      </c>
    </row>
    <row r="250" spans="1:20" x14ac:dyDescent="0.25">
      <c r="A250" s="5">
        <v>44343</v>
      </c>
      <c r="B250">
        <v>50225.97</v>
      </c>
      <c r="C250">
        <v>50274.09</v>
      </c>
      <c r="D250">
        <v>44851.27</v>
      </c>
      <c r="E250">
        <v>46882.55</v>
      </c>
      <c r="F250">
        <v>1020.934917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-0.25083996887228188</v>
      </c>
      <c r="Q250">
        <f t="shared" si="960"/>
        <v>-256.09128280090567</v>
      </c>
      <c r="R250">
        <f t="shared" si="961"/>
        <v>62476.964319213774</v>
      </c>
      <c r="S250">
        <f t="shared" si="962"/>
        <v>0.62476964319213779</v>
      </c>
      <c r="T250">
        <f t="shared" si="963"/>
        <v>6.2476964319213774E-4</v>
      </c>
    </row>
    <row r="251" spans="1:20" x14ac:dyDescent="0.25">
      <c r="A251" s="5">
        <v>44342</v>
      </c>
      <c r="B251">
        <v>46899.14</v>
      </c>
      <c r="C251">
        <v>51800.6</v>
      </c>
      <c r="D251">
        <v>45631.23</v>
      </c>
      <c r="E251">
        <v>50225.97</v>
      </c>
      <c r="F251">
        <v>1883.4202150000001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0.48953296689937592</v>
      </c>
      <c r="Q251">
        <f t="shared" si="960"/>
        <v>921.99628576721057</v>
      </c>
      <c r="R251">
        <f t="shared" si="961"/>
        <v>62733.055602014676</v>
      </c>
      <c r="S251">
        <f t="shared" si="962"/>
        <v>0.62733055602014676</v>
      </c>
      <c r="T251">
        <f t="shared" si="963"/>
        <v>6.2733055602014675E-4</v>
      </c>
    </row>
    <row r="252" spans="1:20" x14ac:dyDescent="0.25">
      <c r="A252" s="5">
        <v>44341</v>
      </c>
      <c r="B252">
        <v>48350</v>
      </c>
      <c r="C252">
        <v>50988.07</v>
      </c>
      <c r="D252">
        <v>42088</v>
      </c>
      <c r="E252">
        <v>46899.38</v>
      </c>
      <c r="F252">
        <v>2518.16536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8.1200484940005535E-2</v>
      </c>
      <c r="Q252">
        <f t="shared" si="960"/>
        <v>204.47624839112362</v>
      </c>
      <c r="R252">
        <f t="shared" si="961"/>
        <v>61811.059316247469</v>
      </c>
      <c r="S252">
        <f t="shared" si="962"/>
        <v>0.61811059316247474</v>
      </c>
      <c r="T252">
        <f t="shared" si="963"/>
        <v>6.1811059316247471E-4</v>
      </c>
    </row>
    <row r="253" spans="1:20" x14ac:dyDescent="0.25">
      <c r="A253" s="5">
        <v>44340</v>
      </c>
      <c r="B253">
        <v>32583.91</v>
      </c>
      <c r="C253">
        <v>51963.199999999997</v>
      </c>
      <c r="D253">
        <v>31848</v>
      </c>
      <c r="E253">
        <v>48350</v>
      </c>
      <c r="F253">
        <v>4082.3392530000001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0.64074928412344923</v>
      </c>
      <c r="Q253">
        <f t="shared" si="960"/>
        <v>2615.7559539088065</v>
      </c>
      <c r="R253">
        <f t="shared" si="961"/>
        <v>61606.583067856343</v>
      </c>
      <c r="S253">
        <f t="shared" si="962"/>
        <v>0.61606583067856346</v>
      </c>
      <c r="T253">
        <f t="shared" si="963"/>
        <v>6.1606583067856343E-4</v>
      </c>
    </row>
    <row r="254" spans="1:20" x14ac:dyDescent="0.25">
      <c r="A254" s="5">
        <v>44339</v>
      </c>
      <c r="B254">
        <v>38441.97</v>
      </c>
      <c r="C254">
        <v>40185.620000000003</v>
      </c>
      <c r="D254">
        <v>23859.75</v>
      </c>
      <c r="E254">
        <v>32549.68</v>
      </c>
      <c r="F254">
        <v>3678.6509390000001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6.4559499738758047E-2</v>
      </c>
      <c r="Q254">
        <f t="shared" si="960"/>
        <v>237.49186433535255</v>
      </c>
      <c r="R254">
        <f t="shared" si="961"/>
        <v>58990.82711394754</v>
      </c>
      <c r="S254">
        <f t="shared" si="962"/>
        <v>0.58990827113947542</v>
      </c>
      <c r="T254">
        <f t="shared" si="963"/>
        <v>5.8990827113947545E-4</v>
      </c>
    </row>
    <row r="255" spans="1:20" x14ac:dyDescent="0.25">
      <c r="A255" s="5">
        <v>44338</v>
      </c>
      <c r="B255">
        <v>43601.120000000003</v>
      </c>
      <c r="C255">
        <v>44745.2</v>
      </c>
      <c r="D255">
        <v>36954.92</v>
      </c>
      <c r="E255">
        <v>38445.21</v>
      </c>
      <c r="F255">
        <v>1448.1555599999999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-0.61739757749400503</v>
      </c>
      <c r="Q255">
        <f t="shared" si="960"/>
        <v>-894.08773457847417</v>
      </c>
      <c r="R255">
        <f t="shared" si="961"/>
        <v>58753.335249612188</v>
      </c>
      <c r="S255">
        <f t="shared" si="962"/>
        <v>0.58753335249612193</v>
      </c>
      <c r="T255">
        <f t="shared" si="963"/>
        <v>5.8753335249612192E-4</v>
      </c>
    </row>
    <row r="256" spans="1:20" x14ac:dyDescent="0.25">
      <c r="A256" s="5">
        <v>44337</v>
      </c>
      <c r="B256">
        <v>51697.4</v>
      </c>
      <c r="C256">
        <v>54609.64</v>
      </c>
      <c r="D256">
        <v>35700</v>
      </c>
      <c r="E256">
        <v>43601.120000000003</v>
      </c>
      <c r="F256">
        <v>2235.4042039999999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-0.16432888198823428</v>
      </c>
      <c r="Q256">
        <f t="shared" si="960"/>
        <v>-367.3414736351188</v>
      </c>
      <c r="R256">
        <f t="shared" si="961"/>
        <v>59647.422984190664</v>
      </c>
      <c r="S256">
        <f t="shared" si="962"/>
        <v>0.59647422984190668</v>
      </c>
      <c r="T256">
        <f t="shared" si="963"/>
        <v>5.9647422984190662E-4</v>
      </c>
    </row>
    <row r="257" spans="1:20" x14ac:dyDescent="0.25">
      <c r="A257" s="5">
        <v>44336</v>
      </c>
      <c r="B257">
        <v>45921.97</v>
      </c>
      <c r="C257">
        <v>57286.63</v>
      </c>
      <c r="D257">
        <v>37690.04</v>
      </c>
      <c r="E257">
        <v>51700.14</v>
      </c>
      <c r="F257">
        <v>2763.9394769999999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0.42985080567588557</v>
      </c>
      <c r="Q257">
        <f t="shared" si="960"/>
        <v>1188.0816110278358</v>
      </c>
      <c r="R257">
        <f t="shared" si="961"/>
        <v>60014.764457825782</v>
      </c>
      <c r="S257">
        <f t="shared" si="962"/>
        <v>0.60014764457825787</v>
      </c>
      <c r="T257">
        <f t="shared" si="963"/>
        <v>6.0014764457825783E-4</v>
      </c>
    </row>
    <row r="258" spans="1:20" x14ac:dyDescent="0.25">
      <c r="A258" s="5">
        <v>44335</v>
      </c>
      <c r="B258">
        <v>72885.41</v>
      </c>
      <c r="C258">
        <v>74565.2</v>
      </c>
      <c r="D258">
        <v>34070.26</v>
      </c>
      <c r="E258">
        <v>45704.98</v>
      </c>
      <c r="F258">
        <v>4251.6577239999997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-0.42537413316330375</v>
      </c>
      <c r="Q258">
        <f t="shared" si="960"/>
        <v>-1808.5452188535648</v>
      </c>
      <c r="R258">
        <f t="shared" si="961"/>
        <v>58826.682846797943</v>
      </c>
      <c r="S258">
        <f t="shared" si="962"/>
        <v>0.5882668284679794</v>
      </c>
      <c r="T258">
        <f t="shared" si="963"/>
        <v>5.8826682846797938E-4</v>
      </c>
    </row>
    <row r="259" spans="1:20" x14ac:dyDescent="0.25">
      <c r="A259" s="5">
        <v>44334</v>
      </c>
      <c r="B259">
        <v>64250.720000000001</v>
      </c>
      <c r="C259">
        <v>77821.98</v>
      </c>
      <c r="D259">
        <v>63632.44</v>
      </c>
      <c r="E259">
        <v>72833.03</v>
      </c>
      <c r="F259">
        <v>1993.843359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0.29681300450895526</v>
      </c>
      <c r="Q259">
        <f t="shared" si="960"/>
        <v>591.79863790501747</v>
      </c>
      <c r="R259">
        <f t="shared" si="961"/>
        <v>60635.228065651507</v>
      </c>
      <c r="S259">
        <f t="shared" si="962"/>
        <v>0.60635228065651503</v>
      </c>
      <c r="T259">
        <f t="shared" si="963"/>
        <v>6.0635228065651506E-4</v>
      </c>
    </row>
    <row r="260" spans="1:20" x14ac:dyDescent="0.25">
      <c r="A260" s="5">
        <v>44333</v>
      </c>
      <c r="B260">
        <v>65850.350000000006</v>
      </c>
      <c r="C260">
        <v>68926.47</v>
      </c>
      <c r="D260">
        <v>58297.84</v>
      </c>
      <c r="E260">
        <v>64316.81</v>
      </c>
      <c r="F260">
        <v>1574.730892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0.13259564026596063</v>
      </c>
      <c r="Q260">
        <f t="shared" si="960"/>
        <v>208.8024508713273</v>
      </c>
      <c r="R260">
        <f t="shared" si="961"/>
        <v>60043.429427746487</v>
      </c>
      <c r="S260">
        <f t="shared" si="962"/>
        <v>0.60043429427746486</v>
      </c>
      <c r="T260">
        <f t="shared" si="963"/>
        <v>6.0043429427746487E-4</v>
      </c>
    </row>
    <row r="261" spans="1:20" x14ac:dyDescent="0.25">
      <c r="A261" s="5">
        <v>44332</v>
      </c>
      <c r="B261">
        <v>67036.479999999996</v>
      </c>
      <c r="C261">
        <v>70778.7</v>
      </c>
      <c r="D261">
        <v>59720.13</v>
      </c>
      <c r="E261">
        <v>65807.679999999993</v>
      </c>
      <c r="F261">
        <v>1386.1114070000001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0.10096513382833329</v>
      </c>
      <c r="Q261">
        <f t="shared" si="960"/>
        <v>139.94892370873436</v>
      </c>
      <c r="R261">
        <f t="shared" si="961"/>
        <v>59834.626976875159</v>
      </c>
      <c r="S261">
        <f t="shared" si="962"/>
        <v>0.5983462697687516</v>
      </c>
      <c r="T261">
        <f t="shared" si="963"/>
        <v>5.9834626976875164E-4</v>
      </c>
    </row>
    <row r="262" spans="1:20" x14ac:dyDescent="0.25">
      <c r="A262" s="5">
        <v>44331</v>
      </c>
      <c r="B262">
        <v>77676.03</v>
      </c>
      <c r="C262">
        <v>79307.179999999993</v>
      </c>
      <c r="D262">
        <v>65990</v>
      </c>
      <c r="E262">
        <v>66907.28</v>
      </c>
      <c r="F262">
        <v>1396.36519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-0.86224110509882734</v>
      </c>
      <c r="Q262">
        <f t="shared" ref="Q262:Q325" si="965">F262*P262</f>
        <v>-1204.0034645471339</v>
      </c>
      <c r="R262">
        <f t="shared" ref="R262:R325" si="966">R263+Q262</f>
        <v>59694.678053166426</v>
      </c>
      <c r="S262">
        <f t="shared" ref="S262:S325" si="967">R262/100000</f>
        <v>0.59694678053166428</v>
      </c>
      <c r="T262">
        <f t="shared" ref="T262:T325" si="968">S262/1000</f>
        <v>5.9694678053166426E-4</v>
      </c>
    </row>
    <row r="263" spans="1:20" x14ac:dyDescent="0.25">
      <c r="A263" s="5">
        <v>44330</v>
      </c>
      <c r="B263">
        <v>66133.19</v>
      </c>
      <c r="C263">
        <v>81484.61</v>
      </c>
      <c r="D263">
        <v>65522.239999999998</v>
      </c>
      <c r="E263">
        <v>77676.94</v>
      </c>
      <c r="F263">
        <v>1764.1649299999999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0.52291921563026067</v>
      </c>
      <c r="Q263">
        <f t="shared" si="965"/>
        <v>922.51574143801372</v>
      </c>
      <c r="R263">
        <f t="shared" si="966"/>
        <v>60898.681517713558</v>
      </c>
      <c r="S263">
        <f t="shared" si="967"/>
        <v>0.6089868151771356</v>
      </c>
      <c r="T263">
        <f t="shared" si="968"/>
        <v>6.0898681517713559E-4</v>
      </c>
    </row>
    <row r="264" spans="1:20" x14ac:dyDescent="0.25">
      <c r="A264" s="5">
        <v>44329</v>
      </c>
      <c r="B264">
        <v>65768.02</v>
      </c>
      <c r="C264">
        <v>80115.75</v>
      </c>
      <c r="D264">
        <v>60000</v>
      </c>
      <c r="E264">
        <v>66018.27</v>
      </c>
      <c r="F264">
        <v>2694.6622069999999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-0.40163603146787924</v>
      </c>
      <c r="Q264">
        <f t="shared" si="965"/>
        <v>-1082.2734349659568</v>
      </c>
      <c r="R264">
        <f t="shared" si="966"/>
        <v>59976.165776275542</v>
      </c>
      <c r="S264">
        <f t="shared" si="967"/>
        <v>0.59976165776275547</v>
      </c>
      <c r="T264">
        <f t="shared" si="968"/>
        <v>5.9976165776275548E-4</v>
      </c>
    </row>
    <row r="265" spans="1:20" x14ac:dyDescent="0.25">
      <c r="A265" s="5">
        <v>44328</v>
      </c>
      <c r="B265">
        <v>82875.44</v>
      </c>
      <c r="C265">
        <v>95000</v>
      </c>
      <c r="D265">
        <v>64600</v>
      </c>
      <c r="E265">
        <v>65548.55</v>
      </c>
      <c r="F265">
        <v>5034.9720690000004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-0.93759539473684195</v>
      </c>
      <c r="Q265">
        <f t="shared" si="965"/>
        <v>-4720.7666245230293</v>
      </c>
      <c r="R265">
        <f t="shared" si="966"/>
        <v>61058.439211241501</v>
      </c>
      <c r="S265">
        <f t="shared" si="967"/>
        <v>0.610584392112415</v>
      </c>
      <c r="T265">
        <f t="shared" si="968"/>
        <v>6.1058439211241497E-4</v>
      </c>
    </row>
    <row r="266" spans="1:20" x14ac:dyDescent="0.25">
      <c r="A266" s="5">
        <v>44327</v>
      </c>
      <c r="B266">
        <v>62362.63</v>
      </c>
      <c r="C266">
        <v>83013.75</v>
      </c>
      <c r="D266">
        <v>56972.12</v>
      </c>
      <c r="E266">
        <v>82885.119999999995</v>
      </c>
      <c r="F266">
        <v>6112.4131390000002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0.99012120209065213</v>
      </c>
      <c r="Q266">
        <f t="shared" si="965"/>
        <v>6052.0298448613767</v>
      </c>
      <c r="R266">
        <f t="shared" si="966"/>
        <v>65779.205835764529</v>
      </c>
      <c r="S266">
        <f t="shared" si="967"/>
        <v>0.65779205835764532</v>
      </c>
      <c r="T266">
        <f t="shared" si="968"/>
        <v>6.5779205835764536E-4</v>
      </c>
    </row>
    <row r="267" spans="1:20" x14ac:dyDescent="0.25">
      <c r="A267" s="5">
        <v>44326</v>
      </c>
      <c r="B267">
        <v>53360.6</v>
      </c>
      <c r="C267">
        <v>62680.72</v>
      </c>
      <c r="D267">
        <v>49600</v>
      </c>
      <c r="E267">
        <v>62425.79</v>
      </c>
      <c r="F267">
        <v>2097.114071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0.9610220232525426</v>
      </c>
      <c r="Q267">
        <f t="shared" si="965"/>
        <v>2015.3728075037961</v>
      </c>
      <c r="R267">
        <f t="shared" si="966"/>
        <v>59727.175990903146</v>
      </c>
      <c r="S267">
        <f t="shared" si="967"/>
        <v>0.59727175990903147</v>
      </c>
      <c r="T267">
        <f t="shared" si="968"/>
        <v>5.9727175990903145E-4</v>
      </c>
    </row>
    <row r="268" spans="1:20" x14ac:dyDescent="0.25">
      <c r="A268" s="5">
        <v>44325</v>
      </c>
      <c r="B268">
        <v>54115.45</v>
      </c>
      <c r="C268">
        <v>55000</v>
      </c>
      <c r="D268">
        <v>51723.01</v>
      </c>
      <c r="E268">
        <v>53360.52</v>
      </c>
      <c r="F268">
        <v>425.16789199999999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-6.0116143168225755E-4</v>
      </c>
      <c r="Q268">
        <f t="shared" si="965"/>
        <v>-0.25559453866004744</v>
      </c>
      <c r="R268">
        <f t="shared" si="966"/>
        <v>57711.803183399352</v>
      </c>
      <c r="S268">
        <f t="shared" si="967"/>
        <v>0.57711803183399357</v>
      </c>
      <c r="T268">
        <f t="shared" si="968"/>
        <v>5.7711803183399361E-4</v>
      </c>
    </row>
    <row r="269" spans="1:20" x14ac:dyDescent="0.25">
      <c r="A269" s="5">
        <v>44324</v>
      </c>
      <c r="B269">
        <v>53319.39</v>
      </c>
      <c r="C269">
        <v>55370.49</v>
      </c>
      <c r="D269">
        <v>52015.82</v>
      </c>
      <c r="E269">
        <v>54073.52</v>
      </c>
      <c r="F269">
        <v>686.70841099999996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0.22676746147907137</v>
      </c>
      <c r="Q269">
        <f t="shared" si="965"/>
        <v>155.72312313879681</v>
      </c>
      <c r="R269">
        <f t="shared" si="966"/>
        <v>57712.058777938015</v>
      </c>
      <c r="S269">
        <f t="shared" si="967"/>
        <v>0.57712058777938013</v>
      </c>
      <c r="T269">
        <f t="shared" si="968"/>
        <v>5.7712058777938016E-4</v>
      </c>
    </row>
    <row r="270" spans="1:20" x14ac:dyDescent="0.25">
      <c r="A270" s="5">
        <v>44323</v>
      </c>
      <c r="B270">
        <v>52376.93</v>
      </c>
      <c r="C270">
        <v>54136.94</v>
      </c>
      <c r="D270">
        <v>50251.42</v>
      </c>
      <c r="E270">
        <v>53352.9</v>
      </c>
      <c r="F270">
        <v>937.66041600000005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0.59642982149107449</v>
      </c>
      <c r="Q270">
        <f t="shared" si="965"/>
        <v>559.24863453412672</v>
      </c>
      <c r="R270">
        <f t="shared" si="966"/>
        <v>57556.335654799215</v>
      </c>
      <c r="S270">
        <f t="shared" si="967"/>
        <v>0.57556335654799218</v>
      </c>
      <c r="T270">
        <f t="shared" si="968"/>
        <v>5.7556335654799216E-4</v>
      </c>
    </row>
    <row r="271" spans="1:20" x14ac:dyDescent="0.25">
      <c r="A271" s="5">
        <v>44322</v>
      </c>
      <c r="B271">
        <v>54492.7</v>
      </c>
      <c r="C271">
        <v>57878.25</v>
      </c>
      <c r="D271">
        <v>52051.87</v>
      </c>
      <c r="E271">
        <v>52407.92</v>
      </c>
      <c r="F271">
        <v>1039.1781430000001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-0.87778002807918609</v>
      </c>
      <c r="Q271">
        <f t="shared" si="965"/>
        <v>-912.16981954181654</v>
      </c>
      <c r="R271">
        <f t="shared" si="966"/>
        <v>56997.087020265091</v>
      </c>
      <c r="S271">
        <f t="shared" si="967"/>
        <v>0.56997087020265091</v>
      </c>
      <c r="T271">
        <f t="shared" si="968"/>
        <v>5.6997087020265087E-4</v>
      </c>
    </row>
    <row r="272" spans="1:20" x14ac:dyDescent="0.25">
      <c r="A272" s="5">
        <v>44321</v>
      </c>
      <c r="B272">
        <v>50299</v>
      </c>
      <c r="C272">
        <v>54850.57</v>
      </c>
      <c r="D272">
        <v>49834.77</v>
      </c>
      <c r="E272">
        <v>54521.66</v>
      </c>
      <c r="F272">
        <v>849.72371699999997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0.86885043263288164</v>
      </c>
      <c r="Q272">
        <f t="shared" si="965"/>
        <v>738.28281913387025</v>
      </c>
      <c r="R272">
        <f t="shared" si="966"/>
        <v>57909.256839806905</v>
      </c>
      <c r="S272">
        <f t="shared" si="967"/>
        <v>0.579092568398069</v>
      </c>
      <c r="T272">
        <f t="shared" si="968"/>
        <v>5.7909256839806897E-4</v>
      </c>
    </row>
    <row r="273" spans="1:20" x14ac:dyDescent="0.25">
      <c r="A273" s="5">
        <v>44320</v>
      </c>
      <c r="B273">
        <v>53366.77</v>
      </c>
      <c r="C273">
        <v>55500.5</v>
      </c>
      <c r="D273">
        <v>49502.12</v>
      </c>
      <c r="E273">
        <v>50288.71</v>
      </c>
      <c r="F273">
        <v>1085.9609350000001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-0.7377325211140352</v>
      </c>
      <c r="Q273">
        <f t="shared" si="965"/>
        <v>-801.14869840890492</v>
      </c>
      <c r="R273">
        <f t="shared" si="966"/>
        <v>57170.974020673035</v>
      </c>
      <c r="S273">
        <f t="shared" si="967"/>
        <v>0.57170974020673038</v>
      </c>
      <c r="T273">
        <f t="shared" si="968"/>
        <v>5.7170974020673033E-4</v>
      </c>
    </row>
    <row r="274" spans="1:20" x14ac:dyDescent="0.25">
      <c r="A274" s="5">
        <v>44319</v>
      </c>
      <c r="B274">
        <v>48516.39</v>
      </c>
      <c r="C274">
        <v>54352.94</v>
      </c>
      <c r="D274">
        <v>48479.53</v>
      </c>
      <c r="E274">
        <v>53382.78</v>
      </c>
      <c r="F274">
        <v>848.03776300000004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0.66964335879838022</v>
      </c>
      <c r="Q274">
        <f t="shared" si="965"/>
        <v>567.88285600318477</v>
      </c>
      <c r="R274">
        <f t="shared" si="966"/>
        <v>57972.122719081941</v>
      </c>
      <c r="S274">
        <f t="shared" si="967"/>
        <v>0.57972122719081942</v>
      </c>
      <c r="T274">
        <f t="shared" si="968"/>
        <v>5.7972122719081938E-4</v>
      </c>
    </row>
    <row r="275" spans="1:20" x14ac:dyDescent="0.25">
      <c r="A275" s="5">
        <v>44318</v>
      </c>
      <c r="B275">
        <v>49830.06</v>
      </c>
      <c r="C275">
        <v>49920.84</v>
      </c>
      <c r="D275">
        <v>47409.3</v>
      </c>
      <c r="E275">
        <v>48513.34</v>
      </c>
      <c r="F275">
        <v>338.228477</v>
      </c>
      <c r="G275">
        <v>0</v>
      </c>
      <c r="L275" t="s">
        <v>7</v>
      </c>
      <c r="M275" t="s">
        <v>8</v>
      </c>
      <c r="N275" t="s">
        <v>7</v>
      </c>
      <c r="P275">
        <f t="shared" si="964"/>
        <v>-0.12082626595634836</v>
      </c>
      <c r="Q275">
        <f t="shared" si="965"/>
        <v>-40.866883916012654</v>
      </c>
      <c r="R275">
        <f t="shared" si="966"/>
        <v>57404.239863078757</v>
      </c>
      <c r="S275">
        <f t="shared" si="967"/>
        <v>0.57404239863078754</v>
      </c>
      <c r="T275">
        <f t="shared" si="968"/>
        <v>5.7404239863078754E-4</v>
      </c>
    </row>
    <row r="276" spans="1:20" x14ac:dyDescent="0.25">
      <c r="A276" s="5">
        <v>44317</v>
      </c>
      <c r="B276">
        <v>48919.03</v>
      </c>
      <c r="C276">
        <v>50639.11</v>
      </c>
      <c r="D276">
        <v>48322.04</v>
      </c>
      <c r="E276">
        <v>49816.58</v>
      </c>
      <c r="F276">
        <v>386.51625799999999</v>
      </c>
      <c r="G276">
        <v>0</v>
      </c>
      <c r="L276" t="s">
        <v>8</v>
      </c>
      <c r="M276" t="s">
        <v>8</v>
      </c>
      <c r="N276" t="s">
        <v>7</v>
      </c>
      <c r="P276">
        <f t="shared" si="964"/>
        <v>0.29002576529841656</v>
      </c>
      <c r="Q276">
        <f t="shared" si="965"/>
        <v>112.09967352673021</v>
      </c>
      <c r="R276">
        <f t="shared" si="966"/>
        <v>57445.106746994767</v>
      </c>
      <c r="S276">
        <f t="shared" si="967"/>
        <v>0.57445106746994767</v>
      </c>
      <c r="T276">
        <f t="shared" si="968"/>
        <v>5.7445106746994773E-4</v>
      </c>
    </row>
    <row r="277" spans="1:20" x14ac:dyDescent="0.25">
      <c r="A277" s="5">
        <v>44316</v>
      </c>
      <c r="B277">
        <v>46783.18</v>
      </c>
      <c r="C277">
        <v>49419.16</v>
      </c>
      <c r="D277">
        <v>46113.65</v>
      </c>
      <c r="E277">
        <v>48905.73</v>
      </c>
      <c r="F277">
        <v>484.402334</v>
      </c>
      <c r="G277">
        <v>0</v>
      </c>
      <c r="L277" t="s">
        <v>7</v>
      </c>
      <c r="M277" t="s">
        <v>8</v>
      </c>
      <c r="N277" t="s">
        <v>7</v>
      </c>
      <c r="P277">
        <f t="shared" si="964"/>
        <v>0.68934899607019795</v>
      </c>
      <c r="Q277">
        <f t="shared" si="965"/>
        <v>333.92226263696074</v>
      </c>
      <c r="R277">
        <f t="shared" si="966"/>
        <v>57333.007073468034</v>
      </c>
      <c r="S277">
        <f t="shared" si="967"/>
        <v>0.57333007073468034</v>
      </c>
      <c r="T277">
        <f t="shared" si="968"/>
        <v>5.7333007073468031E-4</v>
      </c>
    </row>
    <row r="278" spans="1:20" x14ac:dyDescent="0.25">
      <c r="A278" s="5">
        <v>44315</v>
      </c>
      <c r="B278">
        <v>48066.01</v>
      </c>
      <c r="C278">
        <v>48544.17</v>
      </c>
      <c r="D278">
        <v>45885.97</v>
      </c>
      <c r="E278">
        <v>46787.64</v>
      </c>
      <c r="F278">
        <v>501.08465699999999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-0.32159355955157681</v>
      </c>
      <c r="Q278">
        <f t="shared" si="965"/>
        <v>-161.14559848131094</v>
      </c>
      <c r="R278">
        <f t="shared" si="966"/>
        <v>56999.084810831075</v>
      </c>
      <c r="S278">
        <f t="shared" si="967"/>
        <v>0.5699908481083108</v>
      </c>
      <c r="T278">
        <f t="shared" si="968"/>
        <v>5.6999084810831083E-4</v>
      </c>
    </row>
    <row r="279" spans="1:20" x14ac:dyDescent="0.25">
      <c r="A279" s="5">
        <v>44314</v>
      </c>
      <c r="B279">
        <v>48706.37</v>
      </c>
      <c r="C279">
        <v>50575.93</v>
      </c>
      <c r="D279">
        <v>47227.48</v>
      </c>
      <c r="E279">
        <v>48036.58</v>
      </c>
      <c r="F279">
        <v>767.69645800000001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-0.51673162209380508</v>
      </c>
      <c r="Q279">
        <f t="shared" si="965"/>
        <v>-396.69303601800868</v>
      </c>
      <c r="R279">
        <f t="shared" si="966"/>
        <v>57160.230409312382</v>
      </c>
      <c r="S279">
        <f t="shared" si="967"/>
        <v>0.57160230409312385</v>
      </c>
      <c r="T279">
        <f t="shared" si="968"/>
        <v>5.7160230409312388E-4</v>
      </c>
    </row>
    <row r="280" spans="1:20" x14ac:dyDescent="0.25">
      <c r="A280" s="5">
        <v>44313</v>
      </c>
      <c r="B280">
        <v>45255.99</v>
      </c>
      <c r="C280">
        <v>49379.82</v>
      </c>
      <c r="D280">
        <v>44152.18</v>
      </c>
      <c r="E280">
        <v>48762.07</v>
      </c>
      <c r="F280">
        <v>788.50036399999999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0.76366008370890115</v>
      </c>
      <c r="Q280">
        <f t="shared" si="965"/>
        <v>602.14625397673899</v>
      </c>
      <c r="R280">
        <f t="shared" si="966"/>
        <v>57556.923445330394</v>
      </c>
      <c r="S280">
        <f t="shared" si="967"/>
        <v>0.57556923445330399</v>
      </c>
      <c r="T280">
        <f t="shared" si="968"/>
        <v>5.7556923445330394E-4</v>
      </c>
    </row>
    <row r="281" spans="1:20" x14ac:dyDescent="0.25">
      <c r="A281" s="5">
        <v>44312</v>
      </c>
      <c r="B281">
        <v>39795</v>
      </c>
      <c r="C281">
        <v>45437.97</v>
      </c>
      <c r="D281">
        <v>39509.35</v>
      </c>
      <c r="E281">
        <v>45256.01</v>
      </c>
      <c r="F281">
        <v>795.61015599999996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0.93861640651618794</v>
      </c>
      <c r="Q281">
        <f t="shared" si="965"/>
        <v>746.77274561250363</v>
      </c>
      <c r="R281">
        <f t="shared" si="966"/>
        <v>56954.777191353656</v>
      </c>
      <c r="S281">
        <f t="shared" si="967"/>
        <v>0.56954777191353656</v>
      </c>
      <c r="T281">
        <f t="shared" si="968"/>
        <v>5.6954777191353656E-4</v>
      </c>
    </row>
    <row r="282" spans="1:20" x14ac:dyDescent="0.25">
      <c r="A282" s="5">
        <v>44311</v>
      </c>
      <c r="B282">
        <v>39263.94</v>
      </c>
      <c r="C282">
        <v>42280.1</v>
      </c>
      <c r="D282">
        <v>37644.79</v>
      </c>
      <c r="E282">
        <v>39759.1</v>
      </c>
      <c r="F282">
        <v>484.33352300000001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-8.7737389732294613E-2</v>
      </c>
      <c r="Q282">
        <f t="shared" si="965"/>
        <v>-42.494159067866278</v>
      </c>
      <c r="R282">
        <f t="shared" si="966"/>
        <v>56208.00444574115</v>
      </c>
      <c r="S282">
        <f t="shared" si="967"/>
        <v>0.56208004445741144</v>
      </c>
      <c r="T282">
        <f t="shared" si="968"/>
        <v>5.6208004445741145E-4</v>
      </c>
    </row>
    <row r="283" spans="1:20" x14ac:dyDescent="0.25">
      <c r="A283" s="5">
        <v>44310</v>
      </c>
      <c r="B283">
        <v>43318.22</v>
      </c>
      <c r="C283">
        <v>43327</v>
      </c>
      <c r="D283">
        <v>38833.39</v>
      </c>
      <c r="E283">
        <v>39211.49</v>
      </c>
      <c r="F283">
        <v>569.00188400000002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-0.83171659311778345</v>
      </c>
      <c r="Q283">
        <f t="shared" si="965"/>
        <v>-473.24830843808024</v>
      </c>
      <c r="R283">
        <f t="shared" si="966"/>
        <v>56250.498604809014</v>
      </c>
      <c r="S283">
        <f t="shared" si="967"/>
        <v>0.56250498604809018</v>
      </c>
      <c r="T283">
        <f t="shared" si="968"/>
        <v>5.625049860480902E-4</v>
      </c>
    </row>
    <row r="284" spans="1:20" x14ac:dyDescent="0.25">
      <c r="A284" s="5">
        <v>44309</v>
      </c>
      <c r="B284">
        <v>45399.89</v>
      </c>
      <c r="C284">
        <v>46299.17</v>
      </c>
      <c r="D284">
        <v>39109.919999999998</v>
      </c>
      <c r="E284">
        <v>43314.66</v>
      </c>
      <c r="F284">
        <v>1567.0724290000001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0.16972980491706513</v>
      </c>
      <c r="Q284">
        <f t="shared" si="965"/>
        <v>265.97889766508143</v>
      </c>
      <c r="R284">
        <f t="shared" si="966"/>
        <v>56723.746913247094</v>
      </c>
      <c r="S284">
        <f t="shared" si="967"/>
        <v>0.56723746913247097</v>
      </c>
      <c r="T284">
        <f t="shared" si="968"/>
        <v>5.6723746913247099E-4</v>
      </c>
    </row>
    <row r="285" spans="1:20" x14ac:dyDescent="0.25">
      <c r="A285" s="5">
        <v>44308</v>
      </c>
      <c r="B285">
        <v>45346.91</v>
      </c>
      <c r="C285">
        <v>51867</v>
      </c>
      <c r="D285">
        <v>44043.57</v>
      </c>
      <c r="E285">
        <v>45407.34</v>
      </c>
      <c r="F285">
        <v>1575.5581159999999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-0.65136263761547131</v>
      </c>
      <c r="Q285">
        <f t="shared" si="965"/>
        <v>-1026.2596901542227</v>
      </c>
      <c r="R285">
        <f t="shared" si="966"/>
        <v>56457.768015582013</v>
      </c>
      <c r="S285">
        <f t="shared" si="967"/>
        <v>0.56457768015582011</v>
      </c>
      <c r="T285">
        <f t="shared" si="968"/>
        <v>5.6457768015582015E-4</v>
      </c>
    </row>
    <row r="286" spans="1:20" x14ac:dyDescent="0.25">
      <c r="A286" s="5">
        <v>44307</v>
      </c>
      <c r="B286">
        <v>48880.61</v>
      </c>
      <c r="C286">
        <v>50625.29</v>
      </c>
      <c r="D286">
        <v>44981.33</v>
      </c>
      <c r="E286">
        <v>45343.74</v>
      </c>
      <c r="F286">
        <v>914.37936999999999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-0.87157598565546313</v>
      </c>
      <c r="Q286">
        <f t="shared" si="965"/>
        <v>-796.95110067077144</v>
      </c>
      <c r="R286">
        <f t="shared" si="966"/>
        <v>57484.027705736233</v>
      </c>
      <c r="S286">
        <f t="shared" si="967"/>
        <v>0.57484027705736229</v>
      </c>
      <c r="T286">
        <f t="shared" si="968"/>
        <v>5.7484027705736226E-4</v>
      </c>
    </row>
    <row r="287" spans="1:20" x14ac:dyDescent="0.25">
      <c r="A287" s="5">
        <v>44306</v>
      </c>
      <c r="B287">
        <v>46744.88</v>
      </c>
      <c r="C287">
        <v>51148.959999999999</v>
      </c>
      <c r="D287">
        <v>43131</v>
      </c>
      <c r="E287">
        <v>48880.61</v>
      </c>
      <c r="F287">
        <v>1560.0214040000001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0.43418275970446379</v>
      </c>
      <c r="Q287">
        <f t="shared" si="965"/>
        <v>677.33439838675224</v>
      </c>
      <c r="R287">
        <f t="shared" si="966"/>
        <v>58280.978806407002</v>
      </c>
      <c r="S287">
        <f t="shared" si="967"/>
        <v>0.58280978806407002</v>
      </c>
      <c r="T287">
        <f t="shared" si="968"/>
        <v>5.8280978806407005E-4</v>
      </c>
    </row>
    <row r="288" spans="1:20" x14ac:dyDescent="0.25">
      <c r="A288" s="5">
        <v>44305</v>
      </c>
      <c r="B288">
        <v>53427.48</v>
      </c>
      <c r="C288">
        <v>57497.599999999999</v>
      </c>
      <c r="D288">
        <v>45731.17</v>
      </c>
      <c r="E288">
        <v>46740.3</v>
      </c>
      <c r="F288">
        <v>2428.3558069999999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-0.82847303727638633</v>
      </c>
      <c r="Q288">
        <f t="shared" si="965"/>
        <v>-2011.8273110130401</v>
      </c>
      <c r="R288">
        <f t="shared" si="966"/>
        <v>57603.644408020249</v>
      </c>
      <c r="S288">
        <f t="shared" si="967"/>
        <v>0.57603644408020249</v>
      </c>
      <c r="T288">
        <f t="shared" si="968"/>
        <v>5.7603644408020245E-4</v>
      </c>
    </row>
    <row r="289" spans="1:20" x14ac:dyDescent="0.25">
      <c r="A289" s="5">
        <v>44304</v>
      </c>
      <c r="B289">
        <v>48709.760000000002</v>
      </c>
      <c r="C289">
        <v>53900</v>
      </c>
      <c r="D289">
        <v>41888</v>
      </c>
      <c r="E289">
        <v>53464.77</v>
      </c>
      <c r="F289">
        <v>1997.3035829999999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0.92753413253413197</v>
      </c>
      <c r="Q289">
        <f t="shared" si="965"/>
        <v>1852.5672462652185</v>
      </c>
      <c r="R289">
        <f t="shared" si="966"/>
        <v>59615.471719033289</v>
      </c>
      <c r="S289">
        <f t="shared" si="967"/>
        <v>0.59615471719033286</v>
      </c>
      <c r="T289">
        <f t="shared" si="968"/>
        <v>5.9615471719033284E-4</v>
      </c>
    </row>
    <row r="290" spans="1:20" x14ac:dyDescent="0.25">
      <c r="A290" s="5">
        <v>44303</v>
      </c>
      <c r="B290">
        <v>53098.96</v>
      </c>
      <c r="C290">
        <v>54500</v>
      </c>
      <c r="D290">
        <v>48426.18</v>
      </c>
      <c r="E290">
        <v>48625</v>
      </c>
      <c r="F290">
        <v>1241.161419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-0.93453213957608239</v>
      </c>
      <c r="Q290">
        <f t="shared" si="965"/>
        <v>-1159.9052364573565</v>
      </c>
      <c r="R290">
        <f t="shared" si="966"/>
        <v>57762.904472768067</v>
      </c>
      <c r="S290">
        <f t="shared" si="967"/>
        <v>0.57762904472768062</v>
      </c>
      <c r="T290">
        <f t="shared" si="968"/>
        <v>5.7762904472768062E-4</v>
      </c>
    </row>
    <row r="291" spans="1:20" x14ac:dyDescent="0.25">
      <c r="A291" s="5">
        <v>44302</v>
      </c>
      <c r="B291">
        <v>50275.03</v>
      </c>
      <c r="C291">
        <v>53500</v>
      </c>
      <c r="D291">
        <v>45507.37</v>
      </c>
      <c r="E291">
        <v>53019.06</v>
      </c>
      <c r="F291">
        <v>1284.0968680000001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0.87965413136852266</v>
      </c>
      <c r="Q291">
        <f t="shared" si="965"/>
        <v>1129.5611150135805</v>
      </c>
      <c r="R291">
        <f t="shared" si="966"/>
        <v>58922.809709225425</v>
      </c>
      <c r="S291">
        <f t="shared" si="967"/>
        <v>0.58922809709225421</v>
      </c>
      <c r="T291">
        <f t="shared" si="968"/>
        <v>5.8922809709225418E-4</v>
      </c>
    </row>
    <row r="292" spans="1:20" x14ac:dyDescent="0.25">
      <c r="A292" s="5">
        <v>44301</v>
      </c>
      <c r="B292">
        <v>47289.99</v>
      </c>
      <c r="C292">
        <v>53200</v>
      </c>
      <c r="D292">
        <v>46957.33</v>
      </c>
      <c r="E292">
        <v>50249.46</v>
      </c>
      <c r="F292">
        <v>2203.039824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5.4718573943520414E-2</v>
      </c>
      <c r="Q292">
        <f t="shared" si="965"/>
        <v>120.54719751006419</v>
      </c>
      <c r="R292">
        <f t="shared" si="966"/>
        <v>57793.248594211844</v>
      </c>
      <c r="S292">
        <f t="shared" si="967"/>
        <v>0.57793248594211843</v>
      </c>
      <c r="T292">
        <f t="shared" si="968"/>
        <v>5.7793248594211844E-4</v>
      </c>
    </row>
    <row r="293" spans="1:20" x14ac:dyDescent="0.25">
      <c r="A293" s="5">
        <v>44300</v>
      </c>
      <c r="B293">
        <v>44800.14</v>
      </c>
      <c r="C293">
        <v>48040</v>
      </c>
      <c r="D293">
        <v>42800</v>
      </c>
      <c r="E293">
        <v>47290.53</v>
      </c>
      <c r="F293">
        <v>1223.6511439999999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0.71394274809160263</v>
      </c>
      <c r="Q293">
        <f t="shared" si="965"/>
        <v>873.61686045279328</v>
      </c>
      <c r="R293">
        <f t="shared" si="966"/>
        <v>57672.701396701777</v>
      </c>
      <c r="S293">
        <f t="shared" si="967"/>
        <v>0.57672701396701775</v>
      </c>
      <c r="T293">
        <f t="shared" si="968"/>
        <v>5.7672701396701772E-4</v>
      </c>
    </row>
    <row r="294" spans="1:20" x14ac:dyDescent="0.25">
      <c r="A294" s="5">
        <v>44299</v>
      </c>
      <c r="B294">
        <v>43053.98</v>
      </c>
      <c r="C294">
        <v>46442.63</v>
      </c>
      <c r="D294">
        <v>41950.6</v>
      </c>
      <c r="E294">
        <v>44796.800000000003</v>
      </c>
      <c r="F294">
        <v>907.01575400000002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0.267222169041616</v>
      </c>
      <c r="Q294">
        <f t="shared" si="965"/>
        <v>242.3747171387968</v>
      </c>
      <c r="R294">
        <f t="shared" si="966"/>
        <v>56799.084536248985</v>
      </c>
      <c r="S294">
        <f t="shared" si="967"/>
        <v>0.56799084536248989</v>
      </c>
      <c r="T294">
        <f t="shared" si="968"/>
        <v>5.6799084536248985E-4</v>
      </c>
    </row>
    <row r="295" spans="1:20" x14ac:dyDescent="0.25">
      <c r="A295" s="5">
        <v>44298</v>
      </c>
      <c r="B295">
        <v>45024.95</v>
      </c>
      <c r="C295">
        <v>45265.25</v>
      </c>
      <c r="D295">
        <v>41655.56</v>
      </c>
      <c r="E295">
        <v>43023.81</v>
      </c>
      <c r="F295">
        <v>849.68812000000003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-0.24190165914524564</v>
      </c>
      <c r="Q295">
        <f t="shared" si="965"/>
        <v>-205.54096598400457</v>
      </c>
      <c r="R295">
        <f t="shared" si="966"/>
        <v>56556.70981911019</v>
      </c>
      <c r="S295">
        <f t="shared" si="967"/>
        <v>0.56556709819110196</v>
      </c>
      <c r="T295">
        <f t="shared" si="968"/>
        <v>5.6556709819110195E-4</v>
      </c>
    </row>
    <row r="296" spans="1:20" x14ac:dyDescent="0.25">
      <c r="A296" s="5">
        <v>44297</v>
      </c>
      <c r="B296">
        <v>44570.85</v>
      </c>
      <c r="C296">
        <v>46900</v>
      </c>
      <c r="D296">
        <v>44322.52</v>
      </c>
      <c r="E296">
        <v>45024.95</v>
      </c>
      <c r="F296">
        <v>679.99469499999998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-0.45494824402129258</v>
      </c>
      <c r="Q296">
        <f t="shared" si="965"/>
        <v>-309.36239243404441</v>
      </c>
      <c r="R296">
        <f t="shared" si="966"/>
        <v>56762.250785094198</v>
      </c>
      <c r="S296">
        <f t="shared" si="967"/>
        <v>0.56762250785094204</v>
      </c>
      <c r="T296">
        <f t="shared" si="968"/>
        <v>5.6762250785094201E-4</v>
      </c>
    </row>
    <row r="297" spans="1:20" x14ac:dyDescent="0.25">
      <c r="A297" s="5">
        <v>44296</v>
      </c>
      <c r="B297">
        <v>45782.07</v>
      </c>
      <c r="C297">
        <v>46145.88</v>
      </c>
      <c r="D297">
        <v>43190</v>
      </c>
      <c r="E297">
        <v>44570.99</v>
      </c>
      <c r="F297">
        <v>681.22653500000001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-6.5598062167612228E-2</v>
      </c>
      <c r="Q297">
        <f t="shared" si="965"/>
        <v>-44.687140593157068</v>
      </c>
      <c r="R297">
        <f t="shared" si="966"/>
        <v>57071.613177528241</v>
      </c>
      <c r="S297">
        <f t="shared" si="967"/>
        <v>0.57071613177528246</v>
      </c>
      <c r="T297">
        <f t="shared" si="968"/>
        <v>5.707161317752825E-4</v>
      </c>
    </row>
    <row r="298" spans="1:20" x14ac:dyDescent="0.25">
      <c r="A298" s="5">
        <v>44295</v>
      </c>
      <c r="B298">
        <v>47242.71</v>
      </c>
      <c r="C298">
        <v>49010</v>
      </c>
      <c r="D298">
        <v>45132.959999999999</v>
      </c>
      <c r="E298">
        <v>45782.07</v>
      </c>
      <c r="F298">
        <v>910.12529300000006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-0.66515176526422193</v>
      </c>
      <c r="Q298">
        <f t="shared" si="965"/>
        <v>-605.37144525056726</v>
      </c>
      <c r="R298">
        <f t="shared" si="966"/>
        <v>57116.300318121401</v>
      </c>
      <c r="S298">
        <f t="shared" si="967"/>
        <v>0.57116300318121405</v>
      </c>
      <c r="T298">
        <f t="shared" si="968"/>
        <v>5.7116300318121405E-4</v>
      </c>
    </row>
    <row r="299" spans="1:20" x14ac:dyDescent="0.25">
      <c r="A299" s="5">
        <v>44294</v>
      </c>
      <c r="B299">
        <v>43922.45</v>
      </c>
      <c r="C299">
        <v>49050</v>
      </c>
      <c r="D299">
        <v>43691.03</v>
      </c>
      <c r="E299">
        <v>47273.11</v>
      </c>
      <c r="F299">
        <v>1884.5113369999999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0.33685391035964035</v>
      </c>
      <c r="Q299">
        <f t="shared" si="965"/>
        <v>634.80501298552394</v>
      </c>
      <c r="R299">
        <f t="shared" si="966"/>
        <v>57721.671763371967</v>
      </c>
      <c r="S299">
        <f t="shared" si="967"/>
        <v>0.57721671763371962</v>
      </c>
      <c r="T299">
        <f t="shared" si="968"/>
        <v>5.7721671763371967E-4</v>
      </c>
    </row>
    <row r="300" spans="1:20" x14ac:dyDescent="0.25">
      <c r="A300" s="5">
        <v>44293</v>
      </c>
      <c r="B300">
        <v>41298.910000000003</v>
      </c>
      <c r="C300">
        <v>44422.2</v>
      </c>
      <c r="D300">
        <v>38077.019999999997</v>
      </c>
      <c r="E300">
        <v>43966.06</v>
      </c>
      <c r="F300">
        <v>1619.2623739999999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0.85622472490930146</v>
      </c>
      <c r="Q300">
        <f t="shared" si="965"/>
        <v>1386.4524807341325</v>
      </c>
      <c r="R300">
        <f t="shared" si="966"/>
        <v>57086.866750386442</v>
      </c>
      <c r="S300">
        <f t="shared" si="967"/>
        <v>0.57086866750386445</v>
      </c>
      <c r="T300">
        <f t="shared" si="968"/>
        <v>5.7086866750386445E-4</v>
      </c>
    </row>
    <row r="301" spans="1:20" x14ac:dyDescent="0.25">
      <c r="A301" s="5">
        <v>44292</v>
      </c>
      <c r="B301">
        <v>38456.74</v>
      </c>
      <c r="C301">
        <v>42999</v>
      </c>
      <c r="D301">
        <v>38456.699999999997</v>
      </c>
      <c r="E301">
        <v>41302.31</v>
      </c>
      <c r="F301">
        <v>1434.8642560000001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0.25293793892961663</v>
      </c>
      <c r="Q301">
        <f t="shared" si="965"/>
        <v>362.93160755641782</v>
      </c>
      <c r="R301">
        <f t="shared" si="966"/>
        <v>55700.414269652312</v>
      </c>
      <c r="S301">
        <f t="shared" si="967"/>
        <v>0.5570041426965231</v>
      </c>
      <c r="T301">
        <f t="shared" si="968"/>
        <v>5.5700414269652305E-4</v>
      </c>
    </row>
    <row r="302" spans="1:20" x14ac:dyDescent="0.25">
      <c r="A302" s="5">
        <v>44291</v>
      </c>
      <c r="B302">
        <v>37575.89</v>
      </c>
      <c r="C302">
        <v>38908.67</v>
      </c>
      <c r="D302">
        <v>35972.18</v>
      </c>
      <c r="E302">
        <v>38488.199999999997</v>
      </c>
      <c r="F302">
        <v>599.07104400000003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0.71362408862281057</v>
      </c>
      <c r="Q302">
        <f t="shared" si="965"/>
        <v>427.51152779481566</v>
      </c>
      <c r="R302">
        <f t="shared" si="966"/>
        <v>55337.482662095892</v>
      </c>
      <c r="S302">
        <f t="shared" si="967"/>
        <v>0.55337482662095894</v>
      </c>
      <c r="T302">
        <f t="shared" si="968"/>
        <v>5.5337482662095889E-4</v>
      </c>
    </row>
    <row r="303" spans="1:20" x14ac:dyDescent="0.25">
      <c r="A303" s="5">
        <v>44290</v>
      </c>
      <c r="B303">
        <v>35838.050000000003</v>
      </c>
      <c r="C303">
        <v>38000</v>
      </c>
      <c r="D303">
        <v>35200</v>
      </c>
      <c r="E303">
        <v>37589.82</v>
      </c>
      <c r="F303">
        <v>406.36160699999999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0.70701428571428548</v>
      </c>
      <c r="Q303">
        <f t="shared" si="965"/>
        <v>287.30346131481417</v>
      </c>
      <c r="R303">
        <f t="shared" si="966"/>
        <v>54909.971134301079</v>
      </c>
      <c r="S303">
        <f t="shared" si="967"/>
        <v>0.54909971134301083</v>
      </c>
      <c r="T303">
        <f t="shared" si="968"/>
        <v>5.490997113430108E-4</v>
      </c>
    </row>
    <row r="304" spans="1:20" x14ac:dyDescent="0.25">
      <c r="A304" s="5">
        <v>44289</v>
      </c>
      <c r="B304">
        <v>39294.910000000003</v>
      </c>
      <c r="C304">
        <v>39826.15</v>
      </c>
      <c r="D304">
        <v>35779.89</v>
      </c>
      <c r="E304">
        <v>35816.449999999997</v>
      </c>
      <c r="F304">
        <v>645.05512999999996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-0.98192899121658139</v>
      </c>
      <c r="Q304">
        <f t="shared" si="965"/>
        <v>-633.39833307998072</v>
      </c>
      <c r="R304">
        <f t="shared" si="966"/>
        <v>54622.667672986267</v>
      </c>
      <c r="S304">
        <f t="shared" si="967"/>
        <v>0.54622667672986269</v>
      </c>
      <c r="T304">
        <f t="shared" si="968"/>
        <v>5.4622667672986271E-4</v>
      </c>
    </row>
    <row r="305" spans="1:20" x14ac:dyDescent="0.25">
      <c r="A305" s="5">
        <v>44288</v>
      </c>
      <c r="B305">
        <v>36606.44</v>
      </c>
      <c r="C305">
        <v>39999</v>
      </c>
      <c r="D305">
        <v>35936.36</v>
      </c>
      <c r="E305">
        <v>39286.22</v>
      </c>
      <c r="F305">
        <v>1018.417741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0.64910501545792931</v>
      </c>
      <c r="Q305">
        <f t="shared" si="965"/>
        <v>661.06006351443443</v>
      </c>
      <c r="R305">
        <f t="shared" si="966"/>
        <v>55256.066006066249</v>
      </c>
      <c r="S305">
        <f t="shared" si="967"/>
        <v>0.55256066006066251</v>
      </c>
      <c r="T305">
        <f t="shared" si="968"/>
        <v>5.5256066006066249E-4</v>
      </c>
    </row>
    <row r="306" spans="1:20" x14ac:dyDescent="0.25">
      <c r="A306" s="5">
        <v>44287</v>
      </c>
      <c r="B306">
        <v>36176.910000000003</v>
      </c>
      <c r="C306">
        <v>37200</v>
      </c>
      <c r="D306">
        <v>35556.57</v>
      </c>
      <c r="E306">
        <v>36583.839999999997</v>
      </c>
      <c r="F306">
        <v>625.374999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0.25015364207784524</v>
      </c>
      <c r="Q306">
        <f t="shared" si="965"/>
        <v>156.43983366427884</v>
      </c>
      <c r="R306">
        <f t="shared" si="966"/>
        <v>54595.005942551812</v>
      </c>
      <c r="S306">
        <f t="shared" si="967"/>
        <v>0.54595005942551811</v>
      </c>
      <c r="T306">
        <f t="shared" si="968"/>
        <v>5.4595005942551812E-4</v>
      </c>
    </row>
    <row r="307" spans="1:20" x14ac:dyDescent="0.25">
      <c r="A307" s="5">
        <v>44286</v>
      </c>
      <c r="B307">
        <v>35471.81</v>
      </c>
      <c r="C307">
        <v>36780</v>
      </c>
      <c r="D307">
        <v>33730</v>
      </c>
      <c r="E307">
        <v>36142.51</v>
      </c>
      <c r="F307">
        <v>661.70312699999999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0.58197377049180465</v>
      </c>
      <c r="Q307">
        <f t="shared" si="965"/>
        <v>385.09386376640748</v>
      </c>
      <c r="R307">
        <f t="shared" si="966"/>
        <v>54438.566108887535</v>
      </c>
      <c r="S307">
        <f t="shared" si="967"/>
        <v>0.54438566108887532</v>
      </c>
      <c r="T307">
        <f t="shared" si="968"/>
        <v>5.4438566108887536E-4</v>
      </c>
    </row>
    <row r="308" spans="1:20" x14ac:dyDescent="0.25">
      <c r="A308" s="5">
        <v>44285</v>
      </c>
      <c r="B308">
        <v>35379.919999999998</v>
      </c>
      <c r="C308">
        <v>36783.67</v>
      </c>
      <c r="D308">
        <v>35040</v>
      </c>
      <c r="E308">
        <v>35476.25</v>
      </c>
      <c r="F308">
        <v>509.446507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-0.49961862049585021</v>
      </c>
      <c r="Q308">
        <f t="shared" si="965"/>
        <v>-254.5289610437695</v>
      </c>
      <c r="R308">
        <f t="shared" si="966"/>
        <v>54053.472245121127</v>
      </c>
      <c r="S308">
        <f t="shared" si="967"/>
        <v>0.54053472245121126</v>
      </c>
      <c r="T308">
        <f t="shared" si="968"/>
        <v>5.4053472245121123E-4</v>
      </c>
    </row>
    <row r="309" spans="1:20" x14ac:dyDescent="0.25">
      <c r="A309" s="5">
        <v>44284</v>
      </c>
      <c r="B309">
        <v>32614.78</v>
      </c>
      <c r="C309">
        <v>36314</v>
      </c>
      <c r="D309">
        <v>32343.78</v>
      </c>
      <c r="E309">
        <v>35386.410000000003</v>
      </c>
      <c r="F309">
        <v>690.71963600000004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0.53272614615814928</v>
      </c>
      <c r="Q309">
        <f t="shared" si="965"/>
        <v>367.96440976203968</v>
      </c>
      <c r="R309">
        <f t="shared" si="966"/>
        <v>54308.001206164896</v>
      </c>
      <c r="S309">
        <f t="shared" si="967"/>
        <v>0.54308001206164891</v>
      </c>
      <c r="T309">
        <f t="shared" si="968"/>
        <v>5.4308001206164892E-4</v>
      </c>
    </row>
    <row r="310" spans="1:20" x14ac:dyDescent="0.25">
      <c r="A310" s="5">
        <v>44283</v>
      </c>
      <c r="B310">
        <v>32723.74</v>
      </c>
      <c r="C310">
        <v>33800</v>
      </c>
      <c r="D310">
        <v>31998.66</v>
      </c>
      <c r="E310">
        <v>32608.04</v>
      </c>
      <c r="F310">
        <v>436.89038599999998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-0.32341479121098632</v>
      </c>
      <c r="Q310">
        <f t="shared" si="965"/>
        <v>-141.29681297027722</v>
      </c>
      <c r="R310">
        <f t="shared" si="966"/>
        <v>53940.036796402856</v>
      </c>
      <c r="S310">
        <f t="shared" si="967"/>
        <v>0.53940036796402857</v>
      </c>
      <c r="T310">
        <f t="shared" si="968"/>
        <v>5.394003679640286E-4</v>
      </c>
    </row>
    <row r="311" spans="1:20" x14ac:dyDescent="0.25">
      <c r="A311" s="5">
        <v>44282</v>
      </c>
      <c r="B311">
        <v>33197.5</v>
      </c>
      <c r="C311">
        <v>33390.129999999997</v>
      </c>
      <c r="D311">
        <v>31661.01</v>
      </c>
      <c r="E311">
        <v>32711.68</v>
      </c>
      <c r="F311">
        <v>341.837266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0.21526556861293897</v>
      </c>
      <c r="Q311">
        <f t="shared" si="965"/>
        <v>73.585793438582471</v>
      </c>
      <c r="R311">
        <f t="shared" si="966"/>
        <v>54081.333609373134</v>
      </c>
      <c r="S311">
        <f t="shared" si="967"/>
        <v>0.54081333609373139</v>
      </c>
      <c r="T311">
        <f t="shared" si="968"/>
        <v>5.4081333609373142E-4</v>
      </c>
    </row>
    <row r="312" spans="1:20" x14ac:dyDescent="0.25">
      <c r="A312" s="5">
        <v>44281</v>
      </c>
      <c r="B312">
        <v>31839.84</v>
      </c>
      <c r="C312">
        <v>33363.699999999997</v>
      </c>
      <c r="D312">
        <v>31785.94</v>
      </c>
      <c r="E312">
        <v>33194.68</v>
      </c>
      <c r="F312">
        <v>421.83764500000001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0.78574688165500839</v>
      </c>
      <c r="Q312">
        <f t="shared" si="965"/>
        <v>331.45761412344245</v>
      </c>
      <c r="R312">
        <f t="shared" si="966"/>
        <v>54007.747815934548</v>
      </c>
      <c r="S312">
        <f t="shared" si="967"/>
        <v>0.54007747815934548</v>
      </c>
      <c r="T312">
        <f t="shared" si="968"/>
        <v>5.4007747815934548E-4</v>
      </c>
    </row>
    <row r="313" spans="1:20" x14ac:dyDescent="0.25">
      <c r="A313" s="5">
        <v>44280</v>
      </c>
      <c r="B313">
        <v>30913.49</v>
      </c>
      <c r="C313">
        <v>32545.83</v>
      </c>
      <c r="D313">
        <v>29784.47</v>
      </c>
      <c r="E313">
        <v>31840.43</v>
      </c>
      <c r="F313">
        <v>694.76122399999997</v>
      </c>
      <c r="G313">
        <v>0</v>
      </c>
      <c r="L313" t="s">
        <v>8</v>
      </c>
      <c r="M313" t="s">
        <v>7</v>
      </c>
      <c r="N313" t="s">
        <v>8</v>
      </c>
      <c r="P313">
        <f t="shared" si="964"/>
        <v>0.48909233131500324</v>
      </c>
      <c r="Q313">
        <f t="shared" si="965"/>
        <v>339.80238675342514</v>
      </c>
      <c r="R313">
        <f t="shared" si="966"/>
        <v>53676.290201811105</v>
      </c>
      <c r="S313">
        <f t="shared" si="967"/>
        <v>0.53676290201811105</v>
      </c>
      <c r="T313">
        <f t="shared" si="968"/>
        <v>5.3676290201811101E-4</v>
      </c>
    </row>
    <row r="314" spans="1:20" x14ac:dyDescent="0.25">
      <c r="A314" s="5">
        <v>44279</v>
      </c>
      <c r="B314">
        <v>33729.01</v>
      </c>
      <c r="C314">
        <v>34715.25</v>
      </c>
      <c r="D314">
        <v>29846.49</v>
      </c>
      <c r="E314">
        <v>30918.5</v>
      </c>
      <c r="F314">
        <v>567.03900699999997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-0.55963736146369969</v>
      </c>
      <c r="Q314">
        <f t="shared" si="965"/>
        <v>-317.33621372447629</v>
      </c>
      <c r="R314">
        <f t="shared" si="966"/>
        <v>53336.487815057677</v>
      </c>
      <c r="S314">
        <f t="shared" si="967"/>
        <v>0.53336487815057676</v>
      </c>
      <c r="T314">
        <f t="shared" si="968"/>
        <v>5.3336487815057671E-4</v>
      </c>
    </row>
    <row r="315" spans="1:20" x14ac:dyDescent="0.25">
      <c r="A315" s="5">
        <v>44278</v>
      </c>
      <c r="B315">
        <v>33247</v>
      </c>
      <c r="C315">
        <v>34307.75</v>
      </c>
      <c r="D315">
        <v>32840.800000000003</v>
      </c>
      <c r="E315">
        <v>33729.019999999997</v>
      </c>
      <c r="F315">
        <v>388.96996899999999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0.21097515252734675</v>
      </c>
      <c r="Q315">
        <f t="shared" si="965"/>
        <v>82.062998538332337</v>
      </c>
      <c r="R315">
        <f t="shared" si="966"/>
        <v>53653.824028782154</v>
      </c>
      <c r="S315">
        <f t="shared" si="967"/>
        <v>0.53653824028782149</v>
      </c>
      <c r="T315">
        <f t="shared" si="968"/>
        <v>5.3653824028782147E-4</v>
      </c>
    </row>
    <row r="316" spans="1:20" x14ac:dyDescent="0.25">
      <c r="A316" s="5">
        <v>44277</v>
      </c>
      <c r="B316">
        <v>35332.32</v>
      </c>
      <c r="C316">
        <v>35921.61</v>
      </c>
      <c r="D316">
        <v>32897.68</v>
      </c>
      <c r="E316">
        <v>33247</v>
      </c>
      <c r="F316">
        <v>424.72019799999998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-0.76896290588737193</v>
      </c>
      <c r="Q316">
        <f t="shared" si="965"/>
        <v>-326.59407764313994</v>
      </c>
      <c r="R316">
        <f t="shared" si="966"/>
        <v>53571.761030243819</v>
      </c>
      <c r="S316">
        <f t="shared" si="967"/>
        <v>0.53571761030243814</v>
      </c>
      <c r="T316">
        <f t="shared" si="968"/>
        <v>5.3571761030243815E-4</v>
      </c>
    </row>
    <row r="317" spans="1:20" x14ac:dyDescent="0.25">
      <c r="A317" s="5">
        <v>44276</v>
      </c>
      <c r="B317">
        <v>35060.97</v>
      </c>
      <c r="C317">
        <v>36064.57</v>
      </c>
      <c r="D317">
        <v>34208.42</v>
      </c>
      <c r="E317">
        <v>35345.550000000003</v>
      </c>
      <c r="F317">
        <v>464.23830199999998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0.22525657947903324</v>
      </c>
      <c r="Q317">
        <f t="shared" si="965"/>
        <v>104.57273197167443</v>
      </c>
      <c r="R317">
        <f t="shared" si="966"/>
        <v>53898.355107886957</v>
      </c>
      <c r="S317">
        <f t="shared" si="967"/>
        <v>0.53898355107886953</v>
      </c>
      <c r="T317">
        <f t="shared" si="968"/>
        <v>5.3898355107886954E-4</v>
      </c>
    </row>
    <row r="318" spans="1:20" x14ac:dyDescent="0.25">
      <c r="A318" s="5">
        <v>44275</v>
      </c>
      <c r="B318">
        <v>35967.31</v>
      </c>
      <c r="C318">
        <v>37370</v>
      </c>
      <c r="D318">
        <v>34965.040000000001</v>
      </c>
      <c r="E318">
        <v>35073.9</v>
      </c>
      <c r="F318">
        <v>516.44008499999995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-0.90947042778258214</v>
      </c>
      <c r="Q318">
        <f t="shared" si="965"/>
        <v>-469.68698502902305</v>
      </c>
      <c r="R318">
        <f t="shared" si="966"/>
        <v>53793.782375915282</v>
      </c>
      <c r="S318">
        <f t="shared" si="967"/>
        <v>0.53793782375915278</v>
      </c>
      <c r="T318">
        <f t="shared" si="968"/>
        <v>5.3793782375915274E-4</v>
      </c>
    </row>
    <row r="319" spans="1:20" x14ac:dyDescent="0.25">
      <c r="A319" s="5">
        <v>44274</v>
      </c>
      <c r="B319">
        <v>35685.870000000003</v>
      </c>
      <c r="C319">
        <v>36962.379999999997</v>
      </c>
      <c r="D319">
        <v>34666.660000000003</v>
      </c>
      <c r="E319">
        <v>35976.65</v>
      </c>
      <c r="F319">
        <v>482.25579900000002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0.14124544805115732</v>
      </c>
      <c r="Q319">
        <f t="shared" si="965"/>
        <v>68.116436405023876</v>
      </c>
      <c r="R319">
        <f t="shared" si="966"/>
        <v>54263.469360944306</v>
      </c>
      <c r="S319">
        <f t="shared" si="967"/>
        <v>0.54263469360944305</v>
      </c>
      <c r="T319">
        <f t="shared" si="968"/>
        <v>5.4263469360944306E-4</v>
      </c>
    </row>
    <row r="320" spans="1:20" x14ac:dyDescent="0.25">
      <c r="A320" s="5">
        <v>44273</v>
      </c>
      <c r="B320">
        <v>35091.57</v>
      </c>
      <c r="C320">
        <v>37538.019999999997</v>
      </c>
      <c r="D320">
        <v>34711</v>
      </c>
      <c r="E320">
        <v>35677.35</v>
      </c>
      <c r="F320">
        <v>860.16458399999999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-0.31634724904669959</v>
      </c>
      <c r="Q320">
        <f t="shared" si="965"/>
        <v>-272.11069987579873</v>
      </c>
      <c r="R320">
        <f t="shared" si="966"/>
        <v>54195.352924539278</v>
      </c>
      <c r="S320">
        <f t="shared" si="967"/>
        <v>0.54195352924539275</v>
      </c>
      <c r="T320">
        <f t="shared" si="968"/>
        <v>5.419535292453927E-4</v>
      </c>
    </row>
    <row r="321" spans="1:20" x14ac:dyDescent="0.25">
      <c r="A321" s="5">
        <v>44272</v>
      </c>
      <c r="B321">
        <v>35000</v>
      </c>
      <c r="C321">
        <v>35476.03</v>
      </c>
      <c r="D321">
        <v>33256.230000000003</v>
      </c>
      <c r="E321">
        <v>35081.480000000003</v>
      </c>
      <c r="F321">
        <v>457.46574299999997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0.64451752410127361</v>
      </c>
      <c r="Q321">
        <f t="shared" si="965"/>
        <v>294.84468803950955</v>
      </c>
      <c r="R321">
        <f t="shared" si="966"/>
        <v>54467.463624415075</v>
      </c>
      <c r="S321">
        <f t="shared" si="967"/>
        <v>0.5446746362441508</v>
      </c>
      <c r="T321">
        <f t="shared" si="968"/>
        <v>5.4467463624415077E-4</v>
      </c>
    </row>
    <row r="322" spans="1:20" x14ac:dyDescent="0.25">
      <c r="A322" s="5">
        <v>44271</v>
      </c>
      <c r="B322">
        <v>34578.26</v>
      </c>
      <c r="C322">
        <v>35349.43</v>
      </c>
      <c r="D322">
        <v>33150.51</v>
      </c>
      <c r="E322">
        <v>34961.5</v>
      </c>
      <c r="F322">
        <v>465.81551300000001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0.64716315282047499</v>
      </c>
      <c r="Q322">
        <f t="shared" si="965"/>
        <v>301.45863602576696</v>
      </c>
      <c r="R322">
        <f t="shared" si="966"/>
        <v>54172.618936375562</v>
      </c>
      <c r="S322">
        <f t="shared" si="967"/>
        <v>0.54172618936375561</v>
      </c>
      <c r="T322">
        <f t="shared" si="968"/>
        <v>5.4172618936375566E-4</v>
      </c>
    </row>
    <row r="323" spans="1:20" x14ac:dyDescent="0.25">
      <c r="A323" s="5">
        <v>44270</v>
      </c>
      <c r="B323">
        <v>35814.81</v>
      </c>
      <c r="C323">
        <v>36607.360000000001</v>
      </c>
      <c r="D323">
        <v>33440.089999999997</v>
      </c>
      <c r="E323">
        <v>34557.17</v>
      </c>
      <c r="F323">
        <v>741.19647599999996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-0.29461018479637019</v>
      </c>
      <c r="Q323">
        <f t="shared" si="965"/>
        <v>-218.36403076477836</v>
      </c>
      <c r="R323">
        <f t="shared" si="966"/>
        <v>53871.160300349795</v>
      </c>
      <c r="S323">
        <f t="shared" si="967"/>
        <v>0.53871160300349796</v>
      </c>
      <c r="T323">
        <f t="shared" si="968"/>
        <v>5.3871160300349792E-4</v>
      </c>
    </row>
    <row r="324" spans="1:20" x14ac:dyDescent="0.25">
      <c r="A324" s="5">
        <v>44269</v>
      </c>
      <c r="B324">
        <v>38191.57</v>
      </c>
      <c r="C324">
        <v>38700</v>
      </c>
      <c r="D324">
        <v>35626.39</v>
      </c>
      <c r="E324">
        <v>35827.51</v>
      </c>
      <c r="F324">
        <v>637.34887100000003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-0.8691310868978156</v>
      </c>
      <c r="Q324">
        <f t="shared" si="965"/>
        <v>-553.93971698532573</v>
      </c>
      <c r="R324">
        <f t="shared" si="966"/>
        <v>54089.524331114575</v>
      </c>
      <c r="S324">
        <f t="shared" si="967"/>
        <v>0.5408952433111458</v>
      </c>
      <c r="T324">
        <f t="shared" si="968"/>
        <v>5.4089524331114576E-4</v>
      </c>
    </row>
    <row r="325" spans="1:20" x14ac:dyDescent="0.25">
      <c r="A325" s="5">
        <v>44268</v>
      </c>
      <c r="B325">
        <v>35999.980000000003</v>
      </c>
      <c r="C325">
        <v>38836.17</v>
      </c>
      <c r="D325">
        <v>34832.269999999997</v>
      </c>
      <c r="E325">
        <v>38166.6</v>
      </c>
      <c r="F325">
        <v>712.20460600000001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0.665541097430006</v>
      </c>
      <c r="Q325">
        <f t="shared" si="965"/>
        <v>474.00143507194502</v>
      </c>
      <c r="R325">
        <f t="shared" si="966"/>
        <v>54643.464048099901</v>
      </c>
      <c r="S325">
        <f t="shared" si="967"/>
        <v>0.54643464048099899</v>
      </c>
      <c r="T325">
        <f t="shared" si="968"/>
        <v>5.4643464048099901E-4</v>
      </c>
    </row>
    <row r="326" spans="1:20" x14ac:dyDescent="0.25">
      <c r="A326" s="5">
        <v>44267</v>
      </c>
      <c r="B326">
        <v>37899.9</v>
      </c>
      <c r="C326">
        <v>38178.33</v>
      </c>
      <c r="D326">
        <v>35118.089999999997</v>
      </c>
      <c r="E326">
        <v>35967.32</v>
      </c>
      <c r="F326">
        <v>534.11140399999999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-0.44499124251692562</v>
      </c>
      <c r="Q326">
        <f t="shared" ref="Q326:Q389" si="970">F326*P326</f>
        <v>-237.67489730841965</v>
      </c>
      <c r="R326">
        <f t="shared" ref="R326:R389" si="971">R327+Q326</f>
        <v>54169.462613027958</v>
      </c>
      <c r="S326">
        <f t="shared" ref="S326:S389" si="972">R326/100000</f>
        <v>0.54169462613027952</v>
      </c>
      <c r="T326">
        <f t="shared" ref="T326:T389" si="973">S326/1000</f>
        <v>5.4169462613027947E-4</v>
      </c>
    </row>
    <row r="327" spans="1:20" x14ac:dyDescent="0.25">
      <c r="A327" s="5">
        <v>44266</v>
      </c>
      <c r="B327">
        <v>37863.25</v>
      </c>
      <c r="C327">
        <v>38430.870000000003</v>
      </c>
      <c r="D327">
        <v>36015.51</v>
      </c>
      <c r="E327">
        <v>37899.9</v>
      </c>
      <c r="F327">
        <v>557.80040199999996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0.56033883147853647</v>
      </c>
      <c r="Q327">
        <f t="shared" si="970"/>
        <v>312.55722545493785</v>
      </c>
      <c r="R327">
        <f t="shared" si="971"/>
        <v>54407.137510336375</v>
      </c>
      <c r="S327">
        <f t="shared" si="972"/>
        <v>0.54407137510336379</v>
      </c>
      <c r="T327">
        <f t="shared" si="973"/>
        <v>5.4407137510336376E-4</v>
      </c>
    </row>
    <row r="328" spans="1:20" x14ac:dyDescent="0.25">
      <c r="A328" s="5">
        <v>44265</v>
      </c>
      <c r="B328">
        <v>38971.18</v>
      </c>
      <c r="C328">
        <v>39084.089999999997</v>
      </c>
      <c r="D328">
        <v>36268.730000000003</v>
      </c>
      <c r="E328">
        <v>37839.519999999997</v>
      </c>
      <c r="F328">
        <v>885.33940700000005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0.11587150488747253</v>
      </c>
      <c r="Q328">
        <f t="shared" si="970"/>
        <v>102.58560942527254</v>
      </c>
      <c r="R328">
        <f t="shared" si="971"/>
        <v>54094.580284881435</v>
      </c>
      <c r="S328">
        <f t="shared" si="972"/>
        <v>0.54094580284881433</v>
      </c>
      <c r="T328">
        <f t="shared" si="973"/>
        <v>5.4094580284881437E-4</v>
      </c>
    </row>
    <row r="329" spans="1:20" x14ac:dyDescent="0.25">
      <c r="A329" s="5">
        <v>44264</v>
      </c>
      <c r="B329">
        <v>39784.29</v>
      </c>
      <c r="C329">
        <v>40319.040000000001</v>
      </c>
      <c r="D329">
        <v>38563.26</v>
      </c>
      <c r="E329">
        <v>38936.519999999997</v>
      </c>
      <c r="F329">
        <v>790.13896499999998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-0.57482144687831616</v>
      </c>
      <c r="Q329">
        <f t="shared" si="970"/>
        <v>-454.18882309623518</v>
      </c>
      <c r="R329">
        <f t="shared" si="971"/>
        <v>53991.994675456161</v>
      </c>
      <c r="S329">
        <f t="shared" si="972"/>
        <v>0.53991994675456156</v>
      </c>
      <c r="T329">
        <f t="shared" si="973"/>
        <v>5.3991994675456161E-4</v>
      </c>
    </row>
    <row r="330" spans="1:20" x14ac:dyDescent="0.25">
      <c r="A330" s="5">
        <v>44263</v>
      </c>
      <c r="B330">
        <v>39141.42</v>
      </c>
      <c r="C330">
        <v>42450</v>
      </c>
      <c r="D330">
        <v>37870.370000000003</v>
      </c>
      <c r="E330">
        <v>39767.07</v>
      </c>
      <c r="F330">
        <v>1966.683628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-0.17167980819411255</v>
      </c>
      <c r="Q330">
        <f t="shared" si="970"/>
        <v>-337.6398680335414</v>
      </c>
      <c r="R330">
        <f t="shared" si="971"/>
        <v>54446.183498552396</v>
      </c>
      <c r="S330">
        <f t="shared" si="972"/>
        <v>0.54446183498552392</v>
      </c>
      <c r="T330">
        <f t="shared" si="973"/>
        <v>5.4446183498552396E-4</v>
      </c>
    </row>
    <row r="331" spans="1:20" x14ac:dyDescent="0.25">
      <c r="A331" s="5">
        <v>44262</v>
      </c>
      <c r="B331">
        <v>33990.019999999997</v>
      </c>
      <c r="C331">
        <v>39313.86</v>
      </c>
      <c r="D331">
        <v>33829.269999999997</v>
      </c>
      <c r="E331">
        <v>39133.019999999997</v>
      </c>
      <c r="F331">
        <v>1554.723784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0.93405523475774721</v>
      </c>
      <c r="Q331">
        <f t="shared" si="970"/>
        <v>1452.1978890475732</v>
      </c>
      <c r="R331">
        <f t="shared" si="971"/>
        <v>54783.823366585937</v>
      </c>
      <c r="S331">
        <f t="shared" si="972"/>
        <v>0.54783823366585938</v>
      </c>
      <c r="T331">
        <f t="shared" si="973"/>
        <v>5.4783823366585938E-4</v>
      </c>
    </row>
    <row r="332" spans="1:20" x14ac:dyDescent="0.25">
      <c r="A332" s="5">
        <v>44261</v>
      </c>
      <c r="B332">
        <v>31910.63</v>
      </c>
      <c r="C332">
        <v>34192.239999999998</v>
      </c>
      <c r="D332">
        <v>31297.18</v>
      </c>
      <c r="E332">
        <v>34047.86</v>
      </c>
      <c r="F332">
        <v>538.12892699999998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0.90025768032441644</v>
      </c>
      <c r="Q332">
        <f t="shared" si="970"/>
        <v>484.45469953648723</v>
      </c>
      <c r="R332">
        <f t="shared" si="971"/>
        <v>53331.625477538364</v>
      </c>
      <c r="S332">
        <f t="shared" si="972"/>
        <v>0.53331625477538369</v>
      </c>
      <c r="T332">
        <f t="shared" si="973"/>
        <v>5.3331625477538367E-4</v>
      </c>
    </row>
    <row r="333" spans="1:20" x14ac:dyDescent="0.25">
      <c r="A333" s="5">
        <v>44260</v>
      </c>
      <c r="B333">
        <v>32362.25</v>
      </c>
      <c r="C333">
        <v>32503.9</v>
      </c>
      <c r="D333">
        <v>30022.42</v>
      </c>
      <c r="E333">
        <v>31950.75</v>
      </c>
      <c r="F333">
        <v>415.07690600000001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0.55417734577751931</v>
      </c>
      <c r="Q333">
        <f t="shared" si="970"/>
        <v>230.0262180606249</v>
      </c>
      <c r="R333">
        <f t="shared" si="971"/>
        <v>52847.170778001877</v>
      </c>
      <c r="S333">
        <f t="shared" si="972"/>
        <v>0.52847170778001873</v>
      </c>
      <c r="T333">
        <f t="shared" si="973"/>
        <v>5.2847170778001871E-4</v>
      </c>
    </row>
    <row r="334" spans="1:20" x14ac:dyDescent="0.25">
      <c r="A334" s="5">
        <v>44259</v>
      </c>
      <c r="B334">
        <v>33750.68</v>
      </c>
      <c r="C334">
        <v>34540.81</v>
      </c>
      <c r="D334">
        <v>31500.04</v>
      </c>
      <c r="E334">
        <v>32392.48</v>
      </c>
      <c r="F334">
        <v>671.008869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-0.41301709764303146</v>
      </c>
      <c r="Q334">
        <f t="shared" si="970"/>
        <v>-277.13813556711312</v>
      </c>
      <c r="R334">
        <f t="shared" si="971"/>
        <v>52617.144559941255</v>
      </c>
      <c r="S334">
        <f t="shared" si="972"/>
        <v>0.52617144559941254</v>
      </c>
      <c r="T334">
        <f t="shared" si="973"/>
        <v>5.2617144559941249E-4</v>
      </c>
    </row>
    <row r="335" spans="1:20" x14ac:dyDescent="0.25">
      <c r="A335" s="5">
        <v>44258</v>
      </c>
      <c r="B335">
        <v>33221.19</v>
      </c>
      <c r="C335">
        <v>35800</v>
      </c>
      <c r="D335">
        <v>32967.800000000003</v>
      </c>
      <c r="E335">
        <v>33750.68</v>
      </c>
      <c r="F335">
        <v>717.58488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-0.44715768660405469</v>
      </c>
      <c r="Q335">
        <f t="shared" si="970"/>
        <v>-320.87359488284818</v>
      </c>
      <c r="R335">
        <f t="shared" si="971"/>
        <v>52894.282695508366</v>
      </c>
      <c r="S335">
        <f t="shared" si="972"/>
        <v>0.52894282695508366</v>
      </c>
      <c r="T335">
        <f t="shared" si="973"/>
        <v>5.2894282695508364E-4</v>
      </c>
    </row>
    <row r="336" spans="1:20" x14ac:dyDescent="0.25">
      <c r="A336" s="5">
        <v>44257</v>
      </c>
      <c r="B336">
        <v>34782.129999999997</v>
      </c>
      <c r="C336">
        <v>35440.269999999997</v>
      </c>
      <c r="D336">
        <v>32250.01</v>
      </c>
      <c r="E336">
        <v>33220.239999999998</v>
      </c>
      <c r="F336">
        <v>665.24363400000004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-0.39175490398901652</v>
      </c>
      <c r="Q336">
        <f t="shared" si="970"/>
        <v>-260.61245596697444</v>
      </c>
      <c r="R336">
        <f t="shared" si="971"/>
        <v>53215.156290391213</v>
      </c>
      <c r="S336">
        <f t="shared" si="972"/>
        <v>0.53215156290391208</v>
      </c>
      <c r="T336">
        <f t="shared" si="973"/>
        <v>5.3215156290391209E-4</v>
      </c>
    </row>
    <row r="337" spans="1:20" x14ac:dyDescent="0.25">
      <c r="A337" s="5">
        <v>44256</v>
      </c>
      <c r="B337">
        <v>30760.73</v>
      </c>
      <c r="C337">
        <v>34855.879999999997</v>
      </c>
      <c r="D337">
        <v>30652.48</v>
      </c>
      <c r="E337">
        <v>34782.120000000003</v>
      </c>
      <c r="F337">
        <v>842.746756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0.96490460103725806</v>
      </c>
      <c r="Q337">
        <f t="shared" si="970"/>
        <v>813.17022237362346</v>
      </c>
      <c r="R337">
        <f t="shared" si="971"/>
        <v>53475.76874635819</v>
      </c>
      <c r="S337">
        <f t="shared" si="972"/>
        <v>0.53475768746358188</v>
      </c>
      <c r="T337">
        <f t="shared" si="973"/>
        <v>5.347576874635819E-4</v>
      </c>
    </row>
    <row r="338" spans="1:20" x14ac:dyDescent="0.25">
      <c r="A338" s="5">
        <v>44255</v>
      </c>
      <c r="B338">
        <v>31445.919999999998</v>
      </c>
      <c r="C338">
        <v>31588.25</v>
      </c>
      <c r="D338">
        <v>27437.73</v>
      </c>
      <c r="E338">
        <v>30722.16</v>
      </c>
      <c r="F338">
        <v>865.45621800000004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0.58265952218035333</v>
      </c>
      <c r="Q338">
        <f t="shared" si="970"/>
        <v>504.26630644789572</v>
      </c>
      <c r="R338">
        <f t="shared" si="971"/>
        <v>52662.598523984569</v>
      </c>
      <c r="S338">
        <f t="shared" si="972"/>
        <v>0.52662598523984572</v>
      </c>
      <c r="T338">
        <f t="shared" si="973"/>
        <v>5.2662598523984573E-4</v>
      </c>
    </row>
    <row r="339" spans="1:20" x14ac:dyDescent="0.25">
      <c r="A339" s="5">
        <v>44254</v>
      </c>
      <c r="B339">
        <v>31117.23</v>
      </c>
      <c r="C339">
        <v>33433.82</v>
      </c>
      <c r="D339">
        <v>30685.08</v>
      </c>
      <c r="E339">
        <v>31442.6</v>
      </c>
      <c r="F339">
        <v>680.81275500000004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-0.44882382473424381</v>
      </c>
      <c r="Q339">
        <f t="shared" si="970"/>
        <v>-305.56498462695771</v>
      </c>
      <c r="R339">
        <f t="shared" si="971"/>
        <v>52158.33221753667</v>
      </c>
      <c r="S339">
        <f t="shared" si="972"/>
        <v>0.52158332217536674</v>
      </c>
      <c r="T339">
        <f t="shared" si="973"/>
        <v>5.2158332217536673E-4</v>
      </c>
    </row>
    <row r="340" spans="1:20" x14ac:dyDescent="0.25">
      <c r="A340" s="5">
        <v>44253</v>
      </c>
      <c r="B340">
        <v>31627.81</v>
      </c>
      <c r="C340">
        <v>33254.79</v>
      </c>
      <c r="D340">
        <v>29800</v>
      </c>
      <c r="E340">
        <v>31141.43</v>
      </c>
      <c r="F340">
        <v>983.95519300000001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-0.22343760402224161</v>
      </c>
      <c r="Q340">
        <f t="shared" si="970"/>
        <v>-219.85259078916232</v>
      </c>
      <c r="R340">
        <f t="shared" si="971"/>
        <v>52463.897202163629</v>
      </c>
      <c r="S340">
        <f t="shared" si="972"/>
        <v>0.52463897202163634</v>
      </c>
      <c r="T340">
        <f t="shared" si="973"/>
        <v>5.2463897202163637E-4</v>
      </c>
    </row>
    <row r="341" spans="1:20" x14ac:dyDescent="0.25">
      <c r="A341" s="5">
        <v>44252</v>
      </c>
      <c r="B341">
        <v>33752.6</v>
      </c>
      <c r="C341">
        <v>35577.599999999999</v>
      </c>
      <c r="D341">
        <v>31336.59</v>
      </c>
      <c r="E341">
        <v>31600.98</v>
      </c>
      <c r="F341">
        <v>907.31132500000001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-0.87531743617676006</v>
      </c>
      <c r="Q341">
        <f t="shared" si="970"/>
        <v>-794.1854228131391</v>
      </c>
      <c r="R341">
        <f t="shared" si="971"/>
        <v>52683.749792952789</v>
      </c>
      <c r="S341">
        <f t="shared" si="972"/>
        <v>0.52683749792952794</v>
      </c>
      <c r="T341">
        <f t="shared" si="973"/>
        <v>5.2683749792952796E-4</v>
      </c>
    </row>
    <row r="342" spans="1:20" x14ac:dyDescent="0.25">
      <c r="A342" s="5">
        <v>44251</v>
      </c>
      <c r="B342">
        <v>33441.550000000003</v>
      </c>
      <c r="C342">
        <v>37031.32</v>
      </c>
      <c r="D342">
        <v>31774.11</v>
      </c>
      <c r="E342">
        <v>33800.25</v>
      </c>
      <c r="F342">
        <v>1597.845319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-0.22919571407647793</v>
      </c>
      <c r="Q342">
        <f t="shared" si="970"/>
        <v>-366.21929887196268</v>
      </c>
      <c r="R342">
        <f t="shared" si="971"/>
        <v>53477.93521576593</v>
      </c>
      <c r="S342">
        <f t="shared" si="972"/>
        <v>0.53477935215765926</v>
      </c>
      <c r="T342">
        <f t="shared" si="973"/>
        <v>5.3477935215765925E-4</v>
      </c>
    </row>
    <row r="343" spans="1:20" x14ac:dyDescent="0.25">
      <c r="A343" s="5">
        <v>44250</v>
      </c>
      <c r="B343">
        <v>39248.410000000003</v>
      </c>
      <c r="C343">
        <v>39361.589999999997</v>
      </c>
      <c r="D343">
        <v>28319.3</v>
      </c>
      <c r="E343">
        <v>33410.699999999997</v>
      </c>
      <c r="F343">
        <v>3168.690783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-7.7836209699256392E-2</v>
      </c>
      <c r="Q343">
        <f t="shared" si="970"/>
        <v>-246.63888025768892</v>
      </c>
      <c r="R343">
        <f t="shared" si="971"/>
        <v>53844.154514637892</v>
      </c>
      <c r="S343">
        <f t="shared" si="972"/>
        <v>0.53844154514637887</v>
      </c>
      <c r="T343">
        <f t="shared" si="973"/>
        <v>5.3844154514637885E-4</v>
      </c>
    </row>
    <row r="344" spans="1:20" x14ac:dyDescent="0.25">
      <c r="A344" s="5">
        <v>44249</v>
      </c>
      <c r="B344">
        <v>43097.2</v>
      </c>
      <c r="C344">
        <v>43196.85</v>
      </c>
      <c r="D344">
        <v>30546.04</v>
      </c>
      <c r="E344">
        <v>39229.56</v>
      </c>
      <c r="F344">
        <v>2597.6216410000002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0.37280063490005755</v>
      </c>
      <c r="Q344">
        <f t="shared" si="970"/>
        <v>968.39499699492944</v>
      </c>
      <c r="R344">
        <f t="shared" si="971"/>
        <v>54090.793394895583</v>
      </c>
      <c r="S344">
        <f t="shared" si="972"/>
        <v>0.54090793394895587</v>
      </c>
      <c r="T344">
        <f t="shared" si="973"/>
        <v>5.4090793394895591E-4</v>
      </c>
    </row>
    <row r="345" spans="1:20" x14ac:dyDescent="0.25">
      <c r="A345" s="5">
        <v>44248</v>
      </c>
      <c r="B345">
        <v>42306.239999999998</v>
      </c>
      <c r="C345">
        <v>44845.62</v>
      </c>
      <c r="D345">
        <v>41180</v>
      </c>
      <c r="E345">
        <v>43097.2</v>
      </c>
      <c r="F345">
        <v>1143.0717090000001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4.6044052575005441E-2</v>
      </c>
      <c r="Q345">
        <f t="shared" si="970"/>
        <v>52.631653866197325</v>
      </c>
      <c r="R345">
        <f t="shared" si="971"/>
        <v>53122.398397900652</v>
      </c>
      <c r="S345">
        <f t="shared" si="972"/>
        <v>0.5312239839790065</v>
      </c>
      <c r="T345">
        <f t="shared" si="973"/>
        <v>5.312239839790065E-4</v>
      </c>
    </row>
    <row r="346" spans="1:20" x14ac:dyDescent="0.25">
      <c r="A346" s="5">
        <v>44247</v>
      </c>
      <c r="B346">
        <v>44711.81</v>
      </c>
      <c r="C346">
        <v>48078.09</v>
      </c>
      <c r="D346">
        <v>39100</v>
      </c>
      <c r="E346">
        <v>42251.78</v>
      </c>
      <c r="F346">
        <v>2251.6628780000001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-0.29789520933739805</v>
      </c>
      <c r="Q346">
        <f t="shared" si="970"/>
        <v>-670.75958439905821</v>
      </c>
      <c r="R346">
        <f t="shared" si="971"/>
        <v>53069.766744034452</v>
      </c>
      <c r="S346">
        <f t="shared" si="972"/>
        <v>0.53069766744034452</v>
      </c>
      <c r="T346">
        <f t="shared" si="973"/>
        <v>5.3069766744034453E-4</v>
      </c>
    </row>
    <row r="347" spans="1:20" x14ac:dyDescent="0.25">
      <c r="A347" s="5">
        <v>44246</v>
      </c>
      <c r="B347">
        <v>44266.66</v>
      </c>
      <c r="C347">
        <v>45650</v>
      </c>
      <c r="D347">
        <v>41805.730000000003</v>
      </c>
      <c r="E347">
        <v>44711.81</v>
      </c>
      <c r="F347">
        <v>1503.831991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0.51190212966310733</v>
      </c>
      <c r="Q347">
        <f t="shared" si="970"/>
        <v>769.81479884841087</v>
      </c>
      <c r="R347">
        <f t="shared" si="971"/>
        <v>53740.526328433509</v>
      </c>
      <c r="S347">
        <f t="shared" si="972"/>
        <v>0.53740526328433513</v>
      </c>
      <c r="T347">
        <f t="shared" si="973"/>
        <v>5.3740526328433511E-4</v>
      </c>
    </row>
    <row r="348" spans="1:20" x14ac:dyDescent="0.25">
      <c r="A348" s="5">
        <v>44245</v>
      </c>
      <c r="B348">
        <v>43781.87</v>
      </c>
      <c r="C348">
        <v>46249.66</v>
      </c>
      <c r="D348">
        <v>42682.77</v>
      </c>
      <c r="E348">
        <v>44278.54</v>
      </c>
      <c r="F348">
        <v>1118.0252869999999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-0.10523172848055248</v>
      </c>
      <c r="Q348">
        <f t="shared" si="970"/>
        <v>-117.65173343597576</v>
      </c>
      <c r="R348">
        <f t="shared" si="971"/>
        <v>52970.711529585096</v>
      </c>
      <c r="S348">
        <f t="shared" si="972"/>
        <v>0.52970711529585102</v>
      </c>
      <c r="T348">
        <f t="shared" si="973"/>
        <v>5.2970711529585102E-4</v>
      </c>
    </row>
    <row r="349" spans="1:20" x14ac:dyDescent="0.25">
      <c r="A349" s="5">
        <v>44244</v>
      </c>
      <c r="B349">
        <v>42966.1</v>
      </c>
      <c r="C349">
        <v>44422.54</v>
      </c>
      <c r="D349">
        <v>40005.050000000003</v>
      </c>
      <c r="E349">
        <v>43781.87</v>
      </c>
      <c r="F349">
        <v>1357.7938919999999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0.70993935470142611</v>
      </c>
      <c r="Q349">
        <f t="shared" si="970"/>
        <v>963.95131950401776</v>
      </c>
      <c r="R349">
        <f t="shared" si="971"/>
        <v>53088.36326302107</v>
      </c>
      <c r="S349">
        <f t="shared" si="972"/>
        <v>0.53088363263021066</v>
      </c>
      <c r="T349">
        <f t="shared" si="973"/>
        <v>5.308836326302107E-4</v>
      </c>
    </row>
    <row r="350" spans="1:20" x14ac:dyDescent="0.25">
      <c r="A350" s="5">
        <v>44243</v>
      </c>
      <c r="B350">
        <v>40273.620000000003</v>
      </c>
      <c r="C350">
        <v>45400</v>
      </c>
      <c r="D350">
        <v>39038.33</v>
      </c>
      <c r="E350">
        <v>42977.36</v>
      </c>
      <c r="F350">
        <v>1932.876248</v>
      </c>
      <c r="G350">
        <v>0</v>
      </c>
      <c r="L350" t="s">
        <v>8</v>
      </c>
      <c r="M350" t="s">
        <v>7</v>
      </c>
      <c r="N350" t="s">
        <v>7</v>
      </c>
      <c r="P350">
        <f t="shared" si="969"/>
        <v>0.23836351146790069</v>
      </c>
      <c r="Q350">
        <f t="shared" si="970"/>
        <v>460.72716970618086</v>
      </c>
      <c r="R350">
        <f t="shared" si="971"/>
        <v>52124.411943517051</v>
      </c>
      <c r="S350">
        <f t="shared" si="972"/>
        <v>0.52124411943517046</v>
      </c>
      <c r="T350">
        <f t="shared" si="973"/>
        <v>5.2124411943517044E-4</v>
      </c>
    </row>
    <row r="351" spans="1:20" x14ac:dyDescent="0.25">
      <c r="A351" s="5">
        <v>44242</v>
      </c>
      <c r="B351">
        <v>43394.53</v>
      </c>
      <c r="C351">
        <v>44211.14</v>
      </c>
      <c r="D351">
        <v>38010</v>
      </c>
      <c r="E351">
        <v>40273.620000000003</v>
      </c>
      <c r="F351">
        <v>1959.9235659999999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-0.26993423789819199</v>
      </c>
      <c r="Q351">
        <f t="shared" si="970"/>
        <v>-529.05047412691681</v>
      </c>
      <c r="R351">
        <f t="shared" si="971"/>
        <v>51663.68477381087</v>
      </c>
      <c r="S351">
        <f t="shared" si="972"/>
        <v>0.5166368477381087</v>
      </c>
      <c r="T351">
        <f t="shared" si="973"/>
        <v>5.1663684773810867E-4</v>
      </c>
    </row>
    <row r="352" spans="1:20" x14ac:dyDescent="0.25">
      <c r="A352" s="5">
        <v>44241</v>
      </c>
      <c r="B352">
        <v>47140.22</v>
      </c>
      <c r="C352">
        <v>47509.04</v>
      </c>
      <c r="D352">
        <v>42850</v>
      </c>
      <c r="E352">
        <v>43369.16</v>
      </c>
      <c r="F352">
        <v>1406.536304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-0.77713863800267724</v>
      </c>
      <c r="Q352">
        <f t="shared" si="970"/>
        <v>-1093.0737075918796</v>
      </c>
      <c r="R352">
        <f t="shared" si="971"/>
        <v>52192.735247937788</v>
      </c>
      <c r="S352">
        <f t="shared" si="972"/>
        <v>0.52192735247937783</v>
      </c>
      <c r="T352">
        <f t="shared" si="973"/>
        <v>5.2192735247937787E-4</v>
      </c>
    </row>
    <row r="353" spans="1:20" x14ac:dyDescent="0.25">
      <c r="A353" s="5">
        <v>44240</v>
      </c>
      <c r="B353">
        <v>47007.1</v>
      </c>
      <c r="C353">
        <v>48800</v>
      </c>
      <c r="D353">
        <v>43500</v>
      </c>
      <c r="E353">
        <v>47157.24</v>
      </c>
      <c r="F353">
        <v>2055.8013940000001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0.38009056603773506</v>
      </c>
      <c r="Q353">
        <f t="shared" si="970"/>
        <v>781.39071550662482</v>
      </c>
      <c r="R353">
        <f t="shared" si="971"/>
        <v>53285.808955529668</v>
      </c>
      <c r="S353">
        <f t="shared" si="972"/>
        <v>0.53285808955529668</v>
      </c>
      <c r="T353">
        <f t="shared" si="973"/>
        <v>5.3285808955529665E-4</v>
      </c>
    </row>
    <row r="354" spans="1:20" x14ac:dyDescent="0.25">
      <c r="A354" s="5">
        <v>44239</v>
      </c>
      <c r="B354">
        <v>43833</v>
      </c>
      <c r="C354">
        <v>52880</v>
      </c>
      <c r="D354">
        <v>43630.75</v>
      </c>
      <c r="E354">
        <v>47007.1</v>
      </c>
      <c r="F354">
        <v>4047.6344709999998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-0.26991918263643028</v>
      </c>
      <c r="Q354">
        <f t="shared" si="970"/>
        <v>-1092.5341880233598</v>
      </c>
      <c r="R354">
        <f t="shared" si="971"/>
        <v>52504.418240023042</v>
      </c>
      <c r="S354">
        <f t="shared" si="972"/>
        <v>0.52504418240023043</v>
      </c>
      <c r="T354">
        <f t="shared" si="973"/>
        <v>5.2504418240023045E-4</v>
      </c>
    </row>
    <row r="355" spans="1:20" x14ac:dyDescent="0.25">
      <c r="A355" s="5">
        <v>44238</v>
      </c>
      <c r="B355">
        <v>36387.4</v>
      </c>
      <c r="C355">
        <v>45900</v>
      </c>
      <c r="D355">
        <v>34915</v>
      </c>
      <c r="E355">
        <v>43831.19</v>
      </c>
      <c r="F355">
        <v>4968.6465630000002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0.62333909877105187</v>
      </c>
      <c r="Q355">
        <f t="shared" si="970"/>
        <v>3097.1516706923044</v>
      </c>
      <c r="R355">
        <f t="shared" si="971"/>
        <v>53596.952428046403</v>
      </c>
      <c r="S355">
        <f t="shared" si="972"/>
        <v>0.53596952428046407</v>
      </c>
      <c r="T355">
        <f t="shared" si="973"/>
        <v>5.3596952428046406E-4</v>
      </c>
    </row>
    <row r="356" spans="1:20" x14ac:dyDescent="0.25">
      <c r="A356" s="5">
        <v>44237</v>
      </c>
      <c r="B356">
        <v>35216.339999999997</v>
      </c>
      <c r="C356">
        <v>39200</v>
      </c>
      <c r="D356">
        <v>33000.33</v>
      </c>
      <c r="E356">
        <v>36353.03</v>
      </c>
      <c r="F356">
        <v>3838.10698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8.1573696664499248E-2</v>
      </c>
      <c r="Q356">
        <f t="shared" si="970"/>
        <v>313.0885745524173</v>
      </c>
      <c r="R356">
        <f t="shared" si="971"/>
        <v>50499.800757354096</v>
      </c>
      <c r="S356">
        <f t="shared" si="972"/>
        <v>0.50499800757354096</v>
      </c>
      <c r="T356">
        <f t="shared" si="973"/>
        <v>5.0499800757354096E-4</v>
      </c>
    </row>
    <row r="357" spans="1:20" x14ac:dyDescent="0.25">
      <c r="A357" s="5">
        <v>44236</v>
      </c>
      <c r="B357">
        <v>32526.59</v>
      </c>
      <c r="C357">
        <v>35706</v>
      </c>
      <c r="D357">
        <v>31500.01</v>
      </c>
      <c r="E357">
        <v>35214.33</v>
      </c>
      <c r="F357">
        <v>2257.1250420000001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0.76620486496639406</v>
      </c>
      <c r="Q357">
        <f t="shared" si="970"/>
        <v>1729.4201880178766</v>
      </c>
      <c r="R357">
        <f t="shared" si="971"/>
        <v>50186.712182801683</v>
      </c>
      <c r="S357">
        <f t="shared" si="972"/>
        <v>0.50186712182801685</v>
      </c>
      <c r="T357">
        <f t="shared" si="973"/>
        <v>5.0186712182801688E-4</v>
      </c>
    </row>
    <row r="358" spans="1:20" x14ac:dyDescent="0.25">
      <c r="A358" s="5">
        <v>44235</v>
      </c>
      <c r="B358">
        <v>30866.61</v>
      </c>
      <c r="C358">
        <v>33729.65</v>
      </c>
      <c r="D358">
        <v>30243.85</v>
      </c>
      <c r="E358">
        <v>32500</v>
      </c>
      <c r="F358">
        <v>1400.1269500000001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0.29448046359515723</v>
      </c>
      <c r="Q358">
        <f t="shared" si="970"/>
        <v>412.31003332807353</v>
      </c>
      <c r="R358">
        <f t="shared" si="971"/>
        <v>48457.291994783809</v>
      </c>
      <c r="S358">
        <f t="shared" si="972"/>
        <v>0.48457291994783808</v>
      </c>
      <c r="T358">
        <f t="shared" si="973"/>
        <v>4.8457291994783808E-4</v>
      </c>
    </row>
    <row r="359" spans="1:20" x14ac:dyDescent="0.25">
      <c r="A359" s="5">
        <v>44234</v>
      </c>
      <c r="B359">
        <v>31561.22</v>
      </c>
      <c r="C359">
        <v>31928.77</v>
      </c>
      <c r="D359">
        <v>29151.03</v>
      </c>
      <c r="E359">
        <v>30866.54</v>
      </c>
      <c r="F359">
        <v>800.55007899999998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0.23518399850238039</v>
      </c>
      <c r="Q359">
        <f t="shared" si="970"/>
        <v>188.2765685806165</v>
      </c>
      <c r="R359">
        <f t="shared" si="971"/>
        <v>48044.981961455735</v>
      </c>
      <c r="S359">
        <f t="shared" si="972"/>
        <v>0.48044981961455735</v>
      </c>
      <c r="T359">
        <f t="shared" si="973"/>
        <v>4.8044981961455736E-4</v>
      </c>
    </row>
    <row r="360" spans="1:20" x14ac:dyDescent="0.25">
      <c r="A360" s="5">
        <v>44233</v>
      </c>
      <c r="B360">
        <v>32451.24</v>
      </c>
      <c r="C360">
        <v>33259.269999999997</v>
      </c>
      <c r="D360">
        <v>30625.77</v>
      </c>
      <c r="E360">
        <v>31542.61</v>
      </c>
      <c r="F360">
        <v>1188.8690710000001</v>
      </c>
      <c r="G360">
        <v>0</v>
      </c>
      <c r="L360" t="s">
        <v>8</v>
      </c>
      <c r="M360" t="s">
        <v>7</v>
      </c>
      <c r="N360" t="s">
        <v>7</v>
      </c>
      <c r="P360">
        <f t="shared" si="969"/>
        <v>-0.30370989177900026</v>
      </c>
      <c r="Q360">
        <f t="shared" si="970"/>
        <v>-361.07129689281061</v>
      </c>
      <c r="R360">
        <f t="shared" si="971"/>
        <v>47856.705392875119</v>
      </c>
      <c r="S360">
        <f t="shared" si="972"/>
        <v>0.47856705392875121</v>
      </c>
      <c r="T360">
        <f t="shared" si="973"/>
        <v>4.7856705392875122E-4</v>
      </c>
    </row>
    <row r="361" spans="1:20" x14ac:dyDescent="0.25">
      <c r="A361" s="5">
        <v>44232</v>
      </c>
      <c r="B361">
        <v>31053.87</v>
      </c>
      <c r="C361">
        <v>34000</v>
      </c>
      <c r="D361">
        <v>30400</v>
      </c>
      <c r="E361">
        <v>32447.8</v>
      </c>
      <c r="F361">
        <v>2249.505161</v>
      </c>
      <c r="G361">
        <v>0</v>
      </c>
      <c r="L361" t="s">
        <v>7</v>
      </c>
      <c r="M361" t="s">
        <v>7</v>
      </c>
      <c r="N361" t="s">
        <v>7</v>
      </c>
      <c r="P361">
        <f t="shared" si="969"/>
        <v>0.13766666666666627</v>
      </c>
      <c r="Q361">
        <f t="shared" si="970"/>
        <v>309.68187716433243</v>
      </c>
      <c r="R361">
        <f t="shared" si="971"/>
        <v>48217.776689767932</v>
      </c>
      <c r="S361">
        <f t="shared" si="972"/>
        <v>0.48217776689767933</v>
      </c>
      <c r="T361">
        <f t="shared" si="973"/>
        <v>4.8217776689767934E-4</v>
      </c>
    </row>
    <row r="362" spans="1:20" x14ac:dyDescent="0.25">
      <c r="A362" s="5">
        <v>44231</v>
      </c>
      <c r="B362">
        <v>34089.300000000003</v>
      </c>
      <c r="C362">
        <v>34985.72</v>
      </c>
      <c r="D362">
        <v>29574.81</v>
      </c>
      <c r="E362">
        <v>31098.22</v>
      </c>
      <c r="F362">
        <v>2504.5340580000002</v>
      </c>
      <c r="G362">
        <v>0</v>
      </c>
      <c r="L362" t="s">
        <v>8</v>
      </c>
      <c r="M362" t="s">
        <v>7</v>
      </c>
      <c r="N362" t="s">
        <v>7</v>
      </c>
      <c r="P362">
        <f t="shared" si="969"/>
        <v>-0.43691172094897163</v>
      </c>
      <c r="Q362">
        <f t="shared" si="970"/>
        <v>-1094.2602854560917</v>
      </c>
      <c r="R362">
        <f t="shared" si="971"/>
        <v>47908.094812603602</v>
      </c>
      <c r="S362">
        <f t="shared" si="972"/>
        <v>0.47908094812603602</v>
      </c>
      <c r="T362">
        <f t="shared" si="973"/>
        <v>4.7908094812603602E-4</v>
      </c>
    </row>
    <row r="363" spans="1:20" x14ac:dyDescent="0.25">
      <c r="A363" s="5">
        <v>44230</v>
      </c>
      <c r="B363">
        <v>31697.58</v>
      </c>
      <c r="C363">
        <v>34678.57</v>
      </c>
      <c r="D363">
        <v>31697.52</v>
      </c>
      <c r="E363">
        <v>34095.5</v>
      </c>
      <c r="F363">
        <v>1740.3970690000001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0.60881568574831024</v>
      </c>
      <c r="Q363">
        <f t="shared" si="970"/>
        <v>1059.5810350375843</v>
      </c>
      <c r="R363">
        <f t="shared" si="971"/>
        <v>49002.355098059692</v>
      </c>
      <c r="S363">
        <f t="shared" si="972"/>
        <v>0.49002355098059691</v>
      </c>
      <c r="T363">
        <f t="shared" si="973"/>
        <v>4.9002355098059689E-4</v>
      </c>
    </row>
    <row r="364" spans="1:20" x14ac:dyDescent="0.25">
      <c r="A364" s="5">
        <v>44229</v>
      </c>
      <c r="B364">
        <v>31139.81</v>
      </c>
      <c r="C364">
        <v>32700</v>
      </c>
      <c r="D364">
        <v>30382.6</v>
      </c>
      <c r="E364">
        <v>31690.62</v>
      </c>
      <c r="F364">
        <v>1161.4252690000001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0.12886855959264659</v>
      </c>
      <c r="Q364">
        <f t="shared" si="970"/>
        <v>149.6712014905321</v>
      </c>
      <c r="R364">
        <f t="shared" si="971"/>
        <v>47942.774063022109</v>
      </c>
      <c r="S364">
        <f t="shared" si="972"/>
        <v>0.47942774063022109</v>
      </c>
      <c r="T364">
        <f t="shared" si="973"/>
        <v>4.794277406302211E-4</v>
      </c>
    </row>
    <row r="365" spans="1:20" x14ac:dyDescent="0.25">
      <c r="A365" s="5">
        <v>44228</v>
      </c>
      <c r="B365">
        <v>30158.47</v>
      </c>
      <c r="C365">
        <v>31167.16</v>
      </c>
      <c r="D365">
        <v>29247.43</v>
      </c>
      <c r="E365">
        <v>31166.45</v>
      </c>
      <c r="F365">
        <v>850.121084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0.99926031264813375</v>
      </c>
      <c r="Q365">
        <f t="shared" si="970"/>
        <v>849.49226018661034</v>
      </c>
      <c r="R365">
        <f t="shared" si="971"/>
        <v>47793.102861531574</v>
      </c>
      <c r="S365">
        <f t="shared" si="972"/>
        <v>0.47793102861531572</v>
      </c>
      <c r="T365">
        <f t="shared" si="973"/>
        <v>4.779310286153157E-4</v>
      </c>
    </row>
    <row r="366" spans="1:20" x14ac:dyDescent="0.25">
      <c r="A366" s="5">
        <v>44227</v>
      </c>
      <c r="B366">
        <v>31200.38</v>
      </c>
      <c r="C366">
        <v>33500</v>
      </c>
      <c r="D366">
        <v>29500</v>
      </c>
      <c r="E366">
        <v>30114.54</v>
      </c>
      <c r="F366">
        <v>1460.7998520000001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-0.69272999999999951</v>
      </c>
      <c r="Q366">
        <f t="shared" si="970"/>
        <v>-1011.9398814759594</v>
      </c>
      <c r="R366">
        <f t="shared" si="971"/>
        <v>46943.610601344961</v>
      </c>
      <c r="S366">
        <f t="shared" si="972"/>
        <v>0.46943610601344959</v>
      </c>
      <c r="T366">
        <f t="shared" si="973"/>
        <v>4.6943610601344959E-4</v>
      </c>
    </row>
    <row r="367" spans="1:20" x14ac:dyDescent="0.25">
      <c r="A367" s="5">
        <v>44226</v>
      </c>
      <c r="B367">
        <v>29924.83</v>
      </c>
      <c r="C367">
        <v>32342.77</v>
      </c>
      <c r="D367">
        <v>28500</v>
      </c>
      <c r="E367">
        <v>31150.11</v>
      </c>
      <c r="F367">
        <v>1457.515292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0.37927068234632844</v>
      </c>
      <c r="Q367">
        <f t="shared" si="970"/>
        <v>552.79281932704816</v>
      </c>
      <c r="R367">
        <f t="shared" si="971"/>
        <v>47955.550482820923</v>
      </c>
      <c r="S367">
        <f t="shared" si="972"/>
        <v>0.47955550482820924</v>
      </c>
      <c r="T367">
        <f t="shared" si="973"/>
        <v>4.7955550482820924E-4</v>
      </c>
    </row>
    <row r="368" spans="1:20" x14ac:dyDescent="0.25">
      <c r="A368" s="5">
        <v>44225</v>
      </c>
      <c r="B368">
        <v>29662.560000000001</v>
      </c>
      <c r="C368">
        <v>31876.87</v>
      </c>
      <c r="D368">
        <v>28496.37</v>
      </c>
      <c r="E368">
        <v>29974.1</v>
      </c>
      <c r="F368">
        <v>1490.686076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-0.12573287975151631</v>
      </c>
      <c r="Q368">
        <f t="shared" si="970"/>
        <v>-187.42825314096771</v>
      </c>
      <c r="R368">
        <f t="shared" si="971"/>
        <v>47402.757663493874</v>
      </c>
      <c r="S368">
        <f t="shared" si="972"/>
        <v>0.47402757663493872</v>
      </c>
      <c r="T368">
        <f t="shared" si="973"/>
        <v>4.7402757663493871E-4</v>
      </c>
    </row>
    <row r="369" spans="1:20" x14ac:dyDescent="0.25">
      <c r="A369" s="5">
        <v>44224</v>
      </c>
      <c r="B369">
        <v>27633.83</v>
      </c>
      <c r="C369">
        <v>30732.09</v>
      </c>
      <c r="D369">
        <v>27300</v>
      </c>
      <c r="E369">
        <v>29664.06</v>
      </c>
      <c r="F369">
        <v>982.73742100000004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0.37762121622684791</v>
      </c>
      <c r="Q369">
        <f t="shared" si="970"/>
        <v>371.1025001496559</v>
      </c>
      <c r="R369">
        <f t="shared" si="971"/>
        <v>47590.185916634844</v>
      </c>
      <c r="S369">
        <f t="shared" si="972"/>
        <v>0.47590185916634842</v>
      </c>
      <c r="T369">
        <f t="shared" si="973"/>
        <v>4.759018591663484E-4</v>
      </c>
    </row>
    <row r="370" spans="1:20" x14ac:dyDescent="0.25">
      <c r="A370" s="5">
        <v>44223</v>
      </c>
      <c r="B370">
        <v>30281.5</v>
      </c>
      <c r="C370">
        <v>30346.32</v>
      </c>
      <c r="D370">
        <v>26960.400000000001</v>
      </c>
      <c r="E370">
        <v>27617.41</v>
      </c>
      <c r="F370">
        <v>1345.4923699999999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-0.611916406766847</v>
      </c>
      <c r="Q370">
        <f t="shared" si="970"/>
        <v>-823.32885638260893</v>
      </c>
      <c r="R370">
        <f t="shared" si="971"/>
        <v>47219.083416485191</v>
      </c>
      <c r="S370">
        <f t="shared" si="972"/>
        <v>0.47219083416485191</v>
      </c>
      <c r="T370">
        <f t="shared" si="973"/>
        <v>4.7219083416485193E-4</v>
      </c>
    </row>
    <row r="371" spans="1:20" x14ac:dyDescent="0.25">
      <c r="A371" s="5">
        <v>44222</v>
      </c>
      <c r="B371">
        <v>29325.31</v>
      </c>
      <c r="C371">
        <v>30679.98</v>
      </c>
      <c r="D371">
        <v>28426</v>
      </c>
      <c r="E371">
        <v>30298.17</v>
      </c>
      <c r="F371">
        <v>1455.322461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0.66121261058216896</v>
      </c>
      <c r="Q371">
        <f t="shared" si="970"/>
        <v>962.27756367667678</v>
      </c>
      <c r="R371">
        <f t="shared" si="971"/>
        <v>48042.412272867798</v>
      </c>
      <c r="S371">
        <f t="shared" si="972"/>
        <v>0.48042412272867796</v>
      </c>
      <c r="T371">
        <f t="shared" si="973"/>
        <v>4.8042412272867794E-4</v>
      </c>
    </row>
    <row r="372" spans="1:20" x14ac:dyDescent="0.25">
      <c r="A372" s="5">
        <v>44221</v>
      </c>
      <c r="B372">
        <v>32195.81</v>
      </c>
      <c r="C372">
        <v>33308.370000000003</v>
      </c>
      <c r="D372">
        <v>29243.85</v>
      </c>
      <c r="E372">
        <v>29311.96</v>
      </c>
      <c r="F372">
        <v>1446.7662009999999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-0.96648558747404345</v>
      </c>
      <c r="Q372">
        <f t="shared" si="970"/>
        <v>-1398.278681711075</v>
      </c>
      <c r="R372">
        <f t="shared" si="971"/>
        <v>47080.134709191123</v>
      </c>
      <c r="S372">
        <f t="shared" si="972"/>
        <v>0.47080134709191124</v>
      </c>
      <c r="T372">
        <f t="shared" si="973"/>
        <v>4.7080134709191122E-4</v>
      </c>
    </row>
    <row r="373" spans="1:20" x14ac:dyDescent="0.25">
      <c r="A373" s="5">
        <v>44220</v>
      </c>
      <c r="B373">
        <v>30575.83</v>
      </c>
      <c r="C373">
        <v>33000</v>
      </c>
      <c r="D373">
        <v>30233.13</v>
      </c>
      <c r="E373">
        <v>32200.52</v>
      </c>
      <c r="F373">
        <v>1308.8490690000001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0.42210512239461928</v>
      </c>
      <c r="Q373">
        <f t="shared" si="970"/>
        <v>552.47189646632853</v>
      </c>
      <c r="R373">
        <f t="shared" si="971"/>
        <v>48478.413390902198</v>
      </c>
      <c r="S373">
        <f t="shared" si="972"/>
        <v>0.48478413390902197</v>
      </c>
      <c r="T373">
        <f t="shared" si="973"/>
        <v>4.8478413390902199E-4</v>
      </c>
    </row>
    <row r="374" spans="1:20" x14ac:dyDescent="0.25">
      <c r="A374" s="5">
        <v>44219</v>
      </c>
      <c r="B374">
        <v>30783.75</v>
      </c>
      <c r="C374">
        <v>31619.21</v>
      </c>
      <c r="D374">
        <v>29653</v>
      </c>
      <c r="E374">
        <v>30560.03</v>
      </c>
      <c r="F374">
        <v>1318.76667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-7.7382375229503211E-2</v>
      </c>
      <c r="Q374">
        <f t="shared" si="970"/>
        <v>-102.04929729810243</v>
      </c>
      <c r="R374">
        <f t="shared" si="971"/>
        <v>47925.941494435872</v>
      </c>
      <c r="S374">
        <f t="shared" si="972"/>
        <v>0.4792594149443587</v>
      </c>
      <c r="T374">
        <f t="shared" si="973"/>
        <v>4.7925941494435871E-4</v>
      </c>
    </row>
    <row r="375" spans="1:20" x14ac:dyDescent="0.25">
      <c r="A375" s="5">
        <v>44218</v>
      </c>
      <c r="B375">
        <v>27902.25</v>
      </c>
      <c r="C375">
        <v>32147.32</v>
      </c>
      <c r="D375">
        <v>26013</v>
      </c>
      <c r="E375">
        <v>30780</v>
      </c>
      <c r="F375">
        <v>2032.0427010000001</v>
      </c>
      <c r="G375">
        <v>0</v>
      </c>
      <c r="L375" t="s">
        <v>7</v>
      </c>
      <c r="M375" t="s">
        <v>8</v>
      </c>
      <c r="N375" t="s">
        <v>7</v>
      </c>
      <c r="P375">
        <f t="shared" si="969"/>
        <v>0.55420649721566539</v>
      </c>
      <c r="Q375">
        <f t="shared" si="970"/>
        <v>1126.1712675138697</v>
      </c>
      <c r="R375">
        <f t="shared" si="971"/>
        <v>48027.990791733973</v>
      </c>
      <c r="S375">
        <f t="shared" si="972"/>
        <v>0.48027990791733971</v>
      </c>
      <c r="T375">
        <f t="shared" si="973"/>
        <v>4.8027990791733969E-4</v>
      </c>
    </row>
    <row r="376" spans="1:20" x14ac:dyDescent="0.25">
      <c r="A376" s="5">
        <v>44217</v>
      </c>
      <c r="B376">
        <v>34002.519999999997</v>
      </c>
      <c r="C376">
        <v>34239.75</v>
      </c>
      <c r="D376">
        <v>26378.42</v>
      </c>
      <c r="E376">
        <v>27938.25</v>
      </c>
      <c r="F376">
        <v>2296.2989499999999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-0.60316384123297162</v>
      </c>
      <c r="Q376">
        <f t="shared" si="970"/>
        <v>-1385.0444953012393</v>
      </c>
      <c r="R376">
        <f t="shared" si="971"/>
        <v>46901.819524220104</v>
      </c>
      <c r="S376">
        <f t="shared" si="972"/>
        <v>0.46901819524220106</v>
      </c>
      <c r="T376">
        <f t="shared" si="973"/>
        <v>4.6901819524220107E-4</v>
      </c>
    </row>
    <row r="377" spans="1:20" x14ac:dyDescent="0.25">
      <c r="A377" s="5">
        <v>44216</v>
      </c>
      <c r="B377">
        <v>34375.11</v>
      </c>
      <c r="C377">
        <v>35485.410000000003</v>
      </c>
      <c r="D377">
        <v>31211.599999999999</v>
      </c>
      <c r="E377">
        <v>34040.18</v>
      </c>
      <c r="F377">
        <v>1918.9422999999999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0.32368074387958212</v>
      </c>
      <c r="Q377">
        <f t="shared" si="970"/>
        <v>621.1246711259962</v>
      </c>
      <c r="R377">
        <f t="shared" si="971"/>
        <v>48286.864019521345</v>
      </c>
      <c r="S377">
        <f t="shared" si="972"/>
        <v>0.48286864019521347</v>
      </c>
      <c r="T377">
        <f t="shared" si="973"/>
        <v>4.8286864019521348E-4</v>
      </c>
    </row>
    <row r="378" spans="1:20" x14ac:dyDescent="0.25">
      <c r="A378" s="5">
        <v>44215</v>
      </c>
      <c r="B378">
        <v>37983.79</v>
      </c>
      <c r="C378">
        <v>38532.080000000002</v>
      </c>
      <c r="D378">
        <v>33770.85</v>
      </c>
      <c r="E378">
        <v>34365.15</v>
      </c>
      <c r="F378">
        <v>2179.7764769999999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-0.7503586258172773</v>
      </c>
      <c r="Q378">
        <f t="shared" si="970"/>
        <v>-1635.614081870546</v>
      </c>
      <c r="R378">
        <f t="shared" si="971"/>
        <v>47665.739348395349</v>
      </c>
      <c r="S378">
        <f t="shared" si="972"/>
        <v>0.47665739348395347</v>
      </c>
      <c r="T378">
        <f t="shared" si="973"/>
        <v>4.766573934839535E-4</v>
      </c>
    </row>
    <row r="379" spans="1:20" x14ac:dyDescent="0.25">
      <c r="A379" s="5">
        <v>44214</v>
      </c>
      <c r="B379">
        <v>34537.910000000003</v>
      </c>
      <c r="C379">
        <v>40333.870000000003</v>
      </c>
      <c r="D379">
        <v>34524.92</v>
      </c>
      <c r="E379">
        <v>37994.33</v>
      </c>
      <c r="F379">
        <v>3854.5132990000002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0.19450503102970446</v>
      </c>
      <c r="Q379">
        <f t="shared" si="970"/>
        <v>749.72222882640358</v>
      </c>
      <c r="R379">
        <f t="shared" si="971"/>
        <v>49301.353430265895</v>
      </c>
      <c r="S379">
        <f t="shared" si="972"/>
        <v>0.49301353430265893</v>
      </c>
      <c r="T379">
        <f t="shared" si="973"/>
        <v>4.9301353430265891E-4</v>
      </c>
    </row>
    <row r="380" spans="1:20" x14ac:dyDescent="0.25">
      <c r="A380" s="5">
        <v>44213</v>
      </c>
      <c r="B380">
        <v>33800.5</v>
      </c>
      <c r="C380">
        <v>36863.97</v>
      </c>
      <c r="D380">
        <v>32308.97</v>
      </c>
      <c r="E380">
        <v>34544.730000000003</v>
      </c>
      <c r="F380">
        <v>3120.1492870000002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-1.832711306256771E-2</v>
      </c>
      <c r="Q380">
        <f t="shared" si="970"/>
        <v>-57.183328754939033</v>
      </c>
      <c r="R380">
        <f t="shared" si="971"/>
        <v>48551.631201439493</v>
      </c>
      <c r="S380">
        <f t="shared" si="972"/>
        <v>0.48551631201439494</v>
      </c>
      <c r="T380">
        <f t="shared" si="973"/>
        <v>4.8551631201439492E-4</v>
      </c>
    </row>
    <row r="381" spans="1:20" x14ac:dyDescent="0.25">
      <c r="A381" s="5">
        <v>44212</v>
      </c>
      <c r="B381">
        <v>30189.87</v>
      </c>
      <c r="C381">
        <v>35200</v>
      </c>
      <c r="D381">
        <v>30188.23</v>
      </c>
      <c r="E381">
        <v>33823.089999999997</v>
      </c>
      <c r="F381">
        <v>3518.2375849999999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0.45052945366606872</v>
      </c>
      <c r="Q381">
        <f t="shared" si="970"/>
        <v>1585.0696570374789</v>
      </c>
      <c r="R381">
        <f t="shared" si="971"/>
        <v>48608.814530194431</v>
      </c>
      <c r="S381">
        <f t="shared" si="972"/>
        <v>0.48608814530194433</v>
      </c>
      <c r="T381">
        <f t="shared" si="973"/>
        <v>4.8608814530194433E-4</v>
      </c>
    </row>
    <row r="382" spans="1:20" x14ac:dyDescent="0.25">
      <c r="A382" s="5">
        <v>44211</v>
      </c>
      <c r="B382">
        <v>32920.080000000002</v>
      </c>
      <c r="C382">
        <v>33668.36</v>
      </c>
      <c r="D382">
        <v>28445.56</v>
      </c>
      <c r="E382">
        <v>30205.26</v>
      </c>
      <c r="F382">
        <v>2630.9301869999999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-0.32614689438615402</v>
      </c>
      <c r="Q382">
        <f t="shared" si="970"/>
        <v>-858.06970983683345</v>
      </c>
      <c r="R382">
        <f t="shared" si="971"/>
        <v>47023.744873156953</v>
      </c>
      <c r="S382">
        <f t="shared" si="972"/>
        <v>0.47023744873156953</v>
      </c>
      <c r="T382">
        <f t="shared" si="973"/>
        <v>4.7023744873156951E-4</v>
      </c>
    </row>
    <row r="383" spans="1:20" x14ac:dyDescent="0.25">
      <c r="A383" s="5">
        <v>44210</v>
      </c>
      <c r="B383">
        <v>33576.089999999997</v>
      </c>
      <c r="C383">
        <v>34260</v>
      </c>
      <c r="D383">
        <v>31180</v>
      </c>
      <c r="E383">
        <v>32924.519999999997</v>
      </c>
      <c r="F383">
        <v>2436.4531240000001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0.13280519480519273</v>
      </c>
      <c r="Q383">
        <f t="shared" si="970"/>
        <v>323.57363176654042</v>
      </c>
      <c r="R383">
        <f t="shared" si="971"/>
        <v>47881.814582993786</v>
      </c>
      <c r="S383">
        <f t="shared" si="972"/>
        <v>0.47881814582993787</v>
      </c>
      <c r="T383">
        <f t="shared" si="973"/>
        <v>4.7881814582993786E-4</v>
      </c>
    </row>
    <row r="384" spans="1:20" x14ac:dyDescent="0.25">
      <c r="A384" s="5">
        <v>44209</v>
      </c>
      <c r="B384">
        <v>29758.73</v>
      </c>
      <c r="C384">
        <v>33887.589999999997</v>
      </c>
      <c r="D384">
        <v>28208.58</v>
      </c>
      <c r="E384">
        <v>33599.65</v>
      </c>
      <c r="F384">
        <v>3511.8236809999999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0.89859500159358929</v>
      </c>
      <c r="Q384">
        <f t="shared" si="970"/>
        <v>3155.7072062245993</v>
      </c>
      <c r="R384">
        <f t="shared" si="971"/>
        <v>47558.240951227242</v>
      </c>
      <c r="S384">
        <f t="shared" si="972"/>
        <v>0.47558240951227243</v>
      </c>
      <c r="T384">
        <f t="shared" si="973"/>
        <v>4.7558240951227246E-4</v>
      </c>
    </row>
    <row r="385" spans="1:20" x14ac:dyDescent="0.25">
      <c r="A385" s="5">
        <v>44208</v>
      </c>
      <c r="B385">
        <v>30102.89</v>
      </c>
      <c r="C385">
        <v>32373</v>
      </c>
      <c r="D385">
        <v>28108</v>
      </c>
      <c r="E385">
        <v>29743.08</v>
      </c>
      <c r="F385">
        <v>3419.7649660000002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-0.23325674091441886</v>
      </c>
      <c r="Q385">
        <f t="shared" si="970"/>
        <v>-797.68323066246853</v>
      </c>
      <c r="R385">
        <f t="shared" si="971"/>
        <v>44402.533745002642</v>
      </c>
      <c r="S385">
        <f t="shared" si="972"/>
        <v>0.44402533745002642</v>
      </c>
      <c r="T385">
        <f t="shared" si="973"/>
        <v>4.4402533745002644E-4</v>
      </c>
    </row>
    <row r="386" spans="1:20" x14ac:dyDescent="0.25">
      <c r="A386" s="5">
        <v>44207</v>
      </c>
      <c r="B386">
        <v>33966.46</v>
      </c>
      <c r="C386">
        <v>34050.86</v>
      </c>
      <c r="D386">
        <v>25250</v>
      </c>
      <c r="E386">
        <v>30102.880000000001</v>
      </c>
      <c r="F386">
        <v>5926.9206670000003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0.10281949718550248</v>
      </c>
      <c r="Q386">
        <f t="shared" si="970"/>
        <v>609.40300283930299</v>
      </c>
      <c r="R386">
        <f t="shared" si="971"/>
        <v>45200.216975665113</v>
      </c>
      <c r="S386">
        <f t="shared" si="972"/>
        <v>0.45200216975665114</v>
      </c>
      <c r="T386">
        <f t="shared" si="973"/>
        <v>4.5200216975665113E-4</v>
      </c>
    </row>
    <row r="387" spans="1:20" x14ac:dyDescent="0.25">
      <c r="A387" s="5">
        <v>44206</v>
      </c>
      <c r="B387">
        <v>35735.61</v>
      </c>
      <c r="C387">
        <v>38228.53</v>
      </c>
      <c r="D387">
        <v>31053.06</v>
      </c>
      <c r="E387">
        <v>33982.730000000003</v>
      </c>
      <c r="F387">
        <v>3454.9997309999999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-0.18342073759628208</v>
      </c>
      <c r="Q387">
        <f t="shared" si="970"/>
        <v>-633.71859905497615</v>
      </c>
      <c r="R387">
        <f t="shared" si="971"/>
        <v>44590.81397282581</v>
      </c>
      <c r="S387">
        <f t="shared" si="972"/>
        <v>0.4459081397282581</v>
      </c>
      <c r="T387">
        <f t="shared" si="973"/>
        <v>4.4590813972825811E-4</v>
      </c>
    </row>
    <row r="388" spans="1:20" x14ac:dyDescent="0.25">
      <c r="A388" s="5">
        <v>44205</v>
      </c>
      <c r="B388">
        <v>34908.6</v>
      </c>
      <c r="C388">
        <v>39939.230000000003</v>
      </c>
      <c r="D388">
        <v>33504.959999999999</v>
      </c>
      <c r="E388">
        <v>35735.599999999999</v>
      </c>
      <c r="F388">
        <v>4870.7984729999998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-0.30663773823603985</v>
      </c>
      <c r="Q388">
        <f t="shared" si="970"/>
        <v>-1493.5706271642766</v>
      </c>
      <c r="R388">
        <f t="shared" si="971"/>
        <v>45224.532571880787</v>
      </c>
      <c r="S388">
        <f t="shared" si="972"/>
        <v>0.45224532571880788</v>
      </c>
      <c r="T388">
        <f t="shared" si="973"/>
        <v>4.5224532571880787E-4</v>
      </c>
    </row>
    <row r="389" spans="1:20" x14ac:dyDescent="0.25">
      <c r="A389" s="5">
        <v>44204</v>
      </c>
      <c r="B389">
        <v>33077.5</v>
      </c>
      <c r="C389">
        <v>38557.1</v>
      </c>
      <c r="D389">
        <v>24513</v>
      </c>
      <c r="E389">
        <v>34908.589999999997</v>
      </c>
      <c r="F389">
        <v>7858.9530340000001</v>
      </c>
      <c r="G389">
        <v>0</v>
      </c>
      <c r="L389" t="s">
        <v>8</v>
      </c>
      <c r="M389" t="s">
        <v>8</v>
      </c>
      <c r="N389" t="s">
        <v>7</v>
      </c>
      <c r="P389">
        <f t="shared" si="969"/>
        <v>0.48042095969125792</v>
      </c>
      <c r="Q389">
        <f t="shared" si="970"/>
        <v>3775.6057587628034</v>
      </c>
      <c r="R389">
        <f t="shared" si="971"/>
        <v>46718.103199045065</v>
      </c>
      <c r="S389">
        <f t="shared" si="972"/>
        <v>0.46718103199045063</v>
      </c>
      <c r="T389">
        <f t="shared" si="973"/>
        <v>4.6718103199045065E-4</v>
      </c>
    </row>
    <row r="390" spans="1:20" x14ac:dyDescent="0.25">
      <c r="A390" s="5">
        <v>44203</v>
      </c>
      <c r="B390">
        <v>24798.1</v>
      </c>
      <c r="C390">
        <v>37185</v>
      </c>
      <c r="D390">
        <v>24086.31</v>
      </c>
      <c r="E390">
        <v>33057.949999999997</v>
      </c>
      <c r="F390">
        <v>8857.5976410000003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0.36985301583593422</v>
      </c>
      <c r="Q390">
        <f t="shared" ref="Q390:Q453" si="975">F390*P390</f>
        <v>3276.0092005851066</v>
      </c>
      <c r="R390">
        <f t="shared" ref="R390:R453" si="976">R391+Q390</f>
        <v>42942.497440282263</v>
      </c>
      <c r="S390">
        <f t="shared" ref="S390:S453" si="977">R390/100000</f>
        <v>0.42942497440282262</v>
      </c>
      <c r="T390">
        <f t="shared" ref="T390:T453" si="978">S390/1000</f>
        <v>4.2942497440282262E-4</v>
      </c>
    </row>
    <row r="391" spans="1:20" x14ac:dyDescent="0.25">
      <c r="A391" s="5">
        <v>44202</v>
      </c>
      <c r="B391">
        <v>23725.97</v>
      </c>
      <c r="C391">
        <v>25550</v>
      </c>
      <c r="D391">
        <v>22565.97</v>
      </c>
      <c r="E391">
        <v>24742.87</v>
      </c>
      <c r="F391">
        <v>1951.422278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0.4590335888044012</v>
      </c>
      <c r="Q391">
        <f t="shared" si="975"/>
        <v>895.76837154319992</v>
      </c>
      <c r="R391">
        <f t="shared" si="976"/>
        <v>39666.488239697159</v>
      </c>
      <c r="S391">
        <f t="shared" si="977"/>
        <v>0.39666488239697156</v>
      </c>
      <c r="T391">
        <f t="shared" si="978"/>
        <v>3.9666488239697154E-4</v>
      </c>
    </row>
    <row r="392" spans="1:20" x14ac:dyDescent="0.25">
      <c r="A392" s="5">
        <v>44201</v>
      </c>
      <c r="B392">
        <v>23395.09</v>
      </c>
      <c r="C392">
        <v>24956.400000000001</v>
      </c>
      <c r="D392">
        <v>22050</v>
      </c>
      <c r="E392">
        <v>23731.87</v>
      </c>
      <c r="F392">
        <v>2151.3763399999998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0.15735617946600478</v>
      </c>
      <c r="Q392">
        <f t="shared" si="975"/>
        <v>338.5323614559565</v>
      </c>
      <c r="R392">
        <f t="shared" si="976"/>
        <v>38770.719868153959</v>
      </c>
      <c r="S392">
        <f t="shared" si="977"/>
        <v>0.38770719868153958</v>
      </c>
      <c r="T392">
        <f t="shared" si="978"/>
        <v>3.8770719868153958E-4</v>
      </c>
    </row>
    <row r="393" spans="1:20" x14ac:dyDescent="0.25">
      <c r="A393" s="5">
        <v>44200</v>
      </c>
      <c r="B393">
        <v>23883.05</v>
      </c>
      <c r="C393">
        <v>26750</v>
      </c>
      <c r="D393">
        <v>22000</v>
      </c>
      <c r="E393">
        <v>23387.84</v>
      </c>
      <c r="F393">
        <v>3555.013148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-0.41564631578947364</v>
      </c>
      <c r="Q393">
        <f t="shared" si="975"/>
        <v>-1477.6281175493389</v>
      </c>
      <c r="R393">
        <f t="shared" si="976"/>
        <v>38432.187506698006</v>
      </c>
      <c r="S393">
        <f t="shared" si="977"/>
        <v>0.38432187506698007</v>
      </c>
      <c r="T393">
        <f t="shared" si="978"/>
        <v>3.8432187506698005E-4</v>
      </c>
    </row>
    <row r="394" spans="1:20" x14ac:dyDescent="0.25">
      <c r="A394" s="5">
        <v>44199</v>
      </c>
      <c r="B394">
        <v>21489.56</v>
      </c>
      <c r="C394">
        <v>24989</v>
      </c>
      <c r="D394">
        <v>20382.88</v>
      </c>
      <c r="E394">
        <v>23879.16</v>
      </c>
      <c r="F394">
        <v>3595.0023700000002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0.51810200342153467</v>
      </c>
      <c r="Q394">
        <f t="shared" si="975"/>
        <v>1862.5779302021654</v>
      </c>
      <c r="R394">
        <f t="shared" si="976"/>
        <v>39909.815624247349</v>
      </c>
      <c r="S394">
        <f t="shared" si="977"/>
        <v>0.39909815624247347</v>
      </c>
      <c r="T394">
        <f t="shared" si="978"/>
        <v>3.9909815624247346E-4</v>
      </c>
    </row>
    <row r="395" spans="1:20" x14ac:dyDescent="0.25">
      <c r="A395" s="5">
        <v>44198</v>
      </c>
      <c r="B395">
        <v>21870.7</v>
      </c>
      <c r="C395">
        <v>22339</v>
      </c>
      <c r="D395">
        <v>21261.77</v>
      </c>
      <c r="E395">
        <v>21477.83</v>
      </c>
      <c r="F395">
        <v>1340.2940590000001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-0.598860039174547</v>
      </c>
      <c r="Q395">
        <f t="shared" si="975"/>
        <v>-802.64855267815267</v>
      </c>
      <c r="R395">
        <f t="shared" si="976"/>
        <v>38047.237694045187</v>
      </c>
      <c r="S395">
        <f t="shared" si="977"/>
        <v>0.38047237694045188</v>
      </c>
      <c r="T395">
        <f t="shared" si="978"/>
        <v>3.8047237694045186E-4</v>
      </c>
    </row>
    <row r="396" spans="1:20" x14ac:dyDescent="0.25">
      <c r="A396" s="5">
        <v>44197</v>
      </c>
      <c r="B396">
        <v>22707.02</v>
      </c>
      <c r="C396">
        <v>23450</v>
      </c>
      <c r="D396">
        <v>21519.26</v>
      </c>
      <c r="E396">
        <v>21845.15</v>
      </c>
      <c r="F396">
        <v>1057.8482919999999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-0.66241959041610698</v>
      </c>
      <c r="Q396">
        <f t="shared" si="975"/>
        <v>-700.7394323090183</v>
      </c>
      <c r="R396">
        <f t="shared" si="976"/>
        <v>38849.886246723341</v>
      </c>
      <c r="S396">
        <f t="shared" si="977"/>
        <v>0.38849886246723342</v>
      </c>
      <c r="T396">
        <f t="shared" si="978"/>
        <v>3.8849886246723341E-4</v>
      </c>
    </row>
    <row r="397" spans="1:20" x14ac:dyDescent="0.25">
      <c r="A397" s="5">
        <v>44196</v>
      </c>
      <c r="B397">
        <v>21786.5</v>
      </c>
      <c r="C397">
        <v>23512.04</v>
      </c>
      <c r="D397">
        <v>21110</v>
      </c>
      <c r="E397">
        <v>22687.96</v>
      </c>
      <c r="F397">
        <v>1497.7783870000001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0.31384989425654741</v>
      </c>
      <c r="Q397">
        <f t="shared" si="975"/>
        <v>470.07758837969214</v>
      </c>
      <c r="R397">
        <f t="shared" si="976"/>
        <v>39550.62567903236</v>
      </c>
      <c r="S397">
        <f t="shared" si="977"/>
        <v>0.39550625679032358</v>
      </c>
      <c r="T397">
        <f t="shared" si="978"/>
        <v>3.955062567903236E-4</v>
      </c>
    </row>
    <row r="398" spans="1:20" x14ac:dyDescent="0.25">
      <c r="A398" s="5">
        <v>44195</v>
      </c>
      <c r="B398">
        <v>22183.1</v>
      </c>
      <c r="C398">
        <v>22750</v>
      </c>
      <c r="D398">
        <v>21393.14</v>
      </c>
      <c r="E398">
        <v>21765.85</v>
      </c>
      <c r="F398">
        <v>1047.842995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-0.45062865734121582</v>
      </c>
      <c r="Q398">
        <f t="shared" si="975"/>
        <v>-472.1880819412483</v>
      </c>
      <c r="R398">
        <f t="shared" si="976"/>
        <v>39080.548090652672</v>
      </c>
      <c r="S398">
        <f t="shared" si="977"/>
        <v>0.39080548090652673</v>
      </c>
      <c r="T398">
        <f t="shared" si="978"/>
        <v>3.9080548090652671E-4</v>
      </c>
    </row>
    <row r="399" spans="1:20" x14ac:dyDescent="0.25">
      <c r="A399" s="5">
        <v>44194</v>
      </c>
      <c r="B399">
        <v>22820.47</v>
      </c>
      <c r="C399">
        <v>23178.5</v>
      </c>
      <c r="D399">
        <v>21001</v>
      </c>
      <c r="E399">
        <v>22155.55</v>
      </c>
      <c r="F399">
        <v>1374.8873880000001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6.0436280137772004E-2</v>
      </c>
      <c r="Q399">
        <f t="shared" si="975"/>
        <v>83.093079339057638</v>
      </c>
      <c r="R399">
        <f t="shared" si="976"/>
        <v>39552.736172593919</v>
      </c>
      <c r="S399">
        <f t="shared" si="977"/>
        <v>0.39552736172593916</v>
      </c>
      <c r="T399">
        <f t="shared" si="978"/>
        <v>3.9552736172593914E-4</v>
      </c>
    </row>
    <row r="400" spans="1:20" x14ac:dyDescent="0.25">
      <c r="A400" s="5">
        <v>44193</v>
      </c>
      <c r="B400">
        <v>22785.06</v>
      </c>
      <c r="C400">
        <v>24469.99</v>
      </c>
      <c r="D400">
        <v>22526.76</v>
      </c>
      <c r="E400">
        <v>22796.58</v>
      </c>
      <c r="F400">
        <v>1671.337362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-0.72229741204077447</v>
      </c>
      <c r="Q400">
        <f t="shared" si="975"/>
        <v>-1207.2026512196551</v>
      </c>
      <c r="R400">
        <f t="shared" si="976"/>
        <v>39469.643093254861</v>
      </c>
      <c r="S400">
        <f t="shared" si="977"/>
        <v>0.39469643093254864</v>
      </c>
      <c r="T400">
        <f t="shared" si="978"/>
        <v>3.9469643093254864E-4</v>
      </c>
    </row>
    <row r="401" spans="1:20" x14ac:dyDescent="0.25">
      <c r="A401" s="5">
        <v>44192</v>
      </c>
      <c r="B401">
        <v>22589.25</v>
      </c>
      <c r="C401">
        <v>25074.26</v>
      </c>
      <c r="D401">
        <v>21611</v>
      </c>
      <c r="E401">
        <v>22785.06</v>
      </c>
      <c r="F401">
        <v>2302.448922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-0.32199141849009211</v>
      </c>
      <c r="Q401">
        <f t="shared" si="975"/>
        <v>-741.36879439576342</v>
      </c>
      <c r="R401">
        <f t="shared" si="976"/>
        <v>40676.845744474515</v>
      </c>
      <c r="S401">
        <f t="shared" si="977"/>
        <v>0.40676845744474516</v>
      </c>
      <c r="T401">
        <f t="shared" si="978"/>
        <v>4.0676845744474518E-4</v>
      </c>
    </row>
    <row r="402" spans="1:20" x14ac:dyDescent="0.25">
      <c r="A402" s="5">
        <v>44191</v>
      </c>
      <c r="B402">
        <v>23605.200000000001</v>
      </c>
      <c r="C402">
        <v>23884.73</v>
      </c>
      <c r="D402">
        <v>21890.99</v>
      </c>
      <c r="E402">
        <v>22588.76</v>
      </c>
      <c r="F402">
        <v>1699.82278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-0.30003912245328124</v>
      </c>
      <c r="Q402">
        <f t="shared" si="975"/>
        <v>-510.01333523729693</v>
      </c>
      <c r="R402">
        <f t="shared" si="976"/>
        <v>41418.214538870277</v>
      </c>
      <c r="S402">
        <f t="shared" si="977"/>
        <v>0.41418214538870279</v>
      </c>
      <c r="T402">
        <f t="shared" si="978"/>
        <v>4.1418214538870279E-4</v>
      </c>
    </row>
    <row r="403" spans="1:20" x14ac:dyDescent="0.25">
      <c r="A403" s="5">
        <v>44190</v>
      </c>
      <c r="B403">
        <v>24038.75</v>
      </c>
      <c r="C403">
        <v>25150</v>
      </c>
      <c r="D403">
        <v>22600.97</v>
      </c>
      <c r="E403">
        <v>23612.29</v>
      </c>
      <c r="F403">
        <v>1907.948787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-0.2065060042447518</v>
      </c>
      <c r="Q403">
        <f t="shared" si="975"/>
        <v>-394.00288030699107</v>
      </c>
      <c r="R403">
        <f t="shared" si="976"/>
        <v>41928.227874107572</v>
      </c>
      <c r="S403">
        <f t="shared" si="977"/>
        <v>0.41928227874107571</v>
      </c>
      <c r="T403">
        <f t="shared" si="978"/>
        <v>4.1928227874107573E-4</v>
      </c>
    </row>
    <row r="404" spans="1:20" x14ac:dyDescent="0.25">
      <c r="A404" s="5">
        <v>44189</v>
      </c>
      <c r="B404">
        <v>20119.759999999998</v>
      </c>
      <c r="C404">
        <v>24069.03</v>
      </c>
      <c r="D404">
        <v>19200</v>
      </c>
      <c r="E404">
        <v>24024.95</v>
      </c>
      <c r="F404">
        <v>3470.431705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0.98189372421201015</v>
      </c>
      <c r="Q404">
        <f t="shared" si="975"/>
        <v>3407.5951114458862</v>
      </c>
      <c r="R404">
        <f t="shared" si="976"/>
        <v>42322.230754414566</v>
      </c>
      <c r="S404">
        <f t="shared" si="977"/>
        <v>0.42322230754414564</v>
      </c>
      <c r="T404">
        <f t="shared" si="978"/>
        <v>4.2322230754414565E-4</v>
      </c>
    </row>
    <row r="405" spans="1:20" x14ac:dyDescent="0.25">
      <c r="A405" s="5">
        <v>44188</v>
      </c>
      <c r="B405">
        <v>24859.759999999998</v>
      </c>
      <c r="C405">
        <v>25489.21</v>
      </c>
      <c r="D405">
        <v>18360.97</v>
      </c>
      <c r="E405">
        <v>20092.38</v>
      </c>
      <c r="F405">
        <v>2584.006433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-0.51421108155729878</v>
      </c>
      <c r="Q405">
        <f t="shared" si="975"/>
        <v>-1328.7247426639476</v>
      </c>
      <c r="R405">
        <f t="shared" si="976"/>
        <v>38914.635642968678</v>
      </c>
      <c r="S405">
        <f t="shared" si="977"/>
        <v>0.38914635642968676</v>
      </c>
      <c r="T405">
        <f t="shared" si="978"/>
        <v>3.8914635642968675E-4</v>
      </c>
    </row>
    <row r="406" spans="1:20" x14ac:dyDescent="0.25">
      <c r="A406" s="5">
        <v>44187</v>
      </c>
      <c r="B406">
        <v>24558.240000000002</v>
      </c>
      <c r="C406">
        <v>25260.99</v>
      </c>
      <c r="D406">
        <v>22510</v>
      </c>
      <c r="E406">
        <v>24850</v>
      </c>
      <c r="F406">
        <v>1538.6704669999999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0.70120574774899114</v>
      </c>
      <c r="Q406">
        <f t="shared" si="975"/>
        <v>1078.9245753520242</v>
      </c>
      <c r="R406">
        <f t="shared" si="976"/>
        <v>40243.360385632623</v>
      </c>
      <c r="S406">
        <f t="shared" si="977"/>
        <v>0.40243360385632621</v>
      </c>
      <c r="T406">
        <f t="shared" si="978"/>
        <v>4.0243360385632622E-4</v>
      </c>
    </row>
    <row r="407" spans="1:20" x14ac:dyDescent="0.25">
      <c r="A407" s="5">
        <v>44186</v>
      </c>
      <c r="B407">
        <v>26089.18</v>
      </c>
      <c r="C407">
        <v>27102.35</v>
      </c>
      <c r="D407">
        <v>24062.71</v>
      </c>
      <c r="E407">
        <v>24569.93</v>
      </c>
      <c r="F407">
        <v>1429.944377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-0.66626311010514316</v>
      </c>
      <c r="Q407">
        <f t="shared" si="975"/>
        <v>-952.7191878973814</v>
      </c>
      <c r="R407">
        <f t="shared" si="976"/>
        <v>39164.4358102806</v>
      </c>
      <c r="S407">
        <f t="shared" si="977"/>
        <v>0.39164435810280601</v>
      </c>
      <c r="T407">
        <f t="shared" si="978"/>
        <v>3.91644358102806E-4</v>
      </c>
    </row>
    <row r="408" spans="1:20" x14ac:dyDescent="0.25">
      <c r="A408" s="5">
        <v>44185</v>
      </c>
      <c r="B408">
        <v>27612.080000000002</v>
      </c>
      <c r="C408">
        <v>27612.080000000002</v>
      </c>
      <c r="D408">
        <v>25291.73</v>
      </c>
      <c r="E408">
        <v>26114.07</v>
      </c>
      <c r="F408">
        <v>1297.519006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-0.29119313896610477</v>
      </c>
      <c r="Q408">
        <f t="shared" si="975"/>
        <v>-377.82863222532012</v>
      </c>
      <c r="R408">
        <f t="shared" si="976"/>
        <v>40117.154998177983</v>
      </c>
      <c r="S408">
        <f t="shared" si="977"/>
        <v>0.40117154998177984</v>
      </c>
      <c r="T408">
        <f t="shared" si="978"/>
        <v>4.0117154998177982E-4</v>
      </c>
    </row>
    <row r="409" spans="1:20" x14ac:dyDescent="0.25">
      <c r="A409" s="5">
        <v>44184</v>
      </c>
      <c r="B409">
        <v>27885.45</v>
      </c>
      <c r="C409">
        <v>28880</v>
      </c>
      <c r="D409">
        <v>27239.47</v>
      </c>
      <c r="E409">
        <v>27604.76</v>
      </c>
      <c r="F409">
        <v>1462.882779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-0.55466830841252823</v>
      </c>
      <c r="Q409">
        <f t="shared" si="975"/>
        <v>-811.41471643374837</v>
      </c>
      <c r="R409">
        <f t="shared" si="976"/>
        <v>40494.983630403302</v>
      </c>
      <c r="S409">
        <f t="shared" si="977"/>
        <v>0.40494983630403303</v>
      </c>
      <c r="T409">
        <f t="shared" si="978"/>
        <v>4.0494983630403301E-4</v>
      </c>
    </row>
    <row r="410" spans="1:20" x14ac:dyDescent="0.25">
      <c r="A410" s="5">
        <v>44183</v>
      </c>
      <c r="B410">
        <v>26617.49</v>
      </c>
      <c r="C410">
        <v>28650</v>
      </c>
      <c r="D410">
        <v>25908.16</v>
      </c>
      <c r="E410">
        <v>27869.03</v>
      </c>
      <c r="F410">
        <v>2241.5206159999998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0.43033145624835795</v>
      </c>
      <c r="Q410">
        <f t="shared" si="975"/>
        <v>964.5968308939963</v>
      </c>
      <c r="R410">
        <f t="shared" si="976"/>
        <v>41306.39834683705</v>
      </c>
      <c r="S410">
        <f t="shared" si="977"/>
        <v>0.41306398346837048</v>
      </c>
      <c r="T410">
        <f t="shared" si="978"/>
        <v>4.1306398346837046E-4</v>
      </c>
    </row>
    <row r="411" spans="1:20" x14ac:dyDescent="0.25">
      <c r="A411" s="5">
        <v>44182</v>
      </c>
      <c r="B411">
        <v>26947.360000000001</v>
      </c>
      <c r="C411">
        <v>28100</v>
      </c>
      <c r="D411">
        <v>25788.02</v>
      </c>
      <c r="E411">
        <v>26599.01</v>
      </c>
      <c r="F411">
        <v>3043.9137799999999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-0.29844548828277223</v>
      </c>
      <c r="Q411">
        <f t="shared" si="975"/>
        <v>-908.44233436275886</v>
      </c>
      <c r="R411">
        <f t="shared" si="976"/>
        <v>40341.801515943051</v>
      </c>
      <c r="S411">
        <f t="shared" si="977"/>
        <v>0.40341801515943049</v>
      </c>
      <c r="T411">
        <f t="shared" si="978"/>
        <v>4.0341801515943047E-4</v>
      </c>
    </row>
    <row r="412" spans="1:20" x14ac:dyDescent="0.25">
      <c r="A412" s="5">
        <v>44181</v>
      </c>
      <c r="B412">
        <v>24782.04</v>
      </c>
      <c r="C412">
        <v>27740.15</v>
      </c>
      <c r="D412">
        <v>24151.11</v>
      </c>
      <c r="E412">
        <v>26965.41</v>
      </c>
      <c r="F412">
        <v>2586.6038450000001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0.56827452466397621</v>
      </c>
      <c r="Q412">
        <f t="shared" si="975"/>
        <v>1469.9010705113883</v>
      </c>
      <c r="R412">
        <f t="shared" si="976"/>
        <v>41250.243850305807</v>
      </c>
      <c r="S412">
        <f t="shared" si="977"/>
        <v>0.41250243850305807</v>
      </c>
      <c r="T412">
        <f t="shared" si="978"/>
        <v>4.1250243850305806E-4</v>
      </c>
    </row>
    <row r="413" spans="1:20" x14ac:dyDescent="0.25">
      <c r="A413" s="5">
        <v>44180</v>
      </c>
      <c r="B413">
        <v>25820</v>
      </c>
      <c r="C413">
        <v>26435.64</v>
      </c>
      <c r="D413">
        <v>24553.87</v>
      </c>
      <c r="E413">
        <v>24784.11</v>
      </c>
      <c r="F413">
        <v>1058.851821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-0.75529421767803551</v>
      </c>
      <c r="Q413">
        <f t="shared" si="975"/>
        <v>-799.74465777915827</v>
      </c>
      <c r="R413">
        <f t="shared" si="976"/>
        <v>39780.342779794417</v>
      </c>
      <c r="S413">
        <f t="shared" si="977"/>
        <v>0.39780342779794414</v>
      </c>
      <c r="T413">
        <f t="shared" si="978"/>
        <v>3.9780342779794416E-4</v>
      </c>
    </row>
    <row r="414" spans="1:20" x14ac:dyDescent="0.25">
      <c r="A414" s="5">
        <v>44179</v>
      </c>
      <c r="B414">
        <v>26357.24</v>
      </c>
      <c r="C414">
        <v>26358.21</v>
      </c>
      <c r="D414">
        <v>24993.61</v>
      </c>
      <c r="E414">
        <v>25819.99</v>
      </c>
      <c r="F414">
        <v>1279.1121559999999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0.21116810787044102</v>
      </c>
      <c r="Q414">
        <f t="shared" si="975"/>
        <v>270.10769373660037</v>
      </c>
      <c r="R414">
        <f t="shared" si="976"/>
        <v>40580.087437573573</v>
      </c>
      <c r="S414">
        <f t="shared" si="977"/>
        <v>0.40580087437573575</v>
      </c>
      <c r="T414">
        <f t="shared" si="978"/>
        <v>4.0580087437573577E-4</v>
      </c>
    </row>
    <row r="415" spans="1:20" x14ac:dyDescent="0.25">
      <c r="A415" s="5">
        <v>44178</v>
      </c>
      <c r="B415">
        <v>25352.720000000001</v>
      </c>
      <c r="C415">
        <v>27300</v>
      </c>
      <c r="D415">
        <v>25352.720000000001</v>
      </c>
      <c r="E415">
        <v>26341.06</v>
      </c>
      <c r="F415">
        <v>1600.383673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1.5097982827329132E-2</v>
      </c>
      <c r="Q415">
        <f t="shared" si="975"/>
        <v>24.16256521209192</v>
      </c>
      <c r="R415">
        <f t="shared" si="976"/>
        <v>40309.979743836971</v>
      </c>
      <c r="S415">
        <f t="shared" si="977"/>
        <v>0.40309979743836971</v>
      </c>
      <c r="T415">
        <f t="shared" si="978"/>
        <v>4.030997974383697E-4</v>
      </c>
    </row>
    <row r="416" spans="1:20" x14ac:dyDescent="0.25">
      <c r="A416" s="5">
        <v>44177</v>
      </c>
      <c r="B416">
        <v>23372.21</v>
      </c>
      <c r="C416">
        <v>25820</v>
      </c>
      <c r="D416">
        <v>23329.11</v>
      </c>
      <c r="E416">
        <v>25347.85</v>
      </c>
      <c r="F416">
        <v>1861.1253059999999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0.62089855433198449</v>
      </c>
      <c r="Q416">
        <f t="shared" si="975"/>
        <v>1155.5700119260721</v>
      </c>
      <c r="R416">
        <f t="shared" si="976"/>
        <v>40285.817178624879</v>
      </c>
      <c r="S416">
        <f t="shared" si="977"/>
        <v>0.40285817178624878</v>
      </c>
      <c r="T416">
        <f t="shared" si="978"/>
        <v>4.0285817178624877E-4</v>
      </c>
    </row>
    <row r="417" spans="1:20" x14ac:dyDescent="0.25">
      <c r="A417" s="5">
        <v>44176</v>
      </c>
      <c r="B417">
        <v>23979.42</v>
      </c>
      <c r="C417">
        <v>24193.87</v>
      </c>
      <c r="D417">
        <v>22051.01</v>
      </c>
      <c r="E417">
        <v>23387.89</v>
      </c>
      <c r="F417">
        <v>2248.6341339999999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0.24775300299599662</v>
      </c>
      <c r="Q417">
        <f t="shared" si="975"/>
        <v>557.10585933780226</v>
      </c>
      <c r="R417">
        <f t="shared" si="976"/>
        <v>39130.247166698806</v>
      </c>
      <c r="S417">
        <f t="shared" si="977"/>
        <v>0.39130247166698806</v>
      </c>
      <c r="T417">
        <f t="shared" si="978"/>
        <v>3.9130247166698807E-4</v>
      </c>
    </row>
    <row r="418" spans="1:20" x14ac:dyDescent="0.25">
      <c r="A418" s="5">
        <v>44175</v>
      </c>
      <c r="B418">
        <v>25567.87</v>
      </c>
      <c r="C418">
        <v>25860</v>
      </c>
      <c r="D418">
        <v>23799.68</v>
      </c>
      <c r="E418">
        <v>23974.15</v>
      </c>
      <c r="F418">
        <v>1722.352521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-0.83063795915197525</v>
      </c>
      <c r="Q418">
        <f t="shared" si="975"/>
        <v>-1430.6513829836997</v>
      </c>
      <c r="R418">
        <f t="shared" si="976"/>
        <v>38573.141307361002</v>
      </c>
      <c r="S418">
        <f t="shared" si="977"/>
        <v>0.38573141307361003</v>
      </c>
      <c r="T418">
        <f t="shared" si="978"/>
        <v>3.8573141307361004E-4</v>
      </c>
    </row>
    <row r="419" spans="1:20" x14ac:dyDescent="0.25">
      <c r="A419" s="5">
        <v>44174</v>
      </c>
      <c r="B419">
        <v>25468.79</v>
      </c>
      <c r="C419">
        <v>26267.439999999999</v>
      </c>
      <c r="D419">
        <v>23505.97</v>
      </c>
      <c r="E419">
        <v>25556.16</v>
      </c>
      <c r="F419">
        <v>2509.2709289999998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0.48485408134073554</v>
      </c>
      <c r="Q419">
        <f t="shared" si="975"/>
        <v>1216.630251115309</v>
      </c>
      <c r="R419">
        <f t="shared" si="976"/>
        <v>40003.792690344701</v>
      </c>
      <c r="S419">
        <f t="shared" si="977"/>
        <v>0.40003792690344703</v>
      </c>
      <c r="T419">
        <f t="shared" si="978"/>
        <v>4.0003792690344701E-4</v>
      </c>
    </row>
    <row r="420" spans="1:20" x14ac:dyDescent="0.25">
      <c r="A420" s="5">
        <v>44173</v>
      </c>
      <c r="B420">
        <v>28480.48</v>
      </c>
      <c r="C420">
        <v>28567.4</v>
      </c>
      <c r="D420">
        <v>24850</v>
      </c>
      <c r="E420">
        <v>25448.82</v>
      </c>
      <c r="F420">
        <v>2341.2225910000002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-0.67782858987464389</v>
      </c>
      <c r="Q420">
        <f t="shared" si="975"/>
        <v>-1586.9476074401903</v>
      </c>
      <c r="R420">
        <f t="shared" si="976"/>
        <v>38787.162439229389</v>
      </c>
      <c r="S420">
        <f t="shared" si="977"/>
        <v>0.38787162439229389</v>
      </c>
      <c r="T420">
        <f t="shared" si="978"/>
        <v>3.8787162439229386E-4</v>
      </c>
    </row>
    <row r="421" spans="1:20" x14ac:dyDescent="0.25">
      <c r="A421" s="5">
        <v>44172</v>
      </c>
      <c r="B421">
        <v>28797.57</v>
      </c>
      <c r="C421">
        <v>29405.78</v>
      </c>
      <c r="D421">
        <v>27894.98</v>
      </c>
      <c r="E421">
        <v>28486.5</v>
      </c>
      <c r="F421">
        <v>1535.5994700000001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-0.21694466507810337</v>
      </c>
      <c r="Q421">
        <f t="shared" si="975"/>
        <v>-333.14011271326308</v>
      </c>
      <c r="R421">
        <f t="shared" si="976"/>
        <v>40374.110046669579</v>
      </c>
      <c r="S421">
        <f t="shared" si="977"/>
        <v>0.40374110046669581</v>
      </c>
      <c r="T421">
        <f t="shared" si="978"/>
        <v>4.0374110046669583E-4</v>
      </c>
    </row>
    <row r="422" spans="1:20" x14ac:dyDescent="0.25">
      <c r="A422" s="5">
        <v>44171</v>
      </c>
      <c r="B422">
        <v>29329.99</v>
      </c>
      <c r="C422">
        <v>29520</v>
      </c>
      <c r="D422">
        <v>27848.17</v>
      </c>
      <c r="E422">
        <v>28794.240000000002</v>
      </c>
      <c r="F422">
        <v>1383.5554070000001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0.13177775252268756</v>
      </c>
      <c r="Q422">
        <f t="shared" si="975"/>
        <v>182.32182202507227</v>
      </c>
      <c r="R422">
        <f t="shared" si="976"/>
        <v>40707.250159382842</v>
      </c>
      <c r="S422">
        <f t="shared" si="977"/>
        <v>0.40707250159382841</v>
      </c>
      <c r="T422">
        <f t="shared" si="978"/>
        <v>4.070725015938284E-4</v>
      </c>
    </row>
    <row r="423" spans="1:20" x14ac:dyDescent="0.25">
      <c r="A423" s="5">
        <v>44170</v>
      </c>
      <c r="B423">
        <v>26444.55</v>
      </c>
      <c r="C423">
        <v>29549.99</v>
      </c>
      <c r="D423">
        <v>26201</v>
      </c>
      <c r="E423">
        <v>29352.73</v>
      </c>
      <c r="F423">
        <v>2077.079217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0.88219731919175515</v>
      </c>
      <c r="Q423">
        <f t="shared" si="975"/>
        <v>1832.3937169863098</v>
      </c>
      <c r="R423">
        <f t="shared" si="976"/>
        <v>40524.928337357771</v>
      </c>
      <c r="S423">
        <f t="shared" si="977"/>
        <v>0.40524928337357768</v>
      </c>
      <c r="T423">
        <f t="shared" si="978"/>
        <v>4.0524928337357769E-4</v>
      </c>
    </row>
    <row r="424" spans="1:20" x14ac:dyDescent="0.25">
      <c r="A424" s="5">
        <v>44169</v>
      </c>
      <c r="B424">
        <v>29634.9</v>
      </c>
      <c r="C424">
        <v>30576.44</v>
      </c>
      <c r="D424">
        <v>26100</v>
      </c>
      <c r="E424">
        <v>26452.77</v>
      </c>
      <c r="F424">
        <v>2912.8036659999998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-0.84238814772453086</v>
      </c>
      <c r="Q424">
        <f t="shared" si="975"/>
        <v>-2453.7112848869629</v>
      </c>
      <c r="R424">
        <f t="shared" si="976"/>
        <v>38692.534620371458</v>
      </c>
      <c r="S424">
        <f t="shared" si="977"/>
        <v>0.3869253462037146</v>
      </c>
      <c r="T424">
        <f t="shared" si="978"/>
        <v>3.8692534620371461E-4</v>
      </c>
    </row>
    <row r="425" spans="1:20" x14ac:dyDescent="0.25">
      <c r="A425" s="5">
        <v>44168</v>
      </c>
      <c r="B425">
        <v>30303.17</v>
      </c>
      <c r="C425">
        <v>31306.06</v>
      </c>
      <c r="D425">
        <v>28401</v>
      </c>
      <c r="E425">
        <v>29649.42</v>
      </c>
      <c r="F425">
        <v>3483.841711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-0.14052033348708964</v>
      </c>
      <c r="Q425">
        <f t="shared" si="975"/>
        <v>-489.55059904595299</v>
      </c>
      <c r="R425">
        <f t="shared" si="976"/>
        <v>41146.245905258424</v>
      </c>
      <c r="S425">
        <f t="shared" si="977"/>
        <v>0.41146245905258422</v>
      </c>
      <c r="T425">
        <f t="shared" si="978"/>
        <v>4.1146245905258422E-4</v>
      </c>
    </row>
    <row r="426" spans="1:20" x14ac:dyDescent="0.25">
      <c r="A426" s="5">
        <v>44167</v>
      </c>
      <c r="B426">
        <v>25678.560000000001</v>
      </c>
      <c r="C426">
        <v>31780.41</v>
      </c>
      <c r="D426">
        <v>25335.24</v>
      </c>
      <c r="E426">
        <v>30306.15</v>
      </c>
      <c r="F426">
        <v>5926.3451679999998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0.54252254013470591</v>
      </c>
      <c r="Q426">
        <f t="shared" si="975"/>
        <v>3215.1758342584003</v>
      </c>
      <c r="R426">
        <f t="shared" si="976"/>
        <v>41635.796504304373</v>
      </c>
      <c r="S426">
        <f t="shared" si="977"/>
        <v>0.41635796504304373</v>
      </c>
      <c r="T426">
        <f t="shared" si="978"/>
        <v>4.1635796504304375E-4</v>
      </c>
    </row>
    <row r="427" spans="1:20" x14ac:dyDescent="0.25">
      <c r="A427" s="5">
        <v>44166</v>
      </c>
      <c r="B427">
        <v>26470.61</v>
      </c>
      <c r="C427">
        <v>28299.919999999998</v>
      </c>
      <c r="D427">
        <v>24166</v>
      </c>
      <c r="E427">
        <v>25684.04</v>
      </c>
      <c r="F427">
        <v>3901.1066249999999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-0.26556875798273721</v>
      </c>
      <c r="Q427">
        <f t="shared" si="975"/>
        <v>-1036.0120411594778</v>
      </c>
      <c r="R427">
        <f t="shared" si="976"/>
        <v>38420.620670045973</v>
      </c>
      <c r="S427">
        <f t="shared" si="977"/>
        <v>0.38420620670045974</v>
      </c>
      <c r="T427">
        <f t="shared" si="978"/>
        <v>3.8420620670045975E-4</v>
      </c>
    </row>
    <row r="428" spans="1:20" x14ac:dyDescent="0.25">
      <c r="A428" s="5">
        <v>44165</v>
      </c>
      <c r="B428">
        <v>24624.95</v>
      </c>
      <c r="C428">
        <v>26901.05</v>
      </c>
      <c r="D428">
        <v>24619.35</v>
      </c>
      <c r="E428">
        <v>26470.400000000001</v>
      </c>
      <c r="F428">
        <v>3416.7120730000001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0.62251829776044376</v>
      </c>
      <c r="Q428">
        <f t="shared" si="975"/>
        <v>2126.9657836215169</v>
      </c>
      <c r="R428">
        <f t="shared" si="976"/>
        <v>39456.63271120545</v>
      </c>
      <c r="S428">
        <f t="shared" si="977"/>
        <v>0.39456632711205447</v>
      </c>
      <c r="T428">
        <f t="shared" si="978"/>
        <v>3.9456632711205446E-4</v>
      </c>
    </row>
    <row r="429" spans="1:20" x14ac:dyDescent="0.25">
      <c r="A429" s="5">
        <v>44164</v>
      </c>
      <c r="B429">
        <v>23343.82</v>
      </c>
      <c r="C429">
        <v>24963.29</v>
      </c>
      <c r="D429">
        <v>22846.15</v>
      </c>
      <c r="E429">
        <v>24600.71</v>
      </c>
      <c r="F429">
        <v>2183.4552749999998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0.65748131913808072</v>
      </c>
      <c r="Q429">
        <f t="shared" si="975"/>
        <v>1435.5810544860008</v>
      </c>
      <c r="R429">
        <f t="shared" si="976"/>
        <v>37329.66692758393</v>
      </c>
      <c r="S429">
        <f t="shared" si="977"/>
        <v>0.37329666927583932</v>
      </c>
      <c r="T429">
        <f t="shared" si="978"/>
        <v>3.732966692758393E-4</v>
      </c>
    </row>
    <row r="430" spans="1:20" x14ac:dyDescent="0.25">
      <c r="A430" s="5">
        <v>44163</v>
      </c>
      <c r="B430">
        <v>23455.14</v>
      </c>
      <c r="C430">
        <v>24444</v>
      </c>
      <c r="D430">
        <v>22546.03</v>
      </c>
      <c r="E430">
        <v>23353.75</v>
      </c>
      <c r="F430">
        <v>2239.8918939999999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-0.14885904413662948</v>
      </c>
      <c r="Q430">
        <f t="shared" si="975"/>
        <v>-333.42816631022458</v>
      </c>
      <c r="R430">
        <f t="shared" si="976"/>
        <v>35894.085873097931</v>
      </c>
      <c r="S430">
        <f t="shared" si="977"/>
        <v>0.35894085873097931</v>
      </c>
      <c r="T430">
        <f t="shared" si="978"/>
        <v>3.5894085873097931E-4</v>
      </c>
    </row>
    <row r="431" spans="1:20" x14ac:dyDescent="0.25">
      <c r="A431" s="5">
        <v>44162</v>
      </c>
      <c r="B431">
        <v>23345.46</v>
      </c>
      <c r="C431">
        <v>25581</v>
      </c>
      <c r="D431">
        <v>22222.22</v>
      </c>
      <c r="E431">
        <v>23452.98</v>
      </c>
      <c r="F431">
        <v>5483.386501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-0.26713866344327475</v>
      </c>
      <c r="Q431">
        <f t="shared" si="975"/>
        <v>-1464.824541020035</v>
      </c>
      <c r="R431">
        <f t="shared" si="976"/>
        <v>36227.514039408154</v>
      </c>
      <c r="S431">
        <f t="shared" si="977"/>
        <v>0.36227514039408154</v>
      </c>
      <c r="T431">
        <f t="shared" si="978"/>
        <v>3.6227514039408152E-4</v>
      </c>
    </row>
    <row r="432" spans="1:20" x14ac:dyDescent="0.25">
      <c r="A432" s="5">
        <v>44161</v>
      </c>
      <c r="B432">
        <v>22319.05</v>
      </c>
      <c r="C432">
        <v>23362.68</v>
      </c>
      <c r="D432">
        <v>18228.599999999999</v>
      </c>
      <c r="E432">
        <v>23345.46</v>
      </c>
      <c r="F432">
        <v>7752.0808299999999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0.99329188481675346</v>
      </c>
      <c r="Q432">
        <f t="shared" si="975"/>
        <v>7700.0789788825223</v>
      </c>
      <c r="R432">
        <f t="shared" si="976"/>
        <v>37692.338580428186</v>
      </c>
      <c r="S432">
        <f t="shared" si="977"/>
        <v>0.37692338580428186</v>
      </c>
      <c r="T432">
        <f t="shared" si="978"/>
        <v>3.7692338580428184E-4</v>
      </c>
    </row>
    <row r="433" spans="1:20" x14ac:dyDescent="0.25">
      <c r="A433" s="5">
        <v>44160</v>
      </c>
      <c r="B433">
        <v>24736.38</v>
      </c>
      <c r="C433">
        <v>24826.45</v>
      </c>
      <c r="D433">
        <v>21500</v>
      </c>
      <c r="E433">
        <v>22324.66</v>
      </c>
      <c r="F433">
        <v>3378.2787680000001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-0.50418013197252343</v>
      </c>
      <c r="Q433">
        <f t="shared" si="975"/>
        <v>-1703.2610350902139</v>
      </c>
      <c r="R433">
        <f t="shared" si="976"/>
        <v>29992.259601545662</v>
      </c>
      <c r="S433">
        <f t="shared" si="977"/>
        <v>0.29992259601545662</v>
      </c>
      <c r="T433">
        <f t="shared" si="978"/>
        <v>2.999225960154566E-4</v>
      </c>
    </row>
    <row r="434" spans="1:20" x14ac:dyDescent="0.25">
      <c r="A434" s="5">
        <v>44159</v>
      </c>
      <c r="B434">
        <v>25245.93</v>
      </c>
      <c r="C434">
        <v>26339.37</v>
      </c>
      <c r="D434">
        <v>23294</v>
      </c>
      <c r="E434">
        <v>24749.99</v>
      </c>
      <c r="F434">
        <v>4470.1365820000001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-4.3800917458304188E-2</v>
      </c>
      <c r="Q434">
        <f t="shared" si="975"/>
        <v>-195.79608345552802</v>
      </c>
      <c r="R434">
        <f t="shared" si="976"/>
        <v>31695.520636635876</v>
      </c>
      <c r="S434">
        <f t="shared" si="977"/>
        <v>0.31695520636635877</v>
      </c>
      <c r="T434">
        <f t="shared" si="978"/>
        <v>3.1695520636635879E-4</v>
      </c>
    </row>
    <row r="435" spans="1:20" x14ac:dyDescent="0.25">
      <c r="A435" s="5">
        <v>44158</v>
      </c>
      <c r="B435">
        <v>24454.35</v>
      </c>
      <c r="C435">
        <v>26328.28</v>
      </c>
      <c r="D435">
        <v>23200</v>
      </c>
      <c r="E435">
        <v>25216.48</v>
      </c>
      <c r="F435">
        <v>6116.9706569999998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0.28919406191261671</v>
      </c>
      <c r="Q435">
        <f t="shared" si="975"/>
        <v>1768.9915908981177</v>
      </c>
      <c r="R435">
        <f t="shared" si="976"/>
        <v>31891.316720091403</v>
      </c>
      <c r="S435">
        <f t="shared" si="977"/>
        <v>0.31891316720091401</v>
      </c>
      <c r="T435">
        <f t="shared" si="978"/>
        <v>3.1891316720091402E-4</v>
      </c>
    </row>
    <row r="436" spans="1:20" x14ac:dyDescent="0.25">
      <c r="A436" s="5">
        <v>44157</v>
      </c>
      <c r="B436">
        <v>24479.24</v>
      </c>
      <c r="C436">
        <v>27178.240000000002</v>
      </c>
      <c r="D436">
        <v>21442</v>
      </c>
      <c r="E436">
        <v>24419.040000000001</v>
      </c>
      <c r="F436">
        <v>10500.259055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3.7976095839783564E-2</v>
      </c>
      <c r="Q436">
        <f t="shared" si="975"/>
        <v>398.75884421523523</v>
      </c>
      <c r="R436">
        <f t="shared" si="976"/>
        <v>30122.325129193287</v>
      </c>
      <c r="S436">
        <f t="shared" si="977"/>
        <v>0.30122325129193289</v>
      </c>
      <c r="T436">
        <f t="shared" si="978"/>
        <v>3.0122325129193289E-4</v>
      </c>
    </row>
    <row r="437" spans="1:20" x14ac:dyDescent="0.25">
      <c r="A437" s="5">
        <v>44156</v>
      </c>
      <c r="B437">
        <v>26533</v>
      </c>
      <c r="C437">
        <v>27801.55</v>
      </c>
      <c r="D437">
        <v>23425</v>
      </c>
      <c r="E437">
        <v>24479.24</v>
      </c>
      <c r="F437">
        <v>5932.688247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-0.51823239766482654</v>
      </c>
      <c r="Q437">
        <f t="shared" si="975"/>
        <v>-3074.5112548407465</v>
      </c>
      <c r="R437">
        <f t="shared" si="976"/>
        <v>29723.566284978053</v>
      </c>
      <c r="S437">
        <f t="shared" si="977"/>
        <v>0.29723566284978054</v>
      </c>
      <c r="T437">
        <f t="shared" si="978"/>
        <v>2.9723566284978051E-4</v>
      </c>
    </row>
    <row r="438" spans="1:20" x14ac:dyDescent="0.25">
      <c r="A438" s="5">
        <v>44155</v>
      </c>
      <c r="B438">
        <v>27803.14</v>
      </c>
      <c r="C438">
        <v>29890</v>
      </c>
      <c r="D438">
        <v>25666</v>
      </c>
      <c r="E438">
        <v>26515.16</v>
      </c>
      <c r="F438">
        <v>7262.2853219999997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-0.59793560606060614</v>
      </c>
      <c r="Q438">
        <f t="shared" si="975"/>
        <v>-4342.3789753951141</v>
      </c>
      <c r="R438">
        <f t="shared" si="976"/>
        <v>32798.077539818798</v>
      </c>
      <c r="S438">
        <f t="shared" si="977"/>
        <v>0.32798077539818798</v>
      </c>
      <c r="T438">
        <f t="shared" si="978"/>
        <v>3.27980775398188E-4</v>
      </c>
    </row>
    <row r="439" spans="1:20" x14ac:dyDescent="0.25">
      <c r="A439" s="5">
        <v>44154</v>
      </c>
      <c r="B439">
        <v>25479.31</v>
      </c>
      <c r="C439">
        <v>29686</v>
      </c>
      <c r="D439">
        <v>24229.65</v>
      </c>
      <c r="E439">
        <v>27800</v>
      </c>
      <c r="F439">
        <v>10451.908316999999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0.30869537328067281</v>
      </c>
      <c r="Q439">
        <f t="shared" si="975"/>
        <v>3226.4557394116837</v>
      </c>
      <c r="R439">
        <f t="shared" si="976"/>
        <v>37140.456515213911</v>
      </c>
      <c r="S439">
        <f t="shared" si="977"/>
        <v>0.3714045651521391</v>
      </c>
      <c r="T439">
        <f t="shared" si="978"/>
        <v>3.714045651521391E-4</v>
      </c>
    </row>
    <row r="440" spans="1:20" x14ac:dyDescent="0.25">
      <c r="A440" s="5">
        <v>44153</v>
      </c>
      <c r="B440">
        <v>23933.16</v>
      </c>
      <c r="C440">
        <v>26190</v>
      </c>
      <c r="D440">
        <v>20511</v>
      </c>
      <c r="E440">
        <v>25444.39</v>
      </c>
      <c r="F440">
        <v>11223.575626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0.73741503785877771</v>
      </c>
      <c r="Q440">
        <f t="shared" si="975"/>
        <v>8276.4334451576451</v>
      </c>
      <c r="R440">
        <f t="shared" si="976"/>
        <v>33914.000775802226</v>
      </c>
      <c r="S440">
        <f t="shared" si="977"/>
        <v>0.33914000775802228</v>
      </c>
      <c r="T440">
        <f t="shared" si="978"/>
        <v>3.3914000775802229E-4</v>
      </c>
    </row>
    <row r="441" spans="1:20" x14ac:dyDescent="0.25">
      <c r="A441" s="5">
        <v>44152</v>
      </c>
      <c r="B441">
        <v>18554.8</v>
      </c>
      <c r="C441">
        <v>24880</v>
      </c>
      <c r="D441">
        <v>18452</v>
      </c>
      <c r="E441">
        <v>23944.68</v>
      </c>
      <c r="F441">
        <v>7902.5798889999996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0.70898568761667713</v>
      </c>
      <c r="Q441">
        <f t="shared" si="975"/>
        <v>5602.8160365483891</v>
      </c>
      <c r="R441">
        <f t="shared" si="976"/>
        <v>25637.567330644582</v>
      </c>
      <c r="S441">
        <f t="shared" si="977"/>
        <v>0.25637567330644584</v>
      </c>
      <c r="T441">
        <f t="shared" si="978"/>
        <v>2.5637567330644585E-4</v>
      </c>
    </row>
    <row r="442" spans="1:20" x14ac:dyDescent="0.25">
      <c r="A442" s="5">
        <v>44151</v>
      </c>
      <c r="B442">
        <v>17606.68</v>
      </c>
      <c r="C442">
        <v>19149.900000000001</v>
      </c>
      <c r="D442">
        <v>16971.419999999998</v>
      </c>
      <c r="E442">
        <v>18565.47</v>
      </c>
      <c r="F442">
        <v>5966.9781899999998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0.46345158091880628</v>
      </c>
      <c r="Q442">
        <f t="shared" si="975"/>
        <v>2765.4054754635372</v>
      </c>
      <c r="R442">
        <f t="shared" si="976"/>
        <v>20034.751294096193</v>
      </c>
      <c r="S442">
        <f t="shared" si="977"/>
        <v>0.20034751294096192</v>
      </c>
      <c r="T442">
        <f t="shared" si="978"/>
        <v>2.0034751294096192E-4</v>
      </c>
    </row>
    <row r="443" spans="1:20" x14ac:dyDescent="0.25">
      <c r="A443" s="5">
        <v>44150</v>
      </c>
      <c r="B443">
        <v>17238</v>
      </c>
      <c r="C443">
        <v>18436.25</v>
      </c>
      <c r="D443">
        <v>16561</v>
      </c>
      <c r="E443">
        <v>17606.900000000001</v>
      </c>
      <c r="F443">
        <v>5651.5617510000002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0.11547793627516487</v>
      </c>
      <c r="Q443">
        <f t="shared" si="975"/>
        <v>652.63068773713724</v>
      </c>
      <c r="R443">
        <f t="shared" si="976"/>
        <v>17269.345818632657</v>
      </c>
      <c r="S443">
        <f t="shared" si="977"/>
        <v>0.17269345818632656</v>
      </c>
      <c r="T443">
        <f t="shared" si="978"/>
        <v>1.7269345818632655E-4</v>
      </c>
    </row>
    <row r="444" spans="1:20" x14ac:dyDescent="0.25">
      <c r="A444" s="5">
        <v>44149</v>
      </c>
      <c r="B444">
        <v>17884.84</v>
      </c>
      <c r="C444">
        <v>17922.63</v>
      </c>
      <c r="D444">
        <v>16084.21</v>
      </c>
      <c r="E444">
        <v>17217.05</v>
      </c>
      <c r="F444">
        <v>4888.5769899999996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0.2324060878362931</v>
      </c>
      <c r="Q444">
        <f t="shared" si="975"/>
        <v>1136.1350533324212</v>
      </c>
      <c r="R444">
        <f t="shared" si="976"/>
        <v>16616.715130895518</v>
      </c>
      <c r="S444">
        <f t="shared" si="977"/>
        <v>0.16616715130895518</v>
      </c>
      <c r="T444">
        <f t="shared" si="978"/>
        <v>1.6616715130895519E-4</v>
      </c>
    </row>
    <row r="445" spans="1:20" x14ac:dyDescent="0.25">
      <c r="A445" s="5">
        <v>44148</v>
      </c>
      <c r="B445">
        <v>15448.87</v>
      </c>
      <c r="C445">
        <v>18460</v>
      </c>
      <c r="D445">
        <v>15150</v>
      </c>
      <c r="E445">
        <v>17881.060000000001</v>
      </c>
      <c r="F445">
        <v>6923.5690130000003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0.65018731117824857</v>
      </c>
      <c r="Q445">
        <f t="shared" si="975"/>
        <v>4501.6167203195109</v>
      </c>
      <c r="R445">
        <f t="shared" si="976"/>
        <v>15480.580077563096</v>
      </c>
      <c r="S445">
        <f t="shared" si="977"/>
        <v>0.15480580077563097</v>
      </c>
      <c r="T445">
        <f t="shared" si="978"/>
        <v>1.5480580077563096E-4</v>
      </c>
    </row>
    <row r="446" spans="1:20" x14ac:dyDescent="0.25">
      <c r="A446" s="5">
        <v>44147</v>
      </c>
      <c r="B446">
        <v>16674.79</v>
      </c>
      <c r="C446">
        <v>17220</v>
      </c>
      <c r="D446">
        <v>14929.39</v>
      </c>
      <c r="E446">
        <v>15462.62</v>
      </c>
      <c r="F446">
        <v>6225.384924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-0.53442096210179713</v>
      </c>
      <c r="Q446">
        <f t="shared" si="975"/>
        <v>-3326.9762005381031</v>
      </c>
      <c r="R446">
        <f t="shared" si="976"/>
        <v>10978.963357243585</v>
      </c>
      <c r="S446">
        <f t="shared" si="977"/>
        <v>0.10978963357243585</v>
      </c>
      <c r="T446">
        <f t="shared" si="978"/>
        <v>1.0978963357243585E-4</v>
      </c>
    </row>
    <row r="447" spans="1:20" x14ac:dyDescent="0.25">
      <c r="A447" s="5">
        <v>44146</v>
      </c>
      <c r="B447">
        <v>18266.12</v>
      </c>
      <c r="C447">
        <v>19350</v>
      </c>
      <c r="D447">
        <v>15711.08</v>
      </c>
      <c r="E447">
        <v>16679.560000000001</v>
      </c>
      <c r="F447">
        <v>7535.779802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-0.46771019972958933</v>
      </c>
      <c r="Q447">
        <f t="shared" si="975"/>
        <v>-3524.5610763116251</v>
      </c>
      <c r="R447">
        <f t="shared" si="976"/>
        <v>14305.939557781689</v>
      </c>
      <c r="S447">
        <f t="shared" si="977"/>
        <v>0.14305939557781688</v>
      </c>
      <c r="T447">
        <f t="shared" si="978"/>
        <v>1.4305939557781688E-4</v>
      </c>
    </row>
    <row r="448" spans="1:20" x14ac:dyDescent="0.25">
      <c r="A448" s="5">
        <v>44145</v>
      </c>
      <c r="B448">
        <v>15029.21</v>
      </c>
      <c r="C448">
        <v>18900</v>
      </c>
      <c r="D448">
        <v>14500.75</v>
      </c>
      <c r="E448">
        <v>18274.93</v>
      </c>
      <c r="F448">
        <v>10460.754663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0.71582883446041956</v>
      </c>
      <c r="Q448">
        <f t="shared" si="975"/>
        <v>7488.1098179916889</v>
      </c>
      <c r="R448">
        <f t="shared" si="976"/>
        <v>17830.500634093314</v>
      </c>
      <c r="S448">
        <f t="shared" si="977"/>
        <v>0.17830500634093313</v>
      </c>
      <c r="T448">
        <f t="shared" si="978"/>
        <v>1.7830500634093314E-4</v>
      </c>
    </row>
    <row r="449" spans="1:20" x14ac:dyDescent="0.25">
      <c r="A449" s="5">
        <v>44144</v>
      </c>
      <c r="B449">
        <v>15102.44</v>
      </c>
      <c r="C449">
        <v>15682</v>
      </c>
      <c r="D449">
        <v>13883.34</v>
      </c>
      <c r="E449">
        <v>15010.12</v>
      </c>
      <c r="F449">
        <v>6658.0312080000003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0.25291050003891868</v>
      </c>
      <c r="Q449">
        <f t="shared" si="975"/>
        <v>1683.8860020900058</v>
      </c>
      <c r="R449">
        <f t="shared" si="976"/>
        <v>10342.390816101626</v>
      </c>
      <c r="S449">
        <f t="shared" si="977"/>
        <v>0.10342390816101626</v>
      </c>
      <c r="T449">
        <f t="shared" si="978"/>
        <v>1.0342390816101627E-4</v>
      </c>
    </row>
    <row r="450" spans="1:20" x14ac:dyDescent="0.25">
      <c r="A450" s="5">
        <v>44143</v>
      </c>
      <c r="B450">
        <v>14297.17</v>
      </c>
      <c r="C450">
        <v>15999</v>
      </c>
      <c r="D450">
        <v>13373.41</v>
      </c>
      <c r="E450">
        <v>15108.29</v>
      </c>
      <c r="F450">
        <v>8543.6993689999999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0.32151630681104126</v>
      </c>
      <c r="Q450">
        <f t="shared" si="975"/>
        <v>2746.9386676247036</v>
      </c>
      <c r="R450">
        <f t="shared" si="976"/>
        <v>8658.5048140116196</v>
      </c>
      <c r="S450">
        <f t="shared" si="977"/>
        <v>8.6585048140116194E-2</v>
      </c>
      <c r="T450">
        <f t="shared" si="978"/>
        <v>8.65850481401162E-5</v>
      </c>
    </row>
    <row r="451" spans="1:20" x14ac:dyDescent="0.25">
      <c r="A451" s="5">
        <v>44142</v>
      </c>
      <c r="B451">
        <v>11821.26</v>
      </c>
      <c r="C451">
        <v>17500</v>
      </c>
      <c r="D451">
        <v>11810.57</v>
      </c>
      <c r="E451">
        <v>14281.47</v>
      </c>
      <c r="F451">
        <v>21852.153171999998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-0.13140683688875704</v>
      </c>
      <c r="Q451">
        <f t="shared" si="975"/>
        <v>-2871.5223275411386</v>
      </c>
      <c r="R451">
        <f t="shared" si="976"/>
        <v>5911.5661463869164</v>
      </c>
      <c r="S451">
        <f t="shared" si="977"/>
        <v>5.9115661463869165E-2</v>
      </c>
      <c r="T451">
        <f t="shared" si="978"/>
        <v>5.9115661463869164E-5</v>
      </c>
    </row>
    <row r="452" spans="1:20" x14ac:dyDescent="0.25">
      <c r="A452" s="5">
        <v>44141</v>
      </c>
      <c r="B452">
        <v>8478.02</v>
      </c>
      <c r="C452">
        <v>11943</v>
      </c>
      <c r="D452">
        <v>8392.5</v>
      </c>
      <c r="E452">
        <v>11821.27</v>
      </c>
      <c r="F452">
        <v>9192.5073630000006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0.93142937614420529</v>
      </c>
      <c r="Q452">
        <f t="shared" si="975"/>
        <v>8562.1713983201043</v>
      </c>
      <c r="R452">
        <f t="shared" si="976"/>
        <v>8783.0884739280555</v>
      </c>
      <c r="S452">
        <f t="shared" si="977"/>
        <v>8.7830884739280551E-2</v>
      </c>
      <c r="T452">
        <f t="shared" si="978"/>
        <v>8.7830884739280554E-5</v>
      </c>
    </row>
    <row r="453" spans="1:20" x14ac:dyDescent="0.25">
      <c r="A453" s="5">
        <v>44140</v>
      </c>
      <c r="B453">
        <v>8493.32</v>
      </c>
      <c r="C453">
        <v>9908.7199999999993</v>
      </c>
      <c r="D453">
        <v>7451.36</v>
      </c>
      <c r="E453">
        <v>8488.35</v>
      </c>
      <c r="F453">
        <v>10304.516011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-0.15601295699449749</v>
      </c>
      <c r="Q453">
        <f t="shared" si="975"/>
        <v>-1607.6380132732538</v>
      </c>
      <c r="R453">
        <f t="shared" si="976"/>
        <v>220.91707560795157</v>
      </c>
      <c r="S453">
        <f t="shared" si="977"/>
        <v>2.2091707560795157E-3</v>
      </c>
      <c r="T453">
        <f t="shared" si="978"/>
        <v>2.2091707560795158E-6</v>
      </c>
    </row>
    <row r="454" spans="1:20" x14ac:dyDescent="0.25">
      <c r="A454" s="5">
        <v>44139</v>
      </c>
      <c r="B454">
        <v>9359.92</v>
      </c>
      <c r="C454">
        <v>9692.8700000000008</v>
      </c>
      <c r="D454">
        <v>8231.07</v>
      </c>
      <c r="E454">
        <v>8484.18</v>
      </c>
      <c r="F454">
        <v>5130.7840560000004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-0.65370091667806762</v>
      </c>
      <c r="Q454">
        <f t="shared" ref="Q454:Q517" si="980">F454*P454</f>
        <v>-3353.9982406844142</v>
      </c>
      <c r="R454">
        <f t="shared" ref="R454:R517" si="981">R455+Q454</f>
        <v>1828.5550888812054</v>
      </c>
      <c r="S454">
        <f t="shared" ref="S454:S517" si="982">R454/100000</f>
        <v>1.8285550888812053E-2</v>
      </c>
      <c r="T454">
        <f t="shared" ref="T454:T517" si="983">S454/1000</f>
        <v>1.8285550888812054E-5</v>
      </c>
    </row>
    <row r="455" spans="1:20" x14ac:dyDescent="0.25">
      <c r="A455" s="5">
        <v>44138</v>
      </c>
      <c r="B455">
        <v>10092.84</v>
      </c>
      <c r="C455">
        <v>10247.09</v>
      </c>
      <c r="D455">
        <v>9302.65</v>
      </c>
      <c r="E455">
        <v>9351.52</v>
      </c>
      <c r="F455">
        <v>2935.388884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-0.8965101012240041</v>
      </c>
      <c r="Q455">
        <f t="shared" si="980"/>
        <v>-2631.6057855266563</v>
      </c>
      <c r="R455">
        <f t="shared" si="981"/>
        <v>5182.5533295656196</v>
      </c>
      <c r="S455">
        <f t="shared" si="982"/>
        <v>5.1825533295656194E-2</v>
      </c>
      <c r="T455">
        <f t="shared" si="983"/>
        <v>5.1825533295656197E-5</v>
      </c>
    </row>
    <row r="456" spans="1:20" x14ac:dyDescent="0.25">
      <c r="A456" s="5">
        <v>44137</v>
      </c>
      <c r="B456">
        <v>10689.31</v>
      </c>
      <c r="C456">
        <v>11221.02</v>
      </c>
      <c r="D456">
        <v>10016.64</v>
      </c>
      <c r="E456">
        <v>10092.299999999999</v>
      </c>
      <c r="F456">
        <v>2451.9599669999998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-0.87435859114233083</v>
      </c>
      <c r="Q456">
        <f t="shared" si="980"/>
        <v>-2143.8922622835157</v>
      </c>
      <c r="R456">
        <f t="shared" si="981"/>
        <v>7814.1591150922759</v>
      </c>
      <c r="S456">
        <f t="shared" si="982"/>
        <v>7.8141591150922757E-2</v>
      </c>
      <c r="T456">
        <f t="shared" si="983"/>
        <v>7.8141591150922751E-5</v>
      </c>
    </row>
    <row r="457" spans="1:20" x14ac:dyDescent="0.25">
      <c r="A457" s="5">
        <v>44136</v>
      </c>
      <c r="B457">
        <v>10474.700000000001</v>
      </c>
      <c r="C457">
        <v>11039.14</v>
      </c>
      <c r="D457">
        <v>9978.06</v>
      </c>
      <c r="E457">
        <v>10689.46</v>
      </c>
      <c r="F457">
        <v>1992.1464900000001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0.34089795302898873</v>
      </c>
      <c r="Q457">
        <f t="shared" si="980"/>
        <v>679.11866057488476</v>
      </c>
      <c r="R457">
        <f t="shared" si="981"/>
        <v>9958.0513773757921</v>
      </c>
      <c r="S457">
        <f t="shared" si="982"/>
        <v>9.9580513773757914E-2</v>
      </c>
      <c r="T457">
        <f t="shared" si="983"/>
        <v>9.9580513773757918E-5</v>
      </c>
    </row>
    <row r="458" spans="1:20" x14ac:dyDescent="0.25">
      <c r="A458" s="5">
        <v>44135</v>
      </c>
      <c r="B458">
        <v>11011.03</v>
      </c>
      <c r="C458">
        <v>11430.16</v>
      </c>
      <c r="D458">
        <v>10255.700000000001</v>
      </c>
      <c r="E458">
        <v>10492.89</v>
      </c>
      <c r="F458">
        <v>2308.023455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-0.59608671219113663</v>
      </c>
      <c r="Q458">
        <f t="shared" si="980"/>
        <v>-1375.7821129509778</v>
      </c>
      <c r="R458">
        <f t="shared" si="981"/>
        <v>9278.9327168009077</v>
      </c>
      <c r="S458">
        <f t="shared" si="982"/>
        <v>9.278932716800907E-2</v>
      </c>
      <c r="T458">
        <f t="shared" si="983"/>
        <v>9.278932716800907E-5</v>
      </c>
    </row>
    <row r="459" spans="1:20" x14ac:dyDescent="0.25">
      <c r="A459" s="5">
        <v>44134</v>
      </c>
      <c r="B459">
        <v>10780.08</v>
      </c>
      <c r="C459">
        <v>11971.68</v>
      </c>
      <c r="D459">
        <v>9635.5499999999993</v>
      </c>
      <c r="E459">
        <v>11014.56</v>
      </c>
      <c r="F459">
        <v>6548.7527909999999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0.18059354573589623</v>
      </c>
      <c r="Q459">
        <f t="shared" si="980"/>
        <v>1182.6624866745365</v>
      </c>
      <c r="R459">
        <f t="shared" si="981"/>
        <v>10654.714829751885</v>
      </c>
      <c r="S459">
        <f t="shared" si="982"/>
        <v>0.10654714829751885</v>
      </c>
      <c r="T459">
        <f t="shared" si="983"/>
        <v>1.0654714829751885E-4</v>
      </c>
    </row>
    <row r="460" spans="1:20" x14ac:dyDescent="0.25">
      <c r="A460" s="5">
        <v>44133</v>
      </c>
      <c r="B460">
        <v>12553.98</v>
      </c>
      <c r="C460">
        <v>12944.98</v>
      </c>
      <c r="D460">
        <v>10511.01</v>
      </c>
      <c r="E460">
        <v>10781.1</v>
      </c>
      <c r="F460">
        <v>3722.3555070000002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-0.77806628676606515</v>
      </c>
      <c r="Q460">
        <f t="shared" si="980"/>
        <v>-2896.2393273547041</v>
      </c>
      <c r="R460">
        <f t="shared" si="981"/>
        <v>9472.0523430773483</v>
      </c>
      <c r="S460">
        <f t="shared" si="982"/>
        <v>9.4720523430773487E-2</v>
      </c>
      <c r="T460">
        <f t="shared" si="983"/>
        <v>9.4720523430773484E-5</v>
      </c>
    </row>
    <row r="461" spans="1:20" x14ac:dyDescent="0.25">
      <c r="A461" s="5">
        <v>44132</v>
      </c>
      <c r="B461">
        <v>13370.45</v>
      </c>
      <c r="C461">
        <v>13611.29</v>
      </c>
      <c r="D461">
        <v>12000</v>
      </c>
      <c r="E461">
        <v>12556.47</v>
      </c>
      <c r="F461">
        <v>2192.7559820000001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-0.30928634820547629</v>
      </c>
      <c r="Q461">
        <f t="shared" si="980"/>
        <v>-678.18949017849309</v>
      </c>
      <c r="R461">
        <f t="shared" si="981"/>
        <v>12368.291670432052</v>
      </c>
      <c r="S461">
        <f t="shared" si="982"/>
        <v>0.12368291670432052</v>
      </c>
      <c r="T461">
        <f t="shared" si="983"/>
        <v>1.2368291670432051E-4</v>
      </c>
    </row>
    <row r="462" spans="1:20" x14ac:dyDescent="0.25">
      <c r="A462" s="5">
        <v>44131</v>
      </c>
      <c r="B462">
        <v>13593.11</v>
      </c>
      <c r="C462">
        <v>14200</v>
      </c>
      <c r="D462">
        <v>13320.21</v>
      </c>
      <c r="E462">
        <v>13372.88</v>
      </c>
      <c r="F462">
        <v>1443.5684819999999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-0.88026688186953705</v>
      </c>
      <c r="Q462">
        <f t="shared" si="980"/>
        <v>-1270.7255264152809</v>
      </c>
      <c r="R462">
        <f t="shared" si="981"/>
        <v>13046.481160610545</v>
      </c>
      <c r="S462">
        <f t="shared" si="982"/>
        <v>0.13046481160610546</v>
      </c>
      <c r="T462">
        <f t="shared" si="983"/>
        <v>1.3046481160610546E-4</v>
      </c>
    </row>
    <row r="463" spans="1:20" x14ac:dyDescent="0.25">
      <c r="A463" s="5">
        <v>44130</v>
      </c>
      <c r="B463">
        <v>14289.81</v>
      </c>
      <c r="C463">
        <v>14573.88</v>
      </c>
      <c r="D463">
        <v>13176.7</v>
      </c>
      <c r="E463">
        <v>13589.52</v>
      </c>
      <c r="F463">
        <v>2034.4043449999999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-0.40906683462402815</v>
      </c>
      <c r="Q463">
        <f t="shared" si="980"/>
        <v>-832.20734575451934</v>
      </c>
      <c r="R463">
        <f t="shared" si="981"/>
        <v>14317.206687025826</v>
      </c>
      <c r="S463">
        <f t="shared" si="982"/>
        <v>0.14317206687025827</v>
      </c>
      <c r="T463">
        <f t="shared" si="983"/>
        <v>1.4317206687025828E-4</v>
      </c>
    </row>
    <row r="464" spans="1:20" x14ac:dyDescent="0.25">
      <c r="A464" s="5">
        <v>44129</v>
      </c>
      <c r="B464">
        <v>14864.85</v>
      </c>
      <c r="C464">
        <v>14900</v>
      </c>
      <c r="D464">
        <v>14150</v>
      </c>
      <c r="E464">
        <v>14297</v>
      </c>
      <c r="F464">
        <v>1239.0625729999999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-0.60799999999999998</v>
      </c>
      <c r="Q464">
        <f t="shared" si="980"/>
        <v>-753.35004438399994</v>
      </c>
      <c r="R464">
        <f t="shared" si="981"/>
        <v>15149.414032780345</v>
      </c>
      <c r="S464">
        <f t="shared" si="982"/>
        <v>0.15149414032780345</v>
      </c>
      <c r="T464">
        <f t="shared" si="983"/>
        <v>1.5149414032780345E-4</v>
      </c>
    </row>
    <row r="465" spans="1:20" x14ac:dyDescent="0.25">
      <c r="A465" s="5">
        <v>44128</v>
      </c>
      <c r="B465">
        <v>14892.61</v>
      </c>
      <c r="C465">
        <v>15481.15</v>
      </c>
      <c r="D465">
        <v>14535</v>
      </c>
      <c r="E465">
        <v>14872.72</v>
      </c>
      <c r="F465">
        <v>1809.5893209999999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-0.28611742324155898</v>
      </c>
      <c r="Q465">
        <f t="shared" si="980"/>
        <v>-517.75503364996234</v>
      </c>
      <c r="R465">
        <f t="shared" si="981"/>
        <v>15902.764077164346</v>
      </c>
      <c r="S465">
        <f t="shared" si="982"/>
        <v>0.15902764077164344</v>
      </c>
      <c r="T465">
        <f t="shared" si="983"/>
        <v>1.5902764077164343E-4</v>
      </c>
    </row>
    <row r="466" spans="1:20" x14ac:dyDescent="0.25">
      <c r="A466" s="5">
        <v>44127</v>
      </c>
      <c r="B466">
        <v>13722.33</v>
      </c>
      <c r="C466">
        <v>14940.31</v>
      </c>
      <c r="D466">
        <v>13600</v>
      </c>
      <c r="E466">
        <v>14903.15</v>
      </c>
      <c r="F466">
        <v>2773.6217620000002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0.9445501413852021</v>
      </c>
      <c r="Q466">
        <f t="shared" si="980"/>
        <v>2619.8248274461735</v>
      </c>
      <c r="R466">
        <f t="shared" si="981"/>
        <v>16420.519110814308</v>
      </c>
      <c r="S466">
        <f t="shared" si="982"/>
        <v>0.16420519110814308</v>
      </c>
      <c r="T466">
        <f t="shared" si="983"/>
        <v>1.6420519110814307E-4</v>
      </c>
    </row>
    <row r="467" spans="1:20" x14ac:dyDescent="0.25">
      <c r="A467" s="5">
        <v>44126</v>
      </c>
      <c r="B467">
        <v>13283.21</v>
      </c>
      <c r="C467">
        <v>14389.47</v>
      </c>
      <c r="D467">
        <v>13132.54</v>
      </c>
      <c r="E467">
        <v>13724.82</v>
      </c>
      <c r="F467">
        <v>2015.691656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-5.7576794252663939E-2</v>
      </c>
      <c r="Q467">
        <f t="shared" si="980"/>
        <v>-116.05706375432345</v>
      </c>
      <c r="R467">
        <f t="shared" si="981"/>
        <v>13800.694283368133</v>
      </c>
      <c r="S467">
        <f t="shared" si="982"/>
        <v>0.13800694283368134</v>
      </c>
      <c r="T467">
        <f t="shared" si="983"/>
        <v>1.3800694283368133E-4</v>
      </c>
    </row>
    <row r="468" spans="1:20" x14ac:dyDescent="0.25">
      <c r="A468" s="5">
        <v>44125</v>
      </c>
      <c r="B468">
        <v>13053.33</v>
      </c>
      <c r="C468">
        <v>14667</v>
      </c>
      <c r="D468">
        <v>12905.94</v>
      </c>
      <c r="E468">
        <v>13293.14</v>
      </c>
      <c r="F468">
        <v>3561.9967550000001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-0.56026484049379466</v>
      </c>
      <c r="Q468">
        <f t="shared" si="980"/>
        <v>-1995.6615437794892</v>
      </c>
      <c r="R468">
        <f t="shared" si="981"/>
        <v>13916.751347122457</v>
      </c>
      <c r="S468">
        <f t="shared" si="982"/>
        <v>0.13916751347122458</v>
      </c>
      <c r="T468">
        <f t="shared" si="983"/>
        <v>1.3916751347122457E-4</v>
      </c>
    </row>
    <row r="469" spans="1:20" x14ac:dyDescent="0.25">
      <c r="A469" s="5">
        <v>44124</v>
      </c>
      <c r="B469">
        <v>13721.36</v>
      </c>
      <c r="C469">
        <v>14119.99</v>
      </c>
      <c r="D469">
        <v>12720.07</v>
      </c>
      <c r="E469">
        <v>13053.33</v>
      </c>
      <c r="F469">
        <v>2728.4833400000002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-0.52388707926167177</v>
      </c>
      <c r="Q469">
        <f t="shared" si="980"/>
        <v>-1429.417167806731</v>
      </c>
      <c r="R469">
        <f t="shared" si="981"/>
        <v>15912.412890901947</v>
      </c>
      <c r="S469">
        <f t="shared" si="982"/>
        <v>0.15912412890901947</v>
      </c>
      <c r="T469">
        <f t="shared" si="983"/>
        <v>1.5912412890901946E-4</v>
      </c>
    </row>
    <row r="470" spans="1:20" x14ac:dyDescent="0.25">
      <c r="A470" s="5">
        <v>44123</v>
      </c>
      <c r="B470">
        <v>15429.8</v>
      </c>
      <c r="C470">
        <v>15645</v>
      </c>
      <c r="D470">
        <v>13709.88</v>
      </c>
      <c r="E470">
        <v>13709.88</v>
      </c>
      <c r="F470">
        <v>2313.8541879999998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-1</v>
      </c>
      <c r="Q470">
        <f t="shared" si="980"/>
        <v>-2313.8541879999998</v>
      </c>
      <c r="R470">
        <f t="shared" si="981"/>
        <v>17341.830058708678</v>
      </c>
      <c r="S470">
        <f t="shared" si="982"/>
        <v>0.17341830058708677</v>
      </c>
      <c r="T470">
        <f t="shared" si="983"/>
        <v>1.7341830058708677E-4</v>
      </c>
    </row>
    <row r="471" spans="1:20" x14ac:dyDescent="0.25">
      <c r="A471" s="5">
        <v>44122</v>
      </c>
      <c r="B471">
        <v>14053.07</v>
      </c>
      <c r="C471">
        <v>15782</v>
      </c>
      <c r="D471">
        <v>13931.7</v>
      </c>
      <c r="E471">
        <v>15427.68</v>
      </c>
      <c r="F471">
        <v>2797.9844469999998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0.61701345727719847</v>
      </c>
      <c r="Q471">
        <f t="shared" si="980"/>
        <v>1726.3940570513003</v>
      </c>
      <c r="R471">
        <f t="shared" si="981"/>
        <v>19655.684246708679</v>
      </c>
      <c r="S471">
        <f t="shared" si="982"/>
        <v>0.1965568424670868</v>
      </c>
      <c r="T471">
        <f t="shared" si="983"/>
        <v>1.9655684246708681E-4</v>
      </c>
    </row>
    <row r="472" spans="1:20" x14ac:dyDescent="0.25">
      <c r="A472" s="5">
        <v>44121</v>
      </c>
      <c r="B472">
        <v>13405</v>
      </c>
      <c r="C472">
        <v>14152.54</v>
      </c>
      <c r="D472">
        <v>13120</v>
      </c>
      <c r="E472">
        <v>14039.17</v>
      </c>
      <c r="F472">
        <v>1403.676111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0.78040560172002882</v>
      </c>
      <c r="Q472">
        <f t="shared" si="980"/>
        <v>1095.4367000249849</v>
      </c>
      <c r="R472">
        <f t="shared" si="981"/>
        <v>17929.290189657379</v>
      </c>
      <c r="S472">
        <f t="shared" si="982"/>
        <v>0.17929290189657379</v>
      </c>
      <c r="T472">
        <f t="shared" si="983"/>
        <v>1.7929290189657379E-4</v>
      </c>
    </row>
    <row r="473" spans="1:20" x14ac:dyDescent="0.25">
      <c r="A473" s="5">
        <v>44120</v>
      </c>
      <c r="B473">
        <v>14607.68</v>
      </c>
      <c r="C473">
        <v>14620.81</v>
      </c>
      <c r="D473">
        <v>13372.36</v>
      </c>
      <c r="E473">
        <v>13403.4</v>
      </c>
      <c r="F473">
        <v>1957.583511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-0.95027434018182688</v>
      </c>
      <c r="Q473">
        <f t="shared" si="980"/>
        <v>-1860.241379266349</v>
      </c>
      <c r="R473">
        <f t="shared" si="981"/>
        <v>16833.853489632394</v>
      </c>
      <c r="S473">
        <f t="shared" si="982"/>
        <v>0.16833853489632394</v>
      </c>
      <c r="T473">
        <f t="shared" si="983"/>
        <v>1.6833853489632396E-4</v>
      </c>
    </row>
    <row r="474" spans="1:20" x14ac:dyDescent="0.25">
      <c r="A474" s="5">
        <v>44119</v>
      </c>
      <c r="B474">
        <v>14573.7</v>
      </c>
      <c r="C474">
        <v>15800</v>
      </c>
      <c r="D474">
        <v>13933.27</v>
      </c>
      <c r="E474">
        <v>14614.29</v>
      </c>
      <c r="F474">
        <v>2708.8444949999998</v>
      </c>
      <c r="G474">
        <v>0</v>
      </c>
      <c r="L474" t="s">
        <v>8</v>
      </c>
      <c r="M474" t="s">
        <v>7</v>
      </c>
      <c r="N474" t="s">
        <v>7</v>
      </c>
      <c r="P474">
        <f t="shared" si="979"/>
        <v>-0.2703604699126273</v>
      </c>
      <c r="Q474">
        <f t="shared" si="980"/>
        <v>-732.36447058843351</v>
      </c>
      <c r="R474">
        <f t="shared" si="981"/>
        <v>18694.094868898745</v>
      </c>
      <c r="S474">
        <f t="shared" si="982"/>
        <v>0.18694094868898745</v>
      </c>
      <c r="T474">
        <f t="shared" si="983"/>
        <v>1.8694094868898744E-4</v>
      </c>
    </row>
    <row r="475" spans="1:20" x14ac:dyDescent="0.25">
      <c r="A475" s="5">
        <v>44118</v>
      </c>
      <c r="B475">
        <v>15652.86</v>
      </c>
      <c r="C475">
        <v>16100</v>
      </c>
      <c r="D475">
        <v>13729.48</v>
      </c>
      <c r="E475">
        <v>14578.98</v>
      </c>
      <c r="F475">
        <v>3006.722256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-0.28327961797411549</v>
      </c>
      <c r="Q475">
        <f t="shared" si="980"/>
        <v>-851.7431320339507</v>
      </c>
      <c r="R475">
        <f t="shared" si="981"/>
        <v>19426.459339487177</v>
      </c>
      <c r="S475">
        <f t="shared" si="982"/>
        <v>0.19426459339487176</v>
      </c>
      <c r="T475">
        <f t="shared" si="983"/>
        <v>1.9426459339487177E-4</v>
      </c>
    </row>
    <row r="476" spans="1:20" x14ac:dyDescent="0.25">
      <c r="A476" s="5">
        <v>44117</v>
      </c>
      <c r="B476">
        <v>16503.32</v>
      </c>
      <c r="C476">
        <v>16690.93</v>
      </c>
      <c r="D476">
        <v>15283.56</v>
      </c>
      <c r="E476">
        <v>15634.07</v>
      </c>
      <c r="F476">
        <v>2142.1998090000002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-0.50189360296155239</v>
      </c>
      <c r="Q476">
        <f t="shared" si="980"/>
        <v>-1075.1563804025595</v>
      </c>
      <c r="R476">
        <f t="shared" si="981"/>
        <v>20278.202471521126</v>
      </c>
      <c r="S476">
        <f t="shared" si="982"/>
        <v>0.20278202471521126</v>
      </c>
      <c r="T476">
        <f t="shared" si="983"/>
        <v>2.0278202471521125E-4</v>
      </c>
    </row>
    <row r="477" spans="1:20" x14ac:dyDescent="0.25">
      <c r="A477" s="5">
        <v>44116</v>
      </c>
      <c r="B477">
        <v>16900</v>
      </c>
      <c r="C477">
        <v>17530</v>
      </c>
      <c r="D477">
        <v>15640.16</v>
      </c>
      <c r="E477">
        <v>16521.11</v>
      </c>
      <c r="F477">
        <v>3092.9322729999999</v>
      </c>
      <c r="G477">
        <v>0</v>
      </c>
      <c r="L477" t="s">
        <v>8</v>
      </c>
      <c r="M477" t="s">
        <v>7</v>
      </c>
      <c r="N477" t="s">
        <v>8</v>
      </c>
      <c r="P477">
        <f t="shared" si="979"/>
        <v>-6.7698852812935847E-2</v>
      </c>
      <c r="Q477">
        <f t="shared" si="980"/>
        <v>-209.38796671020611</v>
      </c>
      <c r="R477">
        <f t="shared" si="981"/>
        <v>21353.358851923687</v>
      </c>
      <c r="S477">
        <f t="shared" si="982"/>
        <v>0.21353358851923687</v>
      </c>
      <c r="T477">
        <f t="shared" si="983"/>
        <v>2.1353358851923686E-4</v>
      </c>
    </row>
    <row r="478" spans="1:20" x14ac:dyDescent="0.25">
      <c r="A478" s="5">
        <v>44115</v>
      </c>
      <c r="B478">
        <v>15986.1</v>
      </c>
      <c r="C478">
        <v>17700</v>
      </c>
      <c r="D478">
        <v>15032.38</v>
      </c>
      <c r="E478">
        <v>16900</v>
      </c>
      <c r="F478">
        <v>4051.8643149999998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0.40021442334365481</v>
      </c>
      <c r="Q478">
        <f t="shared" si="980"/>
        <v>1621.6145402944578</v>
      </c>
      <c r="R478">
        <f t="shared" si="981"/>
        <v>21562.746818633892</v>
      </c>
      <c r="S478">
        <f t="shared" si="982"/>
        <v>0.21562746818633893</v>
      </c>
      <c r="T478">
        <f t="shared" si="983"/>
        <v>2.1562746818633893E-4</v>
      </c>
    </row>
    <row r="479" spans="1:20" x14ac:dyDescent="0.25">
      <c r="A479" s="5">
        <v>44114</v>
      </c>
      <c r="B479">
        <v>18042.64</v>
      </c>
      <c r="C479">
        <v>19400</v>
      </c>
      <c r="D479">
        <v>15835</v>
      </c>
      <c r="E479">
        <v>15995.01</v>
      </c>
      <c r="F479">
        <v>3538.9968370000001</v>
      </c>
      <c r="G479">
        <v>0</v>
      </c>
      <c r="L479" t="s">
        <v>7</v>
      </c>
      <c r="M479" t="s">
        <v>7</v>
      </c>
      <c r="N479" t="s">
        <v>8</v>
      </c>
      <c r="P479">
        <f t="shared" si="979"/>
        <v>-0.91023281907433373</v>
      </c>
      <c r="Q479">
        <f t="shared" si="980"/>
        <v>-3221.3110676376605</v>
      </c>
      <c r="R479">
        <f t="shared" si="981"/>
        <v>19941.132278339435</v>
      </c>
      <c r="S479">
        <f t="shared" si="982"/>
        <v>0.19941132278339435</v>
      </c>
      <c r="T479">
        <f t="shared" si="983"/>
        <v>1.9941132278339434E-4</v>
      </c>
    </row>
    <row r="480" spans="1:20" x14ac:dyDescent="0.25">
      <c r="A480" s="5">
        <v>44113</v>
      </c>
      <c r="B480">
        <v>16728.5</v>
      </c>
      <c r="C480">
        <v>19469.28</v>
      </c>
      <c r="D480">
        <v>15789.59</v>
      </c>
      <c r="E480">
        <v>18040.96</v>
      </c>
      <c r="F480">
        <v>5607.476619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0.22367373338514918</v>
      </c>
      <c r="Q480">
        <f t="shared" si="980"/>
        <v>1254.2452302416636</v>
      </c>
      <c r="R480">
        <f t="shared" si="981"/>
        <v>23162.443345977095</v>
      </c>
      <c r="S480">
        <f t="shared" si="982"/>
        <v>0.23162443345977096</v>
      </c>
      <c r="T480">
        <f t="shared" si="983"/>
        <v>2.3162443345977097E-4</v>
      </c>
    </row>
    <row r="481" spans="1:20" x14ac:dyDescent="0.25">
      <c r="A481" s="5">
        <v>44112</v>
      </c>
      <c r="B481">
        <v>14853.88</v>
      </c>
      <c r="C481">
        <v>17338.689999999999</v>
      </c>
      <c r="D481">
        <v>12260</v>
      </c>
      <c r="E481">
        <v>16732.580000000002</v>
      </c>
      <c r="F481">
        <v>9625.7850940000008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0.76131246443472744</v>
      </c>
      <c r="Q481">
        <f t="shared" si="980"/>
        <v>7328.2301720322048</v>
      </c>
      <c r="R481">
        <f t="shared" si="981"/>
        <v>21908.198115735431</v>
      </c>
      <c r="S481">
        <f t="shared" si="982"/>
        <v>0.21908198115735431</v>
      </c>
      <c r="T481">
        <f t="shared" si="983"/>
        <v>2.190819811573543E-4</v>
      </c>
    </row>
    <row r="482" spans="1:20" x14ac:dyDescent="0.25">
      <c r="A482" s="5">
        <v>44111</v>
      </c>
      <c r="B482">
        <v>16586.330000000002</v>
      </c>
      <c r="C482">
        <v>16681.13</v>
      </c>
      <c r="D482">
        <v>13715.47</v>
      </c>
      <c r="E482">
        <v>14853.84</v>
      </c>
      <c r="F482">
        <v>5017.7011240000002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-0.2322990497899286</v>
      </c>
      <c r="Q482">
        <f t="shared" si="980"/>
        <v>-1165.6072032350567</v>
      </c>
      <c r="R482">
        <f t="shared" si="981"/>
        <v>14579.967943703228</v>
      </c>
      <c r="S482">
        <f t="shared" si="982"/>
        <v>0.14579967943703229</v>
      </c>
      <c r="T482">
        <f t="shared" si="983"/>
        <v>1.4579967943703228E-4</v>
      </c>
    </row>
    <row r="483" spans="1:20" x14ac:dyDescent="0.25">
      <c r="A483" s="5">
        <v>44110</v>
      </c>
      <c r="B483">
        <v>19176.189999999999</v>
      </c>
      <c r="C483">
        <v>19399.990000000002</v>
      </c>
      <c r="D483">
        <v>16040.16</v>
      </c>
      <c r="E483">
        <v>16601.439999999999</v>
      </c>
      <c r="F483">
        <v>3129.260385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-0.66588785742135848</v>
      </c>
      <c r="Q483">
        <f t="shared" si="980"/>
        <v>-2083.7364930811855</v>
      </c>
      <c r="R483">
        <f t="shared" si="981"/>
        <v>15745.575146938285</v>
      </c>
      <c r="S483">
        <f t="shared" si="982"/>
        <v>0.15745575146938284</v>
      </c>
      <c r="T483">
        <f t="shared" si="983"/>
        <v>1.5745575146938284E-4</v>
      </c>
    </row>
    <row r="484" spans="1:20" x14ac:dyDescent="0.25">
      <c r="A484" s="5">
        <v>44109</v>
      </c>
      <c r="B484">
        <v>19149.89</v>
      </c>
      <c r="C484">
        <v>20500</v>
      </c>
      <c r="D484">
        <v>17500</v>
      </c>
      <c r="E484">
        <v>19176.46</v>
      </c>
      <c r="F484">
        <v>3051.3376589999998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0.11763999999999941</v>
      </c>
      <c r="Q484">
        <f t="shared" si="980"/>
        <v>358.95936220475818</v>
      </c>
      <c r="R484">
        <f t="shared" si="981"/>
        <v>17829.31164001947</v>
      </c>
      <c r="S484">
        <f t="shared" si="982"/>
        <v>0.17829311640019471</v>
      </c>
      <c r="T484">
        <f t="shared" si="983"/>
        <v>1.7829311640019471E-4</v>
      </c>
    </row>
    <row r="485" spans="1:20" x14ac:dyDescent="0.25">
      <c r="A485" s="5">
        <v>44108</v>
      </c>
      <c r="B485">
        <v>18850</v>
      </c>
      <c r="C485">
        <v>20249</v>
      </c>
      <c r="D485">
        <v>15993.82</v>
      </c>
      <c r="E485">
        <v>19149.939999999999</v>
      </c>
      <c r="F485">
        <v>4707.2923780000001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0.48342490799449084</v>
      </c>
      <c r="Q485">
        <f t="shared" si="980"/>
        <v>2275.6223847378178</v>
      </c>
      <c r="R485">
        <f t="shared" si="981"/>
        <v>17470.352277814713</v>
      </c>
      <c r="S485">
        <f t="shared" si="982"/>
        <v>0.17470352277814713</v>
      </c>
      <c r="T485">
        <f t="shared" si="983"/>
        <v>1.7470352277814712E-4</v>
      </c>
    </row>
    <row r="486" spans="1:20" x14ac:dyDescent="0.25">
      <c r="A486" s="5">
        <v>44107</v>
      </c>
      <c r="B486">
        <v>21059.38</v>
      </c>
      <c r="C486">
        <v>21706.17</v>
      </c>
      <c r="D486">
        <v>18500</v>
      </c>
      <c r="E486">
        <v>18850</v>
      </c>
      <c r="F486">
        <v>2141.8712780000001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-0.78167096566931871</v>
      </c>
      <c r="Q486">
        <f t="shared" si="980"/>
        <v>-1674.2385902136377</v>
      </c>
      <c r="R486">
        <f t="shared" si="981"/>
        <v>15194.729893076896</v>
      </c>
      <c r="S486">
        <f t="shared" si="982"/>
        <v>0.15194729893076897</v>
      </c>
      <c r="T486">
        <f t="shared" si="983"/>
        <v>1.5194729893076896E-4</v>
      </c>
    </row>
    <row r="487" spans="1:20" x14ac:dyDescent="0.25">
      <c r="A487" s="5">
        <v>44106</v>
      </c>
      <c r="B487">
        <v>22784.83</v>
      </c>
      <c r="C487">
        <v>23278.61</v>
      </c>
      <c r="D487">
        <v>18905.009999999998</v>
      </c>
      <c r="E487">
        <v>21047.03</v>
      </c>
      <c r="F487">
        <v>3045.7849620000002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-2.0477409914029923E-2</v>
      </c>
      <c r="Q487">
        <f t="shared" si="980"/>
        <v>-62.369787176862054</v>
      </c>
      <c r="R487">
        <f t="shared" si="981"/>
        <v>16868.968483290533</v>
      </c>
      <c r="S487">
        <f t="shared" si="982"/>
        <v>0.16868968483290533</v>
      </c>
      <c r="T487">
        <f t="shared" si="983"/>
        <v>1.6868968483290533E-4</v>
      </c>
    </row>
    <row r="488" spans="1:20" x14ac:dyDescent="0.25">
      <c r="A488" s="5">
        <v>44105</v>
      </c>
      <c r="B488">
        <v>23858.17</v>
      </c>
      <c r="C488">
        <v>26256.62</v>
      </c>
      <c r="D488">
        <v>21388.17</v>
      </c>
      <c r="E488">
        <v>22790.75</v>
      </c>
      <c r="F488">
        <v>3000.6443330000002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-0.42380839897708655</v>
      </c>
      <c r="Q488">
        <f t="shared" si="980"/>
        <v>-1271.6982706683978</v>
      </c>
      <c r="R488">
        <f t="shared" si="981"/>
        <v>16931.338270467397</v>
      </c>
      <c r="S488">
        <f t="shared" si="982"/>
        <v>0.16931338270467397</v>
      </c>
      <c r="T488">
        <f t="shared" si="983"/>
        <v>1.6931338270467398E-4</v>
      </c>
    </row>
    <row r="489" spans="1:20" x14ac:dyDescent="0.25">
      <c r="A489" s="5">
        <v>44104</v>
      </c>
      <c r="B489">
        <v>25040.41</v>
      </c>
      <c r="C489">
        <v>25092.57</v>
      </c>
      <c r="D489">
        <v>21800</v>
      </c>
      <c r="E489">
        <v>23822.04</v>
      </c>
      <c r="F489">
        <v>2759.3962099999999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0.22824419830102385</v>
      </c>
      <c r="Q489">
        <f t="shared" si="980"/>
        <v>629.81617574633367</v>
      </c>
      <c r="R489">
        <f t="shared" si="981"/>
        <v>18203.036541135796</v>
      </c>
      <c r="S489">
        <f t="shared" si="982"/>
        <v>0.18203036541135797</v>
      </c>
      <c r="T489">
        <f t="shared" si="983"/>
        <v>1.8203036541135798E-4</v>
      </c>
    </row>
    <row r="490" spans="1:20" x14ac:dyDescent="0.25">
      <c r="A490" s="5">
        <v>44103</v>
      </c>
      <c r="B490">
        <v>28436.57</v>
      </c>
      <c r="C490">
        <v>28896.52</v>
      </c>
      <c r="D490">
        <v>23500</v>
      </c>
      <c r="E490">
        <v>25039.35</v>
      </c>
      <c r="F490">
        <v>3732.1584889999999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-0.42950271656549094</v>
      </c>
      <c r="Q490">
        <f t="shared" si="980"/>
        <v>-1602.9722096784578</v>
      </c>
      <c r="R490">
        <f t="shared" si="981"/>
        <v>17573.220365389461</v>
      </c>
      <c r="S490">
        <f t="shared" si="982"/>
        <v>0.17573220365389461</v>
      </c>
      <c r="T490">
        <f t="shared" si="983"/>
        <v>1.7573220365389461E-4</v>
      </c>
    </row>
    <row r="491" spans="1:20" x14ac:dyDescent="0.25">
      <c r="A491" s="5">
        <v>44102</v>
      </c>
      <c r="B491">
        <v>30631.08</v>
      </c>
      <c r="C491">
        <v>31450</v>
      </c>
      <c r="D491">
        <v>27549.119999999999</v>
      </c>
      <c r="E491">
        <v>28460.240000000002</v>
      </c>
      <c r="F491">
        <v>1834.975322</v>
      </c>
      <c r="G491">
        <v>0</v>
      </c>
      <c r="L491" t="s">
        <v>7</v>
      </c>
      <c r="M491" t="s">
        <v>7</v>
      </c>
      <c r="N491" t="s">
        <v>8</v>
      </c>
      <c r="P491">
        <f t="shared" si="979"/>
        <v>-0.5328643793195369</v>
      </c>
      <c r="Q491">
        <f t="shared" si="980"/>
        <v>-977.79298602419738</v>
      </c>
      <c r="R491">
        <f t="shared" si="981"/>
        <v>19176.192575067918</v>
      </c>
      <c r="S491">
        <f t="shared" si="982"/>
        <v>0.19176192575067919</v>
      </c>
      <c r="T491">
        <f t="shared" si="983"/>
        <v>1.9176192575067919E-4</v>
      </c>
    </row>
    <row r="492" spans="1:20" x14ac:dyDescent="0.25">
      <c r="A492" s="5">
        <v>44101</v>
      </c>
      <c r="B492">
        <v>31631.62</v>
      </c>
      <c r="C492">
        <v>34204.239999999998</v>
      </c>
      <c r="D492">
        <v>28202</v>
      </c>
      <c r="E492">
        <v>30621.02</v>
      </c>
      <c r="F492">
        <v>3116.9390960000001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-0.19396092125606398</v>
      </c>
      <c r="Q492">
        <f t="shared" si="980"/>
        <v>-604.56437855920331</v>
      </c>
      <c r="R492">
        <f t="shared" si="981"/>
        <v>20153.985561092115</v>
      </c>
      <c r="S492">
        <f t="shared" si="982"/>
        <v>0.20153985561092114</v>
      </c>
      <c r="T492">
        <f t="shared" si="983"/>
        <v>2.0153985561092113E-4</v>
      </c>
    </row>
    <row r="493" spans="1:20" x14ac:dyDescent="0.25">
      <c r="A493" s="5">
        <v>44100</v>
      </c>
      <c r="B493">
        <v>26807.31</v>
      </c>
      <c r="C493">
        <v>31890</v>
      </c>
      <c r="D493">
        <v>25963.43</v>
      </c>
      <c r="E493">
        <v>31645.39</v>
      </c>
      <c r="F493">
        <v>2543.5426269999998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0.91745309681653953</v>
      </c>
      <c r="Q493">
        <f t="shared" si="980"/>
        <v>2333.5810600260261</v>
      </c>
      <c r="R493">
        <f t="shared" si="981"/>
        <v>20758.549939651319</v>
      </c>
      <c r="S493">
        <f t="shared" si="982"/>
        <v>0.20758549939651319</v>
      </c>
      <c r="T493">
        <f t="shared" si="983"/>
        <v>2.075854993965132E-4</v>
      </c>
    </row>
    <row r="494" spans="1:20" x14ac:dyDescent="0.25">
      <c r="A494" s="5">
        <v>44099</v>
      </c>
      <c r="B494">
        <v>25258.49</v>
      </c>
      <c r="C494">
        <v>27549.38</v>
      </c>
      <c r="D494">
        <v>23200</v>
      </c>
      <c r="E494">
        <v>26807.53</v>
      </c>
      <c r="F494">
        <v>1687.171345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0.65887091953335786</v>
      </c>
      <c r="Q494">
        <f t="shared" si="980"/>
        <v>1111.6281354904822</v>
      </c>
      <c r="R494">
        <f t="shared" si="981"/>
        <v>18424.968879625292</v>
      </c>
      <c r="S494">
        <f t="shared" si="982"/>
        <v>0.18424968879625292</v>
      </c>
      <c r="T494">
        <f t="shared" si="983"/>
        <v>1.8424968879625291E-4</v>
      </c>
    </row>
    <row r="495" spans="1:20" x14ac:dyDescent="0.25">
      <c r="A495" s="5">
        <v>44098</v>
      </c>
      <c r="B495">
        <v>21203.18</v>
      </c>
      <c r="C495">
        <v>25317.82</v>
      </c>
      <c r="D495">
        <v>20275.099999999999</v>
      </c>
      <c r="E495">
        <v>25258.49</v>
      </c>
      <c r="F495">
        <v>2191.7873749999999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0.97646904845004356</v>
      </c>
      <c r="Q495">
        <f t="shared" si="980"/>
        <v>2140.2125324710687</v>
      </c>
      <c r="R495">
        <f t="shared" si="981"/>
        <v>17313.34074413481</v>
      </c>
      <c r="S495">
        <f t="shared" si="982"/>
        <v>0.17313340744134809</v>
      </c>
      <c r="T495">
        <f t="shared" si="983"/>
        <v>1.7313340744134809E-4</v>
      </c>
    </row>
    <row r="496" spans="1:20" x14ac:dyDescent="0.25">
      <c r="A496" s="5">
        <v>44097</v>
      </c>
      <c r="B496">
        <v>25042.9</v>
      </c>
      <c r="C496">
        <v>26300</v>
      </c>
      <c r="D496">
        <v>21014.57</v>
      </c>
      <c r="E496">
        <v>21191.4</v>
      </c>
      <c r="F496">
        <v>2196.8718229999999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-0.93308775255750176</v>
      </c>
      <c r="Q496">
        <f t="shared" si="980"/>
        <v>-2049.8741919799718</v>
      </c>
      <c r="R496">
        <f t="shared" si="981"/>
        <v>15173.128211663741</v>
      </c>
      <c r="S496">
        <f t="shared" si="982"/>
        <v>0.15173128211663742</v>
      </c>
      <c r="T496">
        <f t="shared" si="983"/>
        <v>1.5173128211663743E-4</v>
      </c>
    </row>
    <row r="497" spans="1:20" x14ac:dyDescent="0.25">
      <c r="A497" s="5">
        <v>44096</v>
      </c>
      <c r="B497">
        <v>24045.53</v>
      </c>
      <c r="C497">
        <v>26967.439999999999</v>
      </c>
      <c r="D497">
        <v>22727.38</v>
      </c>
      <c r="E497">
        <v>25017.3</v>
      </c>
      <c r="F497">
        <v>2293.6202600000001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8.01356584576631E-2</v>
      </c>
      <c r="Q497">
        <f t="shared" si="980"/>
        <v>183.80076978693646</v>
      </c>
      <c r="R497">
        <f t="shared" si="981"/>
        <v>17223.002403643713</v>
      </c>
      <c r="S497">
        <f t="shared" si="982"/>
        <v>0.17223002403643714</v>
      </c>
      <c r="T497">
        <f t="shared" si="983"/>
        <v>1.7223002403643714E-4</v>
      </c>
    </row>
    <row r="498" spans="1:20" x14ac:dyDescent="0.25">
      <c r="A498" s="5">
        <v>44095</v>
      </c>
      <c r="B498">
        <v>28071.33</v>
      </c>
      <c r="C498">
        <v>28500</v>
      </c>
      <c r="D498">
        <v>21722.59</v>
      </c>
      <c r="E498">
        <v>24045.53</v>
      </c>
      <c r="F498">
        <v>3181.5101330000002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-0.31450509855534819</v>
      </c>
      <c r="Q498">
        <f t="shared" si="980"/>
        <v>-1000.601157934004</v>
      </c>
      <c r="R498">
        <f t="shared" si="981"/>
        <v>17039.201633856777</v>
      </c>
      <c r="S498">
        <f t="shared" si="982"/>
        <v>0.17039201633856776</v>
      </c>
      <c r="T498">
        <f t="shared" si="983"/>
        <v>1.7039201633856776E-4</v>
      </c>
    </row>
    <row r="499" spans="1:20" x14ac:dyDescent="0.25">
      <c r="A499" s="5">
        <v>44094</v>
      </c>
      <c r="B499">
        <v>30919.05</v>
      </c>
      <c r="C499">
        <v>30973</v>
      </c>
      <c r="D499">
        <v>26200</v>
      </c>
      <c r="E499">
        <v>28071.33</v>
      </c>
      <c r="F499">
        <v>1684.067624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-0.21586842656610025</v>
      </c>
      <c r="Q499">
        <f t="shared" si="980"/>
        <v>-363.53702822379091</v>
      </c>
      <c r="R499">
        <f t="shared" si="981"/>
        <v>18039.802791790782</v>
      </c>
      <c r="S499">
        <f t="shared" si="982"/>
        <v>0.18039802791790782</v>
      </c>
      <c r="T499">
        <f t="shared" si="983"/>
        <v>1.8039802791790783E-4</v>
      </c>
    </row>
    <row r="500" spans="1:20" x14ac:dyDescent="0.25">
      <c r="A500" s="5">
        <v>44093</v>
      </c>
      <c r="B500">
        <v>33038.86</v>
      </c>
      <c r="C500">
        <v>33168.31</v>
      </c>
      <c r="D500">
        <v>27851</v>
      </c>
      <c r="E500">
        <v>30932.7</v>
      </c>
      <c r="F500">
        <v>1714.68416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0.15911993094252624</v>
      </c>
      <c r="Q500">
        <f t="shared" si="980"/>
        <v>272.84042512744361</v>
      </c>
      <c r="R500">
        <f t="shared" si="981"/>
        <v>18403.339820014571</v>
      </c>
      <c r="S500">
        <f t="shared" si="982"/>
        <v>0.18403339820014572</v>
      </c>
      <c r="T500">
        <f t="shared" si="983"/>
        <v>1.8403339820014571E-4</v>
      </c>
    </row>
    <row r="501" spans="1:20" x14ac:dyDescent="0.25">
      <c r="A501" s="5">
        <v>44092</v>
      </c>
      <c r="B501">
        <v>33231.760000000002</v>
      </c>
      <c r="C501">
        <v>34716.36</v>
      </c>
      <c r="D501">
        <v>31250.14</v>
      </c>
      <c r="E501">
        <v>33065.96</v>
      </c>
      <c r="F501">
        <v>1548.2060309999999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4.7723456676148135E-2</v>
      </c>
      <c r="Q501">
        <f t="shared" si="980"/>
        <v>73.88574344617976</v>
      </c>
      <c r="R501">
        <f t="shared" si="981"/>
        <v>18130.499394887127</v>
      </c>
      <c r="S501">
        <f t="shared" si="982"/>
        <v>0.18130499394887126</v>
      </c>
      <c r="T501">
        <f t="shared" si="983"/>
        <v>1.8130499394887126E-4</v>
      </c>
    </row>
    <row r="502" spans="1:20" x14ac:dyDescent="0.25">
      <c r="A502" s="5">
        <v>44091</v>
      </c>
      <c r="B502">
        <v>34888.839999999997</v>
      </c>
      <c r="C502">
        <v>36709.99</v>
      </c>
      <c r="D502">
        <v>29590.23</v>
      </c>
      <c r="E502">
        <v>33258.339999999997</v>
      </c>
      <c r="F502">
        <v>2160.2398520000002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3.0402710203714104E-2</v>
      </c>
      <c r="Q502">
        <f t="shared" si="980"/>
        <v>65.677146190870246</v>
      </c>
      <c r="R502">
        <f t="shared" si="981"/>
        <v>18056.613651440948</v>
      </c>
      <c r="S502">
        <f t="shared" si="982"/>
        <v>0.18056613651440948</v>
      </c>
      <c r="T502">
        <f t="shared" si="983"/>
        <v>1.8056613651440948E-4</v>
      </c>
    </row>
    <row r="503" spans="1:20" x14ac:dyDescent="0.25">
      <c r="A503" s="5">
        <v>44090</v>
      </c>
      <c r="B503">
        <v>35334.160000000003</v>
      </c>
      <c r="C503">
        <v>37181.07</v>
      </c>
      <c r="D503">
        <v>30571.07</v>
      </c>
      <c r="E503">
        <v>34885.58</v>
      </c>
      <c r="F503">
        <v>2653.1406529999999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0.30544931921331375</v>
      </c>
      <c r="Q503">
        <f t="shared" si="980"/>
        <v>810.40000623601668</v>
      </c>
      <c r="R503">
        <f t="shared" si="981"/>
        <v>17990.936505250076</v>
      </c>
      <c r="S503">
        <f t="shared" si="982"/>
        <v>0.17990936505250077</v>
      </c>
      <c r="T503">
        <f t="shared" si="983"/>
        <v>1.7990936505250078E-4</v>
      </c>
    </row>
    <row r="504" spans="1:20" x14ac:dyDescent="0.25">
      <c r="A504" s="5">
        <v>44089</v>
      </c>
      <c r="B504">
        <v>39868.050000000003</v>
      </c>
      <c r="C504">
        <v>41537.279999999999</v>
      </c>
      <c r="D504">
        <v>35150</v>
      </c>
      <c r="E504">
        <v>35380</v>
      </c>
      <c r="F504">
        <v>2161.4303159999999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-0.9279818639546098</v>
      </c>
      <c r="Q504">
        <f t="shared" si="980"/>
        <v>-2005.7681334496813</v>
      </c>
      <c r="R504">
        <f t="shared" si="981"/>
        <v>17180.536499014059</v>
      </c>
      <c r="S504">
        <f t="shared" si="982"/>
        <v>0.1718053649901406</v>
      </c>
      <c r="T504">
        <f t="shared" si="983"/>
        <v>1.718053649901406E-4</v>
      </c>
    </row>
    <row r="505" spans="1:20" x14ac:dyDescent="0.25">
      <c r="A505" s="5">
        <v>44088</v>
      </c>
      <c r="B505">
        <v>36850.050000000003</v>
      </c>
      <c r="C505">
        <v>42250.05</v>
      </c>
      <c r="D505">
        <v>34765.31</v>
      </c>
      <c r="E505">
        <v>39868.080000000002</v>
      </c>
      <c r="F505">
        <v>2436.060473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0.36351296103805891</v>
      </c>
      <c r="Q505">
        <f t="shared" si="980"/>
        <v>885.53955580800437</v>
      </c>
      <c r="R505">
        <f t="shared" si="981"/>
        <v>19186.30463246374</v>
      </c>
      <c r="S505">
        <f t="shared" si="982"/>
        <v>0.19186304632463741</v>
      </c>
      <c r="T505">
        <f t="shared" si="983"/>
        <v>1.9186304632463742E-4</v>
      </c>
    </row>
    <row r="506" spans="1:20" x14ac:dyDescent="0.25">
      <c r="A506" s="5">
        <v>44087</v>
      </c>
      <c r="B506">
        <v>43257.62</v>
      </c>
      <c r="C506">
        <v>43317.18</v>
      </c>
      <c r="D506">
        <v>32500</v>
      </c>
      <c r="E506">
        <v>36893.01</v>
      </c>
      <c r="F506">
        <v>2757.6466270000001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-0.18777167431807515</v>
      </c>
      <c r="Q506">
        <f t="shared" si="980"/>
        <v>-517.80792432938244</v>
      </c>
      <c r="R506">
        <f t="shared" si="981"/>
        <v>18300.765076655734</v>
      </c>
      <c r="S506">
        <f t="shared" si="982"/>
        <v>0.18300765076655734</v>
      </c>
      <c r="T506">
        <f t="shared" si="983"/>
        <v>1.8300765076655735E-4</v>
      </c>
    </row>
    <row r="507" spans="1:20" x14ac:dyDescent="0.25">
      <c r="A507" s="5">
        <v>44086</v>
      </c>
      <c r="B507">
        <v>38093.39</v>
      </c>
      <c r="C507">
        <v>43966.31</v>
      </c>
      <c r="D507">
        <v>36205.94</v>
      </c>
      <c r="E507">
        <v>43194.45</v>
      </c>
      <c r="F507">
        <v>3002.9716389999999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0.80107649506402379</v>
      </c>
      <c r="Q507">
        <f t="shared" si="980"/>
        <v>2405.6099953467869</v>
      </c>
      <c r="R507">
        <f t="shared" si="981"/>
        <v>18818.573000985118</v>
      </c>
      <c r="S507">
        <f t="shared" si="982"/>
        <v>0.18818573000985117</v>
      </c>
      <c r="T507">
        <f t="shared" si="983"/>
        <v>1.8818573000985118E-4</v>
      </c>
    </row>
    <row r="508" spans="1:20" x14ac:dyDescent="0.25">
      <c r="A508" s="5">
        <v>44085</v>
      </c>
      <c r="B508">
        <v>34049.46</v>
      </c>
      <c r="C508">
        <v>38333</v>
      </c>
      <c r="D508">
        <v>31250</v>
      </c>
      <c r="E508">
        <v>38146.99</v>
      </c>
      <c r="F508">
        <v>2112.150071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0.94747705774389324</v>
      </c>
      <c r="Q508">
        <f t="shared" si="980"/>
        <v>2001.2137347846353</v>
      </c>
      <c r="R508">
        <f t="shared" si="981"/>
        <v>16412.963005638332</v>
      </c>
      <c r="S508">
        <f t="shared" si="982"/>
        <v>0.16412963005638331</v>
      </c>
      <c r="T508">
        <f t="shared" si="983"/>
        <v>1.6412963005638331E-4</v>
      </c>
    </row>
    <row r="509" spans="1:20" x14ac:dyDescent="0.25">
      <c r="A509" s="5">
        <v>44084</v>
      </c>
      <c r="B509">
        <v>27551.46</v>
      </c>
      <c r="C509">
        <v>34900</v>
      </c>
      <c r="D509">
        <v>27455.81</v>
      </c>
      <c r="E509">
        <v>34045.730000000003</v>
      </c>
      <c r="F509">
        <v>3215.202581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0.77048678230942602</v>
      </c>
      <c r="Q509">
        <f t="shared" si="980"/>
        <v>2477.2710911076515</v>
      </c>
      <c r="R509">
        <f t="shared" si="981"/>
        <v>14411.749270853697</v>
      </c>
      <c r="S509">
        <f t="shared" si="982"/>
        <v>0.14411749270853697</v>
      </c>
      <c r="T509">
        <f t="shared" si="983"/>
        <v>1.4411749270853698E-4</v>
      </c>
    </row>
    <row r="510" spans="1:20" x14ac:dyDescent="0.25">
      <c r="A510" s="5">
        <v>44083</v>
      </c>
      <c r="B510">
        <v>22572.47</v>
      </c>
      <c r="C510">
        <v>29363.97</v>
      </c>
      <c r="D510">
        <v>21500</v>
      </c>
      <c r="E510">
        <v>27500.03</v>
      </c>
      <c r="F510">
        <v>2489.3488940000002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0.52595444794423118</v>
      </c>
      <c r="Q510">
        <f t="shared" si="980"/>
        <v>1309.2841232843525</v>
      </c>
      <c r="R510">
        <f t="shared" si="981"/>
        <v>11934.478179746045</v>
      </c>
      <c r="S510">
        <f t="shared" si="982"/>
        <v>0.11934478179746046</v>
      </c>
      <c r="T510">
        <f t="shared" si="983"/>
        <v>1.1934478179746046E-4</v>
      </c>
    </row>
    <row r="511" spans="1:20" x14ac:dyDescent="0.25">
      <c r="A511" s="5">
        <v>44082</v>
      </c>
      <c r="B511">
        <v>22959.99</v>
      </c>
      <c r="C511">
        <v>23499.97</v>
      </c>
      <c r="D511">
        <v>21054.07</v>
      </c>
      <c r="E511">
        <v>22518.41</v>
      </c>
      <c r="F511">
        <v>858.93866800000001</v>
      </c>
      <c r="G511">
        <v>0</v>
      </c>
      <c r="L511" t="s">
        <v>8</v>
      </c>
      <c r="M511" t="s">
        <v>7</v>
      </c>
      <c r="N511" t="s">
        <v>8</v>
      </c>
      <c r="P511">
        <f t="shared" si="979"/>
        <v>0.19738337626231595</v>
      </c>
      <c r="Q511">
        <f t="shared" si="980"/>
        <v>169.54021429209646</v>
      </c>
      <c r="R511">
        <f t="shared" si="981"/>
        <v>10625.194056461693</v>
      </c>
      <c r="S511">
        <f t="shared" si="982"/>
        <v>0.10625194056461693</v>
      </c>
      <c r="T511">
        <f t="shared" si="983"/>
        <v>1.0625194056461692E-4</v>
      </c>
    </row>
    <row r="512" spans="1:20" x14ac:dyDescent="0.25">
      <c r="A512" s="5">
        <v>44081</v>
      </c>
      <c r="B512">
        <v>23806.26</v>
      </c>
      <c r="C512">
        <v>24650</v>
      </c>
      <c r="D512">
        <v>20500</v>
      </c>
      <c r="E512">
        <v>22985.3</v>
      </c>
      <c r="F512">
        <v>1148.4013520000001</v>
      </c>
      <c r="G512">
        <v>0</v>
      </c>
      <c r="L512" t="s">
        <v>7</v>
      </c>
      <c r="M512" t="s">
        <v>7</v>
      </c>
      <c r="N512" t="s">
        <v>8</v>
      </c>
      <c r="P512">
        <f t="shared" si="979"/>
        <v>0.1977349397590358</v>
      </c>
      <c r="Q512">
        <f t="shared" si="980"/>
        <v>227.07907215691529</v>
      </c>
      <c r="R512">
        <f t="shared" si="981"/>
        <v>10455.653842169597</v>
      </c>
      <c r="S512">
        <f t="shared" si="982"/>
        <v>0.10455653842169597</v>
      </c>
      <c r="T512">
        <f t="shared" si="983"/>
        <v>1.0455653842169597E-4</v>
      </c>
    </row>
    <row r="513" spans="1:20" x14ac:dyDescent="0.25">
      <c r="A513" s="5">
        <v>44080</v>
      </c>
      <c r="B513">
        <v>22100.19</v>
      </c>
      <c r="C513">
        <v>25399.33</v>
      </c>
      <c r="D513">
        <v>19400</v>
      </c>
      <c r="E513">
        <v>23797.1</v>
      </c>
      <c r="F513">
        <v>2211.4683839999998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0.46586368811183826</v>
      </c>
      <c r="Q513">
        <f t="shared" si="980"/>
        <v>1030.2428175129669</v>
      </c>
      <c r="R513">
        <f t="shared" si="981"/>
        <v>10228.574770012681</v>
      </c>
      <c r="S513">
        <f t="shared" si="982"/>
        <v>0.10228574770012681</v>
      </c>
      <c r="T513">
        <f t="shared" si="983"/>
        <v>1.0228574770012682E-4</v>
      </c>
    </row>
    <row r="514" spans="1:20" x14ac:dyDescent="0.25">
      <c r="A514" s="5">
        <v>44079</v>
      </c>
      <c r="B514">
        <v>27306.36</v>
      </c>
      <c r="C514">
        <v>28749.99</v>
      </c>
      <c r="D514">
        <v>18056.43</v>
      </c>
      <c r="E514">
        <v>22193.5</v>
      </c>
      <c r="F514">
        <v>3541.9479700000002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-0.22625019170416602</v>
      </c>
      <c r="Q514">
        <f t="shared" si="980"/>
        <v>-801.36640721868173</v>
      </c>
      <c r="R514">
        <f t="shared" si="981"/>
        <v>9198.331952499715</v>
      </c>
      <c r="S514">
        <f t="shared" si="982"/>
        <v>9.1983319524997151E-2</v>
      </c>
      <c r="T514">
        <f t="shared" si="983"/>
        <v>9.1983319524997149E-5</v>
      </c>
    </row>
    <row r="515" spans="1:20" x14ac:dyDescent="0.25">
      <c r="A515" s="5">
        <v>44078</v>
      </c>
      <c r="B515">
        <v>29400</v>
      </c>
      <c r="C515">
        <v>31600</v>
      </c>
      <c r="D515">
        <v>22811.63</v>
      </c>
      <c r="E515">
        <v>27311.919999999998</v>
      </c>
      <c r="F515">
        <v>1889.399803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2.4146684766344101E-2</v>
      </c>
      <c r="Q515">
        <f t="shared" si="980"/>
        <v>45.622741440633646</v>
      </c>
      <c r="R515">
        <f t="shared" si="981"/>
        <v>9999.6983597183971</v>
      </c>
      <c r="S515">
        <f t="shared" si="982"/>
        <v>9.9996983597183967E-2</v>
      </c>
      <c r="T515">
        <f t="shared" si="983"/>
        <v>9.9996983597183962E-5</v>
      </c>
    </row>
    <row r="516" spans="1:20" x14ac:dyDescent="0.25">
      <c r="A516" s="5">
        <v>44077</v>
      </c>
      <c r="B516">
        <v>31840.07</v>
      </c>
      <c r="C516">
        <v>33359.99</v>
      </c>
      <c r="D516">
        <v>27380.31</v>
      </c>
      <c r="E516">
        <v>29400.07</v>
      </c>
      <c r="F516">
        <v>2613.2934909999999</v>
      </c>
      <c r="G516">
        <v>0</v>
      </c>
      <c r="L516" t="s">
        <v>8</v>
      </c>
      <c r="M516" t="s">
        <v>8</v>
      </c>
      <c r="N516" t="s">
        <v>7</v>
      </c>
      <c r="P516">
        <f t="shared" si="979"/>
        <v>-0.32445883391753422</v>
      </c>
      <c r="Q516">
        <f t="shared" si="980"/>
        <v>-847.90615877414211</v>
      </c>
      <c r="R516">
        <f t="shared" si="981"/>
        <v>9954.0756182777641</v>
      </c>
      <c r="S516">
        <f t="shared" si="982"/>
        <v>9.9540756182777634E-2</v>
      </c>
      <c r="T516">
        <f t="shared" si="983"/>
        <v>9.9540756182777635E-5</v>
      </c>
    </row>
    <row r="517" spans="1:20" x14ac:dyDescent="0.25">
      <c r="A517" s="5">
        <v>44076</v>
      </c>
      <c r="B517">
        <v>31950.9</v>
      </c>
      <c r="C517">
        <v>32856.400000000001</v>
      </c>
      <c r="D517">
        <v>25530</v>
      </c>
      <c r="E517">
        <v>32000</v>
      </c>
      <c r="F517">
        <v>3453.0252180000002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0.76621533085826565</v>
      </c>
      <c r="Q517">
        <f t="shared" si="980"/>
        <v>2645.7608598718052</v>
      </c>
      <c r="R517">
        <f t="shared" si="981"/>
        <v>10801.981777051906</v>
      </c>
      <c r="S517">
        <f t="shared" si="982"/>
        <v>0.10801981777051906</v>
      </c>
      <c r="T517">
        <f t="shared" si="983"/>
        <v>1.0801981777051905E-4</v>
      </c>
    </row>
    <row r="518" spans="1:20" x14ac:dyDescent="0.25">
      <c r="A518" s="5">
        <v>44075</v>
      </c>
      <c r="B518">
        <v>34901.94</v>
      </c>
      <c r="C518">
        <v>36922.53</v>
      </c>
      <c r="D518">
        <v>31000</v>
      </c>
      <c r="E518">
        <v>31951.5</v>
      </c>
      <c r="F518">
        <v>3815.8626669999999</v>
      </c>
      <c r="G518">
        <v>0</v>
      </c>
      <c r="L518" t="s">
        <v>7</v>
      </c>
      <c r="M518" t="s">
        <v>7</v>
      </c>
      <c r="N518" t="s">
        <v>8</v>
      </c>
      <c r="P518">
        <f t="shared" ref="P518:P540" si="984">IF(C518=D518,0,((E518-D518)-(C518-E518))/(C518-D518))</f>
        <v>-0.67868461620287268</v>
      </c>
      <c r="Q518">
        <f t="shared" ref="Q518:Q540" si="985">F518*P518</f>
        <v>-2589.7672896357649</v>
      </c>
      <c r="R518">
        <f t="shared" ref="R518:R540" si="986">R519+Q518</f>
        <v>8156.2209171801005</v>
      </c>
      <c r="S518">
        <f t="shared" ref="S518:S540" si="987">R518/100000</f>
        <v>8.1562209171801001E-2</v>
      </c>
      <c r="T518">
        <f t="shared" ref="T518:T540" si="988">S518/1000</f>
        <v>8.1562209171801004E-5</v>
      </c>
    </row>
    <row r="519" spans="1:20" x14ac:dyDescent="0.25">
      <c r="A519" s="5">
        <v>44074</v>
      </c>
      <c r="B519">
        <v>31667.25</v>
      </c>
      <c r="C519">
        <v>39690</v>
      </c>
      <c r="D519">
        <v>29689.41</v>
      </c>
      <c r="E519">
        <v>34835.300000000003</v>
      </c>
      <c r="F519">
        <v>5790.7419010000003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2.9117282080357854E-2</v>
      </c>
      <c r="Q519">
        <f t="shared" si="985"/>
        <v>168.61066538596469</v>
      </c>
      <c r="R519">
        <f t="shared" si="986"/>
        <v>10745.988206815866</v>
      </c>
      <c r="S519">
        <f t="shared" si="987"/>
        <v>0.10745988206815865</v>
      </c>
      <c r="T519">
        <f t="shared" si="988"/>
        <v>1.0745988206815866E-4</v>
      </c>
    </row>
    <row r="520" spans="1:20" x14ac:dyDescent="0.25">
      <c r="A520" s="5">
        <v>44073</v>
      </c>
      <c r="B520">
        <v>27407.7</v>
      </c>
      <c r="C520">
        <v>38855.31</v>
      </c>
      <c r="D520">
        <v>26900</v>
      </c>
      <c r="E520">
        <v>31677.95</v>
      </c>
      <c r="F520">
        <v>8439.5213729999996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-0.20069826712983577</v>
      </c>
      <c r="Q520">
        <f t="shared" si="985"/>
        <v>-1693.7973149663123</v>
      </c>
      <c r="R520">
        <f t="shared" si="986"/>
        <v>10577.377541429902</v>
      </c>
      <c r="S520">
        <f t="shared" si="987"/>
        <v>0.10577377541429901</v>
      </c>
      <c r="T520">
        <f t="shared" si="988"/>
        <v>1.0577377541429902E-4</v>
      </c>
    </row>
    <row r="521" spans="1:20" x14ac:dyDescent="0.25">
      <c r="A521" s="5">
        <v>44072</v>
      </c>
      <c r="B521">
        <v>18781.52</v>
      </c>
      <c r="C521">
        <v>27547.33</v>
      </c>
      <c r="D521">
        <v>17829.53</v>
      </c>
      <c r="E521">
        <v>27400</v>
      </c>
      <c r="F521">
        <v>4896.6059050000003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0.96967832225400774</v>
      </c>
      <c r="Q521">
        <f t="shared" si="985"/>
        <v>4748.132598699468</v>
      </c>
      <c r="R521">
        <f t="shared" si="986"/>
        <v>12271.174856396214</v>
      </c>
      <c r="S521">
        <f t="shared" si="987"/>
        <v>0.12271174856396214</v>
      </c>
      <c r="T521">
        <f t="shared" si="988"/>
        <v>1.2271174856396213E-4</v>
      </c>
    </row>
    <row r="522" spans="1:20" x14ac:dyDescent="0.25">
      <c r="A522" s="5">
        <v>44071</v>
      </c>
      <c r="B522">
        <v>14119.63</v>
      </c>
      <c r="C522">
        <v>19500</v>
      </c>
      <c r="D522">
        <v>14017.07</v>
      </c>
      <c r="E522">
        <v>18848.990000000002</v>
      </c>
      <c r="F522">
        <v>2354.1008499999998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0.76253207682753621</v>
      </c>
      <c r="Q522">
        <f t="shared" si="985"/>
        <v>1795.0774102119681</v>
      </c>
      <c r="R522">
        <f t="shared" si="986"/>
        <v>7523.0422576967449</v>
      </c>
      <c r="S522">
        <f t="shared" si="987"/>
        <v>7.5230422576967451E-2</v>
      </c>
      <c r="T522">
        <f t="shared" si="988"/>
        <v>7.5230422576967447E-5</v>
      </c>
    </row>
    <row r="523" spans="1:20" x14ac:dyDescent="0.25">
      <c r="A523" s="5">
        <v>44070</v>
      </c>
      <c r="B523">
        <v>15677.91</v>
      </c>
      <c r="C523">
        <v>15899.99</v>
      </c>
      <c r="D523">
        <v>13960.43</v>
      </c>
      <c r="E523">
        <v>14183.1</v>
      </c>
      <c r="F523">
        <v>688.00211200000001</v>
      </c>
      <c r="G523">
        <v>0</v>
      </c>
      <c r="L523" t="s">
        <v>7</v>
      </c>
      <c r="M523" t="s">
        <v>8</v>
      </c>
      <c r="N523" t="s">
        <v>8</v>
      </c>
      <c r="P523">
        <f t="shared" si="984"/>
        <v>-0.77039122275155181</v>
      </c>
      <c r="Q523">
        <f t="shared" si="985"/>
        <v>-530.0307883193301</v>
      </c>
      <c r="R523">
        <f t="shared" si="986"/>
        <v>5727.9648474847772</v>
      </c>
      <c r="S523">
        <f t="shared" si="987"/>
        <v>5.7279648474847775E-2</v>
      </c>
      <c r="T523">
        <f t="shared" si="988"/>
        <v>5.7279648474847772E-5</v>
      </c>
    </row>
    <row r="524" spans="1:20" x14ac:dyDescent="0.25">
      <c r="A524" s="5">
        <v>44069</v>
      </c>
      <c r="B524">
        <v>13489.79</v>
      </c>
      <c r="C524">
        <v>16364.43</v>
      </c>
      <c r="D524">
        <v>13201</v>
      </c>
      <c r="E524">
        <v>15677.91</v>
      </c>
      <c r="F524">
        <v>920.17073500000004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0.56596479138150657</v>
      </c>
      <c r="Q524">
        <f t="shared" si="985"/>
        <v>520.78423806964258</v>
      </c>
      <c r="R524">
        <f t="shared" si="986"/>
        <v>6257.9956358041072</v>
      </c>
      <c r="S524">
        <f t="shared" si="987"/>
        <v>6.2579956358041075E-2</v>
      </c>
      <c r="T524">
        <f t="shared" si="988"/>
        <v>6.2579956358041071E-5</v>
      </c>
    </row>
    <row r="525" spans="1:20" x14ac:dyDescent="0.25">
      <c r="A525" s="5">
        <v>44068</v>
      </c>
      <c r="B525">
        <v>14490</v>
      </c>
      <c r="C525">
        <v>14773.72</v>
      </c>
      <c r="D525">
        <v>12729.16</v>
      </c>
      <c r="E525">
        <v>13510.2</v>
      </c>
      <c r="F525">
        <v>770.20349499999998</v>
      </c>
      <c r="G525">
        <v>0</v>
      </c>
      <c r="L525" t="s">
        <v>8</v>
      </c>
      <c r="M525" t="s">
        <v>8</v>
      </c>
      <c r="N525" t="s">
        <v>7</v>
      </c>
      <c r="P525">
        <f t="shared" si="984"/>
        <v>-0.23598231404311826</v>
      </c>
      <c r="Q525">
        <f t="shared" si="985"/>
        <v>-181.75440303419725</v>
      </c>
      <c r="R525">
        <f t="shared" si="986"/>
        <v>5737.2113977344643</v>
      </c>
      <c r="S525">
        <f t="shared" si="987"/>
        <v>5.7372113977344645E-2</v>
      </c>
      <c r="T525">
        <f t="shared" si="988"/>
        <v>5.7372113977344644E-5</v>
      </c>
    </row>
    <row r="526" spans="1:20" x14ac:dyDescent="0.25">
      <c r="A526" s="5">
        <v>44067</v>
      </c>
      <c r="B526">
        <v>12571.36</v>
      </c>
      <c r="C526">
        <v>14500</v>
      </c>
      <c r="D526">
        <v>12157.16</v>
      </c>
      <c r="E526">
        <v>14466.02</v>
      </c>
      <c r="F526">
        <v>767.72806200000002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0.97099247067661509</v>
      </c>
      <c r="Q526">
        <f t="shared" si="985"/>
        <v>745.45816772914952</v>
      </c>
      <c r="R526">
        <f t="shared" si="986"/>
        <v>5918.9658007686612</v>
      </c>
      <c r="S526">
        <f t="shared" si="987"/>
        <v>5.9189658007686614E-2</v>
      </c>
      <c r="T526">
        <f t="shared" si="988"/>
        <v>5.9189658007686612E-5</v>
      </c>
    </row>
    <row r="527" spans="1:20" x14ac:dyDescent="0.25">
      <c r="A527" s="5">
        <v>44066</v>
      </c>
      <c r="B527">
        <v>14024.29</v>
      </c>
      <c r="C527">
        <v>14100</v>
      </c>
      <c r="D527">
        <v>12000</v>
      </c>
      <c r="E527">
        <v>12571.37</v>
      </c>
      <c r="F527">
        <v>754.84919200000002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-0.45583809523809449</v>
      </c>
      <c r="Q527">
        <f t="shared" si="985"/>
        <v>-344.08901787329467</v>
      </c>
      <c r="R527">
        <f t="shared" si="986"/>
        <v>5173.5076330395113</v>
      </c>
      <c r="S527">
        <f t="shared" si="987"/>
        <v>5.1735076330395112E-2</v>
      </c>
      <c r="T527">
        <f t="shared" si="988"/>
        <v>5.1735076330395114E-5</v>
      </c>
    </row>
    <row r="528" spans="1:20" x14ac:dyDescent="0.25">
      <c r="A528" s="5">
        <v>44065</v>
      </c>
      <c r="B528">
        <v>12296.33</v>
      </c>
      <c r="C528">
        <v>14426.46</v>
      </c>
      <c r="D528">
        <v>11113.97</v>
      </c>
      <c r="E528">
        <v>14034.28</v>
      </c>
      <c r="F528">
        <v>1301.3036259999999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0.76321136063807071</v>
      </c>
      <c r="Q528">
        <f t="shared" si="985"/>
        <v>993.16971100271496</v>
      </c>
      <c r="R528">
        <f t="shared" si="986"/>
        <v>5517.5966509128057</v>
      </c>
      <c r="S528">
        <f t="shared" si="987"/>
        <v>5.5175966509128059E-2</v>
      </c>
      <c r="T528">
        <f t="shared" si="988"/>
        <v>5.5175966509128061E-5</v>
      </c>
    </row>
    <row r="529" spans="1:20" x14ac:dyDescent="0.25">
      <c r="A529" s="5">
        <v>44064</v>
      </c>
      <c r="B529">
        <v>15321.68</v>
      </c>
      <c r="C529">
        <v>15600</v>
      </c>
      <c r="D529">
        <v>11777</v>
      </c>
      <c r="E529">
        <v>12296.34</v>
      </c>
      <c r="F529">
        <v>2424.8623069999999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-0.72830761182317549</v>
      </c>
      <c r="Q529">
        <f t="shared" si="985"/>
        <v>-1766.0456758112057</v>
      </c>
      <c r="R529">
        <f t="shared" si="986"/>
        <v>4524.4269399100904</v>
      </c>
      <c r="S529">
        <f t="shared" si="987"/>
        <v>4.5244269399100902E-2</v>
      </c>
      <c r="T529">
        <f t="shared" si="988"/>
        <v>4.5244269399100903E-5</v>
      </c>
    </row>
    <row r="530" spans="1:20" x14ac:dyDescent="0.25">
      <c r="A530" s="5">
        <v>44063</v>
      </c>
      <c r="B530">
        <v>12576.36</v>
      </c>
      <c r="C530">
        <v>16668.990000000002</v>
      </c>
      <c r="D530">
        <v>11418.36</v>
      </c>
      <c r="E530">
        <v>15275</v>
      </c>
      <c r="F530">
        <v>4174.0789080000004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0.46901990808721949</v>
      </c>
      <c r="Q530">
        <f t="shared" si="985"/>
        <v>1957.7261057789617</v>
      </c>
      <c r="R530">
        <f t="shared" si="986"/>
        <v>6290.4726157212963</v>
      </c>
      <c r="S530">
        <f t="shared" si="987"/>
        <v>6.2904726157212959E-2</v>
      </c>
      <c r="T530">
        <f t="shared" si="988"/>
        <v>6.2904726157212953E-5</v>
      </c>
    </row>
    <row r="531" spans="1:20" x14ac:dyDescent="0.25">
      <c r="A531" s="5">
        <v>44062</v>
      </c>
      <c r="B531">
        <v>9655</v>
      </c>
      <c r="C531">
        <v>12777</v>
      </c>
      <c r="D531">
        <v>9600</v>
      </c>
      <c r="E531">
        <v>12599.72</v>
      </c>
      <c r="F531">
        <v>2214.1560989999998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0.88839785961598949</v>
      </c>
      <c r="Q531">
        <f t="shared" si="985"/>
        <v>1967.0515392072887</v>
      </c>
      <c r="R531">
        <f t="shared" si="986"/>
        <v>4332.7465099423343</v>
      </c>
      <c r="S531">
        <f t="shared" si="987"/>
        <v>4.332746509942334E-2</v>
      </c>
      <c r="T531">
        <f t="shared" si="988"/>
        <v>4.3327465099423337E-5</v>
      </c>
    </row>
    <row r="532" spans="1:20" x14ac:dyDescent="0.25">
      <c r="A532" s="5">
        <v>44061</v>
      </c>
      <c r="B532">
        <v>8900.1</v>
      </c>
      <c r="C532">
        <v>12821</v>
      </c>
      <c r="D532">
        <v>8693</v>
      </c>
      <c r="E532">
        <v>9655</v>
      </c>
      <c r="F532">
        <v>3150.9488459999998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-0.53391472868217049</v>
      </c>
      <c r="Q532">
        <f t="shared" si="985"/>
        <v>-1682.337998203488</v>
      </c>
      <c r="R532">
        <f t="shared" si="986"/>
        <v>2365.6949707350454</v>
      </c>
      <c r="S532">
        <f t="shared" si="987"/>
        <v>2.3656949707350456E-2</v>
      </c>
      <c r="T532">
        <f t="shared" si="988"/>
        <v>2.3656949707350456E-5</v>
      </c>
    </row>
    <row r="533" spans="1:20" x14ac:dyDescent="0.25">
      <c r="A533" s="5">
        <v>44060</v>
      </c>
      <c r="B533">
        <v>6676.25</v>
      </c>
      <c r="C533">
        <v>9103.93</v>
      </c>
      <c r="D533">
        <v>6340.28</v>
      </c>
      <c r="E533">
        <v>8900</v>
      </c>
      <c r="F533">
        <v>1704.881736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0.85241980713910936</v>
      </c>
      <c r="Q533">
        <f t="shared" si="985"/>
        <v>1453.2749605961101</v>
      </c>
      <c r="R533">
        <f t="shared" si="986"/>
        <v>4048.0329689385335</v>
      </c>
      <c r="S533">
        <f t="shared" si="987"/>
        <v>4.0480329689385336E-2</v>
      </c>
      <c r="T533">
        <f t="shared" si="988"/>
        <v>4.0480329689385335E-5</v>
      </c>
    </row>
    <row r="534" spans="1:20" x14ac:dyDescent="0.25">
      <c r="A534" s="5">
        <v>44059</v>
      </c>
      <c r="B534">
        <v>5416.21</v>
      </c>
      <c r="C534">
        <v>6750</v>
      </c>
      <c r="D534">
        <v>5171.75</v>
      </c>
      <c r="E534">
        <v>6660</v>
      </c>
      <c r="F534">
        <v>1125.1803359999999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0.88594962775225727</v>
      </c>
      <c r="Q534">
        <f t="shared" si="985"/>
        <v>996.85309983335969</v>
      </c>
      <c r="R534">
        <f t="shared" si="986"/>
        <v>2594.7580083424236</v>
      </c>
      <c r="S534">
        <f t="shared" si="987"/>
        <v>2.5947580083424238E-2</v>
      </c>
      <c r="T534">
        <f t="shared" si="988"/>
        <v>2.5947580083424238E-5</v>
      </c>
    </row>
    <row r="535" spans="1:20" x14ac:dyDescent="0.25">
      <c r="A535" s="5">
        <v>44058</v>
      </c>
      <c r="B535">
        <v>5016.26</v>
      </c>
      <c r="C535">
        <v>5450</v>
      </c>
      <c r="D535">
        <v>4158.57</v>
      </c>
      <c r="E535">
        <v>5414.22</v>
      </c>
      <c r="F535">
        <v>870.69274499999995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0.9445885568710658</v>
      </c>
      <c r="Q535">
        <f t="shared" si="985"/>
        <v>822.44640347765687</v>
      </c>
      <c r="R535">
        <f t="shared" si="986"/>
        <v>1597.9049085090637</v>
      </c>
      <c r="S535">
        <f t="shared" si="987"/>
        <v>1.5979049085090638E-2</v>
      </c>
      <c r="T535">
        <f t="shared" si="988"/>
        <v>1.5979049085090637E-5</v>
      </c>
    </row>
    <row r="536" spans="1:20" x14ac:dyDescent="0.25">
      <c r="A536" s="5">
        <v>44057</v>
      </c>
      <c r="B536">
        <v>5346.92</v>
      </c>
      <c r="C536">
        <v>5346.92</v>
      </c>
      <c r="D536">
        <v>4684.1099999999997</v>
      </c>
      <c r="E536">
        <v>5016.1400000000003</v>
      </c>
      <c r="F536">
        <v>377.720662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1.8859099892894022E-3</v>
      </c>
      <c r="Q536">
        <f t="shared" si="985"/>
        <v>0.71234716962680589</v>
      </c>
      <c r="R536">
        <f t="shared" si="986"/>
        <v>775.45850503140696</v>
      </c>
      <c r="S536">
        <f t="shared" si="987"/>
        <v>7.7545850503140694E-3</v>
      </c>
      <c r="T536">
        <f t="shared" si="988"/>
        <v>7.7545850503140697E-6</v>
      </c>
    </row>
    <row r="537" spans="1:20" x14ac:dyDescent="0.25">
      <c r="A537" s="5">
        <v>44056</v>
      </c>
      <c r="B537">
        <v>5749.62</v>
      </c>
      <c r="C537">
        <v>5814.34</v>
      </c>
      <c r="D537">
        <v>3000</v>
      </c>
      <c r="E537">
        <v>5346.99</v>
      </c>
      <c r="F537">
        <v>1155.421556</v>
      </c>
      <c r="G537">
        <v>0</v>
      </c>
      <c r="L537" t="s">
        <v>7</v>
      </c>
      <c r="M537" t="s">
        <v>7</v>
      </c>
      <c r="N537" t="s">
        <v>7</v>
      </c>
      <c r="P537">
        <f t="shared" si="984"/>
        <v>0.66787950283192488</v>
      </c>
      <c r="Q537">
        <f t="shared" si="985"/>
        <v>771.68237438256904</v>
      </c>
      <c r="R537">
        <f t="shared" si="986"/>
        <v>774.74615786178015</v>
      </c>
      <c r="S537">
        <f t="shared" si="987"/>
        <v>7.7474615786178019E-3</v>
      </c>
      <c r="T537">
        <f t="shared" si="988"/>
        <v>7.7474615786178014E-6</v>
      </c>
    </row>
    <row r="538" spans="1:20" x14ac:dyDescent="0.25">
      <c r="A538" s="5">
        <v>44055</v>
      </c>
      <c r="B538">
        <v>6041</v>
      </c>
      <c r="C538">
        <v>6117.51</v>
      </c>
      <c r="D538">
        <v>5250</v>
      </c>
      <c r="E538">
        <v>5749.62</v>
      </c>
      <c r="F538">
        <v>793.30773199999999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0.15184839367845851</v>
      </c>
      <c r="Q538">
        <f t="shared" si="985"/>
        <v>120.46250479690106</v>
      </c>
      <c r="R538">
        <f t="shared" si="986"/>
        <v>3.0637834792111533</v>
      </c>
      <c r="S538">
        <f t="shared" si="987"/>
        <v>3.0637834792111534E-5</v>
      </c>
      <c r="T538">
        <f t="shared" si="988"/>
        <v>3.0637834792111536E-8</v>
      </c>
    </row>
    <row r="539" spans="1:20" x14ac:dyDescent="0.25">
      <c r="A539" s="5">
        <v>44054</v>
      </c>
      <c r="B539">
        <v>6229.16</v>
      </c>
      <c r="C539">
        <v>6783.43</v>
      </c>
      <c r="D539">
        <v>5680</v>
      </c>
      <c r="E539">
        <v>6040.2</v>
      </c>
      <c r="F539">
        <v>848.97950700000001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-0.34712668678575037</v>
      </c>
      <c r="Q539">
        <f t="shared" si="985"/>
        <v>-294.70344341390978</v>
      </c>
      <c r="R539">
        <f t="shared" si="986"/>
        <v>-117.3987213176899</v>
      </c>
      <c r="S539">
        <f t="shared" si="987"/>
        <v>-1.1739872131768991E-3</v>
      </c>
      <c r="T539">
        <f t="shared" si="988"/>
        <v>-1.1739872131768992E-6</v>
      </c>
    </row>
    <row r="540" spans="1:20" x14ac:dyDescent="0.25">
      <c r="A540" s="5">
        <v>44053</v>
      </c>
      <c r="B540">
        <v>5010.59</v>
      </c>
      <c r="C540">
        <v>7199</v>
      </c>
      <c r="D540">
        <v>5010.59</v>
      </c>
      <c r="E540">
        <v>6229.19</v>
      </c>
      <c r="F540">
        <v>1559.6102209999999</v>
      </c>
      <c r="G540">
        <v>0</v>
      </c>
      <c r="P540">
        <f t="shared" si="984"/>
        <v>0.11368527835277625</v>
      </c>
      <c r="Q540">
        <f t="shared" si="985"/>
        <v>177.30472209621988</v>
      </c>
      <c r="R540">
        <f t="shared" si="986"/>
        <v>177.30472209621988</v>
      </c>
      <c r="S540">
        <f t="shared" si="987"/>
        <v>1.7730472209621987E-3</v>
      </c>
      <c r="T540">
        <f t="shared" si="988"/>
        <v>1.7730472209621987E-6</v>
      </c>
    </row>
    <row r="541" spans="1:20" x14ac:dyDescent="0.25">
      <c r="A541" s="5"/>
      <c r="C541"/>
      <c r="D541"/>
    </row>
    <row r="542" spans="1:20" x14ac:dyDescent="0.25">
      <c r="A542" s="5"/>
      <c r="C542"/>
      <c r="D542"/>
    </row>
    <row r="543" spans="1:20" x14ac:dyDescent="0.25">
      <c r="A543" s="5"/>
      <c r="C543"/>
      <c r="D543"/>
    </row>
    <row r="544" spans="1:20" x14ac:dyDescent="0.25">
      <c r="A544" s="5"/>
      <c r="C544"/>
      <c r="D544"/>
    </row>
    <row r="545" spans="1:4" x14ac:dyDescent="0.25">
      <c r="A545" s="5"/>
      <c r="C545"/>
      <c r="D545"/>
    </row>
    <row r="546" spans="1:4" x14ac:dyDescent="0.25">
      <c r="A546" s="5"/>
      <c r="C546"/>
      <c r="D546"/>
    </row>
    <row r="547" spans="1:4" x14ac:dyDescent="0.25">
      <c r="A547" s="5"/>
      <c r="C547"/>
      <c r="D547"/>
    </row>
    <row r="548" spans="1:4" x14ac:dyDescent="0.25">
      <c r="A548" s="5"/>
      <c r="C548"/>
      <c r="D548"/>
    </row>
    <row r="549" spans="1:4" x14ac:dyDescent="0.25">
      <c r="A549" s="5"/>
    </row>
    <row r="550" spans="1:4" x14ac:dyDescent="0.25">
      <c r="A550" s="5"/>
    </row>
    <row r="551" spans="1:4" x14ac:dyDescent="0.25">
      <c r="A551" s="5"/>
    </row>
    <row r="552" spans="1:4" x14ac:dyDescent="0.25">
      <c r="A552" s="5"/>
    </row>
    <row r="553" spans="1:4" x14ac:dyDescent="0.25">
      <c r="A553" s="5"/>
    </row>
    <row r="554" spans="1:4" x14ac:dyDescent="0.25">
      <c r="A554" s="5"/>
    </row>
    <row r="555" spans="1:4" x14ac:dyDescent="0.25">
      <c r="A555" s="5"/>
    </row>
    <row r="556" spans="1:4" x14ac:dyDescent="0.25">
      <c r="A556" s="5"/>
    </row>
    <row r="557" spans="1:4" x14ac:dyDescent="0.25">
      <c r="A557" s="5"/>
    </row>
    <row r="558" spans="1:4" x14ac:dyDescent="0.25">
      <c r="A558" s="5"/>
    </row>
    <row r="559" spans="1:4" x14ac:dyDescent="0.25">
      <c r="A559" s="5"/>
    </row>
    <row r="560" spans="1:4" x14ac:dyDescent="0.25">
      <c r="A560" s="5"/>
    </row>
    <row r="561" spans="1:104" x14ac:dyDescent="0.25">
      <c r="A561" s="5"/>
      <c r="CZ561" t="s">
        <v>7</v>
      </c>
    </row>
    <row r="562" spans="1:104" x14ac:dyDescent="0.25">
      <c r="A562" s="5"/>
      <c r="CZ562" t="s">
        <v>7</v>
      </c>
    </row>
    <row r="563" spans="1:104" x14ac:dyDescent="0.25">
      <c r="A563" s="5"/>
      <c r="CZ563" t="s">
        <v>7</v>
      </c>
    </row>
    <row r="564" spans="1:104" x14ac:dyDescent="0.25">
      <c r="A564" s="5"/>
    </row>
    <row r="565" spans="1:104" x14ac:dyDescent="0.25">
      <c r="A565" s="5"/>
      <c r="C565"/>
      <c r="D565"/>
    </row>
    <row r="566" spans="1:104" x14ac:dyDescent="0.25">
      <c r="A566" s="5"/>
      <c r="C566"/>
      <c r="D566"/>
    </row>
    <row r="567" spans="1:104" x14ac:dyDescent="0.25">
      <c r="A567" s="5"/>
      <c r="C567"/>
      <c r="D567"/>
    </row>
    <row r="568" spans="1:104" x14ac:dyDescent="0.25">
      <c r="A568" s="5"/>
      <c r="C568"/>
      <c r="D568"/>
    </row>
    <row r="569" spans="1:104" x14ac:dyDescent="0.25">
      <c r="A569" s="5"/>
      <c r="C569"/>
      <c r="D569"/>
    </row>
    <row r="570" spans="1:104" x14ac:dyDescent="0.25">
      <c r="A570" s="5"/>
      <c r="C570"/>
      <c r="D570"/>
    </row>
    <row r="571" spans="1:104" x14ac:dyDescent="0.25">
      <c r="A571" s="5"/>
      <c r="C571"/>
      <c r="D571"/>
    </row>
    <row r="572" spans="1:104" x14ac:dyDescent="0.25">
      <c r="A572" s="5"/>
      <c r="C572"/>
      <c r="D572"/>
    </row>
    <row r="573" spans="1:104" x14ac:dyDescent="0.25">
      <c r="A573" s="5"/>
      <c r="C573"/>
      <c r="D573"/>
    </row>
    <row r="574" spans="1:104" x14ac:dyDescent="0.25">
      <c r="A574" s="5"/>
      <c r="C574"/>
      <c r="D574"/>
    </row>
    <row r="575" spans="1:104" x14ac:dyDescent="0.25">
      <c r="A575" s="5"/>
      <c r="C575"/>
      <c r="D575"/>
    </row>
    <row r="576" spans="1:104" x14ac:dyDescent="0.25">
      <c r="A576" s="5"/>
      <c r="C576"/>
      <c r="D576"/>
    </row>
    <row r="577" spans="1:4" x14ac:dyDescent="0.25">
      <c r="A577" s="5"/>
      <c r="C577"/>
      <c r="D577"/>
    </row>
    <row r="578" spans="1:4" x14ac:dyDescent="0.25">
      <c r="A578" s="5"/>
      <c r="C578"/>
      <c r="D578"/>
    </row>
    <row r="579" spans="1:4" x14ac:dyDescent="0.25">
      <c r="A579" s="5"/>
      <c r="C579"/>
      <c r="D579"/>
    </row>
    <row r="580" spans="1:4" x14ac:dyDescent="0.25">
      <c r="A580" s="5"/>
      <c r="C580"/>
      <c r="D580"/>
    </row>
    <row r="581" spans="1:4" x14ac:dyDescent="0.25">
      <c r="A581" s="5"/>
      <c r="C581"/>
      <c r="D581"/>
    </row>
    <row r="582" spans="1:4" x14ac:dyDescent="0.25">
      <c r="A582" s="5"/>
      <c r="C582"/>
      <c r="D582"/>
    </row>
    <row r="583" spans="1:4" x14ac:dyDescent="0.25">
      <c r="A583" s="5"/>
      <c r="C583"/>
      <c r="D583"/>
    </row>
    <row r="584" spans="1:4" x14ac:dyDescent="0.25">
      <c r="A584" s="5"/>
      <c r="C584"/>
      <c r="D584"/>
    </row>
    <row r="585" spans="1:4" x14ac:dyDescent="0.25">
      <c r="A585" s="5"/>
      <c r="C585"/>
      <c r="D585"/>
    </row>
    <row r="586" spans="1:4" x14ac:dyDescent="0.25">
      <c r="A586" s="5"/>
      <c r="C586"/>
      <c r="D586"/>
    </row>
    <row r="587" spans="1:4" x14ac:dyDescent="0.25">
      <c r="A587" s="5"/>
      <c r="C587"/>
      <c r="D587"/>
    </row>
    <row r="588" spans="1:4" x14ac:dyDescent="0.25">
      <c r="A588" s="5"/>
      <c r="C588"/>
      <c r="D588"/>
    </row>
    <row r="589" spans="1:4" x14ac:dyDescent="0.25">
      <c r="A589" s="5"/>
      <c r="C589"/>
      <c r="D589"/>
    </row>
    <row r="590" spans="1:4" x14ac:dyDescent="0.25">
      <c r="A590" s="5"/>
      <c r="C590"/>
      <c r="D590"/>
    </row>
    <row r="591" spans="1:4" x14ac:dyDescent="0.25">
      <c r="A591" s="5"/>
      <c r="C591"/>
      <c r="D591"/>
    </row>
    <row r="592" spans="1:4" x14ac:dyDescent="0.25">
      <c r="A592" s="5"/>
      <c r="C592"/>
      <c r="D592"/>
    </row>
    <row r="593" spans="1:4" x14ac:dyDescent="0.25">
      <c r="A593" s="5"/>
      <c r="C593"/>
      <c r="D593"/>
    </row>
    <row r="594" spans="1:4" x14ac:dyDescent="0.25">
      <c r="A594" s="5"/>
      <c r="C594"/>
      <c r="D594"/>
    </row>
    <row r="595" spans="1:4" x14ac:dyDescent="0.25">
      <c r="A595" s="5"/>
      <c r="C595"/>
      <c r="D595"/>
    </row>
    <row r="596" spans="1:4" x14ac:dyDescent="0.25">
      <c r="A596" s="5"/>
      <c r="C596"/>
      <c r="D596"/>
    </row>
    <row r="597" spans="1:4" x14ac:dyDescent="0.25">
      <c r="A597" s="5"/>
      <c r="C597"/>
      <c r="D597"/>
    </row>
    <row r="598" spans="1:4" x14ac:dyDescent="0.25">
      <c r="A598" s="5"/>
      <c r="C598"/>
      <c r="D598"/>
    </row>
    <row r="599" spans="1:4" x14ac:dyDescent="0.25">
      <c r="A599" s="5"/>
      <c r="C599"/>
      <c r="D599"/>
    </row>
    <row r="600" spans="1:4" x14ac:dyDescent="0.25">
      <c r="A600" s="5"/>
      <c r="C600"/>
      <c r="D600"/>
    </row>
    <row r="601" spans="1:4" x14ac:dyDescent="0.25">
      <c r="A601" s="5"/>
      <c r="C601"/>
      <c r="D601"/>
    </row>
    <row r="602" spans="1:4" x14ac:dyDescent="0.25">
      <c r="A602" s="5"/>
      <c r="C602"/>
      <c r="D602"/>
    </row>
    <row r="603" spans="1:4" x14ac:dyDescent="0.25">
      <c r="A603" s="5"/>
      <c r="C603"/>
      <c r="D603"/>
    </row>
    <row r="604" spans="1:4" x14ac:dyDescent="0.25">
      <c r="A604" s="5"/>
      <c r="C604"/>
      <c r="D604"/>
    </row>
    <row r="605" spans="1:4" x14ac:dyDescent="0.25">
      <c r="A605" s="5"/>
      <c r="C605"/>
      <c r="D605"/>
    </row>
    <row r="606" spans="1:4" x14ac:dyDescent="0.25">
      <c r="A606" s="5"/>
      <c r="C606"/>
      <c r="D606"/>
    </row>
    <row r="607" spans="1:4" x14ac:dyDescent="0.25">
      <c r="A607" s="5"/>
      <c r="C607"/>
      <c r="D607"/>
    </row>
    <row r="608" spans="1:4" x14ac:dyDescent="0.25">
      <c r="A608" s="5"/>
      <c r="C608"/>
      <c r="D608"/>
    </row>
    <row r="609" spans="1:4" x14ac:dyDescent="0.25">
      <c r="A609" s="5"/>
      <c r="C609"/>
      <c r="D609"/>
    </row>
    <row r="610" spans="1:4" x14ac:dyDescent="0.25">
      <c r="A610" s="5"/>
      <c r="C610"/>
      <c r="D610"/>
    </row>
    <row r="611" spans="1:4" x14ac:dyDescent="0.25">
      <c r="A611" s="5"/>
      <c r="C611"/>
      <c r="D611"/>
    </row>
    <row r="612" spans="1:4" x14ac:dyDescent="0.25">
      <c r="A612" s="5"/>
      <c r="C612"/>
      <c r="D612"/>
    </row>
    <row r="613" spans="1:4" x14ac:dyDescent="0.25">
      <c r="A613" s="5"/>
      <c r="C613"/>
      <c r="D613"/>
    </row>
    <row r="614" spans="1:4" x14ac:dyDescent="0.25">
      <c r="A614" s="5"/>
      <c r="C614"/>
      <c r="D614"/>
    </row>
    <row r="615" spans="1:4" x14ac:dyDescent="0.25">
      <c r="A615" s="5"/>
      <c r="C615"/>
      <c r="D615"/>
    </row>
    <row r="616" spans="1:4" x14ac:dyDescent="0.25">
      <c r="A616" s="5"/>
      <c r="C616"/>
      <c r="D616"/>
    </row>
    <row r="617" spans="1:4" x14ac:dyDescent="0.25">
      <c r="A617" s="5"/>
      <c r="C617"/>
      <c r="D617"/>
    </row>
    <row r="618" spans="1:4" x14ac:dyDescent="0.25">
      <c r="A618" s="5"/>
      <c r="C618"/>
      <c r="D618"/>
    </row>
    <row r="619" spans="1:4" x14ac:dyDescent="0.25">
      <c r="A619" s="5"/>
      <c r="C619"/>
      <c r="D619"/>
    </row>
    <row r="620" spans="1:4" x14ac:dyDescent="0.25">
      <c r="A620" s="5"/>
      <c r="C620"/>
      <c r="D620"/>
    </row>
    <row r="621" spans="1:4" x14ac:dyDescent="0.25">
      <c r="A621" s="5"/>
      <c r="C621"/>
      <c r="D621"/>
    </row>
    <row r="622" spans="1:4" x14ac:dyDescent="0.25">
      <c r="A622" s="5"/>
      <c r="C622"/>
      <c r="D622"/>
    </row>
    <row r="623" spans="1:4" x14ac:dyDescent="0.25">
      <c r="A623" s="5"/>
      <c r="C623"/>
      <c r="D623"/>
    </row>
    <row r="624" spans="1:4" x14ac:dyDescent="0.25">
      <c r="A624" s="5"/>
      <c r="C624"/>
      <c r="D624"/>
    </row>
    <row r="625" spans="1:4" x14ac:dyDescent="0.25">
      <c r="A625" s="5"/>
      <c r="C625"/>
      <c r="D625"/>
    </row>
    <row r="626" spans="1:4" x14ac:dyDescent="0.25">
      <c r="A626" s="5"/>
      <c r="C626"/>
      <c r="D626"/>
    </row>
    <row r="627" spans="1:4" x14ac:dyDescent="0.25">
      <c r="A627" s="5"/>
      <c r="C627"/>
      <c r="D627"/>
    </row>
    <row r="628" spans="1:4" x14ac:dyDescent="0.25">
      <c r="A628" s="5"/>
      <c r="C628"/>
      <c r="D628"/>
    </row>
    <row r="629" spans="1:4" x14ac:dyDescent="0.25">
      <c r="A629" s="5"/>
      <c r="C629"/>
      <c r="D629"/>
    </row>
    <row r="630" spans="1:4" x14ac:dyDescent="0.25">
      <c r="A630" s="5"/>
      <c r="C630"/>
      <c r="D630"/>
    </row>
    <row r="631" spans="1:4" x14ac:dyDescent="0.25">
      <c r="A631" s="5"/>
      <c r="C631"/>
      <c r="D631"/>
    </row>
    <row r="632" spans="1:4" x14ac:dyDescent="0.25">
      <c r="A632" s="5"/>
      <c r="C632"/>
      <c r="D632"/>
    </row>
    <row r="633" spans="1:4" x14ac:dyDescent="0.25">
      <c r="A633" s="5"/>
      <c r="C633"/>
      <c r="D633"/>
    </row>
    <row r="634" spans="1:4" x14ac:dyDescent="0.25">
      <c r="A634" s="5"/>
      <c r="C634"/>
      <c r="D634"/>
    </row>
    <row r="635" spans="1:4" x14ac:dyDescent="0.25">
      <c r="A635" s="5"/>
      <c r="C635"/>
      <c r="D635"/>
    </row>
    <row r="636" spans="1:4" x14ac:dyDescent="0.25">
      <c r="A636" s="5"/>
      <c r="C636"/>
      <c r="D636"/>
    </row>
    <row r="637" spans="1:4" x14ac:dyDescent="0.25">
      <c r="A637" s="5"/>
      <c r="C637"/>
      <c r="D637"/>
    </row>
    <row r="638" spans="1:4" x14ac:dyDescent="0.25">
      <c r="A638" s="5"/>
      <c r="C638"/>
      <c r="D638"/>
    </row>
    <row r="639" spans="1:4" x14ac:dyDescent="0.25">
      <c r="A639" s="5"/>
      <c r="C639"/>
      <c r="D639"/>
    </row>
    <row r="640" spans="1:4" x14ac:dyDescent="0.25">
      <c r="A640" s="5"/>
      <c r="C640"/>
      <c r="D640"/>
    </row>
    <row r="641" spans="1:4" x14ac:dyDescent="0.25">
      <c r="A641" s="5"/>
      <c r="C641"/>
      <c r="D641"/>
    </row>
    <row r="642" spans="1:4" x14ac:dyDescent="0.25">
      <c r="A642" s="5"/>
      <c r="C642"/>
      <c r="D642"/>
    </row>
    <row r="643" spans="1:4" x14ac:dyDescent="0.25">
      <c r="A643" s="5"/>
      <c r="C643"/>
      <c r="D643"/>
    </row>
    <row r="644" spans="1:4" x14ac:dyDescent="0.25">
      <c r="A644" s="5"/>
      <c r="C644"/>
      <c r="D644"/>
    </row>
    <row r="645" spans="1:4" x14ac:dyDescent="0.25">
      <c r="A645" s="5"/>
      <c r="C645"/>
      <c r="D645"/>
    </row>
    <row r="646" spans="1:4" x14ac:dyDescent="0.25">
      <c r="A646" s="5"/>
      <c r="C646"/>
      <c r="D646"/>
    </row>
    <row r="647" spans="1:4" x14ac:dyDescent="0.25">
      <c r="A647" s="5"/>
      <c r="C647"/>
      <c r="D647"/>
    </row>
    <row r="648" spans="1:4" x14ac:dyDescent="0.25">
      <c r="A648" s="5"/>
      <c r="C648"/>
      <c r="D648"/>
    </row>
    <row r="649" spans="1:4" x14ac:dyDescent="0.25">
      <c r="A649" s="5"/>
      <c r="C649"/>
      <c r="D649"/>
    </row>
    <row r="650" spans="1:4" x14ac:dyDescent="0.25">
      <c r="A650" s="5"/>
      <c r="C650"/>
      <c r="D650"/>
    </row>
    <row r="651" spans="1:4" x14ac:dyDescent="0.25">
      <c r="A651" s="5"/>
      <c r="C651"/>
      <c r="D651"/>
    </row>
    <row r="652" spans="1:4" x14ac:dyDescent="0.25">
      <c r="A652" s="5"/>
      <c r="C652"/>
      <c r="D652"/>
    </row>
    <row r="653" spans="1:4" x14ac:dyDescent="0.25">
      <c r="A653" s="5"/>
      <c r="C653"/>
      <c r="D653"/>
    </row>
    <row r="654" spans="1:4" x14ac:dyDescent="0.25">
      <c r="A654" s="5"/>
      <c r="C654"/>
      <c r="D654"/>
    </row>
    <row r="655" spans="1:4" x14ac:dyDescent="0.25">
      <c r="A655" s="5"/>
      <c r="C655"/>
      <c r="D655"/>
    </row>
    <row r="656" spans="1:4" x14ac:dyDescent="0.25">
      <c r="A656" s="5"/>
      <c r="C656"/>
      <c r="D656"/>
    </row>
    <row r="657" spans="1:4" x14ac:dyDescent="0.25">
      <c r="A657" s="5"/>
      <c r="C657"/>
      <c r="D657"/>
    </row>
    <row r="658" spans="1:4" x14ac:dyDescent="0.25">
      <c r="A658" s="5"/>
      <c r="C658"/>
      <c r="D658"/>
    </row>
    <row r="659" spans="1:4" x14ac:dyDescent="0.25">
      <c r="A659" s="5"/>
      <c r="C659"/>
      <c r="D659"/>
    </row>
    <row r="660" spans="1:4" x14ac:dyDescent="0.25">
      <c r="A660" s="5"/>
      <c r="C660"/>
      <c r="D660"/>
    </row>
    <row r="661" spans="1:4" x14ac:dyDescent="0.25">
      <c r="A661" s="5"/>
    </row>
    <row r="662" spans="1:4" x14ac:dyDescent="0.25">
      <c r="A662" s="5"/>
    </row>
    <row r="663" spans="1:4" x14ac:dyDescent="0.25">
      <c r="A663" s="5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  <c r="C741" s="4"/>
      <c r="D741" s="4"/>
    </row>
    <row r="742" spans="1:4" x14ac:dyDescent="0.25">
      <c r="A742" s="5"/>
      <c r="C742" s="4"/>
      <c r="D742" s="4"/>
    </row>
    <row r="743" spans="1:4" x14ac:dyDescent="0.25">
      <c r="A743" s="5"/>
      <c r="C743" s="4"/>
      <c r="D743" s="4"/>
    </row>
    <row r="744" spans="1:4" x14ac:dyDescent="0.25">
      <c r="A744" s="5"/>
      <c r="C744" s="4"/>
      <c r="D744" s="4"/>
    </row>
    <row r="745" spans="1:4" x14ac:dyDescent="0.25">
      <c r="A745" s="5"/>
      <c r="C745" s="4"/>
      <c r="D745" s="4"/>
    </row>
    <row r="746" spans="1:4" x14ac:dyDescent="0.25">
      <c r="A746" s="5"/>
      <c r="C746" s="4"/>
      <c r="D746" s="4"/>
    </row>
    <row r="747" spans="1:4" x14ac:dyDescent="0.25">
      <c r="A747" s="5"/>
      <c r="C747" s="4"/>
      <c r="D747" s="4"/>
    </row>
    <row r="748" spans="1:4" x14ac:dyDescent="0.25">
      <c r="A748" s="5"/>
      <c r="C748" s="4"/>
      <c r="D748" s="4"/>
    </row>
    <row r="749" spans="1:4" x14ac:dyDescent="0.25">
      <c r="A749" s="5"/>
      <c r="C749" s="4"/>
      <c r="D749" s="4"/>
    </row>
    <row r="750" spans="1:4" x14ac:dyDescent="0.25">
      <c r="A750" s="5"/>
      <c r="C750" s="4"/>
      <c r="D750" s="4"/>
    </row>
    <row r="751" spans="1:4" x14ac:dyDescent="0.25">
      <c r="A751" s="5"/>
      <c r="C751" s="4"/>
      <c r="D751" s="4"/>
    </row>
    <row r="752" spans="1:4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  <c r="C766" s="4"/>
      <c r="D766" s="4"/>
    </row>
    <row r="767" spans="1:4" x14ac:dyDescent="0.25">
      <c r="A767" s="5"/>
      <c r="C767" s="4"/>
      <c r="D767" s="4"/>
    </row>
    <row r="768" spans="1:4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J77" sqref="JJ7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14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141" x14ac:dyDescent="0.25">
      <c r="A2" s="15"/>
      <c r="B2" s="16"/>
      <c r="C2" s="16" t="s">
        <v>11</v>
      </c>
      <c r="D2" s="16" t="s">
        <v>12</v>
      </c>
      <c r="E2" s="16"/>
    </row>
    <row r="3" spans="1:141" x14ac:dyDescent="0.25">
      <c r="A3" s="15"/>
      <c r="B3" s="16"/>
      <c r="C3" s="15"/>
      <c r="D3" s="15"/>
      <c r="E3" s="16"/>
    </row>
    <row r="4" spans="1:141" x14ac:dyDescent="0.25">
      <c r="E4" s="16"/>
    </row>
    <row r="5" spans="1:141" x14ac:dyDescent="0.25">
      <c r="A5" s="7">
        <v>101227.83894314201</v>
      </c>
      <c r="E5" s="16"/>
    </row>
    <row r="6" spans="1:141" x14ac:dyDescent="0.25">
      <c r="A6" s="7">
        <v>99242.979356021577</v>
      </c>
      <c r="E6" s="16"/>
    </row>
    <row r="7" spans="1:141" x14ac:dyDescent="0.25">
      <c r="A7" s="7">
        <v>97297.038584334878</v>
      </c>
      <c r="E7" s="16"/>
    </row>
    <row r="8" spans="1:141" x14ac:dyDescent="0.25">
      <c r="A8" s="7">
        <v>95389.253514053795</v>
      </c>
    </row>
    <row r="9" spans="1:141" x14ac:dyDescent="0.25">
      <c r="A9" s="7">
        <v>93518.87599417039</v>
      </c>
      <c r="EI9" s="27" t="s">
        <v>8</v>
      </c>
    </row>
    <row r="10" spans="1:141" x14ac:dyDescent="0.25">
      <c r="A10" s="7">
        <v>91685.172543304303</v>
      </c>
      <c r="EI10" s="27" t="s">
        <v>8</v>
      </c>
      <c r="EJ10" s="27" t="s">
        <v>7</v>
      </c>
    </row>
    <row r="11" spans="1:141" x14ac:dyDescent="0.25">
      <c r="A11" s="7">
        <v>89887.424062063044</v>
      </c>
      <c r="EI11" s="27" t="s">
        <v>8</v>
      </c>
      <c r="EJ11" s="27" t="s">
        <v>7</v>
      </c>
    </row>
    <row r="12" spans="1:141" x14ac:dyDescent="0.25">
      <c r="A12" s="7">
        <v>88124.925551042194</v>
      </c>
      <c r="EI12" s="27" t="s">
        <v>8</v>
      </c>
      <c r="EJ12" s="27" t="s">
        <v>7</v>
      </c>
    </row>
    <row r="13" spans="1:141" x14ac:dyDescent="0.25">
      <c r="A13" s="7">
        <v>86396.985834355088</v>
      </c>
      <c r="EI13" s="27" t="s">
        <v>8</v>
      </c>
      <c r="EJ13" s="27" t="s">
        <v>7</v>
      </c>
    </row>
    <row r="14" spans="1:141" x14ac:dyDescent="0.25">
      <c r="A14" s="7">
        <v>84702.927288583422</v>
      </c>
      <c r="EI14" s="27" t="s">
        <v>8</v>
      </c>
      <c r="EJ14" s="27" t="s">
        <v>7</v>
      </c>
    </row>
    <row r="15" spans="1:141" x14ac:dyDescent="0.25">
      <c r="A15" s="7">
        <v>83042.08557704257</v>
      </c>
      <c r="EI15" s="27" t="s">
        <v>8</v>
      </c>
      <c r="EJ15" s="27" t="s">
        <v>7</v>
      </c>
    </row>
    <row r="16" spans="1:141" x14ac:dyDescent="0.25">
      <c r="A16" s="7">
        <v>81413.809389257425</v>
      </c>
      <c r="EI16" s="27" t="s">
        <v>8</v>
      </c>
      <c r="EJ16" s="27" t="s">
        <v>7</v>
      </c>
      <c r="EK16" s="27" t="s">
        <v>8</v>
      </c>
    </row>
    <row r="17" spans="1:144" x14ac:dyDescent="0.25">
      <c r="A17" s="7">
        <v>79817.460185546501</v>
      </c>
      <c r="C17" s="1" t="s">
        <v>15</v>
      </c>
      <c r="E17"/>
      <c r="EI17" s="27" t="s">
        <v>8</v>
      </c>
      <c r="EJ17" s="27" t="s">
        <v>7</v>
      </c>
      <c r="EK17" s="27" t="s">
        <v>8</v>
      </c>
      <c r="EL17" s="27" t="s">
        <v>7</v>
      </c>
    </row>
    <row r="18" spans="1:144" x14ac:dyDescent="0.25">
      <c r="A18" s="7">
        <v>78252.411946614215</v>
      </c>
      <c r="C18" s="7">
        <v>0.41019680250993112</v>
      </c>
      <c r="D18"/>
      <c r="E18"/>
      <c r="EI18" s="27" t="s">
        <v>8</v>
      </c>
      <c r="EJ18" s="27" t="s">
        <v>7</v>
      </c>
      <c r="EK18" s="27" t="s">
        <v>8</v>
      </c>
      <c r="EL18" s="27" t="s">
        <v>7</v>
      </c>
    </row>
    <row r="19" spans="1:144" x14ac:dyDescent="0.25">
      <c r="A19" s="7">
        <v>76718.050928053155</v>
      </c>
      <c r="E19"/>
      <c r="EI19" s="27" t="s">
        <v>8</v>
      </c>
      <c r="EJ19" s="27" t="s">
        <v>7</v>
      </c>
      <c r="EK19" s="27" t="s">
        <v>8</v>
      </c>
      <c r="EL19" s="27" t="s">
        <v>7</v>
      </c>
      <c r="EM19" s="27" t="s">
        <v>8</v>
      </c>
    </row>
    <row r="20" spans="1:144" x14ac:dyDescent="0.25">
      <c r="A20" s="7">
        <v>75213.775419659956</v>
      </c>
      <c r="C20" s="1" t="s">
        <v>11</v>
      </c>
      <c r="D20" s="1" t="s">
        <v>12</v>
      </c>
      <c r="E20"/>
      <c r="EI20" s="27" t="s">
        <v>8</v>
      </c>
      <c r="EJ20" s="27" t="s">
        <v>7</v>
      </c>
      <c r="EK20" s="27" t="s">
        <v>8</v>
      </c>
      <c r="EL20" s="27" t="s">
        <v>7</v>
      </c>
      <c r="EM20" s="27" t="s">
        <v>8</v>
      </c>
      <c r="EN20" s="27" t="s">
        <v>7</v>
      </c>
    </row>
    <row r="21" spans="1:144" x14ac:dyDescent="0.25">
      <c r="A21" s="7">
        <v>73738.995509470551</v>
      </c>
      <c r="C21" s="7">
        <v>0.35910999999999998</v>
      </c>
      <c r="D21" s="7">
        <v>0.32918999999999998</v>
      </c>
      <c r="E21"/>
      <c r="EI21" s="27" t="s">
        <v>8</v>
      </c>
      <c r="EJ21" s="27" t="s">
        <v>7</v>
      </c>
      <c r="EK21" s="27" t="s">
        <v>8</v>
      </c>
      <c r="EL21" s="27" t="s">
        <v>7</v>
      </c>
      <c r="EM21" s="27" t="s">
        <v>8</v>
      </c>
      <c r="EN21" s="27" t="s">
        <v>7</v>
      </c>
    </row>
    <row r="22" spans="1:144" x14ac:dyDescent="0.25">
      <c r="A22" s="7">
        <v>72293.132852422103</v>
      </c>
      <c r="E22"/>
      <c r="EI22" s="27" t="s">
        <v>8</v>
      </c>
      <c r="EJ22" s="27" t="s">
        <v>7</v>
      </c>
      <c r="EK22" s="27" t="s">
        <v>8</v>
      </c>
      <c r="EL22" s="27" t="s">
        <v>7</v>
      </c>
      <c r="EM22" s="27" t="s">
        <v>8</v>
      </c>
      <c r="EN22" s="27" t="s">
        <v>7</v>
      </c>
    </row>
    <row r="23" spans="1:144" x14ac:dyDescent="0.25">
      <c r="A23" s="7">
        <v>70875.620443551074</v>
      </c>
      <c r="C23" s="1" t="s">
        <v>13</v>
      </c>
      <c r="E23"/>
      <c r="EI23" s="27" t="s">
        <v>8</v>
      </c>
      <c r="EJ23" s="27" t="s">
        <v>7</v>
      </c>
      <c r="EK23" s="27" t="s">
        <v>8</v>
      </c>
      <c r="EL23" s="27" t="s">
        <v>7</v>
      </c>
      <c r="EM23" s="27" t="s">
        <v>8</v>
      </c>
      <c r="EN23" s="27" t="s">
        <v>7</v>
      </c>
    </row>
    <row r="24" spans="1:144" x14ac:dyDescent="0.25">
      <c r="A24" s="7">
        <v>69485.902395638303</v>
      </c>
      <c r="C24" s="1" t="s">
        <v>8</v>
      </c>
      <c r="E24"/>
      <c r="EI24" s="27" t="s">
        <v>8</v>
      </c>
      <c r="EJ24" s="27" t="s">
        <v>7</v>
      </c>
      <c r="EK24" s="27" t="s">
        <v>8</v>
      </c>
      <c r="EL24" s="27" t="s">
        <v>7</v>
      </c>
      <c r="EM24" s="27" t="s">
        <v>8</v>
      </c>
      <c r="EN24" s="27" t="s">
        <v>7</v>
      </c>
    </row>
    <row r="25" spans="1:144" x14ac:dyDescent="0.25">
      <c r="A25" s="7">
        <v>68123.433721214024</v>
      </c>
      <c r="E25"/>
      <c r="EI25" s="27" t="s">
        <v>8</v>
      </c>
      <c r="EJ25" s="27" t="s">
        <v>7</v>
      </c>
      <c r="EK25" s="27" t="s">
        <v>8</v>
      </c>
      <c r="EL25" s="27" t="s">
        <v>7</v>
      </c>
      <c r="EM25" s="27" t="s">
        <v>8</v>
      </c>
      <c r="EN25" s="27" t="s">
        <v>7</v>
      </c>
    </row>
    <row r="26" spans="1:144" x14ac:dyDescent="0.25">
      <c r="A26" s="7">
        <v>66787.680118837277</v>
      </c>
      <c r="C26" s="1" t="s">
        <v>14</v>
      </c>
      <c r="E26"/>
      <c r="EI26" s="27" t="s">
        <v>8</v>
      </c>
      <c r="EJ26" s="27" t="s">
        <v>7</v>
      </c>
      <c r="EK26" s="27" t="s">
        <v>8</v>
      </c>
      <c r="EL26" s="27" t="s">
        <v>7</v>
      </c>
      <c r="EM26" s="27" t="s">
        <v>8</v>
      </c>
      <c r="EN26" s="27" t="s">
        <v>7</v>
      </c>
    </row>
    <row r="27" spans="1:144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  <c r="EI27" s="27" t="s">
        <v>8</v>
      </c>
      <c r="EJ27" s="27" t="s">
        <v>7</v>
      </c>
      <c r="EK27" s="27" t="s">
        <v>8</v>
      </c>
      <c r="EL27" s="27" t="s">
        <v>7</v>
      </c>
      <c r="EM27" s="27" t="s">
        <v>8</v>
      </c>
      <c r="EN27" s="27" t="s">
        <v>7</v>
      </c>
    </row>
    <row r="28" spans="1:144" x14ac:dyDescent="0.25">
      <c r="A28" s="7">
        <v>64194.233101535254</v>
      </c>
      <c r="E28"/>
      <c r="EI28" s="27" t="s">
        <v>8</v>
      </c>
      <c r="EJ28" s="27" t="s">
        <v>7</v>
      </c>
      <c r="EK28" s="27" t="s">
        <v>8</v>
      </c>
      <c r="EL28" s="27" t="s">
        <v>7</v>
      </c>
      <c r="EM28" s="27" t="s">
        <v>8</v>
      </c>
      <c r="EN28" s="27" t="s">
        <v>7</v>
      </c>
    </row>
    <row r="29" spans="1:144" x14ac:dyDescent="0.25">
      <c r="A29" s="7">
        <v>62935.522648563972</v>
      </c>
      <c r="E29"/>
      <c r="EI29" s="27" t="s">
        <v>8</v>
      </c>
      <c r="EJ29" s="27" t="s">
        <v>7</v>
      </c>
      <c r="EK29" s="27" t="s">
        <v>8</v>
      </c>
      <c r="EL29" s="27" t="s">
        <v>7</v>
      </c>
      <c r="EM29" s="27" t="s">
        <v>8</v>
      </c>
      <c r="EN29" s="27" t="s">
        <v>7</v>
      </c>
    </row>
    <row r="30" spans="1:144" x14ac:dyDescent="0.25">
      <c r="A30" s="7">
        <v>61701.492792709774</v>
      </c>
      <c r="E30"/>
      <c r="EI30" s="27" t="s">
        <v>8</v>
      </c>
      <c r="EJ30" s="27" t="s">
        <v>7</v>
      </c>
      <c r="EK30" s="27" t="s">
        <v>8</v>
      </c>
      <c r="EL30" s="27" t="s">
        <v>7</v>
      </c>
      <c r="EM30" s="27" t="s">
        <v>8</v>
      </c>
      <c r="EN30" s="27" t="s">
        <v>7</v>
      </c>
    </row>
    <row r="31" spans="1:144" x14ac:dyDescent="0.25">
      <c r="A31" s="7">
        <v>60491.659600695857</v>
      </c>
      <c r="E31"/>
      <c r="EI31" s="27" t="s">
        <v>8</v>
      </c>
      <c r="EJ31" s="27" t="s">
        <v>7</v>
      </c>
      <c r="EL31" s="27" t="s">
        <v>7</v>
      </c>
      <c r="EM31" s="27" t="s">
        <v>8</v>
      </c>
      <c r="EN31" s="27" t="s">
        <v>7</v>
      </c>
    </row>
    <row r="32" spans="1:144" x14ac:dyDescent="0.25">
      <c r="A32" s="7">
        <v>59305.548628133191</v>
      </c>
      <c r="E32"/>
      <c r="EI32" s="27" t="s">
        <v>8</v>
      </c>
      <c r="EL32" s="27" t="s">
        <v>7</v>
      </c>
      <c r="EN32" s="27" t="s">
        <v>7</v>
      </c>
    </row>
    <row r="33" spans="1:201" x14ac:dyDescent="0.25">
      <c r="A33" s="7">
        <v>58142.694733463912</v>
      </c>
      <c r="E33"/>
      <c r="EI33" s="27" t="s">
        <v>8</v>
      </c>
      <c r="EN33" s="27" t="s">
        <v>7</v>
      </c>
    </row>
    <row r="34" spans="1:201" x14ac:dyDescent="0.25">
      <c r="A34" s="7">
        <v>57002.641895552857</v>
      </c>
      <c r="E34"/>
      <c r="DU34" s="27" t="s">
        <v>8</v>
      </c>
      <c r="EG34" s="27" t="s">
        <v>8</v>
      </c>
      <c r="EI34" s="27" t="s">
        <v>8</v>
      </c>
      <c r="EN34" s="27" t="s">
        <v>7</v>
      </c>
      <c r="EO34" s="27" t="s">
        <v>8</v>
      </c>
    </row>
    <row r="35" spans="1:201" x14ac:dyDescent="0.25">
      <c r="A35" s="7">
        <v>55884.943034855743</v>
      </c>
      <c r="E35"/>
      <c r="DU35" s="27" t="s">
        <v>8</v>
      </c>
      <c r="DV35" s="27" t="s">
        <v>7</v>
      </c>
      <c r="EG35" s="27" t="s">
        <v>8</v>
      </c>
      <c r="EH35" s="27" t="s">
        <v>7</v>
      </c>
      <c r="EI35" s="27" t="s">
        <v>8</v>
      </c>
      <c r="EN35" s="27" t="s">
        <v>7</v>
      </c>
      <c r="EO35" s="27" t="s">
        <v>8</v>
      </c>
      <c r="EP35" s="27" t="s">
        <v>7</v>
      </c>
    </row>
    <row r="36" spans="1:201" x14ac:dyDescent="0.25">
      <c r="A36" s="7">
        <v>54789.159838093867</v>
      </c>
      <c r="E36"/>
      <c r="DU36" s="27" t="s">
        <v>8</v>
      </c>
      <c r="DV36" s="27" t="s">
        <v>7</v>
      </c>
      <c r="EE36" s="27" t="s">
        <v>8</v>
      </c>
      <c r="EG36" s="27" t="s">
        <v>8</v>
      </c>
      <c r="EH36" s="27" t="s">
        <v>7</v>
      </c>
      <c r="EI36" s="27" t="s">
        <v>8</v>
      </c>
      <c r="EN36" s="27" t="s">
        <v>7</v>
      </c>
      <c r="EO36" s="27" t="s">
        <v>8</v>
      </c>
      <c r="EP36" s="27" t="s">
        <v>7</v>
      </c>
    </row>
    <row r="37" spans="1:201" x14ac:dyDescent="0.25">
      <c r="A37" s="7">
        <v>53714.862586366537</v>
      </c>
      <c r="E37"/>
      <c r="DS37" s="27" t="s">
        <v>8</v>
      </c>
      <c r="DU37" s="27" t="s">
        <v>8</v>
      </c>
      <c r="DV37" s="27" t="s">
        <v>7</v>
      </c>
      <c r="EE37" s="27" t="s">
        <v>8</v>
      </c>
      <c r="EF37" s="27" t="s">
        <v>7</v>
      </c>
      <c r="EG37" s="27" t="s">
        <v>8</v>
      </c>
      <c r="EH37" s="27" t="s">
        <v>7</v>
      </c>
      <c r="EI37" s="27" t="s">
        <v>8</v>
      </c>
      <c r="EN37" s="27" t="s">
        <v>7</v>
      </c>
      <c r="EO37" s="27" t="s">
        <v>8</v>
      </c>
      <c r="EP37" s="27" t="s">
        <v>7</v>
      </c>
    </row>
    <row r="38" spans="1:201" x14ac:dyDescent="0.25">
      <c r="A38" s="7">
        <v>52661.62998663386</v>
      </c>
      <c r="E38"/>
      <c r="CM38" s="27" t="s">
        <v>8</v>
      </c>
      <c r="DQ38" s="27" t="s">
        <v>8</v>
      </c>
      <c r="DS38" s="27" t="s">
        <v>8</v>
      </c>
      <c r="DT38" s="27" t="s">
        <v>7</v>
      </c>
      <c r="DU38" s="27" t="s">
        <v>8</v>
      </c>
      <c r="DV38" s="27" t="s">
        <v>7</v>
      </c>
      <c r="EE38" s="27" t="s">
        <v>8</v>
      </c>
      <c r="EF38" s="27" t="s">
        <v>7</v>
      </c>
      <c r="EG38" s="27" t="s">
        <v>8</v>
      </c>
      <c r="EH38" s="27" t="s">
        <v>7</v>
      </c>
      <c r="EI38" s="27" t="s">
        <v>8</v>
      </c>
      <c r="EN38" s="27" t="s">
        <v>7</v>
      </c>
      <c r="EO38" s="27" t="s">
        <v>8</v>
      </c>
      <c r="EP38" s="27" t="s">
        <v>7</v>
      </c>
    </row>
    <row r="39" spans="1:201" x14ac:dyDescent="0.25">
      <c r="A39" s="7">
        <v>51629.049006503781</v>
      </c>
      <c r="E39"/>
      <c r="CM39" s="27" t="s">
        <v>8</v>
      </c>
      <c r="CN39" s="27" t="s">
        <v>7</v>
      </c>
      <c r="DQ39" s="27" t="s">
        <v>8</v>
      </c>
      <c r="DR39" s="27" t="s">
        <v>7</v>
      </c>
      <c r="DS39" s="27" t="s">
        <v>8</v>
      </c>
      <c r="DT39" s="27" t="s">
        <v>7</v>
      </c>
      <c r="DU39" s="27" t="s">
        <v>8</v>
      </c>
      <c r="DV39" s="27" t="s">
        <v>7</v>
      </c>
      <c r="DW39" s="27" t="s">
        <v>8</v>
      </c>
      <c r="EE39" s="27" t="s">
        <v>8</v>
      </c>
      <c r="EF39" s="27" t="s">
        <v>7</v>
      </c>
      <c r="EG39" s="27" t="s">
        <v>8</v>
      </c>
      <c r="EH39" s="27" t="s">
        <v>7</v>
      </c>
      <c r="EI39" s="27" t="s">
        <v>8</v>
      </c>
      <c r="EN39" s="27" t="s">
        <v>7</v>
      </c>
      <c r="EO39" s="27" t="s">
        <v>8</v>
      </c>
      <c r="EP39" s="27" t="s">
        <v>7</v>
      </c>
      <c r="ES39" s="27" t="s">
        <v>8</v>
      </c>
      <c r="EU39" s="27" t="s">
        <v>8</v>
      </c>
    </row>
    <row r="40" spans="1:201" x14ac:dyDescent="0.25">
      <c r="A40" s="7">
        <v>50616.71471225861</v>
      </c>
      <c r="E40"/>
      <c r="CM40" s="27" t="s">
        <v>8</v>
      </c>
      <c r="CN40" s="27" t="s">
        <v>7</v>
      </c>
      <c r="DQ40" s="27" t="s">
        <v>8</v>
      </c>
      <c r="DR40" s="27" t="s">
        <v>7</v>
      </c>
      <c r="DS40" s="27" t="s">
        <v>8</v>
      </c>
      <c r="DT40" s="27" t="s">
        <v>7</v>
      </c>
      <c r="DU40" s="27" t="s">
        <v>8</v>
      </c>
      <c r="DV40" s="27" t="s">
        <v>7</v>
      </c>
      <c r="DW40" s="27" t="s">
        <v>8</v>
      </c>
      <c r="DX40" s="27" t="s">
        <v>7</v>
      </c>
      <c r="EC40" s="27" t="s">
        <v>8</v>
      </c>
      <c r="EE40" s="27" t="s">
        <v>8</v>
      </c>
      <c r="EF40" s="27" t="s">
        <v>7</v>
      </c>
      <c r="EH40" s="27" t="s">
        <v>7</v>
      </c>
      <c r="EN40" s="27" t="s">
        <v>7</v>
      </c>
      <c r="EO40" s="27" t="s">
        <v>8</v>
      </c>
      <c r="EP40" s="27" t="s">
        <v>7</v>
      </c>
      <c r="ES40" s="27" t="s">
        <v>8</v>
      </c>
      <c r="ET40" s="27" t="s">
        <v>7</v>
      </c>
      <c r="EU40" s="27" t="s">
        <v>8</v>
      </c>
      <c r="EV40" s="27" t="s">
        <v>7</v>
      </c>
    </row>
    <row r="41" spans="1:201" x14ac:dyDescent="0.25">
      <c r="A41" s="7">
        <v>49624.230110057462</v>
      </c>
      <c r="E41"/>
      <c r="CM41" s="27" t="s">
        <v>8</v>
      </c>
      <c r="CN41" s="27" t="s">
        <v>7</v>
      </c>
      <c r="DQ41" s="27" t="s">
        <v>8</v>
      </c>
      <c r="DR41" s="27" t="s">
        <v>7</v>
      </c>
      <c r="DS41" s="27" t="s">
        <v>8</v>
      </c>
      <c r="DT41" s="27" t="s">
        <v>7</v>
      </c>
      <c r="DU41" s="27" t="s">
        <v>8</v>
      </c>
      <c r="DV41" s="27" t="s">
        <v>7</v>
      </c>
      <c r="DW41" s="27" t="s">
        <v>8</v>
      </c>
      <c r="DX41" s="27" t="s">
        <v>7</v>
      </c>
      <c r="EA41" s="27" t="s">
        <v>8</v>
      </c>
      <c r="EC41" s="27" t="s">
        <v>8</v>
      </c>
      <c r="ED41" s="27" t="s">
        <v>7</v>
      </c>
      <c r="EE41" s="27" t="s">
        <v>8</v>
      </c>
      <c r="EN41" s="27" t="s">
        <v>7</v>
      </c>
      <c r="EO41" s="27" t="s">
        <v>8</v>
      </c>
      <c r="EP41" s="27" t="s">
        <v>7</v>
      </c>
      <c r="ES41" s="27" t="s">
        <v>8</v>
      </c>
      <c r="ET41" s="27" t="s">
        <v>7</v>
      </c>
      <c r="EU41" s="27" t="s">
        <v>8</v>
      </c>
      <c r="EV41" s="27" t="s">
        <v>7</v>
      </c>
    </row>
    <row r="42" spans="1:201" x14ac:dyDescent="0.25">
      <c r="A42" s="7">
        <v>48651.205990252412</v>
      </c>
      <c r="E42"/>
      <c r="CM42" s="27" t="s">
        <v>8</v>
      </c>
      <c r="CN42" s="27" t="s">
        <v>7</v>
      </c>
      <c r="DM42" s="27" t="s">
        <v>8</v>
      </c>
      <c r="DQ42" s="27" t="s">
        <v>8</v>
      </c>
      <c r="DR42" s="27" t="s">
        <v>7</v>
      </c>
      <c r="DS42" s="27" t="s">
        <v>8</v>
      </c>
      <c r="DT42" s="27" t="s">
        <v>7</v>
      </c>
      <c r="DU42" s="27" t="s">
        <v>8</v>
      </c>
      <c r="DV42" s="27" t="s">
        <v>7</v>
      </c>
      <c r="DW42" s="27" t="s">
        <v>8</v>
      </c>
      <c r="DX42" s="27" t="s">
        <v>7</v>
      </c>
      <c r="EA42" s="27" t="s">
        <v>8</v>
      </c>
      <c r="EB42" s="27" t="s">
        <v>7</v>
      </c>
      <c r="EC42" s="27" t="s">
        <v>8</v>
      </c>
      <c r="ED42" s="27" t="s">
        <v>7</v>
      </c>
      <c r="EE42" s="27" t="s">
        <v>8</v>
      </c>
      <c r="EN42" s="27" t="s">
        <v>7</v>
      </c>
      <c r="EO42" s="27" t="s">
        <v>8</v>
      </c>
      <c r="EP42" s="27" t="s">
        <v>7</v>
      </c>
      <c r="ES42" s="27" t="s">
        <v>8</v>
      </c>
      <c r="ET42" s="27" t="s">
        <v>7</v>
      </c>
      <c r="EU42" s="27" t="s">
        <v>8</v>
      </c>
      <c r="EV42" s="27" t="s">
        <v>7</v>
      </c>
    </row>
    <row r="43" spans="1:201" x14ac:dyDescent="0.25">
      <c r="A43" s="7">
        <v>47697.260774757269</v>
      </c>
      <c r="E43"/>
      <c r="CM43" s="27" t="s">
        <v>8</v>
      </c>
      <c r="CN43" s="27" t="s">
        <v>7</v>
      </c>
      <c r="DM43" s="27" t="s">
        <v>8</v>
      </c>
      <c r="DN43" s="27" t="s">
        <v>7</v>
      </c>
      <c r="DQ43" s="27" t="s">
        <v>8</v>
      </c>
      <c r="DR43" s="27" t="s">
        <v>7</v>
      </c>
      <c r="DS43" s="27" t="s">
        <v>8</v>
      </c>
      <c r="DT43" s="27" t="s">
        <v>7</v>
      </c>
      <c r="DU43" s="27" t="s">
        <v>8</v>
      </c>
      <c r="DV43" s="27" t="s">
        <v>7</v>
      </c>
      <c r="DW43" s="27" t="s">
        <v>8</v>
      </c>
      <c r="DX43" s="27" t="s">
        <v>7</v>
      </c>
      <c r="EA43" s="27" t="s">
        <v>8</v>
      </c>
      <c r="EB43" s="27" t="s">
        <v>7</v>
      </c>
      <c r="EC43" s="27" t="s">
        <v>8</v>
      </c>
      <c r="ED43" s="27" t="s">
        <v>7</v>
      </c>
      <c r="EN43" s="27" t="s">
        <v>7</v>
      </c>
      <c r="EO43" s="27" t="s">
        <v>8</v>
      </c>
      <c r="EP43" s="27" t="s">
        <v>7</v>
      </c>
      <c r="ES43" s="27" t="s">
        <v>8</v>
      </c>
      <c r="ET43" s="27" t="s">
        <v>7</v>
      </c>
      <c r="EU43" s="27" t="s">
        <v>8</v>
      </c>
      <c r="EV43" s="27" t="s">
        <v>7</v>
      </c>
      <c r="EW43" s="27" t="s">
        <v>8</v>
      </c>
    </row>
    <row r="44" spans="1:201" x14ac:dyDescent="0.25">
      <c r="A44" s="7">
        <v>46762.020367409088</v>
      </c>
      <c r="E44"/>
      <c r="CM44" s="27" t="s">
        <v>8</v>
      </c>
      <c r="CN44" s="27" t="s">
        <v>7</v>
      </c>
      <c r="DM44" s="27" t="s">
        <v>8</v>
      </c>
      <c r="DN44" s="27" t="s">
        <v>7</v>
      </c>
      <c r="DO44" s="27" t="s">
        <v>8</v>
      </c>
      <c r="DQ44" s="27" t="s">
        <v>8</v>
      </c>
      <c r="DR44" s="27" t="s">
        <v>7</v>
      </c>
      <c r="DS44" s="27" t="s">
        <v>8</v>
      </c>
      <c r="DT44" s="27" t="s">
        <v>7</v>
      </c>
      <c r="DU44" s="27" t="s">
        <v>8</v>
      </c>
      <c r="DV44" s="27" t="s">
        <v>7</v>
      </c>
      <c r="DW44" s="27" t="s">
        <v>8</v>
      </c>
      <c r="DX44" s="27" t="s">
        <v>7</v>
      </c>
      <c r="EA44" s="27" t="s">
        <v>8</v>
      </c>
      <c r="EB44" s="27" t="s">
        <v>7</v>
      </c>
      <c r="EN44" s="27" t="s">
        <v>7</v>
      </c>
      <c r="EO44" s="27" t="s">
        <v>8</v>
      </c>
      <c r="EP44" s="27" t="s">
        <v>7</v>
      </c>
      <c r="ES44" s="27" t="s">
        <v>8</v>
      </c>
      <c r="ET44" s="27" t="s">
        <v>7</v>
      </c>
      <c r="EU44" s="27" t="s">
        <v>8</v>
      </c>
      <c r="EV44" s="27" t="s">
        <v>7</v>
      </c>
      <c r="EW44" s="27" t="s">
        <v>8</v>
      </c>
      <c r="EX44" s="27" t="s">
        <v>7</v>
      </c>
      <c r="EY44" s="27" t="s">
        <v>8</v>
      </c>
    </row>
    <row r="45" spans="1:201" x14ac:dyDescent="0.25">
      <c r="A45" s="7">
        <v>45845.118007263809</v>
      </c>
      <c r="C45" s="1" t="s">
        <v>15</v>
      </c>
      <c r="E45"/>
      <c r="CM45" s="27" t="s">
        <v>8</v>
      </c>
      <c r="CN45" s="27" t="s">
        <v>7</v>
      </c>
      <c r="CQ45" s="27" t="s">
        <v>8</v>
      </c>
      <c r="DM45" s="27" t="s">
        <v>8</v>
      </c>
      <c r="DN45" s="27" t="s">
        <v>7</v>
      </c>
      <c r="DO45" s="27" t="s">
        <v>8</v>
      </c>
      <c r="DP45" s="27" t="s">
        <v>7</v>
      </c>
      <c r="DQ45" s="27" t="s">
        <v>8</v>
      </c>
      <c r="DR45" s="27" t="s">
        <v>7</v>
      </c>
      <c r="DT45" s="27" t="s">
        <v>7</v>
      </c>
      <c r="DU45" s="27" t="s">
        <v>8</v>
      </c>
      <c r="DV45" s="27" t="s">
        <v>7</v>
      </c>
      <c r="DW45" s="27" t="s">
        <v>8</v>
      </c>
      <c r="DX45" s="27" t="s">
        <v>7</v>
      </c>
      <c r="EA45" s="27" t="s">
        <v>8</v>
      </c>
      <c r="EN45" s="27" t="s">
        <v>7</v>
      </c>
      <c r="EO45" s="27" t="s">
        <v>8</v>
      </c>
      <c r="EP45" s="27" t="s">
        <v>7</v>
      </c>
      <c r="ES45" s="27" t="s">
        <v>8</v>
      </c>
      <c r="ET45" s="27" t="s">
        <v>7</v>
      </c>
      <c r="EU45" s="27" t="s">
        <v>8</v>
      </c>
      <c r="EV45" s="27" t="s">
        <v>7</v>
      </c>
      <c r="EW45" s="27" t="s">
        <v>8</v>
      </c>
      <c r="EX45" s="27" t="s">
        <v>7</v>
      </c>
      <c r="EY45" s="27" t="s">
        <v>8</v>
      </c>
      <c r="EZ45" s="27" t="s">
        <v>7</v>
      </c>
    </row>
    <row r="46" spans="1:201" x14ac:dyDescent="0.25">
      <c r="A46" s="7">
        <v>44946.194124768437</v>
      </c>
      <c r="C46" s="7">
        <v>0.16172762090481685</v>
      </c>
      <c r="D46"/>
      <c r="E46"/>
      <c r="CM46" s="27" t="s">
        <v>8</v>
      </c>
      <c r="CN46" s="27" t="s">
        <v>7</v>
      </c>
      <c r="CO46" s="27" t="s">
        <v>8</v>
      </c>
      <c r="CQ46" s="27" t="s">
        <v>8</v>
      </c>
      <c r="CR46" s="27" t="s">
        <v>7</v>
      </c>
      <c r="DM46" s="27" t="s">
        <v>8</v>
      </c>
      <c r="DN46" s="27" t="s">
        <v>7</v>
      </c>
      <c r="DO46" s="27" t="s">
        <v>8</v>
      </c>
      <c r="DP46" s="27" t="s">
        <v>7</v>
      </c>
      <c r="DQ46" s="27" t="s">
        <v>8</v>
      </c>
      <c r="DT46" s="27" t="s">
        <v>7</v>
      </c>
      <c r="DU46" s="27" t="s">
        <v>8</v>
      </c>
      <c r="DV46" s="27" t="s">
        <v>7</v>
      </c>
      <c r="DW46" s="27" t="s">
        <v>8</v>
      </c>
      <c r="DX46" s="27" t="s">
        <v>7</v>
      </c>
      <c r="EA46" s="27" t="s">
        <v>8</v>
      </c>
      <c r="EN46" s="27" t="s">
        <v>7</v>
      </c>
      <c r="EO46" s="27" t="s">
        <v>8</v>
      </c>
      <c r="EP46" s="27" t="s">
        <v>7</v>
      </c>
      <c r="ES46" s="27" t="s">
        <v>8</v>
      </c>
      <c r="ET46" s="27" t="s">
        <v>7</v>
      </c>
      <c r="EU46" s="27" t="s">
        <v>8</v>
      </c>
      <c r="EV46" s="27" t="s">
        <v>7</v>
      </c>
      <c r="EW46" s="27" t="s">
        <v>8</v>
      </c>
      <c r="EX46" s="27" t="s">
        <v>7</v>
      </c>
      <c r="EY46" s="27" t="s">
        <v>8</v>
      </c>
      <c r="EZ46" s="27" t="s">
        <v>7</v>
      </c>
      <c r="GG46" s="27" t="s">
        <v>8</v>
      </c>
    </row>
    <row r="47" spans="1:201" x14ac:dyDescent="0.25">
      <c r="A47" s="7">
        <v>44064.89620075337</v>
      </c>
      <c r="E47"/>
      <c r="CM47" s="27" t="s">
        <v>8</v>
      </c>
      <c r="CN47" s="27" t="s">
        <v>7</v>
      </c>
      <c r="CO47" s="27" t="s">
        <v>8</v>
      </c>
      <c r="CP47" s="27" t="s">
        <v>7</v>
      </c>
      <c r="CQ47" s="27" t="s">
        <v>8</v>
      </c>
      <c r="CR47" s="27" t="s">
        <v>7</v>
      </c>
      <c r="CS47" s="27" t="s">
        <v>8</v>
      </c>
      <c r="DM47" s="27" t="s">
        <v>8</v>
      </c>
      <c r="DN47" s="27" t="s">
        <v>7</v>
      </c>
      <c r="DO47" s="27" t="s">
        <v>8</v>
      </c>
      <c r="DP47" s="27" t="s">
        <v>7</v>
      </c>
      <c r="DQ47" s="27" t="s">
        <v>8</v>
      </c>
      <c r="DT47" s="27" t="s">
        <v>7</v>
      </c>
      <c r="DU47" s="27" t="s">
        <v>8</v>
      </c>
      <c r="DV47" s="27" t="s">
        <v>7</v>
      </c>
      <c r="DW47" s="27" t="s">
        <v>8</v>
      </c>
      <c r="DX47" s="27" t="s">
        <v>7</v>
      </c>
      <c r="EA47" s="27" t="s">
        <v>8</v>
      </c>
      <c r="EN47" s="27" t="s">
        <v>7</v>
      </c>
      <c r="EO47" s="27" t="s">
        <v>8</v>
      </c>
      <c r="EP47" s="27" t="s">
        <v>7</v>
      </c>
      <c r="EQ47" s="27" t="s">
        <v>8</v>
      </c>
      <c r="ES47" s="27" t="s">
        <v>8</v>
      </c>
      <c r="ET47" s="27" t="s">
        <v>7</v>
      </c>
      <c r="EU47" s="27" t="s">
        <v>8</v>
      </c>
      <c r="EV47" s="27" t="s">
        <v>7</v>
      </c>
      <c r="EW47" s="27" t="s">
        <v>8</v>
      </c>
      <c r="EX47" s="27" t="s">
        <v>7</v>
      </c>
      <c r="EZ47" s="27" t="s">
        <v>7</v>
      </c>
      <c r="FA47" s="27" t="s">
        <v>8</v>
      </c>
      <c r="GG47" s="27" t="s">
        <v>8</v>
      </c>
      <c r="GH47" s="27" t="s">
        <v>7</v>
      </c>
    </row>
    <row r="48" spans="1:201" x14ac:dyDescent="0.25">
      <c r="A48" s="7">
        <v>43200.878628189581</v>
      </c>
      <c r="C48" s="1" t="s">
        <v>11</v>
      </c>
      <c r="D48" s="1" t="s">
        <v>12</v>
      </c>
      <c r="E48"/>
      <c r="S48" s="27" t="s">
        <v>8</v>
      </c>
      <c r="CM48" s="27" t="s">
        <v>8</v>
      </c>
      <c r="CN48" s="27" t="s">
        <v>7</v>
      </c>
      <c r="CO48" s="27" t="s">
        <v>8</v>
      </c>
      <c r="CP48" s="27" t="s">
        <v>7</v>
      </c>
      <c r="CQ48" s="27" t="s">
        <v>8</v>
      </c>
      <c r="CR48" s="27" t="s">
        <v>7</v>
      </c>
      <c r="CS48" s="27" t="s">
        <v>8</v>
      </c>
      <c r="CT48" s="27" t="s">
        <v>7</v>
      </c>
      <c r="DM48" s="27" t="s">
        <v>8</v>
      </c>
      <c r="DN48" s="27" t="s">
        <v>7</v>
      </c>
      <c r="DP48" s="27" t="s">
        <v>7</v>
      </c>
      <c r="DQ48" s="27" t="s">
        <v>8</v>
      </c>
      <c r="DT48" s="27" t="s">
        <v>7</v>
      </c>
      <c r="DU48" s="27" t="s">
        <v>8</v>
      </c>
      <c r="DV48" s="27" t="s">
        <v>7</v>
      </c>
      <c r="DX48" s="27" t="s">
        <v>7</v>
      </c>
      <c r="DY48" s="27" t="s">
        <v>8</v>
      </c>
      <c r="EA48" s="27" t="s">
        <v>8</v>
      </c>
      <c r="EN48" s="27" t="s">
        <v>7</v>
      </c>
      <c r="EO48" s="27" t="s">
        <v>8</v>
      </c>
      <c r="EP48" s="27" t="s">
        <v>7</v>
      </c>
      <c r="EQ48" s="27" t="s">
        <v>8</v>
      </c>
      <c r="ER48" s="27" t="s">
        <v>7</v>
      </c>
      <c r="ES48" s="27" t="s">
        <v>8</v>
      </c>
      <c r="ET48" s="27" t="s">
        <v>7</v>
      </c>
      <c r="EU48" s="27" t="s">
        <v>8</v>
      </c>
      <c r="EV48" s="27" t="s">
        <v>7</v>
      </c>
      <c r="EW48" s="27" t="s">
        <v>8</v>
      </c>
      <c r="EZ48" s="27" t="s">
        <v>7</v>
      </c>
      <c r="FA48" s="27" t="s">
        <v>8</v>
      </c>
      <c r="FB48" s="27" t="s">
        <v>7</v>
      </c>
      <c r="GG48" s="27" t="s">
        <v>8</v>
      </c>
      <c r="GH48" s="27" t="s">
        <v>7</v>
      </c>
      <c r="GQ48" s="27" t="s">
        <v>8</v>
      </c>
      <c r="GS48" s="27" t="s">
        <v>8</v>
      </c>
    </row>
    <row r="49" spans="1:266" x14ac:dyDescent="0.25">
      <c r="A49" s="7">
        <v>42353.802576656453</v>
      </c>
      <c r="C49">
        <v>0.11</v>
      </c>
      <c r="D49">
        <v>0.1</v>
      </c>
      <c r="E49"/>
      <c r="S49" s="27" t="s">
        <v>8</v>
      </c>
      <c r="T49" s="27" t="s">
        <v>7</v>
      </c>
      <c r="CM49" s="27" t="s">
        <v>8</v>
      </c>
      <c r="CN49" s="27" t="s">
        <v>7</v>
      </c>
      <c r="CO49" s="27" t="s">
        <v>8</v>
      </c>
      <c r="CP49" s="27" t="s">
        <v>7</v>
      </c>
      <c r="CQ49" s="27" t="s">
        <v>8</v>
      </c>
      <c r="CR49" s="27" t="s">
        <v>7</v>
      </c>
      <c r="CS49" s="27" t="s">
        <v>8</v>
      </c>
      <c r="CT49" s="27" t="s">
        <v>7</v>
      </c>
      <c r="DA49" s="27" t="s">
        <v>8</v>
      </c>
      <c r="DM49" s="27" t="s">
        <v>8</v>
      </c>
      <c r="DP49" s="27" t="s">
        <v>7</v>
      </c>
      <c r="DT49" s="27" t="s">
        <v>7</v>
      </c>
      <c r="DX49" s="27" t="s">
        <v>7</v>
      </c>
      <c r="DY49" s="27" t="s">
        <v>8</v>
      </c>
      <c r="DZ49" s="27" t="s">
        <v>7</v>
      </c>
      <c r="EA49" s="27" t="s">
        <v>8</v>
      </c>
      <c r="EN49" s="27" t="s">
        <v>7</v>
      </c>
      <c r="EO49" s="27" t="s">
        <v>8</v>
      </c>
      <c r="EP49" s="27" t="s">
        <v>7</v>
      </c>
      <c r="EQ49" s="27" t="s">
        <v>8</v>
      </c>
      <c r="ER49" s="27" t="s">
        <v>7</v>
      </c>
      <c r="ES49" s="27" t="s">
        <v>8</v>
      </c>
      <c r="ET49" s="27" t="s">
        <v>7</v>
      </c>
      <c r="EV49" s="27" t="s">
        <v>7</v>
      </c>
      <c r="EW49" s="27" t="s">
        <v>8</v>
      </c>
      <c r="EZ49" s="27" t="s">
        <v>7</v>
      </c>
      <c r="FA49" s="27" t="s">
        <v>8</v>
      </c>
      <c r="FB49" s="27" t="s">
        <v>7</v>
      </c>
      <c r="GG49" s="27" t="s">
        <v>8</v>
      </c>
      <c r="GH49" s="27" t="s">
        <v>7</v>
      </c>
      <c r="GQ49" s="27" t="s">
        <v>8</v>
      </c>
      <c r="GR49" s="27" t="s">
        <v>7</v>
      </c>
      <c r="GS49" s="27" t="s">
        <v>8</v>
      </c>
      <c r="GT49" s="27" t="s">
        <v>7</v>
      </c>
    </row>
    <row r="50" spans="1:266" x14ac:dyDescent="0.25">
      <c r="A50" s="7">
        <v>41523.335859467108</v>
      </c>
      <c r="E50"/>
      <c r="S50" s="27" t="s">
        <v>8</v>
      </c>
      <c r="T50" s="27" t="s">
        <v>7</v>
      </c>
      <c r="U50" s="27" t="s">
        <v>8</v>
      </c>
      <c r="CM50" s="27" t="s">
        <v>8</v>
      </c>
      <c r="CN50" s="27" t="s">
        <v>7</v>
      </c>
      <c r="CO50" s="27" t="s">
        <v>8</v>
      </c>
      <c r="CP50" s="27" t="s">
        <v>7</v>
      </c>
      <c r="CQ50" s="27" t="s">
        <v>8</v>
      </c>
      <c r="CR50" s="27" t="s">
        <v>7</v>
      </c>
      <c r="CS50" s="27" t="s">
        <v>8</v>
      </c>
      <c r="CT50" s="27" t="s">
        <v>7</v>
      </c>
      <c r="DA50" s="27" t="s">
        <v>8</v>
      </c>
      <c r="DB50" s="27" t="s">
        <v>7</v>
      </c>
      <c r="DM50" s="27" t="s">
        <v>8</v>
      </c>
      <c r="DX50" s="27" t="s">
        <v>7</v>
      </c>
      <c r="DY50" s="27" t="s">
        <v>8</v>
      </c>
      <c r="DZ50" s="27" t="s">
        <v>7</v>
      </c>
      <c r="EA50" s="27" t="s">
        <v>8</v>
      </c>
      <c r="EN50" s="27" t="s">
        <v>7</v>
      </c>
      <c r="EO50" s="27" t="s">
        <v>8</v>
      </c>
      <c r="EP50" s="27" t="s">
        <v>7</v>
      </c>
      <c r="EQ50" s="27" t="s">
        <v>8</v>
      </c>
      <c r="ER50" s="27" t="s">
        <v>7</v>
      </c>
      <c r="ES50" s="27" t="s">
        <v>8</v>
      </c>
      <c r="EV50" s="27" t="s">
        <v>7</v>
      </c>
      <c r="EW50" s="27" t="s">
        <v>8</v>
      </c>
      <c r="EZ50" s="27" t="s">
        <v>7</v>
      </c>
      <c r="FA50" s="27" t="s">
        <v>8</v>
      </c>
      <c r="FB50" s="27" t="s">
        <v>7</v>
      </c>
      <c r="GG50" s="27" t="s">
        <v>8</v>
      </c>
      <c r="GH50" s="27" t="s">
        <v>7</v>
      </c>
      <c r="GI50" s="27" t="s">
        <v>8</v>
      </c>
      <c r="GQ50" s="27" t="s">
        <v>8</v>
      </c>
      <c r="GR50" s="27" t="s">
        <v>7</v>
      </c>
      <c r="GS50" s="27" t="s">
        <v>8</v>
      </c>
      <c r="GT50" s="27" t="s">
        <v>7</v>
      </c>
      <c r="IU50" s="27" t="s">
        <v>8</v>
      </c>
    </row>
    <row r="51" spans="1:266" x14ac:dyDescent="0.25">
      <c r="A51" s="7">
        <v>40709.152803399127</v>
      </c>
      <c r="C51" s="1" t="s">
        <v>13</v>
      </c>
      <c r="E51"/>
      <c r="S51" s="27" t="s">
        <v>8</v>
      </c>
      <c r="T51" s="27" t="s">
        <v>7</v>
      </c>
      <c r="U51" s="27" t="s">
        <v>8</v>
      </c>
      <c r="V51" s="27" t="s">
        <v>7</v>
      </c>
      <c r="CM51" s="27" t="s">
        <v>8</v>
      </c>
      <c r="CN51" s="27" t="s">
        <v>7</v>
      </c>
      <c r="CO51" s="27" t="s">
        <v>8</v>
      </c>
      <c r="CP51" s="27" t="s">
        <v>7</v>
      </c>
      <c r="CR51" s="27" t="s">
        <v>7</v>
      </c>
      <c r="CS51" s="27" t="s">
        <v>8</v>
      </c>
      <c r="CT51" s="27" t="s">
        <v>7</v>
      </c>
      <c r="DA51" s="27" t="s">
        <v>8</v>
      </c>
      <c r="DB51" s="27" t="s">
        <v>7</v>
      </c>
      <c r="DM51" s="27" t="s">
        <v>8</v>
      </c>
      <c r="DX51" s="27" t="s">
        <v>7</v>
      </c>
      <c r="DY51" s="27" t="s">
        <v>8</v>
      </c>
      <c r="DZ51" s="27" t="s">
        <v>7</v>
      </c>
      <c r="EA51" s="27" t="s">
        <v>8</v>
      </c>
      <c r="EN51" s="27" t="s">
        <v>7</v>
      </c>
      <c r="EO51" s="27" t="s">
        <v>8</v>
      </c>
      <c r="EP51" s="27" t="s">
        <v>7</v>
      </c>
      <c r="EQ51" s="27" t="s">
        <v>8</v>
      </c>
      <c r="ER51" s="27" t="s">
        <v>7</v>
      </c>
      <c r="ES51" s="27" t="s">
        <v>8</v>
      </c>
      <c r="EV51" s="27" t="s">
        <v>7</v>
      </c>
      <c r="EW51" s="27" t="s">
        <v>8</v>
      </c>
      <c r="EZ51" s="27" t="s">
        <v>7</v>
      </c>
      <c r="FB51" s="27" t="s">
        <v>7</v>
      </c>
      <c r="FC51" s="27" t="s">
        <v>8</v>
      </c>
      <c r="GG51" s="27" t="s">
        <v>8</v>
      </c>
      <c r="GH51" s="27" t="s">
        <v>7</v>
      </c>
      <c r="GI51" s="27" t="s">
        <v>8</v>
      </c>
      <c r="GJ51" s="27" t="s">
        <v>7</v>
      </c>
      <c r="GQ51" s="27" t="s">
        <v>8</v>
      </c>
      <c r="GR51" s="27" t="s">
        <v>7</v>
      </c>
      <c r="GT51" s="27" t="s">
        <v>7</v>
      </c>
      <c r="IU51" s="27" t="s">
        <v>8</v>
      </c>
      <c r="IV51" s="27" t="s">
        <v>7</v>
      </c>
    </row>
    <row r="52" spans="1:266" x14ac:dyDescent="0.25">
      <c r="A52" s="7">
        <v>39910.934120979538</v>
      </c>
      <c r="C52" s="1" t="s">
        <v>8</v>
      </c>
      <c r="E52"/>
      <c r="S52" s="27" t="s">
        <v>8</v>
      </c>
      <c r="T52" s="27" t="s">
        <v>7</v>
      </c>
      <c r="U52" s="27" t="s">
        <v>8</v>
      </c>
      <c r="V52" s="27" t="s">
        <v>7</v>
      </c>
      <c r="BY52" s="27" t="s">
        <v>8</v>
      </c>
      <c r="CC52" s="27" t="s">
        <v>8</v>
      </c>
      <c r="CM52" s="27" t="s">
        <v>8</v>
      </c>
      <c r="CN52" s="27" t="s">
        <v>7</v>
      </c>
      <c r="CO52" s="27" t="s">
        <v>8</v>
      </c>
      <c r="CR52" s="27" t="s">
        <v>7</v>
      </c>
      <c r="CS52" s="27" t="s">
        <v>8</v>
      </c>
      <c r="CT52" s="27" t="s">
        <v>7</v>
      </c>
      <c r="DA52" s="27" t="s">
        <v>8</v>
      </c>
      <c r="DB52" s="27" t="s">
        <v>7</v>
      </c>
      <c r="DK52" s="27" t="s">
        <v>8</v>
      </c>
      <c r="DM52" s="27" t="s">
        <v>8</v>
      </c>
      <c r="DX52" s="27" t="s">
        <v>7</v>
      </c>
      <c r="DY52" s="27" t="s">
        <v>8</v>
      </c>
      <c r="DZ52" s="27" t="s">
        <v>7</v>
      </c>
      <c r="EA52" s="27" t="s">
        <v>8</v>
      </c>
      <c r="EN52" s="27" t="s">
        <v>7</v>
      </c>
      <c r="EO52" s="27" t="s">
        <v>8</v>
      </c>
      <c r="EP52" s="27" t="s">
        <v>7</v>
      </c>
      <c r="EQ52" s="27" t="s">
        <v>8</v>
      </c>
      <c r="ER52" s="27" t="s">
        <v>7</v>
      </c>
      <c r="ES52" s="27" t="s">
        <v>8</v>
      </c>
      <c r="EV52" s="27" t="s">
        <v>7</v>
      </c>
      <c r="EW52" s="27" t="s">
        <v>8</v>
      </c>
      <c r="FB52" s="27" t="s">
        <v>7</v>
      </c>
      <c r="FC52" s="27" t="s">
        <v>8</v>
      </c>
      <c r="FD52" s="27" t="s">
        <v>7</v>
      </c>
      <c r="FE52" s="27" t="s">
        <v>8</v>
      </c>
      <c r="GG52" s="27" t="s">
        <v>8</v>
      </c>
      <c r="GH52" s="27" t="s">
        <v>7</v>
      </c>
      <c r="GI52" s="27" t="s">
        <v>8</v>
      </c>
      <c r="GJ52" s="27" t="s">
        <v>7</v>
      </c>
      <c r="GK52" s="27" t="s">
        <v>8</v>
      </c>
      <c r="GQ52" s="27" t="s">
        <v>8</v>
      </c>
      <c r="GT52" s="27" t="s">
        <v>7</v>
      </c>
      <c r="IU52" s="27" t="s">
        <v>8</v>
      </c>
      <c r="IV52" s="27" t="s">
        <v>7</v>
      </c>
    </row>
    <row r="53" spans="1:266" x14ac:dyDescent="0.25">
      <c r="A53" s="7">
        <v>39128.366785274055</v>
      </c>
      <c r="E53"/>
      <c r="M53" s="27" t="s">
        <v>8</v>
      </c>
      <c r="S53" s="27" t="s">
        <v>8</v>
      </c>
      <c r="T53" s="27" t="s">
        <v>7</v>
      </c>
      <c r="U53" s="27" t="s">
        <v>8</v>
      </c>
      <c r="V53" s="27" t="s">
        <v>7</v>
      </c>
      <c r="BY53" s="27" t="s">
        <v>8</v>
      </c>
      <c r="BZ53" s="27" t="s">
        <v>7</v>
      </c>
      <c r="CC53" s="27" t="s">
        <v>8</v>
      </c>
      <c r="CD53" s="27" t="s">
        <v>7</v>
      </c>
      <c r="CM53" s="27" t="s">
        <v>8</v>
      </c>
      <c r="CN53" s="27" t="s">
        <v>7</v>
      </c>
      <c r="CO53" s="27" t="s">
        <v>8</v>
      </c>
      <c r="CR53" s="27" t="s">
        <v>7</v>
      </c>
      <c r="CT53" s="27" t="s">
        <v>7</v>
      </c>
      <c r="DA53" s="27" t="s">
        <v>8</v>
      </c>
      <c r="DB53" s="27" t="s">
        <v>7</v>
      </c>
      <c r="DK53" s="27" t="s">
        <v>8</v>
      </c>
      <c r="DL53" s="27" t="s">
        <v>7</v>
      </c>
      <c r="DM53" s="27" t="s">
        <v>8</v>
      </c>
      <c r="DX53" s="27" t="s">
        <v>7</v>
      </c>
      <c r="DZ53" s="27" t="s">
        <v>7</v>
      </c>
      <c r="EA53" s="27" t="s">
        <v>8</v>
      </c>
      <c r="EN53" s="27" t="s">
        <v>7</v>
      </c>
      <c r="EO53" s="27" t="s">
        <v>8</v>
      </c>
      <c r="EP53" s="27" t="s">
        <v>7</v>
      </c>
      <c r="EQ53" s="27" t="s">
        <v>8</v>
      </c>
      <c r="ER53" s="27" t="s">
        <v>7</v>
      </c>
      <c r="ES53" s="27" t="s">
        <v>8</v>
      </c>
      <c r="EV53" s="27" t="s">
        <v>7</v>
      </c>
      <c r="EW53" s="27" t="s">
        <v>8</v>
      </c>
      <c r="FB53" s="27" t="s">
        <v>7</v>
      </c>
      <c r="FC53" s="27" t="s">
        <v>8</v>
      </c>
      <c r="FD53" s="27" t="s">
        <v>7</v>
      </c>
      <c r="FE53" s="27" t="s">
        <v>8</v>
      </c>
      <c r="FF53" s="27" t="s">
        <v>7</v>
      </c>
      <c r="GG53" s="27" t="s">
        <v>8</v>
      </c>
      <c r="GH53" s="27" t="s">
        <v>7</v>
      </c>
      <c r="GI53" s="27" t="s">
        <v>8</v>
      </c>
      <c r="GJ53" s="27" t="s">
        <v>7</v>
      </c>
      <c r="GK53" s="27" t="s">
        <v>8</v>
      </c>
      <c r="GL53" s="27" t="s">
        <v>7</v>
      </c>
      <c r="GQ53" s="27" t="s">
        <v>8</v>
      </c>
      <c r="GT53" s="27" t="s">
        <v>7</v>
      </c>
      <c r="HO53" s="27" t="s">
        <v>8</v>
      </c>
      <c r="IO53" s="27" t="s">
        <v>8</v>
      </c>
      <c r="IU53" s="27" t="s">
        <v>8</v>
      </c>
      <c r="IV53" s="27" t="s">
        <v>7</v>
      </c>
    </row>
    <row r="54" spans="1:266" x14ac:dyDescent="0.25">
      <c r="A54" s="7">
        <v>38361.143907131423</v>
      </c>
      <c r="C54" s="1" t="s">
        <v>14</v>
      </c>
      <c r="E54"/>
      <c r="M54" s="27" t="s">
        <v>8</v>
      </c>
      <c r="N54" s="27" t="s">
        <v>7</v>
      </c>
      <c r="S54" s="27" t="s">
        <v>8</v>
      </c>
      <c r="T54" s="27" t="s">
        <v>7</v>
      </c>
      <c r="U54" s="27" t="s">
        <v>8</v>
      </c>
      <c r="V54" s="27" t="s">
        <v>7</v>
      </c>
      <c r="BY54" s="27" t="s">
        <v>8</v>
      </c>
      <c r="BZ54" s="27" t="s">
        <v>7</v>
      </c>
      <c r="CC54" s="27" t="s">
        <v>8</v>
      </c>
      <c r="CD54" s="27" t="s">
        <v>7</v>
      </c>
      <c r="CM54" s="27" t="s">
        <v>8</v>
      </c>
      <c r="CN54" s="27" t="s">
        <v>7</v>
      </c>
      <c r="CT54" s="27" t="s">
        <v>7</v>
      </c>
      <c r="DA54" s="27" t="s">
        <v>8</v>
      </c>
      <c r="DB54" s="27" t="s">
        <v>7</v>
      </c>
      <c r="DC54" s="27" t="s">
        <v>8</v>
      </c>
      <c r="DK54" s="27" t="s">
        <v>8</v>
      </c>
      <c r="DL54" s="27" t="s">
        <v>7</v>
      </c>
      <c r="DM54" s="27" t="s">
        <v>8</v>
      </c>
      <c r="DZ54" s="27" t="s">
        <v>7</v>
      </c>
      <c r="EN54" s="27" t="s">
        <v>7</v>
      </c>
      <c r="EO54" s="27" t="s">
        <v>8</v>
      </c>
      <c r="EP54" s="27" t="s">
        <v>7</v>
      </c>
      <c r="EQ54" s="27" t="s">
        <v>8</v>
      </c>
      <c r="ER54" s="27" t="s">
        <v>7</v>
      </c>
      <c r="ES54" s="27" t="s">
        <v>8</v>
      </c>
      <c r="EV54" s="27" t="s">
        <v>7</v>
      </c>
      <c r="EW54" s="27" t="s">
        <v>8</v>
      </c>
      <c r="FB54" s="27" t="s">
        <v>7</v>
      </c>
      <c r="FC54" s="27" t="s">
        <v>8</v>
      </c>
      <c r="FD54" s="27" t="s">
        <v>7</v>
      </c>
      <c r="FE54" s="27" t="s">
        <v>8</v>
      </c>
      <c r="FF54" s="27" t="s">
        <v>7</v>
      </c>
      <c r="GG54" s="27" t="s">
        <v>8</v>
      </c>
      <c r="GH54" s="27" t="s">
        <v>7</v>
      </c>
      <c r="GI54" s="27" t="s">
        <v>8</v>
      </c>
      <c r="GJ54" s="27" t="s">
        <v>7</v>
      </c>
      <c r="GK54" s="27" t="s">
        <v>8</v>
      </c>
      <c r="GL54" s="27" t="s">
        <v>7</v>
      </c>
      <c r="GM54" s="27" t="s">
        <v>8</v>
      </c>
      <c r="GO54" s="27" t="s">
        <v>8</v>
      </c>
      <c r="GQ54" s="27" t="s">
        <v>8</v>
      </c>
      <c r="GT54" s="27" t="s">
        <v>7</v>
      </c>
      <c r="HO54" s="27" t="s">
        <v>8</v>
      </c>
      <c r="HP54" s="27" t="s">
        <v>7</v>
      </c>
      <c r="IO54" s="27" t="s">
        <v>8</v>
      </c>
      <c r="IP54" s="27" t="s">
        <v>7</v>
      </c>
      <c r="IU54" s="27" t="s">
        <v>8</v>
      </c>
      <c r="IV54" s="27" t="s">
        <v>7</v>
      </c>
    </row>
    <row r="55" spans="1:266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  <c r="M55" s="27" t="s">
        <v>8</v>
      </c>
      <c r="N55" s="27" t="s">
        <v>7</v>
      </c>
      <c r="S55" s="27" t="s">
        <v>8</v>
      </c>
      <c r="T55" s="27" t="s">
        <v>7</v>
      </c>
      <c r="U55" s="27" t="s">
        <v>8</v>
      </c>
      <c r="V55" s="27" t="s">
        <v>7</v>
      </c>
      <c r="BY55" s="27" t="s">
        <v>8</v>
      </c>
      <c r="BZ55" s="27" t="s">
        <v>7</v>
      </c>
      <c r="CC55" s="27" t="s">
        <v>8</v>
      </c>
      <c r="CD55" s="27" t="s">
        <v>7</v>
      </c>
      <c r="CM55" s="27" t="s">
        <v>8</v>
      </c>
      <c r="CT55" s="27" t="s">
        <v>7</v>
      </c>
      <c r="DA55" s="27" t="s">
        <v>8</v>
      </c>
      <c r="DB55" s="27" t="s">
        <v>7</v>
      </c>
      <c r="DC55" s="27" t="s">
        <v>8</v>
      </c>
      <c r="DD55" s="27" t="s">
        <v>7</v>
      </c>
      <c r="DK55" s="27" t="s">
        <v>8</v>
      </c>
      <c r="DL55" s="27" t="s">
        <v>7</v>
      </c>
      <c r="DM55" s="27" t="s">
        <v>8</v>
      </c>
      <c r="EN55" s="27" t="s">
        <v>7</v>
      </c>
      <c r="EO55" s="27" t="s">
        <v>8</v>
      </c>
      <c r="EP55" s="27" t="s">
        <v>7</v>
      </c>
      <c r="EQ55" s="27" t="s">
        <v>8</v>
      </c>
      <c r="ER55" s="27" t="s">
        <v>7</v>
      </c>
      <c r="ES55" s="27" t="s">
        <v>8</v>
      </c>
      <c r="EV55" s="27" t="s">
        <v>7</v>
      </c>
      <c r="FB55" s="27" t="s">
        <v>7</v>
      </c>
      <c r="FC55" s="27" t="s">
        <v>8</v>
      </c>
      <c r="FD55" s="27" t="s">
        <v>7</v>
      </c>
      <c r="FE55" s="27" t="s">
        <v>8</v>
      </c>
      <c r="FF55" s="27" t="s">
        <v>7</v>
      </c>
      <c r="FQ55" s="27" t="s">
        <v>8</v>
      </c>
      <c r="GG55" s="27" t="s">
        <v>8</v>
      </c>
      <c r="GH55" s="27" t="s">
        <v>7</v>
      </c>
      <c r="GI55" s="27" t="s">
        <v>8</v>
      </c>
      <c r="GJ55" s="27" t="s">
        <v>7</v>
      </c>
      <c r="GK55" s="27" t="s">
        <v>8</v>
      </c>
      <c r="GL55" s="27" t="s">
        <v>7</v>
      </c>
      <c r="GM55" s="27" t="s">
        <v>8</v>
      </c>
      <c r="GN55" s="27" t="s">
        <v>7</v>
      </c>
      <c r="GO55" s="27" t="s">
        <v>8</v>
      </c>
      <c r="GP55" s="27" t="s">
        <v>7</v>
      </c>
      <c r="GQ55" s="27" t="s">
        <v>8</v>
      </c>
      <c r="GT55" s="27" t="s">
        <v>7</v>
      </c>
      <c r="GY55" s="27" t="s">
        <v>8</v>
      </c>
      <c r="HO55" s="27" t="s">
        <v>8</v>
      </c>
      <c r="HP55" s="27" t="s">
        <v>7</v>
      </c>
      <c r="IO55" s="27" t="s">
        <v>8</v>
      </c>
      <c r="IP55" s="27" t="s">
        <v>7</v>
      </c>
      <c r="IU55" s="27" t="s">
        <v>8</v>
      </c>
      <c r="IV55" s="27" t="s">
        <v>7</v>
      </c>
    </row>
    <row r="56" spans="1:266" x14ac:dyDescent="0.25">
      <c r="A56" s="7">
        <v>36871.533936112479</v>
      </c>
      <c r="E56"/>
      <c r="M56" s="27" t="s">
        <v>8</v>
      </c>
      <c r="N56" s="27" t="s">
        <v>7</v>
      </c>
      <c r="S56" s="27" t="s">
        <v>8</v>
      </c>
      <c r="T56" s="27" t="s">
        <v>7</v>
      </c>
      <c r="U56" s="27" t="s">
        <v>8</v>
      </c>
      <c r="V56" s="27" t="s">
        <v>7</v>
      </c>
      <c r="BY56" s="27" t="s">
        <v>8</v>
      </c>
      <c r="BZ56" s="27" t="s">
        <v>7</v>
      </c>
      <c r="CC56" s="27" t="s">
        <v>8</v>
      </c>
      <c r="CD56" s="27" t="s">
        <v>7</v>
      </c>
      <c r="CM56" s="27" t="s">
        <v>8</v>
      </c>
      <c r="CT56" s="27" t="s">
        <v>7</v>
      </c>
      <c r="CU56" s="27" t="s">
        <v>8</v>
      </c>
      <c r="DA56" s="27" t="s">
        <v>8</v>
      </c>
      <c r="DB56" s="27" t="s">
        <v>7</v>
      </c>
      <c r="DC56" s="27" t="s">
        <v>8</v>
      </c>
      <c r="DD56" s="27" t="s">
        <v>7</v>
      </c>
      <c r="DE56" s="27" t="s">
        <v>8</v>
      </c>
      <c r="DG56" s="27" t="s">
        <v>8</v>
      </c>
      <c r="DK56" s="27" t="s">
        <v>8</v>
      </c>
      <c r="DL56" s="27" t="s">
        <v>7</v>
      </c>
      <c r="DM56" s="27" t="s">
        <v>8</v>
      </c>
      <c r="EN56" s="27" t="s">
        <v>7</v>
      </c>
      <c r="EO56" s="27" t="s">
        <v>8</v>
      </c>
      <c r="EP56" s="27" t="s">
        <v>7</v>
      </c>
      <c r="EQ56" s="27" t="s">
        <v>8</v>
      </c>
      <c r="ER56" s="27" t="s">
        <v>7</v>
      </c>
      <c r="ES56" s="27" t="s">
        <v>8</v>
      </c>
      <c r="FB56" s="27" t="s">
        <v>7</v>
      </c>
      <c r="FC56" s="27" t="s">
        <v>8</v>
      </c>
      <c r="FD56" s="27" t="s">
        <v>7</v>
      </c>
      <c r="FE56" s="27" t="s">
        <v>8</v>
      </c>
      <c r="FF56" s="27" t="s">
        <v>7</v>
      </c>
      <c r="FG56" s="27" t="s">
        <v>8</v>
      </c>
      <c r="FQ56" s="27" t="s">
        <v>8</v>
      </c>
      <c r="FR56" s="27" t="s">
        <v>7</v>
      </c>
      <c r="GG56" s="27" t="s">
        <v>8</v>
      </c>
      <c r="GH56" s="27" t="s">
        <v>7</v>
      </c>
      <c r="GI56" s="27" t="s">
        <v>8</v>
      </c>
      <c r="GJ56" s="27" t="s">
        <v>7</v>
      </c>
      <c r="GK56" s="27" t="s">
        <v>8</v>
      </c>
      <c r="GL56" s="27" t="s">
        <v>7</v>
      </c>
      <c r="GM56" s="27" t="s">
        <v>8</v>
      </c>
      <c r="GN56" s="27" t="s">
        <v>7</v>
      </c>
      <c r="GO56" s="27" t="s">
        <v>8</v>
      </c>
      <c r="GP56" s="27" t="s">
        <v>7</v>
      </c>
      <c r="GQ56" s="27" t="s">
        <v>8</v>
      </c>
      <c r="GT56" s="27" t="s">
        <v>7</v>
      </c>
      <c r="GY56" s="27" t="s">
        <v>8</v>
      </c>
      <c r="GZ56" s="27" t="s">
        <v>7</v>
      </c>
      <c r="HG56" s="27" t="s">
        <v>8</v>
      </c>
      <c r="HO56" s="27" t="s">
        <v>8</v>
      </c>
      <c r="HP56" s="27" t="s">
        <v>7</v>
      </c>
      <c r="IO56" s="27" t="s">
        <v>8</v>
      </c>
      <c r="IP56" s="27" t="s">
        <v>7</v>
      </c>
      <c r="IU56" s="27" t="s">
        <v>8</v>
      </c>
      <c r="IV56" s="27" t="s">
        <v>7</v>
      </c>
      <c r="IW56" s="27" t="s">
        <v>8</v>
      </c>
    </row>
    <row r="57" spans="1:266" x14ac:dyDescent="0.25">
      <c r="A57" s="7">
        <v>36148.562682463213</v>
      </c>
      <c r="E57"/>
      <c r="M57" s="27" t="s">
        <v>8</v>
      </c>
      <c r="N57" s="27" t="s">
        <v>7</v>
      </c>
      <c r="S57" s="27" t="s">
        <v>8</v>
      </c>
      <c r="T57" s="27" t="s">
        <v>7</v>
      </c>
      <c r="U57" s="27" t="s">
        <v>8</v>
      </c>
      <c r="V57" s="27" t="s">
        <v>7</v>
      </c>
      <c r="BY57" s="27" t="s">
        <v>8</v>
      </c>
      <c r="BZ57" s="27" t="s">
        <v>7</v>
      </c>
      <c r="CC57" s="27" t="s">
        <v>8</v>
      </c>
      <c r="CD57" s="27" t="s">
        <v>7</v>
      </c>
      <c r="CM57" s="27" t="s">
        <v>8</v>
      </c>
      <c r="CT57" s="27" t="s">
        <v>7</v>
      </c>
      <c r="CU57" s="27" t="s">
        <v>8</v>
      </c>
      <c r="CV57" s="27" t="s">
        <v>7</v>
      </c>
      <c r="DA57" s="27" t="s">
        <v>8</v>
      </c>
      <c r="DB57" s="27" t="s">
        <v>7</v>
      </c>
      <c r="DC57" s="27" t="s">
        <v>8</v>
      </c>
      <c r="DD57" s="27" t="s">
        <v>7</v>
      </c>
      <c r="DE57" s="27" t="s">
        <v>8</v>
      </c>
      <c r="DF57" s="27" t="s">
        <v>7</v>
      </c>
      <c r="DG57" s="27" t="s">
        <v>8</v>
      </c>
      <c r="DH57" s="27" t="s">
        <v>7</v>
      </c>
      <c r="DI57" s="27" t="s">
        <v>8</v>
      </c>
      <c r="DK57" s="27" t="s">
        <v>8</v>
      </c>
      <c r="DL57" s="27" t="s">
        <v>7</v>
      </c>
      <c r="DM57" s="27" t="s">
        <v>8</v>
      </c>
      <c r="EN57" s="27" t="s">
        <v>7</v>
      </c>
      <c r="EO57" s="27" t="s">
        <v>8</v>
      </c>
      <c r="EP57" s="27" t="s">
        <v>7</v>
      </c>
      <c r="ER57" s="27" t="s">
        <v>7</v>
      </c>
      <c r="ES57" s="27" t="s">
        <v>8</v>
      </c>
      <c r="FB57" s="27" t="s">
        <v>7</v>
      </c>
      <c r="FD57" s="27" t="s">
        <v>7</v>
      </c>
      <c r="FE57" s="27" t="s">
        <v>8</v>
      </c>
      <c r="FF57" s="27" t="s">
        <v>7</v>
      </c>
      <c r="FG57" s="27" t="s">
        <v>8</v>
      </c>
      <c r="FH57" s="27" t="s">
        <v>7</v>
      </c>
      <c r="FQ57" s="27" t="s">
        <v>8</v>
      </c>
      <c r="FR57" s="27" t="s">
        <v>7</v>
      </c>
      <c r="GG57" s="27" t="s">
        <v>8</v>
      </c>
      <c r="GH57" s="27" t="s">
        <v>7</v>
      </c>
      <c r="GJ57" s="27" t="s">
        <v>7</v>
      </c>
      <c r="GL57" s="27" t="s">
        <v>7</v>
      </c>
      <c r="GN57" s="27" t="s">
        <v>7</v>
      </c>
      <c r="GO57" s="27" t="s">
        <v>8</v>
      </c>
      <c r="GP57" s="27" t="s">
        <v>7</v>
      </c>
      <c r="GT57" s="27" t="s">
        <v>7</v>
      </c>
      <c r="GY57" s="27" t="s">
        <v>8</v>
      </c>
      <c r="GZ57" s="27" t="s">
        <v>7</v>
      </c>
      <c r="HG57" s="27" t="s">
        <v>8</v>
      </c>
      <c r="HH57" s="27" t="s">
        <v>7</v>
      </c>
      <c r="HK57" s="27" t="s">
        <v>8</v>
      </c>
      <c r="HM57" s="27" t="s">
        <v>8</v>
      </c>
      <c r="HO57" s="27" t="s">
        <v>8</v>
      </c>
      <c r="HP57" s="27" t="s">
        <v>7</v>
      </c>
      <c r="HU57" s="27" t="s">
        <v>8</v>
      </c>
      <c r="IO57" s="27" t="s">
        <v>8</v>
      </c>
      <c r="IP57" s="27" t="s">
        <v>7</v>
      </c>
      <c r="IU57" s="27" t="s">
        <v>8</v>
      </c>
      <c r="IV57" s="27" t="s">
        <v>7</v>
      </c>
      <c r="IW57" s="27" t="s">
        <v>8</v>
      </c>
      <c r="IX57" s="27" t="s">
        <v>7</v>
      </c>
      <c r="IY57" s="27" t="s">
        <v>8</v>
      </c>
    </row>
    <row r="58" spans="1:266" x14ac:dyDescent="0.25">
      <c r="A58" s="7">
        <v>35439.767335748249</v>
      </c>
      <c r="E58"/>
      <c r="M58" s="27" t="s">
        <v>8</v>
      </c>
      <c r="N58" s="27" t="s">
        <v>7</v>
      </c>
      <c r="S58" s="27" t="s">
        <v>8</v>
      </c>
      <c r="T58" s="27" t="s">
        <v>7</v>
      </c>
      <c r="U58" s="27" t="s">
        <v>8</v>
      </c>
      <c r="V58" s="27" t="s">
        <v>7</v>
      </c>
      <c r="BY58" s="27" t="s">
        <v>8</v>
      </c>
      <c r="BZ58" s="27" t="s">
        <v>7</v>
      </c>
      <c r="CC58" s="27" t="s">
        <v>8</v>
      </c>
      <c r="CD58" s="27" t="s">
        <v>7</v>
      </c>
      <c r="CM58" s="27" t="s">
        <v>8</v>
      </c>
      <c r="CT58" s="27" t="s">
        <v>7</v>
      </c>
      <c r="CU58" s="27" t="s">
        <v>8</v>
      </c>
      <c r="CV58" s="27" t="s">
        <v>7</v>
      </c>
      <c r="CY58" s="27" t="s">
        <v>8</v>
      </c>
      <c r="DA58" s="27" t="s">
        <v>8</v>
      </c>
      <c r="DB58" s="27" t="s">
        <v>7</v>
      </c>
      <c r="DD58" s="27" t="s">
        <v>7</v>
      </c>
      <c r="DE58" s="27" t="s">
        <v>8</v>
      </c>
      <c r="DF58" s="27" t="s">
        <v>7</v>
      </c>
      <c r="DG58" s="27" t="s">
        <v>8</v>
      </c>
      <c r="DH58" s="27" t="s">
        <v>7</v>
      </c>
      <c r="DI58" s="27" t="s">
        <v>8</v>
      </c>
      <c r="DJ58" s="27" t="s">
        <v>7</v>
      </c>
      <c r="DK58" s="27" t="s">
        <v>8</v>
      </c>
      <c r="DL58" s="27" t="s">
        <v>7</v>
      </c>
      <c r="EN58" s="27" t="s">
        <v>7</v>
      </c>
      <c r="EO58" s="27" t="s">
        <v>8</v>
      </c>
      <c r="ER58" s="27" t="s">
        <v>7</v>
      </c>
      <c r="ES58" s="27" t="s">
        <v>8</v>
      </c>
      <c r="FD58" s="27" t="s">
        <v>7</v>
      </c>
      <c r="FE58" s="27" t="s">
        <v>8</v>
      </c>
      <c r="FF58" s="27" t="s">
        <v>7</v>
      </c>
      <c r="FG58" s="27" t="s">
        <v>8</v>
      </c>
      <c r="FH58" s="27" t="s">
        <v>7</v>
      </c>
      <c r="FQ58" s="27" t="s">
        <v>8</v>
      </c>
      <c r="FR58" s="27" t="s">
        <v>7</v>
      </c>
      <c r="GG58" s="27" t="s">
        <v>8</v>
      </c>
      <c r="GN58" s="27" t="s">
        <v>7</v>
      </c>
      <c r="GT58" s="27" t="s">
        <v>7</v>
      </c>
      <c r="GU58" s="27" t="s">
        <v>8</v>
      </c>
      <c r="GY58" s="27" t="s">
        <v>8</v>
      </c>
      <c r="GZ58" s="27" t="s">
        <v>7</v>
      </c>
      <c r="HG58" s="27" t="s">
        <v>8</v>
      </c>
      <c r="HH58" s="27" t="s">
        <v>7</v>
      </c>
      <c r="HI58" s="27" t="s">
        <v>8</v>
      </c>
      <c r="HK58" s="27" t="s">
        <v>8</v>
      </c>
      <c r="HL58" s="27" t="s">
        <v>7</v>
      </c>
      <c r="HM58" s="27" t="s">
        <v>8</v>
      </c>
      <c r="HN58" s="27" t="s">
        <v>7</v>
      </c>
      <c r="HO58" s="27" t="s">
        <v>8</v>
      </c>
      <c r="HP58" s="27" t="s">
        <v>7</v>
      </c>
      <c r="HQ58" s="27" t="s">
        <v>8</v>
      </c>
      <c r="HS58" s="27" t="s">
        <v>8</v>
      </c>
      <c r="HU58" s="27" t="s">
        <v>8</v>
      </c>
      <c r="HV58" s="27" t="s">
        <v>7</v>
      </c>
      <c r="HW58" s="27" t="s">
        <v>8</v>
      </c>
      <c r="IA58" s="27" t="s">
        <v>8</v>
      </c>
      <c r="IO58" s="27" t="s">
        <v>8</v>
      </c>
      <c r="IP58" s="27" t="s">
        <v>7</v>
      </c>
      <c r="IU58" s="27" t="s">
        <v>8</v>
      </c>
      <c r="IV58" s="27" t="s">
        <v>7</v>
      </c>
      <c r="IW58" s="27" t="s">
        <v>8</v>
      </c>
      <c r="IX58" s="27" t="s">
        <v>7</v>
      </c>
      <c r="IY58" s="27" t="s">
        <v>8</v>
      </c>
      <c r="IZ58" s="27" t="s">
        <v>7</v>
      </c>
    </row>
    <row r="59" spans="1:266" x14ac:dyDescent="0.25">
      <c r="A59" s="7">
        <v>34744.869937008087</v>
      </c>
      <c r="E59"/>
      <c r="M59" s="27" t="s">
        <v>8</v>
      </c>
      <c r="N59" s="27" t="s">
        <v>7</v>
      </c>
      <c r="S59" s="27" t="s">
        <v>8</v>
      </c>
      <c r="T59" s="27" t="s">
        <v>7</v>
      </c>
      <c r="U59" s="27" t="s">
        <v>8</v>
      </c>
      <c r="V59" s="27" t="s">
        <v>7</v>
      </c>
      <c r="BY59" s="27" t="s">
        <v>8</v>
      </c>
      <c r="BZ59" s="27" t="s">
        <v>7</v>
      </c>
      <c r="CC59" s="27" t="s">
        <v>8</v>
      </c>
      <c r="CD59" s="27" t="s">
        <v>7</v>
      </c>
      <c r="CI59" s="27" t="s">
        <v>8</v>
      </c>
      <c r="CM59" s="27" t="s">
        <v>8</v>
      </c>
      <c r="CT59" s="27" t="s">
        <v>7</v>
      </c>
      <c r="CU59" s="27" t="s">
        <v>8</v>
      </c>
      <c r="CV59" s="27" t="s">
        <v>7</v>
      </c>
      <c r="CY59" s="27" t="s">
        <v>8</v>
      </c>
      <c r="CZ59" s="27" t="s">
        <v>7</v>
      </c>
      <c r="DA59" s="27" t="s">
        <v>8</v>
      </c>
      <c r="DD59" s="27" t="s">
        <v>7</v>
      </c>
      <c r="DE59" s="27" t="s">
        <v>8</v>
      </c>
      <c r="DF59" s="27" t="s">
        <v>7</v>
      </c>
      <c r="DH59" s="27" t="s">
        <v>7</v>
      </c>
      <c r="DI59" s="27" t="s">
        <v>8</v>
      </c>
      <c r="DJ59" s="27" t="s">
        <v>7</v>
      </c>
      <c r="DK59" s="27" t="s">
        <v>8</v>
      </c>
      <c r="EN59" s="27" t="s">
        <v>7</v>
      </c>
      <c r="ER59" s="27" t="s">
        <v>7</v>
      </c>
      <c r="ES59" s="27" t="s">
        <v>8</v>
      </c>
      <c r="FD59" s="27" t="s">
        <v>7</v>
      </c>
      <c r="FF59" s="27" t="s">
        <v>7</v>
      </c>
      <c r="FG59" s="27" t="s">
        <v>8</v>
      </c>
      <c r="FH59" s="27" t="s">
        <v>7</v>
      </c>
      <c r="FK59" s="27" t="s">
        <v>8</v>
      </c>
      <c r="FO59" s="27" t="s">
        <v>8</v>
      </c>
      <c r="FQ59" s="27" t="s">
        <v>8</v>
      </c>
      <c r="FR59" s="27" t="s">
        <v>7</v>
      </c>
      <c r="GE59" s="27" t="s">
        <v>8</v>
      </c>
      <c r="GG59" s="27" t="s">
        <v>8</v>
      </c>
      <c r="GT59" s="27" t="s">
        <v>7</v>
      </c>
      <c r="GU59" s="27" t="s">
        <v>8</v>
      </c>
      <c r="GV59" s="27" t="s">
        <v>7</v>
      </c>
      <c r="GY59" s="27" t="s">
        <v>8</v>
      </c>
      <c r="GZ59" s="27" t="s">
        <v>7</v>
      </c>
      <c r="HG59" s="27" t="s">
        <v>8</v>
      </c>
      <c r="HH59" s="27" t="s">
        <v>7</v>
      </c>
      <c r="HI59" s="27" t="s">
        <v>8</v>
      </c>
      <c r="HJ59" s="27" t="s">
        <v>7</v>
      </c>
      <c r="HK59" s="27" t="s">
        <v>8</v>
      </c>
      <c r="HL59" s="27" t="s">
        <v>7</v>
      </c>
      <c r="HM59" s="27" t="s">
        <v>8</v>
      </c>
      <c r="HN59" s="27" t="s">
        <v>7</v>
      </c>
      <c r="HO59" s="27" t="s">
        <v>8</v>
      </c>
      <c r="HP59" s="27" t="s">
        <v>7</v>
      </c>
      <c r="HQ59" s="27" t="s">
        <v>8</v>
      </c>
      <c r="HR59" s="27" t="s">
        <v>7</v>
      </c>
      <c r="HS59" s="27" t="s">
        <v>8</v>
      </c>
      <c r="HT59" s="27" t="s">
        <v>7</v>
      </c>
      <c r="HU59" s="27" t="s">
        <v>8</v>
      </c>
      <c r="HV59" s="27" t="s">
        <v>7</v>
      </c>
      <c r="HW59" s="27" t="s">
        <v>8</v>
      </c>
      <c r="HX59" s="27" t="s">
        <v>7</v>
      </c>
      <c r="HY59" s="27" t="s">
        <v>8</v>
      </c>
      <c r="IA59" s="27" t="s">
        <v>8</v>
      </c>
      <c r="IB59" s="27" t="s">
        <v>7</v>
      </c>
      <c r="IO59" s="27" t="s">
        <v>8</v>
      </c>
      <c r="IP59" s="27" t="s">
        <v>7</v>
      </c>
      <c r="IS59" s="27" t="s">
        <v>8</v>
      </c>
      <c r="IU59" s="27" t="s">
        <v>8</v>
      </c>
      <c r="IV59" s="27" t="s">
        <v>7</v>
      </c>
      <c r="IW59" s="27" t="s">
        <v>8</v>
      </c>
      <c r="IX59" s="27" t="s">
        <v>7</v>
      </c>
      <c r="IY59" s="27" t="s">
        <v>8</v>
      </c>
      <c r="IZ59" s="27" t="s">
        <v>7</v>
      </c>
    </row>
    <row r="60" spans="1:266" x14ac:dyDescent="0.25">
      <c r="A60" s="7">
        <v>34063.597977458907</v>
      </c>
      <c r="E60"/>
      <c r="M60" s="27" t="s">
        <v>8</v>
      </c>
      <c r="N60" s="27" t="s">
        <v>7</v>
      </c>
      <c r="S60" s="27" t="s">
        <v>8</v>
      </c>
      <c r="T60" s="27" t="s">
        <v>7</v>
      </c>
      <c r="U60" s="27" t="s">
        <v>8</v>
      </c>
      <c r="V60" s="27" t="s">
        <v>7</v>
      </c>
      <c r="W60" s="27" t="s">
        <v>8</v>
      </c>
      <c r="AA60" s="27" t="s">
        <v>8</v>
      </c>
      <c r="BY60" s="27" t="s">
        <v>8</v>
      </c>
      <c r="BZ60" s="27" t="s">
        <v>7</v>
      </c>
      <c r="CA60" s="27" t="s">
        <v>8</v>
      </c>
      <c r="CC60" s="27" t="s">
        <v>8</v>
      </c>
      <c r="CD60" s="27" t="s">
        <v>7</v>
      </c>
      <c r="CI60" s="27" t="s">
        <v>8</v>
      </c>
      <c r="CJ60" s="27" t="s">
        <v>7</v>
      </c>
      <c r="CM60" s="27" t="s">
        <v>8</v>
      </c>
      <c r="CT60" s="27" t="s">
        <v>7</v>
      </c>
      <c r="CU60" s="27" t="s">
        <v>8</v>
      </c>
      <c r="CV60" s="27" t="s">
        <v>7</v>
      </c>
      <c r="CY60" s="27" t="s">
        <v>8</v>
      </c>
      <c r="CZ60" s="27" t="s">
        <v>7</v>
      </c>
      <c r="DA60" s="27" t="s">
        <v>8</v>
      </c>
      <c r="DD60" s="27" t="s">
        <v>7</v>
      </c>
      <c r="DE60" s="27" t="s">
        <v>8</v>
      </c>
      <c r="DH60" s="27" t="s">
        <v>7</v>
      </c>
      <c r="DI60" s="27" t="s">
        <v>8</v>
      </c>
      <c r="DJ60" s="27" t="s">
        <v>7</v>
      </c>
      <c r="ER60" s="27" t="s">
        <v>7</v>
      </c>
      <c r="ES60" s="27" t="s">
        <v>8</v>
      </c>
      <c r="FF60" s="27" t="s">
        <v>7</v>
      </c>
      <c r="FG60" s="27" t="s">
        <v>8</v>
      </c>
      <c r="FH60" s="27" t="s">
        <v>7</v>
      </c>
      <c r="FK60" s="27" t="s">
        <v>8</v>
      </c>
      <c r="FL60" s="27" t="s">
        <v>7</v>
      </c>
      <c r="FM60" s="27" t="s">
        <v>8</v>
      </c>
      <c r="FO60" s="27" t="s">
        <v>8</v>
      </c>
      <c r="FP60" s="27" t="s">
        <v>7</v>
      </c>
      <c r="FQ60" s="27" t="s">
        <v>8</v>
      </c>
      <c r="FR60" s="27" t="s">
        <v>7</v>
      </c>
      <c r="FS60" s="27" t="s">
        <v>8</v>
      </c>
      <c r="GE60" s="27" t="s">
        <v>8</v>
      </c>
      <c r="GF60" s="27" t="s">
        <v>7</v>
      </c>
      <c r="GG60" s="27" t="s">
        <v>8</v>
      </c>
      <c r="GT60" s="27" t="s">
        <v>7</v>
      </c>
      <c r="GU60" s="27" t="s">
        <v>8</v>
      </c>
      <c r="GV60" s="27" t="s">
        <v>7</v>
      </c>
      <c r="GW60" s="27" t="s">
        <v>8</v>
      </c>
      <c r="GY60" s="27" t="s">
        <v>8</v>
      </c>
      <c r="GZ60" s="27" t="s">
        <v>7</v>
      </c>
      <c r="HG60" s="27" t="s">
        <v>8</v>
      </c>
      <c r="HH60" s="27" t="s">
        <v>7</v>
      </c>
      <c r="HI60" s="27" t="s">
        <v>8</v>
      </c>
      <c r="HJ60" s="27" t="s">
        <v>7</v>
      </c>
      <c r="HK60" s="27" t="s">
        <v>8</v>
      </c>
      <c r="HL60" s="27" t="s">
        <v>7</v>
      </c>
      <c r="HM60" s="27" t="s">
        <v>8</v>
      </c>
      <c r="HN60" s="27" t="s">
        <v>7</v>
      </c>
      <c r="HP60" s="27" t="s">
        <v>7</v>
      </c>
      <c r="HQ60" s="27" t="s">
        <v>8</v>
      </c>
      <c r="HR60" s="27" t="s">
        <v>7</v>
      </c>
      <c r="HS60" s="27" t="s">
        <v>8</v>
      </c>
      <c r="HT60" s="27" t="s">
        <v>7</v>
      </c>
      <c r="HU60" s="27" t="s">
        <v>8</v>
      </c>
      <c r="HV60" s="27" t="s">
        <v>7</v>
      </c>
      <c r="HW60" s="27" t="s">
        <v>8</v>
      </c>
      <c r="HX60" s="27" t="s">
        <v>7</v>
      </c>
      <c r="HY60" s="27" t="s">
        <v>8</v>
      </c>
      <c r="HZ60" s="27" t="s">
        <v>7</v>
      </c>
      <c r="IA60" s="27" t="s">
        <v>8</v>
      </c>
      <c r="IB60" s="27" t="s">
        <v>7</v>
      </c>
      <c r="IM60" s="27" t="s">
        <v>8</v>
      </c>
      <c r="IO60" s="27" t="s">
        <v>8</v>
      </c>
      <c r="IP60" s="27" t="s">
        <v>7</v>
      </c>
      <c r="IS60" s="27" t="s">
        <v>8</v>
      </c>
      <c r="IT60" s="27" t="s">
        <v>7</v>
      </c>
      <c r="IU60" s="27" t="s">
        <v>8</v>
      </c>
      <c r="IV60" s="27" t="s">
        <v>7</v>
      </c>
      <c r="IW60" s="27" t="s">
        <v>8</v>
      </c>
      <c r="IX60" s="27" t="s">
        <v>7</v>
      </c>
      <c r="IY60" s="27" t="s">
        <v>8</v>
      </c>
      <c r="IZ60" s="27" t="s">
        <v>7</v>
      </c>
      <c r="JA60" s="27" t="s">
        <v>8</v>
      </c>
      <c r="JC60" s="27" t="s">
        <v>8</v>
      </c>
      <c r="JE60" s="27" t="s">
        <v>8</v>
      </c>
    </row>
    <row r="61" spans="1:266" x14ac:dyDescent="0.25">
      <c r="A61" s="7">
        <v>33395.684291626378</v>
      </c>
      <c r="E61"/>
      <c r="M61" s="27" t="s">
        <v>8</v>
      </c>
      <c r="N61" s="27" t="s">
        <v>7</v>
      </c>
      <c r="S61" s="27" t="s">
        <v>8</v>
      </c>
      <c r="T61" s="27" t="s">
        <v>7</v>
      </c>
      <c r="U61" s="27" t="s">
        <v>8</v>
      </c>
      <c r="V61" s="27" t="s">
        <v>7</v>
      </c>
      <c r="W61" s="27" t="s">
        <v>8</v>
      </c>
      <c r="X61" s="27" t="s">
        <v>7</v>
      </c>
      <c r="AA61" s="27" t="s">
        <v>8</v>
      </c>
      <c r="AB61" s="27" t="s">
        <v>7</v>
      </c>
      <c r="BY61" s="27" t="s">
        <v>8</v>
      </c>
      <c r="BZ61" s="27" t="s">
        <v>7</v>
      </c>
      <c r="CA61" s="27" t="s">
        <v>8</v>
      </c>
      <c r="CB61" s="27" t="s">
        <v>7</v>
      </c>
      <c r="CC61" s="27" t="s">
        <v>8</v>
      </c>
      <c r="CD61" s="27" t="s">
        <v>7</v>
      </c>
      <c r="CG61" s="27" t="s">
        <v>8</v>
      </c>
      <c r="CI61" s="27" t="s">
        <v>8</v>
      </c>
      <c r="CJ61" s="27" t="s">
        <v>7</v>
      </c>
      <c r="CM61" s="27" t="s">
        <v>8</v>
      </c>
      <c r="CT61" s="27" t="s">
        <v>7</v>
      </c>
      <c r="CU61" s="27" t="s">
        <v>8</v>
      </c>
      <c r="CV61" s="27" t="s">
        <v>7</v>
      </c>
      <c r="CW61" s="27" t="s">
        <v>8</v>
      </c>
      <c r="CY61" s="27" t="s">
        <v>8</v>
      </c>
      <c r="CZ61" s="27" t="s">
        <v>7</v>
      </c>
      <c r="DA61" s="27" t="s">
        <v>8</v>
      </c>
      <c r="DD61" s="27" t="s">
        <v>7</v>
      </c>
      <c r="DH61" s="27" t="s">
        <v>7</v>
      </c>
      <c r="DI61" s="27" t="s">
        <v>8</v>
      </c>
      <c r="ER61" s="27" t="s">
        <v>7</v>
      </c>
      <c r="ES61" s="27" t="s">
        <v>8</v>
      </c>
      <c r="FF61" s="27" t="s">
        <v>7</v>
      </c>
      <c r="FG61" s="27" t="s">
        <v>8</v>
      </c>
      <c r="FH61" s="27" t="s">
        <v>7</v>
      </c>
      <c r="FK61" s="27" t="s">
        <v>8</v>
      </c>
      <c r="FL61" s="27" t="s">
        <v>7</v>
      </c>
      <c r="FM61" s="27" t="s">
        <v>8</v>
      </c>
      <c r="FN61" s="27" t="s">
        <v>7</v>
      </c>
      <c r="FO61" s="27" t="s">
        <v>8</v>
      </c>
      <c r="FP61" s="27" t="s">
        <v>7</v>
      </c>
      <c r="FQ61" s="27" t="s">
        <v>8</v>
      </c>
      <c r="FR61" s="27" t="s">
        <v>7</v>
      </c>
      <c r="FS61" s="27" t="s">
        <v>8</v>
      </c>
      <c r="FT61" s="27" t="s">
        <v>7</v>
      </c>
      <c r="GA61" s="27" t="s">
        <v>8</v>
      </c>
      <c r="GC61" s="27" t="s">
        <v>8</v>
      </c>
      <c r="GE61" s="27" t="s">
        <v>8</v>
      </c>
      <c r="GF61" s="27" t="s">
        <v>7</v>
      </c>
      <c r="GG61" s="27" t="s">
        <v>8</v>
      </c>
      <c r="GT61" s="27" t="s">
        <v>7</v>
      </c>
      <c r="GU61" s="27" t="s">
        <v>8</v>
      </c>
      <c r="GV61" s="27" t="s">
        <v>7</v>
      </c>
      <c r="GW61" s="27" t="s">
        <v>8</v>
      </c>
      <c r="GX61" s="27" t="s">
        <v>7</v>
      </c>
      <c r="GY61" s="27" t="s">
        <v>8</v>
      </c>
      <c r="GZ61" s="27" t="s">
        <v>7</v>
      </c>
      <c r="HG61" s="27" t="s">
        <v>8</v>
      </c>
      <c r="HH61" s="27" t="s">
        <v>7</v>
      </c>
      <c r="HI61" s="27" t="s">
        <v>8</v>
      </c>
      <c r="HJ61" s="27" t="s">
        <v>7</v>
      </c>
      <c r="HL61" s="27" t="s">
        <v>7</v>
      </c>
      <c r="HP61" s="27" t="s">
        <v>7</v>
      </c>
      <c r="HR61" s="27" t="s">
        <v>7</v>
      </c>
      <c r="HT61" s="27" t="s">
        <v>7</v>
      </c>
      <c r="HU61" s="27" t="s">
        <v>8</v>
      </c>
      <c r="HV61" s="27" t="s">
        <v>7</v>
      </c>
      <c r="HW61" s="27" t="s">
        <v>8</v>
      </c>
      <c r="HX61" s="27" t="s">
        <v>7</v>
      </c>
      <c r="HY61" s="27" t="s">
        <v>8</v>
      </c>
      <c r="HZ61" s="27" t="s">
        <v>7</v>
      </c>
      <c r="IA61" s="27" t="s">
        <v>8</v>
      </c>
      <c r="IB61" s="27" t="s">
        <v>7</v>
      </c>
      <c r="IM61" s="27" t="s">
        <v>8</v>
      </c>
      <c r="IN61" s="27" t="s">
        <v>7</v>
      </c>
      <c r="IO61" s="27" t="s">
        <v>8</v>
      </c>
      <c r="IP61" s="27" t="s">
        <v>7</v>
      </c>
      <c r="IS61" s="27" t="s">
        <v>8</v>
      </c>
      <c r="IT61" s="27" t="s">
        <v>7</v>
      </c>
      <c r="IU61" s="27" t="s">
        <v>8</v>
      </c>
      <c r="IV61" s="27" t="s">
        <v>7</v>
      </c>
      <c r="IW61" s="27" t="s">
        <v>8</v>
      </c>
      <c r="IX61" s="27" t="s">
        <v>7</v>
      </c>
      <c r="IY61" s="27" t="s">
        <v>8</v>
      </c>
      <c r="IZ61" s="27" t="s">
        <v>7</v>
      </c>
      <c r="JA61" s="27" t="s">
        <v>8</v>
      </c>
      <c r="JB61" s="27" t="s">
        <v>7</v>
      </c>
      <c r="JC61" s="27" t="s">
        <v>8</v>
      </c>
      <c r="JD61" s="27" t="s">
        <v>7</v>
      </c>
      <c r="JE61" s="27" t="s">
        <v>8</v>
      </c>
      <c r="JF61" s="27" t="s">
        <v>7</v>
      </c>
    </row>
    <row r="62" spans="1:266" x14ac:dyDescent="0.25">
      <c r="A62" s="7">
        <v>32740.866952574877</v>
      </c>
      <c r="E62"/>
      <c r="M62" s="27" t="s">
        <v>8</v>
      </c>
      <c r="N62" s="27" t="s">
        <v>7</v>
      </c>
      <c r="O62" s="27" t="s">
        <v>8</v>
      </c>
      <c r="S62" s="27" t="s">
        <v>8</v>
      </c>
      <c r="T62" s="27" t="s">
        <v>7</v>
      </c>
      <c r="V62" s="27" t="s">
        <v>7</v>
      </c>
      <c r="W62" s="27" t="s">
        <v>8</v>
      </c>
      <c r="X62" s="27" t="s">
        <v>7</v>
      </c>
      <c r="AA62" s="27" t="s">
        <v>8</v>
      </c>
      <c r="AB62" s="27" t="s">
        <v>7</v>
      </c>
      <c r="BY62" s="27" t="s">
        <v>8</v>
      </c>
      <c r="BZ62" s="27" t="s">
        <v>7</v>
      </c>
      <c r="CA62" s="27" t="s">
        <v>8</v>
      </c>
      <c r="CB62" s="27" t="s">
        <v>7</v>
      </c>
      <c r="CC62" s="27" t="s">
        <v>8</v>
      </c>
      <c r="CD62" s="27" t="s">
        <v>7</v>
      </c>
      <c r="CE62" s="27" t="s">
        <v>8</v>
      </c>
      <c r="CG62" s="27" t="s">
        <v>8</v>
      </c>
      <c r="CH62" s="27" t="s">
        <v>7</v>
      </c>
      <c r="CI62" s="27" t="s">
        <v>8</v>
      </c>
      <c r="CJ62" s="27" t="s">
        <v>7</v>
      </c>
      <c r="CK62" s="27" t="s">
        <v>8</v>
      </c>
      <c r="CM62" s="27" t="s">
        <v>8</v>
      </c>
      <c r="CT62" s="27" t="s">
        <v>7</v>
      </c>
      <c r="CU62" s="27" t="s">
        <v>8</v>
      </c>
      <c r="CV62" s="27" t="s">
        <v>7</v>
      </c>
      <c r="CW62" s="27" t="s">
        <v>8</v>
      </c>
      <c r="CX62" s="27" t="s">
        <v>7</v>
      </c>
      <c r="CY62" s="27" t="s">
        <v>8</v>
      </c>
      <c r="CZ62" s="27" t="s">
        <v>7</v>
      </c>
      <c r="DA62" s="27" t="s">
        <v>8</v>
      </c>
      <c r="DH62" s="27" t="s">
        <v>7</v>
      </c>
      <c r="DI62" s="27" t="s">
        <v>8</v>
      </c>
      <c r="ER62" s="27" t="s">
        <v>7</v>
      </c>
      <c r="ES62" s="27" t="s">
        <v>8</v>
      </c>
      <c r="FF62" s="27" t="s">
        <v>7</v>
      </c>
      <c r="FH62" s="27" t="s">
        <v>7</v>
      </c>
      <c r="FK62" s="27" t="s">
        <v>8</v>
      </c>
      <c r="FL62" s="27" t="s">
        <v>7</v>
      </c>
      <c r="FM62" s="27" t="s">
        <v>8</v>
      </c>
      <c r="FN62" s="27" t="s">
        <v>7</v>
      </c>
      <c r="FO62" s="27" t="s">
        <v>8</v>
      </c>
      <c r="FP62" s="27" t="s">
        <v>7</v>
      </c>
      <c r="FQ62" s="27" t="s">
        <v>8</v>
      </c>
      <c r="FR62" s="27" t="s">
        <v>7</v>
      </c>
      <c r="FS62" s="27" t="s">
        <v>8</v>
      </c>
      <c r="FT62" s="27" t="s">
        <v>7</v>
      </c>
      <c r="FY62" s="27" t="s">
        <v>8</v>
      </c>
      <c r="GA62" s="27" t="s">
        <v>8</v>
      </c>
      <c r="GB62" s="27" t="s">
        <v>7</v>
      </c>
      <c r="GC62" s="27" t="s">
        <v>8</v>
      </c>
      <c r="GD62" s="27" t="s">
        <v>7</v>
      </c>
      <c r="GE62" s="27" t="s">
        <v>8</v>
      </c>
      <c r="GF62" s="27" t="s">
        <v>7</v>
      </c>
      <c r="GG62" s="27" t="s">
        <v>8</v>
      </c>
      <c r="GT62" s="27" t="s">
        <v>7</v>
      </c>
      <c r="GU62" s="27" t="s">
        <v>8</v>
      </c>
      <c r="GV62" s="27" t="s">
        <v>7</v>
      </c>
      <c r="GW62" s="27" t="s">
        <v>8</v>
      </c>
      <c r="GX62" s="27" t="s">
        <v>7</v>
      </c>
      <c r="GY62" s="27" t="s">
        <v>8</v>
      </c>
      <c r="GZ62" s="27" t="s">
        <v>7</v>
      </c>
      <c r="HE62" s="27" t="s">
        <v>8</v>
      </c>
      <c r="HG62" s="27" t="s">
        <v>8</v>
      </c>
      <c r="HH62" s="27" t="s">
        <v>7</v>
      </c>
      <c r="HT62" s="27" t="s">
        <v>7</v>
      </c>
      <c r="HV62" s="27" t="s">
        <v>7</v>
      </c>
      <c r="HX62" s="27" t="s">
        <v>7</v>
      </c>
      <c r="HZ62" s="27" t="s">
        <v>7</v>
      </c>
      <c r="IA62" s="27" t="s">
        <v>8</v>
      </c>
      <c r="IB62" s="27" t="s">
        <v>7</v>
      </c>
      <c r="IC62" s="27" t="s">
        <v>8</v>
      </c>
      <c r="IM62" s="27" t="s">
        <v>8</v>
      </c>
      <c r="IN62" s="27" t="s">
        <v>7</v>
      </c>
      <c r="IO62" s="27" t="s">
        <v>8</v>
      </c>
      <c r="IP62" s="27" t="s">
        <v>7</v>
      </c>
      <c r="IQ62" s="27" t="s">
        <v>8</v>
      </c>
      <c r="IS62" s="27" t="s">
        <v>8</v>
      </c>
      <c r="IT62" s="27" t="s">
        <v>7</v>
      </c>
      <c r="IU62" s="27" t="s">
        <v>8</v>
      </c>
      <c r="IV62" s="27" t="s">
        <v>7</v>
      </c>
      <c r="IW62" s="27" t="s">
        <v>8</v>
      </c>
      <c r="IX62" s="27" t="s">
        <v>7</v>
      </c>
      <c r="IY62" s="27" t="s">
        <v>8</v>
      </c>
      <c r="IZ62" s="27" t="s">
        <v>7</v>
      </c>
      <c r="JA62" s="27" t="s">
        <v>8</v>
      </c>
      <c r="JB62" s="27" t="s">
        <v>7</v>
      </c>
      <c r="JC62" s="27" t="s">
        <v>8</v>
      </c>
      <c r="JD62" s="27" t="s">
        <v>7</v>
      </c>
      <c r="JE62" s="27" t="s">
        <v>8</v>
      </c>
      <c r="JF62" s="27" t="s">
        <v>7</v>
      </c>
    </row>
    <row r="63" spans="1:266" x14ac:dyDescent="0.25">
      <c r="A63" s="7">
        <v>32098.889169191054</v>
      </c>
      <c r="E63"/>
      <c r="M63" s="27" t="s">
        <v>8</v>
      </c>
      <c r="N63" s="27" t="s">
        <v>7</v>
      </c>
      <c r="O63" s="27" t="s">
        <v>8</v>
      </c>
      <c r="P63" s="27" t="s">
        <v>7</v>
      </c>
      <c r="S63" s="27" t="s">
        <v>8</v>
      </c>
      <c r="V63" s="27" t="s">
        <v>7</v>
      </c>
      <c r="W63" s="27" t="s">
        <v>8</v>
      </c>
      <c r="X63" s="27" t="s">
        <v>7</v>
      </c>
      <c r="AA63" s="27" t="s">
        <v>8</v>
      </c>
      <c r="AB63" s="27" t="s">
        <v>7</v>
      </c>
      <c r="BY63" s="27" t="s">
        <v>8</v>
      </c>
      <c r="BZ63" s="27" t="s">
        <v>7</v>
      </c>
      <c r="CA63" s="27" t="s">
        <v>8</v>
      </c>
      <c r="CB63" s="27" t="s">
        <v>7</v>
      </c>
      <c r="CC63" s="27" t="s">
        <v>8</v>
      </c>
      <c r="CD63" s="27" t="s">
        <v>7</v>
      </c>
      <c r="CE63" s="27" t="s">
        <v>8</v>
      </c>
      <c r="CF63" s="27" t="s">
        <v>7</v>
      </c>
      <c r="CG63" s="27" t="s">
        <v>8</v>
      </c>
      <c r="CH63" s="27" t="s">
        <v>7</v>
      </c>
      <c r="CI63" s="27" t="s">
        <v>8</v>
      </c>
      <c r="CJ63" s="27" t="s">
        <v>7</v>
      </c>
      <c r="CK63" s="27" t="s">
        <v>8</v>
      </c>
      <c r="CL63" s="27" t="s">
        <v>7</v>
      </c>
      <c r="CM63" s="27" t="s">
        <v>8</v>
      </c>
      <c r="CT63" s="27" t="s">
        <v>7</v>
      </c>
      <c r="CU63" s="27" t="s">
        <v>8</v>
      </c>
      <c r="CV63" s="27" t="s">
        <v>7</v>
      </c>
      <c r="CW63" s="27" t="s">
        <v>8</v>
      </c>
      <c r="CX63" s="27" t="s">
        <v>7</v>
      </c>
      <c r="CY63" s="27" t="s">
        <v>8</v>
      </c>
      <c r="CZ63" s="27" t="s">
        <v>7</v>
      </c>
      <c r="DA63" s="27" t="s">
        <v>8</v>
      </c>
      <c r="DH63" s="27" t="s">
        <v>7</v>
      </c>
      <c r="DI63" s="27" t="s">
        <v>8</v>
      </c>
      <c r="ER63" s="27" t="s">
        <v>7</v>
      </c>
      <c r="ES63" s="27" t="s">
        <v>8</v>
      </c>
      <c r="FH63" s="27" t="s">
        <v>7</v>
      </c>
      <c r="FI63" s="27" t="s">
        <v>8</v>
      </c>
      <c r="FK63" s="27" t="s">
        <v>8</v>
      </c>
      <c r="FL63" s="27" t="s">
        <v>7</v>
      </c>
      <c r="FM63" s="27" t="s">
        <v>8</v>
      </c>
      <c r="FN63" s="27" t="s">
        <v>7</v>
      </c>
      <c r="FO63" s="27" t="s">
        <v>8</v>
      </c>
      <c r="FP63" s="27" t="s">
        <v>7</v>
      </c>
      <c r="FQ63" s="27" t="s">
        <v>8</v>
      </c>
      <c r="FR63" s="27" t="s">
        <v>7</v>
      </c>
      <c r="FT63" s="27" t="s">
        <v>7</v>
      </c>
      <c r="FU63" s="27" t="s">
        <v>8</v>
      </c>
      <c r="FY63" s="27" t="s">
        <v>8</v>
      </c>
      <c r="FZ63" s="27" t="s">
        <v>7</v>
      </c>
      <c r="GA63" s="27" t="s">
        <v>8</v>
      </c>
      <c r="GB63" s="27" t="s">
        <v>7</v>
      </c>
      <c r="GC63" s="27" t="s">
        <v>8</v>
      </c>
      <c r="GD63" s="27" t="s">
        <v>7</v>
      </c>
      <c r="GE63" s="27" t="s">
        <v>8</v>
      </c>
      <c r="GF63" s="27" t="s">
        <v>7</v>
      </c>
      <c r="GT63" s="27" t="s">
        <v>7</v>
      </c>
      <c r="GU63" s="27" t="s">
        <v>8</v>
      </c>
      <c r="GV63" s="27" t="s">
        <v>7</v>
      </c>
      <c r="GX63" s="27" t="s">
        <v>7</v>
      </c>
      <c r="GY63" s="27" t="s">
        <v>8</v>
      </c>
      <c r="GZ63" s="27" t="s">
        <v>7</v>
      </c>
      <c r="HE63" s="27" t="s">
        <v>8</v>
      </c>
      <c r="HF63" s="27" t="s">
        <v>7</v>
      </c>
      <c r="HG63" s="27" t="s">
        <v>8</v>
      </c>
      <c r="HZ63" s="27" t="s">
        <v>7</v>
      </c>
      <c r="IA63" s="27" t="s">
        <v>8</v>
      </c>
      <c r="IB63" s="27" t="s">
        <v>7</v>
      </c>
      <c r="IC63" s="27" t="s">
        <v>8</v>
      </c>
      <c r="ID63" s="27" t="s">
        <v>7</v>
      </c>
      <c r="IM63" s="27" t="s">
        <v>8</v>
      </c>
      <c r="IN63" s="27" t="s">
        <v>7</v>
      </c>
      <c r="IO63" s="27" t="s">
        <v>8</v>
      </c>
      <c r="IP63" s="27" t="s">
        <v>7</v>
      </c>
      <c r="IQ63" s="27" t="s">
        <v>8</v>
      </c>
      <c r="IR63" s="27" t="s">
        <v>7</v>
      </c>
      <c r="IS63" s="27" t="s">
        <v>8</v>
      </c>
      <c r="IT63" s="27" t="s">
        <v>7</v>
      </c>
      <c r="IU63" s="27" t="s">
        <v>8</v>
      </c>
      <c r="IV63" s="27" t="s">
        <v>7</v>
      </c>
      <c r="IW63" s="27" t="s">
        <v>8</v>
      </c>
      <c r="IX63" s="27" t="s">
        <v>7</v>
      </c>
      <c r="IY63" s="27" t="s">
        <v>8</v>
      </c>
      <c r="IZ63" s="27" t="s">
        <v>7</v>
      </c>
      <c r="JA63" s="27" t="s">
        <v>8</v>
      </c>
      <c r="JB63" s="27" t="s">
        <v>7</v>
      </c>
      <c r="JC63" s="27" t="s">
        <v>8</v>
      </c>
      <c r="JD63" s="27" t="s">
        <v>7</v>
      </c>
      <c r="JE63" s="27" t="s">
        <v>8</v>
      </c>
      <c r="JF63" s="27" t="s">
        <v>7</v>
      </c>
    </row>
    <row r="64" spans="1:266" x14ac:dyDescent="0.25">
      <c r="A64" s="7">
        <v>31469.499185481425</v>
      </c>
      <c r="E64"/>
      <c r="M64" s="27" t="s">
        <v>8</v>
      </c>
      <c r="N64" s="27" t="s">
        <v>7</v>
      </c>
      <c r="O64" s="27" t="s">
        <v>8</v>
      </c>
      <c r="P64" s="27" t="s">
        <v>7</v>
      </c>
      <c r="S64" s="27" t="s">
        <v>8</v>
      </c>
      <c r="V64" s="27" t="s">
        <v>7</v>
      </c>
      <c r="W64" s="27" t="s">
        <v>8</v>
      </c>
      <c r="X64" s="27" t="s">
        <v>7</v>
      </c>
      <c r="AA64" s="27" t="s">
        <v>8</v>
      </c>
      <c r="AB64" s="27" t="s">
        <v>7</v>
      </c>
      <c r="BG64" s="27" t="s">
        <v>8</v>
      </c>
      <c r="BY64" s="27" t="s">
        <v>8</v>
      </c>
      <c r="BZ64" s="27" t="s">
        <v>7</v>
      </c>
      <c r="CA64" s="27" t="s">
        <v>8</v>
      </c>
      <c r="CB64" s="27" t="s">
        <v>7</v>
      </c>
      <c r="CC64" s="27" t="s">
        <v>8</v>
      </c>
      <c r="CD64" s="27" t="s">
        <v>7</v>
      </c>
      <c r="CE64" s="27" t="s">
        <v>8</v>
      </c>
      <c r="CF64" s="27" t="s">
        <v>7</v>
      </c>
      <c r="CG64" s="27" t="s">
        <v>8</v>
      </c>
      <c r="CH64" s="27" t="s">
        <v>7</v>
      </c>
      <c r="CI64" s="27" t="s">
        <v>8</v>
      </c>
      <c r="CJ64" s="27" t="s">
        <v>7</v>
      </c>
      <c r="CK64" s="27" t="s">
        <v>8</v>
      </c>
      <c r="CL64" s="27" t="s">
        <v>7</v>
      </c>
      <c r="CM64" s="27" t="s">
        <v>8</v>
      </c>
      <c r="CT64" s="27" t="s">
        <v>7</v>
      </c>
      <c r="CU64" s="27" t="s">
        <v>8</v>
      </c>
      <c r="CV64" s="27" t="s">
        <v>7</v>
      </c>
      <c r="CW64" s="27" t="s">
        <v>8</v>
      </c>
      <c r="CX64" s="27" t="s">
        <v>7</v>
      </c>
      <c r="CY64" s="27" t="s">
        <v>8</v>
      </c>
      <c r="CZ64" s="27" t="s">
        <v>7</v>
      </c>
      <c r="DA64" s="27" t="s">
        <v>8</v>
      </c>
      <c r="DH64" s="27" t="s">
        <v>7</v>
      </c>
      <c r="DI64" s="27" t="s">
        <v>8</v>
      </c>
      <c r="ER64" s="27" t="s">
        <v>7</v>
      </c>
      <c r="ES64" s="27" t="s">
        <v>8</v>
      </c>
      <c r="FH64" s="27" t="s">
        <v>7</v>
      </c>
      <c r="FI64" s="27" t="s">
        <v>8</v>
      </c>
      <c r="FJ64" s="27" t="s">
        <v>7</v>
      </c>
      <c r="FK64" s="27" t="s">
        <v>8</v>
      </c>
      <c r="FL64" s="27" t="s">
        <v>7</v>
      </c>
      <c r="FN64" s="27" t="s">
        <v>7</v>
      </c>
      <c r="FO64" s="27" t="s">
        <v>8</v>
      </c>
      <c r="FP64" s="27" t="s">
        <v>7</v>
      </c>
      <c r="FT64" s="27" t="s">
        <v>7</v>
      </c>
      <c r="FU64" s="27" t="s">
        <v>8</v>
      </c>
      <c r="FV64" s="27" t="s">
        <v>7</v>
      </c>
      <c r="FY64" s="27" t="s">
        <v>8</v>
      </c>
      <c r="FZ64" s="27" t="s">
        <v>7</v>
      </c>
      <c r="GA64" s="27" t="s">
        <v>8</v>
      </c>
      <c r="GB64" s="27" t="s">
        <v>7</v>
      </c>
      <c r="GD64" s="27" t="s">
        <v>7</v>
      </c>
      <c r="GE64" s="27" t="s">
        <v>8</v>
      </c>
      <c r="GT64" s="27" t="s">
        <v>7</v>
      </c>
      <c r="GX64" s="27" t="s">
        <v>7</v>
      </c>
      <c r="GZ64" s="27" t="s">
        <v>7</v>
      </c>
      <c r="HC64" s="27" t="s">
        <v>8</v>
      </c>
      <c r="HE64" s="27" t="s">
        <v>8</v>
      </c>
      <c r="HF64" s="27" t="s">
        <v>7</v>
      </c>
      <c r="HG64" s="27" t="s">
        <v>8</v>
      </c>
      <c r="HZ64" s="27" t="s">
        <v>7</v>
      </c>
      <c r="IA64" s="27" t="s">
        <v>8</v>
      </c>
      <c r="IB64" s="27" t="s">
        <v>7</v>
      </c>
      <c r="IC64" s="27" t="s">
        <v>8</v>
      </c>
      <c r="ID64" s="27" t="s">
        <v>7</v>
      </c>
      <c r="IM64" s="27" t="s">
        <v>8</v>
      </c>
      <c r="IN64" s="27" t="s">
        <v>7</v>
      </c>
      <c r="IO64" s="27" t="s">
        <v>8</v>
      </c>
      <c r="IP64" s="27" t="s">
        <v>7</v>
      </c>
      <c r="IQ64" s="27" t="s">
        <v>8</v>
      </c>
      <c r="IR64" s="27" t="s">
        <v>7</v>
      </c>
      <c r="IS64" s="27" t="s">
        <v>8</v>
      </c>
      <c r="IT64" s="27" t="s">
        <v>7</v>
      </c>
      <c r="IU64" s="27" t="s">
        <v>8</v>
      </c>
      <c r="IV64" s="27" t="s">
        <v>7</v>
      </c>
      <c r="IX64" s="27" t="s">
        <v>7</v>
      </c>
      <c r="IZ64" s="27" t="s">
        <v>7</v>
      </c>
      <c r="JA64" s="27" t="s">
        <v>8</v>
      </c>
      <c r="JB64" s="27" t="s">
        <v>7</v>
      </c>
      <c r="JD64" s="27" t="s">
        <v>7</v>
      </c>
      <c r="JE64" s="27" t="s">
        <v>8</v>
      </c>
      <c r="JF64" s="27" t="s">
        <v>7</v>
      </c>
    </row>
    <row r="65" spans="1:270" x14ac:dyDescent="0.25">
      <c r="A65" s="7">
        <v>30852.450181844535</v>
      </c>
      <c r="E65"/>
      <c r="M65" s="27" t="s">
        <v>8</v>
      </c>
      <c r="N65" s="27" t="s">
        <v>7</v>
      </c>
      <c r="O65" s="27" t="s">
        <v>8</v>
      </c>
      <c r="P65" s="27" t="s">
        <v>7</v>
      </c>
      <c r="S65" s="27" t="s">
        <v>8</v>
      </c>
      <c r="V65" s="27" t="s">
        <v>7</v>
      </c>
      <c r="W65" s="27" t="s">
        <v>8</v>
      </c>
      <c r="X65" s="27" t="s">
        <v>7</v>
      </c>
      <c r="AA65" s="27" t="s">
        <v>8</v>
      </c>
      <c r="AB65" s="27" t="s">
        <v>7</v>
      </c>
      <c r="BG65" s="27" t="s">
        <v>8</v>
      </c>
      <c r="BH65" s="27" t="s">
        <v>7</v>
      </c>
      <c r="BY65" s="27" t="s">
        <v>8</v>
      </c>
      <c r="BZ65" s="27" t="s">
        <v>7</v>
      </c>
      <c r="CA65" s="27" t="s">
        <v>8</v>
      </c>
      <c r="CB65" s="27" t="s">
        <v>7</v>
      </c>
      <c r="CC65" s="27" t="s">
        <v>8</v>
      </c>
      <c r="CD65" s="27" t="s">
        <v>7</v>
      </c>
      <c r="CE65" s="27" t="s">
        <v>8</v>
      </c>
      <c r="CF65" s="27" t="s">
        <v>7</v>
      </c>
      <c r="CG65" s="27" t="s">
        <v>8</v>
      </c>
      <c r="CH65" s="27" t="s">
        <v>7</v>
      </c>
      <c r="CI65" s="27" t="s">
        <v>8</v>
      </c>
      <c r="CJ65" s="27" t="s">
        <v>7</v>
      </c>
      <c r="CL65" s="27" t="s">
        <v>7</v>
      </c>
      <c r="CM65" s="27" t="s">
        <v>8</v>
      </c>
      <c r="CT65" s="27" t="s">
        <v>7</v>
      </c>
      <c r="CU65" s="27" t="s">
        <v>8</v>
      </c>
      <c r="CV65" s="27" t="s">
        <v>7</v>
      </c>
      <c r="CW65" s="27" t="s">
        <v>8</v>
      </c>
      <c r="CX65" s="27" t="s">
        <v>7</v>
      </c>
      <c r="CY65" s="27" t="s">
        <v>8</v>
      </c>
      <c r="CZ65" s="27" t="s">
        <v>7</v>
      </c>
      <c r="DA65" s="27" t="s">
        <v>8</v>
      </c>
      <c r="DH65" s="27" t="s">
        <v>7</v>
      </c>
      <c r="DI65" s="27" t="s">
        <v>8</v>
      </c>
      <c r="ER65" s="27" t="s">
        <v>7</v>
      </c>
      <c r="ES65" s="27" t="s">
        <v>8</v>
      </c>
      <c r="FH65" s="27" t="s">
        <v>7</v>
      </c>
      <c r="FI65" s="27" t="s">
        <v>8</v>
      </c>
      <c r="FJ65" s="27" t="s">
        <v>7</v>
      </c>
      <c r="FK65" s="27" t="s">
        <v>8</v>
      </c>
      <c r="FN65" s="27" t="s">
        <v>7</v>
      </c>
      <c r="FT65" s="27" t="s">
        <v>7</v>
      </c>
      <c r="FU65" s="27" t="s">
        <v>8</v>
      </c>
      <c r="FV65" s="27" t="s">
        <v>7</v>
      </c>
      <c r="FY65" s="27" t="s">
        <v>8</v>
      </c>
      <c r="FZ65" s="27" t="s">
        <v>7</v>
      </c>
      <c r="GA65" s="27" t="s">
        <v>8</v>
      </c>
      <c r="GD65" s="27" t="s">
        <v>7</v>
      </c>
      <c r="GZ65" s="27" t="s">
        <v>7</v>
      </c>
      <c r="HA65" s="27" t="s">
        <v>8</v>
      </c>
      <c r="HC65" s="27" t="s">
        <v>8</v>
      </c>
      <c r="HD65" s="27" t="s">
        <v>7</v>
      </c>
      <c r="HE65" s="27" t="s">
        <v>8</v>
      </c>
      <c r="HF65" s="27" t="s">
        <v>7</v>
      </c>
      <c r="HG65" s="27" t="s">
        <v>8</v>
      </c>
      <c r="HZ65" s="27" t="s">
        <v>7</v>
      </c>
      <c r="IA65" s="27" t="s">
        <v>8</v>
      </c>
      <c r="IB65" s="27" t="s">
        <v>7</v>
      </c>
      <c r="ID65" s="27" t="s">
        <v>7</v>
      </c>
      <c r="IM65" s="27" t="s">
        <v>8</v>
      </c>
      <c r="IN65" s="27" t="s">
        <v>7</v>
      </c>
      <c r="IP65" s="27" t="s">
        <v>7</v>
      </c>
      <c r="IR65" s="27" t="s">
        <v>7</v>
      </c>
      <c r="IS65" s="27" t="s">
        <v>8</v>
      </c>
      <c r="IT65" s="27" t="s">
        <v>7</v>
      </c>
      <c r="IU65" s="27" t="s">
        <v>8</v>
      </c>
      <c r="IZ65" s="27" t="s">
        <v>7</v>
      </c>
      <c r="JA65" s="27" t="s">
        <v>8</v>
      </c>
      <c r="JD65" s="27" t="s">
        <v>7</v>
      </c>
      <c r="JF65" s="27" t="s">
        <v>7</v>
      </c>
    </row>
    <row r="66" spans="1:270" x14ac:dyDescent="0.25">
      <c r="A66" s="7">
        <v>30247.500178278955</v>
      </c>
      <c r="E66"/>
      <c r="M66" s="27" t="s">
        <v>8</v>
      </c>
      <c r="N66" s="27" t="s">
        <v>7</v>
      </c>
      <c r="O66" s="27" t="s">
        <v>8</v>
      </c>
      <c r="P66" s="27" t="s">
        <v>7</v>
      </c>
      <c r="S66" s="27" t="s">
        <v>8</v>
      </c>
      <c r="V66" s="27" t="s">
        <v>7</v>
      </c>
      <c r="W66" s="27" t="s">
        <v>8</v>
      </c>
      <c r="X66" s="27" t="s">
        <v>7</v>
      </c>
      <c r="AA66" s="27" t="s">
        <v>8</v>
      </c>
      <c r="AB66" s="27" t="s">
        <v>7</v>
      </c>
      <c r="BG66" s="27" t="s">
        <v>8</v>
      </c>
      <c r="BH66" s="27" t="s">
        <v>7</v>
      </c>
      <c r="BY66" s="27" t="s">
        <v>8</v>
      </c>
      <c r="BZ66" s="27" t="s">
        <v>7</v>
      </c>
      <c r="CA66" s="27" t="s">
        <v>8</v>
      </c>
      <c r="CB66" s="27" t="s">
        <v>7</v>
      </c>
      <c r="CC66" s="27" t="s">
        <v>8</v>
      </c>
      <c r="CD66" s="27" t="s">
        <v>7</v>
      </c>
      <c r="CE66" s="27" t="s">
        <v>8</v>
      </c>
      <c r="CF66" s="27" t="s">
        <v>7</v>
      </c>
      <c r="CG66" s="27" t="s">
        <v>8</v>
      </c>
      <c r="CH66" s="27" t="s">
        <v>7</v>
      </c>
      <c r="CI66" s="27" t="s">
        <v>8</v>
      </c>
      <c r="CL66" s="27" t="s">
        <v>7</v>
      </c>
      <c r="CM66" s="27" t="s">
        <v>8</v>
      </c>
      <c r="CT66" s="27" t="s">
        <v>7</v>
      </c>
      <c r="CU66" s="27" t="s">
        <v>8</v>
      </c>
      <c r="CV66" s="27" t="s">
        <v>7</v>
      </c>
      <c r="CX66" s="27" t="s">
        <v>7</v>
      </c>
      <c r="CY66" s="27" t="s">
        <v>8</v>
      </c>
      <c r="CZ66" s="27" t="s">
        <v>7</v>
      </c>
      <c r="DH66" s="27" t="s">
        <v>7</v>
      </c>
      <c r="ER66" s="27" t="s">
        <v>7</v>
      </c>
      <c r="ES66" s="27" t="s">
        <v>8</v>
      </c>
      <c r="FH66" s="27" t="s">
        <v>7</v>
      </c>
      <c r="FI66" s="27" t="s">
        <v>8</v>
      </c>
      <c r="FJ66" s="27" t="s">
        <v>7</v>
      </c>
      <c r="FK66" s="27" t="s">
        <v>8</v>
      </c>
      <c r="FT66" s="27" t="s">
        <v>7</v>
      </c>
      <c r="FV66" s="27" t="s">
        <v>7</v>
      </c>
      <c r="FY66" s="27" t="s">
        <v>8</v>
      </c>
      <c r="FZ66" s="27" t="s">
        <v>7</v>
      </c>
      <c r="GA66" s="27" t="s">
        <v>8</v>
      </c>
      <c r="GZ66" s="27" t="s">
        <v>7</v>
      </c>
      <c r="HA66" s="27" t="s">
        <v>8</v>
      </c>
      <c r="HB66" s="27" t="s">
        <v>7</v>
      </c>
      <c r="HC66" s="27" t="s">
        <v>8</v>
      </c>
      <c r="HD66" s="27" t="s">
        <v>7</v>
      </c>
      <c r="HE66" s="27" t="s">
        <v>8</v>
      </c>
      <c r="HF66" s="27" t="s">
        <v>7</v>
      </c>
      <c r="HZ66" s="27" t="s">
        <v>7</v>
      </c>
      <c r="ID66" s="27" t="s">
        <v>7</v>
      </c>
      <c r="IE66" s="27" t="s">
        <v>8</v>
      </c>
      <c r="IM66" s="27" t="s">
        <v>8</v>
      </c>
      <c r="IR66" s="27" t="s">
        <v>7</v>
      </c>
      <c r="IT66" s="27" t="s">
        <v>7</v>
      </c>
      <c r="IU66" s="27" t="s">
        <v>8</v>
      </c>
      <c r="IZ66" s="27" t="s">
        <v>7</v>
      </c>
      <c r="JA66" s="27" t="s">
        <v>8</v>
      </c>
      <c r="JF66" s="27" t="s">
        <v>7</v>
      </c>
    </row>
    <row r="67" spans="1:270" x14ac:dyDescent="0.25">
      <c r="A67" s="7">
        <v>29654.411939489171</v>
      </c>
      <c r="E67"/>
      <c r="M67" s="27" t="s">
        <v>8</v>
      </c>
      <c r="N67" s="27" t="s">
        <v>7</v>
      </c>
      <c r="O67" s="27" t="s">
        <v>8</v>
      </c>
      <c r="P67" s="27" t="s">
        <v>7</v>
      </c>
      <c r="S67" s="27" t="s">
        <v>8</v>
      </c>
      <c r="V67" s="27" t="s">
        <v>7</v>
      </c>
      <c r="X67" s="27" t="s">
        <v>7</v>
      </c>
      <c r="AA67" s="27" t="s">
        <v>8</v>
      </c>
      <c r="AB67" s="27" t="s">
        <v>7</v>
      </c>
      <c r="BA67" s="27" t="s">
        <v>8</v>
      </c>
      <c r="BG67" s="27" t="s">
        <v>8</v>
      </c>
      <c r="BH67" s="27" t="s">
        <v>7</v>
      </c>
      <c r="BY67" s="27" t="s">
        <v>8</v>
      </c>
      <c r="BZ67" s="27" t="s">
        <v>7</v>
      </c>
      <c r="CA67" s="27" t="s">
        <v>8</v>
      </c>
      <c r="CB67" s="27" t="s">
        <v>7</v>
      </c>
      <c r="CC67" s="27" t="s">
        <v>8</v>
      </c>
      <c r="CD67" s="27" t="s">
        <v>7</v>
      </c>
      <c r="CE67" s="27" t="s">
        <v>8</v>
      </c>
      <c r="CF67" s="27" t="s">
        <v>7</v>
      </c>
      <c r="CG67" s="27" t="s">
        <v>8</v>
      </c>
      <c r="CH67" s="27" t="s">
        <v>7</v>
      </c>
      <c r="CL67" s="27" t="s">
        <v>7</v>
      </c>
      <c r="CT67" s="27" t="s">
        <v>7</v>
      </c>
      <c r="CU67" s="27" t="s">
        <v>8</v>
      </c>
      <c r="CX67" s="27" t="s">
        <v>7</v>
      </c>
      <c r="CY67" s="27" t="s">
        <v>8</v>
      </c>
      <c r="ER67" s="27" t="s">
        <v>7</v>
      </c>
      <c r="ES67" s="27" t="s">
        <v>8</v>
      </c>
      <c r="FH67" s="27" t="s">
        <v>7</v>
      </c>
      <c r="FI67" s="27" t="s">
        <v>8</v>
      </c>
      <c r="FJ67" s="27" t="s">
        <v>7</v>
      </c>
      <c r="FK67" s="27" t="s">
        <v>8</v>
      </c>
      <c r="FV67" s="27" t="s">
        <v>7</v>
      </c>
      <c r="FW67" s="27" t="s">
        <v>8</v>
      </c>
      <c r="FY67" s="27" t="s">
        <v>8</v>
      </c>
      <c r="FZ67" s="27" t="s">
        <v>7</v>
      </c>
      <c r="GA67" s="27" t="s">
        <v>8</v>
      </c>
      <c r="GZ67" s="27" t="s">
        <v>7</v>
      </c>
      <c r="HA67" s="27" t="s">
        <v>8</v>
      </c>
      <c r="HB67" s="27" t="s">
        <v>7</v>
      </c>
      <c r="HC67" s="27" t="s">
        <v>8</v>
      </c>
      <c r="HD67" s="27" t="s">
        <v>7</v>
      </c>
      <c r="HE67" s="27" t="s">
        <v>8</v>
      </c>
      <c r="ID67" s="27" t="s">
        <v>7</v>
      </c>
      <c r="IE67" s="27" t="s">
        <v>8</v>
      </c>
      <c r="IF67" s="27" t="s">
        <v>7</v>
      </c>
      <c r="IM67" s="27" t="s">
        <v>8</v>
      </c>
      <c r="IT67" s="27" t="s">
        <v>7</v>
      </c>
      <c r="IU67" s="27" t="s">
        <v>8</v>
      </c>
      <c r="IZ67" s="27" t="s">
        <v>7</v>
      </c>
      <c r="JF67" s="27" t="s">
        <v>7</v>
      </c>
    </row>
    <row r="68" spans="1:270" x14ac:dyDescent="0.25">
      <c r="A68" s="7">
        <v>29072.952881852128</v>
      </c>
      <c r="E68"/>
      <c r="M68" s="27" t="s">
        <v>8</v>
      </c>
      <c r="N68" s="27" t="s">
        <v>7</v>
      </c>
      <c r="O68" s="27" t="s">
        <v>8</v>
      </c>
      <c r="P68" s="27" t="s">
        <v>7</v>
      </c>
      <c r="S68" s="27" t="s">
        <v>8</v>
      </c>
      <c r="X68" s="27" t="s">
        <v>7</v>
      </c>
      <c r="AA68" s="27" t="s">
        <v>8</v>
      </c>
      <c r="AB68" s="27" t="s">
        <v>7</v>
      </c>
      <c r="BA68" s="27" t="s">
        <v>8</v>
      </c>
      <c r="BB68" s="27" t="s">
        <v>7</v>
      </c>
      <c r="BG68" s="27" t="s">
        <v>8</v>
      </c>
      <c r="BH68" s="27" t="s">
        <v>7</v>
      </c>
      <c r="BI68" s="27" t="s">
        <v>8</v>
      </c>
      <c r="BY68" s="27" t="s">
        <v>8</v>
      </c>
      <c r="BZ68" s="27" t="s">
        <v>7</v>
      </c>
      <c r="CA68" s="27" t="s">
        <v>8</v>
      </c>
      <c r="CB68" s="27" t="s">
        <v>7</v>
      </c>
      <c r="CC68" s="27" t="s">
        <v>8</v>
      </c>
      <c r="CD68" s="27" t="s">
        <v>7</v>
      </c>
      <c r="CE68" s="27" t="s">
        <v>8</v>
      </c>
      <c r="CF68" s="27" t="s">
        <v>7</v>
      </c>
      <c r="CG68" s="27" t="s">
        <v>8</v>
      </c>
      <c r="CT68" s="27" t="s">
        <v>7</v>
      </c>
      <c r="CU68" s="27" t="s">
        <v>8</v>
      </c>
      <c r="CX68" s="27" t="s">
        <v>7</v>
      </c>
      <c r="CY68" s="27" t="s">
        <v>8</v>
      </c>
      <c r="ER68" s="27" t="s">
        <v>7</v>
      </c>
      <c r="ES68" s="27" t="s">
        <v>8</v>
      </c>
      <c r="FH68" s="27" t="s">
        <v>7</v>
      </c>
      <c r="FI68" s="27" t="s">
        <v>8</v>
      </c>
      <c r="FJ68" s="27" t="s">
        <v>7</v>
      </c>
      <c r="FK68" s="27" t="s">
        <v>8</v>
      </c>
      <c r="FV68" s="27" t="s">
        <v>7</v>
      </c>
      <c r="FW68" s="27" t="s">
        <v>8</v>
      </c>
      <c r="FX68" s="27" t="s">
        <v>7</v>
      </c>
      <c r="FY68" s="27" t="s">
        <v>8</v>
      </c>
      <c r="FZ68" s="27" t="s">
        <v>7</v>
      </c>
      <c r="GZ68" s="27" t="s">
        <v>7</v>
      </c>
      <c r="HA68" s="27" t="s">
        <v>8</v>
      </c>
      <c r="HB68" s="27" t="s">
        <v>7</v>
      </c>
      <c r="HC68" s="27" t="s">
        <v>8</v>
      </c>
      <c r="HD68" s="27" t="s">
        <v>7</v>
      </c>
      <c r="HE68" s="27" t="s">
        <v>8</v>
      </c>
      <c r="ID68" s="27" t="s">
        <v>7</v>
      </c>
      <c r="IE68" s="27" t="s">
        <v>8</v>
      </c>
      <c r="IF68" s="27" t="s">
        <v>7</v>
      </c>
      <c r="IM68" s="27" t="s">
        <v>8</v>
      </c>
      <c r="IT68" s="27" t="s">
        <v>7</v>
      </c>
      <c r="IU68" s="27" t="s">
        <v>8</v>
      </c>
      <c r="JF68" s="27" t="s">
        <v>7</v>
      </c>
    </row>
    <row r="69" spans="1:270" x14ac:dyDescent="0.25">
      <c r="A69" s="7">
        <v>28502.89498220797</v>
      </c>
      <c r="E69"/>
      <c r="M69" s="27" t="s">
        <v>8</v>
      </c>
      <c r="N69" s="27" t="s">
        <v>7</v>
      </c>
      <c r="O69" s="27" t="s">
        <v>8</v>
      </c>
      <c r="P69" s="27" t="s">
        <v>7</v>
      </c>
      <c r="S69" s="27" t="s">
        <v>8</v>
      </c>
      <c r="X69" s="27" t="s">
        <v>7</v>
      </c>
      <c r="AA69" s="27" t="s">
        <v>8</v>
      </c>
      <c r="AB69" s="27" t="s">
        <v>7</v>
      </c>
      <c r="BA69" s="27" t="s">
        <v>8</v>
      </c>
      <c r="BB69" s="27" t="s">
        <v>7</v>
      </c>
      <c r="BG69" s="27" t="s">
        <v>8</v>
      </c>
      <c r="BH69" s="27" t="s">
        <v>7</v>
      </c>
      <c r="BI69" s="27" t="s">
        <v>8</v>
      </c>
      <c r="BJ69" s="27" t="s">
        <v>7</v>
      </c>
      <c r="BO69" s="27" t="s">
        <v>8</v>
      </c>
      <c r="BY69" s="27" t="s">
        <v>8</v>
      </c>
      <c r="BZ69" s="27" t="s">
        <v>7</v>
      </c>
      <c r="CA69" s="27" t="s">
        <v>8</v>
      </c>
      <c r="CB69" s="27" t="s">
        <v>7</v>
      </c>
      <c r="CD69" s="27" t="s">
        <v>7</v>
      </c>
      <c r="CE69" s="27" t="s">
        <v>8</v>
      </c>
      <c r="CF69" s="27" t="s">
        <v>7</v>
      </c>
      <c r="CG69" s="27" t="s">
        <v>8</v>
      </c>
      <c r="CT69" s="27" t="s">
        <v>7</v>
      </c>
      <c r="CX69" s="27" t="s">
        <v>7</v>
      </c>
      <c r="CY69" s="27" t="s">
        <v>8</v>
      </c>
      <c r="ER69" s="27" t="s">
        <v>7</v>
      </c>
      <c r="ES69" s="27" t="s">
        <v>8</v>
      </c>
      <c r="FH69" s="27" t="s">
        <v>7</v>
      </c>
      <c r="FI69" s="27" t="s">
        <v>8</v>
      </c>
      <c r="FJ69" s="27" t="s">
        <v>7</v>
      </c>
      <c r="FK69" s="27" t="s">
        <v>8</v>
      </c>
      <c r="FV69" s="27" t="s">
        <v>7</v>
      </c>
      <c r="FW69" s="27" t="s">
        <v>8</v>
      </c>
      <c r="FX69" s="27" t="s">
        <v>7</v>
      </c>
      <c r="FY69" s="27" t="s">
        <v>8</v>
      </c>
      <c r="GZ69" s="27" t="s">
        <v>7</v>
      </c>
      <c r="HA69" s="27" t="s">
        <v>8</v>
      </c>
      <c r="HB69" s="27" t="s">
        <v>7</v>
      </c>
      <c r="HC69" s="27" t="s">
        <v>8</v>
      </c>
      <c r="HD69" s="27" t="s">
        <v>7</v>
      </c>
      <c r="HE69" s="27" t="s">
        <v>8</v>
      </c>
      <c r="ID69" s="27" t="s">
        <v>7</v>
      </c>
      <c r="IE69" s="27" t="s">
        <v>8</v>
      </c>
      <c r="IF69" s="27" t="s">
        <v>7</v>
      </c>
      <c r="IM69" s="27" t="s">
        <v>8</v>
      </c>
      <c r="IT69" s="27" t="s">
        <v>7</v>
      </c>
      <c r="IU69" s="27" t="s">
        <v>8</v>
      </c>
      <c r="JF69" s="27" t="s">
        <v>7</v>
      </c>
    </row>
    <row r="70" spans="1:270" x14ac:dyDescent="0.25">
      <c r="A70" s="7">
        <v>27944.014688439187</v>
      </c>
      <c r="E70"/>
      <c r="M70" s="27" t="s">
        <v>8</v>
      </c>
      <c r="N70" s="27" t="s">
        <v>7</v>
      </c>
      <c r="O70" s="27" t="s">
        <v>8</v>
      </c>
      <c r="P70" s="27" t="s">
        <v>7</v>
      </c>
      <c r="S70" s="27" t="s">
        <v>8</v>
      </c>
      <c r="X70" s="27" t="s">
        <v>7</v>
      </c>
      <c r="AA70" s="27" t="s">
        <v>8</v>
      </c>
      <c r="AB70" s="27" t="s">
        <v>7</v>
      </c>
      <c r="BA70" s="27" t="s">
        <v>8</v>
      </c>
      <c r="BB70" s="27" t="s">
        <v>7</v>
      </c>
      <c r="BG70" s="27" t="s">
        <v>8</v>
      </c>
      <c r="BH70" s="27" t="s">
        <v>7</v>
      </c>
      <c r="BI70" s="27" t="s">
        <v>8</v>
      </c>
      <c r="BJ70" s="27" t="s">
        <v>7</v>
      </c>
      <c r="BO70" s="27" t="s">
        <v>8</v>
      </c>
      <c r="BP70" s="27" t="s">
        <v>7</v>
      </c>
      <c r="BY70" s="27" t="s">
        <v>8</v>
      </c>
      <c r="BZ70" s="27" t="s">
        <v>7</v>
      </c>
      <c r="CA70" s="27" t="s">
        <v>8</v>
      </c>
      <c r="CD70" s="27" t="s">
        <v>7</v>
      </c>
      <c r="CE70" s="27" t="s">
        <v>8</v>
      </c>
      <c r="CF70" s="27" t="s">
        <v>7</v>
      </c>
      <c r="CG70" s="27" t="s">
        <v>8</v>
      </c>
      <c r="CX70" s="27" t="s">
        <v>7</v>
      </c>
      <c r="ER70" s="27" t="s">
        <v>7</v>
      </c>
      <c r="ES70" s="27" t="s">
        <v>8</v>
      </c>
      <c r="FH70" s="27" t="s">
        <v>7</v>
      </c>
      <c r="FI70" s="27" t="s">
        <v>8</v>
      </c>
      <c r="FJ70" s="27" t="s">
        <v>7</v>
      </c>
      <c r="FK70" s="27" t="s">
        <v>8</v>
      </c>
      <c r="FV70" s="27" t="s">
        <v>7</v>
      </c>
      <c r="FW70" s="27" t="s">
        <v>8</v>
      </c>
      <c r="FX70" s="27" t="s">
        <v>7</v>
      </c>
      <c r="GZ70" s="27" t="s">
        <v>7</v>
      </c>
      <c r="HA70" s="27" t="s">
        <v>8</v>
      </c>
      <c r="HB70" s="27" t="s">
        <v>7</v>
      </c>
      <c r="HC70" s="27" t="s">
        <v>8</v>
      </c>
      <c r="HD70" s="27" t="s">
        <v>7</v>
      </c>
      <c r="ID70" s="27" t="s">
        <v>7</v>
      </c>
      <c r="IF70" s="27" t="s">
        <v>7</v>
      </c>
      <c r="IM70" s="27" t="s">
        <v>8</v>
      </c>
      <c r="IT70" s="27" t="s">
        <v>7</v>
      </c>
      <c r="JF70" s="27" t="s">
        <v>7</v>
      </c>
    </row>
    <row r="71" spans="1:270" x14ac:dyDescent="0.25">
      <c r="A71" s="7">
        <v>27396.092831803126</v>
      </c>
      <c r="E71"/>
      <c r="M71" s="27" t="s">
        <v>8</v>
      </c>
      <c r="N71" s="27" t="s">
        <v>7</v>
      </c>
      <c r="O71" s="27" t="s">
        <v>8</v>
      </c>
      <c r="P71" s="27" t="s">
        <v>7</v>
      </c>
      <c r="S71" s="27" t="s">
        <v>8</v>
      </c>
      <c r="X71" s="27" t="s">
        <v>7</v>
      </c>
      <c r="AA71" s="27" t="s">
        <v>8</v>
      </c>
      <c r="AB71" s="27" t="s">
        <v>7</v>
      </c>
      <c r="BA71" s="27" t="s">
        <v>8</v>
      </c>
      <c r="BB71" s="27" t="s">
        <v>7</v>
      </c>
      <c r="BG71" s="27" t="s">
        <v>8</v>
      </c>
      <c r="BH71" s="27" t="s">
        <v>7</v>
      </c>
      <c r="BI71" s="27" t="s">
        <v>8</v>
      </c>
      <c r="BJ71" s="27" t="s">
        <v>7</v>
      </c>
      <c r="BO71" s="27" t="s">
        <v>8</v>
      </c>
      <c r="BP71" s="27" t="s">
        <v>7</v>
      </c>
      <c r="BY71" s="27" t="s">
        <v>8</v>
      </c>
      <c r="BZ71" s="27" t="s">
        <v>7</v>
      </c>
      <c r="CA71" s="27" t="s">
        <v>8</v>
      </c>
      <c r="CD71" s="27" t="s">
        <v>7</v>
      </c>
      <c r="CE71" s="27" t="s">
        <v>8</v>
      </c>
      <c r="CF71" s="27" t="s">
        <v>7</v>
      </c>
      <c r="ER71" s="27" t="s">
        <v>7</v>
      </c>
      <c r="ES71" s="27" t="s">
        <v>8</v>
      </c>
      <c r="FH71" s="27" t="s">
        <v>7</v>
      </c>
      <c r="FI71" s="27" t="s">
        <v>8</v>
      </c>
      <c r="FJ71" s="27" t="s">
        <v>7</v>
      </c>
      <c r="FK71" s="27" t="s">
        <v>8</v>
      </c>
      <c r="FV71" s="27" t="s">
        <v>7</v>
      </c>
      <c r="FW71" s="27" t="s">
        <v>8</v>
      </c>
      <c r="GZ71" s="27" t="s">
        <v>7</v>
      </c>
      <c r="HA71" s="27" t="s">
        <v>8</v>
      </c>
      <c r="HB71" s="27" t="s">
        <v>7</v>
      </c>
      <c r="IF71" s="27" t="s">
        <v>7</v>
      </c>
      <c r="IM71" s="27" t="s">
        <v>8</v>
      </c>
      <c r="JF71" s="27" t="s">
        <v>7</v>
      </c>
    </row>
    <row r="72" spans="1:270" x14ac:dyDescent="0.25">
      <c r="A72" s="7">
        <v>26858.914540983456</v>
      </c>
      <c r="E72"/>
      <c r="M72" s="27" t="s">
        <v>8</v>
      </c>
      <c r="N72" s="27" t="s">
        <v>7</v>
      </c>
      <c r="O72" s="27" t="s">
        <v>8</v>
      </c>
      <c r="P72" s="27" t="s">
        <v>7</v>
      </c>
      <c r="S72" s="27" t="s">
        <v>8</v>
      </c>
      <c r="X72" s="27" t="s">
        <v>7</v>
      </c>
      <c r="Y72" s="27" t="s">
        <v>8</v>
      </c>
      <c r="AA72" s="27" t="s">
        <v>8</v>
      </c>
      <c r="AB72" s="27" t="s">
        <v>7</v>
      </c>
      <c r="BA72" s="27" t="s">
        <v>8</v>
      </c>
      <c r="BB72" s="27" t="s">
        <v>7</v>
      </c>
      <c r="BG72" s="27" t="s">
        <v>8</v>
      </c>
      <c r="BH72" s="27" t="s">
        <v>7</v>
      </c>
      <c r="BI72" s="27" t="s">
        <v>8</v>
      </c>
      <c r="BJ72" s="27" t="s">
        <v>7</v>
      </c>
      <c r="BM72" s="27" t="s">
        <v>8</v>
      </c>
      <c r="BO72" s="27" t="s">
        <v>8</v>
      </c>
      <c r="BP72" s="27" t="s">
        <v>7</v>
      </c>
      <c r="BY72" s="27" t="s">
        <v>8</v>
      </c>
      <c r="BZ72" s="27" t="s">
        <v>7</v>
      </c>
      <c r="CA72" s="27" t="s">
        <v>8</v>
      </c>
      <c r="CD72" s="27" t="s">
        <v>7</v>
      </c>
      <c r="CE72" s="27" t="s">
        <v>8</v>
      </c>
      <c r="ER72" s="27" t="s">
        <v>7</v>
      </c>
      <c r="ES72" s="27" t="s">
        <v>8</v>
      </c>
      <c r="FH72" s="27" t="s">
        <v>7</v>
      </c>
      <c r="FI72" s="27" t="s">
        <v>8</v>
      </c>
      <c r="FJ72" s="27" t="s">
        <v>7</v>
      </c>
      <c r="FV72" s="18" t="s">
        <v>7</v>
      </c>
      <c r="FW72" s="27" t="s">
        <v>8</v>
      </c>
      <c r="GZ72" s="27" t="s">
        <v>7</v>
      </c>
      <c r="IF72" s="27" t="s">
        <v>7</v>
      </c>
      <c r="IM72" s="27" t="s">
        <v>8</v>
      </c>
      <c r="JF72" s="27" t="s">
        <v>7</v>
      </c>
    </row>
    <row r="73" spans="1:270" x14ac:dyDescent="0.25">
      <c r="A73" s="7">
        <v>26332.269157826919</v>
      </c>
      <c r="E73"/>
      <c r="M73" s="27" t="s">
        <v>8</v>
      </c>
      <c r="N73" s="27" t="s">
        <v>7</v>
      </c>
      <c r="O73" s="27" t="s">
        <v>8</v>
      </c>
      <c r="P73" s="27" t="s">
        <v>7</v>
      </c>
      <c r="S73" s="27" t="s">
        <v>8</v>
      </c>
      <c r="X73" s="27" t="s">
        <v>7</v>
      </c>
      <c r="Y73" s="27" t="s">
        <v>8</v>
      </c>
      <c r="Z73" s="27" t="s">
        <v>7</v>
      </c>
      <c r="AA73" s="27" t="s">
        <v>8</v>
      </c>
      <c r="AB73" s="27" t="s">
        <v>7</v>
      </c>
      <c r="BA73" s="27" t="s">
        <v>8</v>
      </c>
      <c r="BB73" s="27" t="s">
        <v>7</v>
      </c>
      <c r="BC73" s="27" t="s">
        <v>8</v>
      </c>
      <c r="BG73" s="27" t="s">
        <v>8</v>
      </c>
      <c r="BH73" s="27" t="s">
        <v>7</v>
      </c>
      <c r="BJ73" s="27" t="s">
        <v>7</v>
      </c>
      <c r="BM73" s="27" t="s">
        <v>8</v>
      </c>
      <c r="BN73" s="27" t="s">
        <v>7</v>
      </c>
      <c r="BO73" s="27" t="s">
        <v>8</v>
      </c>
      <c r="BP73" s="27" t="s">
        <v>7</v>
      </c>
      <c r="BW73" s="27" t="s">
        <v>8</v>
      </c>
      <c r="BY73" s="27" t="s">
        <v>8</v>
      </c>
      <c r="BZ73" s="27" t="s">
        <v>7</v>
      </c>
      <c r="CA73" s="27" t="s">
        <v>8</v>
      </c>
      <c r="CD73" s="27" t="s">
        <v>7</v>
      </c>
      <c r="ER73" s="27" t="s">
        <v>7</v>
      </c>
      <c r="ES73" s="27" t="s">
        <v>8</v>
      </c>
      <c r="FH73" s="27" t="s">
        <v>7</v>
      </c>
      <c r="FI73" s="27" t="s">
        <v>8</v>
      </c>
      <c r="FV73" s="27" t="s">
        <v>7</v>
      </c>
      <c r="FW73" s="27" t="s">
        <v>8</v>
      </c>
      <c r="IF73" s="27" t="s">
        <v>7</v>
      </c>
      <c r="IM73" s="27" t="s">
        <v>8</v>
      </c>
      <c r="JF73" s="27" t="s">
        <v>7</v>
      </c>
    </row>
    <row r="74" spans="1:270" x14ac:dyDescent="0.25">
      <c r="A74" s="7">
        <v>25815.950154732272</v>
      </c>
      <c r="E74"/>
      <c r="M74" s="27" t="s">
        <v>8</v>
      </c>
      <c r="N74" s="27" t="s">
        <v>7</v>
      </c>
      <c r="P74" s="27" t="s">
        <v>7</v>
      </c>
      <c r="S74" s="27" t="s">
        <v>8</v>
      </c>
      <c r="X74" s="27" t="s">
        <v>7</v>
      </c>
      <c r="Y74" s="27" t="s">
        <v>8</v>
      </c>
      <c r="Z74" s="27" t="s">
        <v>7</v>
      </c>
      <c r="AA74" s="27" t="s">
        <v>8</v>
      </c>
      <c r="AB74" s="27" t="s">
        <v>7</v>
      </c>
      <c r="BA74" s="27" t="s">
        <v>8</v>
      </c>
      <c r="BB74" s="27" t="s">
        <v>7</v>
      </c>
      <c r="BC74" s="27" t="s">
        <v>8</v>
      </c>
      <c r="BD74" s="27" t="s">
        <v>7</v>
      </c>
      <c r="BG74" s="27" t="s">
        <v>8</v>
      </c>
      <c r="BJ74" s="27" t="s">
        <v>7</v>
      </c>
      <c r="BK74" s="27" t="s">
        <v>8</v>
      </c>
      <c r="BM74" s="27" t="s">
        <v>8</v>
      </c>
      <c r="BN74" s="27" t="s">
        <v>7</v>
      </c>
      <c r="BO74" s="27" t="s">
        <v>8</v>
      </c>
      <c r="BP74" s="27" t="s">
        <v>7</v>
      </c>
      <c r="BW74" s="27" t="s">
        <v>8</v>
      </c>
      <c r="BX74" s="27" t="s">
        <v>7</v>
      </c>
      <c r="BY74" s="27" t="s">
        <v>8</v>
      </c>
      <c r="BZ74" s="27" t="s">
        <v>7</v>
      </c>
      <c r="CA74" s="27" t="s">
        <v>8</v>
      </c>
      <c r="ER74" s="27" t="s">
        <v>7</v>
      </c>
      <c r="ES74" s="27" t="s">
        <v>8</v>
      </c>
      <c r="FH74" s="27" t="s">
        <v>7</v>
      </c>
      <c r="FI74" s="27" t="s">
        <v>8</v>
      </c>
      <c r="FV74" s="27" t="s">
        <v>7</v>
      </c>
      <c r="FW74" s="27" t="s">
        <v>8</v>
      </c>
      <c r="IF74" s="27" t="s">
        <v>7</v>
      </c>
      <c r="IM74" s="27" t="s">
        <v>8</v>
      </c>
      <c r="JF74" s="27" t="s">
        <v>7</v>
      </c>
      <c r="JI74" s="27" t="s">
        <v>8</v>
      </c>
    </row>
    <row r="75" spans="1:270" x14ac:dyDescent="0.25">
      <c r="A75" s="7">
        <v>25309.75505365909</v>
      </c>
      <c r="E75"/>
      <c r="M75" s="27" t="s">
        <v>8</v>
      </c>
      <c r="P75" s="27" t="s">
        <v>7</v>
      </c>
      <c r="Q75" s="27" t="s">
        <v>8</v>
      </c>
      <c r="S75" s="27" t="s">
        <v>8</v>
      </c>
      <c r="X75" s="27" t="s">
        <v>7</v>
      </c>
      <c r="Y75" s="27" t="s">
        <v>8</v>
      </c>
      <c r="Z75" s="27" t="s">
        <v>7</v>
      </c>
      <c r="AA75" s="27" t="s">
        <v>8</v>
      </c>
      <c r="AB75" s="27" t="s">
        <v>7</v>
      </c>
      <c r="BA75" s="27" t="s">
        <v>8</v>
      </c>
      <c r="BB75" s="27" t="s">
        <v>7</v>
      </c>
      <c r="BC75" s="27" t="s">
        <v>8</v>
      </c>
      <c r="BD75" s="27" t="s">
        <v>7</v>
      </c>
      <c r="BE75" s="27" t="s">
        <v>8</v>
      </c>
      <c r="BG75" s="27" t="s">
        <v>8</v>
      </c>
      <c r="BJ75" s="27" t="s">
        <v>7</v>
      </c>
      <c r="BK75" s="27" t="s">
        <v>8</v>
      </c>
      <c r="BL75" s="27" t="s">
        <v>7</v>
      </c>
      <c r="BM75" s="27" t="s">
        <v>8</v>
      </c>
      <c r="BN75" s="27" t="s">
        <v>7</v>
      </c>
      <c r="BO75" s="27" t="s">
        <v>8</v>
      </c>
      <c r="BP75" s="27" t="s">
        <v>7</v>
      </c>
      <c r="BW75" s="27" t="s">
        <v>8</v>
      </c>
      <c r="BX75" s="27" t="s">
        <v>7</v>
      </c>
      <c r="BY75" s="27" t="s">
        <v>8</v>
      </c>
      <c r="BZ75" s="27" t="s">
        <v>7</v>
      </c>
      <c r="ER75" s="27" t="s">
        <v>7</v>
      </c>
      <c r="ES75" s="27" t="s">
        <v>8</v>
      </c>
      <c r="FH75" s="27" t="s">
        <v>7</v>
      </c>
      <c r="FV75" s="27" t="s">
        <v>7</v>
      </c>
      <c r="FW75" s="27" t="s">
        <v>8</v>
      </c>
      <c r="IF75" s="27" t="s">
        <v>7</v>
      </c>
      <c r="IG75" s="27" t="s">
        <v>8</v>
      </c>
      <c r="IM75" s="27" t="s">
        <v>8</v>
      </c>
      <c r="JF75" s="27" t="s">
        <v>7</v>
      </c>
      <c r="JI75" s="27" t="s">
        <v>8</v>
      </c>
      <c r="JJ75" s="27" t="s">
        <v>7</v>
      </c>
    </row>
    <row r="76" spans="1:270" x14ac:dyDescent="0.25">
      <c r="A76" s="7">
        <v>24813.485346724596</v>
      </c>
      <c r="E76"/>
      <c r="M76" s="27" t="s">
        <v>8</v>
      </c>
      <c r="P76" s="27" t="s">
        <v>7</v>
      </c>
      <c r="Q76" s="27" t="s">
        <v>8</v>
      </c>
      <c r="R76" s="27" t="s">
        <v>7</v>
      </c>
      <c r="S76" s="27" t="s">
        <v>8</v>
      </c>
      <c r="X76" s="27" t="s">
        <v>7</v>
      </c>
      <c r="Y76" s="27" t="s">
        <v>8</v>
      </c>
      <c r="Z76" s="27" t="s">
        <v>7</v>
      </c>
      <c r="AA76" s="27" t="s">
        <v>8</v>
      </c>
      <c r="AB76" s="27" t="s">
        <v>7</v>
      </c>
      <c r="BA76" s="27" t="s">
        <v>8</v>
      </c>
      <c r="BB76" s="27" t="s">
        <v>7</v>
      </c>
      <c r="BC76" s="27" t="s">
        <v>8</v>
      </c>
      <c r="BD76" s="27" t="s">
        <v>7</v>
      </c>
      <c r="BE76" s="27" t="s">
        <v>8</v>
      </c>
      <c r="BF76" s="27" t="s">
        <v>7</v>
      </c>
      <c r="BG76" s="27" t="s">
        <v>8</v>
      </c>
      <c r="BJ76" s="27" t="s">
        <v>7</v>
      </c>
      <c r="BK76" s="27" t="s">
        <v>8</v>
      </c>
      <c r="BL76" s="27" t="s">
        <v>7</v>
      </c>
      <c r="BM76" s="27" t="s">
        <v>8</v>
      </c>
      <c r="BN76" s="27" t="s">
        <v>7</v>
      </c>
      <c r="BO76" s="27" t="s">
        <v>8</v>
      </c>
      <c r="BP76" s="27" t="s">
        <v>7</v>
      </c>
      <c r="BQ76" s="27" t="s">
        <v>8</v>
      </c>
      <c r="BS76" s="27" t="s">
        <v>8</v>
      </c>
      <c r="BW76" s="27" t="s">
        <v>8</v>
      </c>
      <c r="BX76" s="27" t="s">
        <v>7</v>
      </c>
      <c r="BY76" s="27" t="s">
        <v>8</v>
      </c>
      <c r="ER76" s="27" t="s">
        <v>7</v>
      </c>
      <c r="ES76" s="27" t="s">
        <v>8</v>
      </c>
      <c r="FV76" s="27" t="s">
        <v>7</v>
      </c>
      <c r="IF76" s="27" t="s">
        <v>7</v>
      </c>
      <c r="IG76" s="27" t="s">
        <v>8</v>
      </c>
      <c r="IH76" s="27" t="s">
        <v>7</v>
      </c>
      <c r="IM76" s="27" t="s">
        <v>8</v>
      </c>
      <c r="JF76" s="27" t="s">
        <v>7</v>
      </c>
      <c r="JG76" s="27" t="s">
        <v>8</v>
      </c>
      <c r="JI76" s="27" t="s">
        <v>8</v>
      </c>
      <c r="JJ76" s="27" t="s">
        <v>7</v>
      </c>
    </row>
    <row r="77" spans="1:270" x14ac:dyDescent="0.25">
      <c r="A77" s="7">
        <v>24326.946418357446</v>
      </c>
      <c r="E77"/>
      <c r="M77" s="27" t="s">
        <v>8</v>
      </c>
      <c r="P77" s="27" t="s">
        <v>7</v>
      </c>
      <c r="Q77" s="27" t="s">
        <v>8</v>
      </c>
      <c r="R77" s="27" t="s">
        <v>7</v>
      </c>
      <c r="S77" s="27" t="s">
        <v>8</v>
      </c>
      <c r="X77" s="27" t="s">
        <v>7</v>
      </c>
      <c r="Y77" s="27" t="s">
        <v>8</v>
      </c>
      <c r="Z77" s="27" t="s">
        <v>7</v>
      </c>
      <c r="AA77" s="27" t="s">
        <v>8</v>
      </c>
      <c r="AB77" s="27" t="s">
        <v>7</v>
      </c>
      <c r="BA77" s="27" t="s">
        <v>8</v>
      </c>
      <c r="BB77" s="27" t="s">
        <v>7</v>
      </c>
      <c r="BC77" s="27" t="s">
        <v>8</v>
      </c>
      <c r="BD77" s="27" t="s">
        <v>7</v>
      </c>
      <c r="BE77" s="27" t="s">
        <v>8</v>
      </c>
      <c r="BF77" s="27" t="s">
        <v>7</v>
      </c>
      <c r="BG77" s="27" t="s">
        <v>8</v>
      </c>
      <c r="BJ77" s="27" t="s">
        <v>7</v>
      </c>
      <c r="BK77" s="27" t="s">
        <v>8</v>
      </c>
      <c r="BL77" s="27" t="s">
        <v>7</v>
      </c>
      <c r="BM77" s="27" t="s">
        <v>8</v>
      </c>
      <c r="BN77" s="27" t="s">
        <v>7</v>
      </c>
      <c r="BP77" s="27" t="s">
        <v>7</v>
      </c>
      <c r="BQ77" s="27" t="s">
        <v>8</v>
      </c>
      <c r="BR77" s="27" t="s">
        <v>7</v>
      </c>
      <c r="BS77" s="27" t="s">
        <v>8</v>
      </c>
      <c r="BT77" s="27" t="s">
        <v>7</v>
      </c>
      <c r="BW77" s="27" t="s">
        <v>8</v>
      </c>
      <c r="BX77" s="27" t="s">
        <v>7</v>
      </c>
      <c r="BY77" s="27" t="s">
        <v>8</v>
      </c>
      <c r="ER77" s="27" t="s">
        <v>7</v>
      </c>
      <c r="IF77" s="27" t="s">
        <v>7</v>
      </c>
      <c r="IG77" s="27" t="s">
        <v>8</v>
      </c>
      <c r="IH77" s="27" t="s">
        <v>7</v>
      </c>
      <c r="II77" s="27" t="s">
        <v>8</v>
      </c>
      <c r="IM77" s="27" t="s">
        <v>8</v>
      </c>
      <c r="JF77" s="27" t="s">
        <v>7</v>
      </c>
      <c r="JG77" s="27" t="s">
        <v>8</v>
      </c>
      <c r="JH77" s="27" t="s">
        <v>7</v>
      </c>
      <c r="JI77" s="27" t="s">
        <v>8</v>
      </c>
      <c r="JJ77" s="27" t="s">
        <v>7</v>
      </c>
    </row>
    <row r="78" spans="1:270" x14ac:dyDescent="0.25">
      <c r="A78" s="7">
        <v>23849.947468977887</v>
      </c>
      <c r="E78"/>
      <c r="M78" s="27" t="s">
        <v>8</v>
      </c>
      <c r="P78" s="27" t="s">
        <v>7</v>
      </c>
      <c r="Q78" s="27" t="s">
        <v>8</v>
      </c>
      <c r="R78" s="27" t="s">
        <v>7</v>
      </c>
      <c r="S78" s="27" t="s">
        <v>8</v>
      </c>
      <c r="X78" s="27" t="s">
        <v>7</v>
      </c>
      <c r="Y78" s="27" t="s">
        <v>8</v>
      </c>
      <c r="Z78" s="27" t="s">
        <v>7</v>
      </c>
      <c r="AA78" s="27" t="s">
        <v>8</v>
      </c>
      <c r="AB78" s="27" t="s">
        <v>7</v>
      </c>
      <c r="BA78" s="27" t="s">
        <v>8</v>
      </c>
      <c r="BB78" s="27" t="s">
        <v>7</v>
      </c>
      <c r="BC78" s="27" t="s">
        <v>8</v>
      </c>
      <c r="BD78" s="27" t="s">
        <v>7</v>
      </c>
      <c r="BE78" s="27" t="s">
        <v>8</v>
      </c>
      <c r="BF78" s="27" t="s">
        <v>7</v>
      </c>
      <c r="BG78" s="27" t="s">
        <v>8</v>
      </c>
      <c r="BJ78" s="27" t="s">
        <v>7</v>
      </c>
      <c r="BL78" s="27" t="s">
        <v>7</v>
      </c>
      <c r="BM78" s="27" t="s">
        <v>8</v>
      </c>
      <c r="BP78" s="27" t="s">
        <v>7</v>
      </c>
      <c r="BQ78" s="27" t="s">
        <v>8</v>
      </c>
      <c r="BR78" s="27" t="s">
        <v>7</v>
      </c>
      <c r="BS78" s="27" t="s">
        <v>8</v>
      </c>
      <c r="BT78" s="27" t="s">
        <v>7</v>
      </c>
      <c r="BW78" s="27" t="s">
        <v>8</v>
      </c>
      <c r="BX78" s="27" t="s">
        <v>7</v>
      </c>
      <c r="BY78" s="27" t="s">
        <v>8</v>
      </c>
      <c r="IF78" s="27" t="s">
        <v>7</v>
      </c>
      <c r="IG78" s="27" t="s">
        <v>8</v>
      </c>
      <c r="IH78" s="27" t="s">
        <v>7</v>
      </c>
      <c r="II78" s="27" t="s">
        <v>8</v>
      </c>
      <c r="IJ78" s="27" t="s">
        <v>7</v>
      </c>
      <c r="IM78" s="27" t="s">
        <v>8</v>
      </c>
      <c r="JF78" s="27" t="s">
        <v>7</v>
      </c>
      <c r="JG78" s="27" t="s">
        <v>8</v>
      </c>
      <c r="JH78" s="27" t="s">
        <v>7</v>
      </c>
      <c r="JI78" s="27" t="s">
        <v>8</v>
      </c>
    </row>
    <row r="79" spans="1:270" x14ac:dyDescent="0.25">
      <c r="A79" s="7">
        <v>23382.3014401744</v>
      </c>
      <c r="C79" s="1" t="s">
        <v>15</v>
      </c>
      <c r="E79"/>
      <c r="M79" s="27" t="s">
        <v>8</v>
      </c>
      <c r="P79" s="27" t="s">
        <v>7</v>
      </c>
      <c r="Q79" s="27" t="s">
        <v>8</v>
      </c>
      <c r="R79" s="27" t="s">
        <v>7</v>
      </c>
      <c r="S79" s="27" t="s">
        <v>8</v>
      </c>
      <c r="X79" s="27" t="s">
        <v>7</v>
      </c>
      <c r="Y79" s="27" t="s">
        <v>8</v>
      </c>
      <c r="Z79" s="27" t="s">
        <v>7</v>
      </c>
      <c r="AA79" s="27" t="s">
        <v>8</v>
      </c>
      <c r="AB79" s="27" t="s">
        <v>7</v>
      </c>
      <c r="BA79" s="27" t="s">
        <v>8</v>
      </c>
      <c r="BB79" s="27" t="s">
        <v>7</v>
      </c>
      <c r="BC79" s="27" t="s">
        <v>8</v>
      </c>
      <c r="BD79" s="27" t="s">
        <v>7</v>
      </c>
      <c r="BE79" s="27" t="s">
        <v>8</v>
      </c>
      <c r="BF79" s="27" t="s">
        <v>7</v>
      </c>
      <c r="BG79" s="27" t="s">
        <v>8</v>
      </c>
      <c r="BL79" s="27" t="s">
        <v>7</v>
      </c>
      <c r="BM79" s="27" t="s">
        <v>8</v>
      </c>
      <c r="BP79" s="27" t="s">
        <v>7</v>
      </c>
      <c r="BQ79" s="27" t="s">
        <v>8</v>
      </c>
      <c r="BR79" s="27" t="s">
        <v>7</v>
      </c>
      <c r="BS79" s="27" t="s">
        <v>8</v>
      </c>
      <c r="BT79" s="27" t="s">
        <v>7</v>
      </c>
      <c r="BU79" s="27" t="s">
        <v>8</v>
      </c>
      <c r="BW79" s="27" t="s">
        <v>8</v>
      </c>
      <c r="BX79" s="27" t="s">
        <v>7</v>
      </c>
      <c r="BY79" s="27" t="s">
        <v>8</v>
      </c>
      <c r="IF79" s="27" t="s">
        <v>7</v>
      </c>
      <c r="IG79" s="27" t="s">
        <v>8</v>
      </c>
      <c r="IH79" s="27" t="s">
        <v>7</v>
      </c>
      <c r="II79" s="27" t="s">
        <v>8</v>
      </c>
      <c r="IJ79" s="27" t="s">
        <v>7</v>
      </c>
      <c r="IM79" s="27" t="s">
        <v>8</v>
      </c>
      <c r="JF79" s="27" t="s">
        <v>7</v>
      </c>
      <c r="JG79" s="27" t="s">
        <v>8</v>
      </c>
      <c r="JH79" s="27" t="s">
        <v>7</v>
      </c>
      <c r="JI79" s="27" t="s">
        <v>8</v>
      </c>
    </row>
    <row r="80" spans="1:270" x14ac:dyDescent="0.25">
      <c r="A80" s="7">
        <v>22923.824941347451</v>
      </c>
      <c r="C80" s="7">
        <v>9.6645076037824032E-2</v>
      </c>
      <c r="D80"/>
      <c r="E80"/>
      <c r="M80" s="27" t="s">
        <v>8</v>
      </c>
      <c r="P80" s="27" t="s">
        <v>7</v>
      </c>
      <c r="Q80" s="27" t="s">
        <v>8</v>
      </c>
      <c r="R80" s="27" t="s">
        <v>7</v>
      </c>
      <c r="S80" s="27" t="s">
        <v>8</v>
      </c>
      <c r="X80" s="27" t="s">
        <v>7</v>
      </c>
      <c r="Y80" s="27" t="s">
        <v>8</v>
      </c>
      <c r="Z80" s="27" t="s">
        <v>7</v>
      </c>
      <c r="AA80" s="27" t="s">
        <v>8</v>
      </c>
      <c r="AB80" s="27" t="s">
        <v>7</v>
      </c>
      <c r="BA80" s="27" t="s">
        <v>8</v>
      </c>
      <c r="BB80" s="27" t="s">
        <v>7</v>
      </c>
      <c r="BC80" s="27" t="s">
        <v>8</v>
      </c>
      <c r="BD80" s="27" t="s">
        <v>7</v>
      </c>
      <c r="BE80" s="27" t="s">
        <v>8</v>
      </c>
      <c r="BF80" s="27" t="s">
        <v>7</v>
      </c>
      <c r="BL80" s="27" t="s">
        <v>7</v>
      </c>
      <c r="BM80" s="27" t="s">
        <v>8</v>
      </c>
      <c r="BP80" s="27" t="s">
        <v>7</v>
      </c>
      <c r="BQ80" s="27" t="s">
        <v>8</v>
      </c>
      <c r="BR80" s="27" t="s">
        <v>7</v>
      </c>
      <c r="BS80" s="27" t="s">
        <v>8</v>
      </c>
      <c r="BT80" s="27" t="s">
        <v>7</v>
      </c>
      <c r="BU80" s="27" t="s">
        <v>8</v>
      </c>
      <c r="BV80" s="27" t="s">
        <v>7</v>
      </c>
      <c r="BW80" s="27" t="s">
        <v>8</v>
      </c>
      <c r="BX80" s="27" t="s">
        <v>7</v>
      </c>
      <c r="BY80" s="27" t="s">
        <v>8</v>
      </c>
      <c r="IF80" s="27" t="s">
        <v>7</v>
      </c>
      <c r="IG80" s="27" t="s">
        <v>8</v>
      </c>
      <c r="IH80" s="27" t="s">
        <v>7</v>
      </c>
      <c r="II80" s="27" t="s">
        <v>8</v>
      </c>
      <c r="IJ80" s="27" t="s">
        <v>7</v>
      </c>
      <c r="IM80" s="27" t="s">
        <v>8</v>
      </c>
      <c r="JF80" s="27" t="s">
        <v>7</v>
      </c>
      <c r="JG80" s="27" t="s">
        <v>8</v>
      </c>
      <c r="JH80" s="27" t="s">
        <v>7</v>
      </c>
      <c r="JI80" s="27" t="s">
        <v>8</v>
      </c>
    </row>
    <row r="81" spans="1:269" x14ac:dyDescent="0.25">
      <c r="A81" s="7">
        <v>22474.338177791618</v>
      </c>
      <c r="E81"/>
      <c r="M81" s="27" t="s">
        <v>8</v>
      </c>
      <c r="P81" s="27" t="s">
        <v>7</v>
      </c>
      <c r="Q81" s="27" t="s">
        <v>8</v>
      </c>
      <c r="R81" s="27" t="s">
        <v>7</v>
      </c>
      <c r="S81" s="27" t="s">
        <v>8</v>
      </c>
      <c r="X81" s="27" t="s">
        <v>7</v>
      </c>
      <c r="Y81" s="27" t="s">
        <v>8</v>
      </c>
      <c r="Z81" s="27" t="s">
        <v>7</v>
      </c>
      <c r="AA81" s="27" t="s">
        <v>8</v>
      </c>
      <c r="AB81" s="27" t="s">
        <v>7</v>
      </c>
      <c r="BA81" s="27" t="s">
        <v>8</v>
      </c>
      <c r="BB81" s="27" t="s">
        <v>7</v>
      </c>
      <c r="BC81" s="27" t="s">
        <v>8</v>
      </c>
      <c r="BD81" s="27" t="s">
        <v>7</v>
      </c>
      <c r="BE81" s="27" t="s">
        <v>8</v>
      </c>
      <c r="BL81" s="27" t="s">
        <v>7</v>
      </c>
      <c r="BP81" s="27" t="s">
        <v>7</v>
      </c>
      <c r="BQ81" s="27" t="s">
        <v>8</v>
      </c>
      <c r="BR81" s="27" t="s">
        <v>7</v>
      </c>
      <c r="BS81" s="27" t="s">
        <v>8</v>
      </c>
      <c r="BT81" s="27" t="s">
        <v>7</v>
      </c>
      <c r="BU81" s="27" t="s">
        <v>8</v>
      </c>
      <c r="BV81" s="27" t="s">
        <v>7</v>
      </c>
      <c r="BW81" s="27" t="s">
        <v>8</v>
      </c>
      <c r="BX81" s="27" t="s">
        <v>7</v>
      </c>
      <c r="IF81" s="27" t="s">
        <v>7</v>
      </c>
      <c r="IG81" s="27" t="s">
        <v>8</v>
      </c>
      <c r="IH81" s="27" t="s">
        <v>7</v>
      </c>
      <c r="II81" s="27" t="s">
        <v>8</v>
      </c>
      <c r="IJ81" s="27" t="s">
        <v>7</v>
      </c>
      <c r="IK81" s="27" t="s">
        <v>8</v>
      </c>
      <c r="IM81" s="27" t="s">
        <v>8</v>
      </c>
      <c r="JF81" s="27" t="s">
        <v>7</v>
      </c>
      <c r="JG81" s="27" t="s">
        <v>8</v>
      </c>
      <c r="JH81" s="27" t="s">
        <v>7</v>
      </c>
      <c r="JI81" s="27" t="s">
        <v>8</v>
      </c>
    </row>
    <row r="82" spans="1:269" x14ac:dyDescent="0.25">
      <c r="A82" s="7">
        <v>22033.664880187862</v>
      </c>
      <c r="C82" s="1" t="s">
        <v>11</v>
      </c>
      <c r="D82" s="1" t="s">
        <v>12</v>
      </c>
      <c r="E82"/>
      <c r="M82" s="27" t="s">
        <v>8</v>
      </c>
      <c r="P82" s="27" t="s">
        <v>7</v>
      </c>
      <c r="Q82" s="27" t="s">
        <v>8</v>
      </c>
      <c r="R82" s="27" t="s">
        <v>7</v>
      </c>
      <c r="S82" s="27" t="s">
        <v>8</v>
      </c>
      <c r="X82" s="27" t="s">
        <v>7</v>
      </c>
      <c r="Z82" s="27" t="s">
        <v>7</v>
      </c>
      <c r="AA82" s="27" t="s">
        <v>8</v>
      </c>
      <c r="AB82" s="27" t="s">
        <v>7</v>
      </c>
      <c r="BA82" s="27" t="s">
        <v>8</v>
      </c>
      <c r="BB82" s="27" t="s">
        <v>7</v>
      </c>
      <c r="BC82" s="27" t="s">
        <v>8</v>
      </c>
      <c r="BD82" s="27" t="s">
        <v>7</v>
      </c>
      <c r="BE82" s="27" t="s">
        <v>8</v>
      </c>
      <c r="BP82" s="27" t="s">
        <v>7</v>
      </c>
      <c r="BQ82" s="27" t="s">
        <v>8</v>
      </c>
      <c r="BR82" s="27" t="s">
        <v>7</v>
      </c>
      <c r="BT82" s="27" t="s">
        <v>7</v>
      </c>
      <c r="BU82" s="27" t="s">
        <v>8</v>
      </c>
      <c r="BV82" s="27" t="s">
        <v>7</v>
      </c>
      <c r="BW82" s="27" t="s">
        <v>8</v>
      </c>
      <c r="IF82" s="27" t="s">
        <v>7</v>
      </c>
      <c r="IG82" s="27" t="s">
        <v>8</v>
      </c>
      <c r="IH82" s="27" t="s">
        <v>7</v>
      </c>
      <c r="IJ82" s="27" t="s">
        <v>7</v>
      </c>
      <c r="IK82" s="27" t="s">
        <v>8</v>
      </c>
      <c r="IL82" s="27" t="s">
        <v>7</v>
      </c>
      <c r="IM82" s="27" t="s">
        <v>8</v>
      </c>
      <c r="JF82" s="27" t="s">
        <v>7</v>
      </c>
      <c r="JG82" s="27" t="s">
        <v>8</v>
      </c>
      <c r="JH82" s="27" t="s">
        <v>7</v>
      </c>
      <c r="JI82" s="27" t="s">
        <v>8</v>
      </c>
    </row>
    <row r="83" spans="1:269" x14ac:dyDescent="0.25">
      <c r="A83" s="7">
        <v>21601.632235478297</v>
      </c>
      <c r="C83">
        <v>0.11</v>
      </c>
      <c r="D83">
        <v>9.5000000000000001E-2</v>
      </c>
      <c r="E83"/>
      <c r="M83" s="27" t="s">
        <v>8</v>
      </c>
      <c r="P83" s="27" t="s">
        <v>7</v>
      </c>
      <c r="Q83" s="27" t="s">
        <v>8</v>
      </c>
      <c r="R83" s="27" t="s">
        <v>7</v>
      </c>
      <c r="S83" s="27" t="s">
        <v>8</v>
      </c>
      <c r="Z83" s="27" t="s">
        <v>7</v>
      </c>
      <c r="AA83" s="27" t="s">
        <v>8</v>
      </c>
      <c r="AB83" s="27" t="s">
        <v>7</v>
      </c>
      <c r="BA83" s="27" t="s">
        <v>8</v>
      </c>
      <c r="BB83" s="27" t="s">
        <v>7</v>
      </c>
      <c r="BD83" s="27" t="s">
        <v>7</v>
      </c>
      <c r="BE83" s="27" t="s">
        <v>8</v>
      </c>
      <c r="BP83" s="27" t="s">
        <v>7</v>
      </c>
      <c r="BQ83" s="27" t="s">
        <v>8</v>
      </c>
      <c r="BT83" s="27" t="s">
        <v>7</v>
      </c>
      <c r="BU83" s="27" t="s">
        <v>8</v>
      </c>
      <c r="BV83" s="27" t="s">
        <v>7</v>
      </c>
      <c r="BW83" s="27" t="s">
        <v>8</v>
      </c>
      <c r="IF83" s="27" t="s">
        <v>7</v>
      </c>
      <c r="IG83" s="27" t="s">
        <v>8</v>
      </c>
      <c r="IJ83" s="27" t="s">
        <v>7</v>
      </c>
      <c r="IK83" s="27" t="s">
        <v>8</v>
      </c>
      <c r="IL83" s="27" t="s">
        <v>7</v>
      </c>
      <c r="IM83" s="27" t="s">
        <v>8</v>
      </c>
      <c r="JF83" s="27" t="s">
        <v>7</v>
      </c>
      <c r="JG83" s="27" t="s">
        <v>8</v>
      </c>
      <c r="JH83" s="27" t="s">
        <v>7</v>
      </c>
    </row>
    <row r="84" spans="1:269" x14ac:dyDescent="0.25">
      <c r="A84" s="7">
        <v>21178.070819096371</v>
      </c>
      <c r="E84"/>
      <c r="M84" s="27" t="s">
        <v>8</v>
      </c>
      <c r="P84" s="27" t="s">
        <v>7</v>
      </c>
      <c r="Q84" s="27" t="s">
        <v>8</v>
      </c>
      <c r="R84" s="27" t="s">
        <v>7</v>
      </c>
      <c r="S84" s="27" t="s">
        <v>8</v>
      </c>
      <c r="Z84" s="27" t="s">
        <v>7</v>
      </c>
      <c r="AA84" s="27" t="s">
        <v>8</v>
      </c>
      <c r="AB84" s="27" t="s">
        <v>7</v>
      </c>
      <c r="BA84" s="27" t="s">
        <v>8</v>
      </c>
      <c r="BD84" s="27" t="s">
        <v>7</v>
      </c>
      <c r="BE84" s="27" t="s">
        <v>8</v>
      </c>
      <c r="BP84" s="27" t="s">
        <v>7</v>
      </c>
      <c r="BQ84" s="27" t="s">
        <v>8</v>
      </c>
      <c r="BT84" s="27" t="s">
        <v>7</v>
      </c>
      <c r="BV84" s="27" t="s">
        <v>7</v>
      </c>
      <c r="BW84" s="27" t="s">
        <v>8</v>
      </c>
      <c r="IF84" s="27" t="s">
        <v>7</v>
      </c>
      <c r="IG84" s="27" t="s">
        <v>8</v>
      </c>
      <c r="IJ84" s="27" t="s">
        <v>7</v>
      </c>
      <c r="IK84" s="27" t="s">
        <v>8</v>
      </c>
      <c r="IL84" s="27" t="s">
        <v>7</v>
      </c>
      <c r="IM84" s="27" t="s">
        <v>8</v>
      </c>
      <c r="JF84" s="27" t="s">
        <v>7</v>
      </c>
      <c r="JG84" s="27" t="s">
        <v>8</v>
      </c>
    </row>
    <row r="85" spans="1:269" x14ac:dyDescent="0.25">
      <c r="A85" s="7">
        <v>20762.814528525854</v>
      </c>
      <c r="C85" s="1" t="s">
        <v>13</v>
      </c>
      <c r="E85"/>
      <c r="M85" s="27" t="s">
        <v>8</v>
      </c>
      <c r="P85" s="27" t="s">
        <v>7</v>
      </c>
      <c r="Q85" s="27" t="s">
        <v>8</v>
      </c>
      <c r="R85" s="27" t="s">
        <v>7</v>
      </c>
      <c r="Z85" s="27" t="s">
        <v>7</v>
      </c>
      <c r="AA85" s="27" t="s">
        <v>8</v>
      </c>
      <c r="AB85" s="27" t="s">
        <v>7</v>
      </c>
      <c r="BA85" s="27" t="s">
        <v>8</v>
      </c>
      <c r="BD85" s="27" t="s">
        <v>7</v>
      </c>
      <c r="BE85" s="27" t="s">
        <v>8</v>
      </c>
      <c r="BP85" s="27" t="s">
        <v>7</v>
      </c>
      <c r="BQ85" s="27" t="s">
        <v>8</v>
      </c>
      <c r="BV85" s="27" t="s">
        <v>7</v>
      </c>
      <c r="IF85" s="27" t="s">
        <v>7</v>
      </c>
      <c r="IG85" s="27" t="s">
        <v>8</v>
      </c>
      <c r="IJ85" s="27" t="s">
        <v>7</v>
      </c>
      <c r="IK85" s="27" t="s">
        <v>8</v>
      </c>
      <c r="IL85" s="27" t="s">
        <v>7</v>
      </c>
      <c r="IM85" s="27" t="s">
        <v>8</v>
      </c>
      <c r="JF85" s="27" t="s">
        <v>7</v>
      </c>
      <c r="JG85" s="27" t="s">
        <v>8</v>
      </c>
    </row>
    <row r="86" spans="1:269" x14ac:dyDescent="0.25">
      <c r="A86" s="7">
        <v>20355.700518162601</v>
      </c>
      <c r="C86" s="1" t="s">
        <v>7</v>
      </c>
      <c r="E86"/>
      <c r="M86" s="27" t="s">
        <v>8</v>
      </c>
      <c r="P86" s="27" t="s">
        <v>7</v>
      </c>
      <c r="Q86" s="27" t="s">
        <v>8</v>
      </c>
      <c r="Z86" s="27" t="s">
        <v>7</v>
      </c>
      <c r="AB86" s="27" t="s">
        <v>7</v>
      </c>
      <c r="AC86" s="27" t="s">
        <v>8</v>
      </c>
      <c r="BA86" s="27" t="s">
        <v>8</v>
      </c>
      <c r="BD86" s="27" t="s">
        <v>7</v>
      </c>
      <c r="BE86" s="27" t="s">
        <v>8</v>
      </c>
      <c r="BP86" s="27" t="s">
        <v>7</v>
      </c>
      <c r="BQ86" s="27" t="s">
        <v>8</v>
      </c>
      <c r="IF86" s="27" t="s">
        <v>7</v>
      </c>
      <c r="IG86" s="27" t="s">
        <v>8</v>
      </c>
      <c r="IJ86" s="27" t="s">
        <v>7</v>
      </c>
      <c r="IK86" s="27" t="s">
        <v>8</v>
      </c>
      <c r="IL86" s="27" t="s">
        <v>7</v>
      </c>
      <c r="IM86" s="27" t="s">
        <v>8</v>
      </c>
      <c r="JF86" s="27" t="s">
        <v>7</v>
      </c>
    </row>
    <row r="87" spans="1:269" x14ac:dyDescent="0.25">
      <c r="A87" s="7">
        <v>19956.56913545353</v>
      </c>
      <c r="E87"/>
      <c r="M87" s="27" t="s">
        <v>8</v>
      </c>
      <c r="P87" s="27" t="s">
        <v>7</v>
      </c>
      <c r="Q87" s="27" t="s">
        <v>8</v>
      </c>
      <c r="AB87" s="27" t="s">
        <v>7</v>
      </c>
      <c r="AC87" s="27" t="s">
        <v>8</v>
      </c>
      <c r="AD87" s="27" t="s">
        <v>7</v>
      </c>
      <c r="BA87" s="27" t="s">
        <v>8</v>
      </c>
      <c r="BD87" s="27" t="s">
        <v>7</v>
      </c>
      <c r="BE87" s="27" t="s">
        <v>8</v>
      </c>
      <c r="BP87" s="27" t="s">
        <v>7</v>
      </c>
      <c r="BQ87" s="27" t="s">
        <v>8</v>
      </c>
      <c r="IF87" s="27" t="s">
        <v>7</v>
      </c>
      <c r="IG87" s="27" t="s">
        <v>8</v>
      </c>
      <c r="IJ87" s="27" t="s">
        <v>7</v>
      </c>
      <c r="IL87" s="27" t="s">
        <v>7</v>
      </c>
      <c r="IM87" s="27" t="s">
        <v>8</v>
      </c>
    </row>
    <row r="88" spans="1:269" x14ac:dyDescent="0.25">
      <c r="A88" s="7">
        <v>19565.263858287773</v>
      </c>
      <c r="C88" s="1" t="s">
        <v>14</v>
      </c>
      <c r="E88"/>
      <c r="M88" s="27" t="s">
        <v>8</v>
      </c>
      <c r="P88" s="27" t="s">
        <v>7</v>
      </c>
      <c r="Q88" s="27" t="s">
        <v>8</v>
      </c>
      <c r="AB88" s="27" t="s">
        <v>7</v>
      </c>
      <c r="AC88" s="27" t="s">
        <v>8</v>
      </c>
      <c r="AD88" s="27" t="s">
        <v>7</v>
      </c>
      <c r="BA88" s="27" t="s">
        <v>8</v>
      </c>
      <c r="BD88" s="27" t="s">
        <v>7</v>
      </c>
      <c r="BE88" s="27" t="s">
        <v>8</v>
      </c>
      <c r="BP88" s="27" t="s">
        <v>7</v>
      </c>
      <c r="BQ88" s="27" t="s">
        <v>8</v>
      </c>
      <c r="IF88" s="27" t="s">
        <v>7</v>
      </c>
      <c r="IG88" s="27" t="s">
        <v>8</v>
      </c>
      <c r="IL88" s="27" t="s">
        <v>7</v>
      </c>
      <c r="IM88" s="27" t="s">
        <v>8</v>
      </c>
    </row>
    <row r="89" spans="1:269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  <c r="M89" s="27" t="s">
        <v>8</v>
      </c>
      <c r="P89" s="27" t="s">
        <v>7</v>
      </c>
      <c r="Q89" s="27" t="s">
        <v>8</v>
      </c>
      <c r="AB89" s="27" t="s">
        <v>7</v>
      </c>
      <c r="AC89" s="27" t="s">
        <v>8</v>
      </c>
      <c r="AD89" s="27" t="s">
        <v>7</v>
      </c>
      <c r="AE89" s="27" t="s">
        <v>8</v>
      </c>
      <c r="AW89" s="27" t="s">
        <v>8</v>
      </c>
      <c r="BA89" s="27" t="s">
        <v>8</v>
      </c>
      <c r="BD89" s="27" t="s">
        <v>7</v>
      </c>
      <c r="BE89" s="27" t="s">
        <v>8</v>
      </c>
      <c r="BP89" s="27" t="s">
        <v>7</v>
      </c>
      <c r="BQ89" s="27" t="s">
        <v>8</v>
      </c>
      <c r="IF89" s="27" t="s">
        <v>7</v>
      </c>
      <c r="IG89" s="27" t="s">
        <v>8</v>
      </c>
      <c r="IL89" s="27" t="s">
        <v>7</v>
      </c>
    </row>
    <row r="90" spans="1:269" x14ac:dyDescent="0.25">
      <c r="A90" s="7">
        <v>18805.520817270062</v>
      </c>
      <c r="E90"/>
      <c r="M90" s="27" t="s">
        <v>8</v>
      </c>
      <c r="P90" s="27" t="s">
        <v>7</v>
      </c>
      <c r="Q90" s="27" t="s">
        <v>8</v>
      </c>
      <c r="AB90" s="27" t="s">
        <v>7</v>
      </c>
      <c r="AC90" s="27" t="s">
        <v>8</v>
      </c>
      <c r="AD90" s="27" t="s">
        <v>7</v>
      </c>
      <c r="AE90" s="27" t="s">
        <v>8</v>
      </c>
      <c r="AF90" s="27" t="s">
        <v>7</v>
      </c>
      <c r="AW90" s="27" t="s">
        <v>8</v>
      </c>
      <c r="AX90" s="27" t="s">
        <v>7</v>
      </c>
      <c r="BA90" s="27" t="s">
        <v>8</v>
      </c>
      <c r="BD90" s="27" t="s">
        <v>7</v>
      </c>
      <c r="BE90" s="27" t="s">
        <v>8</v>
      </c>
      <c r="BP90" s="27" t="s">
        <v>7</v>
      </c>
      <c r="BQ90" s="27" t="s">
        <v>8</v>
      </c>
      <c r="IF90" s="27" t="s">
        <v>7</v>
      </c>
      <c r="IG90" s="27" t="s">
        <v>8</v>
      </c>
    </row>
    <row r="91" spans="1:269" x14ac:dyDescent="0.25">
      <c r="A91" s="7">
        <v>18436.785114970648</v>
      </c>
      <c r="E91"/>
      <c r="M91" s="27" t="s">
        <v>8</v>
      </c>
      <c r="P91" s="27" t="s">
        <v>7</v>
      </c>
      <c r="Q91" s="27" t="s">
        <v>8</v>
      </c>
      <c r="AB91" s="27" t="s">
        <v>7</v>
      </c>
      <c r="AC91" s="27" t="s">
        <v>8</v>
      </c>
      <c r="AD91" s="27" t="s">
        <v>7</v>
      </c>
      <c r="AE91" s="27" t="s">
        <v>8</v>
      </c>
      <c r="AF91" s="27" t="s">
        <v>7</v>
      </c>
      <c r="AW91" s="27" t="s">
        <v>8</v>
      </c>
      <c r="AX91" s="27" t="s">
        <v>7</v>
      </c>
      <c r="AY91" s="27" t="s">
        <v>8</v>
      </c>
      <c r="BA91" s="27" t="s">
        <v>8</v>
      </c>
      <c r="BD91" s="27" t="s">
        <v>7</v>
      </c>
      <c r="BP91" s="27" t="s">
        <v>7</v>
      </c>
      <c r="IF91" s="27" t="s">
        <v>7</v>
      </c>
      <c r="IG91" s="27" t="s">
        <v>8</v>
      </c>
    </row>
    <row r="92" spans="1:269" x14ac:dyDescent="0.25">
      <c r="A92" s="7">
        <v>18075.279524481026</v>
      </c>
      <c r="E92"/>
      <c r="M92" s="27" t="s">
        <v>8</v>
      </c>
      <c r="P92" s="27" t="s">
        <v>7</v>
      </c>
      <c r="AB92" s="27" t="s">
        <v>7</v>
      </c>
      <c r="AC92" s="27" t="s">
        <v>8</v>
      </c>
      <c r="AD92" s="27" t="s">
        <v>7</v>
      </c>
      <c r="AE92" s="27" t="s">
        <v>8</v>
      </c>
      <c r="AF92" s="27" t="s">
        <v>7</v>
      </c>
      <c r="AW92" s="27" t="s">
        <v>8</v>
      </c>
      <c r="AX92" s="27" t="s">
        <v>7</v>
      </c>
      <c r="AY92" s="27" t="s">
        <v>8</v>
      </c>
      <c r="AZ92" s="27" t="s">
        <v>7</v>
      </c>
      <c r="BA92" s="27" t="s">
        <v>8</v>
      </c>
      <c r="IF92" s="27" t="s">
        <v>7</v>
      </c>
      <c r="IG92" s="27" t="s">
        <v>8</v>
      </c>
    </row>
    <row r="93" spans="1:269" x14ac:dyDescent="0.25">
      <c r="A93" s="7">
        <v>17720.862278902965</v>
      </c>
      <c r="E93"/>
      <c r="M93" s="27" t="s">
        <v>8</v>
      </c>
      <c r="AB93" s="27" t="s">
        <v>7</v>
      </c>
      <c r="AC93" s="27" t="s">
        <v>8</v>
      </c>
      <c r="AD93" s="27" t="s">
        <v>7</v>
      </c>
      <c r="AE93" s="27" t="s">
        <v>8</v>
      </c>
      <c r="AF93" s="27" t="s">
        <v>7</v>
      </c>
      <c r="AW93" s="27" t="s">
        <v>8</v>
      </c>
      <c r="AX93" s="27" t="s">
        <v>7</v>
      </c>
      <c r="AY93" s="27" t="s">
        <v>8</v>
      </c>
      <c r="AZ93" s="27" t="s">
        <v>7</v>
      </c>
      <c r="BA93" s="27" t="s">
        <v>8</v>
      </c>
      <c r="IF93" s="27" t="s">
        <v>7</v>
      </c>
    </row>
    <row r="94" spans="1:269" x14ac:dyDescent="0.25">
      <c r="A94" s="7">
        <v>17373.39439108134</v>
      </c>
      <c r="E94"/>
      <c r="M94" s="27" t="s">
        <v>8</v>
      </c>
      <c r="AB94" s="27" t="s">
        <v>7</v>
      </c>
      <c r="AC94" s="27" t="s">
        <v>8</v>
      </c>
      <c r="AD94" s="27" t="s">
        <v>7</v>
      </c>
      <c r="AE94" s="27" t="s">
        <v>8</v>
      </c>
      <c r="AF94" s="27" t="s">
        <v>7</v>
      </c>
      <c r="AG94" s="27" t="s">
        <v>8</v>
      </c>
      <c r="AU94" s="27" t="s">
        <v>8</v>
      </c>
      <c r="AW94" s="27" t="s">
        <v>8</v>
      </c>
      <c r="AX94" s="27" t="s">
        <v>7</v>
      </c>
      <c r="AY94" s="27" t="s">
        <v>8</v>
      </c>
      <c r="AZ94" s="27" t="s">
        <v>7</v>
      </c>
      <c r="BA94" s="27" t="s">
        <v>8</v>
      </c>
    </row>
    <row r="95" spans="1:269" x14ac:dyDescent="0.25">
      <c r="A95" s="7">
        <v>17032.739599099354</v>
      </c>
      <c r="E95"/>
      <c r="M95" s="27" t="s">
        <v>8</v>
      </c>
      <c r="AB95" s="27" t="s">
        <v>7</v>
      </c>
      <c r="AC95" s="27" t="s">
        <v>8</v>
      </c>
      <c r="AD95" s="27" t="s">
        <v>7</v>
      </c>
      <c r="AE95" s="27" t="s">
        <v>8</v>
      </c>
      <c r="AF95" s="27" t="s">
        <v>7</v>
      </c>
      <c r="AG95" s="27" t="s">
        <v>8</v>
      </c>
      <c r="AH95" s="27" t="s">
        <v>7</v>
      </c>
      <c r="AU95" s="27" t="s">
        <v>8</v>
      </c>
      <c r="AV95" s="27" t="s">
        <v>7</v>
      </c>
      <c r="AW95" s="27" t="s">
        <v>8</v>
      </c>
      <c r="AX95" s="27" t="s">
        <v>7</v>
      </c>
      <c r="AY95" s="27" t="s">
        <v>8</v>
      </c>
      <c r="AZ95" s="27" t="s">
        <v>7</v>
      </c>
      <c r="BA95" s="27" t="s">
        <v>8</v>
      </c>
    </row>
    <row r="96" spans="1:269" x14ac:dyDescent="0.25">
      <c r="A96" s="7">
        <v>16698.764312842504</v>
      </c>
      <c r="E96"/>
      <c r="M96" s="27" t="s">
        <v>8</v>
      </c>
      <c r="AB96" s="27" t="s">
        <v>7</v>
      </c>
      <c r="AC96" s="27" t="s">
        <v>8</v>
      </c>
      <c r="AD96" s="27" t="s">
        <v>7</v>
      </c>
      <c r="AE96" s="27" t="s">
        <v>8</v>
      </c>
      <c r="AF96" s="27" t="s">
        <v>7</v>
      </c>
      <c r="AG96" s="27" t="s">
        <v>8</v>
      </c>
      <c r="AH96" s="27" t="s">
        <v>7</v>
      </c>
      <c r="AU96" s="27" t="s">
        <v>8</v>
      </c>
      <c r="AV96" s="27" t="s">
        <v>7</v>
      </c>
      <c r="AW96" s="27" t="s">
        <v>8</v>
      </c>
      <c r="AX96" s="27" t="s">
        <v>7</v>
      </c>
      <c r="AY96" s="27" t="s">
        <v>8</v>
      </c>
      <c r="AZ96" s="27" t="s">
        <v>7</v>
      </c>
      <c r="BA96" s="27" t="s">
        <v>8</v>
      </c>
    </row>
    <row r="97" spans="1:52" x14ac:dyDescent="0.25">
      <c r="A97" s="7">
        <v>16371.337561610297</v>
      </c>
      <c r="E97"/>
      <c r="I97" s="27" t="s">
        <v>8</v>
      </c>
      <c r="M97" s="27" t="s">
        <v>8</v>
      </c>
      <c r="AB97" s="27" t="s">
        <v>7</v>
      </c>
      <c r="AC97" s="27" t="s">
        <v>8</v>
      </c>
      <c r="AD97" s="27" t="s">
        <v>7</v>
      </c>
      <c r="AE97" s="27" t="s">
        <v>8</v>
      </c>
      <c r="AF97" s="27" t="s">
        <v>7</v>
      </c>
      <c r="AG97" s="27" t="s">
        <v>8</v>
      </c>
      <c r="AH97" s="27" t="s">
        <v>7</v>
      </c>
      <c r="AU97" s="27" t="s">
        <v>8</v>
      </c>
      <c r="AV97" s="27" t="s">
        <v>7</v>
      </c>
      <c r="AW97" s="27" t="s">
        <v>8</v>
      </c>
      <c r="AX97" s="27" t="s">
        <v>7</v>
      </c>
      <c r="AY97" s="27" t="s">
        <v>8</v>
      </c>
      <c r="AZ97" s="27" t="s">
        <v>7</v>
      </c>
    </row>
    <row r="98" spans="1:52" x14ac:dyDescent="0.25">
      <c r="A98" s="7">
        <v>16050.330942755192</v>
      </c>
      <c r="E98"/>
      <c r="I98" s="27" t="s">
        <v>8</v>
      </c>
      <c r="J98" s="27" t="s">
        <v>7</v>
      </c>
      <c r="K98" s="27" t="s">
        <v>8</v>
      </c>
      <c r="M98" s="27" t="s">
        <v>8</v>
      </c>
      <c r="AB98" s="27" t="s">
        <v>7</v>
      </c>
      <c r="AD98" s="27" t="s">
        <v>7</v>
      </c>
      <c r="AE98" s="27" t="s">
        <v>8</v>
      </c>
      <c r="AF98" s="27" t="s">
        <v>7</v>
      </c>
      <c r="AG98" s="27" t="s">
        <v>8</v>
      </c>
      <c r="AH98" s="27" t="s">
        <v>7</v>
      </c>
      <c r="AU98" s="27" t="s">
        <v>8</v>
      </c>
      <c r="AV98" s="27" t="s">
        <v>7</v>
      </c>
      <c r="AW98" s="27" t="s">
        <v>8</v>
      </c>
      <c r="AX98" s="27" t="s">
        <v>7</v>
      </c>
      <c r="AY98" s="27" t="s">
        <v>8</v>
      </c>
    </row>
    <row r="99" spans="1:52" x14ac:dyDescent="0.25">
      <c r="A99" s="7">
        <v>15735.61857132862</v>
      </c>
      <c r="E99"/>
      <c r="I99" s="27" t="s">
        <v>8</v>
      </c>
      <c r="J99" s="27" t="s">
        <v>7</v>
      </c>
      <c r="K99" s="27" t="s">
        <v>8</v>
      </c>
      <c r="L99" s="27" t="s">
        <v>7</v>
      </c>
      <c r="M99" s="27" t="s">
        <v>8</v>
      </c>
      <c r="AD99" s="27" t="s">
        <v>7</v>
      </c>
      <c r="AE99" s="27" t="s">
        <v>8</v>
      </c>
      <c r="AF99" s="27" t="s">
        <v>7</v>
      </c>
      <c r="AG99" s="27" t="s">
        <v>8</v>
      </c>
      <c r="AH99" s="27" t="s">
        <v>7</v>
      </c>
      <c r="AI99" s="27" t="s">
        <v>8</v>
      </c>
      <c r="AK99" s="27" t="s">
        <v>8</v>
      </c>
      <c r="AU99" s="27" t="s">
        <v>8</v>
      </c>
      <c r="AV99" s="27" t="s">
        <v>7</v>
      </c>
      <c r="AW99" s="27" t="s">
        <v>8</v>
      </c>
      <c r="AX99" s="27" t="s">
        <v>7</v>
      </c>
      <c r="AY99" s="27" t="s">
        <v>8</v>
      </c>
    </row>
    <row r="100" spans="1:52" x14ac:dyDescent="0.25">
      <c r="A100" s="7">
        <v>15427.077030714332</v>
      </c>
      <c r="E100"/>
      <c r="I100" s="27" t="s">
        <v>8</v>
      </c>
      <c r="J100" s="27" t="s">
        <v>7</v>
      </c>
      <c r="K100" s="27" t="s">
        <v>8</v>
      </c>
      <c r="L100" s="27" t="s">
        <v>7</v>
      </c>
      <c r="M100" s="27" t="s">
        <v>8</v>
      </c>
      <c r="AD100" s="27" t="s">
        <v>7</v>
      </c>
      <c r="AE100" s="27" t="s">
        <v>8</v>
      </c>
      <c r="AF100" s="27" t="s">
        <v>7</v>
      </c>
      <c r="AG100" s="27" t="s">
        <v>8</v>
      </c>
      <c r="AH100" s="27" t="s">
        <v>7</v>
      </c>
      <c r="AI100" s="27" t="s">
        <v>8</v>
      </c>
      <c r="AJ100" s="27" t="s">
        <v>7</v>
      </c>
      <c r="AK100" s="27" t="s">
        <v>8</v>
      </c>
      <c r="AL100" s="27" t="s">
        <v>7</v>
      </c>
      <c r="AO100" s="27" t="s">
        <v>8</v>
      </c>
      <c r="AU100" s="27" t="s">
        <v>8</v>
      </c>
      <c r="AV100" s="27" t="s">
        <v>7</v>
      </c>
      <c r="AW100" s="27" t="s">
        <v>8</v>
      </c>
      <c r="AX100" s="27" t="s">
        <v>7</v>
      </c>
      <c r="AY100" s="27" t="s">
        <v>8</v>
      </c>
    </row>
    <row r="101" spans="1:52" x14ac:dyDescent="0.25">
      <c r="A101" s="7">
        <v>15124.585324229736</v>
      </c>
      <c r="E101"/>
      <c r="I101" s="27" t="s">
        <v>8</v>
      </c>
      <c r="J101" s="27" t="s">
        <v>7</v>
      </c>
      <c r="K101" s="27" t="s">
        <v>8</v>
      </c>
      <c r="L101" s="27" t="s">
        <v>7</v>
      </c>
      <c r="M101" s="27" t="s">
        <v>8</v>
      </c>
      <c r="AD101" s="27" t="s">
        <v>7</v>
      </c>
      <c r="AE101" s="27" t="s">
        <v>8</v>
      </c>
      <c r="AF101" s="27" t="s">
        <v>7</v>
      </c>
      <c r="AH101" s="27" t="s">
        <v>7</v>
      </c>
      <c r="AI101" s="27" t="s">
        <v>8</v>
      </c>
      <c r="AJ101" s="27" t="s">
        <v>7</v>
      </c>
      <c r="AK101" s="27" t="s">
        <v>8</v>
      </c>
      <c r="AL101" s="27" t="s">
        <v>7</v>
      </c>
      <c r="AO101" s="27" t="s">
        <v>8</v>
      </c>
      <c r="AP101" s="27" t="s">
        <v>7</v>
      </c>
      <c r="AU101" s="27" t="s">
        <v>8</v>
      </c>
      <c r="AV101" s="27" t="s">
        <v>7</v>
      </c>
      <c r="AW101" s="27" t="s">
        <v>8</v>
      </c>
      <c r="AX101" s="27" t="s">
        <v>7</v>
      </c>
    </row>
    <row r="102" spans="1:52" x14ac:dyDescent="0.25">
      <c r="A102" s="7">
        <v>14828.024827676212</v>
      </c>
      <c r="E102"/>
      <c r="I102" s="27" t="s">
        <v>8</v>
      </c>
      <c r="J102" s="27" t="s">
        <v>7</v>
      </c>
      <c r="K102" s="27" t="s">
        <v>8</v>
      </c>
      <c r="L102" s="27" t="s">
        <v>7</v>
      </c>
      <c r="M102" s="27" t="s">
        <v>8</v>
      </c>
      <c r="AD102" s="27" t="s">
        <v>7</v>
      </c>
      <c r="AE102" s="27" t="s">
        <v>8</v>
      </c>
      <c r="AH102" s="27" t="s">
        <v>7</v>
      </c>
      <c r="AI102" s="27" t="s">
        <v>8</v>
      </c>
      <c r="AJ102" s="27" t="s">
        <v>7</v>
      </c>
      <c r="AK102" s="27" t="s">
        <v>8</v>
      </c>
      <c r="AL102" s="27" t="s">
        <v>7</v>
      </c>
      <c r="AO102" s="27" t="s">
        <v>8</v>
      </c>
      <c r="AP102" s="27" t="s">
        <v>7</v>
      </c>
      <c r="AU102" s="27" t="s">
        <v>8</v>
      </c>
      <c r="AV102" s="27" t="s">
        <v>7</v>
      </c>
      <c r="AW102" s="27" t="s">
        <v>8</v>
      </c>
    </row>
    <row r="103" spans="1:52" x14ac:dyDescent="0.25">
      <c r="A103" s="7">
        <v>14537.279242819815</v>
      </c>
      <c r="E103"/>
      <c r="I103" s="27" t="s">
        <v>8</v>
      </c>
      <c r="J103" s="27" t="s">
        <v>7</v>
      </c>
      <c r="K103" s="27" t="s">
        <v>8</v>
      </c>
      <c r="L103" s="27" t="s">
        <v>7</v>
      </c>
      <c r="M103" s="27" t="s">
        <v>8</v>
      </c>
      <c r="AD103" s="27" t="s">
        <v>7</v>
      </c>
      <c r="AE103" s="27" t="s">
        <v>8</v>
      </c>
      <c r="AH103" s="27" t="s">
        <v>7</v>
      </c>
      <c r="AI103" s="27" t="s">
        <v>8</v>
      </c>
      <c r="AJ103" s="27" t="s">
        <v>7</v>
      </c>
      <c r="AK103" s="27" t="s">
        <v>8</v>
      </c>
      <c r="AL103" s="27" t="s">
        <v>7</v>
      </c>
      <c r="AM103" s="27" t="s">
        <v>8</v>
      </c>
      <c r="AO103" s="27" t="s">
        <v>8</v>
      </c>
      <c r="AP103" s="27" t="s">
        <v>7</v>
      </c>
      <c r="AU103" s="27" t="s">
        <v>8</v>
      </c>
      <c r="AV103" s="27" t="s">
        <v>7</v>
      </c>
      <c r="AW103" s="27" t="s">
        <v>8</v>
      </c>
    </row>
    <row r="104" spans="1:52" x14ac:dyDescent="0.25">
      <c r="A104" s="7">
        <v>14252.234551784133</v>
      </c>
      <c r="E104"/>
      <c r="I104" s="27" t="s">
        <v>8</v>
      </c>
      <c r="J104" s="27" t="s">
        <v>7</v>
      </c>
      <c r="K104" s="27" t="s">
        <v>8</v>
      </c>
      <c r="L104" s="27" t="s">
        <v>7</v>
      </c>
      <c r="M104" s="27" t="s">
        <v>8</v>
      </c>
      <c r="AD104" s="27" t="s">
        <v>7</v>
      </c>
      <c r="AE104" s="27" t="s">
        <v>8</v>
      </c>
      <c r="AH104" s="27" t="s">
        <v>7</v>
      </c>
      <c r="AI104" s="27" t="s">
        <v>8</v>
      </c>
      <c r="AJ104" s="27" t="s">
        <v>7</v>
      </c>
      <c r="AK104" s="27" t="s">
        <v>8</v>
      </c>
      <c r="AL104" s="27" t="s">
        <v>7</v>
      </c>
      <c r="AM104" s="27" t="s">
        <v>8</v>
      </c>
      <c r="AN104" s="27" t="s">
        <v>7</v>
      </c>
      <c r="AO104" s="27" t="s">
        <v>8</v>
      </c>
      <c r="AP104" s="27" t="s">
        <v>7</v>
      </c>
      <c r="AU104" s="27" t="s">
        <v>8</v>
      </c>
      <c r="AV104" s="27" t="s">
        <v>7</v>
      </c>
      <c r="AW104" s="27" t="s">
        <v>8</v>
      </c>
    </row>
    <row r="105" spans="1:52" x14ac:dyDescent="0.25">
      <c r="A105" s="7">
        <v>13972.778972337384</v>
      </c>
      <c r="E105"/>
      <c r="I105" s="27" t="s">
        <v>8</v>
      </c>
      <c r="J105" s="27" t="s">
        <v>7</v>
      </c>
      <c r="K105" s="27" t="s">
        <v>8</v>
      </c>
      <c r="L105" s="27" t="s">
        <v>7</v>
      </c>
      <c r="AD105" s="27" t="s">
        <v>7</v>
      </c>
      <c r="AE105" s="27" t="s">
        <v>8</v>
      </c>
      <c r="AH105" s="27" t="s">
        <v>7</v>
      </c>
      <c r="AJ105" s="27" t="s">
        <v>7</v>
      </c>
      <c r="AK105" s="27" t="s">
        <v>8</v>
      </c>
      <c r="AL105" s="27" t="s">
        <v>7</v>
      </c>
      <c r="AM105" s="27" t="s">
        <v>8</v>
      </c>
      <c r="AN105" s="27" t="s">
        <v>7</v>
      </c>
      <c r="AO105" s="27" t="s">
        <v>8</v>
      </c>
      <c r="AP105" s="27" t="s">
        <v>7</v>
      </c>
      <c r="AU105" s="27" t="s">
        <v>8</v>
      </c>
      <c r="AV105" s="27" t="s">
        <v>7</v>
      </c>
      <c r="AW105" s="27" t="s">
        <v>8</v>
      </c>
    </row>
    <row r="106" spans="1:52" x14ac:dyDescent="0.25">
      <c r="A106" s="7">
        <v>13698.802914056259</v>
      </c>
      <c r="E106"/>
      <c r="I106" s="27" t="s">
        <v>8</v>
      </c>
      <c r="J106" s="27" t="s">
        <v>7</v>
      </c>
      <c r="K106" s="27" t="s">
        <v>8</v>
      </c>
      <c r="AD106" s="27" t="s">
        <v>7</v>
      </c>
      <c r="AE106" s="27" t="s">
        <v>8</v>
      </c>
      <c r="AJ106" s="27" t="s">
        <v>7</v>
      </c>
      <c r="AK106" s="27" t="s">
        <v>8</v>
      </c>
      <c r="AL106" s="27" t="s">
        <v>7</v>
      </c>
      <c r="AM106" s="27" t="s">
        <v>8</v>
      </c>
      <c r="AN106" s="27" t="s">
        <v>7</v>
      </c>
      <c r="AO106" s="27" t="s">
        <v>8</v>
      </c>
      <c r="AP106" s="27" t="s">
        <v>7</v>
      </c>
      <c r="AU106" s="27" t="s">
        <v>8</v>
      </c>
      <c r="AV106" s="27" t="s">
        <v>7</v>
      </c>
      <c r="AW106" s="27" t="s">
        <v>8</v>
      </c>
    </row>
    <row r="107" spans="1:52" x14ac:dyDescent="0.25">
      <c r="A107" s="7">
        <v>13430.198935349274</v>
      </c>
      <c r="E107"/>
      <c r="I107" s="27" t="s">
        <v>8</v>
      </c>
      <c r="J107" s="27" t="s">
        <v>7</v>
      </c>
      <c r="K107" s="27" t="s">
        <v>8</v>
      </c>
      <c r="AD107" s="27" t="s">
        <v>7</v>
      </c>
      <c r="AE107" s="27" t="s">
        <v>8</v>
      </c>
      <c r="AJ107" s="27" t="s">
        <v>7</v>
      </c>
      <c r="AK107" s="27" t="s">
        <v>8</v>
      </c>
      <c r="AL107" s="27" t="s">
        <v>7</v>
      </c>
      <c r="AM107" s="27" t="s">
        <v>8</v>
      </c>
      <c r="AN107" s="27" t="s">
        <v>7</v>
      </c>
      <c r="AO107" s="27" t="s">
        <v>8</v>
      </c>
      <c r="AP107" s="27" t="s">
        <v>7</v>
      </c>
      <c r="AU107" s="27" t="s">
        <v>8</v>
      </c>
      <c r="AV107" s="27" t="s">
        <v>7</v>
      </c>
    </row>
    <row r="108" spans="1:52" x14ac:dyDescent="0.25">
      <c r="A108" s="7">
        <v>13166.861701322818</v>
      </c>
      <c r="E108"/>
      <c r="I108" s="27" t="s">
        <v>8</v>
      </c>
      <c r="J108" s="27" t="s">
        <v>7</v>
      </c>
      <c r="K108" s="27" t="s">
        <v>8</v>
      </c>
      <c r="AD108" s="27" t="s">
        <v>7</v>
      </c>
      <c r="AE108" s="27" t="s">
        <v>8</v>
      </c>
      <c r="AJ108" s="27" t="s">
        <v>7</v>
      </c>
      <c r="AL108" s="27" t="s">
        <v>7</v>
      </c>
      <c r="AM108" s="27" t="s">
        <v>8</v>
      </c>
      <c r="AN108" s="27" t="s">
        <v>7</v>
      </c>
      <c r="AP108" s="27" t="s">
        <v>7</v>
      </c>
      <c r="AU108" s="27" t="s">
        <v>8</v>
      </c>
    </row>
    <row r="109" spans="1:52" x14ac:dyDescent="0.25">
      <c r="A109" s="7">
        <v>12908.687942473351</v>
      </c>
      <c r="E109"/>
      <c r="I109" s="27" t="s">
        <v>8</v>
      </c>
      <c r="J109" s="27" t="s">
        <v>7</v>
      </c>
      <c r="K109" s="27" t="s">
        <v>8</v>
      </c>
      <c r="AD109" s="27" t="s">
        <v>7</v>
      </c>
      <c r="AE109" s="27" t="s">
        <v>8</v>
      </c>
      <c r="AL109" s="27" t="s">
        <v>7</v>
      </c>
      <c r="AP109" s="27" t="s">
        <v>7</v>
      </c>
      <c r="AU109" s="27" t="s">
        <v>8</v>
      </c>
    </row>
    <row r="110" spans="1:52" x14ac:dyDescent="0.25">
      <c r="A110" s="7">
        <v>12655.57641418956</v>
      </c>
      <c r="E110"/>
      <c r="G110" s="27" t="s">
        <v>8</v>
      </c>
      <c r="I110" s="27" t="s">
        <v>8</v>
      </c>
      <c r="J110" s="27" t="s">
        <v>7</v>
      </c>
      <c r="K110" s="27" t="s">
        <v>8</v>
      </c>
      <c r="AD110" s="27" t="s">
        <v>7</v>
      </c>
      <c r="AE110" s="27" t="s">
        <v>8</v>
      </c>
      <c r="AP110" s="27" t="s">
        <v>7</v>
      </c>
      <c r="AU110" s="27" t="s">
        <v>8</v>
      </c>
    </row>
    <row r="111" spans="1:52" x14ac:dyDescent="0.25">
      <c r="A111" s="7">
        <v>12407.427857048588</v>
      </c>
      <c r="C111" s="1" t="str">
        <f>ADDRESS(C121-1,1,1,1)</f>
        <v>$A$76</v>
      </c>
      <c r="D111" s="1" t="str">
        <f>ADDRESS(C121-1,D121,1,1)</f>
        <v>$JJ$76</v>
      </c>
      <c r="E111"/>
      <c r="G111" s="27" t="s">
        <v>8</v>
      </c>
      <c r="H111" s="27" t="s">
        <v>7</v>
      </c>
      <c r="I111" s="27" t="s">
        <v>8</v>
      </c>
      <c r="J111" s="27" t="s">
        <v>7</v>
      </c>
      <c r="K111" s="27" t="s">
        <v>8</v>
      </c>
      <c r="AD111" s="27" t="s">
        <v>7</v>
      </c>
      <c r="AP111" s="27" t="s">
        <v>7</v>
      </c>
      <c r="AU111" s="27" t="s">
        <v>8</v>
      </c>
    </row>
    <row r="112" spans="1:52" x14ac:dyDescent="0.25">
      <c r="A112" s="7">
        <v>12164.144957890772</v>
      </c>
      <c r="C112" s="1" t="str">
        <f>ADDRESS(C121,1,1,1)</f>
        <v>$A$77</v>
      </c>
      <c r="D112" s="1" t="str">
        <f>ADDRESS(C121,D121-1,1,1)</f>
        <v>$JI$77</v>
      </c>
      <c r="E112"/>
      <c r="G112" s="27" t="s">
        <v>8</v>
      </c>
      <c r="H112" s="27" t="s">
        <v>7</v>
      </c>
      <c r="I112" s="27" t="s">
        <v>8</v>
      </c>
      <c r="J112" s="27" t="s">
        <v>7</v>
      </c>
      <c r="K112" s="27" t="s">
        <v>8</v>
      </c>
      <c r="AP112" s="27" t="s">
        <v>7</v>
      </c>
      <c r="AU112" s="27" t="s">
        <v>8</v>
      </c>
    </row>
    <row r="113" spans="1:47" x14ac:dyDescent="0.25">
      <c r="A113" s="7">
        <v>11925.63231165762</v>
      </c>
      <c r="C113" s="1" t="str">
        <f>ADDRESS(C121+1,1,1,1)</f>
        <v>$A$78</v>
      </c>
      <c r="D113" s="1" t="str">
        <f>ADDRESS(C121-1,D121+1,1,1)</f>
        <v>$JK$76</v>
      </c>
      <c r="G113" s="27" t="s">
        <v>8</v>
      </c>
      <c r="H113" s="27" t="s">
        <v>7</v>
      </c>
      <c r="I113" s="27" t="s">
        <v>8</v>
      </c>
      <c r="J113" s="27" t="s">
        <v>7</v>
      </c>
      <c r="K113" s="27" t="s">
        <v>8</v>
      </c>
      <c r="AP113" s="27" t="s">
        <v>7</v>
      </c>
      <c r="AU113" s="27" t="s">
        <v>8</v>
      </c>
    </row>
    <row r="114" spans="1:47" x14ac:dyDescent="0.25">
      <c r="A114" s="7">
        <v>11691.796383978059</v>
      </c>
      <c r="C114" s="1" t="str">
        <f>ADDRESS(C121,D121,1,1)</f>
        <v>$JJ$77</v>
      </c>
      <c r="D114" s="1" t="str">
        <f>ADDRESS(C121+1,D121+1,1,1)</f>
        <v>$JK$78</v>
      </c>
      <c r="G114" s="27" t="s">
        <v>8</v>
      </c>
      <c r="H114" s="27" t="s">
        <v>7</v>
      </c>
      <c r="I114" s="27" t="s">
        <v>8</v>
      </c>
      <c r="J114" s="27" t="s">
        <v>7</v>
      </c>
      <c r="K114" s="27" t="s">
        <v>8</v>
      </c>
      <c r="AP114" s="27" t="s">
        <v>7</v>
      </c>
      <c r="AU114" s="27" t="s">
        <v>8</v>
      </c>
    </row>
    <row r="115" spans="1:47" x14ac:dyDescent="0.25">
      <c r="A115" s="7">
        <v>11462.545474488292</v>
      </c>
      <c r="C115" s="1" t="str">
        <f>ADDRESS(C121+1,D121,1,1)</f>
        <v>$JJ$78</v>
      </c>
      <c r="G115" s="27" t="s">
        <v>8</v>
      </c>
      <c r="H115" s="27" t="s">
        <v>7</v>
      </c>
      <c r="I115" s="27" t="s">
        <v>8</v>
      </c>
      <c r="J115" s="27" t="s">
        <v>7</v>
      </c>
      <c r="K115" s="27" t="s">
        <v>8</v>
      </c>
      <c r="AP115" s="27" t="s">
        <v>7</v>
      </c>
      <c r="AU115" s="27" t="s">
        <v>8</v>
      </c>
    </row>
    <row r="116" spans="1:47" x14ac:dyDescent="0.25">
      <c r="A116" s="7">
        <v>11237.789680870874</v>
      </c>
      <c r="C116" s="1">
        <f>C117-1</f>
        <v>76</v>
      </c>
      <c r="G116" s="27" t="s">
        <v>8</v>
      </c>
      <c r="H116" s="27" t="s">
        <v>7</v>
      </c>
      <c r="I116" s="27" t="s">
        <v>8</v>
      </c>
      <c r="J116" s="27" t="s">
        <v>7</v>
      </c>
      <c r="AP116" s="27" t="s">
        <v>7</v>
      </c>
      <c r="AQ116" s="27" t="s">
        <v>8</v>
      </c>
      <c r="AU116" s="27" t="s">
        <v>8</v>
      </c>
    </row>
    <row r="117" spans="1:47" x14ac:dyDescent="0.25">
      <c r="A117" s="7">
        <v>11017.440863598895</v>
      </c>
      <c r="C117" s="1">
        <f>C121</f>
        <v>77</v>
      </c>
      <c r="D117" s="1">
        <f>D121</f>
        <v>270</v>
      </c>
      <c r="G117" s="27" t="s">
        <v>8</v>
      </c>
      <c r="H117" s="27" t="s">
        <v>7</v>
      </c>
      <c r="I117" s="27" t="s">
        <v>8</v>
      </c>
      <c r="AP117" s="27" t="s">
        <v>7</v>
      </c>
      <c r="AQ117" s="27" t="s">
        <v>8</v>
      </c>
      <c r="AR117" s="27" t="s">
        <v>7</v>
      </c>
      <c r="AS117" s="27" t="s">
        <v>8</v>
      </c>
      <c r="AU117" s="27" t="s">
        <v>8</v>
      </c>
    </row>
    <row r="118" spans="1:47" x14ac:dyDescent="0.25">
      <c r="A118" s="7">
        <v>10801.412611371465</v>
      </c>
      <c r="C118" s="1">
        <f>C117+1</f>
        <v>78</v>
      </c>
      <c r="D118" s="1">
        <f>D117+1</f>
        <v>271</v>
      </c>
      <c r="G118" s="27" t="s">
        <v>8</v>
      </c>
      <c r="H118" s="27" t="s">
        <v>7</v>
      </c>
      <c r="I118" s="27" t="s">
        <v>8</v>
      </c>
      <c r="AP118" s="27" t="s">
        <v>7</v>
      </c>
      <c r="AQ118" s="27" t="s">
        <v>8</v>
      </c>
      <c r="AR118" s="27" t="s">
        <v>7</v>
      </c>
      <c r="AS118" s="27" t="s">
        <v>8</v>
      </c>
      <c r="AT118" s="27" t="s">
        <v>7</v>
      </c>
      <c r="AU118" s="27" t="s">
        <v>8</v>
      </c>
    </row>
    <row r="119" spans="1:47" x14ac:dyDescent="0.25">
      <c r="A119" s="7">
        <v>10589.620207226926</v>
      </c>
      <c r="G119" s="27" t="s">
        <v>8</v>
      </c>
      <c r="H119" s="27" t="s">
        <v>7</v>
      </c>
      <c r="I119" s="27" t="s">
        <v>8</v>
      </c>
      <c r="AP119" s="27" t="s">
        <v>7</v>
      </c>
      <c r="AQ119" s="27" t="s">
        <v>8</v>
      </c>
      <c r="AR119" s="27" t="s">
        <v>7</v>
      </c>
      <c r="AS119" s="27" t="s">
        <v>8</v>
      </c>
      <c r="AT119" s="27" t="s">
        <v>7</v>
      </c>
      <c r="AU119" s="27" t="s">
        <v>8</v>
      </c>
    </row>
    <row r="120" spans="1:47" x14ac:dyDescent="0.25">
      <c r="A120" s="7">
        <v>10381.980595320516</v>
      </c>
      <c r="C120" s="1" t="s">
        <v>9</v>
      </c>
      <c r="G120" s="27" t="s">
        <v>8</v>
      </c>
      <c r="H120" s="27" t="s">
        <v>7</v>
      </c>
      <c r="I120" s="27" t="s">
        <v>8</v>
      </c>
      <c r="AP120" s="27" t="s">
        <v>7</v>
      </c>
      <c r="AQ120" s="27" t="s">
        <v>8</v>
      </c>
      <c r="AR120" s="27" t="s">
        <v>7</v>
      </c>
      <c r="AS120" s="27" t="s">
        <v>8</v>
      </c>
      <c r="AT120" s="27" t="s">
        <v>7</v>
      </c>
      <c r="AU120" s="27" t="s">
        <v>8</v>
      </c>
    </row>
    <row r="121" spans="1:47" x14ac:dyDescent="0.25">
      <c r="A121" s="7">
        <v>10178.412348353448</v>
      </c>
      <c r="C121" s="18">
        <v>77</v>
      </c>
      <c r="D121" s="19">
        <v>270</v>
      </c>
      <c r="E121" s="19"/>
      <c r="G121" s="27" t="s">
        <v>8</v>
      </c>
      <c r="H121" s="27" t="s">
        <v>7</v>
      </c>
      <c r="I121" s="27" t="s">
        <v>8</v>
      </c>
      <c r="AP121" s="27" t="s">
        <v>7</v>
      </c>
      <c r="AQ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</row>
    <row r="122" spans="1:47" x14ac:dyDescent="0.25">
      <c r="A122" s="7">
        <v>9978.8356356406348</v>
      </c>
      <c r="C122" s="1" t="str">
        <f>INDEX(1:1048576,C117,D117)</f>
        <v>O</v>
      </c>
      <c r="G122" s="27" t="s">
        <v>8</v>
      </c>
      <c r="H122" s="27" t="s">
        <v>7</v>
      </c>
      <c r="I122" s="27" t="s">
        <v>8</v>
      </c>
      <c r="AP122" s="27" t="s">
        <v>7</v>
      </c>
      <c r="AQ122" s="27" t="s">
        <v>8</v>
      </c>
      <c r="AR122" s="27" t="s">
        <v>7</v>
      </c>
      <c r="AT122" s="27" t="s">
        <v>7</v>
      </c>
      <c r="AU122" s="27" t="s">
        <v>8</v>
      </c>
    </row>
    <row r="123" spans="1:47" x14ac:dyDescent="0.25">
      <c r="A123" s="7">
        <v>9783.1721918045441</v>
      </c>
      <c r="C123" s="1" t="str">
        <f>"R"&amp;C121</f>
        <v>R77</v>
      </c>
      <c r="D123" s="1" t="str">
        <f>"C"&amp;D121</f>
        <v>C270</v>
      </c>
      <c r="G123" s="27" t="s">
        <v>8</v>
      </c>
      <c r="H123" s="27" t="s">
        <v>7</v>
      </c>
      <c r="AP123" s="27" t="s">
        <v>7</v>
      </c>
      <c r="AT123" s="27" t="s">
        <v>7</v>
      </c>
      <c r="AU123" s="27" t="s">
        <v>8</v>
      </c>
    </row>
    <row r="124" spans="1:47" x14ac:dyDescent="0.25">
      <c r="A124" s="7">
        <v>9591.3452860828857</v>
      </c>
      <c r="C124" s="1">
        <f>SUM(C130:D130)</f>
        <v>0</v>
      </c>
      <c r="D124" s="1">
        <f>IF(C124=0,0,1)</f>
        <v>0</v>
      </c>
      <c r="G124" s="27" t="s">
        <v>8</v>
      </c>
      <c r="AT124" s="27" t="s">
        <v>7</v>
      </c>
      <c r="AU124" s="27" t="s">
        <v>8</v>
      </c>
    </row>
    <row r="125" spans="1:47" x14ac:dyDescent="0.25">
      <c r="A125" s="7">
        <v>9403.2796922381222</v>
      </c>
      <c r="G125" s="27" t="s">
        <v>8</v>
      </c>
      <c r="AT125" s="27" t="s">
        <v>7</v>
      </c>
      <c r="AU125" s="27" t="s">
        <v>8</v>
      </c>
    </row>
    <row r="126" spans="1:47" x14ac:dyDescent="0.25">
      <c r="A126" s="7">
        <v>9218.9016590569827</v>
      </c>
      <c r="C126" s="1" t="s">
        <v>10</v>
      </c>
      <c r="G126" s="27" t="s">
        <v>8</v>
      </c>
      <c r="AT126" s="27" t="s">
        <v>7</v>
      </c>
      <c r="AU126" s="27" t="s">
        <v>8</v>
      </c>
    </row>
    <row r="127" spans="1:47" x14ac:dyDescent="0.25">
      <c r="A127" s="7">
        <v>9038.1388814284146</v>
      </c>
      <c r="C127" s="7">
        <v>24326.946418357446</v>
      </c>
      <c r="D127"/>
      <c r="G127" s="27" t="s">
        <v>8</v>
      </c>
      <c r="AT127" s="27" t="s">
        <v>7</v>
      </c>
      <c r="AU127" s="27" t="s">
        <v>8</v>
      </c>
    </row>
    <row r="128" spans="1:47" x14ac:dyDescent="0.25">
      <c r="A128" s="7">
        <v>8860.920471988642</v>
      </c>
      <c r="G128" s="27" t="s">
        <v>8</v>
      </c>
      <c r="AT128" s="27" t="s">
        <v>7</v>
      </c>
      <c r="AU128" s="27" t="s">
        <v>8</v>
      </c>
    </row>
    <row r="129" spans="1:47" x14ac:dyDescent="0.25">
      <c r="A129" s="7">
        <v>8687.1769333221982</v>
      </c>
      <c r="C129" s="1" t="s">
        <v>11</v>
      </c>
      <c r="D129" s="1" t="s">
        <v>12</v>
      </c>
      <c r="E129"/>
      <c r="G129" s="27" t="s">
        <v>8</v>
      </c>
      <c r="AT129" s="27" t="s">
        <v>7</v>
      </c>
      <c r="AU129" s="27" t="s">
        <v>8</v>
      </c>
    </row>
    <row r="130" spans="1:47" x14ac:dyDescent="0.25">
      <c r="A130" s="7">
        <v>8516.8401307080367</v>
      </c>
      <c r="C130" s="6"/>
      <c r="D130" s="6"/>
      <c r="E130"/>
      <c r="G130" s="27" t="s">
        <v>8</v>
      </c>
      <c r="AT130" s="27" t="s">
        <v>7</v>
      </c>
      <c r="AU130" s="27" t="s">
        <v>8</v>
      </c>
    </row>
    <row r="131" spans="1:47" x14ac:dyDescent="0.25">
      <c r="A131" s="7">
        <v>8349.8432654000353</v>
      </c>
      <c r="E131"/>
      <c r="G131" s="27" t="s">
        <v>8</v>
      </c>
      <c r="AT131" s="27" t="s">
        <v>7</v>
      </c>
      <c r="AU131" s="27" t="s">
        <v>8</v>
      </c>
    </row>
    <row r="132" spans="1:47" x14ac:dyDescent="0.25">
      <c r="A132" s="7">
        <v>8186.1208484314075</v>
      </c>
      <c r="C132" s="1" t="s">
        <v>13</v>
      </c>
      <c r="E132"/>
      <c r="G132" s="27" t="s">
        <v>8</v>
      </c>
      <c r="AT132" s="27" t="s">
        <v>7</v>
      </c>
      <c r="AU132" s="27" t="s">
        <v>8</v>
      </c>
    </row>
    <row r="133" spans="1:47" x14ac:dyDescent="0.25">
      <c r="A133" s="7">
        <v>8025.6086749327524</v>
      </c>
      <c r="C133" s="1" t="str">
        <f>C122</f>
        <v>O</v>
      </c>
      <c r="E133"/>
      <c r="G133" s="27" t="s">
        <v>8</v>
      </c>
      <c r="AT133" s="27" t="s">
        <v>7</v>
      </c>
      <c r="AU133" s="27" t="s">
        <v>8</v>
      </c>
    </row>
    <row r="134" spans="1:47" x14ac:dyDescent="0.25">
      <c r="A134" s="7">
        <v>7868.2437989536784</v>
      </c>
      <c r="E134"/>
      <c r="G134" s="27" t="s">
        <v>8</v>
      </c>
      <c r="AT134" s="27" t="s">
        <v>7</v>
      </c>
      <c r="AU134" s="27" t="s">
        <v>8</v>
      </c>
    </row>
    <row r="135" spans="1:47" x14ac:dyDescent="0.25">
      <c r="A135" s="7">
        <v>7713.9645087781155</v>
      </c>
      <c r="C135" s="1" t="s">
        <v>14</v>
      </c>
      <c r="E135"/>
      <c r="G135" s="27" t="s">
        <v>8</v>
      </c>
      <c r="AT135" s="27" t="s">
        <v>7</v>
      </c>
      <c r="AU135" s="27" t="s">
        <v>8</v>
      </c>
    </row>
    <row r="136" spans="1:47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  <c r="G136" s="27" t="s">
        <v>8</v>
      </c>
      <c r="AT136" s="27" t="s">
        <v>7</v>
      </c>
    </row>
    <row r="137" spans="1:47" x14ac:dyDescent="0.25">
      <c r="A137" s="7">
        <v>7414.4218654153356</v>
      </c>
      <c r="E137"/>
      <c r="G137" s="27" t="s">
        <v>8</v>
      </c>
    </row>
    <row r="138" spans="1:47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  <c r="G138" s="27" t="s">
        <v>8</v>
      </c>
    </row>
    <row r="139" spans="1:47" x14ac:dyDescent="0.25">
      <c r="A139" s="7">
        <v>7126.5108279655287</v>
      </c>
      <c r="E139"/>
      <c r="G139" s="27" t="s">
        <v>8</v>
      </c>
    </row>
    <row r="140" spans="1:47" x14ac:dyDescent="0.25">
      <c r="A140" s="7">
        <v>6986.7753215348321</v>
      </c>
      <c r="C140" s="1">
        <v>0</v>
      </c>
      <c r="E140"/>
      <c r="G140" s="27" t="s">
        <v>8</v>
      </c>
    </row>
    <row r="141" spans="1:47" x14ac:dyDescent="0.25">
      <c r="A141" s="7">
        <v>6849.7797269949333</v>
      </c>
      <c r="C141" s="1">
        <v>1</v>
      </c>
      <c r="E141"/>
      <c r="G141" s="27" t="s">
        <v>8</v>
      </c>
    </row>
    <row r="142" spans="1:47" x14ac:dyDescent="0.25">
      <c r="A142" s="7">
        <v>6715.4703205832675</v>
      </c>
      <c r="C142" s="1">
        <v>2</v>
      </c>
      <c r="E142" t="s">
        <v>8</v>
      </c>
      <c r="G142" s="27" t="s">
        <v>8</v>
      </c>
    </row>
    <row r="143" spans="1:47" x14ac:dyDescent="0.25">
      <c r="A143" s="7">
        <v>6583.7944319443795</v>
      </c>
      <c r="C143" s="1">
        <v>3</v>
      </c>
      <c r="E143" t="s">
        <v>8</v>
      </c>
      <c r="F143" s="27" t="s">
        <v>7</v>
      </c>
      <c r="G143" s="27" t="s">
        <v>8</v>
      </c>
    </row>
    <row r="144" spans="1:47" x14ac:dyDescent="0.25">
      <c r="A144" s="7">
        <v>6454.700423474882</v>
      </c>
      <c r="C144" s="1">
        <v>4</v>
      </c>
      <c r="E144" t="s">
        <v>8</v>
      </c>
      <c r="F144" s="27" t="s">
        <v>7</v>
      </c>
      <c r="G144" s="27" t="s">
        <v>8</v>
      </c>
    </row>
    <row r="145" spans="1:7" x14ac:dyDescent="0.25">
      <c r="A145" s="7">
        <v>6328.1376700734136</v>
      </c>
      <c r="E145" t="s">
        <v>8</v>
      </c>
      <c r="F145" s="27" t="s">
        <v>7</v>
      </c>
      <c r="G145" s="27" t="s">
        <v>8</v>
      </c>
    </row>
    <row r="146" spans="1:7" x14ac:dyDescent="0.25">
      <c r="A146" s="7">
        <v>6204.0565392876606</v>
      </c>
      <c r="E146" t="s">
        <v>8</v>
      </c>
      <c r="F146" s="27" t="s">
        <v>7</v>
      </c>
      <c r="G146" s="27" t="s">
        <v>8</v>
      </c>
    </row>
    <row r="147" spans="1:7" x14ac:dyDescent="0.25">
      <c r="A147" s="7">
        <v>6082.4083718506472</v>
      </c>
      <c r="E147" t="s">
        <v>8</v>
      </c>
      <c r="F147" s="27" t="s">
        <v>7</v>
      </c>
      <c r="G147" s="27" t="s">
        <v>8</v>
      </c>
    </row>
    <row r="148" spans="1:7" x14ac:dyDescent="0.25">
      <c r="A148" s="7">
        <v>5963.1454625986735</v>
      </c>
      <c r="E148" t="s">
        <v>8</v>
      </c>
      <c r="F148" s="27" t="s">
        <v>7</v>
      </c>
      <c r="G148" s="27" t="s">
        <v>8</v>
      </c>
    </row>
    <row r="149" spans="1:7" x14ac:dyDescent="0.25">
      <c r="A149" s="7">
        <v>5846.2210417634051</v>
      </c>
      <c r="E149" t="s">
        <v>8</v>
      </c>
      <c r="F149" s="27" t="s">
        <v>7</v>
      </c>
      <c r="G149" s="27" t="s">
        <v>8</v>
      </c>
    </row>
    <row r="150" spans="1:7" x14ac:dyDescent="0.25">
      <c r="A150" s="7">
        <v>5731.5892566307894</v>
      </c>
      <c r="E150" t="s">
        <v>8</v>
      </c>
      <c r="F150" s="27" t="s">
        <v>7</v>
      </c>
      <c r="G150" s="27" t="s">
        <v>8</v>
      </c>
    </row>
    <row r="151" spans="1:7" x14ac:dyDescent="0.25">
      <c r="A151" s="7">
        <v>5619.2051535595974</v>
      </c>
      <c r="E151" t="s">
        <v>8</v>
      </c>
      <c r="F151" s="27" t="s">
        <v>7</v>
      </c>
      <c r="G151" s="27" t="s">
        <v>8</v>
      </c>
    </row>
    <row r="152" spans="1:7" x14ac:dyDescent="0.25">
      <c r="A152" s="7">
        <v>5509.0246603525466</v>
      </c>
      <c r="E152" t="s">
        <v>8</v>
      </c>
      <c r="F152" s="27" t="s">
        <v>7</v>
      </c>
      <c r="G152" s="27" t="s">
        <v>8</v>
      </c>
    </row>
    <row r="153" spans="1:7" x14ac:dyDescent="0.25">
      <c r="A153" s="7">
        <v>5401.004568973085</v>
      </c>
      <c r="E153" t="s">
        <v>8</v>
      </c>
      <c r="F153" s="27" t="s">
        <v>7</v>
      </c>
      <c r="G153" s="27" t="s">
        <v>8</v>
      </c>
    </row>
    <row r="154" spans="1:7" x14ac:dyDescent="0.25">
      <c r="A154" s="7">
        <v>5295.1025186010638</v>
      </c>
      <c r="C154" s="1" t="s">
        <v>15</v>
      </c>
      <c r="E154" t="s">
        <v>8</v>
      </c>
      <c r="F154" s="27" t="s">
        <v>7</v>
      </c>
      <c r="G154" s="27" t="s">
        <v>8</v>
      </c>
    </row>
    <row r="155" spans="1:7" x14ac:dyDescent="0.25">
      <c r="A155" s="7">
        <v>5191.2769790206503</v>
      </c>
      <c r="C155" s="7">
        <v>3.2521478785124451E-2</v>
      </c>
      <c r="D155"/>
      <c r="E155" t="s">
        <v>8</v>
      </c>
      <c r="F155" s="27" t="s">
        <v>7</v>
      </c>
      <c r="G155" s="27" t="s">
        <v>8</v>
      </c>
    </row>
    <row r="156" spans="1:7" x14ac:dyDescent="0.25">
      <c r="A156" s="7">
        <v>5089.4872343339712</v>
      </c>
      <c r="E156" t="s">
        <v>8</v>
      </c>
      <c r="F156" s="27" t="s">
        <v>7</v>
      </c>
      <c r="G156" s="27" t="s">
        <v>8</v>
      </c>
    </row>
    <row r="157" spans="1:7" x14ac:dyDescent="0.25">
      <c r="A157" s="7">
        <v>4989.693366994089</v>
      </c>
      <c r="C157" s="1" t="s">
        <v>11</v>
      </c>
      <c r="D157" s="1" t="s">
        <v>12</v>
      </c>
      <c r="E157" t="s">
        <v>8</v>
      </c>
      <c r="F157" s="27" t="s">
        <v>7</v>
      </c>
      <c r="G157" s="27" t="s">
        <v>8</v>
      </c>
    </row>
    <row r="158" spans="1:7" x14ac:dyDescent="0.25">
      <c r="A158" s="7">
        <v>4891.8562421510678</v>
      </c>
      <c r="C158">
        <v>3.6999999999999998E-2</v>
      </c>
      <c r="D158">
        <v>3.3000000000000002E-2</v>
      </c>
      <c r="E158" t="s">
        <v>8</v>
      </c>
      <c r="F158" s="27" t="s">
        <v>7</v>
      </c>
      <c r="G158" s="27" t="s">
        <v>8</v>
      </c>
    </row>
    <row r="159" spans="1:7" x14ac:dyDescent="0.25">
      <c r="A159" s="7">
        <v>4795.9374923049681</v>
      </c>
      <c r="E159" t="s">
        <v>8</v>
      </c>
      <c r="F159" s="27" t="s">
        <v>7</v>
      </c>
      <c r="G159" s="27" t="s">
        <v>8</v>
      </c>
    </row>
    <row r="160" spans="1:7" x14ac:dyDescent="0.25">
      <c r="A160" s="7">
        <v>4701.8995022597728</v>
      </c>
      <c r="C160" s="1" t="s">
        <v>13</v>
      </c>
      <c r="E160" t="s">
        <v>8</v>
      </c>
      <c r="F160" s="27" t="s">
        <v>7</v>
      </c>
      <c r="G160" s="27" t="s">
        <v>8</v>
      </c>
    </row>
    <row r="161" spans="1:7" x14ac:dyDescent="0.25">
      <c r="A161" s="7">
        <v>4609.7053943723258</v>
      </c>
      <c r="C161" s="1" t="s">
        <v>8</v>
      </c>
      <c r="E161" t="s">
        <v>8</v>
      </c>
      <c r="F161" s="27" t="s">
        <v>7</v>
      </c>
      <c r="G161" s="27" t="s">
        <v>8</v>
      </c>
    </row>
    <row r="162" spans="1:7" x14ac:dyDescent="0.25">
      <c r="A162" s="7">
        <v>4519.3190140905153</v>
      </c>
      <c r="E162" t="s">
        <v>8</v>
      </c>
      <c r="F162" s="27" t="s">
        <v>7</v>
      </c>
      <c r="G162" s="27" t="s">
        <v>8</v>
      </c>
    </row>
    <row r="163" spans="1:7" x14ac:dyDescent="0.25">
      <c r="A163" s="7">
        <v>4430.7049157750153</v>
      </c>
      <c r="C163" s="1" t="s">
        <v>14</v>
      </c>
      <c r="E163" t="s">
        <v>8</v>
      </c>
      <c r="F163" s="27" t="s">
        <v>7</v>
      </c>
      <c r="G163" s="27" t="s">
        <v>8</v>
      </c>
    </row>
    <row r="164" spans="1:7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 t="s">
        <v>8</v>
      </c>
      <c r="F164" s="27" t="s">
        <v>7</v>
      </c>
      <c r="G164" s="27" t="s">
        <v>8</v>
      </c>
    </row>
    <row r="165" spans="1:7" x14ac:dyDescent="0.25">
      <c r="A165" s="7">
        <v>4258.6552439206225</v>
      </c>
      <c r="E165" t="s">
        <v>8</v>
      </c>
      <c r="F165" s="27" t="s">
        <v>7</v>
      </c>
      <c r="G165" s="27" t="s">
        <v>8</v>
      </c>
    </row>
    <row r="166" spans="1:7" x14ac:dyDescent="0.25">
      <c r="A166" s="7">
        <v>4175.1521999221786</v>
      </c>
      <c r="E166" t="s">
        <v>8</v>
      </c>
      <c r="F166" s="27" t="s">
        <v>7</v>
      </c>
      <c r="G166" s="27" t="s">
        <v>8</v>
      </c>
    </row>
    <row r="167" spans="1:7" x14ac:dyDescent="0.25">
      <c r="A167" s="7">
        <v>4093.2864705119396</v>
      </c>
      <c r="E167" t="s">
        <v>8</v>
      </c>
      <c r="F167" s="27" t="s">
        <v>7</v>
      </c>
      <c r="G167" s="27" t="s">
        <v>8</v>
      </c>
    </row>
    <row r="168" spans="1:7" x14ac:dyDescent="0.25">
      <c r="A168" s="7">
        <v>4013.0259514822937</v>
      </c>
      <c r="E168" t="s">
        <v>8</v>
      </c>
      <c r="F168" s="27" t="s">
        <v>7</v>
      </c>
      <c r="G168" s="27" t="s">
        <v>8</v>
      </c>
    </row>
    <row r="169" spans="1:7" x14ac:dyDescent="0.25">
      <c r="A169" s="7">
        <v>3934.3391681198959</v>
      </c>
      <c r="E169" t="s">
        <v>8</v>
      </c>
      <c r="F169" s="27" t="s">
        <v>7</v>
      </c>
      <c r="G169" s="27" t="s">
        <v>8</v>
      </c>
    </row>
    <row r="170" spans="1:7" x14ac:dyDescent="0.25">
      <c r="A170" s="7">
        <v>3857.1952628626432</v>
      </c>
      <c r="E170" t="s">
        <v>8</v>
      </c>
      <c r="F170" s="27" t="s">
        <v>7</v>
      </c>
      <c r="G170" s="27" t="s">
        <v>8</v>
      </c>
    </row>
    <row r="171" spans="1:7" x14ac:dyDescent="0.25">
      <c r="A171" s="7">
        <v>3781.5639831986696</v>
      </c>
      <c r="E171" t="s">
        <v>8</v>
      </c>
      <c r="F171" s="27" t="s">
        <v>7</v>
      </c>
      <c r="G171" s="27" t="s">
        <v>8</v>
      </c>
    </row>
    <row r="172" spans="1:7" x14ac:dyDescent="0.25">
      <c r="A172" s="7">
        <v>3707.4156698026172</v>
      </c>
      <c r="E172" t="s">
        <v>8</v>
      </c>
      <c r="F172" s="27" t="s">
        <v>7</v>
      </c>
      <c r="G172" s="27" t="s">
        <v>8</v>
      </c>
    </row>
    <row r="173" spans="1:7" x14ac:dyDescent="0.25">
      <c r="A173" s="7">
        <v>3634.7212449045264</v>
      </c>
      <c r="E173" t="s">
        <v>8</v>
      </c>
      <c r="F173" s="27" t="s">
        <v>7</v>
      </c>
      <c r="G173" s="27" t="s">
        <v>8</v>
      </c>
    </row>
    <row r="174" spans="1:7" x14ac:dyDescent="0.25">
      <c r="A174" s="7">
        <v>3563.4522008867907</v>
      </c>
      <c r="E174" t="s">
        <v>8</v>
      </c>
      <c r="F174" s="27" t="s">
        <v>7</v>
      </c>
      <c r="G174" s="27" t="s">
        <v>8</v>
      </c>
    </row>
    <row r="175" spans="1:7" x14ac:dyDescent="0.25">
      <c r="A175" s="7">
        <v>3493.5805891046966</v>
      </c>
      <c r="E175" t="s">
        <v>8</v>
      </c>
      <c r="F175" s="27" t="s">
        <v>7</v>
      </c>
      <c r="G175" s="27" t="s">
        <v>8</v>
      </c>
    </row>
    <row r="176" spans="1:7" x14ac:dyDescent="0.25">
      <c r="A176" s="7">
        <v>3425.0790089261732</v>
      </c>
      <c r="E176" t="s">
        <v>8</v>
      </c>
      <c r="F176" s="27" t="s">
        <v>7</v>
      </c>
      <c r="G176" s="27" t="s">
        <v>8</v>
      </c>
    </row>
    <row r="177" spans="1:7" x14ac:dyDescent="0.25">
      <c r="A177" s="7">
        <v>3357.9205969864443</v>
      </c>
      <c r="B177"/>
      <c r="C177"/>
      <c r="D177"/>
      <c r="E177" t="s">
        <v>8</v>
      </c>
      <c r="F177" s="27" t="s">
        <v>7</v>
      </c>
      <c r="G177" s="27" t="s">
        <v>8</v>
      </c>
    </row>
    <row r="178" spans="1:7" x14ac:dyDescent="0.25">
      <c r="A178" s="7">
        <v>3292.0790166533766</v>
      </c>
      <c r="B178"/>
      <c r="C178"/>
      <c r="D178"/>
      <c r="E178" t="s">
        <v>8</v>
      </c>
      <c r="F178" s="27" t="s">
        <v>7</v>
      </c>
      <c r="G178" s="27" t="s">
        <v>8</v>
      </c>
    </row>
    <row r="179" spans="1:7" x14ac:dyDescent="0.25">
      <c r="A179" s="7">
        <v>3227.5284476993888</v>
      </c>
      <c r="B179"/>
      <c r="C179"/>
      <c r="D179"/>
      <c r="E179" t="s">
        <v>8</v>
      </c>
      <c r="F179" s="27" t="s">
        <v>7</v>
      </c>
      <c r="G179" s="27" t="s">
        <v>8</v>
      </c>
    </row>
    <row r="180" spans="1:7" x14ac:dyDescent="0.25">
      <c r="A180" s="7">
        <v>3164.2435761758716</v>
      </c>
      <c r="B180"/>
      <c r="C180"/>
      <c r="D180"/>
      <c r="E180" t="s">
        <v>8</v>
      </c>
      <c r="F180" s="27" t="s">
        <v>7</v>
      </c>
      <c r="G180" s="27" t="s">
        <v>8</v>
      </c>
    </row>
    <row r="181" spans="1:7" x14ac:dyDescent="0.25">
      <c r="A181" s="7">
        <v>3102.1995844861485</v>
      </c>
      <c r="B181"/>
      <c r="C181"/>
      <c r="D181"/>
      <c r="E181" t="s">
        <v>8</v>
      </c>
      <c r="F181" s="27" t="s">
        <v>7</v>
      </c>
      <c r="G181" s="27" t="s">
        <v>8</v>
      </c>
    </row>
    <row r="182" spans="1:7" x14ac:dyDescent="0.25">
      <c r="A182" s="7">
        <v>3041.3721416530866</v>
      </c>
      <c r="B182"/>
      <c r="C182"/>
      <c r="D182"/>
      <c r="E182" t="s">
        <v>8</v>
      </c>
      <c r="F182" s="27" t="s">
        <v>7</v>
      </c>
    </row>
    <row r="183" spans="1:7" x14ac:dyDescent="0.25">
      <c r="A183" s="7">
        <v>2981.737393777536</v>
      </c>
      <c r="B183"/>
      <c r="C183"/>
      <c r="D183"/>
      <c r="E183" t="s">
        <v>8</v>
      </c>
    </row>
    <row r="184" spans="1:7" x14ac:dyDescent="0.25">
      <c r="A184" s="7">
        <v>2923.2719546838589</v>
      </c>
      <c r="B184"/>
      <c r="C184"/>
      <c r="D184"/>
      <c r="E184" t="s">
        <v>8</v>
      </c>
    </row>
    <row r="185" spans="1:7" x14ac:dyDescent="0.25">
      <c r="A185" s="7">
        <v>2865.9528967488814</v>
      </c>
      <c r="B185"/>
      <c r="C185"/>
      <c r="D185"/>
      <c r="E185" t="s">
        <v>8</v>
      </c>
    </row>
    <row r="186" spans="1:7" x14ac:dyDescent="0.25">
      <c r="A186" s="7">
        <v>2809.7577419106678</v>
      </c>
      <c r="B186"/>
      <c r="C186"/>
      <c r="D186"/>
      <c r="E186" t="s">
        <v>8</v>
      </c>
    </row>
    <row r="187" spans="1:7" x14ac:dyDescent="0.25">
      <c r="A187" s="7">
        <v>2754.6644528535958</v>
      </c>
      <c r="B187"/>
      <c r="C187"/>
      <c r="D187"/>
      <c r="E187" t="s">
        <v>8</v>
      </c>
    </row>
    <row r="188" spans="1:7" x14ac:dyDescent="0.25">
      <c r="A188" s="7">
        <v>2700.6514243662705</v>
      </c>
      <c r="B188"/>
      <c r="C188"/>
      <c r="D188"/>
      <c r="E188" t="s">
        <v>8</v>
      </c>
    </row>
    <row r="189" spans="1:7" x14ac:dyDescent="0.25">
      <c r="A189" s="7">
        <v>2647.6974748688926</v>
      </c>
      <c r="B189"/>
      <c r="C189"/>
      <c r="D189"/>
      <c r="E189" t="s">
        <v>8</v>
      </c>
    </row>
    <row r="190" spans="1:7" x14ac:dyDescent="0.25">
      <c r="A190" s="7">
        <v>2595.7818381067573</v>
      </c>
      <c r="B190"/>
      <c r="C190"/>
      <c r="D190"/>
      <c r="E190" t="s">
        <v>8</v>
      </c>
    </row>
    <row r="191" spans="1:7" x14ac:dyDescent="0.25">
      <c r="A191" s="7">
        <v>2544.884155006625</v>
      </c>
      <c r="B191"/>
      <c r="C191"/>
      <c r="D191"/>
      <c r="E191" t="s">
        <v>8</v>
      </c>
    </row>
    <row r="192" spans="1:7" x14ac:dyDescent="0.25">
      <c r="A192" s="7">
        <v>2494.9844656927694</v>
      </c>
      <c r="B192"/>
      <c r="C192"/>
      <c r="D192"/>
      <c r="E192" t="s">
        <v>8</v>
      </c>
    </row>
    <row r="193" spans="1:5" x14ac:dyDescent="0.25">
      <c r="A193" s="7">
        <v>2446.0632016595778</v>
      </c>
      <c r="B193"/>
      <c r="C193"/>
      <c r="D193"/>
      <c r="E193" t="s">
        <v>8</v>
      </c>
    </row>
    <row r="194" spans="1:5" x14ac:dyDescent="0.25">
      <c r="A194" s="7">
        <v>2398.1011780976251</v>
      </c>
      <c r="B194"/>
      <c r="C194"/>
      <c r="D194"/>
      <c r="E194" t="s">
        <v>8</v>
      </c>
    </row>
    <row r="195" spans="1:5" x14ac:dyDescent="0.25">
      <c r="A195" s="7">
        <v>2351.0795863702206</v>
      </c>
      <c r="B195"/>
      <c r="C195"/>
      <c r="D195"/>
      <c r="E195" t="s">
        <v>8</v>
      </c>
    </row>
    <row r="196" spans="1:5" x14ac:dyDescent="0.25">
      <c r="A196" s="7">
        <v>2304.979986637471</v>
      </c>
      <c r="B196"/>
      <c r="C196"/>
      <c r="D196"/>
      <c r="E196" t="s">
        <v>8</v>
      </c>
    </row>
    <row r="197" spans="1:5" x14ac:dyDescent="0.25">
      <c r="A197" s="7">
        <v>2259.7843006249714</v>
      </c>
      <c r="B197"/>
      <c r="C197"/>
      <c r="D197"/>
      <c r="E197" t="s">
        <v>8</v>
      </c>
    </row>
    <row r="198" spans="1:5" x14ac:dyDescent="0.25">
      <c r="A198" s="7">
        <v>2215.4748045342858</v>
      </c>
      <c r="B198"/>
      <c r="C198"/>
      <c r="D198"/>
      <c r="E198" t="s">
        <v>8</v>
      </c>
    </row>
    <row r="199" spans="1:5" x14ac:dyDescent="0.25">
      <c r="A199" s="7">
        <v>2172.034122092437</v>
      </c>
      <c r="B199"/>
      <c r="C199"/>
      <c r="D199"/>
      <c r="E199" t="s">
        <v>8</v>
      </c>
    </row>
    <row r="200" spans="1:5" x14ac:dyDescent="0.25">
      <c r="A200" s="7">
        <v>2129.4452177376834</v>
      </c>
      <c r="B200"/>
      <c r="C200"/>
      <c r="D200"/>
      <c r="E200" t="s">
        <v>8</v>
      </c>
    </row>
    <row r="201" spans="1:5" x14ac:dyDescent="0.25">
      <c r="A201" s="7">
        <v>2087.6913899389051</v>
      </c>
      <c r="B201"/>
      <c r="C201"/>
      <c r="D201"/>
      <c r="E201" t="s">
        <v>8</v>
      </c>
    </row>
    <row r="202" spans="1:5" x14ac:dyDescent="0.25">
      <c r="A202" s="7">
        <v>2046.7562646459853</v>
      </c>
      <c r="B202"/>
      <c r="C202"/>
      <c r="D202"/>
      <c r="E202" t="s">
        <v>8</v>
      </c>
    </row>
    <row r="203" spans="1:5" x14ac:dyDescent="0.25">
      <c r="A203" s="7">
        <v>2006.623788868613</v>
      </c>
      <c r="B203"/>
      <c r="C203"/>
      <c r="D203"/>
      <c r="E203" t="s">
        <v>8</v>
      </c>
    </row>
    <row r="204" spans="1:5" x14ac:dyDescent="0.25">
      <c r="A204" s="7">
        <v>1967.2782243809932</v>
      </c>
      <c r="B204"/>
      <c r="C204"/>
      <c r="D204"/>
      <c r="E204" t="s">
        <v>8</v>
      </c>
    </row>
    <row r="205" spans="1:5" x14ac:dyDescent="0.25">
      <c r="A205" s="7">
        <v>1928.7041415499932</v>
      </c>
      <c r="B205"/>
      <c r="C205"/>
      <c r="D205"/>
      <c r="E205" t="s">
        <v>8</v>
      </c>
    </row>
    <row r="206" spans="1:5" x14ac:dyDescent="0.25">
      <c r="A206" s="7">
        <v>1890.8864132843071</v>
      </c>
      <c r="B206"/>
      <c r="C206"/>
      <c r="D206"/>
      <c r="E206" t="s">
        <v>8</v>
      </c>
    </row>
    <row r="207" spans="1:5" x14ac:dyDescent="0.25">
      <c r="A207" s="7">
        <v>1853.8102091022618</v>
      </c>
      <c r="B207"/>
      <c r="C207"/>
      <c r="D207"/>
      <c r="E207" t="s">
        <v>8</v>
      </c>
    </row>
    <row r="208" spans="1:5" x14ac:dyDescent="0.25">
      <c r="A208" s="7">
        <v>1817.4609893159429</v>
      </c>
      <c r="B208"/>
      <c r="C208"/>
      <c r="D208"/>
      <c r="E208" t="s">
        <v>8</v>
      </c>
    </row>
    <row r="209" spans="1:5" x14ac:dyDescent="0.25">
      <c r="A209" s="7">
        <v>1781.8244993293558</v>
      </c>
      <c r="B209"/>
      <c r="C209"/>
      <c r="D209"/>
      <c r="E209" t="s">
        <v>8</v>
      </c>
    </row>
    <row r="210" spans="1:5" x14ac:dyDescent="0.25">
      <c r="A210" s="7">
        <v>1746.8867640483879</v>
      </c>
      <c r="B210"/>
      <c r="C210"/>
      <c r="D210"/>
      <c r="E210" t="s">
        <v>8</v>
      </c>
    </row>
    <row r="211" spans="1:5" x14ac:dyDescent="0.25">
      <c r="A211" s="7">
        <v>1712.6340824003803</v>
      </c>
      <c r="B211"/>
      <c r="C211"/>
      <c r="D211"/>
      <c r="E211" t="s">
        <v>8</v>
      </c>
    </row>
    <row r="212" spans="1:5" x14ac:dyDescent="0.25">
      <c r="A212" s="7">
        <v>1679.0530219611571</v>
      </c>
      <c r="B212"/>
      <c r="C212"/>
      <c r="D212"/>
      <c r="E212" t="s">
        <v>8</v>
      </c>
    </row>
    <row r="213" spans="1:5" x14ac:dyDescent="0.25">
      <c r="A213" s="7">
        <v>1646.1304136874089</v>
      </c>
      <c r="B213"/>
      <c r="C213"/>
      <c r="D213"/>
      <c r="E213" t="s">
        <v>8</v>
      </c>
    </row>
    <row r="214" spans="1:5" x14ac:dyDescent="0.25">
      <c r="A214" s="7">
        <v>1613.8533467523616</v>
      </c>
      <c r="B214"/>
      <c r="C214"/>
      <c r="D214"/>
      <c r="E214" t="s">
        <v>8</v>
      </c>
    </row>
    <row r="215" spans="1:5" x14ac:dyDescent="0.25">
      <c r="A215" s="7">
        <v>1582.2091634827075</v>
      </c>
      <c r="B215"/>
      <c r="C215"/>
      <c r="D215"/>
      <c r="E215" t="s">
        <v>8</v>
      </c>
    </row>
    <row r="216" spans="1:5" x14ac:dyDescent="0.25">
      <c r="A216" s="7">
        <v>1551.1854543948111</v>
      </c>
      <c r="B216"/>
      <c r="C216"/>
      <c r="D216"/>
      <c r="E216" t="s">
        <v>8</v>
      </c>
    </row>
    <row r="217" spans="1:5" x14ac:dyDescent="0.25">
      <c r="A217" s="7">
        <v>1520.7700533282461</v>
      </c>
      <c r="B217"/>
      <c r="C217"/>
      <c r="D217"/>
      <c r="E217" t="s">
        <v>8</v>
      </c>
    </row>
    <row r="218" spans="1:5" x14ac:dyDescent="0.25">
      <c r="A218" s="7">
        <v>1490.9510326747511</v>
      </c>
      <c r="B218"/>
      <c r="C218"/>
      <c r="D218"/>
      <c r="E218" t="s">
        <v>8</v>
      </c>
    </row>
    <row r="219" spans="1:5" x14ac:dyDescent="0.25">
      <c r="A219" s="7">
        <v>1461.7166987007363</v>
      </c>
      <c r="B219"/>
      <c r="C219"/>
      <c r="D219"/>
      <c r="E219" t="s">
        <v>8</v>
      </c>
    </row>
    <row r="220" spans="1:5" x14ac:dyDescent="0.25">
      <c r="A220" s="7">
        <v>1433.0555869615062</v>
      </c>
      <c r="B220"/>
      <c r="C220"/>
      <c r="D220"/>
      <c r="E220" t="s">
        <v>8</v>
      </c>
    </row>
    <row r="221" spans="1:5" x14ac:dyDescent="0.25">
      <c r="A221" s="7">
        <v>1404.9564578053983</v>
      </c>
      <c r="B221"/>
      <c r="C221"/>
      <c r="D221"/>
      <c r="E221" t="s">
        <v>8</v>
      </c>
    </row>
    <row r="222" spans="1:5" x14ac:dyDescent="0.25">
      <c r="A222" s="7">
        <v>1377.4082919660766</v>
      </c>
      <c r="B222"/>
      <c r="C222"/>
      <c r="D222"/>
      <c r="E222" t="s">
        <v>8</v>
      </c>
    </row>
    <row r="223" spans="1:5" x14ac:dyDescent="0.25">
      <c r="A223" s="7">
        <v>1350.4002862412515</v>
      </c>
      <c r="B223"/>
      <c r="C223"/>
      <c r="D223"/>
      <c r="E223" t="s">
        <v>8</v>
      </c>
    </row>
    <row r="224" spans="1:5" x14ac:dyDescent="0.25">
      <c r="A224" s="7">
        <v>1323.9218492561288</v>
      </c>
      <c r="B224"/>
      <c r="C224"/>
      <c r="D224"/>
      <c r="E224" t="s">
        <v>8</v>
      </c>
    </row>
    <row r="225" spans="1:5" x14ac:dyDescent="0.25">
      <c r="A225" s="7">
        <v>1297.9625973099301</v>
      </c>
      <c r="B225"/>
      <c r="C225"/>
      <c r="D225"/>
      <c r="E225" t="s">
        <v>8</v>
      </c>
    </row>
    <row r="226" spans="1:5" x14ac:dyDescent="0.25">
      <c r="A226" s="7">
        <v>1272.5123503038531</v>
      </c>
      <c r="B226"/>
      <c r="C226"/>
      <c r="D226"/>
      <c r="E226" t="s">
        <v>8</v>
      </c>
    </row>
    <row r="227" spans="1:5" x14ac:dyDescent="0.25">
      <c r="A227" s="7">
        <v>1247.5611277488756</v>
      </c>
      <c r="B227"/>
      <c r="C227"/>
      <c r="D227"/>
      <c r="E227" t="s">
        <v>8</v>
      </c>
    </row>
    <row r="228" spans="1:5" x14ac:dyDescent="0.25">
      <c r="A228" s="7">
        <v>1223.0991448518389</v>
      </c>
      <c r="B228"/>
      <c r="C228"/>
      <c r="D228"/>
      <c r="E228" t="s">
        <v>8</v>
      </c>
    </row>
    <row r="229" spans="1:5" x14ac:dyDescent="0.25">
      <c r="A229" s="7">
        <v>1199.1168086782734</v>
      </c>
      <c r="B229"/>
      <c r="C229"/>
      <c r="D229"/>
      <c r="E229" t="s">
        <v>8</v>
      </c>
    </row>
    <row r="230" spans="1:5" x14ac:dyDescent="0.25">
      <c r="A230" s="7">
        <v>1175.6047143904641</v>
      </c>
      <c r="B230"/>
      <c r="C230"/>
      <c r="D230"/>
      <c r="E230" t="s">
        <v>8</v>
      </c>
    </row>
    <row r="231" spans="1:5" x14ac:dyDescent="0.25">
      <c r="A231" s="7">
        <v>1152.5536415592785</v>
      </c>
      <c r="B231"/>
      <c r="C231"/>
      <c r="D231"/>
      <c r="E231" t="s">
        <v>8</v>
      </c>
    </row>
    <row r="232" spans="1:5" x14ac:dyDescent="0.25">
      <c r="A232" s="7">
        <v>1129.9545505483122</v>
      </c>
      <c r="B232"/>
      <c r="C232"/>
      <c r="D232"/>
      <c r="E232" t="s">
        <v>8</v>
      </c>
    </row>
    <row r="233" spans="1:5" x14ac:dyDescent="0.25">
      <c r="A233" s="7">
        <v>1107.7985789689335</v>
      </c>
      <c r="B233"/>
      <c r="C233"/>
      <c r="D233"/>
      <c r="E233" t="s">
        <v>8</v>
      </c>
    </row>
    <row r="234" spans="1:5" x14ac:dyDescent="0.25">
      <c r="A234" s="7">
        <v>1086.0770382048368</v>
      </c>
      <c r="B234"/>
      <c r="C234"/>
      <c r="D234"/>
      <c r="E234" t="s">
        <v>8</v>
      </c>
    </row>
    <row r="235" spans="1:5" x14ac:dyDescent="0.25">
      <c r="A235" s="7">
        <v>1064.7814100047419</v>
      </c>
      <c r="B235"/>
      <c r="C235"/>
      <c r="D235"/>
      <c r="E235" t="s">
        <v>8</v>
      </c>
    </row>
    <row r="236" spans="1:5" x14ac:dyDescent="0.25">
      <c r="A236" s="7">
        <v>1043.9033431419039</v>
      </c>
      <c r="B236"/>
      <c r="C236"/>
      <c r="D236"/>
      <c r="E236" t="s">
        <v>8</v>
      </c>
    </row>
    <row r="237" spans="1:5" x14ac:dyDescent="0.25">
      <c r="A237" s="7">
        <v>1023.4346501391215</v>
      </c>
      <c r="B237"/>
      <c r="C237"/>
      <c r="D237"/>
      <c r="E237" t="s">
        <v>8</v>
      </c>
    </row>
    <row r="238" spans="1:5" x14ac:dyDescent="0.25">
      <c r="A238" s="7">
        <v>1003.3673040579622</v>
      </c>
      <c r="B238"/>
      <c r="C238"/>
      <c r="D238"/>
      <c r="E238" t="s">
        <v>8</v>
      </c>
    </row>
    <row r="239" spans="1:5" x14ac:dyDescent="0.25">
      <c r="A239" s="7">
        <v>983.69343535094333</v>
      </c>
      <c r="B239"/>
      <c r="C239"/>
      <c r="D239"/>
      <c r="E239" t="s">
        <v>8</v>
      </c>
    </row>
    <row r="240" spans="1:5" x14ac:dyDescent="0.25">
      <c r="A240" s="7">
        <v>964.40532877543467</v>
      </c>
      <c r="B240"/>
      <c r="C240"/>
      <c r="D240"/>
      <c r="E240" t="s">
        <v>8</v>
      </c>
    </row>
    <row r="241" spans="1:5" x14ac:dyDescent="0.25">
      <c r="A241" s="7">
        <v>945.49542036807316</v>
      </c>
      <c r="B241"/>
      <c r="C241"/>
      <c r="D241"/>
      <c r="E241" t="s">
        <v>8</v>
      </c>
    </row>
    <row r="242" spans="1:5" x14ac:dyDescent="0.25">
      <c r="A242" s="7">
        <v>926.95629447850308</v>
      </c>
      <c r="B242"/>
      <c r="C242"/>
      <c r="D242"/>
      <c r="E242" t="s">
        <v>8</v>
      </c>
    </row>
    <row r="243" spans="1:5" x14ac:dyDescent="0.25">
      <c r="A243" s="7">
        <v>908.78068086127746</v>
      </c>
      <c r="B243"/>
      <c r="C243"/>
      <c r="D243"/>
      <c r="E243" t="s">
        <v>8</v>
      </c>
    </row>
    <row r="244" spans="1:5" x14ac:dyDescent="0.25">
      <c r="A244" s="7">
        <v>890.96145182478176</v>
      </c>
      <c r="B244"/>
      <c r="C244"/>
      <c r="D244"/>
      <c r="E244" t="s">
        <v>8</v>
      </c>
    </row>
    <row r="245" spans="1:5" x14ac:dyDescent="0.25">
      <c r="A245" s="7">
        <v>873.49161943606055</v>
      </c>
      <c r="B245"/>
      <c r="C245"/>
      <c r="D245"/>
      <c r="E245" t="s">
        <v>8</v>
      </c>
    </row>
    <row r="246" spans="1:5" x14ac:dyDescent="0.25">
      <c r="A246" s="7">
        <v>856.36433278045149</v>
      </c>
      <c r="B246"/>
      <c r="C246"/>
      <c r="D246"/>
      <c r="E246" t="s">
        <v>8</v>
      </c>
    </row>
    <row r="247" spans="1:5" x14ac:dyDescent="0.25">
      <c r="A247" s="7">
        <v>839.57287527495248</v>
      </c>
      <c r="B247"/>
      <c r="C247"/>
      <c r="D247"/>
      <c r="E247" t="s">
        <v>8</v>
      </c>
    </row>
    <row r="248" spans="1:5" x14ac:dyDescent="0.25">
      <c r="A248" s="7">
        <v>823.11066203426708</v>
      </c>
      <c r="B248"/>
      <c r="C248"/>
      <c r="D248"/>
      <c r="E248" t="s">
        <v>8</v>
      </c>
    </row>
    <row r="249" spans="1:5" x14ac:dyDescent="0.25">
      <c r="A249" s="7">
        <v>806.97123728849715</v>
      </c>
      <c r="B249"/>
      <c r="C249"/>
      <c r="D249"/>
      <c r="E249" t="s">
        <v>8</v>
      </c>
    </row>
    <row r="250" spans="1:5" x14ac:dyDescent="0.25">
      <c r="A250" s="7">
        <v>791.14827185146783</v>
      </c>
      <c r="B250"/>
      <c r="C250"/>
      <c r="D250"/>
      <c r="E250" t="s">
        <v>8</v>
      </c>
    </row>
    <row r="251" spans="1:5" x14ac:dyDescent="0.25">
      <c r="A251" s="7">
        <v>775.63556063869396</v>
      </c>
      <c r="B251"/>
      <c r="C251"/>
      <c r="D251"/>
      <c r="E251" t="s">
        <v>8</v>
      </c>
    </row>
    <row r="252" spans="1:5" x14ac:dyDescent="0.25">
      <c r="A252" s="7">
        <v>760.42702023401364</v>
      </c>
      <c r="B252"/>
      <c r="C252"/>
      <c r="D252"/>
      <c r="E252" t="s">
        <v>8</v>
      </c>
    </row>
    <row r="253" spans="1:5" x14ac:dyDescent="0.25">
      <c r="A253" s="7">
        <v>745.51668650393492</v>
      </c>
      <c r="B253"/>
      <c r="C253"/>
      <c r="D253"/>
      <c r="E253" t="s">
        <v>8</v>
      </c>
    </row>
    <row r="254" spans="1:5" x14ac:dyDescent="0.25">
      <c r="A254" s="7">
        <v>730.8987122587597</v>
      </c>
      <c r="B254"/>
      <c r="C254"/>
      <c r="D254"/>
      <c r="E254" t="s">
        <v>8</v>
      </c>
    </row>
    <row r="255" spans="1:5" x14ac:dyDescent="0.25">
      <c r="A255" s="7">
        <v>716.56736495956829</v>
      </c>
      <c r="B255"/>
      <c r="C255"/>
      <c r="D255"/>
      <c r="E255" t="s">
        <v>8</v>
      </c>
    </row>
    <row r="256" spans="1:5" x14ac:dyDescent="0.25">
      <c r="A256" s="7">
        <v>702.51702447016498</v>
      </c>
      <c r="B256"/>
      <c r="C256"/>
      <c r="D256"/>
      <c r="E256" t="s">
        <v>8</v>
      </c>
    </row>
    <row r="257" spans="1:5" x14ac:dyDescent="0.25">
      <c r="A257" s="7">
        <v>688.74218085310292</v>
      </c>
      <c r="B257"/>
      <c r="C257"/>
      <c r="D257"/>
      <c r="E257" t="s">
        <v>8</v>
      </c>
    </row>
    <row r="258" spans="1:5" x14ac:dyDescent="0.25">
      <c r="A258" s="7">
        <v>675.23743220892447</v>
      </c>
      <c r="B258"/>
      <c r="C258"/>
      <c r="D258"/>
      <c r="E258" t="s">
        <v>8</v>
      </c>
    </row>
    <row r="259" spans="1:5" x14ac:dyDescent="0.25">
      <c r="A259" s="7">
        <v>661.9974825577691</v>
      </c>
      <c r="B259"/>
      <c r="C259"/>
      <c r="D259"/>
      <c r="E259" t="s">
        <v>8</v>
      </c>
    </row>
    <row r="260" spans="1:5" x14ac:dyDescent="0.25">
      <c r="A260" s="7">
        <v>649.0171397625187</v>
      </c>
      <c r="B260"/>
      <c r="C260"/>
      <c r="D260"/>
      <c r="E260" t="s">
        <v>8</v>
      </c>
    </row>
    <row r="261" spans="1:5" x14ac:dyDescent="0.25">
      <c r="A261" s="7">
        <v>636.29131349266538</v>
      </c>
      <c r="B261"/>
      <c r="C261"/>
      <c r="D261"/>
      <c r="E261" t="s">
        <v>8</v>
      </c>
    </row>
    <row r="262" spans="1:5" x14ac:dyDescent="0.25">
      <c r="A262" s="7">
        <v>623.81501322810334</v>
      </c>
      <c r="B262"/>
      <c r="C262"/>
      <c r="D262"/>
      <c r="E262" t="s">
        <v>8</v>
      </c>
    </row>
    <row r="263" spans="1:5" x14ac:dyDescent="0.25">
      <c r="A263" s="7">
        <v>611.58334630206207</v>
      </c>
      <c r="B263"/>
      <c r="C263"/>
      <c r="D263"/>
      <c r="E263" t="s">
        <v>8</v>
      </c>
    </row>
    <row r="264" spans="1:5" x14ac:dyDescent="0.25">
      <c r="A264" s="7">
        <v>599.59151598241374</v>
      </c>
      <c r="B264"/>
      <c r="C264"/>
      <c r="D264"/>
      <c r="E264" t="s">
        <v>8</v>
      </c>
    </row>
    <row r="265" spans="1:5" x14ac:dyDescent="0.25">
      <c r="A265" s="7">
        <v>587.83481959060168</v>
      </c>
      <c r="B265"/>
      <c r="C265"/>
      <c r="D265"/>
      <c r="E265" t="s">
        <v>8</v>
      </c>
    </row>
    <row r="266" spans="1:5" x14ac:dyDescent="0.25">
      <c r="A266" s="7">
        <v>576.30864665745264</v>
      </c>
      <c r="B266"/>
      <c r="C266"/>
      <c r="D266"/>
      <c r="E266" t="s">
        <v>8</v>
      </c>
    </row>
    <row r="267" spans="1:5" x14ac:dyDescent="0.25">
      <c r="A267" s="7">
        <v>565.00847711514962</v>
      </c>
      <c r="B267"/>
      <c r="C267"/>
      <c r="D267"/>
      <c r="E267" t="s">
        <v>8</v>
      </c>
    </row>
    <row r="268" spans="1:5" x14ac:dyDescent="0.25">
      <c r="A268" s="7">
        <v>553.92987952465649</v>
      </c>
      <c r="B268"/>
      <c r="C268"/>
      <c r="D268"/>
      <c r="E268" t="s">
        <v>8</v>
      </c>
    </row>
    <row r="269" spans="1:5" x14ac:dyDescent="0.25">
      <c r="A269" s="7">
        <v>543.06850933789849</v>
      </c>
      <c r="B269"/>
      <c r="C269"/>
      <c r="D269"/>
      <c r="E269" t="s">
        <v>8</v>
      </c>
    </row>
    <row r="270" spans="1:5" x14ac:dyDescent="0.25">
      <c r="A270" s="7">
        <v>532.4201071940181</v>
      </c>
      <c r="B270"/>
      <c r="C270"/>
      <c r="D270"/>
      <c r="E270" t="s">
        <v>8</v>
      </c>
    </row>
    <row r="271" spans="1:5" x14ac:dyDescent="0.25">
      <c r="A271" s="7">
        <v>521.9804972490374</v>
      </c>
      <c r="B271"/>
      <c r="C271"/>
      <c r="D271"/>
      <c r="E271" t="s">
        <v>8</v>
      </c>
    </row>
    <row r="272" spans="1:5" x14ac:dyDescent="0.25">
      <c r="A272" s="7">
        <v>511.74558553827194</v>
      </c>
      <c r="B272"/>
      <c r="C272"/>
      <c r="D272"/>
      <c r="E272" t="s">
        <v>8</v>
      </c>
    </row>
    <row r="273" spans="1:5" x14ac:dyDescent="0.25">
      <c r="A273" s="7">
        <v>501.71135837085484</v>
      </c>
      <c r="B273"/>
      <c r="C273"/>
      <c r="D273"/>
      <c r="E273" t="s">
        <v>8</v>
      </c>
    </row>
    <row r="274" spans="1:5" x14ac:dyDescent="0.25">
      <c r="A274" s="7">
        <v>491.87388075574</v>
      </c>
      <c r="B274"/>
      <c r="C274"/>
      <c r="D274"/>
      <c r="E274" t="s">
        <v>8</v>
      </c>
    </row>
    <row r="275" spans="1:5" x14ac:dyDescent="0.25">
      <c r="A275" s="7">
        <v>482.22929485856861</v>
      </c>
      <c r="B275"/>
      <c r="C275"/>
      <c r="D275"/>
      <c r="E275" t="s">
        <v>8</v>
      </c>
    </row>
    <row r="276" spans="1:5" x14ac:dyDescent="0.25">
      <c r="A276" s="7">
        <v>472.77381848879276</v>
      </c>
      <c r="B276"/>
      <c r="C276"/>
      <c r="D276"/>
      <c r="E276" t="s">
        <v>8</v>
      </c>
    </row>
    <row r="277" spans="1:5" x14ac:dyDescent="0.25">
      <c r="A277" s="7">
        <v>463.50374361646345</v>
      </c>
      <c r="B277"/>
      <c r="C277"/>
      <c r="D277"/>
      <c r="E277" t="s">
        <v>8</v>
      </c>
    </row>
    <row r="278" spans="1:5" x14ac:dyDescent="0.25">
      <c r="A278" s="7">
        <v>454.41543491810143</v>
      </c>
      <c r="B278"/>
      <c r="C278"/>
      <c r="D278"/>
      <c r="E278" t="s">
        <v>8</v>
      </c>
    </row>
    <row r="279" spans="1:5" x14ac:dyDescent="0.25">
      <c r="A279" s="7">
        <v>445.50532835107981</v>
      </c>
      <c r="B279"/>
      <c r="C279"/>
      <c r="D279"/>
      <c r="E279" t="s">
        <v>8</v>
      </c>
    </row>
    <row r="280" spans="1:5" x14ac:dyDescent="0.25">
      <c r="A280" s="7">
        <v>436.76992975596062</v>
      </c>
      <c r="B280"/>
      <c r="C280"/>
      <c r="D280"/>
      <c r="E280" t="s">
        <v>8</v>
      </c>
    </row>
    <row r="281" spans="1:5" x14ac:dyDescent="0.25">
      <c r="A281" s="7">
        <v>428.20581348623591</v>
      </c>
      <c r="B281"/>
      <c r="C281"/>
      <c r="D281"/>
      <c r="E281" t="s">
        <v>8</v>
      </c>
    </row>
    <row r="282" spans="1:5" x14ac:dyDescent="0.25">
      <c r="A282" s="7">
        <v>419.80962106493718</v>
      </c>
      <c r="B282"/>
      <c r="C282"/>
      <c r="D282"/>
      <c r="E282" t="s">
        <v>8</v>
      </c>
    </row>
    <row r="283" spans="1:5" x14ac:dyDescent="0.25">
      <c r="A283" s="7">
        <v>411.57805986758547</v>
      </c>
      <c r="B283"/>
      <c r="C283"/>
      <c r="D283"/>
      <c r="E283" t="s">
        <v>8</v>
      </c>
    </row>
    <row r="284" spans="1:5" x14ac:dyDescent="0.25">
      <c r="A284" s="7">
        <v>403.50790183096615</v>
      </c>
      <c r="B284"/>
      <c r="C284"/>
      <c r="D284"/>
      <c r="E284" t="s">
        <v>8</v>
      </c>
    </row>
    <row r="285" spans="1:5" x14ac:dyDescent="0.25">
      <c r="A285" s="7">
        <v>395.59598218722169</v>
      </c>
      <c r="B285"/>
      <c r="C285"/>
      <c r="D285"/>
      <c r="E285" t="s">
        <v>8</v>
      </c>
    </row>
    <row r="286" spans="1:5" x14ac:dyDescent="0.25">
      <c r="A286" s="7">
        <v>387.83919822276636</v>
      </c>
      <c r="B286"/>
      <c r="C286"/>
      <c r="D286"/>
      <c r="E286" t="s">
        <v>8</v>
      </c>
    </row>
    <row r="287" spans="1:5" x14ac:dyDescent="0.25">
      <c r="A287" s="7">
        <v>380.23450806153562</v>
      </c>
      <c r="B287"/>
      <c r="C287"/>
      <c r="D287"/>
      <c r="E287" t="s">
        <v>8</v>
      </c>
    </row>
    <row r="288" spans="1:5" x14ac:dyDescent="0.25">
      <c r="A288" s="7">
        <v>372.77892947209375</v>
      </c>
      <c r="B288"/>
      <c r="C288"/>
      <c r="D288"/>
      <c r="E288" t="s">
        <v>8</v>
      </c>
    </row>
    <row r="289" spans="1:5" x14ac:dyDescent="0.25">
      <c r="A289" s="7">
        <v>365.46953869813115</v>
      </c>
      <c r="B289"/>
      <c r="C289"/>
      <c r="D289"/>
      <c r="E289" t="s">
        <v>8</v>
      </c>
    </row>
    <row r="290" spans="1:5" x14ac:dyDescent="0.25">
      <c r="A290" s="7">
        <v>358.30346931189325</v>
      </c>
      <c r="B290"/>
      <c r="C290"/>
      <c r="D290"/>
      <c r="E290" t="s">
        <v>8</v>
      </c>
    </row>
    <row r="291" spans="1:5" x14ac:dyDescent="0.25">
      <c r="A291" s="7">
        <v>351.27791109009144</v>
      </c>
      <c r="B291"/>
      <c r="C291"/>
      <c r="D291"/>
      <c r="E291" t="s">
        <v>8</v>
      </c>
    </row>
    <row r="292" spans="1:5" x14ac:dyDescent="0.25">
      <c r="A292" s="7">
        <v>344.39010891185433</v>
      </c>
      <c r="B292"/>
      <c r="C292"/>
      <c r="D292"/>
      <c r="E292" t="s">
        <v>8</v>
      </c>
    </row>
    <row r="293" spans="1:5" x14ac:dyDescent="0.25">
      <c r="A293" s="7">
        <v>337.63736167828853</v>
      </c>
      <c r="B293"/>
      <c r="C293"/>
      <c r="D293"/>
      <c r="E293" t="s">
        <v>8</v>
      </c>
    </row>
    <row r="294" spans="1:5" x14ac:dyDescent="0.25">
      <c r="A294" s="7">
        <v>331.01702125322402</v>
      </c>
      <c r="B294"/>
      <c r="C294"/>
      <c r="D294"/>
      <c r="E294" t="s">
        <v>8</v>
      </c>
    </row>
    <row r="295" spans="1:5" x14ac:dyDescent="0.25">
      <c r="A295" s="7">
        <v>324.52649142472944</v>
      </c>
      <c r="B295"/>
      <c r="C295"/>
      <c r="D295"/>
      <c r="E295" t="s">
        <v>8</v>
      </c>
    </row>
    <row r="296" spans="1:5" x14ac:dyDescent="0.25">
      <c r="A296" s="7">
        <v>318.16322688698966</v>
      </c>
      <c r="B296"/>
      <c r="C296"/>
      <c r="D296"/>
      <c r="E296" t="s">
        <v>8</v>
      </c>
    </row>
    <row r="297" spans="1:5" x14ac:dyDescent="0.25">
      <c r="A297" s="7">
        <v>311.92473224214672</v>
      </c>
      <c r="B297"/>
      <c r="C297"/>
      <c r="D297"/>
      <c r="E297" t="s">
        <v>8</v>
      </c>
    </row>
    <row r="298" spans="1:5" x14ac:dyDescent="0.25">
      <c r="A298" s="7">
        <v>305.80856102171248</v>
      </c>
      <c r="B298"/>
      <c r="C298"/>
      <c r="D298"/>
      <c r="E298" t="s">
        <v>8</v>
      </c>
    </row>
    <row r="299" spans="1:5" x14ac:dyDescent="0.25">
      <c r="A299" s="7">
        <v>299.81231472716911</v>
      </c>
      <c r="B299"/>
      <c r="C299"/>
      <c r="D299"/>
      <c r="E299" t="s">
        <v>8</v>
      </c>
    </row>
    <row r="300" spans="1:5" x14ac:dyDescent="0.25">
      <c r="A300" s="7">
        <v>293.93364188938148</v>
      </c>
      <c r="B300"/>
      <c r="C300"/>
      <c r="D300"/>
      <c r="E300" t="s">
        <v>8</v>
      </c>
    </row>
    <row r="301" spans="1:5" x14ac:dyDescent="0.25">
      <c r="A301" s="7">
        <v>288.17023714645245</v>
      </c>
      <c r="B301"/>
      <c r="C301"/>
      <c r="D301"/>
      <c r="E301" t="s">
        <v>8</v>
      </c>
    </row>
    <row r="302" spans="1:5" x14ac:dyDescent="0.25">
      <c r="A302" s="7">
        <v>282.51984033965925</v>
      </c>
      <c r="B302"/>
      <c r="C302"/>
      <c r="D302"/>
      <c r="E302" t="s">
        <v>8</v>
      </c>
    </row>
    <row r="303" spans="1:5" x14ac:dyDescent="0.25">
      <c r="A303" s="7">
        <v>276.98023562711688</v>
      </c>
      <c r="B303"/>
      <c r="C303"/>
      <c r="D303"/>
      <c r="E303" t="s">
        <v>8</v>
      </c>
    </row>
    <row r="304" spans="1:5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1" operator="equal">
      <formula>$U$1</formula>
    </cfRule>
    <cfRule type="cellIs" dxfId="89" priority="942" operator="equal">
      <formula>$S$1</formula>
    </cfRule>
  </conditionalFormatting>
  <conditionalFormatting sqref="D27">
    <cfRule type="cellIs" dxfId="88" priority="939" operator="equal">
      <formula>$S$1</formula>
    </cfRule>
    <cfRule type="cellIs" dxfId="87" priority="940" operator="equal">
      <formula>$U$1</formula>
    </cfRule>
  </conditionalFormatting>
  <conditionalFormatting sqref="C164">
    <cfRule type="cellIs" dxfId="86" priority="937" operator="equal">
      <formula>$U$1</formula>
    </cfRule>
    <cfRule type="cellIs" dxfId="85" priority="938" operator="equal">
      <formula>$S$1</formula>
    </cfRule>
  </conditionalFormatting>
  <conditionalFormatting sqref="D164">
    <cfRule type="cellIs" dxfId="84" priority="935" operator="equal">
      <formula>$S$1</formula>
    </cfRule>
    <cfRule type="cellIs" dxfId="83" priority="936" operator="equal">
      <formula>$U$1</formula>
    </cfRule>
  </conditionalFormatting>
  <conditionalFormatting sqref="C55">
    <cfRule type="cellIs" dxfId="82" priority="933" operator="equal">
      <formula>$U$1</formula>
    </cfRule>
    <cfRule type="cellIs" dxfId="81" priority="934" operator="equal">
      <formula>$S$1</formula>
    </cfRule>
  </conditionalFormatting>
  <conditionalFormatting sqref="D55">
    <cfRule type="cellIs" dxfId="80" priority="931" operator="equal">
      <formula>$S$1</formula>
    </cfRule>
    <cfRule type="cellIs" dxfId="79" priority="932" operator="equal">
      <formula>$U$1</formula>
    </cfRule>
  </conditionalFormatting>
  <conditionalFormatting sqref="C89">
    <cfRule type="cellIs" dxfId="78" priority="929" operator="equal">
      <formula>$U$1</formula>
    </cfRule>
    <cfRule type="cellIs" dxfId="77" priority="930" operator="equal">
      <formula>$S$1</formula>
    </cfRule>
  </conditionalFormatting>
  <conditionalFormatting sqref="D89">
    <cfRule type="cellIs" dxfId="76" priority="927" operator="equal">
      <formula>$S$1</formula>
    </cfRule>
    <cfRule type="cellIs" dxfId="75" priority="928" operator="equal">
      <formula>$U$1</formula>
    </cfRule>
  </conditionalFormatting>
  <conditionalFormatting sqref="C136">
    <cfRule type="cellIs" dxfId="74" priority="925" operator="equal">
      <formula>$U$1</formula>
    </cfRule>
    <cfRule type="cellIs" dxfId="73" priority="926" operator="equal">
      <formula>$S$1</formula>
    </cfRule>
  </conditionalFormatting>
  <conditionalFormatting sqref="D136">
    <cfRule type="cellIs" dxfId="72" priority="923" operator="equal">
      <formula>$S$1</formula>
    </cfRule>
    <cfRule type="cellIs" dxfId="71" priority="924" operator="equal">
      <formula>$U$1</formula>
    </cfRule>
  </conditionalFormatting>
  <conditionalFormatting sqref="C1">
    <cfRule type="cellIs" dxfId="70" priority="92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71" zoomScale="90" zoomScaleNormal="90" workbookViewId="0">
      <pane xSplit="4" topLeftCell="BW1" activePane="topRight" state="frozen"/>
      <selection activeCell="A109" sqref="A109"/>
      <selection pane="topRight" activeCell="DO100" sqref="DO100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85" x14ac:dyDescent="0.25">
      <c r="A65" s="31">
        <v>140928.77405334992</v>
      </c>
      <c r="E65"/>
    </row>
    <row r="66" spans="1:85" x14ac:dyDescent="0.25">
      <c r="A66" s="31">
        <v>134217.88005080944</v>
      </c>
      <c r="E66"/>
    </row>
    <row r="67" spans="1:85" x14ac:dyDescent="0.25">
      <c r="A67" s="31">
        <v>127826.55242934231</v>
      </c>
      <c r="E67"/>
    </row>
    <row r="68" spans="1:85" x14ac:dyDescent="0.25">
      <c r="A68" s="31">
        <v>121739.57374223076</v>
      </c>
      <c r="E68"/>
    </row>
    <row r="69" spans="1:85" x14ac:dyDescent="0.25">
      <c r="A69" s="31">
        <v>115942.4511830769</v>
      </c>
      <c r="E69"/>
    </row>
    <row r="70" spans="1:85" x14ac:dyDescent="0.25">
      <c r="A70" s="31">
        <v>110421.38207912086</v>
      </c>
      <c r="E70"/>
    </row>
    <row r="71" spans="1:85" x14ac:dyDescent="0.25">
      <c r="A71" s="31">
        <v>105163.22102773415</v>
      </c>
      <c r="C71" s="1" t="s">
        <v>15</v>
      </c>
      <c r="E71"/>
    </row>
    <row r="72" spans="1:85" x14ac:dyDescent="0.25">
      <c r="A72" s="30">
        <v>100155.44859784204</v>
      </c>
      <c r="C72" s="7">
        <v>0.11686133436193799</v>
      </c>
      <c r="D72"/>
      <c r="E72"/>
    </row>
    <row r="73" spans="1:85" x14ac:dyDescent="0.25">
      <c r="A73" s="30">
        <v>95386.141521754325</v>
      </c>
      <c r="E73"/>
    </row>
    <row r="74" spans="1:85" x14ac:dyDescent="0.25">
      <c r="A74" s="30">
        <v>90843.944306432692</v>
      </c>
      <c r="C74" s="1" t="s">
        <v>11</v>
      </c>
      <c r="D74" s="1" t="s">
        <v>12</v>
      </c>
      <c r="E74"/>
      <c r="CA74" s="34" t="s">
        <v>8</v>
      </c>
    </row>
    <row r="75" spans="1:85" x14ac:dyDescent="0.25">
      <c r="A75" s="30">
        <v>86518.042196602561</v>
      </c>
      <c r="C75"/>
      <c r="D75"/>
      <c r="E75"/>
      <c r="CA75" s="27" t="s">
        <v>8</v>
      </c>
      <c r="CB75" s="34" t="s">
        <v>7</v>
      </c>
    </row>
    <row r="76" spans="1:85" x14ac:dyDescent="0.25">
      <c r="A76" s="30">
        <v>82398.135425335771</v>
      </c>
      <c r="E76"/>
      <c r="CA76" s="27" t="s">
        <v>8</v>
      </c>
      <c r="CB76" s="27" t="s">
        <v>7</v>
      </c>
      <c r="CC76" s="34"/>
    </row>
    <row r="77" spans="1:85" x14ac:dyDescent="0.25">
      <c r="A77" s="30">
        <v>78474.414690795966</v>
      </c>
      <c r="C77" s="1" t="s">
        <v>13</v>
      </c>
      <c r="E77"/>
      <c r="CA77" s="27" t="s">
        <v>8</v>
      </c>
      <c r="CB77" s="27" t="s">
        <v>7</v>
      </c>
      <c r="CC77" s="27" t="s">
        <v>8</v>
      </c>
      <c r="CD77" s="34"/>
    </row>
    <row r="78" spans="1:85" x14ac:dyDescent="0.25">
      <c r="A78" s="30">
        <v>74737.537800758058</v>
      </c>
      <c r="C78" s="1">
        <f>C67</f>
        <v>0</v>
      </c>
      <c r="E78"/>
      <c r="CA78" s="27" t="s">
        <v>8</v>
      </c>
      <c r="CB78" s="27" t="s">
        <v>7</v>
      </c>
      <c r="CC78" s="27" t="s">
        <v>8</v>
      </c>
      <c r="CD78" s="27" t="s">
        <v>7</v>
      </c>
      <c r="CE78" s="34" t="s">
        <v>8</v>
      </c>
    </row>
    <row r="79" spans="1:85" x14ac:dyDescent="0.25">
      <c r="A79" s="30">
        <v>71178.607429293392</v>
      </c>
      <c r="C79"/>
      <c r="E79"/>
      <c r="CA79" s="27" t="s">
        <v>8</v>
      </c>
      <c r="CB79" s="27" t="s">
        <v>7</v>
      </c>
      <c r="CC79" s="27" t="s">
        <v>8</v>
      </c>
      <c r="CD79" s="27" t="s">
        <v>7</v>
      </c>
      <c r="CE79" s="27" t="s">
        <v>8</v>
      </c>
      <c r="CF79" s="34" t="s">
        <v>7</v>
      </c>
    </row>
    <row r="80" spans="1:85" x14ac:dyDescent="0.25">
      <c r="A80" s="30">
        <v>67789.149932660366</v>
      </c>
      <c r="C80" s="1" t="s">
        <v>14</v>
      </c>
      <c r="E80"/>
      <c r="CA80" s="27" t="s">
        <v>8</v>
      </c>
      <c r="CB80" s="27" t="s">
        <v>7</v>
      </c>
      <c r="CC80" s="27" t="s">
        <v>8</v>
      </c>
      <c r="CD80" s="27" t="s">
        <v>7</v>
      </c>
      <c r="CE80" s="27" t="s">
        <v>8</v>
      </c>
      <c r="CF80" s="27" t="s">
        <v>7</v>
      </c>
      <c r="CG80" s="34"/>
    </row>
    <row r="81" spans="1:118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  <c r="CA81" s="27" t="s">
        <v>8</v>
      </c>
      <c r="CB81" s="27" t="s">
        <v>7</v>
      </c>
      <c r="CC81" s="27" t="s">
        <v>8</v>
      </c>
      <c r="CD81" s="27" t="s">
        <v>7</v>
      </c>
      <c r="CE81" s="27" t="s">
        <v>8</v>
      </c>
      <c r="CF81" s="27" t="s">
        <v>7</v>
      </c>
      <c r="CH81" s="34"/>
    </row>
    <row r="82" spans="1:118" x14ac:dyDescent="0.25">
      <c r="A82" s="30">
        <v>61486.757308535474</v>
      </c>
      <c r="E82"/>
      <c r="CA82" s="27" t="s">
        <v>8</v>
      </c>
      <c r="CB82" s="27" t="s">
        <v>7</v>
      </c>
      <c r="CD82" s="27" t="s">
        <v>7</v>
      </c>
      <c r="CE82" s="27" t="s">
        <v>8</v>
      </c>
      <c r="CF82" s="27" t="s">
        <v>7</v>
      </c>
      <c r="CI82" s="34"/>
    </row>
    <row r="83" spans="1:118" x14ac:dyDescent="0.25">
      <c r="A83" s="30">
        <v>58558.816484319497</v>
      </c>
      <c r="E83"/>
      <c r="CA83" s="27" t="s">
        <v>8</v>
      </c>
      <c r="CD83" s="32" t="s">
        <v>7</v>
      </c>
      <c r="CF83" s="27" t="s">
        <v>7</v>
      </c>
      <c r="CJ83" s="34"/>
    </row>
    <row r="84" spans="1:118" x14ac:dyDescent="0.25">
      <c r="A84" s="30">
        <v>55770.301413637615</v>
      </c>
      <c r="E84"/>
      <c r="BW84" s="27" t="s">
        <v>8</v>
      </c>
      <c r="CA84" s="27" t="s">
        <v>8</v>
      </c>
      <c r="CF84" s="27" t="s">
        <v>7</v>
      </c>
      <c r="CG84" s="27" t="s">
        <v>8</v>
      </c>
      <c r="CK84" s="34"/>
    </row>
    <row r="85" spans="1:118" x14ac:dyDescent="0.25">
      <c r="A85" s="30">
        <v>53114.572774892964</v>
      </c>
      <c r="E85"/>
      <c r="BS85" s="27" t="s">
        <v>8</v>
      </c>
      <c r="BU85" s="27" t="s">
        <v>8</v>
      </c>
      <c r="BW85" s="27" t="s">
        <v>8</v>
      </c>
      <c r="BX85" s="27" t="s">
        <v>7</v>
      </c>
      <c r="CA85" s="27" t="s">
        <v>8</v>
      </c>
      <c r="CF85" s="27" t="s">
        <v>7</v>
      </c>
      <c r="CG85" s="27" t="s">
        <v>8</v>
      </c>
      <c r="CH85" s="27" t="s">
        <v>7</v>
      </c>
      <c r="CL85" s="34"/>
    </row>
    <row r="86" spans="1:118" x14ac:dyDescent="0.25">
      <c r="A86" s="30">
        <v>50585.307404659965</v>
      </c>
      <c r="E86"/>
      <c r="BK86" s="27" t="s">
        <v>8</v>
      </c>
      <c r="BS86" s="27" t="s">
        <v>8</v>
      </c>
      <c r="BT86" s="27" t="s">
        <v>7</v>
      </c>
      <c r="BU86" s="27" t="s">
        <v>8</v>
      </c>
      <c r="BV86" s="27" t="s">
        <v>7</v>
      </c>
      <c r="BW86" s="27" t="s">
        <v>8</v>
      </c>
      <c r="BX86" s="27" t="s">
        <v>7</v>
      </c>
      <c r="BY86" s="27" t="s">
        <v>8</v>
      </c>
      <c r="CA86" s="27" t="s">
        <v>8</v>
      </c>
      <c r="CF86" s="27" t="s">
        <v>7</v>
      </c>
      <c r="CG86" s="27" t="s">
        <v>8</v>
      </c>
      <c r="CH86" s="27" t="s">
        <v>7</v>
      </c>
      <c r="CK86" s="27" t="s">
        <v>8</v>
      </c>
      <c r="CM86" s="34" t="s">
        <v>8</v>
      </c>
    </row>
    <row r="87" spans="1:118" x14ac:dyDescent="0.25">
      <c r="A87" s="30">
        <v>48176.483242533301</v>
      </c>
      <c r="E87"/>
      <c r="BK87" s="27" t="s">
        <v>8</v>
      </c>
      <c r="BL87" s="27" t="s">
        <v>7</v>
      </c>
      <c r="BS87" s="27" t="s">
        <v>8</v>
      </c>
      <c r="BT87" s="27" t="s">
        <v>7</v>
      </c>
      <c r="BU87" s="27" t="s">
        <v>8</v>
      </c>
      <c r="BV87" s="27" t="s">
        <v>7</v>
      </c>
      <c r="BW87" s="27" t="s">
        <v>8</v>
      </c>
      <c r="BX87" s="27" t="s">
        <v>7</v>
      </c>
      <c r="BY87" s="27" t="s">
        <v>8</v>
      </c>
      <c r="BZ87" s="27" t="s">
        <v>7</v>
      </c>
      <c r="CA87" s="27" t="s">
        <v>8</v>
      </c>
      <c r="CF87" s="27" t="s">
        <v>7</v>
      </c>
      <c r="CG87" s="27" t="s">
        <v>8</v>
      </c>
      <c r="CH87" s="27" t="s">
        <v>7</v>
      </c>
      <c r="CK87" s="27" t="s">
        <v>8</v>
      </c>
      <c r="CL87" s="27" t="s">
        <v>7</v>
      </c>
      <c r="CM87" s="27" t="s">
        <v>8</v>
      </c>
      <c r="CN87" s="34" t="s">
        <v>7</v>
      </c>
    </row>
    <row r="88" spans="1:118" x14ac:dyDescent="0.25">
      <c r="A88" s="30">
        <v>45882.364992888855</v>
      </c>
      <c r="E88"/>
      <c r="BK88" s="27" t="s">
        <v>8</v>
      </c>
      <c r="BL88" s="27" t="s">
        <v>7</v>
      </c>
      <c r="BM88" s="27" t="s">
        <v>8</v>
      </c>
      <c r="BS88" s="27" t="s">
        <v>8</v>
      </c>
      <c r="BT88" s="27" t="s">
        <v>7</v>
      </c>
      <c r="BV88" s="27" t="s">
        <v>7</v>
      </c>
      <c r="BW88" s="27" t="s">
        <v>8</v>
      </c>
      <c r="BX88" s="27" t="s">
        <v>7</v>
      </c>
      <c r="BY88" s="27" t="s">
        <v>8</v>
      </c>
      <c r="BZ88" s="27" t="s">
        <v>7</v>
      </c>
      <c r="CA88" s="27" t="s">
        <v>8</v>
      </c>
      <c r="CF88" s="27" t="s">
        <v>7</v>
      </c>
      <c r="CG88" s="27" t="s">
        <v>8</v>
      </c>
      <c r="CH88" s="27" t="s">
        <v>7</v>
      </c>
      <c r="CK88" s="33" t="s">
        <v>8</v>
      </c>
      <c r="CL88" s="27" t="s">
        <v>7</v>
      </c>
      <c r="CM88" s="27" t="s">
        <v>8</v>
      </c>
      <c r="CN88" s="27" t="s">
        <v>7</v>
      </c>
      <c r="CO88" s="34" t="s">
        <v>8</v>
      </c>
    </row>
    <row r="89" spans="1:118" x14ac:dyDescent="0.25">
      <c r="A89" s="30">
        <v>43697.490469417957</v>
      </c>
      <c r="E89"/>
      <c r="Q89" s="27" t="s">
        <v>8</v>
      </c>
      <c r="BK89" s="27" t="s">
        <v>8</v>
      </c>
      <c r="BL89" s="27" t="s">
        <v>7</v>
      </c>
      <c r="BM89" s="27" t="s">
        <v>8</v>
      </c>
      <c r="BN89" s="27" t="s">
        <v>7</v>
      </c>
      <c r="BS89" s="27" t="s">
        <v>8</v>
      </c>
      <c r="BV89" s="27" t="s">
        <v>7</v>
      </c>
      <c r="BX89" s="27" t="s">
        <v>7</v>
      </c>
      <c r="BZ89" s="27" t="s">
        <v>7</v>
      </c>
      <c r="CA89" s="27" t="s">
        <v>8</v>
      </c>
      <c r="CF89" s="27" t="s">
        <v>7</v>
      </c>
      <c r="CG89" s="27" t="s">
        <v>8</v>
      </c>
      <c r="CH89" s="27" t="s">
        <v>7</v>
      </c>
      <c r="CI89" s="27" t="s">
        <v>8</v>
      </c>
      <c r="CK89" s="27" t="s">
        <v>8</v>
      </c>
      <c r="CL89" s="27" t="s">
        <v>7</v>
      </c>
      <c r="CN89" s="27" t="s">
        <v>7</v>
      </c>
      <c r="CO89" s="27" t="s">
        <v>8</v>
      </c>
      <c r="CP89" s="34" t="s">
        <v>7</v>
      </c>
      <c r="CU89" s="27" t="s">
        <v>8</v>
      </c>
      <c r="CY89" s="34" t="s">
        <v>8</v>
      </c>
    </row>
    <row r="90" spans="1:118" x14ac:dyDescent="0.25">
      <c r="A90" s="30">
        <v>41616.657589921859</v>
      </c>
      <c r="E90"/>
      <c r="Q90" s="27" t="s">
        <v>8</v>
      </c>
      <c r="R90" s="27" t="s">
        <v>7</v>
      </c>
      <c r="S90" s="27" t="s">
        <v>8</v>
      </c>
      <c r="BK90" s="27" t="s">
        <v>8</v>
      </c>
      <c r="BL90" s="27" t="s">
        <v>7</v>
      </c>
      <c r="BM90" s="27" t="s">
        <v>8</v>
      </c>
      <c r="BN90" s="27" t="s">
        <v>7</v>
      </c>
      <c r="BQ90" s="27" t="s">
        <v>8</v>
      </c>
      <c r="BS90" s="27" t="s">
        <v>8</v>
      </c>
      <c r="BZ90" s="27" t="s">
        <v>7</v>
      </c>
      <c r="CA90" s="27" t="s">
        <v>8</v>
      </c>
      <c r="CF90" s="27" t="s">
        <v>7</v>
      </c>
      <c r="CG90" s="27" t="s">
        <v>8</v>
      </c>
      <c r="CH90" s="27" t="s">
        <v>7</v>
      </c>
      <c r="CI90" s="27" t="s">
        <v>8</v>
      </c>
      <c r="CJ90" s="27" t="s">
        <v>7</v>
      </c>
      <c r="CK90" s="27" t="s">
        <v>8</v>
      </c>
      <c r="CN90" s="32" t="s">
        <v>7</v>
      </c>
      <c r="CO90" s="27" t="s">
        <v>8</v>
      </c>
      <c r="CP90" s="27" t="s">
        <v>7</v>
      </c>
      <c r="CQ90" s="34"/>
      <c r="CU90" s="27" t="s">
        <v>8</v>
      </c>
      <c r="CV90" s="27" t="s">
        <v>7</v>
      </c>
      <c r="CW90" s="27" t="s">
        <v>8</v>
      </c>
      <c r="CY90" s="27" t="s">
        <v>8</v>
      </c>
      <c r="CZ90" s="34" t="s">
        <v>7</v>
      </c>
      <c r="DI90" s="27" t="s">
        <v>8</v>
      </c>
    </row>
    <row r="91" spans="1:118" x14ac:dyDescent="0.25">
      <c r="A91" s="30">
        <v>39634.911990401772</v>
      </c>
      <c r="E91"/>
      <c r="K91" s="27" t="s">
        <v>8</v>
      </c>
      <c r="Q91" s="27" t="s">
        <v>8</v>
      </c>
      <c r="R91" s="27" t="s">
        <v>7</v>
      </c>
      <c r="S91" s="27" t="s">
        <v>8</v>
      </c>
      <c r="T91" s="27" t="s">
        <v>7</v>
      </c>
      <c r="BA91" s="27" t="s">
        <v>8</v>
      </c>
      <c r="BE91" s="27" t="s">
        <v>8</v>
      </c>
      <c r="BK91" s="27" t="s">
        <v>8</v>
      </c>
      <c r="BL91" s="27" t="s">
        <v>7</v>
      </c>
      <c r="BN91" s="27" t="s">
        <v>7</v>
      </c>
      <c r="BQ91" s="27" t="s">
        <v>8</v>
      </c>
      <c r="BR91" s="27" t="s">
        <v>7</v>
      </c>
      <c r="BS91" s="27" t="s">
        <v>8</v>
      </c>
      <c r="BZ91" s="27" t="s">
        <v>7</v>
      </c>
      <c r="CA91" s="27" t="s">
        <v>8</v>
      </c>
      <c r="CF91" s="27" t="s">
        <v>7</v>
      </c>
      <c r="CG91" s="27" t="s">
        <v>8</v>
      </c>
      <c r="CH91" s="27" t="s">
        <v>7</v>
      </c>
      <c r="CI91" s="27" t="s">
        <v>8</v>
      </c>
      <c r="CJ91" s="27" t="s">
        <v>7</v>
      </c>
      <c r="CK91" s="27" t="s">
        <v>8</v>
      </c>
      <c r="CN91" s="27" t="s">
        <v>7</v>
      </c>
      <c r="CO91" s="27" t="s">
        <v>8</v>
      </c>
      <c r="CP91" s="27" t="s">
        <v>7</v>
      </c>
      <c r="CR91" s="34"/>
      <c r="CU91" s="33" t="s">
        <v>8</v>
      </c>
      <c r="CV91" s="27" t="s">
        <v>7</v>
      </c>
      <c r="CW91" s="27" t="s">
        <v>8</v>
      </c>
      <c r="CX91" s="27" t="s">
        <v>7</v>
      </c>
      <c r="CY91" s="27" t="s">
        <v>8</v>
      </c>
      <c r="CZ91" s="27" t="s">
        <v>7</v>
      </c>
      <c r="DA91" s="34"/>
      <c r="DC91" s="19"/>
      <c r="DI91" s="27" t="s">
        <v>8</v>
      </c>
      <c r="DJ91" s="27" t="s">
        <v>7</v>
      </c>
    </row>
    <row r="92" spans="1:118" x14ac:dyDescent="0.25">
      <c r="A92" s="30">
        <v>37747.535228954068</v>
      </c>
      <c r="E92"/>
      <c r="K92" s="27" t="s">
        <v>8</v>
      </c>
      <c r="L92" s="27" t="s">
        <v>7</v>
      </c>
      <c r="Q92" s="27" t="s">
        <v>8</v>
      </c>
      <c r="R92" s="27" t="s">
        <v>7</v>
      </c>
      <c r="S92" s="27" t="s">
        <v>8</v>
      </c>
      <c r="T92" s="27" t="s">
        <v>7</v>
      </c>
      <c r="BA92" s="27" t="s">
        <v>8</v>
      </c>
      <c r="BB92" s="27" t="s">
        <v>7</v>
      </c>
      <c r="BE92" s="27" t="s">
        <v>8</v>
      </c>
      <c r="BF92" s="27" t="s">
        <v>7</v>
      </c>
      <c r="BK92" s="27" t="s">
        <v>8</v>
      </c>
      <c r="BN92" s="27" t="s">
        <v>7</v>
      </c>
      <c r="BQ92" s="27" t="s">
        <v>8</v>
      </c>
      <c r="BR92" s="27" t="s">
        <v>7</v>
      </c>
      <c r="BS92" s="27" t="s">
        <v>8</v>
      </c>
      <c r="BZ92" s="27" t="s">
        <v>7</v>
      </c>
      <c r="CF92" s="27" t="s">
        <v>7</v>
      </c>
      <c r="CG92" s="27" t="s">
        <v>8</v>
      </c>
      <c r="CH92" s="27" t="s">
        <v>7</v>
      </c>
      <c r="CI92" s="27" t="s">
        <v>8</v>
      </c>
      <c r="CJ92" s="27" t="s">
        <v>7</v>
      </c>
      <c r="CK92" s="27" t="s">
        <v>8</v>
      </c>
      <c r="CN92" s="27" t="s">
        <v>7</v>
      </c>
      <c r="CP92" s="27" t="s">
        <v>7</v>
      </c>
      <c r="CS92" s="34" t="s">
        <v>8</v>
      </c>
      <c r="CU92" s="27" t="s">
        <v>8</v>
      </c>
      <c r="CV92" s="27" t="s">
        <v>7</v>
      </c>
      <c r="CW92" s="27" t="s">
        <v>8</v>
      </c>
      <c r="CX92" s="27" t="s">
        <v>7</v>
      </c>
      <c r="CY92" s="27" t="s">
        <v>8</v>
      </c>
      <c r="CZ92" s="27" t="s">
        <v>7</v>
      </c>
      <c r="DA92" s="35" t="s">
        <v>8</v>
      </c>
      <c r="DB92" s="34"/>
      <c r="DC92" s="35" t="s">
        <v>8</v>
      </c>
      <c r="DG92" s="27" t="s">
        <v>8</v>
      </c>
      <c r="DI92" s="27" t="s">
        <v>8</v>
      </c>
      <c r="DJ92" s="27" t="s">
        <v>7</v>
      </c>
    </row>
    <row r="93" spans="1:118" x14ac:dyDescent="0.25">
      <c r="A93" s="30">
        <v>35950.033551384826</v>
      </c>
      <c r="E93"/>
      <c r="K93" s="27" t="s">
        <v>8</v>
      </c>
      <c r="L93" s="27" t="s">
        <v>7</v>
      </c>
      <c r="Q93" s="27" t="s">
        <v>8</v>
      </c>
      <c r="R93" s="27" t="s">
        <v>7</v>
      </c>
      <c r="S93" s="27" t="s">
        <v>8</v>
      </c>
      <c r="T93" s="27" t="s">
        <v>7</v>
      </c>
      <c r="U93" s="27" t="s">
        <v>8</v>
      </c>
      <c r="BA93" s="27" t="s">
        <v>8</v>
      </c>
      <c r="BB93" s="27" t="s">
        <v>7</v>
      </c>
      <c r="BE93" s="27" t="s">
        <v>8</v>
      </c>
      <c r="BF93" s="27" t="s">
        <v>7</v>
      </c>
      <c r="BK93" s="27" t="s">
        <v>8</v>
      </c>
      <c r="BN93" s="27" t="s">
        <v>7</v>
      </c>
      <c r="BO93" s="27" t="s">
        <v>8</v>
      </c>
      <c r="BQ93" s="27" t="s">
        <v>8</v>
      </c>
      <c r="BR93" s="27" t="s">
        <v>7</v>
      </c>
      <c r="BS93" s="27" t="s">
        <v>8</v>
      </c>
      <c r="CF93" s="27" t="s">
        <v>7</v>
      </c>
      <c r="CG93" s="27" t="s">
        <v>8</v>
      </c>
      <c r="CH93" s="27" t="s">
        <v>7</v>
      </c>
      <c r="CJ93" s="27" t="s">
        <v>7</v>
      </c>
      <c r="CK93" s="27" t="s">
        <v>8</v>
      </c>
      <c r="CP93" s="27" t="s">
        <v>7</v>
      </c>
      <c r="CS93" s="27" t="s">
        <v>8</v>
      </c>
      <c r="CT93" s="34" t="s">
        <v>7</v>
      </c>
      <c r="CU93" s="27" t="s">
        <v>8</v>
      </c>
      <c r="CV93" s="27" t="s">
        <v>7</v>
      </c>
      <c r="CX93" s="27" t="s">
        <v>7</v>
      </c>
      <c r="CZ93" s="27" t="s">
        <v>7</v>
      </c>
      <c r="DA93" s="19" t="s">
        <v>8</v>
      </c>
      <c r="DB93" s="27" t="s">
        <v>7</v>
      </c>
      <c r="DC93" s="34" t="s">
        <v>8</v>
      </c>
      <c r="DD93" s="27" t="s">
        <v>7</v>
      </c>
      <c r="DG93" s="27" t="s">
        <v>8</v>
      </c>
      <c r="DH93" s="27" t="s">
        <v>7</v>
      </c>
      <c r="DI93" s="27" t="s">
        <v>8</v>
      </c>
      <c r="DJ93" s="27" t="s">
        <v>7</v>
      </c>
      <c r="DK93" s="27" t="s">
        <v>8</v>
      </c>
    </row>
    <row r="94" spans="1:118" x14ac:dyDescent="0.25">
      <c r="A94" s="30">
        <v>34238.127191795073</v>
      </c>
      <c r="E94"/>
      <c r="K94" s="27" t="s">
        <v>8</v>
      </c>
      <c r="L94" s="27" t="s">
        <v>7</v>
      </c>
      <c r="Q94" s="27" t="s">
        <v>8</v>
      </c>
      <c r="R94" s="27" t="s">
        <v>7</v>
      </c>
      <c r="S94" s="27" t="s">
        <v>8</v>
      </c>
      <c r="T94" s="27" t="s">
        <v>7</v>
      </c>
      <c r="U94" s="27" t="s">
        <v>8</v>
      </c>
      <c r="V94" s="27" t="s">
        <v>7</v>
      </c>
      <c r="BA94" s="27" t="s">
        <v>8</v>
      </c>
      <c r="BB94" s="27" t="s">
        <v>7</v>
      </c>
      <c r="BC94" s="27" t="s">
        <v>8</v>
      </c>
      <c r="BE94" s="27" t="s">
        <v>8</v>
      </c>
      <c r="BF94" s="27" t="s">
        <v>7</v>
      </c>
      <c r="BI94" s="27" t="s">
        <v>8</v>
      </c>
      <c r="BK94" s="27" t="s">
        <v>8</v>
      </c>
      <c r="BN94" s="27" t="s">
        <v>7</v>
      </c>
      <c r="BO94" s="27" t="s">
        <v>8</v>
      </c>
      <c r="BP94" s="27" t="s">
        <v>7</v>
      </c>
      <c r="BQ94" s="27" t="s">
        <v>8</v>
      </c>
      <c r="BR94" s="27" t="s">
        <v>7</v>
      </c>
      <c r="BS94" s="27" t="s">
        <v>8</v>
      </c>
      <c r="CF94" s="27" t="s">
        <v>7</v>
      </c>
      <c r="CJ94" s="27" t="s">
        <v>7</v>
      </c>
      <c r="CK94" s="27" t="s">
        <v>8</v>
      </c>
      <c r="CP94" s="27" t="s">
        <v>7</v>
      </c>
      <c r="CS94" s="27" t="s">
        <v>8</v>
      </c>
      <c r="CT94" s="27" t="s">
        <v>7</v>
      </c>
      <c r="CU94" s="34" t="s">
        <v>8</v>
      </c>
      <c r="CZ94" s="34" t="s">
        <v>7</v>
      </c>
      <c r="DA94" s="27" t="s">
        <v>8</v>
      </c>
      <c r="DB94" s="27" t="s">
        <v>7</v>
      </c>
      <c r="DC94" s="27" t="s">
        <v>8</v>
      </c>
      <c r="DD94" s="27" t="s">
        <v>7</v>
      </c>
      <c r="DG94" s="27" t="s">
        <v>8</v>
      </c>
      <c r="DH94" s="27" t="s">
        <v>7</v>
      </c>
      <c r="DI94" s="27" t="s">
        <v>8</v>
      </c>
      <c r="DJ94" s="27" t="s">
        <v>7</v>
      </c>
      <c r="DK94" s="27" t="s">
        <v>8</v>
      </c>
      <c r="DL94" s="27" t="s">
        <v>7</v>
      </c>
      <c r="DM94" s="27" t="s">
        <v>8</v>
      </c>
    </row>
    <row r="95" spans="1:118" x14ac:dyDescent="0.25">
      <c r="A95" s="30">
        <v>32607.740182661972</v>
      </c>
      <c r="E95"/>
      <c r="K95" s="27" t="s">
        <v>8</v>
      </c>
      <c r="L95" s="27" t="s">
        <v>7</v>
      </c>
      <c r="M95" s="27" t="s">
        <v>8</v>
      </c>
      <c r="Q95" s="27" t="s">
        <v>8</v>
      </c>
      <c r="R95" s="27" t="s">
        <v>7</v>
      </c>
      <c r="T95" s="27" t="s">
        <v>7</v>
      </c>
      <c r="U95" s="27" t="s">
        <v>8</v>
      </c>
      <c r="V95" s="27" t="s">
        <v>7</v>
      </c>
      <c r="Y95" s="27" t="s">
        <v>8</v>
      </c>
      <c r="BA95" s="27" t="s">
        <v>8</v>
      </c>
      <c r="BB95" s="27" t="s">
        <v>7</v>
      </c>
      <c r="BC95" s="27" t="s">
        <v>8</v>
      </c>
      <c r="BD95" s="27" t="s">
        <v>7</v>
      </c>
      <c r="BE95" s="27" t="s">
        <v>8</v>
      </c>
      <c r="BF95" s="27" t="s">
        <v>7</v>
      </c>
      <c r="BG95" s="27" t="s">
        <v>8</v>
      </c>
      <c r="BI95" s="27" t="s">
        <v>8</v>
      </c>
      <c r="BJ95" s="27" t="s">
        <v>7</v>
      </c>
      <c r="BK95" s="27" t="s">
        <v>8</v>
      </c>
      <c r="BN95" s="27" t="s">
        <v>7</v>
      </c>
      <c r="BO95" s="27" t="s">
        <v>8</v>
      </c>
      <c r="BP95" s="27" t="s">
        <v>7</v>
      </c>
      <c r="BQ95" s="27" t="s">
        <v>8</v>
      </c>
      <c r="BR95" s="27" t="s">
        <v>7</v>
      </c>
      <c r="BS95" s="27" t="s">
        <v>8</v>
      </c>
      <c r="CJ95" s="27" t="s">
        <v>7</v>
      </c>
      <c r="CK95" s="27" t="s">
        <v>8</v>
      </c>
      <c r="CP95" s="27" t="s">
        <v>7</v>
      </c>
      <c r="CS95" s="33" t="s">
        <v>8</v>
      </c>
      <c r="CT95" s="27" t="s">
        <v>7</v>
      </c>
      <c r="CU95" s="27" t="s">
        <v>8</v>
      </c>
      <c r="CY95" s="34"/>
      <c r="CZ95" s="27" t="s">
        <v>7</v>
      </c>
      <c r="DA95" s="27" t="s">
        <v>8</v>
      </c>
      <c r="DB95" s="27" t="s">
        <v>7</v>
      </c>
      <c r="DC95" s="27" t="s">
        <v>8</v>
      </c>
      <c r="DD95" s="27" t="s">
        <v>7</v>
      </c>
      <c r="DG95" s="27" t="s">
        <v>8</v>
      </c>
      <c r="DH95" s="27" t="s">
        <v>7</v>
      </c>
      <c r="DI95" s="27" t="s">
        <v>8</v>
      </c>
      <c r="DJ95" s="27" t="s">
        <v>7</v>
      </c>
      <c r="DK95" s="27" t="s">
        <v>8</v>
      </c>
      <c r="DL95" s="27" t="s">
        <v>7</v>
      </c>
      <c r="DM95" s="27" t="s">
        <v>8</v>
      </c>
      <c r="DN95" s="27" t="s">
        <v>7</v>
      </c>
    </row>
    <row r="96" spans="1:118" x14ac:dyDescent="0.25">
      <c r="A96" s="30">
        <v>31054.990650154257</v>
      </c>
      <c r="C96" s="1" t="s">
        <v>15</v>
      </c>
      <c r="E96"/>
      <c r="K96" s="27" t="s">
        <v>8</v>
      </c>
      <c r="L96" s="27" t="s">
        <v>7</v>
      </c>
      <c r="M96" s="27" t="s">
        <v>8</v>
      </c>
      <c r="N96" s="27" t="s">
        <v>7</v>
      </c>
      <c r="Q96" s="27" t="s">
        <v>8</v>
      </c>
      <c r="T96" s="27" t="s">
        <v>7</v>
      </c>
      <c r="V96" s="27" t="s">
        <v>7</v>
      </c>
      <c r="Y96" s="27" t="s">
        <v>8</v>
      </c>
      <c r="Z96" s="27" t="s">
        <v>7</v>
      </c>
      <c r="AS96" s="27" t="s">
        <v>8</v>
      </c>
      <c r="BA96" s="27" t="s">
        <v>8</v>
      </c>
      <c r="BB96" s="27" t="s">
        <v>7</v>
      </c>
      <c r="BC96" s="27" t="s">
        <v>8</v>
      </c>
      <c r="BD96" s="27" t="s">
        <v>7</v>
      </c>
      <c r="BE96" s="27" t="s">
        <v>8</v>
      </c>
      <c r="BF96" s="27" t="s">
        <v>7</v>
      </c>
      <c r="BG96" s="27" t="s">
        <v>8</v>
      </c>
      <c r="BH96" s="27" t="s">
        <v>7</v>
      </c>
      <c r="BI96" s="27" t="s">
        <v>8</v>
      </c>
      <c r="BJ96" s="27" t="s">
        <v>7</v>
      </c>
      <c r="BK96" s="27" t="s">
        <v>8</v>
      </c>
      <c r="BN96" s="27" t="s">
        <v>7</v>
      </c>
      <c r="BO96" s="27" t="s">
        <v>8</v>
      </c>
      <c r="BP96" s="27" t="s">
        <v>7</v>
      </c>
      <c r="BQ96" s="27" t="s">
        <v>8</v>
      </c>
      <c r="BR96" s="27" t="s">
        <v>7</v>
      </c>
      <c r="CJ96" s="27" t="s">
        <v>7</v>
      </c>
      <c r="CK96" s="27" t="s">
        <v>8</v>
      </c>
      <c r="CP96" s="27" t="s">
        <v>7</v>
      </c>
      <c r="CQ96" s="27" t="s">
        <v>8</v>
      </c>
      <c r="CS96" s="27" t="s">
        <v>8</v>
      </c>
      <c r="CT96" s="27" t="s">
        <v>7</v>
      </c>
      <c r="CU96" s="27" t="s">
        <v>8</v>
      </c>
      <c r="CX96" s="34"/>
      <c r="CZ96" s="27" t="s">
        <v>7</v>
      </c>
      <c r="DB96" s="27" t="s">
        <v>7</v>
      </c>
      <c r="DC96" s="27" t="s">
        <v>8</v>
      </c>
      <c r="DD96" s="27" t="s">
        <v>7</v>
      </c>
      <c r="DE96" s="34"/>
      <c r="DG96" s="27" t="s">
        <v>8</v>
      </c>
      <c r="DH96" s="27" t="s">
        <v>7</v>
      </c>
      <c r="DI96" s="27" t="s">
        <v>8</v>
      </c>
      <c r="DJ96" s="27" t="s">
        <v>7</v>
      </c>
      <c r="DL96" s="27" t="s">
        <v>7</v>
      </c>
      <c r="DM96" s="27" t="s">
        <v>8</v>
      </c>
      <c r="DN96" s="27" t="s">
        <v>7</v>
      </c>
    </row>
    <row r="97" spans="1:119" x14ac:dyDescent="0.25">
      <c r="A97" s="30">
        <v>29576.181571575482</v>
      </c>
      <c r="C97" s="7">
        <v>0.11686133436193799</v>
      </c>
      <c r="D97"/>
      <c r="E97"/>
      <c r="K97" s="27" t="s">
        <v>8</v>
      </c>
      <c r="L97" s="27" t="s">
        <v>7</v>
      </c>
      <c r="M97" s="27" t="s">
        <v>8</v>
      </c>
      <c r="N97" s="27" t="s">
        <v>7</v>
      </c>
      <c r="Q97" s="27" t="s">
        <v>8</v>
      </c>
      <c r="V97" s="27" t="s">
        <v>7</v>
      </c>
      <c r="Y97" s="27" t="s">
        <v>8</v>
      </c>
      <c r="Z97" s="27" t="s">
        <v>7</v>
      </c>
      <c r="AO97" s="27" t="s">
        <v>8</v>
      </c>
      <c r="AS97" s="27" t="s">
        <v>8</v>
      </c>
      <c r="AT97" s="27" t="s">
        <v>7</v>
      </c>
      <c r="BA97" s="27" t="s">
        <v>8</v>
      </c>
      <c r="BB97" s="27" t="s">
        <v>7</v>
      </c>
      <c r="BC97" s="27" t="s">
        <v>8</v>
      </c>
      <c r="BD97" s="27" t="s">
        <v>7</v>
      </c>
      <c r="BF97" s="27" t="s">
        <v>7</v>
      </c>
      <c r="BG97" s="27" t="s">
        <v>8</v>
      </c>
      <c r="BH97" s="27" t="s">
        <v>7</v>
      </c>
      <c r="BI97" s="27" t="s">
        <v>8</v>
      </c>
      <c r="BJ97" s="27" t="s">
        <v>7</v>
      </c>
      <c r="BN97" s="27" t="s">
        <v>7</v>
      </c>
      <c r="BP97" s="27" t="s">
        <v>7</v>
      </c>
      <c r="BQ97" s="27" t="s">
        <v>8</v>
      </c>
      <c r="CJ97" s="27" t="s">
        <v>7</v>
      </c>
      <c r="CK97" s="27" t="s">
        <v>8</v>
      </c>
      <c r="CP97" s="27" t="s">
        <v>7</v>
      </c>
      <c r="CQ97" s="27" t="s">
        <v>8</v>
      </c>
      <c r="CR97" s="27" t="s">
        <v>7</v>
      </c>
      <c r="CS97" s="27" t="s">
        <v>8</v>
      </c>
      <c r="CT97" s="27" t="s">
        <v>7</v>
      </c>
      <c r="CU97" s="27" t="s">
        <v>8</v>
      </c>
      <c r="CW97" s="34"/>
      <c r="DB97" s="27" t="s">
        <v>7</v>
      </c>
      <c r="DC97" s="27" t="s">
        <v>8</v>
      </c>
      <c r="DD97" s="34" t="s">
        <v>7</v>
      </c>
      <c r="DG97" s="27" t="s">
        <v>8</v>
      </c>
      <c r="DH97" s="27" t="s">
        <v>7</v>
      </c>
      <c r="DI97" s="27" t="s">
        <v>8</v>
      </c>
      <c r="DL97" s="27" t="s">
        <v>7</v>
      </c>
      <c r="DN97" s="27" t="s">
        <v>7</v>
      </c>
    </row>
    <row r="98" spans="1:119" x14ac:dyDescent="0.25">
      <c r="A98" s="30">
        <v>28167.79197292903</v>
      </c>
      <c r="E98"/>
      <c r="K98" s="27" t="s">
        <v>8</v>
      </c>
      <c r="L98" s="27" t="s">
        <v>7</v>
      </c>
      <c r="M98" s="27" t="s">
        <v>8</v>
      </c>
      <c r="N98" s="27" t="s">
        <v>7</v>
      </c>
      <c r="Q98" s="27" t="s">
        <v>8</v>
      </c>
      <c r="V98" s="27" t="s">
        <v>7</v>
      </c>
      <c r="Y98" s="27" t="s">
        <v>8</v>
      </c>
      <c r="Z98" s="27" t="s">
        <v>7</v>
      </c>
      <c r="AO98" s="27" t="s">
        <v>8</v>
      </c>
      <c r="AP98" s="27" t="s">
        <v>7</v>
      </c>
      <c r="AS98" s="27" t="s">
        <v>8</v>
      </c>
      <c r="AT98" s="27" t="s">
        <v>7</v>
      </c>
      <c r="AU98" s="27" t="s">
        <v>8</v>
      </c>
      <c r="BA98" s="27" t="s">
        <v>8</v>
      </c>
      <c r="BB98" s="27" t="s">
        <v>7</v>
      </c>
      <c r="BC98" s="27" t="s">
        <v>8</v>
      </c>
      <c r="BF98" s="27" t="s">
        <v>7</v>
      </c>
      <c r="BG98" s="27" t="s">
        <v>8</v>
      </c>
      <c r="BH98" s="27" t="s">
        <v>7</v>
      </c>
      <c r="BP98" s="27" t="s">
        <v>7</v>
      </c>
      <c r="CJ98" s="27" t="s">
        <v>7</v>
      </c>
      <c r="CK98" s="27" t="s">
        <v>8</v>
      </c>
      <c r="CP98" s="27" t="s">
        <v>7</v>
      </c>
      <c r="CQ98" s="27" t="s">
        <v>8</v>
      </c>
      <c r="CR98" s="27" t="s">
        <v>7</v>
      </c>
      <c r="CS98" s="27" t="s">
        <v>8</v>
      </c>
      <c r="CT98" s="27" t="s">
        <v>7</v>
      </c>
      <c r="CU98" s="27" t="s">
        <v>8</v>
      </c>
      <c r="CV98" s="34"/>
      <c r="DB98" s="27" t="s">
        <v>7</v>
      </c>
      <c r="DC98" s="34" t="s">
        <v>8</v>
      </c>
      <c r="DD98" s="27" t="s">
        <v>7</v>
      </c>
      <c r="DG98" s="27" t="s">
        <v>8</v>
      </c>
      <c r="DH98" s="27" t="s">
        <v>7</v>
      </c>
      <c r="DN98" s="27" t="s">
        <v>7</v>
      </c>
    </row>
    <row r="99" spans="1:119" x14ac:dyDescent="0.25">
      <c r="A99" s="30">
        <v>26826.468545646694</v>
      </c>
      <c r="C99" s="1" t="s">
        <v>11</v>
      </c>
      <c r="D99" s="1" t="s">
        <v>12</v>
      </c>
      <c r="E99"/>
      <c r="K99" s="27" t="s">
        <v>8</v>
      </c>
      <c r="L99" s="27" t="s">
        <v>7</v>
      </c>
      <c r="M99" s="27" t="s">
        <v>8</v>
      </c>
      <c r="N99" s="27" t="s">
        <v>7</v>
      </c>
      <c r="Q99" s="27" t="s">
        <v>8</v>
      </c>
      <c r="V99" s="27" t="s">
        <v>7</v>
      </c>
      <c r="W99" s="27" t="s">
        <v>8</v>
      </c>
      <c r="Y99" s="27" t="s">
        <v>8</v>
      </c>
      <c r="Z99" s="27" t="s">
        <v>7</v>
      </c>
      <c r="AO99" s="27" t="s">
        <v>8</v>
      </c>
      <c r="AP99" s="27" t="s">
        <v>7</v>
      </c>
      <c r="AS99" s="27" t="s">
        <v>8</v>
      </c>
      <c r="AT99" s="27" t="s">
        <v>7</v>
      </c>
      <c r="AU99" s="27" t="s">
        <v>8</v>
      </c>
      <c r="AV99" s="27" t="s">
        <v>7</v>
      </c>
      <c r="BA99" s="27" t="s">
        <v>8</v>
      </c>
      <c r="BB99" s="27" t="s">
        <v>7</v>
      </c>
      <c r="BC99" s="27" t="s">
        <v>8</v>
      </c>
      <c r="BF99" s="27" t="s">
        <v>7</v>
      </c>
      <c r="CJ99" s="27" t="s">
        <v>7</v>
      </c>
      <c r="CK99" s="27" t="s">
        <v>8</v>
      </c>
      <c r="CP99" s="27" t="s">
        <v>7</v>
      </c>
      <c r="CQ99" s="27" t="s">
        <v>8</v>
      </c>
      <c r="CR99" s="27" t="s">
        <v>7</v>
      </c>
      <c r="CT99" s="18" t="s">
        <v>7</v>
      </c>
      <c r="CU99" s="34" t="s">
        <v>8</v>
      </c>
      <c r="DB99" s="34" t="s">
        <v>7</v>
      </c>
      <c r="DD99" s="27" t="s">
        <v>7</v>
      </c>
      <c r="DG99" s="27" t="s">
        <v>8</v>
      </c>
      <c r="DN99" s="27" t="s">
        <v>7</v>
      </c>
    </row>
    <row r="100" spans="1:119" x14ac:dyDescent="0.25">
      <c r="A100" s="30">
        <v>25549.017662520659</v>
      </c>
      <c r="C100"/>
      <c r="D100"/>
      <c r="E100"/>
      <c r="K100" s="27" t="s">
        <v>8</v>
      </c>
      <c r="L100" s="27" t="s">
        <v>7</v>
      </c>
      <c r="N100" s="27" t="s">
        <v>7</v>
      </c>
      <c r="Q100" s="27" t="s">
        <v>8</v>
      </c>
      <c r="V100" s="27" t="s">
        <v>7</v>
      </c>
      <c r="W100" s="27" t="s">
        <v>8</v>
      </c>
      <c r="X100" s="27" t="s">
        <v>7</v>
      </c>
      <c r="Y100" s="27" t="s">
        <v>8</v>
      </c>
      <c r="Z100" s="27" t="s">
        <v>7</v>
      </c>
      <c r="AA100" s="27" t="s">
        <v>8</v>
      </c>
      <c r="AO100" s="27" t="s">
        <v>8</v>
      </c>
      <c r="AP100" s="27" t="s">
        <v>7</v>
      </c>
      <c r="AQ100" s="27" t="s">
        <v>8</v>
      </c>
      <c r="AS100" s="27" t="s">
        <v>8</v>
      </c>
      <c r="AT100" s="27" t="s">
        <v>7</v>
      </c>
      <c r="AU100" s="27" t="s">
        <v>8</v>
      </c>
      <c r="AV100" s="27" t="s">
        <v>7</v>
      </c>
      <c r="AY100" s="27" t="s">
        <v>8</v>
      </c>
      <c r="BA100" s="27" t="s">
        <v>8</v>
      </c>
      <c r="BB100" s="27" t="s">
        <v>7</v>
      </c>
      <c r="CJ100" s="27" t="s">
        <v>7</v>
      </c>
      <c r="CK100" s="27" t="s">
        <v>8</v>
      </c>
      <c r="CP100" s="27" t="s">
        <v>7</v>
      </c>
      <c r="CT100" s="32" t="s">
        <v>7</v>
      </c>
      <c r="DD100" s="27" t="s">
        <v>7</v>
      </c>
      <c r="DG100" s="27" t="s">
        <v>8</v>
      </c>
      <c r="DL100" s="34"/>
      <c r="DN100" s="27" t="s">
        <v>7</v>
      </c>
      <c r="DO100" s="27" t="s">
        <v>8</v>
      </c>
    </row>
    <row r="101" spans="1:119" x14ac:dyDescent="0.25">
      <c r="A101" s="30">
        <v>24332.397773829198</v>
      </c>
      <c r="E101"/>
      <c r="K101" s="27" t="s">
        <v>8</v>
      </c>
      <c r="N101" s="27" t="s">
        <v>7</v>
      </c>
      <c r="O101" s="27" t="s">
        <v>8</v>
      </c>
      <c r="Q101" s="27" t="s">
        <v>8</v>
      </c>
      <c r="V101" s="27" t="s">
        <v>7</v>
      </c>
      <c r="W101" s="27" t="s">
        <v>8</v>
      </c>
      <c r="X101" s="27" t="s">
        <v>7</v>
      </c>
      <c r="Y101" s="27" t="s">
        <v>8</v>
      </c>
      <c r="Z101" s="27" t="s">
        <v>7</v>
      </c>
      <c r="AA101" s="27" t="s">
        <v>8</v>
      </c>
      <c r="AB101" s="27" t="s">
        <v>7</v>
      </c>
      <c r="AO101" s="27" t="s">
        <v>8</v>
      </c>
      <c r="AP101" s="27" t="s">
        <v>7</v>
      </c>
      <c r="AQ101" s="27" t="s">
        <v>8</v>
      </c>
      <c r="AR101" s="27" t="s">
        <v>7</v>
      </c>
      <c r="AS101" s="27" t="s">
        <v>8</v>
      </c>
      <c r="AT101" s="27" t="s">
        <v>7</v>
      </c>
      <c r="AU101" s="27" t="s">
        <v>8</v>
      </c>
      <c r="AV101" s="27" t="s">
        <v>7</v>
      </c>
      <c r="AW101" s="27" t="s">
        <v>8</v>
      </c>
      <c r="AY101" s="27" t="s">
        <v>8</v>
      </c>
      <c r="AZ101" s="27" t="s">
        <v>7</v>
      </c>
      <c r="BA101" s="27" t="s">
        <v>8</v>
      </c>
      <c r="CJ101" s="27" t="s">
        <v>7</v>
      </c>
      <c r="DD101" s="27" t="s">
        <v>7</v>
      </c>
      <c r="DE101" s="27" t="s">
        <v>8</v>
      </c>
      <c r="DG101" s="27" t="s">
        <v>8</v>
      </c>
      <c r="DK101" s="34"/>
      <c r="DN101" s="27" t="s">
        <v>7</v>
      </c>
      <c r="DO101" s="27" t="s">
        <v>8</v>
      </c>
    </row>
    <row r="102" spans="1:119" x14ac:dyDescent="0.25">
      <c r="A102" s="30">
        <v>23173.712165551617</v>
      </c>
      <c r="C102" s="1" t="s">
        <v>13</v>
      </c>
      <c r="E102"/>
      <c r="K102" s="27" t="s">
        <v>8</v>
      </c>
      <c r="N102" s="27" t="s">
        <v>7</v>
      </c>
      <c r="O102" s="27" t="s">
        <v>8</v>
      </c>
      <c r="P102" s="27" t="s">
        <v>7</v>
      </c>
      <c r="Q102" s="27" t="s">
        <v>8</v>
      </c>
      <c r="V102" s="27" t="s">
        <v>7</v>
      </c>
      <c r="W102" s="27" t="s">
        <v>8</v>
      </c>
      <c r="X102" s="27" t="s">
        <v>7</v>
      </c>
      <c r="Y102" s="27" t="s">
        <v>8</v>
      </c>
      <c r="Z102" s="27" t="s">
        <v>7</v>
      </c>
      <c r="AA102" s="27" t="s">
        <v>8</v>
      </c>
      <c r="AB102" s="27" t="s">
        <v>7</v>
      </c>
      <c r="AO102" s="27" t="s">
        <v>8</v>
      </c>
      <c r="AP102" s="27" t="s">
        <v>7</v>
      </c>
      <c r="AQ102" s="27" t="s">
        <v>8</v>
      </c>
      <c r="AR102" s="27" t="s">
        <v>7</v>
      </c>
      <c r="AS102" s="27" t="s">
        <v>8</v>
      </c>
      <c r="AT102" s="27" t="s">
        <v>7</v>
      </c>
      <c r="AU102" s="27" t="s">
        <v>8</v>
      </c>
      <c r="AV102" s="27" t="s">
        <v>7</v>
      </c>
      <c r="AW102" s="27" t="s">
        <v>8</v>
      </c>
      <c r="AX102" s="27" t="s">
        <v>7</v>
      </c>
      <c r="AY102" s="27" t="s">
        <v>8</v>
      </c>
      <c r="AZ102" s="27" t="s">
        <v>7</v>
      </c>
      <c r="BA102" s="27" t="s">
        <v>8</v>
      </c>
      <c r="DD102" s="27" t="s">
        <v>7</v>
      </c>
      <c r="DE102" s="27" t="s">
        <v>8</v>
      </c>
      <c r="DF102" s="27" t="s">
        <v>7</v>
      </c>
      <c r="DG102" s="27" t="s">
        <v>8</v>
      </c>
      <c r="DJ102" s="34"/>
      <c r="DN102" s="27" t="s">
        <v>7</v>
      </c>
      <c r="DO102" s="27" t="s">
        <v>8</v>
      </c>
    </row>
    <row r="103" spans="1:119" x14ac:dyDescent="0.25">
      <c r="A103" s="30">
        <v>22070.202062430111</v>
      </c>
      <c r="C103" s="1">
        <f>C92</f>
        <v>0</v>
      </c>
      <c r="E103"/>
      <c r="K103" s="27" t="s">
        <v>8</v>
      </c>
      <c r="N103" s="27" t="s">
        <v>7</v>
      </c>
      <c r="O103" s="27" t="s">
        <v>8</v>
      </c>
      <c r="P103" s="27" t="s">
        <v>7</v>
      </c>
      <c r="Q103" s="27" t="s">
        <v>8</v>
      </c>
      <c r="V103" s="27" t="s">
        <v>7</v>
      </c>
      <c r="X103" s="27" t="s">
        <v>7</v>
      </c>
      <c r="Y103" s="27" t="s">
        <v>8</v>
      </c>
      <c r="Z103" s="27" t="s">
        <v>7</v>
      </c>
      <c r="AB103" s="27" t="s">
        <v>7</v>
      </c>
      <c r="AO103" s="27" t="s">
        <v>8</v>
      </c>
      <c r="AP103" s="27" t="s">
        <v>7</v>
      </c>
      <c r="AR103" s="27" t="s">
        <v>7</v>
      </c>
      <c r="AS103" s="27" t="s">
        <v>8</v>
      </c>
      <c r="AT103" s="27" t="s">
        <v>7</v>
      </c>
      <c r="AV103" s="27" t="s">
        <v>7</v>
      </c>
      <c r="AW103" s="27" t="s">
        <v>8</v>
      </c>
      <c r="AX103" s="27" t="s">
        <v>7</v>
      </c>
      <c r="AY103" s="27" t="s">
        <v>8</v>
      </c>
      <c r="AZ103" s="27" t="s">
        <v>7</v>
      </c>
      <c r="DD103" s="27" t="s">
        <v>7</v>
      </c>
      <c r="DE103" s="27" t="s">
        <v>8</v>
      </c>
      <c r="DF103" s="27" t="s">
        <v>7</v>
      </c>
      <c r="DG103" s="27" t="s">
        <v>8</v>
      </c>
      <c r="DI103" s="34"/>
      <c r="DN103" s="27" t="s">
        <v>7</v>
      </c>
      <c r="DO103" s="27" t="s">
        <v>8</v>
      </c>
    </row>
    <row r="104" spans="1:119" x14ac:dyDescent="0.25">
      <c r="A104" s="30">
        <v>21019.240059457246</v>
      </c>
      <c r="C104"/>
      <c r="E104"/>
      <c r="K104" s="27" t="s">
        <v>8</v>
      </c>
      <c r="N104" s="27" t="s">
        <v>7</v>
      </c>
      <c r="O104" s="27" t="s">
        <v>8</v>
      </c>
      <c r="P104" s="27" t="s">
        <v>7</v>
      </c>
      <c r="X104" s="27" t="s">
        <v>7</v>
      </c>
      <c r="AB104" s="27" t="s">
        <v>7</v>
      </c>
      <c r="AO104" s="27" t="s">
        <v>8</v>
      </c>
      <c r="AR104" s="27" t="s">
        <v>7</v>
      </c>
      <c r="AS104" s="27" t="s">
        <v>8</v>
      </c>
      <c r="AV104" s="27" t="s">
        <v>7</v>
      </c>
      <c r="AW104" s="27" t="s">
        <v>8</v>
      </c>
      <c r="AX104" s="27" t="s">
        <v>7</v>
      </c>
      <c r="DD104" s="27" t="s">
        <v>7</v>
      </c>
      <c r="DE104" s="27" t="s">
        <v>8</v>
      </c>
      <c r="DF104" s="27" t="s">
        <v>7</v>
      </c>
      <c r="DG104" s="27" t="s">
        <v>8</v>
      </c>
      <c r="DH104" s="34"/>
      <c r="DN104" s="27" t="s">
        <v>7</v>
      </c>
    </row>
    <row r="105" spans="1:119" x14ac:dyDescent="0.25">
      <c r="A105" s="30">
        <v>20018.323866149756</v>
      </c>
      <c r="C105" s="1" t="s">
        <v>14</v>
      </c>
      <c r="E105"/>
      <c r="K105" s="27" t="s">
        <v>8</v>
      </c>
      <c r="N105" s="27" t="s">
        <v>7</v>
      </c>
      <c r="O105" s="27" t="s">
        <v>8</v>
      </c>
      <c r="AB105" s="27" t="s">
        <v>7</v>
      </c>
      <c r="AC105" s="27" t="s">
        <v>8</v>
      </c>
      <c r="AO105" s="27" t="s">
        <v>8</v>
      </c>
      <c r="AR105" s="27" t="s">
        <v>7</v>
      </c>
      <c r="AS105" s="27" t="s">
        <v>8</v>
      </c>
      <c r="AV105" s="27" t="s">
        <v>7</v>
      </c>
      <c r="AW105" s="27" t="s">
        <v>8</v>
      </c>
      <c r="DD105" s="27" t="s">
        <v>7</v>
      </c>
      <c r="DE105" s="27" t="s">
        <v>8</v>
      </c>
      <c r="DF105" s="27" t="s">
        <v>7</v>
      </c>
      <c r="DG105" s="34" t="s">
        <v>8</v>
      </c>
    </row>
    <row r="106" spans="1:119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  <c r="K106" s="27" t="s">
        <v>8</v>
      </c>
      <c r="N106" s="27" t="s">
        <v>7</v>
      </c>
      <c r="O106" s="27" t="s">
        <v>8</v>
      </c>
      <c r="AB106" s="27" t="s">
        <v>7</v>
      </c>
      <c r="AC106" s="27" t="s">
        <v>8</v>
      </c>
      <c r="AD106" s="27" t="s">
        <v>7</v>
      </c>
      <c r="AE106" s="27" t="s">
        <v>8</v>
      </c>
      <c r="AM106" s="27" t="s">
        <v>8</v>
      </c>
      <c r="AO106" s="27" t="s">
        <v>8</v>
      </c>
      <c r="AR106" s="27" t="s">
        <v>7</v>
      </c>
      <c r="AV106" s="27" t="s">
        <v>7</v>
      </c>
      <c r="DD106" s="27" t="s">
        <v>7</v>
      </c>
      <c r="DE106" s="27" t="s">
        <v>8</v>
      </c>
      <c r="DF106" s="34" t="s">
        <v>7</v>
      </c>
    </row>
    <row r="107" spans="1:119" x14ac:dyDescent="0.25">
      <c r="A107" s="30">
        <v>18157.209855918143</v>
      </c>
      <c r="E107"/>
      <c r="K107" s="27" t="s">
        <v>8</v>
      </c>
      <c r="N107" s="27" t="s">
        <v>7</v>
      </c>
      <c r="AB107" s="27" t="s">
        <v>7</v>
      </c>
      <c r="AC107" s="27" t="s">
        <v>8</v>
      </c>
      <c r="AD107" s="27" t="s">
        <v>7</v>
      </c>
      <c r="AE107" s="27" t="s">
        <v>8</v>
      </c>
      <c r="AF107" s="27" t="s">
        <v>7</v>
      </c>
      <c r="AM107" s="27" t="s">
        <v>8</v>
      </c>
      <c r="AN107" s="27" t="s">
        <v>7</v>
      </c>
      <c r="AO107" s="27" t="s">
        <v>8</v>
      </c>
      <c r="DD107" s="27" t="s">
        <v>7</v>
      </c>
    </row>
    <row r="108" spans="1:119" x14ac:dyDescent="0.25">
      <c r="A108" s="30">
        <v>17292.580815160134</v>
      </c>
      <c r="E108"/>
      <c r="K108" s="27" t="s">
        <v>8</v>
      </c>
      <c r="AB108" s="27" t="s">
        <v>7</v>
      </c>
      <c r="AC108" s="27" t="s">
        <v>8</v>
      </c>
      <c r="AD108" s="27" t="s">
        <v>7</v>
      </c>
      <c r="AE108" s="27" t="s">
        <v>8</v>
      </c>
      <c r="AF108" s="27" t="s">
        <v>7</v>
      </c>
      <c r="AK108" s="27" t="s">
        <v>8</v>
      </c>
      <c r="AM108" s="27" t="s">
        <v>8</v>
      </c>
      <c r="AN108" s="27" t="s">
        <v>7</v>
      </c>
      <c r="AO108" s="27" t="s">
        <v>8</v>
      </c>
    </row>
    <row r="109" spans="1:119" x14ac:dyDescent="0.25">
      <c r="A109" s="30">
        <v>16469.124585866793</v>
      </c>
      <c r="E109"/>
      <c r="I109" s="27" t="s">
        <v>8</v>
      </c>
      <c r="K109" s="27" t="s">
        <v>8</v>
      </c>
      <c r="AB109" s="27" t="s">
        <v>7</v>
      </c>
      <c r="AD109" s="27" t="s">
        <v>7</v>
      </c>
      <c r="AE109" s="27" t="s">
        <v>8</v>
      </c>
      <c r="AF109" s="27" t="s">
        <v>7</v>
      </c>
      <c r="AK109" s="27" t="s">
        <v>8</v>
      </c>
      <c r="AL109" s="27" t="s">
        <v>7</v>
      </c>
      <c r="AM109" s="27" t="s">
        <v>8</v>
      </c>
      <c r="AN109" s="27" t="s">
        <v>7</v>
      </c>
      <c r="AO109" s="27" t="s">
        <v>8</v>
      </c>
    </row>
    <row r="110" spans="1:119" x14ac:dyDescent="0.25">
      <c r="A110" s="30">
        <v>15684.880557968376</v>
      </c>
      <c r="E110"/>
      <c r="I110" s="27" t="s">
        <v>8</v>
      </c>
      <c r="J110" s="27" t="s">
        <v>7</v>
      </c>
      <c r="K110" s="27" t="s">
        <v>8</v>
      </c>
      <c r="AD110" s="27" t="s">
        <v>7</v>
      </c>
      <c r="AE110" s="27" t="s">
        <v>8</v>
      </c>
      <c r="AF110" s="27" t="s">
        <v>7</v>
      </c>
      <c r="AG110" s="27" t="s">
        <v>8</v>
      </c>
      <c r="AK110" s="27" t="s">
        <v>8</v>
      </c>
      <c r="AL110" s="27" t="s">
        <v>7</v>
      </c>
      <c r="AM110" s="27" t="s">
        <v>8</v>
      </c>
      <c r="AN110" s="27" t="s">
        <v>7</v>
      </c>
      <c r="AO110" s="27" t="s">
        <v>8</v>
      </c>
    </row>
    <row r="111" spans="1:119" x14ac:dyDescent="0.25">
      <c r="A111" s="30">
        <v>14937.981483779406</v>
      </c>
      <c r="C111" s="1" t="str">
        <f>ADDRESS(C121-1,1,1,1)</f>
        <v>$A$99</v>
      </c>
      <c r="D111" s="1" t="str">
        <f>ADDRESS(C121-1,D121,1,1)</f>
        <v>$DO$99</v>
      </c>
      <c r="E111"/>
      <c r="I111" s="27" t="s">
        <v>8</v>
      </c>
      <c r="J111" s="27" t="s">
        <v>7</v>
      </c>
      <c r="K111" s="27" t="s">
        <v>8</v>
      </c>
      <c r="AD111" s="27" t="s">
        <v>7</v>
      </c>
      <c r="AE111" s="27" t="s">
        <v>8</v>
      </c>
      <c r="AF111" s="27" t="s">
        <v>7</v>
      </c>
      <c r="AG111" s="27" t="s">
        <v>8</v>
      </c>
      <c r="AH111" s="27" t="s">
        <v>7</v>
      </c>
      <c r="AI111" s="27" t="s">
        <v>8</v>
      </c>
      <c r="AK111" s="27" t="s">
        <v>8</v>
      </c>
      <c r="AL111" s="27" t="s">
        <v>7</v>
      </c>
      <c r="AM111" s="27" t="s">
        <v>8</v>
      </c>
      <c r="AN111" s="27" t="s">
        <v>7</v>
      </c>
    </row>
    <row r="112" spans="1:119" x14ac:dyDescent="0.25">
      <c r="A112" s="30">
        <v>14226.649032170862</v>
      </c>
      <c r="C112" s="1" t="str">
        <f>ADDRESS(C121,1,1,1)</f>
        <v>$A$100</v>
      </c>
      <c r="D112" s="1" t="str">
        <f>ADDRESS(C121,D121-1,1,1)</f>
        <v>$DN$100</v>
      </c>
      <c r="E112"/>
      <c r="I112" s="27" t="s">
        <v>8</v>
      </c>
      <c r="J112" s="27" t="s">
        <v>7</v>
      </c>
      <c r="K112" s="27" t="s">
        <v>8</v>
      </c>
      <c r="AD112" s="27" t="s">
        <v>7</v>
      </c>
      <c r="AE112" s="27" t="s">
        <v>8</v>
      </c>
      <c r="AF112" s="27" t="s">
        <v>7</v>
      </c>
      <c r="AG112" s="27" t="s">
        <v>8</v>
      </c>
      <c r="AH112" s="27" t="s">
        <v>7</v>
      </c>
      <c r="AI112" s="27" t="s">
        <v>8</v>
      </c>
      <c r="AJ112" s="27" t="s">
        <v>7</v>
      </c>
      <c r="AK112" s="27" t="s">
        <v>8</v>
      </c>
      <c r="AL112" s="27" t="s">
        <v>7</v>
      </c>
      <c r="AM112" s="27" t="s">
        <v>8</v>
      </c>
    </row>
    <row r="113" spans="1:38" x14ac:dyDescent="0.25">
      <c r="A113" s="30">
        <v>13549.18955444844</v>
      </c>
      <c r="C113" s="1" t="str">
        <f>ADDRESS(C121+1,1,1,1)</f>
        <v>$A$101</v>
      </c>
      <c r="D113" s="1" t="str">
        <f>ADDRESS(C121-1,D121+1,1,1)</f>
        <v>$DP$99</v>
      </c>
      <c r="I113" s="27" t="s">
        <v>8</v>
      </c>
      <c r="J113" s="27" t="s">
        <v>7</v>
      </c>
      <c r="K113" s="27" t="s">
        <v>8</v>
      </c>
      <c r="AD113" s="27" t="s">
        <v>7</v>
      </c>
      <c r="AE113" s="27" t="s">
        <v>8</v>
      </c>
      <c r="AF113" s="27" t="s">
        <v>7</v>
      </c>
      <c r="AH113" s="27" t="s">
        <v>7</v>
      </c>
      <c r="AI113" s="27" t="s">
        <v>8</v>
      </c>
      <c r="AJ113" s="27" t="s">
        <v>7</v>
      </c>
      <c r="AK113" s="27" t="s">
        <v>8</v>
      </c>
      <c r="AL113" s="27" t="s">
        <v>7</v>
      </c>
    </row>
    <row r="114" spans="1:38" x14ac:dyDescent="0.25">
      <c r="A114" s="30">
        <v>12903.990051855657</v>
      </c>
      <c r="C114" s="1" t="str">
        <f>ADDRESS(C121,D121,1,1)</f>
        <v>$DO$100</v>
      </c>
      <c r="D114" s="1" t="str">
        <f>ADDRESS(C121+1,D121+1,1,1)</f>
        <v>$DP$101</v>
      </c>
      <c r="I114" s="27" t="s">
        <v>8</v>
      </c>
      <c r="J114" s="27" t="s">
        <v>7</v>
      </c>
      <c r="K114" s="27" t="s">
        <v>8</v>
      </c>
      <c r="AD114" s="27" t="s">
        <v>7</v>
      </c>
      <c r="AE114" s="27" t="s">
        <v>8</v>
      </c>
      <c r="AH114" s="27" t="s">
        <v>7</v>
      </c>
      <c r="AJ114" s="27" t="s">
        <v>7</v>
      </c>
      <c r="AK114" s="27" t="s">
        <v>8</v>
      </c>
    </row>
    <row r="115" spans="1:38" x14ac:dyDescent="0.25">
      <c r="A115" s="30">
        <v>12289.514335100625</v>
      </c>
      <c r="C115" s="1" t="str">
        <f>ADDRESS(C121+1,D121,1,1)</f>
        <v>$DO$101</v>
      </c>
      <c r="G115" s="27" t="s">
        <v>8</v>
      </c>
      <c r="I115" s="27" t="s">
        <v>8</v>
      </c>
      <c r="J115" s="27" t="s">
        <v>7</v>
      </c>
      <c r="K115" s="27" t="s">
        <v>8</v>
      </c>
      <c r="AD115" s="27" t="s">
        <v>7</v>
      </c>
      <c r="AJ115" s="27" t="s">
        <v>7</v>
      </c>
      <c r="AK115" s="27" t="s">
        <v>8</v>
      </c>
    </row>
    <row r="116" spans="1:38" x14ac:dyDescent="0.25">
      <c r="A116" s="30">
        <v>11704.2993667625</v>
      </c>
      <c r="C116" s="1">
        <f>C117-1</f>
        <v>99</v>
      </c>
      <c r="G116" s="27" t="s">
        <v>8</v>
      </c>
      <c r="H116" s="27" t="s">
        <v>7</v>
      </c>
      <c r="I116" s="27" t="s">
        <v>8</v>
      </c>
      <c r="J116" s="27" t="s">
        <v>7</v>
      </c>
      <c r="K116" s="27" t="s">
        <v>8</v>
      </c>
      <c r="AJ116" s="27" t="s">
        <v>7</v>
      </c>
      <c r="AK116" s="27" t="s">
        <v>8</v>
      </c>
    </row>
    <row r="117" spans="1:38" x14ac:dyDescent="0.25">
      <c r="A117" s="30">
        <v>11146.951777869046</v>
      </c>
      <c r="C117" s="1">
        <f>C121</f>
        <v>100</v>
      </c>
      <c r="D117" s="1">
        <f>D121</f>
        <v>119</v>
      </c>
      <c r="G117" s="27" t="s">
        <v>8</v>
      </c>
      <c r="H117" s="27" t="s">
        <v>7</v>
      </c>
      <c r="I117" s="27" t="s">
        <v>8</v>
      </c>
      <c r="J117" s="27" t="s">
        <v>7</v>
      </c>
      <c r="AJ117" s="27" t="s">
        <v>7</v>
      </c>
      <c r="AK117" s="27" t="s">
        <v>8</v>
      </c>
    </row>
    <row r="118" spans="1:38" x14ac:dyDescent="0.25">
      <c r="A118" s="30">
        <v>10616.144550351471</v>
      </c>
      <c r="C118" s="1">
        <f>C117+1</f>
        <v>101</v>
      </c>
      <c r="D118" s="1">
        <f>D117+1</f>
        <v>120</v>
      </c>
      <c r="G118" s="27" t="s">
        <v>8</v>
      </c>
      <c r="H118" s="27" t="s">
        <v>7</v>
      </c>
      <c r="I118" s="27" t="s">
        <v>8</v>
      </c>
      <c r="AJ118" s="27" t="s">
        <v>7</v>
      </c>
      <c r="AK118" s="27" t="s">
        <v>8</v>
      </c>
    </row>
    <row r="119" spans="1:38" x14ac:dyDescent="0.25">
      <c r="A119" s="30">
        <v>10110.613857477592</v>
      </c>
      <c r="G119" s="27" t="s">
        <v>8</v>
      </c>
      <c r="H119" s="27" t="s">
        <v>7</v>
      </c>
      <c r="I119" s="27" t="s">
        <v>8</v>
      </c>
      <c r="AJ119" s="27" t="s">
        <v>7</v>
      </c>
      <c r="AK119" s="27" t="s">
        <v>8</v>
      </c>
    </row>
    <row r="120" spans="1:38" x14ac:dyDescent="0.25">
      <c r="A120" s="30">
        <v>9629.1560547405643</v>
      </c>
      <c r="C120" s="1" t="s">
        <v>9</v>
      </c>
      <c r="G120" s="27" t="s">
        <v>8</v>
      </c>
      <c r="H120" s="27" t="s">
        <v>7</v>
      </c>
      <c r="AJ120" s="27" t="s">
        <v>7</v>
      </c>
      <c r="AK120" s="27" t="s">
        <v>8</v>
      </c>
    </row>
    <row r="121" spans="1:38" x14ac:dyDescent="0.25">
      <c r="A121" s="30">
        <v>9170.6248140386324</v>
      </c>
      <c r="C121" s="18">
        <v>100</v>
      </c>
      <c r="D121" s="19">
        <v>119</v>
      </c>
      <c r="E121" s="19"/>
      <c r="G121" s="27" t="s">
        <v>8</v>
      </c>
      <c r="AJ121" s="27" t="s">
        <v>7</v>
      </c>
      <c r="AK121" s="27" t="s">
        <v>8</v>
      </c>
    </row>
    <row r="122" spans="1:38" x14ac:dyDescent="0.25">
      <c r="A122" s="30">
        <v>8733.9283943225073</v>
      </c>
      <c r="C122" s="1" t="str">
        <f>INDEX(1:1048576,C117,D117)</f>
        <v>X</v>
      </c>
      <c r="G122" s="27" t="s">
        <v>8</v>
      </c>
      <c r="AJ122" s="27" t="s">
        <v>7</v>
      </c>
      <c r="AK122" s="27" t="s">
        <v>8</v>
      </c>
    </row>
    <row r="123" spans="1:38" x14ac:dyDescent="0.25">
      <c r="A123" s="30">
        <v>8318.027042211912</v>
      </c>
      <c r="C123" s="1" t="str">
        <f>"R"&amp;C121</f>
        <v>R100</v>
      </c>
      <c r="D123" s="1" t="str">
        <f>"C"&amp;D121</f>
        <v>C119</v>
      </c>
      <c r="G123" s="27" t="s">
        <v>8</v>
      </c>
      <c r="AJ123" s="27" t="s">
        <v>7</v>
      </c>
      <c r="AK123" s="27" t="s">
        <v>8</v>
      </c>
    </row>
    <row r="124" spans="1:38" x14ac:dyDescent="0.25">
      <c r="A124" s="30">
        <v>7921.9305163922963</v>
      </c>
      <c r="C124" s="1">
        <f>SUM(C130:D130)</f>
        <v>0</v>
      </c>
      <c r="D124" s="1">
        <f>IF(C124=0,0,1)</f>
        <v>0</v>
      </c>
      <c r="G124" s="27" t="s">
        <v>8</v>
      </c>
      <c r="AJ124" s="27" t="s">
        <v>7</v>
      </c>
      <c r="AK124" s="27" t="s">
        <v>8</v>
      </c>
    </row>
    <row r="125" spans="1:38" x14ac:dyDescent="0.25">
      <c r="A125" s="30">
        <v>7544.6957298974248</v>
      </c>
      <c r="G125" s="27" t="s">
        <v>8</v>
      </c>
      <c r="AJ125" s="27" t="s">
        <v>7</v>
      </c>
    </row>
    <row r="126" spans="1:38" x14ac:dyDescent="0.25">
      <c r="A126" s="30">
        <v>7185.4245046642136</v>
      </c>
      <c r="C126" s="1" t="s">
        <v>10</v>
      </c>
      <c r="G126" s="27" t="s">
        <v>8</v>
      </c>
    </row>
    <row r="127" spans="1:38" x14ac:dyDescent="0.25">
      <c r="A127" s="30">
        <v>6843.2614330135366</v>
      </c>
      <c r="C127" s="30">
        <v>25549.017662520659</v>
      </c>
      <c r="D127"/>
      <c r="G127" s="27" t="s">
        <v>8</v>
      </c>
    </row>
    <row r="128" spans="1:38" x14ac:dyDescent="0.25">
      <c r="A128" s="30">
        <v>6517.3918409652724</v>
      </c>
      <c r="E128" s="1" t="s">
        <v>8</v>
      </c>
      <c r="G128" s="27" t="s">
        <v>8</v>
      </c>
    </row>
    <row r="129" spans="1:7" x14ac:dyDescent="0.25">
      <c r="A129" s="30">
        <v>6207.0398485383548</v>
      </c>
      <c r="C129" s="1" t="s">
        <v>11</v>
      </c>
      <c r="D129" s="1" t="s">
        <v>12</v>
      </c>
      <c r="E129" t="s">
        <v>8</v>
      </c>
      <c r="F129" s="27" t="s">
        <v>7</v>
      </c>
      <c r="G129" s="27" t="s">
        <v>8</v>
      </c>
    </row>
    <row r="130" spans="1:7" x14ac:dyDescent="0.25">
      <c r="A130" s="30">
        <v>5911.4665224174805</v>
      </c>
      <c r="C130" s="6"/>
      <c r="D130" s="6"/>
      <c r="E130" t="s">
        <v>8</v>
      </c>
      <c r="F130" s="27" t="s">
        <v>7</v>
      </c>
      <c r="G130" s="27" t="s">
        <v>8</v>
      </c>
    </row>
    <row r="131" spans="1:7" x14ac:dyDescent="0.25">
      <c r="A131" s="30">
        <v>5629.9681165880766</v>
      </c>
      <c r="E131" t="s">
        <v>8</v>
      </c>
      <c r="F131" s="27" t="s">
        <v>7</v>
      </c>
      <c r="G131" s="27" t="s">
        <v>8</v>
      </c>
    </row>
    <row r="132" spans="1:7" x14ac:dyDescent="0.25">
      <c r="A132" s="30">
        <v>5361.8743967505488</v>
      </c>
      <c r="C132" s="1" t="s">
        <v>13</v>
      </c>
      <c r="E132" t="s">
        <v>8</v>
      </c>
      <c r="F132" s="27" t="s">
        <v>7</v>
      </c>
      <c r="G132" s="27" t="s">
        <v>8</v>
      </c>
    </row>
    <row r="133" spans="1:7" x14ac:dyDescent="0.25">
      <c r="A133" s="30">
        <v>5106.5470445243318</v>
      </c>
      <c r="C133" s="1" t="str">
        <f>C122</f>
        <v>X</v>
      </c>
      <c r="E133" t="s">
        <v>8</v>
      </c>
      <c r="F133" s="27" t="s">
        <v>7</v>
      </c>
      <c r="G133" s="27" t="s">
        <v>8</v>
      </c>
    </row>
    <row r="134" spans="1:7" x14ac:dyDescent="0.25">
      <c r="A134" s="30">
        <v>4863.3781376422203</v>
      </c>
      <c r="C134"/>
      <c r="E134" t="s">
        <v>8</v>
      </c>
      <c r="F134" s="27" t="s">
        <v>7</v>
      </c>
      <c r="G134" s="27" t="s">
        <v>8</v>
      </c>
    </row>
    <row r="135" spans="1:7" x14ac:dyDescent="0.25">
      <c r="A135" s="30">
        <v>4631.7887025164</v>
      </c>
      <c r="C135" s="1" t="s">
        <v>14</v>
      </c>
      <c r="E135" t="s">
        <v>8</v>
      </c>
      <c r="F135" s="27" t="s">
        <v>7</v>
      </c>
      <c r="G135" s="27" t="s">
        <v>8</v>
      </c>
    </row>
    <row r="136" spans="1:7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  <c r="F136" s="27" t="s">
        <v>7</v>
      </c>
      <c r="G136" s="27" t="s">
        <v>8</v>
      </c>
    </row>
    <row r="137" spans="1:7" x14ac:dyDescent="0.25">
      <c r="A137" s="30">
        <v>4201.1688911713372</v>
      </c>
      <c r="E137" t="s">
        <v>8</v>
      </c>
      <c r="F137" s="27" t="s">
        <v>7</v>
      </c>
      <c r="G137" s="27" t="s">
        <v>8</v>
      </c>
    </row>
    <row r="138" spans="1:7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 t="s">
        <v>8</v>
      </c>
      <c r="F138" s="27" t="s">
        <v>7</v>
      </c>
      <c r="G138" s="27" t="s">
        <v>8</v>
      </c>
    </row>
    <row r="139" spans="1:7" x14ac:dyDescent="0.25">
      <c r="A139" s="30">
        <v>3810.5840282733216</v>
      </c>
      <c r="E139" t="s">
        <v>8</v>
      </c>
      <c r="F139" s="27" t="s">
        <v>7</v>
      </c>
      <c r="G139" s="27" t="s">
        <v>8</v>
      </c>
    </row>
    <row r="140" spans="1:7" x14ac:dyDescent="0.25">
      <c r="A140" s="30">
        <v>3629.1276459745918</v>
      </c>
      <c r="C140" s="1">
        <v>0</v>
      </c>
      <c r="E140" t="s">
        <v>8</v>
      </c>
      <c r="F140" s="27" t="s">
        <v>7</v>
      </c>
      <c r="G140" s="27" t="s">
        <v>8</v>
      </c>
    </row>
    <row r="141" spans="1:7" x14ac:dyDescent="0.25">
      <c r="A141" s="30">
        <v>3456.3120437853254</v>
      </c>
      <c r="C141" s="1">
        <v>1</v>
      </c>
      <c r="E141" t="s">
        <v>8</v>
      </c>
      <c r="F141" s="27" t="s">
        <v>7</v>
      </c>
      <c r="G141" s="27" t="s">
        <v>8</v>
      </c>
    </row>
    <row r="142" spans="1:7" x14ac:dyDescent="0.25">
      <c r="A142" s="30">
        <v>3291.7257559860241</v>
      </c>
      <c r="C142" s="1">
        <v>2</v>
      </c>
      <c r="E142" t="s">
        <v>8</v>
      </c>
      <c r="F142" s="27" t="s">
        <v>7</v>
      </c>
      <c r="G142" s="27" t="s">
        <v>8</v>
      </c>
    </row>
    <row r="143" spans="1:7" x14ac:dyDescent="0.25">
      <c r="A143" s="30">
        <v>3134.9769104628799</v>
      </c>
      <c r="C143" s="1">
        <v>3</v>
      </c>
      <c r="E143" t="s">
        <v>8</v>
      </c>
      <c r="F143" s="27" t="s">
        <v>7</v>
      </c>
    </row>
    <row r="144" spans="1:7" x14ac:dyDescent="0.25">
      <c r="A144" s="30">
        <v>2985.6922956789331</v>
      </c>
      <c r="C144" s="1">
        <v>4</v>
      </c>
      <c r="E144" t="s">
        <v>8</v>
      </c>
    </row>
    <row r="145" spans="1:5" x14ac:dyDescent="0.25">
      <c r="A145" s="30">
        <v>2843.5164720751741</v>
      </c>
      <c r="E145" t="s">
        <v>8</v>
      </c>
    </row>
    <row r="146" spans="1:5" x14ac:dyDescent="0.25">
      <c r="A146" s="30">
        <v>2708.1109257858798</v>
      </c>
      <c r="E146" t="s">
        <v>8</v>
      </c>
    </row>
    <row r="147" spans="1:5" x14ac:dyDescent="0.25">
      <c r="A147" s="30">
        <v>2579.1532626532189</v>
      </c>
      <c r="E147" t="s">
        <v>8</v>
      </c>
    </row>
    <row r="148" spans="1:5" x14ac:dyDescent="0.25">
      <c r="A148" s="30">
        <v>2456.3364406221131</v>
      </c>
      <c r="E148" t="s">
        <v>8</v>
      </c>
    </row>
    <row r="149" spans="1:5" x14ac:dyDescent="0.25">
      <c r="A149" s="30">
        <v>2339.3680386877268</v>
      </c>
      <c r="E149" t="s">
        <v>8</v>
      </c>
    </row>
    <row r="150" spans="1:5" x14ac:dyDescent="0.25">
      <c r="A150" s="30">
        <v>2227.9695606549776</v>
      </c>
      <c r="E150" t="s">
        <v>8</v>
      </c>
    </row>
    <row r="151" spans="1:5" x14ac:dyDescent="0.25">
      <c r="A151" s="30">
        <v>2121.8757720523595</v>
      </c>
      <c r="E151" t="s">
        <v>8</v>
      </c>
    </row>
    <row r="152" spans="1:5" x14ac:dyDescent="0.25">
      <c r="A152" s="30">
        <v>2020.8340686212948</v>
      </c>
      <c r="E152" t="s">
        <v>8</v>
      </c>
    </row>
    <row r="153" spans="1:5" x14ac:dyDescent="0.25">
      <c r="A153" s="30">
        <v>1924.6038748774236</v>
      </c>
      <c r="C153" s="7"/>
      <c r="D153"/>
      <c r="E153" t="s">
        <v>8</v>
      </c>
    </row>
    <row r="154" spans="1:5" x14ac:dyDescent="0.25">
      <c r="A154" s="30">
        <v>1832.9560713118319</v>
      </c>
      <c r="E154" t="s">
        <v>8</v>
      </c>
    </row>
    <row r="155" spans="1:5" x14ac:dyDescent="0.25">
      <c r="A155" s="30">
        <v>1745.6724488684113</v>
      </c>
      <c r="E155" t="s">
        <v>8</v>
      </c>
    </row>
    <row r="156" spans="1:5" x14ac:dyDescent="0.25">
      <c r="A156" s="30">
        <v>1662.5451893984869</v>
      </c>
      <c r="C156"/>
      <c r="D156"/>
      <c r="E156" t="s">
        <v>8</v>
      </c>
    </row>
    <row r="157" spans="1:5" x14ac:dyDescent="0.25">
      <c r="A157" s="30">
        <v>1583.3763708557017</v>
      </c>
      <c r="E157" t="s">
        <v>8</v>
      </c>
    </row>
    <row r="158" spans="1:5" x14ac:dyDescent="0.25">
      <c r="A158" s="30">
        <v>1507.9774960530492</v>
      </c>
      <c r="E158" t="s">
        <v>8</v>
      </c>
    </row>
    <row r="159" spans="1:5" x14ac:dyDescent="0.25">
      <c r="A159" s="30">
        <v>1436.1690438600467</v>
      </c>
      <c r="E159" t="s">
        <v>8</v>
      </c>
    </row>
    <row r="160" spans="1:5" x14ac:dyDescent="0.25">
      <c r="A160" s="30">
        <v>1367.780041771473</v>
      </c>
      <c r="C160"/>
      <c r="E160" t="s">
        <v>8</v>
      </c>
    </row>
    <row r="161" spans="1:5" x14ac:dyDescent="0.25">
      <c r="A161" s="30">
        <v>1302.6476588299743</v>
      </c>
      <c r="E161" t="s">
        <v>8</v>
      </c>
    </row>
    <row r="162" spans="1:5" x14ac:dyDescent="0.25">
      <c r="A162" s="30">
        <v>1240.6168179333088</v>
      </c>
      <c r="E162" t="s">
        <v>8</v>
      </c>
    </row>
    <row r="163" spans="1:5" x14ac:dyDescent="0.25">
      <c r="A163" s="30">
        <v>1181.5398266031511</v>
      </c>
      <c r="E163" t="s">
        <v>8</v>
      </c>
    </row>
    <row r="164" spans="1:5" x14ac:dyDescent="0.25">
      <c r="A164" s="30">
        <v>1125.2760253363344</v>
      </c>
      <c r="E164" t="s">
        <v>8</v>
      </c>
    </row>
    <row r="165" spans="1:5" x14ac:dyDescent="0.25">
      <c r="A165" s="30">
        <v>1071.6914527012709</v>
      </c>
      <c r="E165" t="s">
        <v>8</v>
      </c>
    </row>
    <row r="166" spans="1:5" x14ac:dyDescent="0.25">
      <c r="A166" s="30">
        <v>1020.6585263821628</v>
      </c>
      <c r="E166" t="s">
        <v>8</v>
      </c>
    </row>
    <row r="167" spans="1:5" x14ac:dyDescent="0.25">
      <c r="A167" s="30">
        <v>972.05573941158355</v>
      </c>
      <c r="E167" t="s">
        <v>8</v>
      </c>
    </row>
    <row r="168" spans="1:5" x14ac:dyDescent="0.25">
      <c r="A168" s="30">
        <v>925.76737086817479</v>
      </c>
      <c r="E168" t="s">
        <v>8</v>
      </c>
    </row>
    <row r="169" spans="1:5" x14ac:dyDescent="0.25">
      <c r="A169" s="30">
        <v>881.68321035064264</v>
      </c>
      <c r="E169" t="s">
        <v>8</v>
      </c>
    </row>
    <row r="170" spans="1:5" x14ac:dyDescent="0.25">
      <c r="A170" s="30">
        <v>839.69829557204059</v>
      </c>
      <c r="E170" t="s">
        <v>8</v>
      </c>
    </row>
    <row r="171" spans="1:5" x14ac:dyDescent="0.25">
      <c r="A171" s="30">
        <v>799.71266244956246</v>
      </c>
      <c r="E171" t="s">
        <v>8</v>
      </c>
    </row>
    <row r="172" spans="1:5" x14ac:dyDescent="0.25">
      <c r="A172" s="30">
        <v>761.63110709482135</v>
      </c>
      <c r="E172" t="s">
        <v>8</v>
      </c>
    </row>
    <row r="173" spans="1:5" x14ac:dyDescent="0.25">
      <c r="A173" s="30">
        <v>725.36295913792503</v>
      </c>
      <c r="E173" t="s">
        <v>8</v>
      </c>
    </row>
    <row r="174" spans="1:5" x14ac:dyDescent="0.25">
      <c r="A174" s="30">
        <v>690.82186584564283</v>
      </c>
      <c r="E174" t="s">
        <v>8</v>
      </c>
    </row>
    <row r="175" spans="1:5" x14ac:dyDescent="0.25">
      <c r="A175" s="30">
        <v>657.92558651965976</v>
      </c>
      <c r="E175" t="s">
        <v>8</v>
      </c>
    </row>
    <row r="176" spans="1:5" x14ac:dyDescent="0.25">
      <c r="A176" s="30">
        <v>626.59579668539027</v>
      </c>
      <c r="E176" t="s">
        <v>8</v>
      </c>
    </row>
    <row r="177" spans="1:5" x14ac:dyDescent="0.25">
      <c r="A177" s="30">
        <v>596.75790160513361</v>
      </c>
      <c r="E177" t="s">
        <v>8</v>
      </c>
    </row>
    <row r="178" spans="1:5" x14ac:dyDescent="0.25">
      <c r="A178" s="30">
        <v>568.34085867155579</v>
      </c>
      <c r="C178" s="7"/>
      <c r="D178"/>
      <c r="E178" t="s">
        <v>8</v>
      </c>
    </row>
    <row r="179" spans="1:5" x14ac:dyDescent="0.25">
      <c r="A179" s="30">
        <v>541.27700825862451</v>
      </c>
      <c r="E179" t="s">
        <v>8</v>
      </c>
    </row>
    <row r="180" spans="1:5" x14ac:dyDescent="0.25">
      <c r="A180" s="30">
        <v>515.50191262726139</v>
      </c>
      <c r="E180" t="s">
        <v>8</v>
      </c>
    </row>
    <row r="181" spans="1:5" x14ac:dyDescent="0.25">
      <c r="A181" s="30">
        <v>490.95420250215363</v>
      </c>
      <c r="C181"/>
      <c r="D181"/>
      <c r="E181" t="s">
        <v>8</v>
      </c>
    </row>
    <row r="182" spans="1:5" x14ac:dyDescent="0.25">
      <c r="A182" s="30">
        <v>467.57543095443202</v>
      </c>
      <c r="E182" t="s">
        <v>8</v>
      </c>
    </row>
    <row r="183" spans="1:5" x14ac:dyDescent="0.25">
      <c r="A183" s="30">
        <v>445.30993424231622</v>
      </c>
      <c r="E183" t="s">
        <v>8</v>
      </c>
    </row>
    <row r="184" spans="1:5" x14ac:dyDescent="0.25">
      <c r="A184" s="30">
        <v>424.10469927839637</v>
      </c>
      <c r="E184" t="s">
        <v>8</v>
      </c>
    </row>
    <row r="185" spans="1:5" x14ac:dyDescent="0.25">
      <c r="A185" s="30">
        <v>403.9092374079965</v>
      </c>
      <c r="C185"/>
      <c r="E185" t="s">
        <v>8</v>
      </c>
    </row>
    <row r="186" spans="1:5" x14ac:dyDescent="0.25">
      <c r="A186" s="30">
        <v>384.6754641980919</v>
      </c>
      <c r="E186" t="s">
        <v>8</v>
      </c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348.91198566720351</v>
      </c>
      <c r="E188" t="s">
        <v>8</v>
      </c>
    </row>
    <row r="189" spans="1:5" x14ac:dyDescent="0.25">
      <c r="A189" s="30">
        <v>332.29712920686046</v>
      </c>
      <c r="E189" t="s">
        <v>8</v>
      </c>
    </row>
    <row r="190" spans="1:5" x14ac:dyDescent="0.25">
      <c r="A190" s="30">
        <v>316.47345638748612</v>
      </c>
      <c r="E190" t="s">
        <v>8</v>
      </c>
    </row>
    <row r="191" spans="1:5" x14ac:dyDescent="0.25">
      <c r="A191" s="30">
        <v>301.40329179760585</v>
      </c>
      <c r="E191" t="s">
        <v>8</v>
      </c>
    </row>
    <row r="192" spans="1:5" x14ac:dyDescent="0.25">
      <c r="A192" s="30">
        <v>287.05075409295796</v>
      </c>
      <c r="E192" t="s">
        <v>8</v>
      </c>
    </row>
    <row r="193" spans="1:5" x14ac:dyDescent="0.25">
      <c r="A193" s="30">
        <v>273.38167056472184</v>
      </c>
      <c r="E193" t="s">
        <v>8</v>
      </c>
    </row>
    <row r="194" spans="1:5" x14ac:dyDescent="0.25">
      <c r="A194" s="30">
        <v>260.36349577592557</v>
      </c>
      <c r="E194" t="s">
        <v>8</v>
      </c>
    </row>
    <row r="195" spans="1:5" x14ac:dyDescent="0.25">
      <c r="A195" s="30">
        <v>247.96523407231004</v>
      </c>
      <c r="E195" t="s">
        <v>8</v>
      </c>
    </row>
    <row r="196" spans="1:5" x14ac:dyDescent="0.25">
      <c r="A196" s="30">
        <v>236.15736578315241</v>
      </c>
      <c r="E196" t="s">
        <v>8</v>
      </c>
    </row>
    <row r="197" spans="1:5" x14ac:dyDescent="0.25">
      <c r="A197" s="30">
        <v>224.91177693633563</v>
      </c>
      <c r="E197" t="s">
        <v>8</v>
      </c>
    </row>
    <row r="198" spans="1:5" x14ac:dyDescent="0.25">
      <c r="A198" s="30">
        <v>214.20169232031964</v>
      </c>
      <c r="E198" t="s">
        <v>8</v>
      </c>
    </row>
    <row r="199" spans="1:5" x14ac:dyDescent="0.25">
      <c r="A199" s="30">
        <v>204.00161173363773</v>
      </c>
      <c r="E199" t="s">
        <v>8</v>
      </c>
    </row>
    <row r="200" spans="1:5" x14ac:dyDescent="0.25">
      <c r="A200" s="30">
        <v>194.28724927013116</v>
      </c>
      <c r="E200" t="s">
        <v>8</v>
      </c>
    </row>
    <row r="201" spans="1:5" x14ac:dyDescent="0.25">
      <c r="A201" s="30">
        <v>185.03547549536299</v>
      </c>
      <c r="E201" t="s">
        <v>8</v>
      </c>
    </row>
    <row r="202" spans="1:5" x14ac:dyDescent="0.25">
      <c r="A202" s="30">
        <v>176.22426237653616</v>
      </c>
      <c r="E202" t="s">
        <v>8</v>
      </c>
    </row>
    <row r="203" spans="1:5" x14ac:dyDescent="0.25">
      <c r="A203" s="30">
        <v>167.83263083479633</v>
      </c>
      <c r="C203" s="7"/>
      <c r="D203"/>
      <c r="E203" t="s">
        <v>8</v>
      </c>
    </row>
    <row r="204" spans="1:5" x14ac:dyDescent="0.25">
      <c r="A204" s="30">
        <v>159.84060079504411</v>
      </c>
      <c r="E204" t="s">
        <v>8</v>
      </c>
    </row>
    <row r="205" spans="1:5" x14ac:dyDescent="0.25">
      <c r="A205" s="30">
        <v>152.22914361432771</v>
      </c>
      <c r="E205" t="s">
        <v>8</v>
      </c>
    </row>
    <row r="206" spans="1:5" x14ac:dyDescent="0.25">
      <c r="A206" s="30">
        <v>144.98013677555019</v>
      </c>
      <c r="C206"/>
      <c r="D206"/>
      <c r="E206" t="s">
        <v>8</v>
      </c>
    </row>
    <row r="207" spans="1:5" x14ac:dyDescent="0.25">
      <c r="A207" s="30">
        <v>138.07632073861922</v>
      </c>
      <c r="E207" t="s">
        <v>8</v>
      </c>
    </row>
    <row r="208" spans="1:5" x14ac:dyDescent="0.25">
      <c r="A208" s="30">
        <v>131.50125784630401</v>
      </c>
      <c r="E208" t="s">
        <v>8</v>
      </c>
    </row>
    <row r="209" spans="1:5" x14ac:dyDescent="0.25">
      <c r="A209" s="30">
        <v>125.23929318695619</v>
      </c>
      <c r="E209" t="s">
        <v>8</v>
      </c>
    </row>
    <row r="210" spans="1:5" x14ac:dyDescent="0.25">
      <c r="A210" s="30">
        <v>119.27551732091065</v>
      </c>
      <c r="C210"/>
      <c r="E210" t="s">
        <v>8</v>
      </c>
    </row>
    <row r="211" spans="1:5" x14ac:dyDescent="0.25">
      <c r="A211" s="30">
        <v>113.59573078181967</v>
      </c>
      <c r="E211" t="s">
        <v>8</v>
      </c>
    </row>
    <row r="212" spans="1:5" x14ac:dyDescent="0.25">
      <c r="A212" s="30">
        <v>108.18641026839968</v>
      </c>
      <c r="E212" t="s">
        <v>8</v>
      </c>
    </row>
    <row r="213" spans="1:5" x14ac:dyDescent="0.25">
      <c r="A213" s="30">
        <v>103.03467644609493</v>
      </c>
      <c r="E213" t="s">
        <v>8</v>
      </c>
    </row>
    <row r="214" spans="1:5" x14ac:dyDescent="0.25">
      <c r="A214" s="30">
        <v>98.128263281995174</v>
      </c>
      <c r="E214" t="s">
        <v>8</v>
      </c>
    </row>
    <row r="215" spans="1:5" x14ac:dyDescent="0.25">
      <c r="A215" s="30">
        <v>93.455488839995397</v>
      </c>
      <c r="E215" t="s">
        <v>8</v>
      </c>
    </row>
    <row r="216" spans="1:5" x14ac:dyDescent="0.25">
      <c r="A216" s="30">
        <v>89.005227466662276</v>
      </c>
      <c r="E216" t="s">
        <v>8</v>
      </c>
    </row>
    <row r="217" spans="1:5" x14ac:dyDescent="0.25">
      <c r="A217" s="30">
        <v>84.766883301583121</v>
      </c>
      <c r="E217" t="s">
        <v>8</v>
      </c>
    </row>
    <row r="218" spans="1:5" x14ac:dyDescent="0.25">
      <c r="A218" s="30">
        <v>80.730365049126775</v>
      </c>
      <c r="E218" t="s">
        <v>8</v>
      </c>
    </row>
    <row r="219" spans="1:5" x14ac:dyDescent="0.25">
      <c r="A219" s="30">
        <v>76.886061951549308</v>
      </c>
      <c r="E219" t="s">
        <v>8</v>
      </c>
    </row>
    <row r="220" spans="1:5" x14ac:dyDescent="0.25">
      <c r="A220" s="30">
        <v>73.22482090623744</v>
      </c>
      <c r="E220" t="s">
        <v>8</v>
      </c>
    </row>
    <row r="221" spans="1:5" x14ac:dyDescent="0.25">
      <c r="A221" s="30">
        <v>69.737924672607079</v>
      </c>
      <c r="E221" t="s">
        <v>8</v>
      </c>
    </row>
    <row r="222" spans="1:5" x14ac:dyDescent="0.25">
      <c r="A222" s="30">
        <v>66.417071116768639</v>
      </c>
      <c r="E222" t="s">
        <v>8</v>
      </c>
    </row>
    <row r="223" spans="1:5" x14ac:dyDescent="0.25">
      <c r="A223" s="30">
        <v>63.254353444541557</v>
      </c>
      <c r="E223" t="s">
        <v>8</v>
      </c>
    </row>
    <row r="224" spans="1:5" x14ac:dyDescent="0.25">
      <c r="A224" s="30">
        <v>60.242241375753864</v>
      </c>
      <c r="E224" t="s">
        <v>8</v>
      </c>
    </row>
    <row r="225" spans="1:5" x14ac:dyDescent="0.25">
      <c r="A225" s="30">
        <v>57.373563215003678</v>
      </c>
      <c r="E225" t="s">
        <v>8</v>
      </c>
    </row>
    <row r="226" spans="1:5" x14ac:dyDescent="0.25">
      <c r="A226" s="30">
        <v>54.641488776193974</v>
      </c>
      <c r="E226" t="s">
        <v>8</v>
      </c>
    </row>
    <row r="227" spans="1:5" x14ac:dyDescent="0.25">
      <c r="A227" s="30">
        <v>52.039513120184736</v>
      </c>
      <c r="E227" t="s">
        <v>8</v>
      </c>
    </row>
    <row r="228" spans="1:5" x14ac:dyDescent="0.25">
      <c r="A228" s="30">
        <v>49.561441066842605</v>
      </c>
      <c r="C228" s="7"/>
      <c r="D228"/>
      <c r="E228" t="s">
        <v>8</v>
      </c>
    </row>
    <row r="229" spans="1:5" x14ac:dyDescent="0.25">
      <c r="A229" s="30">
        <v>47.201372444612005</v>
      </c>
      <c r="E229" t="s">
        <v>8</v>
      </c>
    </row>
    <row r="230" spans="1:5" x14ac:dyDescent="0.25">
      <c r="A230" s="30">
        <v>44.95368804248762</v>
      </c>
      <c r="E230" t="s">
        <v>8</v>
      </c>
    </row>
    <row r="231" spans="1:5" x14ac:dyDescent="0.25">
      <c r="A231" s="30">
        <v>42.81303623094059</v>
      </c>
      <c r="C231"/>
      <c r="D231"/>
      <c r="E231" t="s">
        <v>8</v>
      </c>
    </row>
    <row r="232" spans="1:5" x14ac:dyDescent="0.25">
      <c r="A232" s="30">
        <v>40.774320219943419</v>
      </c>
      <c r="E232" t="s">
        <v>8</v>
      </c>
    </row>
    <row r="233" spans="1:5" x14ac:dyDescent="0.25">
      <c r="A233" s="30">
        <v>38.832685923755633</v>
      </c>
      <c r="E233" t="s">
        <v>8</v>
      </c>
    </row>
    <row r="234" spans="1:5" x14ac:dyDescent="0.25">
      <c r="A234" s="30">
        <v>36.983510403576794</v>
      </c>
      <c r="E234" t="s">
        <v>8</v>
      </c>
    </row>
    <row r="235" spans="1:5" x14ac:dyDescent="0.25">
      <c r="A235" s="30">
        <v>35.222390860549325</v>
      </c>
      <c r="C235"/>
      <c r="E235" t="s">
        <v>8</v>
      </c>
    </row>
    <row r="236" spans="1:5" x14ac:dyDescent="0.25">
      <c r="A236" s="30">
        <v>33.545134152904119</v>
      </c>
      <c r="E236" t="s">
        <v>8</v>
      </c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30.426425535513939</v>
      </c>
      <c r="E238" t="s">
        <v>8</v>
      </c>
    </row>
    <row r="239" spans="1:5" x14ac:dyDescent="0.25">
      <c r="A239" s="30">
        <v>28.977548129060892</v>
      </c>
      <c r="E239" t="s">
        <v>8</v>
      </c>
    </row>
    <row r="240" spans="1:5" x14ac:dyDescent="0.25">
      <c r="A240" s="30">
        <v>27.597664884819896</v>
      </c>
      <c r="E240" s="29" t="s">
        <v>8</v>
      </c>
    </row>
    <row r="241" spans="1:5" x14ac:dyDescent="0.25">
      <c r="A241" s="30">
        <v>26.283490366495137</v>
      </c>
      <c r="B241"/>
      <c r="C241"/>
      <c r="D241"/>
      <c r="E241" t="s">
        <v>8</v>
      </c>
    </row>
    <row r="242" spans="1:5" x14ac:dyDescent="0.25">
      <c r="A242" s="30">
        <v>25.031895587138223</v>
      </c>
      <c r="B242"/>
      <c r="C242"/>
      <c r="D242"/>
      <c r="E242" t="s">
        <v>8</v>
      </c>
    </row>
    <row r="243" spans="1:5" x14ac:dyDescent="0.25">
      <c r="A243" s="30">
        <v>23.839900559179259</v>
      </c>
      <c r="B243"/>
      <c r="C243"/>
      <c r="D243"/>
      <c r="E243" t="s">
        <v>8</v>
      </c>
    </row>
    <row r="244" spans="1:5" x14ac:dyDescent="0.25">
      <c r="A244" s="30">
        <v>22.704667199218342</v>
      </c>
      <c r="B244"/>
      <c r="C244"/>
      <c r="D244"/>
      <c r="E244" t="s">
        <v>8</v>
      </c>
    </row>
    <row r="245" spans="1:5" x14ac:dyDescent="0.25">
      <c r="A245" s="30">
        <v>21.623492570684135</v>
      </c>
      <c r="B245"/>
      <c r="C245"/>
      <c r="D245"/>
      <c r="E245" t="s">
        <v>8</v>
      </c>
    </row>
    <row r="246" spans="1:5" x14ac:dyDescent="0.25">
      <c r="A246" s="30">
        <v>20.593802448270605</v>
      </c>
      <c r="B246"/>
      <c r="C246"/>
      <c r="D246"/>
      <c r="E246" t="s">
        <v>8</v>
      </c>
    </row>
    <row r="247" spans="1:5" x14ac:dyDescent="0.25">
      <c r="A247" s="30">
        <v>19.613145188829147</v>
      </c>
      <c r="B247"/>
      <c r="C247"/>
      <c r="D247"/>
      <c r="E247" t="s">
        <v>8</v>
      </c>
    </row>
    <row r="248" spans="1:5" x14ac:dyDescent="0.25">
      <c r="A248" s="30">
        <v>18.679185894122998</v>
      </c>
      <c r="B248"/>
      <c r="C248"/>
      <c r="D248"/>
      <c r="E248" t="s">
        <v>8</v>
      </c>
    </row>
    <row r="249" spans="1:5" x14ac:dyDescent="0.25">
      <c r="A249" s="30">
        <v>17.78970085154571</v>
      </c>
      <c r="B249"/>
      <c r="C249"/>
      <c r="D249"/>
      <c r="E249" t="s">
        <v>8</v>
      </c>
    </row>
    <row r="250" spans="1:5" x14ac:dyDescent="0.25">
      <c r="A250" s="30">
        <v>16.942572239567344</v>
      </c>
      <c r="B250"/>
      <c r="C250"/>
      <c r="D250"/>
      <c r="E250" t="s">
        <v>8</v>
      </c>
    </row>
    <row r="251" spans="1:5" x14ac:dyDescent="0.25">
      <c r="A251" s="30">
        <v>16.135783085302233</v>
      </c>
      <c r="B251"/>
      <c r="C251"/>
      <c r="D251"/>
      <c r="E251" t="s">
        <v>8</v>
      </c>
    </row>
    <row r="252" spans="1:5" x14ac:dyDescent="0.25">
      <c r="A252" s="30">
        <v>15.367412462192602</v>
      </c>
      <c r="B252"/>
      <c r="C252"/>
      <c r="D252"/>
      <c r="E252" t="s">
        <v>8</v>
      </c>
    </row>
    <row r="253" spans="1:5" x14ac:dyDescent="0.25">
      <c r="A253" s="30">
        <v>14.635630916373906</v>
      </c>
      <c r="B253"/>
      <c r="C253"/>
      <c r="D253"/>
      <c r="E253" t="s">
        <v>8</v>
      </c>
    </row>
    <row r="254" spans="1:5" x14ac:dyDescent="0.25">
      <c r="A254" s="30">
        <v>13.938696110832291</v>
      </c>
      <c r="B254"/>
      <c r="C254"/>
      <c r="D254"/>
      <c r="E254" t="s">
        <v>8</v>
      </c>
    </row>
    <row r="255" spans="1:5" x14ac:dyDescent="0.25">
      <c r="A255" s="30">
        <v>13.274948676983135</v>
      </c>
      <c r="E255" t="s">
        <v>8</v>
      </c>
    </row>
    <row r="256" spans="1:5" x14ac:dyDescent="0.25">
      <c r="A256" s="30">
        <v>12.64280826379346</v>
      </c>
      <c r="E256" t="s">
        <v>8</v>
      </c>
    </row>
    <row r="257" spans="1:5" x14ac:dyDescent="0.25">
      <c r="A257" s="30">
        <v>12.04076977504139</v>
      </c>
      <c r="B257"/>
      <c r="C257"/>
      <c r="D257"/>
      <c r="E257" t="s">
        <v>8</v>
      </c>
    </row>
    <row r="258" spans="1:5" x14ac:dyDescent="0.25">
      <c r="A258" s="30">
        <v>11.467399785753704</v>
      </c>
      <c r="B258"/>
      <c r="C258"/>
      <c r="D258"/>
      <c r="E258" t="s">
        <v>8</v>
      </c>
    </row>
    <row r="259" spans="1:5" x14ac:dyDescent="0.25">
      <c r="A259" s="30">
        <v>10.921333129289241</v>
      </c>
      <c r="B259"/>
      <c r="C259"/>
      <c r="D259"/>
      <c r="E259" t="s">
        <v>8</v>
      </c>
    </row>
    <row r="260" spans="1:5" x14ac:dyDescent="0.25">
      <c r="A260" s="30">
        <v>10.401269646942135</v>
      </c>
      <c r="B260"/>
      <c r="C260"/>
      <c r="D260"/>
      <c r="E260" t="s">
        <v>8</v>
      </c>
    </row>
    <row r="261" spans="1:5" x14ac:dyDescent="0.25">
      <c r="A261" s="30">
        <v>9.9059710923258422</v>
      </c>
      <c r="B261"/>
      <c r="C261"/>
      <c r="D261"/>
      <c r="E261" t="s">
        <v>8</v>
      </c>
    </row>
    <row r="262" spans="1:5" x14ac:dyDescent="0.25">
      <c r="A262" s="30">
        <v>9.4342581831674686</v>
      </c>
      <c r="B262"/>
      <c r="C262"/>
      <c r="D262"/>
      <c r="E262" t="s">
        <v>8</v>
      </c>
    </row>
    <row r="263" spans="1:5" x14ac:dyDescent="0.25">
      <c r="A263" s="30">
        <v>8.9850077934928265</v>
      </c>
      <c r="B263"/>
      <c r="C263"/>
      <c r="D263"/>
      <c r="E263" t="s">
        <v>8</v>
      </c>
    </row>
    <row r="264" spans="1:5" x14ac:dyDescent="0.25">
      <c r="A264" s="30">
        <v>8.5571502795169767</v>
      </c>
      <c r="B264"/>
      <c r="C264"/>
      <c r="D264"/>
      <c r="E264" t="s">
        <v>8</v>
      </c>
    </row>
    <row r="265" spans="1:5" x14ac:dyDescent="0.25">
      <c r="A265" s="30">
        <v>8.1496669328733109</v>
      </c>
      <c r="B265"/>
      <c r="C265"/>
      <c r="D265"/>
      <c r="E265" t="s">
        <v>8</v>
      </c>
    </row>
    <row r="266" spans="1:5" x14ac:dyDescent="0.25">
      <c r="A266" s="30">
        <v>7.7615875551174378</v>
      </c>
      <c r="B266"/>
      <c r="C266"/>
      <c r="D266"/>
      <c r="E266" t="s">
        <v>8</v>
      </c>
    </row>
    <row r="267" spans="1:5" x14ac:dyDescent="0.25">
      <c r="A267" s="30">
        <v>7.3919881477308929</v>
      </c>
      <c r="B267"/>
      <c r="C267"/>
      <c r="D267"/>
      <c r="E267" t="s">
        <v>8</v>
      </c>
    </row>
    <row r="268" spans="1:5" x14ac:dyDescent="0.25">
      <c r="A268" s="30">
        <v>7.0399887121246598</v>
      </c>
      <c r="B268"/>
      <c r="C268"/>
      <c r="D268"/>
      <c r="E268" t="s">
        <v>8</v>
      </c>
    </row>
    <row r="269" spans="1:5" x14ac:dyDescent="0.25">
      <c r="A269" s="30">
        <v>6.7047511544044376</v>
      </c>
      <c r="B269"/>
      <c r="C269"/>
      <c r="D269"/>
      <c r="E269" t="s">
        <v>8</v>
      </c>
    </row>
    <row r="270" spans="1:5" x14ac:dyDescent="0.25">
      <c r="A270" s="30">
        <v>6.3854772899089882</v>
      </c>
      <c r="B270"/>
      <c r="C270"/>
      <c r="D270"/>
      <c r="E270" t="s">
        <v>8</v>
      </c>
    </row>
    <row r="271" spans="1:5" x14ac:dyDescent="0.25">
      <c r="A271" s="30">
        <v>6.0814069427704647</v>
      </c>
      <c r="B271"/>
      <c r="C271"/>
      <c r="D271"/>
      <c r="E271" t="s">
        <v>8</v>
      </c>
    </row>
    <row r="272" spans="1:5" x14ac:dyDescent="0.25">
      <c r="A272" s="30">
        <v>5.7918161359718709</v>
      </c>
      <c r="B272"/>
      <c r="C272"/>
      <c r="D272"/>
      <c r="E272" t="s">
        <v>8</v>
      </c>
    </row>
    <row r="273" spans="1:5" x14ac:dyDescent="0.25">
      <c r="A273" s="30">
        <v>5.5160153675922574</v>
      </c>
      <c r="B273"/>
      <c r="C273"/>
      <c r="D273"/>
      <c r="E273" t="s">
        <v>8</v>
      </c>
    </row>
    <row r="274" spans="1:5" x14ac:dyDescent="0.25">
      <c r="A274" s="30">
        <v>5.2533479691354827</v>
      </c>
      <c r="B274"/>
      <c r="C274"/>
      <c r="D274"/>
      <c r="E274" t="s">
        <v>8</v>
      </c>
    </row>
    <row r="275" spans="1:5" x14ac:dyDescent="0.25">
      <c r="A275" s="30">
        <v>5.0031885420337927</v>
      </c>
      <c r="B275"/>
      <c r="C275"/>
      <c r="D275"/>
      <c r="E275" t="s">
        <v>8</v>
      </c>
    </row>
    <row r="276" spans="1:5" x14ac:dyDescent="0.25">
      <c r="A276" s="30">
        <v>4.7649414686036122</v>
      </c>
      <c r="B276"/>
      <c r="C276"/>
      <c r="D276"/>
      <c r="E276" t="s">
        <v>8</v>
      </c>
    </row>
    <row r="277" spans="1:5" x14ac:dyDescent="0.25">
      <c r="A277" s="30">
        <v>4.5380394939082018</v>
      </c>
      <c r="B277"/>
      <c r="C277"/>
      <c r="D277"/>
      <c r="E277" t="s">
        <v>8</v>
      </c>
    </row>
    <row r="278" spans="1:5" x14ac:dyDescent="0.25">
      <c r="A278" s="30">
        <v>4.3219423751506678</v>
      </c>
      <c r="B278"/>
      <c r="C278"/>
      <c r="D278"/>
      <c r="E278" t="s">
        <v>8</v>
      </c>
    </row>
    <row r="279" spans="1:5" x14ac:dyDescent="0.25">
      <c r="A279" s="30">
        <v>4.1161355953815884</v>
      </c>
      <c r="B279"/>
      <c r="C279"/>
      <c r="D279"/>
      <c r="E279" t="s">
        <v>8</v>
      </c>
    </row>
    <row r="280" spans="1:5" x14ac:dyDescent="0.25">
      <c r="A280" s="30">
        <v>3.9201291384586554</v>
      </c>
      <c r="B280"/>
      <c r="C280"/>
      <c r="D280"/>
      <c r="E280" t="s">
        <v>8</v>
      </c>
    </row>
    <row r="281" spans="1:5" x14ac:dyDescent="0.25">
      <c r="A281" s="30">
        <v>3.7334563223415764</v>
      </c>
      <c r="B281"/>
      <c r="C281"/>
      <c r="D281"/>
      <c r="E281" t="s">
        <v>8</v>
      </c>
    </row>
    <row r="282" spans="1:5" x14ac:dyDescent="0.25">
      <c r="A282" s="30">
        <v>3.5556726879443583</v>
      </c>
      <c r="B282"/>
      <c r="C282"/>
      <c r="D282"/>
      <c r="E282" t="s">
        <v>8</v>
      </c>
    </row>
    <row r="283" spans="1:5" x14ac:dyDescent="0.25">
      <c r="A283" s="30">
        <v>3.3863549408993889</v>
      </c>
      <c r="B283"/>
      <c r="C283"/>
      <c r="D283"/>
      <c r="E283" t="s">
        <v>8</v>
      </c>
    </row>
    <row r="284" spans="1:5" x14ac:dyDescent="0.25">
      <c r="A284" s="30">
        <v>3.2250999437137038</v>
      </c>
      <c r="B284"/>
      <c r="C284"/>
      <c r="D284"/>
      <c r="E284" t="s">
        <v>8</v>
      </c>
    </row>
    <row r="285" spans="1:5" x14ac:dyDescent="0.25">
      <c r="A285" s="30">
        <v>3.0715237559178128</v>
      </c>
      <c r="B285"/>
      <c r="C285"/>
      <c r="D285"/>
      <c r="E285" t="s">
        <v>8</v>
      </c>
    </row>
    <row r="286" spans="1:5" x14ac:dyDescent="0.25">
      <c r="A286" s="30">
        <v>2.9252607199217264</v>
      </c>
      <c r="B286"/>
      <c r="C286"/>
      <c r="D286"/>
      <c r="E286" t="s">
        <v>8</v>
      </c>
    </row>
    <row r="287" spans="1:5" x14ac:dyDescent="0.25">
      <c r="A287" s="30">
        <v>2.7859625904016441</v>
      </c>
      <c r="B287"/>
      <c r="C287"/>
      <c r="D287"/>
      <c r="E287" t="s">
        <v>8</v>
      </c>
    </row>
    <row r="288" spans="1:5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956" operator="equal">
      <formula>$U$1</formula>
    </cfRule>
    <cfRule type="cellIs" dxfId="67" priority="957" operator="equal">
      <formula>$S$1</formula>
    </cfRule>
  </conditionalFormatting>
  <conditionalFormatting sqref="D136">
    <cfRule type="cellIs" dxfId="66" priority="954" operator="equal">
      <formula>$S$1</formula>
    </cfRule>
    <cfRule type="cellIs" dxfId="65" priority="955" operator="equal">
      <formula>$U$1</formula>
    </cfRule>
  </conditionalFormatting>
  <conditionalFormatting sqref="C162">
    <cfRule type="cellIs" dxfId="64" priority="952" operator="equal">
      <formula>$U$1</formula>
    </cfRule>
    <cfRule type="cellIs" dxfId="63" priority="953" operator="equal">
      <formula>$S$1</formula>
    </cfRule>
  </conditionalFormatting>
  <conditionalFormatting sqref="D162">
    <cfRule type="cellIs" dxfId="62" priority="950" operator="equal">
      <formula>$S$1</formula>
    </cfRule>
    <cfRule type="cellIs" dxfId="61" priority="951" operator="equal">
      <formula>$U$1</formula>
    </cfRule>
  </conditionalFormatting>
  <conditionalFormatting sqref="C187">
    <cfRule type="cellIs" dxfId="60" priority="948" operator="equal">
      <formula>$U$1</formula>
    </cfRule>
    <cfRule type="cellIs" dxfId="59" priority="949" operator="equal">
      <formula>$S$1</formula>
    </cfRule>
  </conditionalFormatting>
  <conditionalFormatting sqref="D187">
    <cfRule type="cellIs" dxfId="58" priority="946" operator="equal">
      <formula>$S$1</formula>
    </cfRule>
    <cfRule type="cellIs" dxfId="57" priority="947" operator="equal">
      <formula>$U$1</formula>
    </cfRule>
  </conditionalFormatting>
  <conditionalFormatting sqref="C212">
    <cfRule type="cellIs" dxfId="56" priority="944" operator="equal">
      <formula>$U$1</formula>
    </cfRule>
    <cfRule type="cellIs" dxfId="55" priority="945" operator="equal">
      <formula>$S$1</formula>
    </cfRule>
  </conditionalFormatting>
  <conditionalFormatting sqref="D212">
    <cfRule type="cellIs" dxfId="54" priority="942" operator="equal">
      <formula>$S$1</formula>
    </cfRule>
    <cfRule type="cellIs" dxfId="53" priority="943" operator="equal">
      <formula>$U$1</formula>
    </cfRule>
  </conditionalFormatting>
  <conditionalFormatting sqref="C237">
    <cfRule type="cellIs" dxfId="52" priority="940" operator="equal">
      <formula>$U$1</formula>
    </cfRule>
    <cfRule type="cellIs" dxfId="51" priority="941" operator="equal">
      <formula>$S$1</formula>
    </cfRule>
  </conditionalFormatting>
  <conditionalFormatting sqref="D237">
    <cfRule type="cellIs" dxfId="50" priority="938" operator="equal">
      <formula>$S$1</formula>
    </cfRule>
    <cfRule type="cellIs" dxfId="49" priority="939" operator="equal">
      <formula>$U$1</formula>
    </cfRule>
  </conditionalFormatting>
  <conditionalFormatting sqref="C106">
    <cfRule type="cellIs" dxfId="48" priority="936" operator="equal">
      <formula>$U$1</formula>
    </cfRule>
    <cfRule type="cellIs" dxfId="47" priority="937" operator="equal">
      <formula>$S$1</formula>
    </cfRule>
  </conditionalFormatting>
  <conditionalFormatting sqref="D106">
    <cfRule type="cellIs" dxfId="46" priority="934" operator="equal">
      <formula>$S$1</formula>
    </cfRule>
    <cfRule type="cellIs" dxfId="45" priority="935" operator="equal">
      <formula>$U$1</formula>
    </cfRule>
  </conditionalFormatting>
  <conditionalFormatting sqref="C81">
    <cfRule type="cellIs" dxfId="44" priority="932" operator="equal">
      <formula>$U$1</formula>
    </cfRule>
    <cfRule type="cellIs" dxfId="43" priority="933" operator="equal">
      <formula>$S$1</formula>
    </cfRule>
  </conditionalFormatting>
  <conditionalFormatting sqref="D81">
    <cfRule type="cellIs" dxfId="42" priority="930" operator="equal">
      <formula>$S$1</formula>
    </cfRule>
    <cfRule type="cellIs" dxfId="41" priority="931" operator="equal">
      <formula>$U$1</formula>
    </cfRule>
  </conditionalFormatting>
  <conditionalFormatting sqref="C56">
    <cfRule type="cellIs" dxfId="40" priority="928" operator="equal">
      <formula>$U$1</formula>
    </cfRule>
    <cfRule type="cellIs" dxfId="39" priority="929" operator="equal">
      <formula>$S$1</formula>
    </cfRule>
  </conditionalFormatting>
  <conditionalFormatting sqref="D56">
    <cfRule type="cellIs" dxfId="38" priority="926" operator="equal">
      <formula>$S$1</formula>
    </cfRule>
    <cfRule type="cellIs" dxfId="37" priority="927" operator="equal">
      <formula>$U$1</formula>
    </cfRule>
  </conditionalFormatting>
  <conditionalFormatting sqref="C31">
    <cfRule type="cellIs" dxfId="36" priority="924" operator="equal">
      <formula>$U$1</formula>
    </cfRule>
    <cfRule type="cellIs" dxfId="35" priority="925" operator="equal">
      <formula>$S$1</formula>
    </cfRule>
  </conditionalFormatting>
  <conditionalFormatting sqref="D31">
    <cfRule type="cellIs" dxfId="34" priority="922" operator="equal">
      <formula>$S$1</formula>
    </cfRule>
    <cfRule type="cellIs" dxfId="33" priority="92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29" zoomScale="90" zoomScaleNormal="90" workbookViewId="0">
      <pane xSplit="4" topLeftCell="E1" activePane="topRight" state="frozen"/>
      <selection activeCell="A109" sqref="A109"/>
      <selection pane="topRight" activeCell="AR53" sqref="AR53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44" x14ac:dyDescent="0.25">
      <c r="A33" s="16">
        <v>149308.882421805</v>
      </c>
      <c r="E33"/>
    </row>
    <row r="34" spans="1:44" x14ac:dyDescent="0.25">
      <c r="A34" s="16">
        <v>135735.34765618635</v>
      </c>
      <c r="E34"/>
    </row>
    <row r="35" spans="1:44" x14ac:dyDescent="0.25">
      <c r="A35" s="16">
        <v>123395.77059653302</v>
      </c>
      <c r="E35"/>
    </row>
    <row r="36" spans="1:44" x14ac:dyDescent="0.25">
      <c r="A36" s="16">
        <v>112177.97326957546</v>
      </c>
      <c r="E36"/>
    </row>
    <row r="37" spans="1:44" x14ac:dyDescent="0.25">
      <c r="A37" s="16">
        <v>101979.97569961405</v>
      </c>
      <c r="E37"/>
    </row>
    <row r="38" spans="1:44" x14ac:dyDescent="0.25">
      <c r="A38" s="16">
        <v>92709.06881783095</v>
      </c>
      <c r="E38"/>
      <c r="AE38" s="34" t="s">
        <v>8</v>
      </c>
    </row>
    <row r="39" spans="1:44" x14ac:dyDescent="0.25">
      <c r="A39" s="16">
        <v>84280.971652573586</v>
      </c>
      <c r="E39"/>
      <c r="AE39" s="27" t="s">
        <v>8</v>
      </c>
      <c r="AF39" s="34" t="s">
        <v>7</v>
      </c>
    </row>
    <row r="40" spans="1:44" x14ac:dyDescent="0.25">
      <c r="A40" s="30">
        <v>76619.065138703256</v>
      </c>
      <c r="E40"/>
      <c r="AE40" s="27" t="s">
        <v>8</v>
      </c>
      <c r="AF40" s="27" t="s">
        <v>7</v>
      </c>
      <c r="AG40" s="34"/>
    </row>
    <row r="41" spans="1:44" x14ac:dyDescent="0.25">
      <c r="A41" s="30">
        <v>69653.695580639323</v>
      </c>
      <c r="E41"/>
      <c r="AE41" s="27" t="s">
        <v>8</v>
      </c>
      <c r="AF41" s="27" t="s">
        <v>7</v>
      </c>
      <c r="AH41" s="34"/>
    </row>
    <row r="42" spans="1:44" x14ac:dyDescent="0.25">
      <c r="A42" s="30">
        <v>63321.541436944834</v>
      </c>
      <c r="C42" s="1" t="s">
        <v>15</v>
      </c>
      <c r="E42"/>
      <c r="AE42" s="27" t="s">
        <v>8</v>
      </c>
      <c r="AF42" s="27" t="s">
        <v>7</v>
      </c>
      <c r="AI42" s="34"/>
    </row>
    <row r="43" spans="1:44" x14ac:dyDescent="0.25">
      <c r="A43" s="30">
        <v>57565.037669949845</v>
      </c>
      <c r="C43" s="7">
        <v>0.11167815779424731</v>
      </c>
      <c r="D43"/>
      <c r="E43"/>
      <c r="AE43" s="27" t="s">
        <v>8</v>
      </c>
      <c r="AF43" s="27" t="s">
        <v>7</v>
      </c>
      <c r="AJ43" s="34"/>
    </row>
    <row r="44" spans="1:44" x14ac:dyDescent="0.25">
      <c r="A44" s="30">
        <v>52331.852427227124</v>
      </c>
      <c r="E44"/>
      <c r="AA44" s="27" t="s">
        <v>8</v>
      </c>
      <c r="AC44" s="27" t="s">
        <v>8</v>
      </c>
      <c r="AE44" s="27" t="s">
        <v>8</v>
      </c>
      <c r="AF44" s="27" t="s">
        <v>7</v>
      </c>
      <c r="AG44" s="27" t="s">
        <v>8</v>
      </c>
      <c r="AK44" s="34"/>
    </row>
    <row r="45" spans="1:44" x14ac:dyDescent="0.25">
      <c r="A45" s="30">
        <v>47574.411297479201</v>
      </c>
      <c r="C45" s="1" t="s">
        <v>11</v>
      </c>
      <c r="D45" s="1" t="s">
        <v>12</v>
      </c>
      <c r="E45"/>
      <c r="AA45" s="27" t="s">
        <v>8</v>
      </c>
      <c r="AB45" s="27" t="s">
        <v>7</v>
      </c>
      <c r="AC45" s="27" t="s">
        <v>8</v>
      </c>
      <c r="AD45" s="27" t="s">
        <v>7</v>
      </c>
      <c r="AE45" s="27" t="s">
        <v>8</v>
      </c>
      <c r="AF45" s="27" t="s">
        <v>7</v>
      </c>
      <c r="AG45" s="27" t="s">
        <v>8</v>
      </c>
      <c r="AH45" s="27" t="s">
        <v>7</v>
      </c>
      <c r="AI45" s="27" t="s">
        <v>8</v>
      </c>
      <c r="AL45" s="34"/>
    </row>
    <row r="46" spans="1:44" x14ac:dyDescent="0.25">
      <c r="A46" s="30">
        <v>43249.464815890176</v>
      </c>
      <c r="C46"/>
      <c r="D46"/>
      <c r="E46"/>
      <c r="K46" s="27" t="s">
        <v>8</v>
      </c>
      <c r="AA46" s="27" t="s">
        <v>8</v>
      </c>
      <c r="AB46" s="27" t="s">
        <v>7</v>
      </c>
      <c r="AC46" s="27" t="s">
        <v>8</v>
      </c>
      <c r="AD46" s="27" t="s">
        <v>7</v>
      </c>
      <c r="AE46" s="27" t="s">
        <v>8</v>
      </c>
      <c r="AF46" s="27" t="s">
        <v>7</v>
      </c>
      <c r="AG46" s="27" t="s">
        <v>8</v>
      </c>
      <c r="AH46" s="34" t="s">
        <v>7</v>
      </c>
      <c r="AI46" s="27" t="s">
        <v>8</v>
      </c>
      <c r="AJ46" s="27" t="s">
        <v>7</v>
      </c>
      <c r="AM46" s="34" t="s">
        <v>8</v>
      </c>
    </row>
    <row r="47" spans="1:44" x14ac:dyDescent="0.25">
      <c r="A47" s="30">
        <v>39317.695287172886</v>
      </c>
      <c r="E47"/>
      <c r="I47" s="27" t="s">
        <v>8</v>
      </c>
      <c r="K47" s="27" t="s">
        <v>8</v>
      </c>
      <c r="L47" s="27" t="s">
        <v>7</v>
      </c>
      <c r="W47" s="27" t="s">
        <v>8</v>
      </c>
      <c r="Y47" s="27" t="s">
        <v>8</v>
      </c>
      <c r="AA47" s="27" t="s">
        <v>8</v>
      </c>
      <c r="AB47" s="27" t="s">
        <v>7</v>
      </c>
      <c r="AC47" s="27" t="s">
        <v>8</v>
      </c>
      <c r="AD47" s="27" t="s">
        <v>7</v>
      </c>
      <c r="AF47" s="27" t="s">
        <v>7</v>
      </c>
      <c r="AG47" s="34" t="s">
        <v>8</v>
      </c>
      <c r="AH47" s="27" t="s">
        <v>7</v>
      </c>
      <c r="AI47" s="27" t="s">
        <v>8</v>
      </c>
      <c r="AJ47" s="27" t="s">
        <v>7</v>
      </c>
      <c r="AM47" s="27" t="s">
        <v>8</v>
      </c>
      <c r="AN47" s="34" t="s">
        <v>7</v>
      </c>
      <c r="AO47" s="27" t="s">
        <v>8</v>
      </c>
      <c r="AQ47" s="27" t="s">
        <v>8</v>
      </c>
    </row>
    <row r="48" spans="1:44" x14ac:dyDescent="0.25">
      <c r="A48" s="30">
        <v>35743.359351975349</v>
      </c>
      <c r="C48" s="1" t="s">
        <v>13</v>
      </c>
      <c r="E48"/>
      <c r="I48" s="27" t="s">
        <v>8</v>
      </c>
      <c r="J48" s="27" t="s">
        <v>7</v>
      </c>
      <c r="K48" s="27" t="s">
        <v>8</v>
      </c>
      <c r="L48" s="27" t="s">
        <v>7</v>
      </c>
      <c r="U48" s="27" t="s">
        <v>8</v>
      </c>
      <c r="W48" s="27" t="s">
        <v>8</v>
      </c>
      <c r="X48" s="27" t="s">
        <v>7</v>
      </c>
      <c r="Y48" s="27" t="s">
        <v>8</v>
      </c>
      <c r="Z48" s="27" t="s">
        <v>7</v>
      </c>
      <c r="AA48" s="27" t="s">
        <v>8</v>
      </c>
      <c r="AB48" s="27" t="s">
        <v>7</v>
      </c>
      <c r="AC48" s="27" t="s">
        <v>8</v>
      </c>
      <c r="AF48" s="34" t="s">
        <v>7</v>
      </c>
      <c r="AH48" s="27" t="s">
        <v>7</v>
      </c>
      <c r="AI48" s="27" t="s">
        <v>8</v>
      </c>
      <c r="AJ48" s="27" t="s">
        <v>7</v>
      </c>
      <c r="AK48" s="27" t="s">
        <v>8</v>
      </c>
      <c r="AM48" s="27" t="s">
        <v>8</v>
      </c>
      <c r="AN48" s="27" t="s">
        <v>7</v>
      </c>
      <c r="AO48" s="34" t="s">
        <v>8</v>
      </c>
      <c r="AP48" s="27" t="s">
        <v>7</v>
      </c>
      <c r="AQ48" s="27" t="s">
        <v>8</v>
      </c>
      <c r="AR48" s="27" t="s">
        <v>7</v>
      </c>
    </row>
    <row r="49" spans="1:44" x14ac:dyDescent="0.25">
      <c r="A49" s="30">
        <v>32493.963047250312</v>
      </c>
      <c r="C49" s="1">
        <f>C38</f>
        <v>0</v>
      </c>
      <c r="E49"/>
      <c r="I49" s="27" t="s">
        <v>8</v>
      </c>
      <c r="J49" s="27" t="s">
        <v>7</v>
      </c>
      <c r="K49" s="27" t="s">
        <v>8</v>
      </c>
      <c r="L49" s="27" t="s">
        <v>7</v>
      </c>
      <c r="M49" s="27" t="s">
        <v>8</v>
      </c>
      <c r="U49" s="27" t="s">
        <v>8</v>
      </c>
      <c r="V49" s="27" t="s">
        <v>7</v>
      </c>
      <c r="W49" s="27" t="s">
        <v>8</v>
      </c>
      <c r="X49" s="27" t="s">
        <v>7</v>
      </c>
      <c r="Y49" s="27" t="s">
        <v>8</v>
      </c>
      <c r="Z49" s="27" t="s">
        <v>7</v>
      </c>
      <c r="AA49" s="27" t="s">
        <v>8</v>
      </c>
      <c r="AB49" s="27" t="s">
        <v>7</v>
      </c>
      <c r="AC49" s="27" t="s">
        <v>8</v>
      </c>
      <c r="AE49" s="34"/>
      <c r="AH49" s="27" t="s">
        <v>7</v>
      </c>
      <c r="AI49" s="27" t="s">
        <v>8</v>
      </c>
      <c r="AJ49" s="27" t="s">
        <v>7</v>
      </c>
      <c r="AK49" s="27" t="s">
        <v>8</v>
      </c>
      <c r="AL49" s="27" t="s">
        <v>7</v>
      </c>
      <c r="AM49" s="27" t="s">
        <v>8</v>
      </c>
      <c r="AN49" s="27" t="s">
        <v>7</v>
      </c>
      <c r="AO49" s="27" t="s">
        <v>8</v>
      </c>
      <c r="AP49" s="27" t="s">
        <v>7</v>
      </c>
      <c r="AQ49" s="27" t="s">
        <v>8</v>
      </c>
      <c r="AR49" s="27" t="s">
        <v>7</v>
      </c>
    </row>
    <row r="50" spans="1:44" x14ac:dyDescent="0.25">
      <c r="A50" s="30">
        <v>29539.966406591189</v>
      </c>
      <c r="C50"/>
      <c r="D50"/>
      <c r="E50"/>
      <c r="I50" s="27" t="s">
        <v>8</v>
      </c>
      <c r="J50" s="27" t="s">
        <v>7</v>
      </c>
      <c r="K50" s="27" t="s">
        <v>8</v>
      </c>
      <c r="L50" s="27" t="s">
        <v>7</v>
      </c>
      <c r="M50" s="27" t="s">
        <v>8</v>
      </c>
      <c r="N50" s="27" t="s">
        <v>7</v>
      </c>
      <c r="Q50" s="27" t="s">
        <v>8</v>
      </c>
      <c r="S50" s="27" t="s">
        <v>8</v>
      </c>
      <c r="U50" s="27" t="s">
        <v>8</v>
      </c>
      <c r="V50" s="27" t="s">
        <v>7</v>
      </c>
      <c r="W50" s="27" t="s">
        <v>8</v>
      </c>
      <c r="X50" s="27" t="s">
        <v>7</v>
      </c>
      <c r="Y50" s="27" t="s">
        <v>8</v>
      </c>
      <c r="Z50" s="27" t="s">
        <v>7</v>
      </c>
      <c r="AA50" s="27" t="s">
        <v>8</v>
      </c>
      <c r="AB50" s="27" t="s">
        <v>7</v>
      </c>
      <c r="AD50" s="34"/>
      <c r="AH50" s="27" t="s">
        <v>7</v>
      </c>
      <c r="AI50" s="27" t="s">
        <v>8</v>
      </c>
      <c r="AJ50" s="27" t="s">
        <v>7</v>
      </c>
      <c r="AK50" s="27" t="s">
        <v>8</v>
      </c>
      <c r="AL50" s="27" t="s">
        <v>7</v>
      </c>
      <c r="AM50" s="27" t="s">
        <v>8</v>
      </c>
      <c r="AN50" s="27" t="s">
        <v>7</v>
      </c>
      <c r="AO50" s="27" t="s">
        <v>8</v>
      </c>
      <c r="AP50" s="27" t="s">
        <v>7</v>
      </c>
      <c r="AQ50" s="27" t="s">
        <v>8</v>
      </c>
      <c r="AR50" s="27" t="s">
        <v>7</v>
      </c>
    </row>
    <row r="51" spans="1:44" x14ac:dyDescent="0.25">
      <c r="A51" s="30">
        <v>26854.514915082898</v>
      </c>
      <c r="C51" s="1" t="s">
        <v>14</v>
      </c>
      <c r="E51"/>
      <c r="I51" s="27" t="s">
        <v>8</v>
      </c>
      <c r="J51" s="27" t="s">
        <v>7</v>
      </c>
      <c r="K51" s="27" t="s">
        <v>8</v>
      </c>
      <c r="L51" s="27" t="s">
        <v>7</v>
      </c>
      <c r="M51" s="27" t="s">
        <v>8</v>
      </c>
      <c r="N51" s="27" t="s">
        <v>7</v>
      </c>
      <c r="Q51" s="27" t="s">
        <v>8</v>
      </c>
      <c r="R51" s="27" t="s">
        <v>7</v>
      </c>
      <c r="S51" s="27" t="s">
        <v>8</v>
      </c>
      <c r="T51" s="27" t="s">
        <v>7</v>
      </c>
      <c r="U51" s="27" t="s">
        <v>8</v>
      </c>
      <c r="V51" s="27" t="s">
        <v>7</v>
      </c>
      <c r="X51" s="27" t="s">
        <v>7</v>
      </c>
      <c r="Z51" s="27" t="s">
        <v>7</v>
      </c>
      <c r="AC51" s="34"/>
      <c r="AH51" s="27" t="s">
        <v>7</v>
      </c>
      <c r="AI51" s="27" t="s">
        <v>8</v>
      </c>
      <c r="AJ51" s="35" t="s">
        <v>7</v>
      </c>
      <c r="AL51" s="35" t="s">
        <v>7</v>
      </c>
      <c r="AN51" s="35" t="s">
        <v>7</v>
      </c>
      <c r="AP51" s="27" t="s">
        <v>7</v>
      </c>
      <c r="AQ51" s="27" t="s">
        <v>8</v>
      </c>
      <c r="AR51" s="27" t="s">
        <v>7</v>
      </c>
    </row>
    <row r="52" spans="1:44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  <c r="I52" s="27" t="s">
        <v>8</v>
      </c>
      <c r="J52" s="27" t="s">
        <v>7</v>
      </c>
      <c r="K52" s="27" t="s">
        <v>8</v>
      </c>
      <c r="L52" s="27" t="s">
        <v>7</v>
      </c>
      <c r="M52" s="27" t="s">
        <v>8</v>
      </c>
      <c r="N52" s="27" t="s">
        <v>7</v>
      </c>
      <c r="Q52" s="27" t="s">
        <v>8</v>
      </c>
      <c r="R52" s="27" t="s">
        <v>7</v>
      </c>
      <c r="S52" s="27" t="s">
        <v>8</v>
      </c>
      <c r="T52" s="27" t="s">
        <v>7</v>
      </c>
      <c r="U52" s="27" t="s">
        <v>8</v>
      </c>
      <c r="AB52" s="34"/>
      <c r="AH52" s="27" t="s">
        <v>7</v>
      </c>
      <c r="AP52" s="27" t="s">
        <v>7</v>
      </c>
      <c r="AQ52" s="27" t="s">
        <v>8</v>
      </c>
      <c r="AR52" s="27" t="s">
        <v>7</v>
      </c>
    </row>
    <row r="53" spans="1:44" x14ac:dyDescent="0.25">
      <c r="A53" s="30">
        <v>22193.81397940735</v>
      </c>
      <c r="E53"/>
      <c r="I53" s="27" t="s">
        <v>8</v>
      </c>
      <c r="J53" s="27" t="s">
        <v>7</v>
      </c>
      <c r="K53" s="27" t="s">
        <v>8</v>
      </c>
      <c r="L53" s="27" t="s">
        <v>7</v>
      </c>
      <c r="N53" s="27" t="s">
        <v>7</v>
      </c>
      <c r="Q53" s="27" t="s">
        <v>8</v>
      </c>
      <c r="R53" s="27" t="s">
        <v>7</v>
      </c>
      <c r="S53" s="27" t="s">
        <v>8</v>
      </c>
      <c r="T53" s="27" t="s">
        <v>7</v>
      </c>
      <c r="U53" s="27" t="s">
        <v>8</v>
      </c>
      <c r="AA53" s="34"/>
      <c r="AP53" s="27" t="s">
        <v>7</v>
      </c>
      <c r="AQ53" s="27" t="s">
        <v>8</v>
      </c>
      <c r="AR53" s="27" t="s">
        <v>7</v>
      </c>
    </row>
    <row r="54" spans="1:44" x14ac:dyDescent="0.25">
      <c r="A54" s="30">
        <v>20176.194526733954</v>
      </c>
      <c r="E54"/>
      <c r="I54" s="27" t="s">
        <v>8</v>
      </c>
      <c r="J54" s="27" t="s">
        <v>7</v>
      </c>
      <c r="K54" s="27" t="s">
        <v>8</v>
      </c>
      <c r="N54" s="27" t="s">
        <v>7</v>
      </c>
      <c r="Q54" s="27" t="s">
        <v>8</v>
      </c>
      <c r="R54" s="27" t="s">
        <v>7</v>
      </c>
      <c r="S54" s="27" t="s">
        <v>8</v>
      </c>
      <c r="T54" s="27" t="s">
        <v>7</v>
      </c>
      <c r="Z54" s="34"/>
      <c r="AP54" s="27" t="s">
        <v>7</v>
      </c>
      <c r="AQ54" s="27" t="s">
        <v>8</v>
      </c>
    </row>
    <row r="55" spans="1:44" x14ac:dyDescent="0.25">
      <c r="A55" s="30">
        <v>18341.995024303593</v>
      </c>
      <c r="E55"/>
      <c r="I55" s="27" t="s">
        <v>8</v>
      </c>
      <c r="J55" s="27" t="s">
        <v>7</v>
      </c>
      <c r="N55" s="27" t="s">
        <v>7</v>
      </c>
      <c r="O55" s="27" t="s">
        <v>8</v>
      </c>
      <c r="Q55" s="27" t="s">
        <v>8</v>
      </c>
      <c r="R55" s="27" t="s">
        <v>7</v>
      </c>
      <c r="Y55" s="34"/>
      <c r="AP55" s="27" t="s">
        <v>7</v>
      </c>
    </row>
    <row r="56" spans="1:44" x14ac:dyDescent="0.25">
      <c r="A56" s="30">
        <v>16674.540931185082</v>
      </c>
      <c r="E56"/>
      <c r="I56" s="27" t="s">
        <v>8</v>
      </c>
      <c r="N56" s="27" t="s">
        <v>7</v>
      </c>
      <c r="O56" s="27" t="s">
        <v>8</v>
      </c>
      <c r="P56" s="27" t="s">
        <v>7</v>
      </c>
      <c r="Q56" s="27" t="s">
        <v>8</v>
      </c>
      <c r="X56" s="34"/>
    </row>
    <row r="57" spans="1:44" x14ac:dyDescent="0.25">
      <c r="A57" s="30">
        <v>15158.673573804617</v>
      </c>
      <c r="E57"/>
      <c r="G57" s="27" t="s">
        <v>8</v>
      </c>
      <c r="I57" s="27" t="s">
        <v>8</v>
      </c>
      <c r="N57" s="27" t="s">
        <v>7</v>
      </c>
      <c r="O57" s="27" t="s">
        <v>8</v>
      </c>
      <c r="P57" s="27" t="s">
        <v>7</v>
      </c>
      <c r="Q57" s="27" t="s">
        <v>8</v>
      </c>
      <c r="W57" s="34"/>
    </row>
    <row r="58" spans="1:44" x14ac:dyDescent="0.25">
      <c r="A58" s="30">
        <v>13780.612339822379</v>
      </c>
      <c r="E58"/>
      <c r="G58" s="27" t="s">
        <v>8</v>
      </c>
      <c r="H58" s="27" t="s">
        <v>7</v>
      </c>
      <c r="I58" s="27" t="s">
        <v>8</v>
      </c>
      <c r="N58" s="27" t="s">
        <v>7</v>
      </c>
      <c r="O58" s="27" t="s">
        <v>8</v>
      </c>
      <c r="P58" s="27" t="s">
        <v>7</v>
      </c>
      <c r="Q58" s="27" t="s">
        <v>8</v>
      </c>
      <c r="V58" s="34"/>
    </row>
    <row r="59" spans="1:44" x14ac:dyDescent="0.25">
      <c r="A59" s="30">
        <v>12527.829399838525</v>
      </c>
      <c r="E59"/>
      <c r="G59" s="27" t="s">
        <v>8</v>
      </c>
      <c r="H59" s="27" t="s">
        <v>7</v>
      </c>
      <c r="I59" s="27" t="s">
        <v>8</v>
      </c>
      <c r="N59" s="27" t="s">
        <v>7</v>
      </c>
      <c r="P59" s="27" t="s">
        <v>7</v>
      </c>
      <c r="Q59" s="27" t="s">
        <v>8</v>
      </c>
      <c r="U59" s="34"/>
    </row>
    <row r="60" spans="1:44" x14ac:dyDescent="0.25">
      <c r="A60" s="30">
        <v>11388.935818035023</v>
      </c>
      <c r="E60"/>
      <c r="G60" s="27" t="s">
        <v>8</v>
      </c>
      <c r="H60" s="27" t="s">
        <v>7</v>
      </c>
      <c r="P60" s="27" t="s">
        <v>7</v>
      </c>
      <c r="Q60" s="27" t="s">
        <v>8</v>
      </c>
      <c r="T60" s="34"/>
    </row>
    <row r="61" spans="1:44" x14ac:dyDescent="0.25">
      <c r="A61" s="30">
        <v>10353.578016395475</v>
      </c>
      <c r="E61"/>
      <c r="G61" s="27" t="s">
        <v>8</v>
      </c>
      <c r="P61" s="27" t="s">
        <v>7</v>
      </c>
      <c r="Q61" s="27" t="s">
        <v>8</v>
      </c>
      <c r="S61" s="34"/>
    </row>
    <row r="62" spans="1:44" x14ac:dyDescent="0.25">
      <c r="A62" s="30">
        <v>9412.343651268613</v>
      </c>
      <c r="E62"/>
      <c r="G62" s="27" t="s">
        <v>8</v>
      </c>
      <c r="P62" s="27" t="s">
        <v>7</v>
      </c>
      <c r="Q62" s="27" t="s">
        <v>8</v>
      </c>
      <c r="R62" s="34"/>
    </row>
    <row r="63" spans="1:44" x14ac:dyDescent="0.25">
      <c r="A63" s="30">
        <v>8556.6760466078285</v>
      </c>
      <c r="E63"/>
      <c r="G63" s="27" t="s">
        <v>8</v>
      </c>
      <c r="P63" s="27" t="s">
        <v>7</v>
      </c>
      <c r="Q63" s="34" t="s">
        <v>8</v>
      </c>
    </row>
    <row r="64" spans="1:44" x14ac:dyDescent="0.25">
      <c r="A64" s="30">
        <v>7778.7964060071163</v>
      </c>
      <c r="E64"/>
      <c r="G64" s="27" t="s">
        <v>8</v>
      </c>
      <c r="P64" s="34" t="s">
        <v>7</v>
      </c>
    </row>
    <row r="65" spans="1:7" x14ac:dyDescent="0.25">
      <c r="A65" s="30">
        <v>7071.6330963701048</v>
      </c>
      <c r="E65"/>
      <c r="G65" s="27" t="s">
        <v>8</v>
      </c>
    </row>
    <row r="66" spans="1:7" x14ac:dyDescent="0.25">
      <c r="A66" s="30">
        <v>6428.7573603364581</v>
      </c>
      <c r="E66" t="s">
        <v>8</v>
      </c>
      <c r="G66" s="27" t="s">
        <v>8</v>
      </c>
    </row>
    <row r="67" spans="1:7" x14ac:dyDescent="0.25">
      <c r="A67" s="30">
        <v>5844.3248730331434</v>
      </c>
      <c r="C67" s="1" t="s">
        <v>15</v>
      </c>
      <c r="E67" t="s">
        <v>8</v>
      </c>
      <c r="F67" s="27" t="s">
        <v>7</v>
      </c>
      <c r="G67" s="27" t="s">
        <v>8</v>
      </c>
    </row>
    <row r="68" spans="1:7" x14ac:dyDescent="0.25">
      <c r="A68" s="30">
        <v>5313.0226118483115</v>
      </c>
      <c r="C68" s="7">
        <v>0.11167815779424731</v>
      </c>
      <c r="D68"/>
      <c r="E68" t="s">
        <v>8</v>
      </c>
      <c r="F68" s="27" t="s">
        <v>7</v>
      </c>
      <c r="G68" s="27" t="s">
        <v>8</v>
      </c>
    </row>
    <row r="69" spans="1:7" x14ac:dyDescent="0.25">
      <c r="A69" s="30">
        <v>4830.020556225737</v>
      </c>
      <c r="E69" t="s">
        <v>8</v>
      </c>
      <c r="F69" s="27" t="s">
        <v>7</v>
      </c>
      <c r="G69" s="27" t="s">
        <v>8</v>
      </c>
    </row>
    <row r="70" spans="1:7" x14ac:dyDescent="0.25">
      <c r="A70" s="30">
        <v>4390.927778387033</v>
      </c>
      <c r="C70" s="1" t="s">
        <v>11</v>
      </c>
      <c r="D70" s="1" t="s">
        <v>12</v>
      </c>
      <c r="E70" t="s">
        <v>8</v>
      </c>
      <c r="F70" s="27" t="s">
        <v>7</v>
      </c>
      <c r="G70" s="27" t="s">
        <v>8</v>
      </c>
    </row>
    <row r="71" spans="1:7" x14ac:dyDescent="0.25">
      <c r="A71" s="30">
        <v>3991.7525258063934</v>
      </c>
      <c r="C71"/>
      <c r="D71"/>
      <c r="E71" t="s">
        <v>8</v>
      </c>
      <c r="F71" s="27" t="s">
        <v>7</v>
      </c>
      <c r="G71" s="27" t="s">
        <v>8</v>
      </c>
    </row>
    <row r="72" spans="1:7" x14ac:dyDescent="0.25">
      <c r="A72" s="30">
        <v>3628.8659325512663</v>
      </c>
      <c r="E72" t="s">
        <v>8</v>
      </c>
      <c r="F72" s="27" t="s">
        <v>7</v>
      </c>
      <c r="G72" s="27" t="s">
        <v>8</v>
      </c>
    </row>
    <row r="73" spans="1:7" x14ac:dyDescent="0.25">
      <c r="A73" s="30">
        <v>3298.96902959206</v>
      </c>
      <c r="C73" s="1" t="s">
        <v>13</v>
      </c>
      <c r="E73" t="s">
        <v>8</v>
      </c>
      <c r="F73" s="27" t="s">
        <v>7</v>
      </c>
    </row>
    <row r="74" spans="1:7" x14ac:dyDescent="0.25">
      <c r="A74" s="30">
        <v>2999.0627541745998</v>
      </c>
      <c r="C74" s="1">
        <f>C63</f>
        <v>0</v>
      </c>
      <c r="E74" t="s">
        <v>8</v>
      </c>
    </row>
    <row r="75" spans="1:7" x14ac:dyDescent="0.25">
      <c r="A75" s="30">
        <v>2726.4206856132723</v>
      </c>
      <c r="C75"/>
      <c r="D75"/>
      <c r="E75" t="s">
        <v>8</v>
      </c>
    </row>
    <row r="76" spans="1:7" x14ac:dyDescent="0.25">
      <c r="A76" s="30">
        <v>2478.564259648429</v>
      </c>
      <c r="C76" s="1" t="s">
        <v>14</v>
      </c>
      <c r="E76" t="s">
        <v>8</v>
      </c>
    </row>
    <row r="77" spans="1:7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7" x14ac:dyDescent="0.25">
      <c r="A78" s="30">
        <v>2048.4002145854779</v>
      </c>
      <c r="E78" t="s">
        <v>8</v>
      </c>
    </row>
    <row r="79" spans="1:7" x14ac:dyDescent="0.25">
      <c r="A79" s="30">
        <v>1862.1820132595253</v>
      </c>
      <c r="E79" t="s">
        <v>8</v>
      </c>
    </row>
    <row r="80" spans="1:7" x14ac:dyDescent="0.25">
      <c r="A80" s="30">
        <v>1692.8927393268411</v>
      </c>
      <c r="E80" t="s">
        <v>8</v>
      </c>
    </row>
    <row r="81" spans="1:5" x14ac:dyDescent="0.25">
      <c r="A81" s="30">
        <v>1538.9933993880372</v>
      </c>
      <c r="E81" t="s">
        <v>8</v>
      </c>
    </row>
    <row r="82" spans="1:5" x14ac:dyDescent="0.25">
      <c r="A82" s="30">
        <v>1399.0849085345792</v>
      </c>
      <c r="E82" t="s">
        <v>8</v>
      </c>
    </row>
    <row r="83" spans="1:5" x14ac:dyDescent="0.25">
      <c r="A83" s="30">
        <v>1271.8953713950718</v>
      </c>
      <c r="E83" t="s">
        <v>8</v>
      </c>
    </row>
    <row r="84" spans="1:5" x14ac:dyDescent="0.25">
      <c r="A84" s="30">
        <v>1156.2685194500652</v>
      </c>
      <c r="E84" t="s">
        <v>8</v>
      </c>
    </row>
    <row r="85" spans="1:5" x14ac:dyDescent="0.25">
      <c r="A85" s="30">
        <v>1051.1531995000591</v>
      </c>
      <c r="E85" t="s">
        <v>8</v>
      </c>
    </row>
    <row r="86" spans="1:5" x14ac:dyDescent="0.25">
      <c r="A86" s="30">
        <v>955.59381772732638</v>
      </c>
      <c r="E86" t="s">
        <v>8</v>
      </c>
    </row>
    <row r="87" spans="1:5" x14ac:dyDescent="0.25">
      <c r="A87" s="30">
        <v>868.72165247938756</v>
      </c>
      <c r="E87" t="s">
        <v>8</v>
      </c>
    </row>
    <row r="88" spans="1:5" x14ac:dyDescent="0.25">
      <c r="A88" s="30">
        <v>789.74695679944318</v>
      </c>
      <c r="E88" t="s">
        <v>8</v>
      </c>
    </row>
    <row r="89" spans="1:5" x14ac:dyDescent="0.25">
      <c r="A89" s="30">
        <v>717.95177890858463</v>
      </c>
      <c r="E89" t="s">
        <v>8</v>
      </c>
    </row>
    <row r="90" spans="1:5" x14ac:dyDescent="0.25">
      <c r="A90" s="30">
        <v>652.68343537144051</v>
      </c>
      <c r="E90" t="s">
        <v>8</v>
      </c>
    </row>
    <row r="91" spans="1:5" x14ac:dyDescent="0.25">
      <c r="A91" s="30">
        <v>593.34857761040041</v>
      </c>
      <c r="E91" t="s">
        <v>8</v>
      </c>
    </row>
    <row r="92" spans="1:5" x14ac:dyDescent="0.25">
      <c r="A92" s="30">
        <v>539.40779782763673</v>
      </c>
      <c r="C92" s="1" t="s">
        <v>15</v>
      </c>
      <c r="E92" t="s">
        <v>8</v>
      </c>
    </row>
    <row r="93" spans="1:5" x14ac:dyDescent="0.25">
      <c r="A93" s="30">
        <v>490.37072529785149</v>
      </c>
      <c r="C93" s="7">
        <v>0.11167815779424731</v>
      </c>
      <c r="D93"/>
      <c r="E93" t="s">
        <v>8</v>
      </c>
    </row>
    <row r="94" spans="1:5" x14ac:dyDescent="0.25">
      <c r="A94" s="30">
        <v>445.79156845259223</v>
      </c>
      <c r="E94" t="s">
        <v>8</v>
      </c>
    </row>
    <row r="95" spans="1:5" x14ac:dyDescent="0.25">
      <c r="A95" s="30">
        <v>405.26506222962928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368.42278384511752</v>
      </c>
      <c r="C96"/>
      <c r="D96"/>
      <c r="E96" t="s">
        <v>8</v>
      </c>
    </row>
    <row r="97" spans="1:5" x14ac:dyDescent="0.25">
      <c r="A97" s="30">
        <v>334.92980349556137</v>
      </c>
      <c r="E97" t="s">
        <v>8</v>
      </c>
    </row>
    <row r="98" spans="1:5" x14ac:dyDescent="0.25">
      <c r="A98" s="30">
        <v>304.48163954141938</v>
      </c>
      <c r="C98" s="1" t="s">
        <v>13</v>
      </c>
      <c r="E98" t="s">
        <v>8</v>
      </c>
    </row>
    <row r="99" spans="1:5" x14ac:dyDescent="0.25">
      <c r="A99" s="30">
        <v>276.80149049219943</v>
      </c>
      <c r="C99" s="1">
        <f>C88</f>
        <v>0</v>
      </c>
      <c r="E99" t="s">
        <v>8</v>
      </c>
    </row>
    <row r="100" spans="1:5" x14ac:dyDescent="0.25">
      <c r="A100" s="30">
        <v>251.63771862927217</v>
      </c>
      <c r="C100"/>
      <c r="D100"/>
      <c r="E100" t="s">
        <v>8</v>
      </c>
    </row>
    <row r="101" spans="1:5" x14ac:dyDescent="0.25">
      <c r="A101" s="30">
        <v>228.76156239024741</v>
      </c>
      <c r="C101" s="1" t="s">
        <v>14</v>
      </c>
      <c r="E101" t="s">
        <v>8</v>
      </c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189.05914247127882</v>
      </c>
      <c r="E103" t="s">
        <v>8</v>
      </c>
    </row>
    <row r="104" spans="1:5" x14ac:dyDescent="0.25">
      <c r="A104" s="30">
        <v>171.87194770116255</v>
      </c>
      <c r="E104" t="s">
        <v>8</v>
      </c>
    </row>
    <row r="105" spans="1:5" x14ac:dyDescent="0.25">
      <c r="A105" s="30">
        <v>156.24722518287504</v>
      </c>
      <c r="E105" t="s">
        <v>8</v>
      </c>
    </row>
    <row r="106" spans="1:5" x14ac:dyDescent="0.25">
      <c r="A106" s="30">
        <v>142.04293198443185</v>
      </c>
      <c r="E106" t="s">
        <v>8</v>
      </c>
    </row>
    <row r="107" spans="1:5" x14ac:dyDescent="0.25">
      <c r="A107" s="30">
        <v>129.1299381676653</v>
      </c>
      <c r="E107" t="s">
        <v>8</v>
      </c>
    </row>
    <row r="108" spans="1:5" x14ac:dyDescent="0.25">
      <c r="A108" s="30">
        <v>117.39085287969573</v>
      </c>
      <c r="E108" t="s">
        <v>8</v>
      </c>
    </row>
    <row r="109" spans="1:5" x14ac:dyDescent="0.25">
      <c r="A109" s="30">
        <v>106.71895716335975</v>
      </c>
      <c r="E109" t="s">
        <v>8</v>
      </c>
    </row>
    <row r="110" spans="1:5" x14ac:dyDescent="0.25">
      <c r="A110" s="30">
        <v>97.017233784872488</v>
      </c>
      <c r="E110" t="s">
        <v>8</v>
      </c>
    </row>
    <row r="111" spans="1:5" x14ac:dyDescent="0.25">
      <c r="A111" s="30">
        <v>88.197485258974979</v>
      </c>
      <c r="C111" s="1" t="str">
        <f>ADDRESS(C121-1,1,1,1)</f>
        <v>$A$52</v>
      </c>
      <c r="D111" s="1" t="str">
        <f>ADDRESS(C121-1,D121,1,1)</f>
        <v>$AR$52</v>
      </c>
      <c r="E111" t="s">
        <v>8</v>
      </c>
    </row>
    <row r="112" spans="1:5" x14ac:dyDescent="0.25">
      <c r="A112" s="30">
        <v>80.179532053613613</v>
      </c>
      <c r="C112" s="1" t="str">
        <f>ADDRESS(C121,1,1,1)</f>
        <v>$A$53</v>
      </c>
      <c r="D112" s="1" t="str">
        <f>ADDRESS(C121,D121-1,1,1)</f>
        <v>$AQ$53</v>
      </c>
      <c r="E112" t="s">
        <v>8</v>
      </c>
    </row>
    <row r="113" spans="1:5" x14ac:dyDescent="0.25">
      <c r="A113" s="30">
        <v>72.890483685103277</v>
      </c>
      <c r="C113" s="1" t="str">
        <f>ADDRESS(C121+1,1,1,1)</f>
        <v>$A$54</v>
      </c>
      <c r="D113" s="1" t="str">
        <f>ADDRESS(C121-1,D121+1,1,1)</f>
        <v>$AS$52</v>
      </c>
      <c r="E113" s="1" t="s">
        <v>8</v>
      </c>
    </row>
    <row r="114" spans="1:5" x14ac:dyDescent="0.25">
      <c r="A114" s="30">
        <v>66.26407607736661</v>
      </c>
      <c r="C114" s="1" t="str">
        <f>ADDRESS(C121,D121,1,1)</f>
        <v>$AR$53</v>
      </c>
      <c r="D114" s="1" t="str">
        <f>ADDRESS(C121+1,D121+1,1,1)</f>
        <v>$AS$54</v>
      </c>
      <c r="E114" s="1" t="s">
        <v>8</v>
      </c>
    </row>
    <row r="115" spans="1:5" x14ac:dyDescent="0.25">
      <c r="A115" s="30">
        <v>60.240069161242367</v>
      </c>
      <c r="C115" s="1" t="str">
        <f>ADDRESS(C121+1,D121,1,1)</f>
        <v>$AR$54</v>
      </c>
      <c r="E115" s="1" t="s">
        <v>8</v>
      </c>
    </row>
    <row r="116" spans="1:5" x14ac:dyDescent="0.25">
      <c r="A116" s="30">
        <v>54.763699237493057</v>
      </c>
      <c r="C116" s="1">
        <f>C117-1</f>
        <v>52</v>
      </c>
      <c r="E116" s="1" t="s">
        <v>8</v>
      </c>
    </row>
    <row r="117" spans="1:5" x14ac:dyDescent="0.25">
      <c r="A117" s="30">
        <v>49.785181124993684</v>
      </c>
      <c r="C117" s="1">
        <f>C121</f>
        <v>53</v>
      </c>
      <c r="D117" s="1">
        <f>D121</f>
        <v>44</v>
      </c>
      <c r="E117" s="1" t="s">
        <v>8</v>
      </c>
    </row>
    <row r="118" spans="1:5" x14ac:dyDescent="0.25">
      <c r="A118" s="30">
        <v>45.259255568176073</v>
      </c>
      <c r="C118" s="1">
        <f>C117+1</f>
        <v>54</v>
      </c>
      <c r="D118" s="1">
        <f>D117+1</f>
        <v>45</v>
      </c>
      <c r="E118" s="1" t="s">
        <v>8</v>
      </c>
    </row>
    <row r="119" spans="1:5" x14ac:dyDescent="0.25">
      <c r="A119" s="30">
        <v>41.144777789250973</v>
      </c>
      <c r="E119" s="1" t="s">
        <v>8</v>
      </c>
    </row>
    <row r="120" spans="1:5" x14ac:dyDescent="0.25">
      <c r="A120" s="30">
        <v>37.404343444773609</v>
      </c>
      <c r="C120" s="1" t="s">
        <v>9</v>
      </c>
      <c r="E120" s="1" t="s">
        <v>8</v>
      </c>
    </row>
    <row r="121" spans="1:5" x14ac:dyDescent="0.25">
      <c r="A121" s="30">
        <v>34.003948586157826</v>
      </c>
      <c r="C121" s="18">
        <v>53</v>
      </c>
      <c r="D121" s="19">
        <v>44</v>
      </c>
      <c r="E121" s="18" t="s">
        <v>8</v>
      </c>
    </row>
    <row r="122" spans="1:5" x14ac:dyDescent="0.25">
      <c r="A122" s="30">
        <v>30.912680532870748</v>
      </c>
      <c r="C122" s="1" t="str">
        <f>INDEX(1:1048576,C117,D117)</f>
        <v>O</v>
      </c>
      <c r="E122" s="1" t="s">
        <v>8</v>
      </c>
    </row>
    <row r="123" spans="1:5" x14ac:dyDescent="0.25">
      <c r="A123" s="30">
        <v>28.102436848064315</v>
      </c>
      <c r="C123" s="1" t="str">
        <f>"R"&amp;C121</f>
        <v>R53</v>
      </c>
      <c r="D123" s="1" t="str">
        <f>"C"&amp;D121</f>
        <v>C44</v>
      </c>
      <c r="E123" s="1" t="s">
        <v>8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  <c r="E124" s="1" t="s">
        <v>8</v>
      </c>
    </row>
    <row r="125" spans="1:5" x14ac:dyDescent="0.25">
      <c r="A125" s="30">
        <v>23.225154419887861</v>
      </c>
      <c r="E125" s="1" t="s">
        <v>8</v>
      </c>
    </row>
    <row r="126" spans="1:5" x14ac:dyDescent="0.25">
      <c r="A126" s="30">
        <v>21.113776745352599</v>
      </c>
      <c r="C126" s="1" t="s">
        <v>10</v>
      </c>
      <c r="E126" s="1" t="s">
        <v>8</v>
      </c>
    </row>
    <row r="127" spans="1:5" x14ac:dyDescent="0.25">
      <c r="A127" s="30">
        <v>19.194342495775089</v>
      </c>
      <c r="C127" s="30">
        <v>22193.81397940735</v>
      </c>
      <c r="D127"/>
      <c r="E127" s="1" t="s">
        <v>8</v>
      </c>
    </row>
    <row r="128" spans="1:5" x14ac:dyDescent="0.25">
      <c r="A128" s="30">
        <v>17.449402268886445</v>
      </c>
      <c r="E128" s="1" t="s">
        <v>8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14.420993610649951</v>
      </c>
      <c r="C130" s="6"/>
      <c r="D130" s="6"/>
      <c r="E130" t="s">
        <v>8</v>
      </c>
    </row>
    <row r="131" spans="1:5" x14ac:dyDescent="0.25">
      <c r="A131" s="30">
        <v>13.109994191499954</v>
      </c>
      <c r="E131" t="s">
        <v>8</v>
      </c>
    </row>
    <row r="132" spans="1:5" x14ac:dyDescent="0.25">
      <c r="A132" s="30">
        <v>11.918176537727231</v>
      </c>
      <c r="C132" s="1" t="s">
        <v>13</v>
      </c>
      <c r="E132" t="s">
        <v>8</v>
      </c>
    </row>
    <row r="133" spans="1:5" x14ac:dyDescent="0.25">
      <c r="A133" s="30">
        <v>10.834705943388391</v>
      </c>
      <c r="C133" s="1" t="str">
        <f>C122</f>
        <v>O</v>
      </c>
      <c r="E133" t="s">
        <v>8</v>
      </c>
    </row>
    <row r="134" spans="1:5" x14ac:dyDescent="0.25">
      <c r="A134" s="30">
        <v>9.849732675807628</v>
      </c>
      <c r="C134"/>
      <c r="D134"/>
      <c r="E134" t="s">
        <v>8</v>
      </c>
    </row>
    <row r="135" spans="1:5" x14ac:dyDescent="0.25">
      <c r="A135" s="30">
        <v>8.9543024325523888</v>
      </c>
      <c r="C135" s="1" t="s">
        <v>14</v>
      </c>
      <c r="E135" t="s">
        <v>8</v>
      </c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</row>
    <row r="137" spans="1:5" x14ac:dyDescent="0.25">
      <c r="A137" s="30">
        <v>7.4002499442581717</v>
      </c>
      <c r="E137" t="s">
        <v>8</v>
      </c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6.1159090448414632</v>
      </c>
      <c r="E139" t="s">
        <v>8</v>
      </c>
    </row>
    <row r="140" spans="1:5" x14ac:dyDescent="0.25">
      <c r="A140" s="30">
        <v>5.5599173134922388</v>
      </c>
      <c r="C140" s="1">
        <v>0</v>
      </c>
      <c r="E140" t="s">
        <v>8</v>
      </c>
    </row>
    <row r="141" spans="1:5" x14ac:dyDescent="0.25">
      <c r="A141" s="30">
        <v>5.0544702849929442</v>
      </c>
      <c r="C141" s="1">
        <v>1</v>
      </c>
      <c r="E141" t="s">
        <v>8</v>
      </c>
    </row>
    <row r="142" spans="1:5" x14ac:dyDescent="0.25">
      <c r="A142" s="30">
        <v>4.594972986357222</v>
      </c>
      <c r="C142" s="1">
        <v>2</v>
      </c>
      <c r="E142" t="s">
        <v>8</v>
      </c>
    </row>
    <row r="143" spans="1:5" x14ac:dyDescent="0.25">
      <c r="A143" s="30">
        <v>4.1772481694156562</v>
      </c>
      <c r="C143" s="1">
        <v>3</v>
      </c>
      <c r="E143" t="s">
        <v>8</v>
      </c>
    </row>
    <row r="144" spans="1:5" x14ac:dyDescent="0.25">
      <c r="A144" s="30">
        <v>3.7974983358324148</v>
      </c>
      <c r="C144" s="1">
        <v>4</v>
      </c>
      <c r="E144" t="s">
        <v>8</v>
      </c>
    </row>
    <row r="145" spans="1:5" x14ac:dyDescent="0.25">
      <c r="A145" s="30">
        <v>3.4522712143931042</v>
      </c>
      <c r="B145"/>
      <c r="C145"/>
      <c r="D145"/>
      <c r="E145" t="s">
        <v>8</v>
      </c>
    </row>
    <row r="146" spans="1:5" x14ac:dyDescent="0.25">
      <c r="A146" s="30">
        <v>3.1384283767210035</v>
      </c>
      <c r="B146"/>
      <c r="C146"/>
      <c r="D146"/>
      <c r="E146" t="s">
        <v>8</v>
      </c>
    </row>
    <row r="147" spans="1:5" x14ac:dyDescent="0.25">
      <c r="A147" s="30">
        <v>2.8531167061100029</v>
      </c>
      <c r="B147"/>
      <c r="C147"/>
      <c r="D147"/>
      <c r="E147" t="s">
        <v>8</v>
      </c>
    </row>
    <row r="148" spans="1:5" x14ac:dyDescent="0.25">
      <c r="A148" s="30">
        <v>2.5937424601000023</v>
      </c>
      <c r="B148"/>
      <c r="C148"/>
      <c r="D148"/>
      <c r="E148" t="s">
        <v>8</v>
      </c>
    </row>
    <row r="149" spans="1:5" x14ac:dyDescent="0.25">
      <c r="A149" s="30">
        <v>2.3579476910000019</v>
      </c>
      <c r="B149"/>
      <c r="C149"/>
      <c r="D149"/>
      <c r="E149" t="s">
        <v>8</v>
      </c>
    </row>
    <row r="150" spans="1:5" x14ac:dyDescent="0.25">
      <c r="A150" s="30">
        <v>2.1435888100000016</v>
      </c>
      <c r="B150"/>
      <c r="C150"/>
      <c r="D150"/>
      <c r="E150" t="s">
        <v>8</v>
      </c>
    </row>
    <row r="151" spans="1:5" x14ac:dyDescent="0.25">
      <c r="A151" s="30">
        <v>1.9487171000000014</v>
      </c>
      <c r="B151"/>
      <c r="C151"/>
      <c r="D151"/>
      <c r="E151" t="s">
        <v>8</v>
      </c>
    </row>
    <row r="152" spans="1:5" x14ac:dyDescent="0.25">
      <c r="A152" s="30">
        <v>1.7715610000000011</v>
      </c>
      <c r="B152"/>
      <c r="C152"/>
      <c r="D152"/>
      <c r="E152" t="s">
        <v>8</v>
      </c>
    </row>
    <row r="153" spans="1:5" x14ac:dyDescent="0.25">
      <c r="A153" s="30">
        <v>1.6105100000000008</v>
      </c>
      <c r="B153"/>
      <c r="C153"/>
      <c r="D153"/>
      <c r="E153" t="s">
        <v>8</v>
      </c>
    </row>
    <row r="154" spans="1:5" x14ac:dyDescent="0.25">
      <c r="A154" s="30">
        <v>1.4641000000000006</v>
      </c>
      <c r="B154"/>
      <c r="C154"/>
      <c r="D154"/>
      <c r="E154" t="s">
        <v>8</v>
      </c>
    </row>
    <row r="155" spans="1:5" x14ac:dyDescent="0.25">
      <c r="A155" s="30">
        <v>1.3310000000000004</v>
      </c>
      <c r="B155"/>
      <c r="C155"/>
      <c r="D155"/>
      <c r="E155" t="s">
        <v>8</v>
      </c>
    </row>
    <row r="156" spans="1:5" x14ac:dyDescent="0.25">
      <c r="A156" s="30">
        <v>1.2100000000000002</v>
      </c>
      <c r="B156"/>
      <c r="C156"/>
      <c r="D156"/>
      <c r="E156" t="s">
        <v>8</v>
      </c>
    </row>
    <row r="157" spans="1:5" x14ac:dyDescent="0.25">
      <c r="A157" s="30">
        <v>1.1000000000000001</v>
      </c>
      <c r="B157"/>
      <c r="C157"/>
      <c r="D157"/>
      <c r="E157" t="s">
        <v>8</v>
      </c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940" operator="equal">
      <formula>$U$1</formula>
    </cfRule>
    <cfRule type="cellIs" dxfId="30" priority="941" operator="equal">
      <formula>$S$1</formula>
    </cfRule>
  </conditionalFormatting>
  <conditionalFormatting sqref="D136">
    <cfRule type="cellIs" dxfId="29" priority="938" operator="equal">
      <formula>$S$1</formula>
    </cfRule>
    <cfRule type="cellIs" dxfId="28" priority="939" operator="equal">
      <formula>$U$1</formula>
    </cfRule>
  </conditionalFormatting>
  <conditionalFormatting sqref="C102">
    <cfRule type="cellIs" dxfId="27" priority="936" operator="equal">
      <formula>$U$1</formula>
    </cfRule>
    <cfRule type="cellIs" dxfId="26" priority="937" operator="equal">
      <formula>$S$1</formula>
    </cfRule>
  </conditionalFormatting>
  <conditionalFormatting sqref="D102">
    <cfRule type="cellIs" dxfId="25" priority="934" operator="equal">
      <formula>$S$1</formula>
    </cfRule>
    <cfRule type="cellIs" dxfId="24" priority="935" operator="equal">
      <formula>$U$1</formula>
    </cfRule>
  </conditionalFormatting>
  <conditionalFormatting sqref="C77">
    <cfRule type="cellIs" dxfId="23" priority="932" operator="equal">
      <formula>$U$1</formula>
    </cfRule>
    <cfRule type="cellIs" dxfId="22" priority="933" operator="equal">
      <formula>$S$1</formula>
    </cfRule>
  </conditionalFormatting>
  <conditionalFormatting sqref="D77">
    <cfRule type="cellIs" dxfId="21" priority="930" operator="equal">
      <formula>$S$1</formula>
    </cfRule>
    <cfRule type="cellIs" dxfId="20" priority="931" operator="equal">
      <formula>$U$1</formula>
    </cfRule>
  </conditionalFormatting>
  <conditionalFormatting sqref="C52">
    <cfRule type="cellIs" dxfId="19" priority="928" operator="equal">
      <formula>$U$1</formula>
    </cfRule>
    <cfRule type="cellIs" dxfId="18" priority="929" operator="equal">
      <formula>$S$1</formula>
    </cfRule>
  </conditionalFormatting>
  <conditionalFormatting sqref="D52">
    <cfRule type="cellIs" dxfId="17" priority="926" operator="equal">
      <formula>$S$1</formula>
    </cfRule>
    <cfRule type="cellIs" dxfId="16" priority="927" operator="equal">
      <formula>$U$1</formula>
    </cfRule>
  </conditionalFormatting>
  <conditionalFormatting sqref="C26">
    <cfRule type="cellIs" dxfId="15" priority="924" operator="equal">
      <formula>$U$1</formula>
    </cfRule>
    <cfRule type="cellIs" dxfId="14" priority="925" operator="equal">
      <formula>$S$1</formula>
    </cfRule>
  </conditionalFormatting>
  <conditionalFormatting sqref="D26">
    <cfRule type="cellIs" dxfId="13" priority="922" operator="equal">
      <formula>$S$1</formula>
    </cfRule>
    <cfRule type="cellIs" dxfId="12" priority="92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4" width="8.7109375" style="1" customWidth="1"/>
    <col min="5" max="5" width="14.5703125" style="1" customWidth="1"/>
    <col min="6" max="6" width="13.85546875" style="1" customWidth="1"/>
    <col min="7" max="7" width="16" style="1" customWidth="1"/>
    <col min="8" max="8" width="11.7109375" style="1" customWidth="1"/>
    <col min="9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24332.397773829198</v>
      </c>
      <c r="F3" s="30">
        <v>25549.017662520659</v>
      </c>
      <c r="G3" s="30">
        <v>50585.307404659965</v>
      </c>
      <c r="H3" s="25">
        <f>IF(G3="","",(3*(G3-F3))+E3)</f>
        <v>99441.267000247113</v>
      </c>
      <c r="I3" s="7"/>
      <c r="J3" s="7">
        <f>(E3+G3)/2</f>
        <v>37458.852589244583</v>
      </c>
      <c r="K3" s="7">
        <f>H3/2</f>
        <v>49720.633500123557</v>
      </c>
      <c r="M3" s="26">
        <f>IF(OR(J3="",H3=""),"",H3/J3)</f>
        <v>2.6546800055696127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25549.017662520659</v>
      </c>
      <c r="F4" s="30">
        <v>26826.468545646694</v>
      </c>
      <c r="G4" s="30">
        <v>43697.490469417957</v>
      </c>
      <c r="H4" s="25">
        <f t="shared" ref="H4:H25" si="0">IF(G4="","",(3*(G4-F4))+E4)</f>
        <v>76162.083433834458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INVEST</vt:lpstr>
      <vt:lpstr>Sheet1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2022-01-28T01:23:32Z</dcterms:modified>
</cp:coreProperties>
</file>