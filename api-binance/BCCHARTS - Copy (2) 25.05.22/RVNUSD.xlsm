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578BACF-55F2-497A-B17D-29265F7E807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60" i="1"/>
  <c r="Q860" i="1" s="1"/>
  <c r="R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60" i="1"/>
  <c r="T860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D136" i="4" s="1"/>
  <c r="C118" i="3"/>
  <c r="C122" i="3"/>
  <c r="C133" i="3" s="1"/>
  <c r="D136" i="3" s="1"/>
  <c r="R859" i="1"/>
  <c r="C136" i="5" l="1"/>
  <c r="C138" i="5" s="1"/>
  <c r="C136" i="4"/>
  <c r="C138" i="4" s="1"/>
  <c r="C136" i="3"/>
  <c r="C138" i="3" s="1"/>
  <c r="R858" i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S265" i="1" l="1"/>
  <c r="T265" i="1" s="1"/>
  <c r="R264" i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<sst xmlns="http://schemas.openxmlformats.org/spreadsheetml/2006/main" count="7828" uniqueCount="34">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</sst>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6.3960000000000003E-2</c:v>
                </c:pt>
                <c:pt idx="1">
                  <c:v>6.5490000000000007E-2</c:v>
                </c:pt>
                <c:pt idx="2">
                  <c:v>6.3380000000000006E-2</c:v>
                </c:pt>
                <c:pt idx="3">
                  <c:v>6.2269999999999999E-2</c:v>
                </c:pt>
                <c:pt idx="4">
                  <c:v>6.5430000000000002E-2</c:v>
                </c:pt>
                <c:pt idx="5">
                  <c:v>6.1699999999999998E-2</c:v>
                </c:pt>
                <c:pt idx="6">
                  <c:v>6.7239999999999994E-2</c:v>
                </c:pt>
                <c:pt idx="7">
                  <c:v>7.868E-2</c:v>
                </c:pt>
                <c:pt idx="8">
                  <c:v>8.3339999999999997E-2</c:v>
                </c:pt>
                <c:pt idx="9">
                  <c:v>8.7900000000000006E-2</c:v>
                </c:pt>
                <c:pt idx="10">
                  <c:v>9.0109999999999996E-2</c:v>
                </c:pt>
                <c:pt idx="11">
                  <c:v>9.6100000000000005E-2</c:v>
                </c:pt>
                <c:pt idx="12">
                  <c:v>9.8330000000000001E-2</c:v>
                </c:pt>
                <c:pt idx="13">
                  <c:v>0.1019</c:v>
                </c:pt>
                <c:pt idx="14">
                  <c:v>9.5019999999999993E-2</c:v>
                </c:pt>
                <c:pt idx="15">
                  <c:v>0.10299999999999999</c:v>
                </c:pt>
                <c:pt idx="16">
                  <c:v>9.4359999999999999E-2</c:v>
                </c:pt>
                <c:pt idx="17">
                  <c:v>9.0639999999999998E-2</c:v>
                </c:pt>
                <c:pt idx="18">
                  <c:v>9.826E-2</c:v>
                </c:pt>
                <c:pt idx="19">
                  <c:v>9.5600000000000004E-2</c:v>
                </c:pt>
                <c:pt idx="20">
                  <c:v>0.10872999999999999</c:v>
                </c:pt>
                <c:pt idx="21">
                  <c:v>0.12609999999999999</c:v>
                </c:pt>
                <c:pt idx="22">
                  <c:v>0.1183</c:v>
                </c:pt>
                <c:pt idx="23">
                  <c:v>0.13316</c:v>
                </c:pt>
                <c:pt idx="24">
                  <c:v>0.10886</c:v>
                </c:pt>
                <c:pt idx="25">
                  <c:v>0.10198</c:v>
                </c:pt>
                <c:pt idx="26">
                  <c:v>0.107</c:v>
                </c:pt>
                <c:pt idx="27">
                  <c:v>9.8680000000000004E-2</c:v>
                </c:pt>
                <c:pt idx="28">
                  <c:v>9.4769999999999993E-2</c:v>
                </c:pt>
                <c:pt idx="29">
                  <c:v>9.3060000000000004E-2</c:v>
                </c:pt>
                <c:pt idx="30">
                  <c:v>9.5469999999999999E-2</c:v>
                </c:pt>
                <c:pt idx="31">
                  <c:v>0.11148</c:v>
                </c:pt>
                <c:pt idx="32">
                  <c:v>9.8210000000000006E-2</c:v>
                </c:pt>
                <c:pt idx="33">
                  <c:v>9.6610000000000001E-2</c:v>
                </c:pt>
                <c:pt idx="34">
                  <c:v>9.6229999999999996E-2</c:v>
                </c:pt>
                <c:pt idx="35">
                  <c:v>9.4750000000000001E-2</c:v>
                </c:pt>
                <c:pt idx="36">
                  <c:v>8.7840000000000001E-2</c:v>
                </c:pt>
                <c:pt idx="37">
                  <c:v>8.4419999999999995E-2</c:v>
                </c:pt>
                <c:pt idx="38">
                  <c:v>8.1570000000000004E-2</c:v>
                </c:pt>
                <c:pt idx="39">
                  <c:v>8.0640000000000003E-2</c:v>
                </c:pt>
                <c:pt idx="40">
                  <c:v>8.2059999999999994E-2</c:v>
                </c:pt>
                <c:pt idx="41">
                  <c:v>8.1269999999999995E-2</c:v>
                </c:pt>
                <c:pt idx="42">
                  <c:v>8.4720000000000004E-2</c:v>
                </c:pt>
                <c:pt idx="43">
                  <c:v>8.6809999999999998E-2</c:v>
                </c:pt>
                <c:pt idx="44">
                  <c:v>8.4140000000000006E-2</c:v>
                </c:pt>
                <c:pt idx="45">
                  <c:v>8.0339999999999995E-2</c:v>
                </c:pt>
                <c:pt idx="46">
                  <c:v>8.8669999999999999E-2</c:v>
                </c:pt>
                <c:pt idx="47">
                  <c:v>8.3449999999999996E-2</c:v>
                </c:pt>
                <c:pt idx="48">
                  <c:v>8.2220000000000001E-2</c:v>
                </c:pt>
                <c:pt idx="49">
                  <c:v>8.5000000000000006E-2</c:v>
                </c:pt>
                <c:pt idx="50">
                  <c:v>9.2950000000000005E-2</c:v>
                </c:pt>
                <c:pt idx="51">
                  <c:v>9.1889999999999999E-2</c:v>
                </c:pt>
                <c:pt idx="52">
                  <c:v>9.2050000000000007E-2</c:v>
                </c:pt>
                <c:pt idx="53">
                  <c:v>8.9370000000000005E-2</c:v>
                </c:pt>
                <c:pt idx="54">
                  <c:v>9.2350000000000002E-2</c:v>
                </c:pt>
                <c:pt idx="55">
                  <c:v>0.1053</c:v>
                </c:pt>
                <c:pt idx="56">
                  <c:v>0.10591</c:v>
                </c:pt>
                <c:pt idx="57">
                  <c:v>0.10731</c:v>
                </c:pt>
                <c:pt idx="58">
                  <c:v>0.10736</c:v>
                </c:pt>
                <c:pt idx="59">
                  <c:v>0.11117</c:v>
                </c:pt>
                <c:pt idx="60">
                  <c:v>0.11174000000000001</c:v>
                </c:pt>
                <c:pt idx="61">
                  <c:v>0.10933</c:v>
                </c:pt>
                <c:pt idx="62">
                  <c:v>0.10339</c:v>
                </c:pt>
                <c:pt idx="63">
                  <c:v>0.11459</c:v>
                </c:pt>
                <c:pt idx="64">
                  <c:v>0.11380999999999999</c:v>
                </c:pt>
                <c:pt idx="65">
                  <c:v>0.11527999999999999</c:v>
                </c:pt>
                <c:pt idx="66">
                  <c:v>0.11531</c:v>
                </c:pt>
                <c:pt idx="67">
                  <c:v>0.12013</c:v>
                </c:pt>
                <c:pt idx="68">
                  <c:v>0.12313</c:v>
                </c:pt>
                <c:pt idx="69">
                  <c:v>0.12372</c:v>
                </c:pt>
                <c:pt idx="70">
                  <c:v>0.11543</c:v>
                </c:pt>
                <c:pt idx="71">
                  <c:v>0.11617</c:v>
                </c:pt>
                <c:pt idx="72">
                  <c:v>0.11358</c:v>
                </c:pt>
                <c:pt idx="73">
                  <c:v>0.12634000000000001</c:v>
                </c:pt>
                <c:pt idx="74">
                  <c:v>0.13009000000000001</c:v>
                </c:pt>
                <c:pt idx="75">
                  <c:v>0.12916</c:v>
                </c:pt>
                <c:pt idx="76">
                  <c:v>0.12506999999999999</c:v>
                </c:pt>
                <c:pt idx="77">
                  <c:v>0.12712000000000001</c:v>
                </c:pt>
                <c:pt idx="78">
                  <c:v>0.12306</c:v>
                </c:pt>
                <c:pt idx="79">
                  <c:v>0.13586999999999999</c:v>
                </c:pt>
                <c:pt idx="80">
                  <c:v>0.13641</c:v>
                </c:pt>
                <c:pt idx="81">
                  <c:v>0.13372000000000001</c:v>
                </c:pt>
                <c:pt idx="82">
                  <c:v>0.13686999999999999</c:v>
                </c:pt>
                <c:pt idx="83">
                  <c:v>0.13614999999999999</c:v>
                </c:pt>
                <c:pt idx="84">
                  <c:v>0.14396999999999999</c:v>
                </c:pt>
                <c:pt idx="85">
                  <c:v>0.13355</c:v>
                </c:pt>
                <c:pt idx="86">
                  <c:v>0.128</c:v>
                </c:pt>
                <c:pt idx="87">
                  <c:v>0.12028</c:v>
                </c:pt>
                <c:pt idx="88">
                  <c:v>0.12111</c:v>
                </c:pt>
                <c:pt idx="89">
                  <c:v>0.11570999999999999</c:v>
                </c:pt>
                <c:pt idx="90">
                  <c:v>0.11385000000000001</c:v>
                </c:pt>
                <c:pt idx="91">
                  <c:v>0.11103</c:v>
                </c:pt>
                <c:pt idx="92">
                  <c:v>0.10594000000000001</c:v>
                </c:pt>
                <c:pt idx="93">
                  <c:v>0.11878</c:v>
                </c:pt>
                <c:pt idx="94">
                  <c:v>0.12214999999999999</c:v>
                </c:pt>
                <c:pt idx="95">
                  <c:v>0.1187</c:v>
                </c:pt>
                <c:pt idx="96">
                  <c:v>0.1217</c:v>
                </c:pt>
                <c:pt idx="97">
                  <c:v>0.12087000000000001</c:v>
                </c:pt>
                <c:pt idx="98">
                  <c:v>0.10917</c:v>
                </c:pt>
                <c:pt idx="99">
                  <c:v>0.11219</c:v>
                </c:pt>
                <c:pt idx="100">
                  <c:v>0.10602</c:v>
                </c:pt>
                <c:pt idx="101">
                  <c:v>0.10592</c:v>
                </c:pt>
                <c:pt idx="102">
                  <c:v>0.10736</c:v>
                </c:pt>
                <c:pt idx="103">
                  <c:v>0.1094</c:v>
                </c:pt>
                <c:pt idx="104">
                  <c:v>0.10886999999999999</c:v>
                </c:pt>
                <c:pt idx="105">
                  <c:v>0.10886999999999999</c:v>
                </c:pt>
                <c:pt idx="106">
                  <c:v>0.1081</c:v>
                </c:pt>
                <c:pt idx="107">
                  <c:v>0.10715</c:v>
                </c:pt>
                <c:pt idx="108">
                  <c:v>0.10832</c:v>
                </c:pt>
                <c:pt idx="109">
                  <c:v>0.10836999999999999</c:v>
                </c:pt>
                <c:pt idx="110">
                  <c:v>0.11451</c:v>
                </c:pt>
                <c:pt idx="111">
                  <c:v>0.11316</c:v>
                </c:pt>
                <c:pt idx="112">
                  <c:v>0.11255999999999999</c:v>
                </c:pt>
                <c:pt idx="113">
                  <c:v>0.1124</c:v>
                </c:pt>
                <c:pt idx="114">
                  <c:v>0.11269999999999999</c:v>
                </c:pt>
                <c:pt idx="115">
                  <c:v>0.10828</c:v>
                </c:pt>
                <c:pt idx="116">
                  <c:v>0.11106000000000001</c:v>
                </c:pt>
                <c:pt idx="117">
                  <c:v>0.1103</c:v>
                </c:pt>
                <c:pt idx="118">
                  <c:v>0.10631</c:v>
                </c:pt>
                <c:pt idx="119">
                  <c:v>9.6250000000000002E-2</c:v>
                </c:pt>
                <c:pt idx="120">
                  <c:v>9.1869999999999993E-2</c:v>
                </c:pt>
                <c:pt idx="121">
                  <c:v>9.1240000000000002E-2</c:v>
                </c:pt>
                <c:pt idx="122">
                  <c:v>9.5979999999999996E-2</c:v>
                </c:pt>
                <c:pt idx="123">
                  <c:v>9.9709999999999993E-2</c:v>
                </c:pt>
                <c:pt idx="124">
                  <c:v>0.10298</c:v>
                </c:pt>
                <c:pt idx="125">
                  <c:v>9.7939999999999999E-2</c:v>
                </c:pt>
                <c:pt idx="126">
                  <c:v>0.10646</c:v>
                </c:pt>
                <c:pt idx="127">
                  <c:v>0.10697</c:v>
                </c:pt>
                <c:pt idx="128">
                  <c:v>8.9969999999999994E-2</c:v>
                </c:pt>
                <c:pt idx="129">
                  <c:v>0.10059999999999999</c:v>
                </c:pt>
                <c:pt idx="130">
                  <c:v>0.11207</c:v>
                </c:pt>
                <c:pt idx="131">
                  <c:v>0.11369</c:v>
                </c:pt>
                <c:pt idx="132">
                  <c:v>0.11286</c:v>
                </c:pt>
                <c:pt idx="133">
                  <c:v>0.11735</c:v>
                </c:pt>
                <c:pt idx="134">
                  <c:v>0.12026000000000001</c:v>
                </c:pt>
                <c:pt idx="135">
                  <c:v>0.11806999999999999</c:v>
                </c:pt>
                <c:pt idx="136">
                  <c:v>0.11439000000000001</c:v>
                </c:pt>
                <c:pt idx="137">
                  <c:v>0.12027</c:v>
                </c:pt>
                <c:pt idx="138">
                  <c:v>0.11777</c:v>
                </c:pt>
                <c:pt idx="139">
                  <c:v>0.11491999999999999</c:v>
                </c:pt>
                <c:pt idx="140">
                  <c:v>0.12015000000000001</c:v>
                </c:pt>
                <c:pt idx="141">
                  <c:v>0.1203</c:v>
                </c:pt>
                <c:pt idx="142">
                  <c:v>0.1177</c:v>
                </c:pt>
                <c:pt idx="143">
                  <c:v>0.14480999999999999</c:v>
                </c:pt>
                <c:pt idx="144">
                  <c:v>0.15215999999999999</c:v>
                </c:pt>
                <c:pt idx="145">
                  <c:v>0.15565000000000001</c:v>
                </c:pt>
                <c:pt idx="146">
                  <c:v>0.13775000000000001</c:v>
                </c:pt>
                <c:pt idx="147">
                  <c:v>0.13488</c:v>
                </c:pt>
                <c:pt idx="148">
                  <c:v>0.13553999999999999</c:v>
                </c:pt>
                <c:pt idx="149">
                  <c:v>0.12842999999999999</c:v>
                </c:pt>
                <c:pt idx="150">
                  <c:v>0.12611</c:v>
                </c:pt>
                <c:pt idx="151">
                  <c:v>0.13044</c:v>
                </c:pt>
                <c:pt idx="152">
                  <c:v>0.13031000000000001</c:v>
                </c:pt>
                <c:pt idx="153">
                  <c:v>0.13569000000000001</c:v>
                </c:pt>
                <c:pt idx="154">
                  <c:v>0.1249</c:v>
                </c:pt>
                <c:pt idx="155">
                  <c:v>0.13647000000000001</c:v>
                </c:pt>
                <c:pt idx="156">
                  <c:v>0.13308</c:v>
                </c:pt>
                <c:pt idx="157">
                  <c:v>0.14643999999999999</c:v>
                </c:pt>
                <c:pt idx="158">
                  <c:v>0.14069000000000001</c:v>
                </c:pt>
                <c:pt idx="159">
                  <c:v>0.13841000000000001</c:v>
                </c:pt>
                <c:pt idx="160">
                  <c:v>0.14396999999999999</c:v>
                </c:pt>
                <c:pt idx="161">
                  <c:v>0.14122999999999999</c:v>
                </c:pt>
                <c:pt idx="162">
                  <c:v>0.1363</c:v>
                </c:pt>
                <c:pt idx="163">
                  <c:v>0.13618</c:v>
                </c:pt>
                <c:pt idx="164">
                  <c:v>0.14027000000000001</c:v>
                </c:pt>
                <c:pt idx="165">
                  <c:v>0.14663999999999999</c:v>
                </c:pt>
                <c:pt idx="166">
                  <c:v>0.15037</c:v>
                </c:pt>
                <c:pt idx="167">
                  <c:v>0.15557000000000001</c:v>
                </c:pt>
                <c:pt idx="168">
                  <c:v>0.15074000000000001</c:v>
                </c:pt>
                <c:pt idx="169">
                  <c:v>0.15421000000000001</c:v>
                </c:pt>
                <c:pt idx="170">
                  <c:v>0.13621</c:v>
                </c:pt>
                <c:pt idx="171">
                  <c:v>0.11373999999999999</c:v>
                </c:pt>
                <c:pt idx="172">
                  <c:v>9.0969999999999995E-2</c:v>
                </c:pt>
                <c:pt idx="173">
                  <c:v>9.7460000000000005E-2</c:v>
                </c:pt>
                <c:pt idx="174">
                  <c:v>9.9309999999999996E-2</c:v>
                </c:pt>
                <c:pt idx="175">
                  <c:v>7.3219999999999993E-2</c:v>
                </c:pt>
                <c:pt idx="176">
                  <c:v>7.3789999999999994E-2</c:v>
                </c:pt>
                <c:pt idx="177">
                  <c:v>7.2599999999999998E-2</c:v>
                </c:pt>
                <c:pt idx="178">
                  <c:v>6.583E-2</c:v>
                </c:pt>
                <c:pt idx="179">
                  <c:v>6.3339999999999994E-2</c:v>
                </c:pt>
                <c:pt idx="180">
                  <c:v>6.5979999999999997E-2</c:v>
                </c:pt>
                <c:pt idx="181">
                  <c:v>6.5640000000000004E-2</c:v>
                </c:pt>
                <c:pt idx="182">
                  <c:v>6.0690000000000001E-2</c:v>
                </c:pt>
                <c:pt idx="183">
                  <c:v>6.0760000000000002E-2</c:v>
                </c:pt>
                <c:pt idx="184">
                  <c:v>6.0650000000000003E-2</c:v>
                </c:pt>
                <c:pt idx="185">
                  <c:v>5.9229999999999998E-2</c:v>
                </c:pt>
                <c:pt idx="186">
                  <c:v>5.9839999999999997E-2</c:v>
                </c:pt>
                <c:pt idx="187">
                  <c:v>5.7070000000000003E-2</c:v>
                </c:pt>
                <c:pt idx="188">
                  <c:v>5.7360000000000001E-2</c:v>
                </c:pt>
                <c:pt idx="189">
                  <c:v>5.4620000000000002E-2</c:v>
                </c:pt>
                <c:pt idx="190">
                  <c:v>5.3789999999999998E-2</c:v>
                </c:pt>
                <c:pt idx="191">
                  <c:v>5.0939999999999999E-2</c:v>
                </c:pt>
                <c:pt idx="192">
                  <c:v>5.2209999999999999E-2</c:v>
                </c:pt>
                <c:pt idx="193">
                  <c:v>5.7700000000000001E-2</c:v>
                </c:pt>
                <c:pt idx="194">
                  <c:v>6.1710000000000001E-2</c:v>
                </c:pt>
                <c:pt idx="195">
                  <c:v>5.3789999999999998E-2</c:v>
                </c:pt>
                <c:pt idx="196">
                  <c:v>5.1130000000000002E-2</c:v>
                </c:pt>
                <c:pt idx="197">
                  <c:v>5.2780000000000001E-2</c:v>
                </c:pt>
                <c:pt idx="198">
                  <c:v>5.0229999999999997E-2</c:v>
                </c:pt>
                <c:pt idx="199">
                  <c:v>5.0790000000000002E-2</c:v>
                </c:pt>
                <c:pt idx="200">
                  <c:v>5.194E-2</c:v>
                </c:pt>
                <c:pt idx="201">
                  <c:v>5.0650000000000001E-2</c:v>
                </c:pt>
                <c:pt idx="202">
                  <c:v>5.2299999999999999E-2</c:v>
                </c:pt>
                <c:pt idx="203">
                  <c:v>5.0549999999999998E-2</c:v>
                </c:pt>
                <c:pt idx="204">
                  <c:v>5.3420000000000002E-2</c:v>
                </c:pt>
                <c:pt idx="205">
                  <c:v>5.3650000000000003E-2</c:v>
                </c:pt>
                <c:pt idx="206">
                  <c:v>5.2740000000000002E-2</c:v>
                </c:pt>
                <c:pt idx="207">
                  <c:v>5.5509999999999997E-2</c:v>
                </c:pt>
                <c:pt idx="208">
                  <c:v>5.5829999999999998E-2</c:v>
                </c:pt>
                <c:pt idx="209">
                  <c:v>5.4769999999999999E-2</c:v>
                </c:pt>
                <c:pt idx="210">
                  <c:v>5.4330000000000003E-2</c:v>
                </c:pt>
                <c:pt idx="211">
                  <c:v>5.6439999999999997E-2</c:v>
                </c:pt>
                <c:pt idx="212">
                  <c:v>5.772E-2</c:v>
                </c:pt>
                <c:pt idx="213">
                  <c:v>5.432E-2</c:v>
                </c:pt>
                <c:pt idx="214">
                  <c:v>5.4059999999999997E-2</c:v>
                </c:pt>
                <c:pt idx="215">
                  <c:v>5.0770000000000003E-2</c:v>
                </c:pt>
                <c:pt idx="216">
                  <c:v>5.0099999999999999E-2</c:v>
                </c:pt>
                <c:pt idx="217">
                  <c:v>5.5539999999999999E-2</c:v>
                </c:pt>
                <c:pt idx="218">
                  <c:v>5.2499999999999998E-2</c:v>
                </c:pt>
                <c:pt idx="219">
                  <c:v>4.9230000000000003E-2</c:v>
                </c:pt>
                <c:pt idx="220">
                  <c:v>5.1189999999999999E-2</c:v>
                </c:pt>
                <c:pt idx="221">
                  <c:v>6.6100000000000006E-2</c:v>
                </c:pt>
                <c:pt idx="222">
                  <c:v>6.6250000000000003E-2</c:v>
                </c:pt>
                <c:pt idx="223">
                  <c:v>6.726E-2</c:v>
                </c:pt>
                <c:pt idx="224">
                  <c:v>7.1290000000000006E-2</c:v>
                </c:pt>
                <c:pt idx="225">
                  <c:v>7.1220000000000006E-2</c:v>
                </c:pt>
                <c:pt idx="226">
                  <c:v>7.5520000000000004E-2</c:v>
                </c:pt>
                <c:pt idx="227">
                  <c:v>7.6770000000000005E-2</c:v>
                </c:pt>
                <c:pt idx="228">
                  <c:v>7.5060000000000002E-2</c:v>
                </c:pt>
                <c:pt idx="229">
                  <c:v>6.9430000000000006E-2</c:v>
                </c:pt>
                <c:pt idx="230">
                  <c:v>7.0999999999999994E-2</c:v>
                </c:pt>
                <c:pt idx="231">
                  <c:v>7.1290000000000006E-2</c:v>
                </c:pt>
                <c:pt idx="232">
                  <c:v>7.6170000000000002E-2</c:v>
                </c:pt>
                <c:pt idx="233">
                  <c:v>7.0129999999999998E-2</c:v>
                </c:pt>
                <c:pt idx="234">
                  <c:v>7.1300000000000002E-2</c:v>
                </c:pt>
                <c:pt idx="235">
                  <c:v>7.9000000000000001E-2</c:v>
                </c:pt>
                <c:pt idx="236">
                  <c:v>7.6499999999999999E-2</c:v>
                </c:pt>
                <c:pt idx="237">
                  <c:v>8.0509999999999998E-2</c:v>
                </c:pt>
                <c:pt idx="238">
                  <c:v>8.8150000000000006E-2</c:v>
                </c:pt>
                <c:pt idx="239">
                  <c:v>8.5870000000000002E-2</c:v>
                </c:pt>
                <c:pt idx="240">
                  <c:v>8.0729999999999996E-2</c:v>
                </c:pt>
                <c:pt idx="241">
                  <c:v>8.4000000000000005E-2</c:v>
                </c:pt>
                <c:pt idx="242">
                  <c:v>7.8649999999999998E-2</c:v>
                </c:pt>
                <c:pt idx="243">
                  <c:v>7.6149999999999995E-2</c:v>
                </c:pt>
                <c:pt idx="244">
                  <c:v>8.1079999999999999E-2</c:v>
                </c:pt>
                <c:pt idx="245">
                  <c:v>9.4759999999999997E-2</c:v>
                </c:pt>
                <c:pt idx="246">
                  <c:v>0.10138999999999999</c:v>
                </c:pt>
                <c:pt idx="247">
                  <c:v>8.6709999999999995E-2</c:v>
                </c:pt>
                <c:pt idx="248">
                  <c:v>8.0310000000000006E-2</c:v>
                </c:pt>
                <c:pt idx="249">
                  <c:v>6.5869999999999998E-2</c:v>
                </c:pt>
                <c:pt idx="250">
                  <c:v>7.8130000000000005E-2</c:v>
                </c:pt>
                <c:pt idx="251">
                  <c:v>8.4680000000000005E-2</c:v>
                </c:pt>
                <c:pt idx="252">
                  <c:v>9.8710000000000006E-2</c:v>
                </c:pt>
                <c:pt idx="253">
                  <c:v>8.5720000000000005E-2</c:v>
                </c:pt>
                <c:pt idx="254">
                  <c:v>0.12973999999999999</c:v>
                </c:pt>
                <c:pt idx="255">
                  <c:v>0.12526000000000001</c:v>
                </c:pt>
                <c:pt idx="256">
                  <c:v>0.13663</c:v>
                </c:pt>
                <c:pt idx="257">
                  <c:v>0.13577</c:v>
                </c:pt>
                <c:pt idx="258">
                  <c:v>0.13941999999999999</c:v>
                </c:pt>
                <c:pt idx="259">
                  <c:v>0.13672999999999999</c:v>
                </c:pt>
                <c:pt idx="260">
                  <c:v>0.13197999999999999</c:v>
                </c:pt>
                <c:pt idx="261">
                  <c:v>0.15742</c:v>
                </c:pt>
                <c:pt idx="262">
                  <c:v>0.14985000000000001</c:v>
                </c:pt>
                <c:pt idx="263">
                  <c:v>0.16841999999999999</c:v>
                </c:pt>
                <c:pt idx="264">
                  <c:v>0.17516999999999999</c:v>
                </c:pt>
                <c:pt idx="265">
                  <c:v>0.1744</c:v>
                </c:pt>
                <c:pt idx="266">
                  <c:v>0.18157999999999999</c:v>
                </c:pt>
                <c:pt idx="267">
                  <c:v>0.17496999999999999</c:v>
                </c:pt>
                <c:pt idx="268">
                  <c:v>0.16081000000000001</c:v>
                </c:pt>
                <c:pt idx="269">
                  <c:v>0.18329000000000001</c:v>
                </c:pt>
                <c:pt idx="270">
                  <c:v>0.18840000000000001</c:v>
                </c:pt>
                <c:pt idx="271">
                  <c:v>0.18404000000000001</c:v>
                </c:pt>
                <c:pt idx="272">
                  <c:v>0.17149</c:v>
                </c:pt>
                <c:pt idx="273">
                  <c:v>0.16384000000000001</c:v>
                </c:pt>
                <c:pt idx="274">
                  <c:v>0.16405</c:v>
                </c:pt>
                <c:pt idx="275">
                  <c:v>0.17030999999999999</c:v>
                </c:pt>
                <c:pt idx="276">
                  <c:v>0.15709000000000001</c:v>
                </c:pt>
                <c:pt idx="277">
                  <c:v>0.12998999999999999</c:v>
                </c:pt>
                <c:pt idx="278">
                  <c:v>0.13075999999999999</c:v>
                </c:pt>
                <c:pt idx="279">
                  <c:v>0.14466000000000001</c:v>
                </c:pt>
                <c:pt idx="280">
                  <c:v>0.15273999999999999</c:v>
                </c:pt>
                <c:pt idx="281">
                  <c:v>0.17224999999999999</c:v>
                </c:pt>
                <c:pt idx="282">
                  <c:v>0.18185000000000001</c:v>
                </c:pt>
                <c:pt idx="283">
                  <c:v>0.18307999999999999</c:v>
                </c:pt>
                <c:pt idx="284">
                  <c:v>0.19647999999999999</c:v>
                </c:pt>
                <c:pt idx="285">
                  <c:v>0.2152</c:v>
                </c:pt>
                <c:pt idx="286">
                  <c:v>0.20188999999999999</c:v>
                </c:pt>
                <c:pt idx="287">
                  <c:v>0.22170999999999999</c:v>
                </c:pt>
                <c:pt idx="288">
                  <c:v>0.23491999999999999</c:v>
                </c:pt>
                <c:pt idx="289">
                  <c:v>0.19214000000000001</c:v>
                </c:pt>
                <c:pt idx="290">
                  <c:v>0.18622</c:v>
                </c:pt>
                <c:pt idx="291">
                  <c:v>0.18676999999999999</c:v>
                </c:pt>
                <c:pt idx="292">
                  <c:v>0.18858</c:v>
                </c:pt>
                <c:pt idx="293">
                  <c:v>0.18798000000000001</c:v>
                </c:pt>
                <c:pt idx="294">
                  <c:v>0.18506</c:v>
                </c:pt>
                <c:pt idx="295">
                  <c:v>0.17899000000000001</c:v>
                </c:pt>
                <c:pt idx="296">
                  <c:v>0.18626999999999999</c:v>
                </c:pt>
                <c:pt idx="297">
                  <c:v>0.19570000000000001</c:v>
                </c:pt>
                <c:pt idx="298">
                  <c:v>0.18645</c:v>
                </c:pt>
                <c:pt idx="299">
                  <c:v>0.18218999999999999</c:v>
                </c:pt>
                <c:pt idx="300">
                  <c:v>0.19253999999999999</c:v>
                </c:pt>
                <c:pt idx="301">
                  <c:v>0.19273999999999999</c:v>
                </c:pt>
                <c:pt idx="302">
                  <c:v>0.18806999999999999</c:v>
                </c:pt>
                <c:pt idx="303">
                  <c:v>0.19470999999999999</c:v>
                </c:pt>
                <c:pt idx="304">
                  <c:v>0.20019999999999999</c:v>
                </c:pt>
                <c:pt idx="305">
                  <c:v>0.19994000000000001</c:v>
                </c:pt>
                <c:pt idx="306">
                  <c:v>0.20216000000000001</c:v>
                </c:pt>
                <c:pt idx="307">
                  <c:v>0.20125000000000001</c:v>
                </c:pt>
                <c:pt idx="308">
                  <c:v>0.189</c:v>
                </c:pt>
                <c:pt idx="309">
                  <c:v>0.18915000000000001</c:v>
                </c:pt>
                <c:pt idx="310">
                  <c:v>0.19364000000000001</c:v>
                </c:pt>
                <c:pt idx="311">
                  <c:v>0.19905999999999999</c:v>
                </c:pt>
                <c:pt idx="312">
                  <c:v>0.21729000000000001</c:v>
                </c:pt>
                <c:pt idx="313">
                  <c:v>0.21809999999999999</c:v>
                </c:pt>
                <c:pt idx="314">
                  <c:v>0.21182999999999999</c:v>
                </c:pt>
                <c:pt idx="315">
                  <c:v>0.20968999999999999</c:v>
                </c:pt>
                <c:pt idx="316">
                  <c:v>0.22006000000000001</c:v>
                </c:pt>
                <c:pt idx="317">
                  <c:v>0.22165000000000001</c:v>
                </c:pt>
                <c:pt idx="318">
                  <c:v>0.21765000000000001</c:v>
                </c:pt>
                <c:pt idx="319">
                  <c:v>0.17987</c:v>
                </c:pt>
                <c:pt idx="320">
                  <c:v>0.19112000000000001</c:v>
                </c:pt>
                <c:pt idx="321">
                  <c:v>0.18484999999999999</c:v>
                </c:pt>
                <c:pt idx="322">
                  <c:v>0.18140000000000001</c:v>
                </c:pt>
                <c:pt idx="323">
                  <c:v>0.18124000000000001</c:v>
                </c:pt>
                <c:pt idx="324">
                  <c:v>0.17544000000000001</c:v>
                </c:pt>
                <c:pt idx="325">
                  <c:v>0.15443999999999999</c:v>
                </c:pt>
                <c:pt idx="326">
                  <c:v>0.15790000000000001</c:v>
                </c:pt>
                <c:pt idx="327">
                  <c:v>0.15548999999999999</c:v>
                </c:pt>
                <c:pt idx="328">
                  <c:v>0.15457000000000001</c:v>
                </c:pt>
                <c:pt idx="329">
                  <c:v>0.14898</c:v>
                </c:pt>
                <c:pt idx="330">
                  <c:v>0.15926999999999999</c:v>
                </c:pt>
                <c:pt idx="331">
                  <c:v>0.16055</c:v>
                </c:pt>
                <c:pt idx="332">
                  <c:v>0.17041000000000001</c:v>
                </c:pt>
                <c:pt idx="333">
                  <c:v>0.13086999999999999</c:v>
                </c:pt>
                <c:pt idx="334">
                  <c:v>0.14202999999999999</c:v>
                </c:pt>
                <c:pt idx="335">
                  <c:v>0.155</c:v>
                </c:pt>
                <c:pt idx="336">
                  <c:v>0.1628</c:v>
                </c:pt>
                <c:pt idx="337">
                  <c:v>0.18101</c:v>
                </c:pt>
                <c:pt idx="338">
                  <c:v>0.17943000000000001</c:v>
                </c:pt>
                <c:pt idx="339">
                  <c:v>0.19975999999999999</c:v>
                </c:pt>
                <c:pt idx="340">
                  <c:v>0.20752999999999999</c:v>
                </c:pt>
                <c:pt idx="341">
                  <c:v>0.22556999999999999</c:v>
                </c:pt>
                <c:pt idx="342">
                  <c:v>0.14543</c:v>
                </c:pt>
                <c:pt idx="343">
                  <c:v>0.10024</c:v>
                </c:pt>
                <c:pt idx="344">
                  <c:v>7.3999999999999996E-2</c:v>
                </c:pt>
                <c:pt idx="345">
                  <c:v>7.8750000000000001E-2</c:v>
                </c:pt>
                <c:pt idx="346">
                  <c:v>7.4690000000000006E-2</c:v>
                </c:pt>
                <c:pt idx="347">
                  <c:v>7.2720000000000007E-2</c:v>
                </c:pt>
                <c:pt idx="348">
                  <c:v>5.7860000000000002E-2</c:v>
                </c:pt>
                <c:pt idx="349">
                  <c:v>5.0020000000000002E-2</c:v>
                </c:pt>
                <c:pt idx="350">
                  <c:v>4.8169999999999998E-2</c:v>
                </c:pt>
                <c:pt idx="351">
                  <c:v>4.9489999999999999E-2</c:v>
                </c:pt>
                <c:pt idx="352">
                  <c:v>4.2040000000000001E-2</c:v>
                </c:pt>
                <c:pt idx="353">
                  <c:v>3.483E-2</c:v>
                </c:pt>
                <c:pt idx="354">
                  <c:v>3.1879999999999999E-2</c:v>
                </c:pt>
                <c:pt idx="355">
                  <c:v>3.1119999999999998E-2</c:v>
                </c:pt>
                <c:pt idx="356">
                  <c:v>3.0460000000000001E-2</c:v>
                </c:pt>
                <c:pt idx="357">
                  <c:v>2.597E-2</c:v>
                </c:pt>
                <c:pt idx="358">
                  <c:v>2.479E-2</c:v>
                </c:pt>
                <c:pt idx="359">
                  <c:v>2.478E-2</c:v>
                </c:pt>
                <c:pt idx="360">
                  <c:v>2.3900000000000001E-2</c:v>
                </c:pt>
                <c:pt idx="361">
                  <c:v>2.4500000000000001E-2</c:v>
                </c:pt>
                <c:pt idx="362">
                  <c:v>2.332E-2</c:v>
                </c:pt>
                <c:pt idx="363">
                  <c:v>2.6749999999999999E-2</c:v>
                </c:pt>
                <c:pt idx="364">
                  <c:v>1.6369999999999999E-2</c:v>
                </c:pt>
                <c:pt idx="365">
                  <c:v>1.5270000000000001E-2</c:v>
                </c:pt>
                <c:pt idx="366">
                  <c:v>1.6480000000000002E-2</c:v>
                </c:pt>
                <c:pt idx="367">
                  <c:v>1.661E-2</c:v>
                </c:pt>
                <c:pt idx="368">
                  <c:v>1.7180000000000001E-2</c:v>
                </c:pt>
                <c:pt idx="369">
                  <c:v>1.7160000000000002E-2</c:v>
                </c:pt>
                <c:pt idx="370">
                  <c:v>1.729E-2</c:v>
                </c:pt>
                <c:pt idx="371">
                  <c:v>1.5859999999999999E-2</c:v>
                </c:pt>
                <c:pt idx="372">
                  <c:v>1.7749999999999998E-2</c:v>
                </c:pt>
                <c:pt idx="373">
                  <c:v>1.7899999999999999E-2</c:v>
                </c:pt>
                <c:pt idx="374">
                  <c:v>1.8939999999999999E-2</c:v>
                </c:pt>
                <c:pt idx="375">
                  <c:v>1.737E-2</c:v>
                </c:pt>
                <c:pt idx="376">
                  <c:v>1.6140000000000002E-2</c:v>
                </c:pt>
                <c:pt idx="377">
                  <c:v>1.644E-2</c:v>
                </c:pt>
                <c:pt idx="378">
                  <c:v>1.6320000000000001E-2</c:v>
                </c:pt>
                <c:pt idx="379">
                  <c:v>1.636E-2</c:v>
                </c:pt>
                <c:pt idx="380">
                  <c:v>1.4829999999999999E-2</c:v>
                </c:pt>
                <c:pt idx="381">
                  <c:v>1.489E-2</c:v>
                </c:pt>
                <c:pt idx="382">
                  <c:v>1.6820000000000002E-2</c:v>
                </c:pt>
                <c:pt idx="383">
                  <c:v>1.7729999999999999E-2</c:v>
                </c:pt>
                <c:pt idx="384">
                  <c:v>1.619E-2</c:v>
                </c:pt>
                <c:pt idx="385">
                  <c:v>1.566E-2</c:v>
                </c:pt>
                <c:pt idx="386">
                  <c:v>1.5800000000000002E-2</c:v>
                </c:pt>
                <c:pt idx="387">
                  <c:v>1.4880000000000001E-2</c:v>
                </c:pt>
                <c:pt idx="388">
                  <c:v>1.362E-2</c:v>
                </c:pt>
                <c:pt idx="389">
                  <c:v>1.406E-2</c:v>
                </c:pt>
                <c:pt idx="390">
                  <c:v>1.3050000000000001E-2</c:v>
                </c:pt>
                <c:pt idx="391">
                  <c:v>1.2930000000000001E-2</c:v>
                </c:pt>
                <c:pt idx="392">
                  <c:v>1.2540000000000001E-2</c:v>
                </c:pt>
                <c:pt idx="393">
                  <c:v>1.3100000000000001E-2</c:v>
                </c:pt>
                <c:pt idx="394">
                  <c:v>1.2829999999999999E-2</c:v>
                </c:pt>
                <c:pt idx="395">
                  <c:v>1.332E-2</c:v>
                </c:pt>
                <c:pt idx="396">
                  <c:v>1.32E-2</c:v>
                </c:pt>
                <c:pt idx="397">
                  <c:v>1.366E-2</c:v>
                </c:pt>
                <c:pt idx="398">
                  <c:v>1.333E-2</c:v>
                </c:pt>
                <c:pt idx="399">
                  <c:v>1.353E-2</c:v>
                </c:pt>
                <c:pt idx="400">
                  <c:v>1.239E-2</c:v>
                </c:pt>
                <c:pt idx="401">
                  <c:v>1.376E-2</c:v>
                </c:pt>
                <c:pt idx="402">
                  <c:v>1.375E-2</c:v>
                </c:pt>
                <c:pt idx="403">
                  <c:v>1.461E-2</c:v>
                </c:pt>
                <c:pt idx="404">
                  <c:v>1.54E-2</c:v>
                </c:pt>
                <c:pt idx="405">
                  <c:v>1.4160000000000001E-2</c:v>
                </c:pt>
                <c:pt idx="406">
                  <c:v>1.38E-2</c:v>
                </c:pt>
                <c:pt idx="407">
                  <c:v>1.397E-2</c:v>
                </c:pt>
                <c:pt idx="408">
                  <c:v>1.3610000000000001E-2</c:v>
                </c:pt>
                <c:pt idx="409">
                  <c:v>1.3729999999999999E-2</c:v>
                </c:pt>
                <c:pt idx="410">
                  <c:v>1.376E-2</c:v>
                </c:pt>
                <c:pt idx="411">
                  <c:v>1.3899999999999999E-2</c:v>
                </c:pt>
                <c:pt idx="412">
                  <c:v>1.3480000000000001E-2</c:v>
                </c:pt>
                <c:pt idx="413">
                  <c:v>1.345E-2</c:v>
                </c:pt>
                <c:pt idx="414">
                  <c:v>1.384E-2</c:v>
                </c:pt>
                <c:pt idx="415">
                  <c:v>1.341E-2</c:v>
                </c:pt>
                <c:pt idx="416">
                  <c:v>1.4319999999999999E-2</c:v>
                </c:pt>
                <c:pt idx="417">
                  <c:v>1.455E-2</c:v>
                </c:pt>
                <c:pt idx="418">
                  <c:v>1.4579999999999999E-2</c:v>
                </c:pt>
                <c:pt idx="419">
                  <c:v>1.384E-2</c:v>
                </c:pt>
                <c:pt idx="420">
                  <c:v>1.5129999999999999E-2</c:v>
                </c:pt>
                <c:pt idx="421">
                  <c:v>1.423E-2</c:v>
                </c:pt>
                <c:pt idx="422">
                  <c:v>1.404E-2</c:v>
                </c:pt>
                <c:pt idx="423">
                  <c:v>1.457E-2</c:v>
                </c:pt>
                <c:pt idx="424">
                  <c:v>1.4080000000000001E-2</c:v>
                </c:pt>
                <c:pt idx="425">
                  <c:v>1.4279999999999999E-2</c:v>
                </c:pt>
                <c:pt idx="426">
                  <c:v>1.387E-2</c:v>
                </c:pt>
                <c:pt idx="427">
                  <c:v>1.397E-2</c:v>
                </c:pt>
                <c:pt idx="428">
                  <c:v>1.555E-2</c:v>
                </c:pt>
                <c:pt idx="429">
                  <c:v>1.6379999999999999E-2</c:v>
                </c:pt>
                <c:pt idx="430">
                  <c:v>1.4710000000000001E-2</c:v>
                </c:pt>
                <c:pt idx="431">
                  <c:v>1.349E-2</c:v>
                </c:pt>
                <c:pt idx="432">
                  <c:v>1.3979999999999999E-2</c:v>
                </c:pt>
                <c:pt idx="433">
                  <c:v>1.26E-2</c:v>
                </c:pt>
                <c:pt idx="434">
                  <c:v>1.2710000000000001E-2</c:v>
                </c:pt>
                <c:pt idx="435">
                  <c:v>1.2789999999999999E-2</c:v>
                </c:pt>
                <c:pt idx="436">
                  <c:v>1.3180000000000001E-2</c:v>
                </c:pt>
                <c:pt idx="437">
                  <c:v>1.2840000000000001E-2</c:v>
                </c:pt>
                <c:pt idx="438">
                  <c:v>1.282E-2</c:v>
                </c:pt>
                <c:pt idx="439">
                  <c:v>1.278E-2</c:v>
                </c:pt>
                <c:pt idx="440">
                  <c:v>1.3129999999999999E-2</c:v>
                </c:pt>
                <c:pt idx="441">
                  <c:v>1.278E-2</c:v>
                </c:pt>
                <c:pt idx="442">
                  <c:v>1.2930000000000001E-2</c:v>
                </c:pt>
                <c:pt idx="443">
                  <c:v>1.316E-2</c:v>
                </c:pt>
                <c:pt idx="444">
                  <c:v>1.2449999999999999E-2</c:v>
                </c:pt>
                <c:pt idx="445">
                  <c:v>1.2409999999999999E-2</c:v>
                </c:pt>
                <c:pt idx="446">
                  <c:v>1.175E-2</c:v>
                </c:pt>
                <c:pt idx="447">
                  <c:v>1.255E-2</c:v>
                </c:pt>
                <c:pt idx="448">
                  <c:v>1.206E-2</c:v>
                </c:pt>
                <c:pt idx="449">
                  <c:v>1.1939999999999999E-2</c:v>
                </c:pt>
                <c:pt idx="450">
                  <c:v>1.14E-2</c:v>
                </c:pt>
                <c:pt idx="451">
                  <c:v>1.1180000000000001E-2</c:v>
                </c:pt>
                <c:pt idx="452">
                  <c:v>1.115E-2</c:v>
                </c:pt>
                <c:pt idx="453">
                  <c:v>1.1310000000000001E-2</c:v>
                </c:pt>
                <c:pt idx="454">
                  <c:v>1.11E-2</c:v>
                </c:pt>
                <c:pt idx="455">
                  <c:v>1.137E-2</c:v>
                </c:pt>
                <c:pt idx="456">
                  <c:v>1.132E-2</c:v>
                </c:pt>
                <c:pt idx="457">
                  <c:v>1.17E-2</c:v>
                </c:pt>
                <c:pt idx="458">
                  <c:v>1.197E-2</c:v>
                </c:pt>
                <c:pt idx="459">
                  <c:v>1.2279999999999999E-2</c:v>
                </c:pt>
                <c:pt idx="460">
                  <c:v>1.251E-2</c:v>
                </c:pt>
                <c:pt idx="461">
                  <c:v>1.2500000000000001E-2</c:v>
                </c:pt>
                <c:pt idx="462">
                  <c:v>1.2489999999999999E-2</c:v>
                </c:pt>
                <c:pt idx="463">
                  <c:v>1.2370000000000001E-2</c:v>
                </c:pt>
                <c:pt idx="464">
                  <c:v>1.2279999999999999E-2</c:v>
                </c:pt>
                <c:pt idx="465">
                  <c:v>1.273E-2</c:v>
                </c:pt>
                <c:pt idx="466">
                  <c:v>1.274E-2</c:v>
                </c:pt>
                <c:pt idx="467">
                  <c:v>1.274E-2</c:v>
                </c:pt>
                <c:pt idx="468">
                  <c:v>1.2749999999999999E-2</c:v>
                </c:pt>
                <c:pt idx="469">
                  <c:v>1.2710000000000001E-2</c:v>
                </c:pt>
                <c:pt idx="470">
                  <c:v>1.294E-2</c:v>
                </c:pt>
                <c:pt idx="471">
                  <c:v>1.325E-2</c:v>
                </c:pt>
                <c:pt idx="472">
                  <c:v>1.376E-2</c:v>
                </c:pt>
                <c:pt idx="473">
                  <c:v>1.409E-2</c:v>
                </c:pt>
                <c:pt idx="474">
                  <c:v>1.3809999999999999E-2</c:v>
                </c:pt>
                <c:pt idx="475">
                  <c:v>1.3729999999999999E-2</c:v>
                </c:pt>
                <c:pt idx="476">
                  <c:v>1.306E-2</c:v>
                </c:pt>
                <c:pt idx="477">
                  <c:v>1.2880000000000001E-2</c:v>
                </c:pt>
                <c:pt idx="478">
                  <c:v>1.265E-2</c:v>
                </c:pt>
                <c:pt idx="479">
                  <c:v>1.362E-2</c:v>
                </c:pt>
                <c:pt idx="480">
                  <c:v>1.3220000000000001E-2</c:v>
                </c:pt>
                <c:pt idx="481">
                  <c:v>1.329E-2</c:v>
                </c:pt>
                <c:pt idx="482">
                  <c:v>1.3259999999999999E-2</c:v>
                </c:pt>
                <c:pt idx="483">
                  <c:v>1.362E-2</c:v>
                </c:pt>
                <c:pt idx="484">
                  <c:v>1.414E-2</c:v>
                </c:pt>
                <c:pt idx="485">
                  <c:v>1.409E-2</c:v>
                </c:pt>
                <c:pt idx="486">
                  <c:v>1.4069999999999999E-2</c:v>
                </c:pt>
                <c:pt idx="487">
                  <c:v>1.4579999999999999E-2</c:v>
                </c:pt>
                <c:pt idx="488">
                  <c:v>1.465E-2</c:v>
                </c:pt>
                <c:pt idx="489">
                  <c:v>1.4500000000000001E-2</c:v>
                </c:pt>
                <c:pt idx="490">
                  <c:v>1.3939999999999999E-2</c:v>
                </c:pt>
                <c:pt idx="491">
                  <c:v>1.3129999999999999E-2</c:v>
                </c:pt>
                <c:pt idx="492">
                  <c:v>1.418E-2</c:v>
                </c:pt>
                <c:pt idx="493">
                  <c:v>1.397E-2</c:v>
                </c:pt>
                <c:pt idx="494">
                  <c:v>1.5480000000000001E-2</c:v>
                </c:pt>
                <c:pt idx="495">
                  <c:v>1.6250000000000001E-2</c:v>
                </c:pt>
                <c:pt idx="496">
                  <c:v>1.634E-2</c:v>
                </c:pt>
                <c:pt idx="497">
                  <c:v>1.6559999999999998E-2</c:v>
                </c:pt>
                <c:pt idx="498">
                  <c:v>1.6320000000000001E-2</c:v>
                </c:pt>
                <c:pt idx="499">
                  <c:v>1.6670000000000001E-2</c:v>
                </c:pt>
                <c:pt idx="500">
                  <c:v>1.7319999999999999E-2</c:v>
                </c:pt>
                <c:pt idx="501">
                  <c:v>1.711E-2</c:v>
                </c:pt>
                <c:pt idx="502">
                  <c:v>1.763E-2</c:v>
                </c:pt>
                <c:pt idx="503">
                  <c:v>1.728E-2</c:v>
                </c:pt>
                <c:pt idx="504">
                  <c:v>1.7350000000000001E-2</c:v>
                </c:pt>
                <c:pt idx="505">
                  <c:v>1.6959999999999999E-2</c:v>
                </c:pt>
                <c:pt idx="506">
                  <c:v>1.6549999999999999E-2</c:v>
                </c:pt>
                <c:pt idx="507">
                  <c:v>1.695E-2</c:v>
                </c:pt>
                <c:pt idx="508">
                  <c:v>1.703E-2</c:v>
                </c:pt>
                <c:pt idx="509">
                  <c:v>1.6410000000000001E-2</c:v>
                </c:pt>
                <c:pt idx="510">
                  <c:v>1.8089999999999998E-2</c:v>
                </c:pt>
                <c:pt idx="511">
                  <c:v>1.7500000000000002E-2</c:v>
                </c:pt>
                <c:pt idx="512">
                  <c:v>2.068E-2</c:v>
                </c:pt>
                <c:pt idx="513">
                  <c:v>2.2190000000000001E-2</c:v>
                </c:pt>
                <c:pt idx="514">
                  <c:v>2.2429999999999999E-2</c:v>
                </c:pt>
                <c:pt idx="515">
                  <c:v>2.256E-2</c:v>
                </c:pt>
                <c:pt idx="516">
                  <c:v>2.2349999999999998E-2</c:v>
                </c:pt>
                <c:pt idx="517">
                  <c:v>2.197E-2</c:v>
                </c:pt>
                <c:pt idx="518">
                  <c:v>2.1510000000000001E-2</c:v>
                </c:pt>
                <c:pt idx="519">
                  <c:v>2.2460000000000001E-2</c:v>
                </c:pt>
                <c:pt idx="520">
                  <c:v>2.213E-2</c:v>
                </c:pt>
                <c:pt idx="521">
                  <c:v>2.4250000000000001E-2</c:v>
                </c:pt>
                <c:pt idx="522">
                  <c:v>2.3189999999999999E-2</c:v>
                </c:pt>
                <c:pt idx="523">
                  <c:v>2.3859999999999999E-2</c:v>
                </c:pt>
                <c:pt idx="524">
                  <c:v>2.308E-2</c:v>
                </c:pt>
                <c:pt idx="525">
                  <c:v>2.426E-2</c:v>
                </c:pt>
                <c:pt idx="526">
                  <c:v>2.3230000000000001E-2</c:v>
                </c:pt>
                <c:pt idx="527">
                  <c:v>2.5579999999999999E-2</c:v>
                </c:pt>
                <c:pt idx="528">
                  <c:v>2.5760000000000002E-2</c:v>
                </c:pt>
                <c:pt idx="529">
                  <c:v>2.5760000000000002E-2</c:v>
                </c:pt>
                <c:pt idx="530">
                  <c:v>2.435E-2</c:v>
                </c:pt>
                <c:pt idx="531">
                  <c:v>2.4580000000000001E-2</c:v>
                </c:pt>
                <c:pt idx="532">
                  <c:v>2.5250000000000002E-2</c:v>
                </c:pt>
                <c:pt idx="533">
                  <c:v>2.2769999999999999E-2</c:v>
                </c:pt>
                <c:pt idx="534">
                  <c:v>2.205E-2</c:v>
                </c:pt>
                <c:pt idx="535">
                  <c:v>2.334E-2</c:v>
                </c:pt>
                <c:pt idx="536">
                  <c:v>2.2749999999999999E-2</c:v>
                </c:pt>
                <c:pt idx="537">
                  <c:v>2.239E-2</c:v>
                </c:pt>
                <c:pt idx="538">
                  <c:v>2.1909999999999999E-2</c:v>
                </c:pt>
                <c:pt idx="539">
                  <c:v>2.273E-2</c:v>
                </c:pt>
                <c:pt idx="540">
                  <c:v>2.2790000000000001E-2</c:v>
                </c:pt>
                <c:pt idx="541">
                  <c:v>2.104E-2</c:v>
                </c:pt>
                <c:pt idx="542">
                  <c:v>2.0789999999999999E-2</c:v>
                </c:pt>
                <c:pt idx="543">
                  <c:v>2.0629999999999999E-2</c:v>
                </c:pt>
                <c:pt idx="544">
                  <c:v>2.2200000000000001E-2</c:v>
                </c:pt>
                <c:pt idx="545">
                  <c:v>2.061E-2</c:v>
                </c:pt>
                <c:pt idx="546">
                  <c:v>2.0369999999999999E-2</c:v>
                </c:pt>
                <c:pt idx="547">
                  <c:v>1.9789999999999999E-2</c:v>
                </c:pt>
                <c:pt idx="548">
                  <c:v>2.0140000000000002E-2</c:v>
                </c:pt>
                <c:pt idx="549">
                  <c:v>1.9480000000000001E-2</c:v>
                </c:pt>
                <c:pt idx="550">
                  <c:v>2.0500000000000001E-2</c:v>
                </c:pt>
                <c:pt idx="551">
                  <c:v>2.034E-2</c:v>
                </c:pt>
                <c:pt idx="552">
                  <c:v>1.9970000000000002E-2</c:v>
                </c:pt>
                <c:pt idx="553">
                  <c:v>2.0289999999999999E-2</c:v>
                </c:pt>
                <c:pt idx="554">
                  <c:v>2.0369999999999999E-2</c:v>
                </c:pt>
                <c:pt idx="555">
                  <c:v>2.0500000000000001E-2</c:v>
                </c:pt>
                <c:pt idx="556">
                  <c:v>2.0709999999999999E-2</c:v>
                </c:pt>
                <c:pt idx="557">
                  <c:v>2.01E-2</c:v>
                </c:pt>
                <c:pt idx="558">
                  <c:v>2.017E-2</c:v>
                </c:pt>
                <c:pt idx="559">
                  <c:v>2.01E-2</c:v>
                </c:pt>
                <c:pt idx="560">
                  <c:v>1.975E-2</c:v>
                </c:pt>
                <c:pt idx="561">
                  <c:v>2.0500000000000001E-2</c:v>
                </c:pt>
                <c:pt idx="562">
                  <c:v>2.137E-2</c:v>
                </c:pt>
                <c:pt idx="563">
                  <c:v>2.3099999999999999E-2</c:v>
                </c:pt>
                <c:pt idx="564">
                  <c:v>2.0119999999999999E-2</c:v>
                </c:pt>
                <c:pt idx="565">
                  <c:v>2.0279999999999999E-2</c:v>
                </c:pt>
                <c:pt idx="566">
                  <c:v>1.9779999999999999E-2</c:v>
                </c:pt>
                <c:pt idx="567">
                  <c:v>1.968E-2</c:v>
                </c:pt>
                <c:pt idx="568">
                  <c:v>2.0199999999999999E-2</c:v>
                </c:pt>
                <c:pt idx="569">
                  <c:v>1.9099999999999999E-2</c:v>
                </c:pt>
                <c:pt idx="570">
                  <c:v>1.9130000000000001E-2</c:v>
                </c:pt>
                <c:pt idx="571">
                  <c:v>1.8499999999999999E-2</c:v>
                </c:pt>
                <c:pt idx="572">
                  <c:v>1.8849999999999999E-2</c:v>
                </c:pt>
                <c:pt idx="573">
                  <c:v>1.8089999999999998E-2</c:v>
                </c:pt>
                <c:pt idx="574">
                  <c:v>1.8380000000000001E-2</c:v>
                </c:pt>
                <c:pt idx="575">
                  <c:v>1.8970000000000001E-2</c:v>
                </c:pt>
                <c:pt idx="576">
                  <c:v>1.89E-2</c:v>
                </c:pt>
                <c:pt idx="577">
                  <c:v>1.899E-2</c:v>
                </c:pt>
                <c:pt idx="578">
                  <c:v>1.8769999999999998E-2</c:v>
                </c:pt>
                <c:pt idx="579">
                  <c:v>1.8239999999999999E-2</c:v>
                </c:pt>
                <c:pt idx="580">
                  <c:v>1.934E-2</c:v>
                </c:pt>
                <c:pt idx="581">
                  <c:v>0.02</c:v>
                </c:pt>
                <c:pt idx="582">
                  <c:v>2.0410000000000001E-2</c:v>
                </c:pt>
                <c:pt idx="583">
                  <c:v>2.1350000000000001E-2</c:v>
                </c:pt>
                <c:pt idx="584">
                  <c:v>2.1080000000000002E-2</c:v>
                </c:pt>
                <c:pt idx="585">
                  <c:v>2.0490000000000001E-2</c:v>
                </c:pt>
                <c:pt idx="586">
                  <c:v>2.0740000000000001E-2</c:v>
                </c:pt>
                <c:pt idx="587">
                  <c:v>2.0889999999999999E-2</c:v>
                </c:pt>
                <c:pt idx="588">
                  <c:v>2.1829999999999999E-2</c:v>
                </c:pt>
                <c:pt idx="589">
                  <c:v>2.1950000000000001E-2</c:v>
                </c:pt>
                <c:pt idx="590">
                  <c:v>2.172E-2</c:v>
                </c:pt>
                <c:pt idx="591">
                  <c:v>1.9939999999999999E-2</c:v>
                </c:pt>
                <c:pt idx="592">
                  <c:v>1.9939999999999999E-2</c:v>
                </c:pt>
                <c:pt idx="593">
                  <c:v>2.0750000000000001E-2</c:v>
                </c:pt>
                <c:pt idx="594">
                  <c:v>2.0049999999999998E-2</c:v>
                </c:pt>
                <c:pt idx="595">
                  <c:v>1.9529999999999999E-2</c:v>
                </c:pt>
                <c:pt idx="596">
                  <c:v>2.1160000000000002E-2</c:v>
                </c:pt>
                <c:pt idx="597">
                  <c:v>2.0799999999999999E-2</c:v>
                </c:pt>
                <c:pt idx="598">
                  <c:v>2.0879999999999999E-2</c:v>
                </c:pt>
                <c:pt idx="599">
                  <c:v>2.0199999999999999E-2</c:v>
                </c:pt>
                <c:pt idx="600">
                  <c:v>2.0109999999999999E-2</c:v>
                </c:pt>
                <c:pt idx="601">
                  <c:v>0.02</c:v>
                </c:pt>
                <c:pt idx="602">
                  <c:v>2.0299999999999999E-2</c:v>
                </c:pt>
                <c:pt idx="603">
                  <c:v>2.0400000000000001E-2</c:v>
                </c:pt>
                <c:pt idx="604">
                  <c:v>2.0150000000000001E-2</c:v>
                </c:pt>
                <c:pt idx="605">
                  <c:v>2.068E-2</c:v>
                </c:pt>
                <c:pt idx="606">
                  <c:v>1.9630000000000002E-2</c:v>
                </c:pt>
                <c:pt idx="607">
                  <c:v>2.1239999999999998E-2</c:v>
                </c:pt>
                <c:pt idx="608">
                  <c:v>2.061E-2</c:v>
                </c:pt>
                <c:pt idx="609">
                  <c:v>2.052E-2</c:v>
                </c:pt>
                <c:pt idx="610">
                  <c:v>2.0250000000000001E-2</c:v>
                </c:pt>
                <c:pt idx="611">
                  <c:v>2.111E-2</c:v>
                </c:pt>
                <c:pt idx="612">
                  <c:v>2.044E-2</c:v>
                </c:pt>
                <c:pt idx="613">
                  <c:v>1.9050000000000001E-2</c:v>
                </c:pt>
                <c:pt idx="614">
                  <c:v>1.9300000000000001E-2</c:v>
                </c:pt>
                <c:pt idx="615">
                  <c:v>1.9349999999999999E-2</c:v>
                </c:pt>
                <c:pt idx="616">
                  <c:v>1.8540000000000001E-2</c:v>
                </c:pt>
                <c:pt idx="617">
                  <c:v>1.9140000000000001E-2</c:v>
                </c:pt>
                <c:pt idx="618">
                  <c:v>1.9599999999999999E-2</c:v>
                </c:pt>
                <c:pt idx="619">
                  <c:v>1.9279999999999999E-2</c:v>
                </c:pt>
                <c:pt idx="620">
                  <c:v>1.9109999999999999E-2</c:v>
                </c:pt>
                <c:pt idx="621">
                  <c:v>1.9300000000000001E-2</c:v>
                </c:pt>
                <c:pt idx="622">
                  <c:v>1.8540000000000001E-2</c:v>
                </c:pt>
                <c:pt idx="623">
                  <c:v>1.9279999999999999E-2</c:v>
                </c:pt>
                <c:pt idx="624">
                  <c:v>1.9560000000000001E-2</c:v>
                </c:pt>
                <c:pt idx="625">
                  <c:v>1.9480000000000001E-2</c:v>
                </c:pt>
                <c:pt idx="626">
                  <c:v>1.83E-2</c:v>
                </c:pt>
                <c:pt idx="627">
                  <c:v>1.898E-2</c:v>
                </c:pt>
                <c:pt idx="628">
                  <c:v>2.0979999999999999E-2</c:v>
                </c:pt>
                <c:pt idx="629">
                  <c:v>2.189E-2</c:v>
                </c:pt>
                <c:pt idx="630">
                  <c:v>2.1600000000000001E-2</c:v>
                </c:pt>
                <c:pt idx="631">
                  <c:v>2.145E-2</c:v>
                </c:pt>
                <c:pt idx="632">
                  <c:v>2.2100000000000002E-2</c:v>
                </c:pt>
                <c:pt idx="633">
                  <c:v>2.1399999999999999E-2</c:v>
                </c:pt>
                <c:pt idx="634">
                  <c:v>2.0480000000000002E-2</c:v>
                </c:pt>
                <c:pt idx="635">
                  <c:v>2.1409999999999998E-2</c:v>
                </c:pt>
                <c:pt idx="636">
                  <c:v>1.9709999999999998E-2</c:v>
                </c:pt>
                <c:pt idx="637">
                  <c:v>1.9009999999999999E-2</c:v>
                </c:pt>
                <c:pt idx="638">
                  <c:v>2.0400000000000001E-2</c:v>
                </c:pt>
                <c:pt idx="639">
                  <c:v>1.9529999999999999E-2</c:v>
                </c:pt>
                <c:pt idx="640">
                  <c:v>1.932E-2</c:v>
                </c:pt>
                <c:pt idx="641">
                  <c:v>1.9980000000000001E-2</c:v>
                </c:pt>
                <c:pt idx="642">
                  <c:v>1.9089999999999999E-2</c:v>
                </c:pt>
                <c:pt idx="643">
                  <c:v>1.788E-2</c:v>
                </c:pt>
                <c:pt idx="644">
                  <c:v>1.7420000000000001E-2</c:v>
                </c:pt>
                <c:pt idx="645">
                  <c:v>1.6799999999999999E-2</c:v>
                </c:pt>
                <c:pt idx="646">
                  <c:v>1.609E-2</c:v>
                </c:pt>
                <c:pt idx="647">
                  <c:v>1.6070000000000001E-2</c:v>
                </c:pt>
                <c:pt idx="648">
                  <c:v>1.6920000000000001E-2</c:v>
                </c:pt>
                <c:pt idx="649">
                  <c:v>1.7430000000000001E-2</c:v>
                </c:pt>
                <c:pt idx="650">
                  <c:v>1.6639999999999999E-2</c:v>
                </c:pt>
                <c:pt idx="651">
                  <c:v>1.6959999999999999E-2</c:v>
                </c:pt>
                <c:pt idx="652">
                  <c:v>1.5520000000000001E-2</c:v>
                </c:pt>
                <c:pt idx="653">
                  <c:v>1.6279999999999999E-2</c:v>
                </c:pt>
                <c:pt idx="654">
                  <c:v>1.6080000000000001E-2</c:v>
                </c:pt>
                <c:pt idx="655">
                  <c:v>1.6639999999999999E-2</c:v>
                </c:pt>
                <c:pt idx="656">
                  <c:v>1.6559999999999998E-2</c:v>
                </c:pt>
                <c:pt idx="657">
                  <c:v>1.6299999999999999E-2</c:v>
                </c:pt>
                <c:pt idx="658">
                  <c:v>1.821E-2</c:v>
                </c:pt>
                <c:pt idx="659">
                  <c:v>1.7260000000000001E-2</c:v>
                </c:pt>
                <c:pt idx="660">
                  <c:v>1.6539999999999999E-2</c:v>
                </c:pt>
                <c:pt idx="661">
                  <c:v>1.7010000000000001E-2</c:v>
                </c:pt>
                <c:pt idx="662">
                  <c:v>1.5429999999999999E-2</c:v>
                </c:pt>
                <c:pt idx="663">
                  <c:v>1.5570000000000001E-2</c:v>
                </c:pt>
                <c:pt idx="664">
                  <c:v>1.538E-2</c:v>
                </c:pt>
                <c:pt idx="665">
                  <c:v>1.562E-2</c:v>
                </c:pt>
                <c:pt idx="666">
                  <c:v>1.5509999999999999E-2</c:v>
                </c:pt>
                <c:pt idx="667">
                  <c:v>1.516E-2</c:v>
                </c:pt>
                <c:pt idx="668">
                  <c:v>1.4619999999999999E-2</c:v>
                </c:pt>
                <c:pt idx="669">
                  <c:v>1.359E-2</c:v>
                </c:pt>
                <c:pt idx="670">
                  <c:v>1.431E-2</c:v>
                </c:pt>
                <c:pt idx="671">
                  <c:v>1.4420000000000001E-2</c:v>
                </c:pt>
                <c:pt idx="672">
                  <c:v>1.5720000000000001E-2</c:v>
                </c:pt>
                <c:pt idx="673">
                  <c:v>1.5129999999999999E-2</c:v>
                </c:pt>
                <c:pt idx="674">
                  <c:v>1.515E-2</c:v>
                </c:pt>
                <c:pt idx="675">
                  <c:v>1.474E-2</c:v>
                </c:pt>
                <c:pt idx="676">
                  <c:v>1.329E-2</c:v>
                </c:pt>
                <c:pt idx="677">
                  <c:v>1.4710000000000001E-2</c:v>
                </c:pt>
                <c:pt idx="678">
                  <c:v>1.4749999999999999E-2</c:v>
                </c:pt>
                <c:pt idx="679">
                  <c:v>1.5310000000000001E-2</c:v>
                </c:pt>
                <c:pt idx="680">
                  <c:v>1.3140000000000001E-2</c:v>
                </c:pt>
                <c:pt idx="681">
                  <c:v>1.307E-2</c:v>
                </c:pt>
                <c:pt idx="682">
                  <c:v>1.2070000000000001E-2</c:v>
                </c:pt>
                <c:pt idx="683">
                  <c:v>1.388E-2</c:v>
                </c:pt>
                <c:pt idx="684">
                  <c:v>1.3559999999999999E-2</c:v>
                </c:pt>
                <c:pt idx="685">
                  <c:v>1.438E-2</c:v>
                </c:pt>
                <c:pt idx="686">
                  <c:v>1.15E-2</c:v>
                </c:pt>
                <c:pt idx="687">
                  <c:v>2.3189999999999999E-2</c:v>
                </c:pt>
                <c:pt idx="688">
                  <c:v>2.35E-2</c:v>
                </c:pt>
                <c:pt idx="689">
                  <c:v>2.3460000000000002E-2</c:v>
                </c:pt>
                <c:pt idx="690">
                  <c:v>2.3310000000000001E-2</c:v>
                </c:pt>
                <c:pt idx="691">
                  <c:v>2.656E-2</c:v>
                </c:pt>
                <c:pt idx="692">
                  <c:v>2.7900000000000001E-2</c:v>
                </c:pt>
                <c:pt idx="693">
                  <c:v>2.8299999999999999E-2</c:v>
                </c:pt>
                <c:pt idx="694">
                  <c:v>2.7529999999999999E-2</c:v>
                </c:pt>
                <c:pt idx="695">
                  <c:v>2.5930000000000002E-2</c:v>
                </c:pt>
                <c:pt idx="696">
                  <c:v>2.6519999999999998E-2</c:v>
                </c:pt>
                <c:pt idx="697">
                  <c:v>2.504E-2</c:v>
                </c:pt>
                <c:pt idx="698">
                  <c:v>2.562E-2</c:v>
                </c:pt>
                <c:pt idx="699">
                  <c:v>2.6089999999999999E-2</c:v>
                </c:pt>
                <c:pt idx="700">
                  <c:v>2.6870000000000002E-2</c:v>
                </c:pt>
                <c:pt idx="701">
                  <c:v>2.5819999999999999E-2</c:v>
                </c:pt>
                <c:pt idx="702">
                  <c:v>2.741E-2</c:v>
                </c:pt>
                <c:pt idx="703">
                  <c:v>2.964E-2</c:v>
                </c:pt>
                <c:pt idx="704">
                  <c:v>3.1850000000000003E-2</c:v>
                </c:pt>
                <c:pt idx="705">
                  <c:v>3.0210000000000001E-2</c:v>
                </c:pt>
                <c:pt idx="706">
                  <c:v>3.1050000000000001E-2</c:v>
                </c:pt>
                <c:pt idx="707">
                  <c:v>3.065E-2</c:v>
                </c:pt>
                <c:pt idx="708">
                  <c:v>3.0960000000000001E-2</c:v>
                </c:pt>
                <c:pt idx="709">
                  <c:v>3.4700000000000002E-2</c:v>
                </c:pt>
                <c:pt idx="710">
                  <c:v>3.3259999999999998E-2</c:v>
                </c:pt>
                <c:pt idx="711">
                  <c:v>3.526E-2</c:v>
                </c:pt>
                <c:pt idx="712">
                  <c:v>3.6839999999999998E-2</c:v>
                </c:pt>
                <c:pt idx="713">
                  <c:v>4.027E-2</c:v>
                </c:pt>
                <c:pt idx="714">
                  <c:v>3.6389999999999999E-2</c:v>
                </c:pt>
                <c:pt idx="715">
                  <c:v>3.7100000000000001E-2</c:v>
                </c:pt>
                <c:pt idx="716">
                  <c:v>3.4810000000000001E-2</c:v>
                </c:pt>
                <c:pt idx="717">
                  <c:v>3.3919999999999999E-2</c:v>
                </c:pt>
                <c:pt idx="718">
                  <c:v>3.4110000000000001E-2</c:v>
                </c:pt>
                <c:pt idx="719">
                  <c:v>3.381E-2</c:v>
                </c:pt>
                <c:pt idx="720">
                  <c:v>3.6339999999999997E-2</c:v>
                </c:pt>
                <c:pt idx="721">
                  <c:v>3.4529999999999998E-2</c:v>
                </c:pt>
                <c:pt idx="722">
                  <c:v>3.1780000000000003E-2</c:v>
                </c:pt>
                <c:pt idx="723">
                  <c:v>3.1539999999999999E-2</c:v>
                </c:pt>
                <c:pt idx="724">
                  <c:v>3.0620000000000001E-2</c:v>
                </c:pt>
                <c:pt idx="725">
                  <c:v>2.8459999999999999E-2</c:v>
                </c:pt>
                <c:pt idx="726">
                  <c:v>2.784E-2</c:v>
                </c:pt>
                <c:pt idx="727">
                  <c:v>2.7459999999999998E-2</c:v>
                </c:pt>
                <c:pt idx="728">
                  <c:v>2.7699999999999999E-2</c:v>
                </c:pt>
                <c:pt idx="729">
                  <c:v>2.6929999999999999E-2</c:v>
                </c:pt>
                <c:pt idx="730">
                  <c:v>2.7359999999999999E-2</c:v>
                </c:pt>
                <c:pt idx="731">
                  <c:v>2.673E-2</c:v>
                </c:pt>
                <c:pt idx="732">
                  <c:v>2.639E-2</c:v>
                </c:pt>
                <c:pt idx="733">
                  <c:v>2.5919999999999999E-2</c:v>
                </c:pt>
                <c:pt idx="734">
                  <c:v>2.5839999999999998E-2</c:v>
                </c:pt>
                <c:pt idx="735">
                  <c:v>2.5579999999999999E-2</c:v>
                </c:pt>
                <c:pt idx="736">
                  <c:v>2.6710000000000001E-2</c:v>
                </c:pt>
                <c:pt idx="737">
                  <c:v>2.657E-2</c:v>
                </c:pt>
                <c:pt idx="738">
                  <c:v>2.6120000000000001E-2</c:v>
                </c:pt>
                <c:pt idx="739">
                  <c:v>2.6239999999999999E-2</c:v>
                </c:pt>
                <c:pt idx="740">
                  <c:v>2.7359999999999999E-2</c:v>
                </c:pt>
                <c:pt idx="741">
                  <c:v>2.802E-2</c:v>
                </c:pt>
                <c:pt idx="742">
                  <c:v>2.631E-2</c:v>
                </c:pt>
                <c:pt idx="743">
                  <c:v>2.6849999999999999E-2</c:v>
                </c:pt>
                <c:pt idx="744">
                  <c:v>2.478E-2</c:v>
                </c:pt>
                <c:pt idx="745">
                  <c:v>2.3609999999999999E-2</c:v>
                </c:pt>
                <c:pt idx="746">
                  <c:v>2.3990000000000001E-2</c:v>
                </c:pt>
                <c:pt idx="747">
                  <c:v>2.385E-2</c:v>
                </c:pt>
                <c:pt idx="748">
                  <c:v>2.4E-2</c:v>
                </c:pt>
                <c:pt idx="749">
                  <c:v>2.3349999999999999E-2</c:v>
                </c:pt>
                <c:pt idx="750">
                  <c:v>2.4170000000000001E-2</c:v>
                </c:pt>
                <c:pt idx="751">
                  <c:v>2.4709999999999999E-2</c:v>
                </c:pt>
                <c:pt idx="752">
                  <c:v>2.41E-2</c:v>
                </c:pt>
                <c:pt idx="753">
                  <c:v>2.3259999999999999E-2</c:v>
                </c:pt>
                <c:pt idx="754">
                  <c:v>2.291E-2</c:v>
                </c:pt>
                <c:pt idx="755">
                  <c:v>2.3E-2</c:v>
                </c:pt>
                <c:pt idx="756">
                  <c:v>2.299E-2</c:v>
                </c:pt>
                <c:pt idx="757">
                  <c:v>2.2700000000000001E-2</c:v>
                </c:pt>
                <c:pt idx="758">
                  <c:v>2.2950000000000002E-2</c:v>
                </c:pt>
                <c:pt idx="759">
                  <c:v>2.239E-2</c:v>
                </c:pt>
                <c:pt idx="760">
                  <c:v>2.2780000000000002E-2</c:v>
                </c:pt>
                <c:pt idx="761">
                  <c:v>2.2540000000000001E-2</c:v>
                </c:pt>
                <c:pt idx="762">
                  <c:v>2.2280000000000001E-2</c:v>
                </c:pt>
                <c:pt idx="763">
                  <c:v>2.1950000000000001E-2</c:v>
                </c:pt>
                <c:pt idx="764">
                  <c:v>2.222E-2</c:v>
                </c:pt>
                <c:pt idx="765">
                  <c:v>2.3199999999999998E-2</c:v>
                </c:pt>
                <c:pt idx="766">
                  <c:v>2.2749999999999999E-2</c:v>
                </c:pt>
                <c:pt idx="767">
                  <c:v>2.3570000000000001E-2</c:v>
                </c:pt>
                <c:pt idx="768">
                  <c:v>2.2700000000000001E-2</c:v>
                </c:pt>
                <c:pt idx="769">
                  <c:v>2.3740000000000001E-2</c:v>
                </c:pt>
                <c:pt idx="770">
                  <c:v>2.282E-2</c:v>
                </c:pt>
                <c:pt idx="771">
                  <c:v>2.2519999999999998E-2</c:v>
                </c:pt>
                <c:pt idx="772">
                  <c:v>2.068E-2</c:v>
                </c:pt>
                <c:pt idx="773">
                  <c:v>2.2100000000000002E-2</c:v>
                </c:pt>
                <c:pt idx="774">
                  <c:v>2.3050000000000001E-2</c:v>
                </c:pt>
                <c:pt idx="775">
                  <c:v>2.2290000000000001E-2</c:v>
                </c:pt>
                <c:pt idx="776">
                  <c:v>2.41E-2</c:v>
                </c:pt>
                <c:pt idx="777">
                  <c:v>2.35E-2</c:v>
                </c:pt>
                <c:pt idx="778">
                  <c:v>2.4920000000000001E-2</c:v>
                </c:pt>
                <c:pt idx="779">
                  <c:v>2.4E-2</c:v>
                </c:pt>
                <c:pt idx="780">
                  <c:v>3.0269999999999998E-2</c:v>
                </c:pt>
                <c:pt idx="781">
                  <c:v>3.2259999999999997E-2</c:v>
                </c:pt>
                <c:pt idx="782">
                  <c:v>3.3790000000000001E-2</c:v>
                </c:pt>
                <c:pt idx="783">
                  <c:v>2.844E-2</c:v>
                </c:pt>
                <c:pt idx="784">
                  <c:v>2.6030000000000001E-2</c:v>
                </c:pt>
                <c:pt idx="785">
                  <c:v>2.6259999999999999E-2</c:v>
                </c:pt>
                <c:pt idx="786">
                  <c:v>2.564E-2</c:v>
                </c:pt>
                <c:pt idx="787">
                  <c:v>2.2780000000000002E-2</c:v>
                </c:pt>
                <c:pt idx="788">
                  <c:v>2.2579999999999999E-2</c:v>
                </c:pt>
                <c:pt idx="789">
                  <c:v>2.2610000000000002E-2</c:v>
                </c:pt>
                <c:pt idx="790">
                  <c:v>2.3189999999999999E-2</c:v>
                </c:pt>
                <c:pt idx="791">
                  <c:v>2.2550000000000001E-2</c:v>
                </c:pt>
                <c:pt idx="792">
                  <c:v>2.2700000000000001E-2</c:v>
                </c:pt>
                <c:pt idx="793">
                  <c:v>2.23E-2</c:v>
                </c:pt>
                <c:pt idx="794">
                  <c:v>2.171E-2</c:v>
                </c:pt>
                <c:pt idx="795">
                  <c:v>2.1049999999999999E-2</c:v>
                </c:pt>
                <c:pt idx="796">
                  <c:v>2.2620000000000001E-2</c:v>
                </c:pt>
                <c:pt idx="797">
                  <c:v>2.179E-2</c:v>
                </c:pt>
                <c:pt idx="798">
                  <c:v>2.3279999999999999E-2</c:v>
                </c:pt>
                <c:pt idx="799">
                  <c:v>2.462E-2</c:v>
                </c:pt>
                <c:pt idx="800">
                  <c:v>2.4969999999999999E-2</c:v>
                </c:pt>
                <c:pt idx="801">
                  <c:v>2.5600000000000001E-2</c:v>
                </c:pt>
                <c:pt idx="802">
                  <c:v>2.6550000000000001E-2</c:v>
                </c:pt>
                <c:pt idx="803">
                  <c:v>2.6769999999999999E-2</c:v>
                </c:pt>
                <c:pt idx="804">
                  <c:v>2.6440000000000002E-2</c:v>
                </c:pt>
                <c:pt idx="805">
                  <c:v>2.726E-2</c:v>
                </c:pt>
                <c:pt idx="806">
                  <c:v>2.8119999999999999E-2</c:v>
                </c:pt>
                <c:pt idx="807">
                  <c:v>2.8539999999999999E-2</c:v>
                </c:pt>
                <c:pt idx="808">
                  <c:v>2.8500000000000001E-2</c:v>
                </c:pt>
                <c:pt idx="809">
                  <c:v>2.9340000000000001E-2</c:v>
                </c:pt>
                <c:pt idx="810">
                  <c:v>2.8660000000000001E-2</c:v>
                </c:pt>
                <c:pt idx="811">
                  <c:v>2.8160000000000001E-2</c:v>
                </c:pt>
                <c:pt idx="812">
                  <c:v>2.9170000000000001E-2</c:v>
                </c:pt>
                <c:pt idx="813">
                  <c:v>2.9600000000000001E-2</c:v>
                </c:pt>
                <c:pt idx="814">
                  <c:v>2.945E-2</c:v>
                </c:pt>
                <c:pt idx="815">
                  <c:v>2.9420000000000002E-2</c:v>
                </c:pt>
                <c:pt idx="816">
                  <c:v>3.0030000000000001E-2</c:v>
                </c:pt>
                <c:pt idx="817">
                  <c:v>2.9270000000000001E-2</c:v>
                </c:pt>
                <c:pt idx="818">
                  <c:v>2.8750000000000001E-2</c:v>
                </c:pt>
                <c:pt idx="819">
                  <c:v>2.9080000000000002E-2</c:v>
                </c:pt>
                <c:pt idx="820">
                  <c:v>2.9000000000000001E-2</c:v>
                </c:pt>
                <c:pt idx="821">
                  <c:v>2.9989999999999999E-2</c:v>
                </c:pt>
                <c:pt idx="822">
                  <c:v>3.0460000000000001E-2</c:v>
                </c:pt>
                <c:pt idx="823">
                  <c:v>2.9749999999999999E-2</c:v>
                </c:pt>
                <c:pt idx="824">
                  <c:v>2.887E-2</c:v>
                </c:pt>
                <c:pt idx="825">
                  <c:v>2.9590000000000002E-2</c:v>
                </c:pt>
                <c:pt idx="826">
                  <c:v>2.8049999999999999E-2</c:v>
                </c:pt>
                <c:pt idx="827">
                  <c:v>2.7720000000000002E-2</c:v>
                </c:pt>
                <c:pt idx="828">
                  <c:v>3.1029999999999999E-2</c:v>
                </c:pt>
                <c:pt idx="829">
                  <c:v>3.1269999999999999E-2</c:v>
                </c:pt>
                <c:pt idx="830">
                  <c:v>3.1789999999999999E-2</c:v>
                </c:pt>
                <c:pt idx="831">
                  <c:v>3.1449999999999999E-2</c:v>
                </c:pt>
                <c:pt idx="832">
                  <c:v>3.1130000000000001E-2</c:v>
                </c:pt>
                <c:pt idx="833">
                  <c:v>3.2899999999999999E-2</c:v>
                </c:pt>
                <c:pt idx="834">
                  <c:v>3.2000000000000001E-2</c:v>
                </c:pt>
                <c:pt idx="835">
                  <c:v>3.3869999999999997E-2</c:v>
                </c:pt>
                <c:pt idx="836">
                  <c:v>3.6150000000000002E-2</c:v>
                </c:pt>
                <c:pt idx="837">
                  <c:v>3.6409999999999998E-2</c:v>
                </c:pt>
                <c:pt idx="838">
                  <c:v>3.8429999999999999E-2</c:v>
                </c:pt>
                <c:pt idx="839">
                  <c:v>3.5569999999999997E-2</c:v>
                </c:pt>
                <c:pt idx="840">
                  <c:v>3.7900000000000003E-2</c:v>
                </c:pt>
                <c:pt idx="841">
                  <c:v>3.3270000000000001E-2</c:v>
                </c:pt>
                <c:pt idx="842">
                  <c:v>3.2030000000000003E-2</c:v>
                </c:pt>
                <c:pt idx="843">
                  <c:v>3.2419999999999997E-2</c:v>
                </c:pt>
                <c:pt idx="844">
                  <c:v>3.0200000000000001E-2</c:v>
                </c:pt>
                <c:pt idx="845">
                  <c:v>3.2000000000000001E-2</c:v>
                </c:pt>
                <c:pt idx="846">
                  <c:v>3.1210000000000002E-2</c:v>
                </c:pt>
                <c:pt idx="847">
                  <c:v>3.031E-2</c:v>
                </c:pt>
                <c:pt idx="848">
                  <c:v>3.099E-2</c:v>
                </c:pt>
                <c:pt idx="849">
                  <c:v>2.9180000000000001E-2</c:v>
                </c:pt>
                <c:pt idx="850">
                  <c:v>3.0689999999999999E-2</c:v>
                </c:pt>
                <c:pt idx="851">
                  <c:v>3.065E-2</c:v>
                </c:pt>
                <c:pt idx="852">
                  <c:v>2.8170000000000001E-2</c:v>
                </c:pt>
                <c:pt idx="853">
                  <c:v>2.894E-2</c:v>
                </c:pt>
                <c:pt idx="854">
                  <c:v>2.7990000000000001E-2</c:v>
                </c:pt>
                <c:pt idx="855">
                  <c:v>2.665E-2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10-40A8-81AD-9B6F49C505A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-4.7191831753034839</c:v>
                </c:pt>
                <c:pt idx="1">
                  <c:v>-4.6214341568172461</c:v>
                </c:pt>
                <c:pt idx="2">
                  <c:v>-4.157446258447095</c:v>
                </c:pt>
                <c:pt idx="3">
                  <c:v>-4.3954942844341964</c:v>
                </c:pt>
                <c:pt idx="4">
                  <c:v>-5.271817006331295</c:v>
                </c:pt>
                <c:pt idx="5">
                  <c:v>-5.9794666609764562</c:v>
                </c:pt>
                <c:pt idx="6">
                  <c:v>-6.5011041446149802</c:v>
                </c:pt>
                <c:pt idx="7">
                  <c:v>-4.6793717847295984</c:v>
                </c:pt>
                <c:pt idx="8">
                  <c:v>-3.7169389780761168</c:v>
                </c:pt>
                <c:pt idx="9">
                  <c:v>-3.0289924758954685</c:v>
                </c:pt>
                <c:pt idx="10">
                  <c:v>-2.8667543173052459</c:v>
                </c:pt>
                <c:pt idx="11">
                  <c:v>-2.2494508871392052</c:v>
                </c:pt>
                <c:pt idx="12">
                  <c:v>-1.7706049738100922</c:v>
                </c:pt>
                <c:pt idx="13">
                  <c:v>-1.0321830168250206</c:v>
                </c:pt>
                <c:pt idx="14">
                  <c:v>-2.3099260188770159</c:v>
                </c:pt>
                <c:pt idx="15">
                  <c:v>-0.37470542565225423</c:v>
                </c:pt>
                <c:pt idx="16">
                  <c:v>-1.8735394132401111</c:v>
                </c:pt>
                <c:pt idx="17">
                  <c:v>-2.9725958902491234</c:v>
                </c:pt>
                <c:pt idx="18">
                  <c:v>-2.1581787338800464</c:v>
                </c:pt>
                <c:pt idx="19">
                  <c:v>-1.9158403540278299</c:v>
                </c:pt>
                <c:pt idx="20">
                  <c:v>0.54822919905827405</c:v>
                </c:pt>
                <c:pt idx="21">
                  <c:v>4.0830210482590994</c:v>
                </c:pt>
                <c:pt idx="22">
                  <c:v>1.5861650671234642</c:v>
                </c:pt>
                <c:pt idx="23">
                  <c:v>5.0256394433642342</c:v>
                </c:pt>
                <c:pt idx="24">
                  <c:v>-2.2877817170083636</c:v>
                </c:pt>
                <c:pt idx="25">
                  <c:v>-4.3261636437553515</c:v>
                </c:pt>
                <c:pt idx="26">
                  <c:v>-3.381515994566541</c:v>
                </c:pt>
                <c:pt idx="27">
                  <c:v>-4.9198888026349161</c:v>
                </c:pt>
                <c:pt idx="28">
                  <c:v>-4.5522546842927731</c:v>
                </c:pt>
                <c:pt idx="29">
                  <c:v>-4.7506503890258074</c:v>
                </c:pt>
                <c:pt idx="30">
                  <c:v>-4.2801981989044178</c:v>
                </c:pt>
                <c:pt idx="31">
                  <c:v>-1.2833443015541952</c:v>
                </c:pt>
                <c:pt idx="32">
                  <c:v>-3.174584774227605</c:v>
                </c:pt>
                <c:pt idx="33">
                  <c:v>-3.8761375959730593</c:v>
                </c:pt>
                <c:pt idx="34">
                  <c:v>-4.0879970110984525</c:v>
                </c:pt>
                <c:pt idx="35">
                  <c:v>-3.7049349742324735</c:v>
                </c:pt>
                <c:pt idx="36">
                  <c:v>-4.2388170008595356</c:v>
                </c:pt>
                <c:pt idx="37">
                  <c:v>-4.493738977833897</c:v>
                </c:pt>
                <c:pt idx="38">
                  <c:v>-4.9016795763821577</c:v>
                </c:pt>
                <c:pt idx="39">
                  <c:v>-5.4833583729529618</c:v>
                </c:pt>
                <c:pt idx="40">
                  <c:v>-5.0394251170327484</c:v>
                </c:pt>
                <c:pt idx="41">
                  <c:v>-5.3488082135568851</c:v>
                </c:pt>
                <c:pt idx="42">
                  <c:v>-5.0897679666859599</c:v>
                </c:pt>
                <c:pt idx="43">
                  <c:v>-4.65157877679545</c:v>
                </c:pt>
                <c:pt idx="44">
                  <c:v>-5.443495729334388</c:v>
                </c:pt>
                <c:pt idx="45">
                  <c:v>-6.369885046113934</c:v>
                </c:pt>
                <c:pt idx="46">
                  <c:v>-5.7839996996278478</c:v>
                </c:pt>
                <c:pt idx="47">
                  <c:v>-5.9576113676229561</c:v>
                </c:pt>
                <c:pt idx="48">
                  <c:v>-6.0292057606171419</c:v>
                </c:pt>
                <c:pt idx="49">
                  <c:v>-4.956541181244007</c:v>
                </c:pt>
                <c:pt idx="50">
                  <c:v>-4.1749233486376829</c:v>
                </c:pt>
                <c:pt idx="51">
                  <c:v>-4.6069969270961382</c:v>
                </c:pt>
                <c:pt idx="52">
                  <c:v>-4.191906287217253</c:v>
                </c:pt>
                <c:pt idx="53">
                  <c:v>-5.5468221545929763</c:v>
                </c:pt>
                <c:pt idx="54">
                  <c:v>-5.499099682843215</c:v>
                </c:pt>
                <c:pt idx="55">
                  <c:v>-6.7234220176930677</c:v>
                </c:pt>
                <c:pt idx="56">
                  <c:v>-4.9046166766013526</c:v>
                </c:pt>
                <c:pt idx="57">
                  <c:v>-5.1502539660944251</c:v>
                </c:pt>
                <c:pt idx="58">
                  <c:v>-4.8311481282214581</c:v>
                </c:pt>
                <c:pt idx="59">
                  <c:v>-3.9078171478411519</c:v>
                </c:pt>
                <c:pt idx="60">
                  <c:v>-4.1390472115554404</c:v>
                </c:pt>
                <c:pt idx="61">
                  <c:v>-4.9249403543496744</c:v>
                </c:pt>
                <c:pt idx="62">
                  <c:v>-5.2649957146545061</c:v>
                </c:pt>
                <c:pt idx="63">
                  <c:v>-4.3183165536594821</c:v>
                </c:pt>
                <c:pt idx="64">
                  <c:v>-4.4260528369752716</c:v>
                </c:pt>
                <c:pt idx="65">
                  <c:v>-4.2987366278843622</c:v>
                </c:pt>
                <c:pt idx="66">
                  <c:v>-4.6839261839653821</c:v>
                </c:pt>
                <c:pt idx="67">
                  <c:v>-4.2877046546508311</c:v>
                </c:pt>
                <c:pt idx="68">
                  <c:v>-3.5995776469288225</c:v>
                </c:pt>
                <c:pt idx="69">
                  <c:v>-4.2642787737303296</c:v>
                </c:pt>
                <c:pt idx="70">
                  <c:v>-5.4481675221942627</c:v>
                </c:pt>
                <c:pt idx="71">
                  <c:v>-5.2396653879360224</c:v>
                </c:pt>
                <c:pt idx="72">
                  <c:v>-5.8510087516661153</c:v>
                </c:pt>
                <c:pt idx="73">
                  <c:v>-5.5318385187388195</c:v>
                </c:pt>
                <c:pt idx="74">
                  <c:v>-5.2458217449388211</c:v>
                </c:pt>
                <c:pt idx="75">
                  <c:v>-5.1485807630301661</c:v>
                </c:pt>
                <c:pt idx="76">
                  <c:v>-5.5780148458403458</c:v>
                </c:pt>
                <c:pt idx="77">
                  <c:v>-5.5688802483585436</c:v>
                </c:pt>
                <c:pt idx="78">
                  <c:v>-6.0308123594070997</c:v>
                </c:pt>
                <c:pt idx="79">
                  <c:v>-5.8087941685243107</c:v>
                </c:pt>
                <c:pt idx="80">
                  <c:v>-4.989152082377049</c:v>
                </c:pt>
                <c:pt idx="81">
                  <c:v>-5.9617366826504279</c:v>
                </c:pt>
                <c:pt idx="82">
                  <c:v>-5.1733860478181892</c:v>
                </c:pt>
                <c:pt idx="83">
                  <c:v>-5.6961130193476537</c:v>
                </c:pt>
                <c:pt idx="84">
                  <c:v>-4.4517146586475844</c:v>
                </c:pt>
                <c:pt idx="85">
                  <c:v>-6.6796272701740937</c:v>
                </c:pt>
                <c:pt idx="86">
                  <c:v>-7.9756494622059337</c:v>
                </c:pt>
                <c:pt idx="87">
                  <c:v>-7.3236837149615273</c:v>
                </c:pt>
                <c:pt idx="88">
                  <c:v>-7.3815806749118282</c:v>
                </c:pt>
                <c:pt idx="89">
                  <c:v>-6.5905597320834683</c:v>
                </c:pt>
                <c:pt idx="90">
                  <c:v>-6.8633904677348747</c:v>
                </c:pt>
                <c:pt idx="91">
                  <c:v>-7.1113986803102947</c:v>
                </c:pt>
                <c:pt idx="92">
                  <c:v>-7.5985148066290034</c:v>
                </c:pt>
                <c:pt idx="93">
                  <c:v>-6.8293768360729228</c:v>
                </c:pt>
                <c:pt idx="94">
                  <c:v>-6.0579650389033315</c:v>
                </c:pt>
                <c:pt idx="95">
                  <c:v>-6.336956771211022</c:v>
                </c:pt>
                <c:pt idx="96">
                  <c:v>-5.8140719928045916</c:v>
                </c:pt>
                <c:pt idx="97">
                  <c:v>-4.0232833467846438</c:v>
                </c:pt>
                <c:pt idx="98">
                  <c:v>-5.327589232603593</c:v>
                </c:pt>
                <c:pt idx="99">
                  <c:v>-4.5046061957153123</c:v>
                </c:pt>
                <c:pt idx="100">
                  <c:v>-5.3346555146004917</c:v>
                </c:pt>
                <c:pt idx="101">
                  <c:v>-4.6956251496389561</c:v>
                </c:pt>
                <c:pt idx="102">
                  <c:v>-4.6929212265502196</c:v>
                </c:pt>
                <c:pt idx="103">
                  <c:v>-4.8028990268359335</c:v>
                </c:pt>
                <c:pt idx="104">
                  <c:v>-4.0598437883629437</c:v>
                </c:pt>
                <c:pt idx="105">
                  <c:v>-4.0882568978555431</c:v>
                </c:pt>
                <c:pt idx="106">
                  <c:v>-3.9802227506591592</c:v>
                </c:pt>
                <c:pt idx="107">
                  <c:v>-4.363692755251467</c:v>
                </c:pt>
                <c:pt idx="108">
                  <c:v>-4.7604669522093728</c:v>
                </c:pt>
                <c:pt idx="109">
                  <c:v>-4.5927275163242047</c:v>
                </c:pt>
                <c:pt idx="110">
                  <c:v>-3.5726987695964021</c:v>
                </c:pt>
                <c:pt idx="111">
                  <c:v>-3.6783615542784829</c:v>
                </c:pt>
                <c:pt idx="112">
                  <c:v>-3.3614035899541559</c:v>
                </c:pt>
                <c:pt idx="113">
                  <c:v>-2.6157522732874847</c:v>
                </c:pt>
                <c:pt idx="114">
                  <c:v>-2.3259850107643327</c:v>
                </c:pt>
                <c:pt idx="115">
                  <c:v>-2.7837654066978215</c:v>
                </c:pt>
                <c:pt idx="116">
                  <c:v>-2.5833435108913703</c:v>
                </c:pt>
                <c:pt idx="117">
                  <c:v>-2.562691633231116</c:v>
                </c:pt>
                <c:pt idx="118">
                  <c:v>-2.5881229508926533</c:v>
                </c:pt>
                <c:pt idx="119">
                  <c:v>-3.6174755804805967</c:v>
                </c:pt>
                <c:pt idx="120">
                  <c:v>-4.2272374944805966</c:v>
                </c:pt>
                <c:pt idx="121">
                  <c:v>-3.9205003163015366</c:v>
                </c:pt>
                <c:pt idx="122">
                  <c:v>-3.2859737363927088</c:v>
                </c:pt>
                <c:pt idx="123">
                  <c:v>-2.5336334911543674</c:v>
                </c:pt>
                <c:pt idx="124">
                  <c:v>-2.1975241462629191</c:v>
                </c:pt>
                <c:pt idx="125">
                  <c:v>-2.3126806650585419</c:v>
                </c:pt>
                <c:pt idx="126">
                  <c:v>-2.1612985504078295</c:v>
                </c:pt>
                <c:pt idx="127">
                  <c:v>-2.5206657820072733</c:v>
                </c:pt>
                <c:pt idx="128">
                  <c:v>-3.5413686309047865</c:v>
                </c:pt>
                <c:pt idx="129">
                  <c:v>-2.4399947951269354</c:v>
                </c:pt>
                <c:pt idx="130">
                  <c:v>-1.8846765655635114</c:v>
                </c:pt>
                <c:pt idx="131">
                  <c:v>-2.0142980528885124</c:v>
                </c:pt>
                <c:pt idx="132">
                  <c:v>-2.0020051631334113</c:v>
                </c:pt>
                <c:pt idx="133">
                  <c:v>-1.6823521092202423</c:v>
                </c:pt>
                <c:pt idx="134">
                  <c:v>-1.6038796254771504</c:v>
                </c:pt>
                <c:pt idx="135">
                  <c:v>-1.6504446139022588</c:v>
                </c:pt>
                <c:pt idx="136">
                  <c:v>-1.8781337833199476</c:v>
                </c:pt>
                <c:pt idx="137">
                  <c:v>-1.7969596420631815</c:v>
                </c:pt>
                <c:pt idx="138">
                  <c:v>-2.3125137730273342</c:v>
                </c:pt>
                <c:pt idx="139">
                  <c:v>-2.3388024636795084</c:v>
                </c:pt>
                <c:pt idx="140">
                  <c:v>-1.8663282135568411</c:v>
                </c:pt>
                <c:pt idx="141">
                  <c:v>-2.0089551614276728</c:v>
                </c:pt>
                <c:pt idx="142">
                  <c:v>-3.3867867984647106</c:v>
                </c:pt>
                <c:pt idx="143">
                  <c:v>-2.6287011174737365</c:v>
                </c:pt>
                <c:pt idx="144">
                  <c:v>-2.9365330885584515</c:v>
                </c:pt>
                <c:pt idx="145">
                  <c:v>-3.3540259874813989</c:v>
                </c:pt>
                <c:pt idx="146">
                  <c:v>-4.455101429520977</c:v>
                </c:pt>
                <c:pt idx="147">
                  <c:v>-4.5345778268900014</c:v>
                </c:pt>
                <c:pt idx="148">
                  <c:v>-3.9082523974212098</c:v>
                </c:pt>
                <c:pt idx="149">
                  <c:v>-5.0661561935735753</c:v>
                </c:pt>
                <c:pt idx="150">
                  <c:v>-5.1790028219735698</c:v>
                </c:pt>
                <c:pt idx="151">
                  <c:v>-3.9074542799088929</c:v>
                </c:pt>
                <c:pt idx="152">
                  <c:v>-3.9307527813778202</c:v>
                </c:pt>
                <c:pt idx="153">
                  <c:v>-3.4573008072648936</c:v>
                </c:pt>
                <c:pt idx="154">
                  <c:v>-4.6687650426366583</c:v>
                </c:pt>
                <c:pt idx="155">
                  <c:v>-3.7623022934798183</c:v>
                </c:pt>
                <c:pt idx="156">
                  <c:v>-4.4644387649864612</c:v>
                </c:pt>
                <c:pt idx="157">
                  <c:v>-3.0281126738283124</c:v>
                </c:pt>
                <c:pt idx="158">
                  <c:v>-1.7338692586592719</c:v>
                </c:pt>
                <c:pt idx="159">
                  <c:v>-1.9033326917666182</c:v>
                </c:pt>
                <c:pt idx="160">
                  <c:v>-1.7684361060957574</c:v>
                </c:pt>
                <c:pt idx="161">
                  <c:v>-2.1169587588063896</c:v>
                </c:pt>
                <c:pt idx="162">
                  <c:v>-4.0733310456295087</c:v>
                </c:pt>
                <c:pt idx="163">
                  <c:v>-3.9687714402613841</c:v>
                </c:pt>
                <c:pt idx="164">
                  <c:v>-1.9722212318943901</c:v>
                </c:pt>
                <c:pt idx="165">
                  <c:v>0.17314019034304365</c:v>
                </c:pt>
                <c:pt idx="166">
                  <c:v>-0.35926554057277649</c:v>
                </c:pt>
                <c:pt idx="167">
                  <c:v>0.96022296870395363</c:v>
                </c:pt>
                <c:pt idx="168">
                  <c:v>0.73919396087375433</c:v>
                </c:pt>
                <c:pt idx="169">
                  <c:v>-7.9264204381356909E-2</c:v>
                </c:pt>
                <c:pt idx="170">
                  <c:v>9.8462558622910978E-2</c:v>
                </c:pt>
                <c:pt idx="171">
                  <c:v>-6.721215415286248</c:v>
                </c:pt>
                <c:pt idx="172">
                  <c:v>-11.079900667143828</c:v>
                </c:pt>
                <c:pt idx="173">
                  <c:v>-9.3616764168334115</c:v>
                </c:pt>
                <c:pt idx="174">
                  <c:v>-8.4914024650017392</c:v>
                </c:pt>
                <c:pt idx="175">
                  <c:v>-12.66744818746527</c:v>
                </c:pt>
                <c:pt idx="176">
                  <c:v>-13.428378201555734</c:v>
                </c:pt>
                <c:pt idx="177">
                  <c:v>-14.706304114604768</c:v>
                </c:pt>
                <c:pt idx="178">
                  <c:v>-16.901458065558295</c:v>
                </c:pt>
                <c:pt idx="179">
                  <c:v>-17.162100805105808</c:v>
                </c:pt>
                <c:pt idx="180">
                  <c:v>-16.413892163001805</c:v>
                </c:pt>
                <c:pt idx="181">
                  <c:v>-15.806540114634148</c:v>
                </c:pt>
                <c:pt idx="182">
                  <c:v>-18.061020496809594</c:v>
                </c:pt>
                <c:pt idx="183">
                  <c:v>-18.438206621687904</c:v>
                </c:pt>
                <c:pt idx="184">
                  <c:v>-18.168356664514089</c:v>
                </c:pt>
                <c:pt idx="185">
                  <c:v>-18.928001897671322</c:v>
                </c:pt>
                <c:pt idx="186">
                  <c:v>-17.360096049439207</c:v>
                </c:pt>
                <c:pt idx="187">
                  <c:v>-18.523607975188749</c:v>
                </c:pt>
                <c:pt idx="188">
                  <c:v>-18.475674866642304</c:v>
                </c:pt>
                <c:pt idx="189">
                  <c:v>-19.692145728400511</c:v>
                </c:pt>
                <c:pt idx="190">
                  <c:v>-20.120458246275518</c:v>
                </c:pt>
                <c:pt idx="191">
                  <c:v>-20.875063869068764</c:v>
                </c:pt>
                <c:pt idx="192">
                  <c:v>-21.015227922517038</c:v>
                </c:pt>
                <c:pt idx="193">
                  <c:v>-19.467618423403831</c:v>
                </c:pt>
                <c:pt idx="194">
                  <c:v>-17.191519364032825</c:v>
                </c:pt>
                <c:pt idx="195">
                  <c:v>-20.881200795933509</c:v>
                </c:pt>
                <c:pt idx="196">
                  <c:v>-17.432864286516914</c:v>
                </c:pt>
                <c:pt idx="197">
                  <c:v>-16.296503977330602</c:v>
                </c:pt>
                <c:pt idx="198">
                  <c:v>-17.869299496412012</c:v>
                </c:pt>
                <c:pt idx="199">
                  <c:v>-17.84498383622644</c:v>
                </c:pt>
                <c:pt idx="200">
                  <c:v>-17.612876132226443</c:v>
                </c:pt>
                <c:pt idx="201">
                  <c:v>-17.926789005744961</c:v>
                </c:pt>
                <c:pt idx="202">
                  <c:v>-17.681868535002103</c:v>
                </c:pt>
                <c:pt idx="203">
                  <c:v>-18.431973093103288</c:v>
                </c:pt>
                <c:pt idx="204">
                  <c:v>-18.252733371963792</c:v>
                </c:pt>
                <c:pt idx="205">
                  <c:v>-17.801405955140691</c:v>
                </c:pt>
                <c:pt idx="206">
                  <c:v>-17.718905518158742</c:v>
                </c:pt>
                <c:pt idx="207">
                  <c:v>-17.452378735233861</c:v>
                </c:pt>
                <c:pt idx="208">
                  <c:v>-17.463297430033862</c:v>
                </c:pt>
                <c:pt idx="209">
                  <c:v>-17.7751102416984</c:v>
                </c:pt>
                <c:pt idx="210">
                  <c:v>-18.26359536992026</c:v>
                </c:pt>
                <c:pt idx="211">
                  <c:v>-18.194535943602506</c:v>
                </c:pt>
                <c:pt idx="212">
                  <c:v>-18.421423687656819</c:v>
                </c:pt>
                <c:pt idx="213">
                  <c:v>-18.766776122238127</c:v>
                </c:pt>
                <c:pt idx="214">
                  <c:v>-19.035057497141668</c:v>
                </c:pt>
                <c:pt idx="215">
                  <c:v>-19.290809649308819</c:v>
                </c:pt>
                <c:pt idx="216">
                  <c:v>-19.860348867561072</c:v>
                </c:pt>
                <c:pt idx="217">
                  <c:v>-18.822989711669354</c:v>
                </c:pt>
                <c:pt idx="218">
                  <c:v>-19.582695020128476</c:v>
                </c:pt>
                <c:pt idx="219">
                  <c:v>-19.977804118500885</c:v>
                </c:pt>
                <c:pt idx="220">
                  <c:v>-20.546645037491462</c:v>
                </c:pt>
                <c:pt idx="221">
                  <c:v>-18.874045803013008</c:v>
                </c:pt>
                <c:pt idx="222">
                  <c:v>-19.655302720959412</c:v>
                </c:pt>
                <c:pt idx="223">
                  <c:v>-19.239672884959415</c:v>
                </c:pt>
                <c:pt idx="224">
                  <c:v>-18.786568209924766</c:v>
                </c:pt>
                <c:pt idx="225">
                  <c:v>-18.37334684070526</c:v>
                </c:pt>
                <c:pt idx="226">
                  <c:v>-17.403983856570985</c:v>
                </c:pt>
                <c:pt idx="227">
                  <c:v>-16.869820433487291</c:v>
                </c:pt>
                <c:pt idx="228">
                  <c:v>-17.277914424532376</c:v>
                </c:pt>
                <c:pt idx="229">
                  <c:v>-18.719330163411772</c:v>
                </c:pt>
                <c:pt idx="230">
                  <c:v>-18.060087910964409</c:v>
                </c:pt>
                <c:pt idx="231">
                  <c:v>-16.253673218010938</c:v>
                </c:pt>
                <c:pt idx="232">
                  <c:v>-15.277429912608419</c:v>
                </c:pt>
                <c:pt idx="233">
                  <c:v>-16.785517504587144</c:v>
                </c:pt>
                <c:pt idx="234">
                  <c:v>-17.872310528161069</c:v>
                </c:pt>
                <c:pt idx="235">
                  <c:v>-16.872810413849937</c:v>
                </c:pt>
                <c:pt idx="236">
                  <c:v>-17.212580432463799</c:v>
                </c:pt>
                <c:pt idx="237">
                  <c:v>-16.613361809655427</c:v>
                </c:pt>
                <c:pt idx="238">
                  <c:v>-16.024001407413959</c:v>
                </c:pt>
                <c:pt idx="239">
                  <c:v>-16.22774159474508</c:v>
                </c:pt>
                <c:pt idx="240">
                  <c:v>-15.752476038909185</c:v>
                </c:pt>
                <c:pt idx="241">
                  <c:v>-15.230212011648314</c:v>
                </c:pt>
                <c:pt idx="242">
                  <c:v>-16.182661154449871</c:v>
                </c:pt>
                <c:pt idx="243">
                  <c:v>-16.416147599526795</c:v>
                </c:pt>
                <c:pt idx="244">
                  <c:v>-16.20520603484098</c:v>
                </c:pt>
                <c:pt idx="245">
                  <c:v>-14.956288741159476</c:v>
                </c:pt>
                <c:pt idx="246">
                  <c:v>-14.130950917307816</c:v>
                </c:pt>
                <c:pt idx="247">
                  <c:v>-16.211774576185231</c:v>
                </c:pt>
                <c:pt idx="248">
                  <c:v>-17.671810822175445</c:v>
                </c:pt>
                <c:pt idx="249">
                  <c:v>-19.276519830218824</c:v>
                </c:pt>
                <c:pt idx="250">
                  <c:v>-18.861755721122385</c:v>
                </c:pt>
                <c:pt idx="251">
                  <c:v>-18.682742858216333</c:v>
                </c:pt>
                <c:pt idx="252">
                  <c:v>-18.270494345400522</c:v>
                </c:pt>
                <c:pt idx="253">
                  <c:v>-19.318268387493561</c:v>
                </c:pt>
                <c:pt idx="254">
                  <c:v>-18.396064412771747</c:v>
                </c:pt>
                <c:pt idx="255">
                  <c:v>-18.685301422468061</c:v>
                </c:pt>
                <c:pt idx="256">
                  <c:v>-18.363295934228542</c:v>
                </c:pt>
                <c:pt idx="257">
                  <c:v>-18.071394508995954</c:v>
                </c:pt>
                <c:pt idx="258">
                  <c:v>-14.611136507182499</c:v>
                </c:pt>
                <c:pt idx="259">
                  <c:v>-14.976620729300622</c:v>
                </c:pt>
                <c:pt idx="260">
                  <c:v>-15.708825296395631</c:v>
                </c:pt>
                <c:pt idx="261">
                  <c:v>-14.201637881966896</c:v>
                </c:pt>
                <c:pt idx="262">
                  <c:v>-15.1636234116441</c:v>
                </c:pt>
                <c:pt idx="263">
                  <c:v>-14.565739863430295</c:v>
                </c:pt>
                <c:pt idx="264">
                  <c:v>-14.603241985574249</c:v>
                </c:pt>
                <c:pt idx="265">
                  <c:v>-14.621420467609841</c:v>
                </c:pt>
                <c:pt idx="266">
                  <c:v>-13.873125769159838</c:v>
                </c:pt>
                <c:pt idx="267">
                  <c:v>-15.156600792024099</c:v>
                </c:pt>
                <c:pt idx="268">
                  <c:v>-16.246425658794287</c:v>
                </c:pt>
                <c:pt idx="269">
                  <c:v>-14.619041951221469</c:v>
                </c:pt>
                <c:pt idx="270">
                  <c:v>-13.293247135073775</c:v>
                </c:pt>
                <c:pt idx="271">
                  <c:v>-13.415470396192593</c:v>
                </c:pt>
                <c:pt idx="272">
                  <c:v>-13.307144529726589</c:v>
                </c:pt>
                <c:pt idx="273">
                  <c:v>-13.962291194016409</c:v>
                </c:pt>
                <c:pt idx="274">
                  <c:v>-13.950887495438339</c:v>
                </c:pt>
                <c:pt idx="275">
                  <c:v>-13.406252801089423</c:v>
                </c:pt>
                <c:pt idx="276">
                  <c:v>-14.660265264571752</c:v>
                </c:pt>
                <c:pt idx="277">
                  <c:v>-16.869370781820074</c:v>
                </c:pt>
                <c:pt idx="278">
                  <c:v>-16.500946397023583</c:v>
                </c:pt>
                <c:pt idx="279">
                  <c:v>-14.622254578399525</c:v>
                </c:pt>
                <c:pt idx="280">
                  <c:v>-16.959137612499504</c:v>
                </c:pt>
                <c:pt idx="281">
                  <c:v>-15.248285134789221</c:v>
                </c:pt>
                <c:pt idx="282">
                  <c:v>-13.618148571085243</c:v>
                </c:pt>
                <c:pt idx="283">
                  <c:v>-14.241621828539218</c:v>
                </c:pt>
                <c:pt idx="284">
                  <c:v>-12.255381592810343</c:v>
                </c:pt>
                <c:pt idx="285">
                  <c:v>-9.9717080078363924</c:v>
                </c:pt>
                <c:pt idx="286">
                  <c:v>-8.5931084998566583</c:v>
                </c:pt>
                <c:pt idx="287">
                  <c:v>-7.254979724027355</c:v>
                </c:pt>
                <c:pt idx="288">
                  <c:v>-5.6102307480985401</c:v>
                </c:pt>
                <c:pt idx="289">
                  <c:v>-9.1797449079436539</c:v>
                </c:pt>
                <c:pt idx="290">
                  <c:v>-10.079145813363118</c:v>
                </c:pt>
                <c:pt idx="291">
                  <c:v>-10.001125585665317</c:v>
                </c:pt>
                <c:pt idx="292">
                  <c:v>-10.001125585665312</c:v>
                </c:pt>
                <c:pt idx="293">
                  <c:v>-9.4136218968473226</c:v>
                </c:pt>
                <c:pt idx="294">
                  <c:v>-8.0981346967106784</c:v>
                </c:pt>
                <c:pt idx="295">
                  <c:v>-8.8454517981129062</c:v>
                </c:pt>
                <c:pt idx="296">
                  <c:v>-9.0778513407441661</c:v>
                </c:pt>
                <c:pt idx="297">
                  <c:v>-8.2596318295390319</c:v>
                </c:pt>
                <c:pt idx="298">
                  <c:v>-8.0458992168467312</c:v>
                </c:pt>
                <c:pt idx="299">
                  <c:v>-7.9221417053214074</c:v>
                </c:pt>
                <c:pt idx="300">
                  <c:v>-6.5399750797374052</c:v>
                </c:pt>
                <c:pt idx="301">
                  <c:v>-5.7179173555892566</c:v>
                </c:pt>
                <c:pt idx="302">
                  <c:v>-5.4740824588793391</c:v>
                </c:pt>
                <c:pt idx="303">
                  <c:v>-5.5393220298896928</c:v>
                </c:pt>
                <c:pt idx="304">
                  <c:v>-4.9222540226542</c:v>
                </c:pt>
                <c:pt idx="305">
                  <c:v>-4.7071632526781784</c:v>
                </c:pt>
                <c:pt idx="306">
                  <c:v>-4.4129176555676253</c:v>
                </c:pt>
                <c:pt idx="307">
                  <c:v>-3.260607597117279</c:v>
                </c:pt>
                <c:pt idx="308">
                  <c:v>-3.9058443396537919</c:v>
                </c:pt>
                <c:pt idx="309">
                  <c:v>-3.0582722779821148</c:v>
                </c:pt>
                <c:pt idx="310">
                  <c:v>-2.2762185180522159</c:v>
                </c:pt>
                <c:pt idx="311">
                  <c:v>-1.1656639614610056</c:v>
                </c:pt>
                <c:pt idx="312">
                  <c:v>-0.3587400919062203</c:v>
                </c:pt>
                <c:pt idx="313">
                  <c:v>1.9483302419061381</c:v>
                </c:pt>
                <c:pt idx="314">
                  <c:v>4.588455000757957</c:v>
                </c:pt>
                <c:pt idx="315">
                  <c:v>4.7966161249156718</c:v>
                </c:pt>
                <c:pt idx="316">
                  <c:v>6.2174692845793533</c:v>
                </c:pt>
                <c:pt idx="317">
                  <c:v>7.8758745838824025</c:v>
                </c:pt>
                <c:pt idx="318">
                  <c:v>13.555029185025251</c:v>
                </c:pt>
                <c:pt idx="319">
                  <c:v>14.832612611302256</c:v>
                </c:pt>
                <c:pt idx="320">
                  <c:v>15.697715571405348</c:v>
                </c:pt>
                <c:pt idx="321">
                  <c:v>15.669205909053257</c:v>
                </c:pt>
                <c:pt idx="322">
                  <c:v>16.530379641647574</c:v>
                </c:pt>
                <c:pt idx="323">
                  <c:v>16.558936867846576</c:v>
                </c:pt>
                <c:pt idx="324">
                  <c:v>17.056547715855196</c:v>
                </c:pt>
                <c:pt idx="325">
                  <c:v>17.733189594222445</c:v>
                </c:pt>
                <c:pt idx="326">
                  <c:v>17.759637913064203</c:v>
                </c:pt>
                <c:pt idx="327">
                  <c:v>17.573825028565306</c:v>
                </c:pt>
                <c:pt idx="328">
                  <c:v>16.928408987294752</c:v>
                </c:pt>
                <c:pt idx="329">
                  <c:v>16.084974432538033</c:v>
                </c:pt>
                <c:pt idx="330">
                  <c:v>16.642735932881756</c:v>
                </c:pt>
                <c:pt idx="331">
                  <c:v>17.803546919830016</c:v>
                </c:pt>
                <c:pt idx="332">
                  <c:v>18.623190503524626</c:v>
                </c:pt>
                <c:pt idx="333">
                  <c:v>12.398505935780747</c:v>
                </c:pt>
                <c:pt idx="334">
                  <c:v>11.931749525222218</c:v>
                </c:pt>
                <c:pt idx="335">
                  <c:v>13.03434381189936</c:v>
                </c:pt>
                <c:pt idx="336">
                  <c:v>13.808276835622587</c:v>
                </c:pt>
                <c:pt idx="337">
                  <c:v>15.508687888967719</c:v>
                </c:pt>
                <c:pt idx="338">
                  <c:v>15.516870350676275</c:v>
                </c:pt>
                <c:pt idx="339">
                  <c:v>13.102910233067828</c:v>
                </c:pt>
                <c:pt idx="340">
                  <c:v>11.169907110494362</c:v>
                </c:pt>
                <c:pt idx="341">
                  <c:v>15.2599887046661</c:v>
                </c:pt>
                <c:pt idx="342">
                  <c:v>11.7561040900436</c:v>
                </c:pt>
                <c:pt idx="343">
                  <c:v>10.578105890088047</c:v>
                </c:pt>
                <c:pt idx="344">
                  <c:v>7.6213881689211362</c:v>
                </c:pt>
                <c:pt idx="345">
                  <c:v>8.312137653560594</c:v>
                </c:pt>
                <c:pt idx="346">
                  <c:v>7.9012630114851232</c:v>
                </c:pt>
                <c:pt idx="347">
                  <c:v>7.3405377954220565</c:v>
                </c:pt>
                <c:pt idx="348">
                  <c:v>7.2625442181515956</c:v>
                </c:pt>
                <c:pt idx="349">
                  <c:v>5.2963688784455982</c:v>
                </c:pt>
                <c:pt idx="350">
                  <c:v>4.9821016317647446</c:v>
                </c:pt>
                <c:pt idx="351">
                  <c:v>5.1857317627064496</c:v>
                </c:pt>
                <c:pt idx="352">
                  <c:v>3.9465216540313444</c:v>
                </c:pt>
                <c:pt idx="353">
                  <c:v>1.9920564304042105</c:v>
                </c:pt>
                <c:pt idx="354">
                  <c:v>0.36102675197728901</c:v>
                </c:pt>
                <c:pt idx="355">
                  <c:v>-1.0209475423579693</c:v>
                </c:pt>
                <c:pt idx="356">
                  <c:v>-1.4135606929790023</c:v>
                </c:pt>
                <c:pt idx="357">
                  <c:v>-3.54365572189226</c:v>
                </c:pt>
                <c:pt idx="358">
                  <c:v>-3.8801536027418413</c:v>
                </c:pt>
                <c:pt idx="359">
                  <c:v>-3.5717050708275546</c:v>
                </c:pt>
                <c:pt idx="360">
                  <c:v>-3.8709081648193573</c:v>
                </c:pt>
                <c:pt idx="361">
                  <c:v>-2.2422920418193608</c:v>
                </c:pt>
                <c:pt idx="362">
                  <c:v>2.7472347428860667E-2</c:v>
                </c:pt>
                <c:pt idx="363">
                  <c:v>29.752901542656403</c:v>
                </c:pt>
                <c:pt idx="364">
                  <c:v>21.249523579052443</c:v>
                </c:pt>
                <c:pt idx="365">
                  <c:v>20.735038381542239</c:v>
                </c:pt>
                <c:pt idx="366">
                  <c:v>20.983711494183385</c:v>
                </c:pt>
                <c:pt idx="367">
                  <c:v>20.596709560089046</c:v>
                </c:pt>
                <c:pt idx="368">
                  <c:v>21.115258400089047</c:v>
                </c:pt>
                <c:pt idx="369">
                  <c:v>21.090418820789981</c:v>
                </c:pt>
                <c:pt idx="370">
                  <c:v>21.158305789000508</c:v>
                </c:pt>
                <c:pt idx="371">
                  <c:v>20.29120803150218</c:v>
                </c:pt>
                <c:pt idx="372">
                  <c:v>21.105989446515167</c:v>
                </c:pt>
                <c:pt idx="373">
                  <c:v>20.774973787997521</c:v>
                </c:pt>
                <c:pt idx="374">
                  <c:v>21.730745285791638</c:v>
                </c:pt>
                <c:pt idx="375">
                  <c:v>20.654196685101166</c:v>
                </c:pt>
                <c:pt idx="376">
                  <c:v>20.044604638500342</c:v>
                </c:pt>
                <c:pt idx="377">
                  <c:v>20.707600609149694</c:v>
                </c:pt>
                <c:pt idx="378">
                  <c:v>20.487589064549692</c:v>
                </c:pt>
                <c:pt idx="379">
                  <c:v>20.494921576408096</c:v>
                </c:pt>
                <c:pt idx="380">
                  <c:v>19.843508183791357</c:v>
                </c:pt>
                <c:pt idx="381">
                  <c:v>19.903695151141356</c:v>
                </c:pt>
                <c:pt idx="382">
                  <c:v>20.051373174100117</c:v>
                </c:pt>
                <c:pt idx="383">
                  <c:v>20.46495752493345</c:v>
                </c:pt>
                <c:pt idx="384">
                  <c:v>19.035296678683451</c:v>
                </c:pt>
                <c:pt idx="385">
                  <c:v>19.318077190112021</c:v>
                </c:pt>
                <c:pt idx="386">
                  <c:v>19.819306549796703</c:v>
                </c:pt>
                <c:pt idx="387">
                  <c:v>18.5577470153967</c:v>
                </c:pt>
                <c:pt idx="388">
                  <c:v>17.779470317630469</c:v>
                </c:pt>
                <c:pt idx="389">
                  <c:v>17.64571518118354</c:v>
                </c:pt>
                <c:pt idx="390">
                  <c:v>16.79309008822058</c:v>
                </c:pt>
                <c:pt idx="391">
                  <c:v>16.713889705796333</c:v>
                </c:pt>
                <c:pt idx="392">
                  <c:v>16.269755395901594</c:v>
                </c:pt>
                <c:pt idx="393">
                  <c:v>16.680016518949216</c:v>
                </c:pt>
                <c:pt idx="394">
                  <c:v>16.438543902221941</c:v>
                </c:pt>
                <c:pt idx="395">
                  <c:v>16.627842306909443</c:v>
                </c:pt>
                <c:pt idx="396">
                  <c:v>16.627842306909443</c:v>
                </c:pt>
                <c:pt idx="397">
                  <c:v>16.676297181739631</c:v>
                </c:pt>
                <c:pt idx="398">
                  <c:v>16.659559546416101</c:v>
                </c:pt>
                <c:pt idx="399">
                  <c:v>16.9163100585161</c:v>
                </c:pt>
                <c:pt idx="400">
                  <c:v>16.428991112305575</c:v>
                </c:pt>
                <c:pt idx="401">
                  <c:v>17.010283607453722</c:v>
                </c:pt>
                <c:pt idx="402">
                  <c:v>16.945590848356947</c:v>
                </c:pt>
                <c:pt idx="403">
                  <c:v>17.400105116994631</c:v>
                </c:pt>
                <c:pt idx="404">
                  <c:v>17.812918427839456</c:v>
                </c:pt>
                <c:pt idx="405">
                  <c:v>16.459796308916378</c:v>
                </c:pt>
                <c:pt idx="406">
                  <c:v>16.092217666674998</c:v>
                </c:pt>
                <c:pt idx="407">
                  <c:v>16.690307444136536</c:v>
                </c:pt>
                <c:pt idx="408">
                  <c:v>16.341311371265945</c:v>
                </c:pt>
                <c:pt idx="409">
                  <c:v>16.417435987727483</c:v>
                </c:pt>
                <c:pt idx="410">
                  <c:v>16.469952929642741</c:v>
                </c:pt>
                <c:pt idx="411">
                  <c:v>16.47450585360378</c:v>
                </c:pt>
                <c:pt idx="412">
                  <c:v>16.227220921065317</c:v>
                </c:pt>
                <c:pt idx="413">
                  <c:v>16.157079971884986</c:v>
                </c:pt>
                <c:pt idx="414">
                  <c:v>16.383382673694509</c:v>
                </c:pt>
                <c:pt idx="415">
                  <c:v>16.05240775671513</c:v>
                </c:pt>
                <c:pt idx="416">
                  <c:v>16.442496529482572</c:v>
                </c:pt>
                <c:pt idx="417">
                  <c:v>16.597682013411145</c:v>
                </c:pt>
                <c:pt idx="418">
                  <c:v>16.544867263845926</c:v>
                </c:pt>
                <c:pt idx="419">
                  <c:v>16.359436551816074</c:v>
                </c:pt>
                <c:pt idx="420">
                  <c:v>16.977798744833414</c:v>
                </c:pt>
                <c:pt idx="421">
                  <c:v>16.397140243583415</c:v>
                </c:pt>
                <c:pt idx="422">
                  <c:v>16.247411256383415</c:v>
                </c:pt>
                <c:pt idx="423">
                  <c:v>16.488877702806771</c:v>
                </c:pt>
                <c:pt idx="424">
                  <c:v>16.209516247261316</c:v>
                </c:pt>
                <c:pt idx="425">
                  <c:v>16.245055142136316</c:v>
                </c:pt>
                <c:pt idx="426">
                  <c:v>16.128667610552249</c:v>
                </c:pt>
                <c:pt idx="427">
                  <c:v>16.22156113216646</c:v>
                </c:pt>
                <c:pt idx="428">
                  <c:v>16.584527865886738</c:v>
                </c:pt>
                <c:pt idx="429">
                  <c:v>17.499326354677063</c:v>
                </c:pt>
                <c:pt idx="430">
                  <c:v>16.750283124321133</c:v>
                </c:pt>
                <c:pt idx="431">
                  <c:v>15.348896061248841</c:v>
                </c:pt>
                <c:pt idx="432">
                  <c:v>15.509458059077414</c:v>
                </c:pt>
                <c:pt idx="433">
                  <c:v>14.515884779778013</c:v>
                </c:pt>
                <c:pt idx="434">
                  <c:v>14.414902105778012</c:v>
                </c:pt>
                <c:pt idx="435">
                  <c:v>14.263287876400963</c:v>
                </c:pt>
                <c:pt idx="436">
                  <c:v>14.424038460400963</c:v>
                </c:pt>
                <c:pt idx="437">
                  <c:v>14.471224630339233</c:v>
                </c:pt>
                <c:pt idx="438">
                  <c:v>14.508576454726986</c:v>
                </c:pt>
                <c:pt idx="439">
                  <c:v>14.330179241155559</c:v>
                </c:pt>
                <c:pt idx="440">
                  <c:v>14.464656265206191</c:v>
                </c:pt>
                <c:pt idx="441">
                  <c:v>14.322500176956192</c:v>
                </c:pt>
                <c:pt idx="442">
                  <c:v>14.070927693937323</c:v>
                </c:pt>
                <c:pt idx="443">
                  <c:v>14.501126380752137</c:v>
                </c:pt>
                <c:pt idx="444">
                  <c:v>13.959978685752137</c:v>
                </c:pt>
                <c:pt idx="445">
                  <c:v>13.696726707821105</c:v>
                </c:pt>
                <c:pt idx="446">
                  <c:v>13.587384000376661</c:v>
                </c:pt>
                <c:pt idx="447">
                  <c:v>14.280338505918829</c:v>
                </c:pt>
                <c:pt idx="448">
                  <c:v>14.099388016954975</c:v>
                </c:pt>
                <c:pt idx="449">
                  <c:v>13.808639384563673</c:v>
                </c:pt>
                <c:pt idx="450">
                  <c:v>13.485741886176076</c:v>
                </c:pt>
                <c:pt idx="451">
                  <c:v>13.506332202149409</c:v>
                </c:pt>
                <c:pt idx="452">
                  <c:v>13.33332824309678</c:v>
                </c:pt>
                <c:pt idx="453">
                  <c:v>13.434310720225811</c:v>
                </c:pt>
                <c:pt idx="454">
                  <c:v>13.413773636475812</c:v>
                </c:pt>
                <c:pt idx="455">
                  <c:v>13.379964047315315</c:v>
                </c:pt>
                <c:pt idx="456">
                  <c:v>13.422056586915316</c:v>
                </c:pt>
                <c:pt idx="457">
                  <c:v>13.559141524466339</c:v>
                </c:pt>
                <c:pt idx="458">
                  <c:v>13.789249489661461</c:v>
                </c:pt>
                <c:pt idx="459">
                  <c:v>13.934394648616685</c:v>
                </c:pt>
                <c:pt idx="460">
                  <c:v>14.029050536528965</c:v>
                </c:pt>
                <c:pt idx="461">
                  <c:v>14.181167219913577</c:v>
                </c:pt>
                <c:pt idx="462">
                  <c:v>14.028963797513576</c:v>
                </c:pt>
                <c:pt idx="463">
                  <c:v>14.360257914013577</c:v>
                </c:pt>
                <c:pt idx="464">
                  <c:v>14.816890693286302</c:v>
                </c:pt>
                <c:pt idx="465">
                  <c:v>14.940476383286304</c:v>
                </c:pt>
                <c:pt idx="466">
                  <c:v>14.787167085872513</c:v>
                </c:pt>
                <c:pt idx="467">
                  <c:v>14.81355358253918</c:v>
                </c:pt>
                <c:pt idx="468">
                  <c:v>14.75754903893918</c:v>
                </c:pt>
                <c:pt idx="469">
                  <c:v>14.276739802439183</c:v>
                </c:pt>
                <c:pt idx="470">
                  <c:v>14.341163289460459</c:v>
                </c:pt>
                <c:pt idx="471">
                  <c:v>14.774598092362417</c:v>
                </c:pt>
                <c:pt idx="472">
                  <c:v>15.132214143644472</c:v>
                </c:pt>
                <c:pt idx="473">
                  <c:v>15.3408107972159</c:v>
                </c:pt>
                <c:pt idx="474">
                  <c:v>15.055931185649236</c:v>
                </c:pt>
                <c:pt idx="475">
                  <c:v>15.304770748925833</c:v>
                </c:pt>
                <c:pt idx="476">
                  <c:v>14.741062115882356</c:v>
                </c:pt>
                <c:pt idx="477">
                  <c:v>14.684212777274109</c:v>
                </c:pt>
                <c:pt idx="478">
                  <c:v>14.175473478274107</c:v>
                </c:pt>
                <c:pt idx="479">
                  <c:v>14.511099242674106</c:v>
                </c:pt>
                <c:pt idx="480">
                  <c:v>14.496572462234107</c:v>
                </c:pt>
                <c:pt idx="481">
                  <c:v>14.483010263634107</c:v>
                </c:pt>
                <c:pt idx="482">
                  <c:v>14.483010263634107</c:v>
                </c:pt>
                <c:pt idx="483">
                  <c:v>14.472211041739371</c:v>
                </c:pt>
                <c:pt idx="484">
                  <c:v>14.716004450362323</c:v>
                </c:pt>
                <c:pt idx="485">
                  <c:v>14.537483329562322</c:v>
                </c:pt>
                <c:pt idx="486">
                  <c:v>14.390445909716171</c:v>
                </c:pt>
                <c:pt idx="487">
                  <c:v>14.689846507851305</c:v>
                </c:pt>
                <c:pt idx="488">
                  <c:v>14.608321217133659</c:v>
                </c:pt>
                <c:pt idx="489">
                  <c:v>14.431602591449449</c:v>
                </c:pt>
                <c:pt idx="490">
                  <c:v>14.237684961834065</c:v>
                </c:pt>
                <c:pt idx="491">
                  <c:v>13.719234130160594</c:v>
                </c:pt>
                <c:pt idx="492">
                  <c:v>14.242645367337065</c:v>
                </c:pt>
                <c:pt idx="493">
                  <c:v>14.301512218516169</c:v>
                </c:pt>
                <c:pt idx="494">
                  <c:v>14.327182975062074</c:v>
                </c:pt>
                <c:pt idx="495">
                  <c:v>14.676768170062074</c:v>
                </c:pt>
                <c:pt idx="496">
                  <c:v>14.597514767502075</c:v>
                </c:pt>
                <c:pt idx="497">
                  <c:v>14.597514767502073</c:v>
                </c:pt>
                <c:pt idx="498">
                  <c:v>14.528440665902075</c:v>
                </c:pt>
                <c:pt idx="499">
                  <c:v>14.80907260068256</c:v>
                </c:pt>
                <c:pt idx="500">
                  <c:v>15.097391289548542</c:v>
                </c:pt>
                <c:pt idx="501">
                  <c:v>14.941092913798542</c:v>
                </c:pt>
                <c:pt idx="502">
                  <c:v>15.320302372173543</c:v>
                </c:pt>
                <c:pt idx="503">
                  <c:v>15.143027097373542</c:v>
                </c:pt>
                <c:pt idx="504">
                  <c:v>14.950254304626291</c:v>
                </c:pt>
                <c:pt idx="505">
                  <c:v>14.788907238200059</c:v>
                </c:pt>
                <c:pt idx="506">
                  <c:v>14.584008492621111</c:v>
                </c:pt>
                <c:pt idx="507">
                  <c:v>14.624644843516633</c:v>
                </c:pt>
                <c:pt idx="508">
                  <c:v>14.332446717516632</c:v>
                </c:pt>
                <c:pt idx="509">
                  <c:v>14.071656487648706</c:v>
                </c:pt>
                <c:pt idx="510">
                  <c:v>14.216629278349927</c:v>
                </c:pt>
                <c:pt idx="511">
                  <c:v>14.006958187158146</c:v>
                </c:pt>
                <c:pt idx="512">
                  <c:v>14.775958250552881</c:v>
                </c:pt>
                <c:pt idx="513">
                  <c:v>15.139060843723611</c:v>
                </c:pt>
                <c:pt idx="514">
                  <c:v>15.433199453711849</c:v>
                </c:pt>
                <c:pt idx="515">
                  <c:v>15.334763150075485</c:v>
                </c:pt>
                <c:pt idx="516">
                  <c:v>15.425289015214373</c:v>
                </c:pt>
                <c:pt idx="517">
                  <c:v>15.414919860233981</c:v>
                </c:pt>
                <c:pt idx="518">
                  <c:v>15.225506153091127</c:v>
                </c:pt>
                <c:pt idx="519">
                  <c:v>15.473874776535567</c:v>
                </c:pt>
                <c:pt idx="520">
                  <c:v>15.351974849335566</c:v>
                </c:pt>
                <c:pt idx="521">
                  <c:v>15.935080790384346</c:v>
                </c:pt>
                <c:pt idx="522">
                  <c:v>15.472381581560814</c:v>
                </c:pt>
                <c:pt idx="523">
                  <c:v>15.617451891269148</c:v>
                </c:pt>
                <c:pt idx="524">
                  <c:v>15.083781447197293</c:v>
                </c:pt>
                <c:pt idx="525">
                  <c:v>15.897086698213959</c:v>
                </c:pt>
                <c:pt idx="526">
                  <c:v>15.488549533591442</c:v>
                </c:pt>
                <c:pt idx="527">
                  <c:v>16.195959488222169</c:v>
                </c:pt>
                <c:pt idx="528">
                  <c:v>16.440635372737326</c:v>
                </c:pt>
                <c:pt idx="529">
                  <c:v>17.138417163469029</c:v>
                </c:pt>
                <c:pt idx="530">
                  <c:v>16.350491561262274</c:v>
                </c:pt>
                <c:pt idx="531">
                  <c:v>16.41115688196227</c:v>
                </c:pt>
                <c:pt idx="532">
                  <c:v>17.64294005276227</c:v>
                </c:pt>
                <c:pt idx="533">
                  <c:v>16.626188681246695</c:v>
                </c:pt>
                <c:pt idx="534">
                  <c:v>15.961617034766698</c:v>
                </c:pt>
                <c:pt idx="535">
                  <c:v>16.457198795201478</c:v>
                </c:pt>
                <c:pt idx="536">
                  <c:v>15.266926253201479</c:v>
                </c:pt>
                <c:pt idx="537">
                  <c:v>14.91658134596744</c:v>
                </c:pt>
                <c:pt idx="538">
                  <c:v>14.304716662796707</c:v>
                </c:pt>
                <c:pt idx="539">
                  <c:v>14.603465333348431</c:v>
                </c:pt>
                <c:pt idx="540">
                  <c:v>15.647942248860929</c:v>
                </c:pt>
                <c:pt idx="541">
                  <c:v>14.796258211814596</c:v>
                </c:pt>
                <c:pt idx="542">
                  <c:v>14.445528057528882</c:v>
                </c:pt>
                <c:pt idx="543">
                  <c:v>14.691345535889537</c:v>
                </c:pt>
                <c:pt idx="544">
                  <c:v>14.865459042402655</c:v>
                </c:pt>
                <c:pt idx="545">
                  <c:v>14.279892231552656</c:v>
                </c:pt>
                <c:pt idx="546">
                  <c:v>14.06219091921932</c:v>
                </c:pt>
                <c:pt idx="547">
                  <c:v>13.663730789697583</c:v>
                </c:pt>
                <c:pt idx="548">
                  <c:v>14.084392868063922</c:v>
                </c:pt>
                <c:pt idx="549">
                  <c:v>13.462800889558761</c:v>
                </c:pt>
                <c:pt idx="550">
                  <c:v>13.537252113020299</c:v>
                </c:pt>
                <c:pt idx="551">
                  <c:v>13.044766456901652</c:v>
                </c:pt>
                <c:pt idx="552">
                  <c:v>12.701943034044509</c:v>
                </c:pt>
                <c:pt idx="553">
                  <c:v>12.974318722192656</c:v>
                </c:pt>
                <c:pt idx="554">
                  <c:v>13.175866571384152</c:v>
                </c:pt>
                <c:pt idx="555">
                  <c:v>13.2547720560183</c:v>
                </c:pt>
                <c:pt idx="556">
                  <c:v>13.3680037768664</c:v>
                </c:pt>
                <c:pt idx="557">
                  <c:v>13.392265763058184</c:v>
                </c:pt>
                <c:pt idx="558">
                  <c:v>13.280346487891519</c:v>
                </c:pt>
                <c:pt idx="559">
                  <c:v>13.098922596907911</c:v>
                </c:pt>
                <c:pt idx="560">
                  <c:v>12.815452484241247</c:v>
                </c:pt>
                <c:pt idx="561">
                  <c:v>12.824699551901146</c:v>
                </c:pt>
                <c:pt idx="562">
                  <c:v>14.03102121400641</c:v>
                </c:pt>
                <c:pt idx="563">
                  <c:v>16.112283959619102</c:v>
                </c:pt>
                <c:pt idx="564">
                  <c:v>12.580069876370375</c:v>
                </c:pt>
                <c:pt idx="565">
                  <c:v>12.602962765552194</c:v>
                </c:pt>
                <c:pt idx="566">
                  <c:v>12.759750491648198</c:v>
                </c:pt>
                <c:pt idx="567">
                  <c:v>12.579824961702254</c:v>
                </c:pt>
                <c:pt idx="568">
                  <c:v>12.830291400001576</c:v>
                </c:pt>
                <c:pt idx="569">
                  <c:v>12.298686555330606</c:v>
                </c:pt>
                <c:pt idx="570">
                  <c:v>12.200558731449251</c:v>
                </c:pt>
                <c:pt idx="571">
                  <c:v>11.659566715839492</c:v>
                </c:pt>
                <c:pt idx="572">
                  <c:v>11.64831766872609</c:v>
                </c:pt>
                <c:pt idx="573">
                  <c:v>11.386853908493768</c:v>
                </c:pt>
                <c:pt idx="574">
                  <c:v>11.83629579751816</c:v>
                </c:pt>
                <c:pt idx="575">
                  <c:v>11.967719602902774</c:v>
                </c:pt>
                <c:pt idx="576">
                  <c:v>11.939579494144153</c:v>
                </c:pt>
                <c:pt idx="577">
                  <c:v>12.055721911024154</c:v>
                </c:pt>
                <c:pt idx="578">
                  <c:v>11.821624635181019</c:v>
                </c:pt>
                <c:pt idx="579">
                  <c:v>11.624786262699271</c:v>
                </c:pt>
                <c:pt idx="580">
                  <c:v>11.806280229053254</c:v>
                </c:pt>
                <c:pt idx="581">
                  <c:v>12.275080092653253</c:v>
                </c:pt>
                <c:pt idx="582">
                  <c:v>12.128055839974008</c:v>
                </c:pt>
                <c:pt idx="583">
                  <c:v>12.702729763862893</c:v>
                </c:pt>
                <c:pt idx="584">
                  <c:v>12.465296360391195</c:v>
                </c:pt>
                <c:pt idx="585">
                  <c:v>12.017374363962617</c:v>
                </c:pt>
                <c:pt idx="586">
                  <c:v>12.747724607812618</c:v>
                </c:pt>
                <c:pt idx="587">
                  <c:v>12.636798945507531</c:v>
                </c:pt>
                <c:pt idx="588">
                  <c:v>13.391204430185502</c:v>
                </c:pt>
                <c:pt idx="589">
                  <c:v>14.435587917221772</c:v>
                </c:pt>
                <c:pt idx="590">
                  <c:v>13.997227376082531</c:v>
                </c:pt>
                <c:pt idx="591">
                  <c:v>12.622015479205173</c:v>
                </c:pt>
                <c:pt idx="592">
                  <c:v>12.134378278869173</c:v>
                </c:pt>
                <c:pt idx="593">
                  <c:v>12.444103885596448</c:v>
                </c:pt>
                <c:pt idx="594">
                  <c:v>11.882736775450814</c:v>
                </c:pt>
                <c:pt idx="595">
                  <c:v>11.604395542450817</c:v>
                </c:pt>
                <c:pt idx="596">
                  <c:v>12.402108574264572</c:v>
                </c:pt>
                <c:pt idx="597">
                  <c:v>12.430575889488866</c:v>
                </c:pt>
                <c:pt idx="598">
                  <c:v>12.515565166911943</c:v>
                </c:pt>
                <c:pt idx="599">
                  <c:v>12.26387214537348</c:v>
                </c:pt>
                <c:pt idx="600">
                  <c:v>11.899791829136367</c:v>
                </c:pt>
                <c:pt idx="601">
                  <c:v>11.857447827841284</c:v>
                </c:pt>
                <c:pt idx="602">
                  <c:v>12.446440289841284</c:v>
                </c:pt>
                <c:pt idx="603">
                  <c:v>12.22604616786376</c:v>
                </c:pt>
                <c:pt idx="604">
                  <c:v>11.915578646495334</c:v>
                </c:pt>
                <c:pt idx="605">
                  <c:v>11.633206455408576</c:v>
                </c:pt>
                <c:pt idx="606">
                  <c:v>10.730131484101907</c:v>
                </c:pt>
                <c:pt idx="607">
                  <c:v>11.239899261315388</c:v>
                </c:pt>
                <c:pt idx="608">
                  <c:v>10.438336142074652</c:v>
                </c:pt>
                <c:pt idx="609">
                  <c:v>10.270417099821488</c:v>
                </c:pt>
                <c:pt idx="610">
                  <c:v>9.8753186704332556</c:v>
                </c:pt>
                <c:pt idx="611">
                  <c:v>10.72827491864378</c:v>
                </c:pt>
                <c:pt idx="612">
                  <c:v>9.5998977840187809</c:v>
                </c:pt>
                <c:pt idx="613">
                  <c:v>8.3177613592580144</c:v>
                </c:pt>
                <c:pt idx="614">
                  <c:v>9.9409345236858755</c:v>
                </c:pt>
                <c:pt idx="615">
                  <c:v>9.986828481047576</c:v>
                </c:pt>
                <c:pt idx="616">
                  <c:v>9.5669237721586882</c:v>
                </c:pt>
                <c:pt idx="617">
                  <c:v>9.5074000224990023</c:v>
                </c:pt>
                <c:pt idx="618">
                  <c:v>9.4659671579434477</c:v>
                </c:pt>
                <c:pt idx="619">
                  <c:v>9.0353489388426098</c:v>
                </c:pt>
                <c:pt idx="620">
                  <c:v>8.8412386694267742</c:v>
                </c:pt>
                <c:pt idx="621">
                  <c:v>9.2106875073527004</c:v>
                </c:pt>
                <c:pt idx="622">
                  <c:v>8.9376995801009507</c:v>
                </c:pt>
                <c:pt idx="623">
                  <c:v>9.2851094207646661</c:v>
                </c:pt>
                <c:pt idx="624">
                  <c:v>9.5450946450503853</c:v>
                </c:pt>
                <c:pt idx="625">
                  <c:v>9.7227679575071733</c:v>
                </c:pt>
                <c:pt idx="626">
                  <c:v>9.3324136158156303</c:v>
                </c:pt>
                <c:pt idx="627">
                  <c:v>9.2268181204406279</c:v>
                </c:pt>
                <c:pt idx="628">
                  <c:v>9.1848155411644381</c:v>
                </c:pt>
                <c:pt idx="629">
                  <c:v>9.755855102923837</c:v>
                </c:pt>
                <c:pt idx="630">
                  <c:v>9.6310010560630772</c:v>
                </c:pt>
                <c:pt idx="631">
                  <c:v>9.6776589171645249</c:v>
                </c:pt>
                <c:pt idx="632">
                  <c:v>11.568139121391418</c:v>
                </c:pt>
                <c:pt idx="633">
                  <c:v>11.118374851073048</c:v>
                </c:pt>
                <c:pt idx="634">
                  <c:v>10.308822401502706</c:v>
                </c:pt>
                <c:pt idx="635">
                  <c:v>11.309018194753826</c:v>
                </c:pt>
                <c:pt idx="636">
                  <c:v>10.430892183795846</c:v>
                </c:pt>
                <c:pt idx="637">
                  <c:v>10.290987850291909</c:v>
                </c:pt>
                <c:pt idx="638">
                  <c:v>10.865763770429316</c:v>
                </c:pt>
                <c:pt idx="639">
                  <c:v>10.175596389429312</c:v>
                </c:pt>
                <c:pt idx="640">
                  <c:v>9.8317343409897529</c:v>
                </c:pt>
                <c:pt idx="641">
                  <c:v>9.8910270927764188</c:v>
                </c:pt>
                <c:pt idx="642">
                  <c:v>9.7984344675856629</c:v>
                </c:pt>
                <c:pt idx="643">
                  <c:v>8.6895645786215923</c:v>
                </c:pt>
                <c:pt idx="644">
                  <c:v>8.4949090201377224</c:v>
                </c:pt>
                <c:pt idx="645">
                  <c:v>8.2740146711651175</c:v>
                </c:pt>
                <c:pt idx="646">
                  <c:v>8.0944178558820994</c:v>
                </c:pt>
                <c:pt idx="647">
                  <c:v>8.0821750893411135</c:v>
                </c:pt>
                <c:pt idx="648">
                  <c:v>8.6055364095472999</c:v>
                </c:pt>
                <c:pt idx="649">
                  <c:v>8.6714083550287793</c:v>
                </c:pt>
                <c:pt idx="650">
                  <c:v>8.3883538395939965</c:v>
                </c:pt>
                <c:pt idx="651">
                  <c:v>8.5192665630014055</c:v>
                </c:pt>
                <c:pt idx="652">
                  <c:v>8.1438288945156909</c:v>
                </c:pt>
                <c:pt idx="653">
                  <c:v>8.3303338404881675</c:v>
                </c:pt>
                <c:pt idx="654">
                  <c:v>8.3115434923420999</c:v>
                </c:pt>
                <c:pt idx="655">
                  <c:v>8.3156164843054015</c:v>
                </c:pt>
                <c:pt idx="656">
                  <c:v>8.3836349052887371</c:v>
                </c:pt>
                <c:pt idx="657">
                  <c:v>8.3511038768271995</c:v>
                </c:pt>
                <c:pt idx="658">
                  <c:v>8.9262425123705089</c:v>
                </c:pt>
                <c:pt idx="659">
                  <c:v>8.808912564488617</c:v>
                </c:pt>
                <c:pt idx="660">
                  <c:v>8.5756128580600439</c:v>
                </c:pt>
                <c:pt idx="661">
                  <c:v>8.9435878350793985</c:v>
                </c:pt>
                <c:pt idx="662">
                  <c:v>8.4764363259929798</c:v>
                </c:pt>
                <c:pt idx="663">
                  <c:v>8.4837662211596445</c:v>
                </c:pt>
                <c:pt idx="664">
                  <c:v>8.4025689962616852</c:v>
                </c:pt>
                <c:pt idx="665">
                  <c:v>8.4884688713104666</c:v>
                </c:pt>
                <c:pt idx="666">
                  <c:v>8.6135722847650111</c:v>
                </c:pt>
                <c:pt idx="667">
                  <c:v>8.2201747576880884</c:v>
                </c:pt>
                <c:pt idx="668">
                  <c:v>8.1423494878861078</c:v>
                </c:pt>
                <c:pt idx="669">
                  <c:v>7.9634853638794869</c:v>
                </c:pt>
                <c:pt idx="670">
                  <c:v>8.1607508878918331</c:v>
                </c:pt>
                <c:pt idx="671">
                  <c:v>7.9050765350045085</c:v>
                </c:pt>
                <c:pt idx="672">
                  <c:v>8.2645210492902219</c:v>
                </c:pt>
                <c:pt idx="673">
                  <c:v>8.1710608347767089</c:v>
                </c:pt>
                <c:pt idx="674">
                  <c:v>8.0735007238258891</c:v>
                </c:pt>
                <c:pt idx="675">
                  <c:v>7.6585547152105038</c:v>
                </c:pt>
                <c:pt idx="676">
                  <c:v>7.2165545103844169</c:v>
                </c:pt>
                <c:pt idx="677">
                  <c:v>7.475042462420781</c:v>
                </c:pt>
                <c:pt idx="678">
                  <c:v>7.3953501767028316</c:v>
                </c:pt>
                <c:pt idx="679">
                  <c:v>7.6188423608318638</c:v>
                </c:pt>
                <c:pt idx="680">
                  <c:v>7.1906327751521477</c:v>
                </c:pt>
                <c:pt idx="681">
                  <c:v>6.940625235129926</c:v>
                </c:pt>
                <c:pt idx="682">
                  <c:v>6.7704516460145419</c:v>
                </c:pt>
                <c:pt idx="683">
                  <c:v>6.910725456073731</c:v>
                </c:pt>
                <c:pt idx="684">
                  <c:v>7.0708880647816956</c:v>
                </c:pt>
                <c:pt idx="685">
                  <c:v>7.3532421070674099</c:v>
                </c:pt>
                <c:pt idx="686">
                  <c:v>6.3770473117040876</c:v>
                </c:pt>
                <c:pt idx="687">
                  <c:v>7.7279463912948918</c:v>
                </c:pt>
                <c:pt idx="688">
                  <c:v>7.5736354182015067</c:v>
                </c:pt>
                <c:pt idx="689">
                  <c:v>7.4654464443234563</c:v>
                </c:pt>
                <c:pt idx="690">
                  <c:v>7.2670905670209347</c:v>
                </c:pt>
                <c:pt idx="691">
                  <c:v>7.7278473026547374</c:v>
                </c:pt>
                <c:pt idx="692">
                  <c:v>8.2413759277073684</c:v>
                </c:pt>
                <c:pt idx="693">
                  <c:v>8.2591884977396255</c:v>
                </c:pt>
                <c:pt idx="694">
                  <c:v>8.3998132571650395</c:v>
                </c:pt>
                <c:pt idx="695">
                  <c:v>7.860496798474899</c:v>
                </c:pt>
                <c:pt idx="696">
                  <c:v>7.8983538440093817</c:v>
                </c:pt>
                <c:pt idx="697">
                  <c:v>7.601942547993997</c:v>
                </c:pt>
                <c:pt idx="698">
                  <c:v>7.7043446782866809</c:v>
                </c:pt>
                <c:pt idx="699">
                  <c:v>7.9302116366664279</c:v>
                </c:pt>
                <c:pt idx="700">
                  <c:v>7.8424781284121918</c:v>
                </c:pt>
                <c:pt idx="701">
                  <c:v>7.5523189604502674</c:v>
                </c:pt>
                <c:pt idx="702">
                  <c:v>7.6624282515631208</c:v>
                </c:pt>
                <c:pt idx="703">
                  <c:v>8.4895501231769117</c:v>
                </c:pt>
                <c:pt idx="704">
                  <c:v>8.7612993417865379</c:v>
                </c:pt>
                <c:pt idx="705">
                  <c:v>8.4396311101919412</c:v>
                </c:pt>
                <c:pt idx="706">
                  <c:v>8.605994988890572</c:v>
                </c:pt>
                <c:pt idx="707">
                  <c:v>8.6791953793434011</c:v>
                </c:pt>
                <c:pt idx="708">
                  <c:v>8.5344643831694889</c:v>
                </c:pt>
                <c:pt idx="709">
                  <c:v>9.1354984451737078</c:v>
                </c:pt>
                <c:pt idx="710">
                  <c:v>8.3124145427730927</c:v>
                </c:pt>
                <c:pt idx="711">
                  <c:v>8.0373429378871624</c:v>
                </c:pt>
                <c:pt idx="712">
                  <c:v>8.0181892558151873</c:v>
                </c:pt>
                <c:pt idx="713">
                  <c:v>8.6213526257196929</c:v>
                </c:pt>
                <c:pt idx="714">
                  <c:v>7.703702786360469</c:v>
                </c:pt>
                <c:pt idx="715">
                  <c:v>7.5745221518366597</c:v>
                </c:pt>
                <c:pt idx="716">
                  <c:v>7.0785147114801132</c:v>
                </c:pt>
                <c:pt idx="717">
                  <c:v>6.5976524640954954</c:v>
                </c:pt>
                <c:pt idx="718">
                  <c:v>6.2721772244090284</c:v>
                </c:pt>
                <c:pt idx="719">
                  <c:v>6.2308005330983205</c:v>
                </c:pt>
                <c:pt idx="720">
                  <c:v>6.5336478252700392</c:v>
                </c:pt>
                <c:pt idx="721">
                  <c:v>6.3378630544915593</c:v>
                </c:pt>
                <c:pt idx="722">
                  <c:v>5.9998016748425531</c:v>
                </c:pt>
                <c:pt idx="723">
                  <c:v>5.6034541552654593</c:v>
                </c:pt>
                <c:pt idx="724">
                  <c:v>5.4803471204049004</c:v>
                </c:pt>
                <c:pt idx="725">
                  <c:v>5.0377560382581104</c:v>
                </c:pt>
                <c:pt idx="726">
                  <c:v>4.9125855095914437</c:v>
                </c:pt>
                <c:pt idx="727">
                  <c:v>4.81545729763622</c:v>
                </c:pt>
                <c:pt idx="728">
                  <c:v>4.8351385239807572</c:v>
                </c:pt>
                <c:pt idx="729">
                  <c:v>4.6954038412898491</c:v>
                </c:pt>
                <c:pt idx="730">
                  <c:v>4.7248788439925526</c:v>
                </c:pt>
                <c:pt idx="731">
                  <c:v>4.4965804208469207</c:v>
                </c:pt>
                <c:pt idx="732">
                  <c:v>4.4398147067728466</c:v>
                </c:pt>
                <c:pt idx="733">
                  <c:v>4.4033163759217819</c:v>
                </c:pt>
                <c:pt idx="734">
                  <c:v>4.3465741514511951</c:v>
                </c:pt>
                <c:pt idx="735">
                  <c:v>4.3046923617369091</c:v>
                </c:pt>
                <c:pt idx="736">
                  <c:v>4.3619803939654815</c:v>
                </c:pt>
                <c:pt idx="737">
                  <c:v>4.3453478441125393</c:v>
                </c:pt>
                <c:pt idx="738">
                  <c:v>3.8290115856883964</c:v>
                </c:pt>
                <c:pt idx="739">
                  <c:v>3.7668569431487136</c:v>
                </c:pt>
                <c:pt idx="740">
                  <c:v>3.8947650475184612</c:v>
                </c:pt>
                <c:pt idx="741">
                  <c:v>4.0878618657389341</c:v>
                </c:pt>
                <c:pt idx="742">
                  <c:v>3.686153053842383</c:v>
                </c:pt>
                <c:pt idx="743">
                  <c:v>3.3287478659056733</c:v>
                </c:pt>
                <c:pt idx="744">
                  <c:v>2.7354658391688322</c:v>
                </c:pt>
                <c:pt idx="745">
                  <c:v>2.408551911168832</c:v>
                </c:pt>
                <c:pt idx="746">
                  <c:v>2.4270073665188323</c:v>
                </c:pt>
                <c:pt idx="747">
                  <c:v>2.4328139266767272</c:v>
                </c:pt>
                <c:pt idx="748">
                  <c:v>2.5567572150817894</c:v>
                </c:pt>
                <c:pt idx="749">
                  <c:v>2.4308788010817897</c:v>
                </c:pt>
                <c:pt idx="750">
                  <c:v>2.5061716779865519</c:v>
                </c:pt>
                <c:pt idx="751">
                  <c:v>2.433668312167403</c:v>
                </c:pt>
                <c:pt idx="752">
                  <c:v>2.0924667202382694</c:v>
                </c:pt>
                <c:pt idx="753">
                  <c:v>1.9341240658382697</c:v>
                </c:pt>
                <c:pt idx="754">
                  <c:v>1.8990556499007696</c:v>
                </c:pt>
                <c:pt idx="755">
                  <c:v>1.8612791048419459</c:v>
                </c:pt>
                <c:pt idx="756">
                  <c:v>1.5973714354472088</c:v>
                </c:pt>
                <c:pt idx="757">
                  <c:v>1.343209897328788</c:v>
                </c:pt>
                <c:pt idx="758">
                  <c:v>1.4546733563083789</c:v>
                </c:pt>
                <c:pt idx="759">
                  <c:v>1.4116691979447418</c:v>
                </c:pt>
                <c:pt idx="760">
                  <c:v>1.4116691979447418</c:v>
                </c:pt>
                <c:pt idx="761">
                  <c:v>1.3863476744532155</c:v>
                </c:pt>
                <c:pt idx="762">
                  <c:v>1.3709293252358241</c:v>
                </c:pt>
                <c:pt idx="763">
                  <c:v>1.2921938633979857</c:v>
                </c:pt>
                <c:pt idx="764">
                  <c:v>1.4489724735703997</c:v>
                </c:pt>
                <c:pt idx="765">
                  <c:v>1.5293318218633292</c:v>
                </c:pt>
                <c:pt idx="766">
                  <c:v>1.4378597458633293</c:v>
                </c:pt>
                <c:pt idx="767">
                  <c:v>1.5729072312170715</c:v>
                </c:pt>
                <c:pt idx="768">
                  <c:v>1.4296808067504048</c:v>
                </c:pt>
                <c:pt idx="769">
                  <c:v>1.5131305762533289</c:v>
                </c:pt>
                <c:pt idx="770">
                  <c:v>1.4216692748644395</c:v>
                </c:pt>
                <c:pt idx="771">
                  <c:v>1.4000601191267346</c:v>
                </c:pt>
                <c:pt idx="772">
                  <c:v>1.2339735919838777</c:v>
                </c:pt>
                <c:pt idx="773">
                  <c:v>1.3268251008472924</c:v>
                </c:pt>
                <c:pt idx="774">
                  <c:v>1.4417381429193641</c:v>
                </c:pt>
                <c:pt idx="775">
                  <c:v>1.4424378782774425</c:v>
                </c:pt>
                <c:pt idx="776">
                  <c:v>1.602589378679049</c:v>
                </c:pt>
                <c:pt idx="777">
                  <c:v>1.5399928737441375</c:v>
                </c:pt>
                <c:pt idx="778">
                  <c:v>1.7324551654445779</c:v>
                </c:pt>
                <c:pt idx="779">
                  <c:v>1.9194192743900318</c:v>
                </c:pt>
                <c:pt idx="780">
                  <c:v>3.025715997745587</c:v>
                </c:pt>
                <c:pt idx="781">
                  <c:v>3.6794147324344095</c:v>
                </c:pt>
                <c:pt idx="782">
                  <c:v>3.9700880503396747</c:v>
                </c:pt>
                <c:pt idx="783">
                  <c:v>1.8752671220051462</c:v>
                </c:pt>
                <c:pt idx="784">
                  <c:v>1.3135697782671003</c:v>
                </c:pt>
                <c:pt idx="785">
                  <c:v>1.0525767459931277</c:v>
                </c:pt>
                <c:pt idx="786">
                  <c:v>1.3224853896004594</c:v>
                </c:pt>
                <c:pt idx="787">
                  <c:v>1.0094516145589656</c:v>
                </c:pt>
                <c:pt idx="788">
                  <c:v>0.98965443568662503</c:v>
                </c:pt>
                <c:pt idx="789">
                  <c:v>0.95750708464924184</c:v>
                </c:pt>
                <c:pt idx="790">
                  <c:v>0.97337397609539555</c:v>
                </c:pt>
                <c:pt idx="791">
                  <c:v>0.95406223907721377</c:v>
                </c:pt>
                <c:pt idx="792">
                  <c:v>0.98053386207721371</c:v>
                </c:pt>
                <c:pt idx="793">
                  <c:v>0.84631508297261082</c:v>
                </c:pt>
                <c:pt idx="794">
                  <c:v>0.83659118650202258</c:v>
                </c:pt>
                <c:pt idx="795">
                  <c:v>0.76361221215551811</c:v>
                </c:pt>
                <c:pt idx="796">
                  <c:v>0.85075777368077066</c:v>
                </c:pt>
                <c:pt idx="797">
                  <c:v>0.84670139697901614</c:v>
                </c:pt>
                <c:pt idx="798">
                  <c:v>0.85322303039870528</c:v>
                </c:pt>
                <c:pt idx="799">
                  <c:v>0.85882043289870535</c:v>
                </c:pt>
                <c:pt idx="800">
                  <c:v>0.90941597980779643</c:v>
                </c:pt>
                <c:pt idx="801">
                  <c:v>0.92534322597602081</c:v>
                </c:pt>
                <c:pt idx="802">
                  <c:v>0.95724382283316356</c:v>
                </c:pt>
                <c:pt idx="803">
                  <c:v>0.97796826908689471</c:v>
                </c:pt>
                <c:pt idx="804">
                  <c:v>0.90355148384880013</c:v>
                </c:pt>
                <c:pt idx="805">
                  <c:v>0.94562725599948494</c:v>
                </c:pt>
                <c:pt idx="806">
                  <c:v>0.96956369028782863</c:v>
                </c:pt>
                <c:pt idx="807">
                  <c:v>0.99654331039893995</c:v>
                </c:pt>
                <c:pt idx="808">
                  <c:v>0.94204841381666138</c:v>
                </c:pt>
                <c:pt idx="809">
                  <c:v>0.95807971109557277</c:v>
                </c:pt>
                <c:pt idx="810">
                  <c:v>0.90603732763403388</c:v>
                </c:pt>
                <c:pt idx="811">
                  <c:v>0.87675487377422057</c:v>
                </c:pt>
                <c:pt idx="812">
                  <c:v>0.94537430195603855</c:v>
                </c:pt>
                <c:pt idx="813">
                  <c:v>0.97447885538579071</c:v>
                </c:pt>
                <c:pt idx="814">
                  <c:v>0.94162839143842225</c:v>
                </c:pt>
                <c:pt idx="815">
                  <c:v>0.88583713504307326</c:v>
                </c:pt>
                <c:pt idx="816">
                  <c:v>0.87046622304307297</c:v>
                </c:pt>
                <c:pt idx="817">
                  <c:v>0.81078010715920168</c:v>
                </c:pt>
                <c:pt idx="818">
                  <c:v>0.78846950595920162</c:v>
                </c:pt>
                <c:pt idx="819">
                  <c:v>0.77035946767348717</c:v>
                </c:pt>
                <c:pt idx="820">
                  <c:v>0.76493207934916252</c:v>
                </c:pt>
                <c:pt idx="821">
                  <c:v>0.77791836132477221</c:v>
                </c:pt>
                <c:pt idx="822">
                  <c:v>0.81100540301750956</c:v>
                </c:pt>
                <c:pt idx="823">
                  <c:v>0.79524586159645694</c:v>
                </c:pt>
                <c:pt idx="824">
                  <c:v>0.70496909502268668</c:v>
                </c:pt>
                <c:pt idx="825">
                  <c:v>0.83148635710185315</c:v>
                </c:pt>
                <c:pt idx="826">
                  <c:v>0.54606800323821658</c:v>
                </c:pt>
                <c:pt idx="827">
                  <c:v>0.48942206336091609</c:v>
                </c:pt>
                <c:pt idx="828">
                  <c:v>0.57643380066280259</c:v>
                </c:pt>
                <c:pt idx="829">
                  <c:v>0.64527573900866753</c:v>
                </c:pt>
                <c:pt idx="830">
                  <c:v>0.64283554373433138</c:v>
                </c:pt>
                <c:pt idx="831">
                  <c:v>0.59835343814372721</c:v>
                </c:pt>
                <c:pt idx="832">
                  <c:v>0.58026581116333509</c:v>
                </c:pt>
                <c:pt idx="833">
                  <c:v>0.65287073276397378</c:v>
                </c:pt>
                <c:pt idx="834">
                  <c:v>0.55797012530942836</c:v>
                </c:pt>
                <c:pt idx="835">
                  <c:v>0.59422655383884015</c:v>
                </c:pt>
                <c:pt idx="836">
                  <c:v>0.72583660381717985</c:v>
                </c:pt>
                <c:pt idx="837">
                  <c:v>0.69169015009674939</c:v>
                </c:pt>
                <c:pt idx="838">
                  <c:v>0.76535660373759462</c:v>
                </c:pt>
                <c:pt idx="839">
                  <c:v>0.60878337061819165</c:v>
                </c:pt>
                <c:pt idx="840">
                  <c:v>0.75498162470910102</c:v>
                </c:pt>
                <c:pt idx="841">
                  <c:v>0.45946224130573921</c:v>
                </c:pt>
                <c:pt idx="842">
                  <c:v>0.39818744406823919</c:v>
                </c:pt>
                <c:pt idx="843">
                  <c:v>0.38654808787823874</c:v>
                </c:pt>
                <c:pt idx="844">
                  <c:v>0.3492301268714128</c:v>
                </c:pt>
                <c:pt idx="845">
                  <c:v>0.38476084418720219</c:v>
                </c:pt>
                <c:pt idx="846">
                  <c:v>0.30715440018720214</c:v>
                </c:pt>
                <c:pt idx="847">
                  <c:v>0.20345682611953295</c:v>
                </c:pt>
                <c:pt idx="848">
                  <c:v>0.18529326485637501</c:v>
                </c:pt>
                <c:pt idx="849">
                  <c:v>0.16094355877347347</c:v>
                </c:pt>
                <c:pt idx="850">
                  <c:v>0.2123586792363556</c:v>
                </c:pt>
                <c:pt idx="851">
                  <c:v>0.14827201546835556</c:v>
                </c:pt>
                <c:pt idx="852">
                  <c:v>7.3661715620254212E-2</c:v>
                </c:pt>
                <c:pt idx="853">
                  <c:v>8.5480258957270766E-2</c:v>
                </c:pt>
                <c:pt idx="854">
                  <c:v>3.978968562823855E-2</c:v>
                </c:pt>
                <c:pt idx="855">
                  <c:v>9.2103061728394942E-3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10-40A8-81AD-9B6F49C505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016032"/>
        <c:axId val="144015616"/>
      </c:lineChart>
      <c:dateAx>
        <c:axId val="144016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15616"/>
        <c:crosses val="autoZero"/>
        <c:auto val="1"/>
        <c:lblOffset val="100"/>
        <c:baseTimeUnit val="days"/>
      </c:dateAx>
      <c:valAx>
        <c:axId val="14401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9430E43-717D-450C-9979-561D5345EC78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49FE67-5D20-4D50-B135-AB221C9A5E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0.29293000000000002</v>
      </c>
      <c r="D2" s="4">
        <f>MIN(D3:D1912)</f>
        <v>7.1199999999999996E-3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8</v>
      </c>
    </row>
    <row r="5" spans="1:20" x14ac:dyDescent="0.25">
      <c r="A5" s="5">
        <v>44588</v>
      </c>
      <c r="B5">
        <v>6.5519999999999995E-2</v>
      </c>
      <c r="C5">
        <v>6.6059999999999994E-2</v>
      </c>
      <c r="D5">
        <v>6.3880000000000006E-2</v>
      </c>
      <c r="E5">
        <v>6.3960000000000003E-2</v>
      </c>
      <c r="F5">
        <v>10549151.5</v>
      </c>
      <c r="G5">
        <v>6.3960000000000003E-2</v>
      </c>
      <c r="L5" t="s">
        <v>7</v>
      </c>
      <c r="M5" t="s">
        <v>8</v>
      </c>
      <c r="N5" t="s">
        <v>8</v>
      </c>
      <c r="P5">
        <f t="shared" ref="P5" si="0">IF(C5=D5,0,((E5-D5)-(C5-E5))/(C5-D5))</f>
        <v>-0.92660550458715851</v>
      </c>
      <c r="Q5">
        <f t="shared" ref="Q5" si="1">F5*P5</f>
        <v>-9774901.8486238793</v>
      </c>
      <c r="R5">
        <f t="shared" ref="R5" si="2">R6+Q5</f>
        <v>-471918317.53034842</v>
      </c>
      <c r="S5">
        <f t="shared" ref="S5" si="3">R5/100000</f>
        <v>-4719.1831753034839</v>
      </c>
      <c r="T5">
        <f t="shared" ref="T5" si="4">S5/1000</f>
        <v>-4.7191831753034839</v>
      </c>
    </row>
    <row r="6" spans="1:20" x14ac:dyDescent="0.25">
      <c r="A6" s="5">
        <v>44587</v>
      </c>
      <c r="B6">
        <v>6.3390000000000002E-2</v>
      </c>
      <c r="C6">
        <v>7.0879999999999999E-2</v>
      </c>
      <c r="D6">
        <v>6.2370000000000002E-2</v>
      </c>
      <c r="E6">
        <v>6.5490000000000007E-2</v>
      </c>
      <c r="F6">
        <v>173944361.90000001</v>
      </c>
      <c r="G6">
        <v>6.5490000000000007E-2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-0.26674500587543926</v>
      </c>
      <c r="Q6">
        <f t="shared" ref="Q6" si="6">F6*P6</f>
        <v>-46398789.837015033</v>
      </c>
      <c r="R6">
        <f t="shared" ref="R6" si="7">R7+Q6</f>
        <v>-462143415.68172455</v>
      </c>
      <c r="S6">
        <f t="shared" ref="S6" si="8">R6/100000</f>
        <v>-4621.4341568172458</v>
      </c>
      <c r="T6">
        <f t="shared" ref="T6" si="9">S6/1000</f>
        <v>-4.6214341568172461</v>
      </c>
    </row>
    <row r="7" spans="1:20" x14ac:dyDescent="0.25">
      <c r="A7" s="5">
        <v>44586</v>
      </c>
      <c r="B7">
        <v>6.225E-2</v>
      </c>
      <c r="C7">
        <v>6.5199999999999994E-2</v>
      </c>
      <c r="D7">
        <v>6.055E-2</v>
      </c>
      <c r="E7">
        <v>6.3380000000000006E-2</v>
      </c>
      <c r="F7">
        <v>109596368.40000001</v>
      </c>
      <c r="G7">
        <v>6.3380000000000006E-2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0.21720430107527292</v>
      </c>
      <c r="Q7">
        <f t="shared" ref="Q7" si="11">F7*P7</f>
        <v>23804802.598710127</v>
      </c>
      <c r="R7">
        <f t="shared" ref="R7" si="12">R8+Q7</f>
        <v>-415744625.84470952</v>
      </c>
      <c r="S7">
        <f t="shared" ref="S7" si="13">R7/100000</f>
        <v>-4157.4462584470948</v>
      </c>
      <c r="T7">
        <f t="shared" ref="T7" si="14">S7/1000</f>
        <v>-4.157446258447095</v>
      </c>
    </row>
    <row r="8" spans="1:20" x14ac:dyDescent="0.25">
      <c r="A8" s="5">
        <v>44585</v>
      </c>
      <c r="B8">
        <v>6.5339999999999995E-2</v>
      </c>
      <c r="C8">
        <v>6.5600000000000006E-2</v>
      </c>
      <c r="D8">
        <v>5.491E-2</v>
      </c>
      <c r="E8">
        <v>6.2269999999999999E-2</v>
      </c>
      <c r="F8">
        <v>232453843.59999999</v>
      </c>
      <c r="G8">
        <v>6.2269999999999999E-2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0.37698783910196354</v>
      </c>
      <c r="Q8">
        <f t="shared" ref="Q8" si="16">F8*P8</f>
        <v>87632272.189709798</v>
      </c>
      <c r="R8">
        <f t="shared" ref="R8" si="17">R9+Q8</f>
        <v>-439549428.44341964</v>
      </c>
      <c r="S8">
        <f t="shared" ref="S8" si="18">R8/100000</f>
        <v>-4395.4942844341967</v>
      </c>
      <c r="T8">
        <f t="shared" ref="T8" si="19">S8/1000</f>
        <v>-4.3954942844341964</v>
      </c>
    </row>
    <row r="9" spans="1:20" x14ac:dyDescent="0.25">
      <c r="A9" s="5">
        <v>44584</v>
      </c>
      <c r="B9">
        <v>6.1690000000000002E-2</v>
      </c>
      <c r="C9">
        <v>6.7760000000000001E-2</v>
      </c>
      <c r="D9">
        <v>6.0319999999999999E-2</v>
      </c>
      <c r="E9">
        <v>6.5430000000000002E-2</v>
      </c>
      <c r="F9">
        <v>189385375.19999999</v>
      </c>
      <c r="G9">
        <v>6.5430000000000002E-2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0.37365591397849512</v>
      </c>
      <c r="Q9">
        <f t="shared" ref="Q9" si="21">F9*P9</f>
        <v>70764965.464516222</v>
      </c>
      <c r="R9">
        <f t="shared" ref="R9" si="22">R10+Q9</f>
        <v>-527181700.63312942</v>
      </c>
      <c r="S9">
        <f t="shared" ref="S9" si="23">R9/100000</f>
        <v>-5271.8170063312946</v>
      </c>
      <c r="T9">
        <f t="shared" ref="T9" si="24">S9/1000</f>
        <v>-5.271817006331295</v>
      </c>
    </row>
    <row r="10" spans="1:20" x14ac:dyDescent="0.25">
      <c r="A10" s="5">
        <v>44583</v>
      </c>
      <c r="B10">
        <v>6.7269999999999996E-2</v>
      </c>
      <c r="C10">
        <v>6.8760000000000002E-2</v>
      </c>
      <c r="D10">
        <v>5.194E-2</v>
      </c>
      <c r="E10">
        <v>6.1699999999999998E-2</v>
      </c>
      <c r="F10">
        <v>324960832.39999998</v>
      </c>
      <c r="G10">
        <v>6.1699999999999998E-2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0.16052318668252044</v>
      </c>
      <c r="Q10">
        <f t="shared" ref="Q10" si="26">F10*P10</f>
        <v>52163748.363852434</v>
      </c>
      <c r="R10">
        <f t="shared" ref="R10" si="27">R11+Q10</f>
        <v>-597946666.09764564</v>
      </c>
      <c r="S10">
        <f t="shared" ref="S10" si="28">R10/100000</f>
        <v>-5979.4666609764563</v>
      </c>
      <c r="T10">
        <f t="shared" ref="T10" si="29">S10/1000</f>
        <v>-5.9794666609764562</v>
      </c>
    </row>
    <row r="11" spans="1:20" x14ac:dyDescent="0.25">
      <c r="A11" s="5">
        <v>44582</v>
      </c>
      <c r="B11">
        <v>7.8640000000000002E-2</v>
      </c>
      <c r="C11">
        <v>7.9839999999999994E-2</v>
      </c>
      <c r="D11">
        <v>6.5269999999999995E-2</v>
      </c>
      <c r="E11">
        <v>6.7239999999999994E-2</v>
      </c>
      <c r="F11">
        <v>249695583.09999999</v>
      </c>
      <c r="G11">
        <v>6.7239999999999994E-2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-0.72958133150308857</v>
      </c>
      <c r="Q11">
        <f t="shared" ref="Q11" si="31">F11*P11</f>
        <v>-182173235.98853809</v>
      </c>
      <c r="R11">
        <f t="shared" ref="R11" si="32">R12+Q11</f>
        <v>-650110414.46149802</v>
      </c>
      <c r="S11">
        <f t="shared" ref="S11" si="33">R11/100000</f>
        <v>-6501.1041446149802</v>
      </c>
      <c r="T11">
        <f t="shared" ref="T11" si="34">S11/1000</f>
        <v>-6.5011041446149802</v>
      </c>
    </row>
    <row r="12" spans="1:20" x14ac:dyDescent="0.25">
      <c r="A12" s="5">
        <v>44581</v>
      </c>
      <c r="B12">
        <v>8.3320000000000005E-2</v>
      </c>
      <c r="C12">
        <v>8.9200000000000002E-2</v>
      </c>
      <c r="D12">
        <v>7.757E-2</v>
      </c>
      <c r="E12">
        <v>7.868E-2</v>
      </c>
      <c r="F12">
        <v>118948921.8</v>
      </c>
      <c r="G12">
        <v>7.868E-2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-0.8091143594153053</v>
      </c>
      <c r="Q12">
        <f t="shared" ref="Q12" si="36">F12*P12</f>
        <v>-96243280.665348247</v>
      </c>
      <c r="R12">
        <f t="shared" ref="R12" si="37">R13+Q12</f>
        <v>-467937178.47295988</v>
      </c>
      <c r="S12">
        <f t="shared" ref="S12" si="38">R12/100000</f>
        <v>-4679.3717847295984</v>
      </c>
      <c r="T12">
        <f t="shared" ref="T12" si="39">S12/1000</f>
        <v>-4.6793717847295984</v>
      </c>
    </row>
    <row r="13" spans="1:20" x14ac:dyDescent="0.25">
      <c r="A13" s="5">
        <v>44580</v>
      </c>
      <c r="B13">
        <v>8.788E-2</v>
      </c>
      <c r="C13">
        <v>8.8800000000000004E-2</v>
      </c>
      <c r="D13">
        <v>8.2600000000000007E-2</v>
      </c>
      <c r="E13">
        <v>8.3339999999999997E-2</v>
      </c>
      <c r="F13">
        <v>90365854.099999994</v>
      </c>
      <c r="G13">
        <v>8.3339999999999997E-2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-0.7612903225806481</v>
      </c>
      <c r="Q13">
        <f t="shared" ref="Q13" si="41">F13*P13</f>
        <v>-68794650.218064785</v>
      </c>
      <c r="R13">
        <f t="shared" ref="R13" si="42">R14+Q13</f>
        <v>-371693897.80761164</v>
      </c>
      <c r="S13">
        <f t="shared" ref="S13" si="43">R13/100000</f>
        <v>-3716.9389780761167</v>
      </c>
      <c r="T13">
        <f t="shared" ref="T13" si="44">S13/1000</f>
        <v>-3.7169389780761168</v>
      </c>
    </row>
    <row r="14" spans="1:20" x14ac:dyDescent="0.25">
      <c r="A14" s="5">
        <v>44579</v>
      </c>
      <c r="B14">
        <v>9.0109999999999996E-2</v>
      </c>
      <c r="C14">
        <v>9.0990000000000001E-2</v>
      </c>
      <c r="D14">
        <v>8.5669999999999996E-2</v>
      </c>
      <c r="E14">
        <v>8.7900000000000006E-2</v>
      </c>
      <c r="F14">
        <v>100361279.5</v>
      </c>
      <c r="G14">
        <v>8.7900000000000006E-2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-0.16165413533834302</v>
      </c>
      <c r="Q14">
        <f t="shared" ref="Q14" si="46">F14*P14</f>
        <v>-16223815.859022271</v>
      </c>
      <c r="R14">
        <f t="shared" ref="R14" si="47">R15+Q14</f>
        <v>-302899247.58954686</v>
      </c>
      <c r="S14">
        <f t="shared" ref="S14" si="48">R14/100000</f>
        <v>-3028.9924758954685</v>
      </c>
      <c r="T14">
        <f t="shared" ref="T14" si="49">S14/1000</f>
        <v>-3.0289924758954685</v>
      </c>
    </row>
    <row r="15" spans="1:20" x14ac:dyDescent="0.25">
      <c r="A15" s="5">
        <v>44578</v>
      </c>
      <c r="B15">
        <v>9.6100000000000005E-2</v>
      </c>
      <c r="C15">
        <v>9.6170000000000005E-2</v>
      </c>
      <c r="D15">
        <v>8.8220000000000007E-2</v>
      </c>
      <c r="E15">
        <v>9.0109999999999996E-2</v>
      </c>
      <c r="F15">
        <v>117687344.59999999</v>
      </c>
      <c r="G15">
        <v>9.0109999999999996E-2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-0.52452830188679511</v>
      </c>
      <c r="Q15">
        <f t="shared" ref="Q15" si="51">F15*P15</f>
        <v>-61730343.016604081</v>
      </c>
      <c r="R15">
        <f t="shared" ref="R15" si="52">R16+Q15</f>
        <v>-286675431.7305246</v>
      </c>
      <c r="S15">
        <f t="shared" ref="S15" si="53">R15/100000</f>
        <v>-2866.7543173052459</v>
      </c>
      <c r="T15">
        <f t="shared" ref="T15" si="54">S15/1000</f>
        <v>-2.8667543173052459</v>
      </c>
    </row>
    <row r="16" spans="1:20" x14ac:dyDescent="0.25">
      <c r="A16" s="5">
        <v>44577</v>
      </c>
      <c r="B16">
        <v>9.8290000000000002E-2</v>
      </c>
      <c r="C16">
        <v>9.9049999999999999E-2</v>
      </c>
      <c r="D16">
        <v>9.5100000000000004E-2</v>
      </c>
      <c r="E16">
        <v>9.6100000000000005E-2</v>
      </c>
      <c r="F16">
        <v>96996992.700000003</v>
      </c>
      <c r="G16">
        <v>9.6100000000000005E-2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-0.49367088607594828</v>
      </c>
      <c r="Q16">
        <f t="shared" ref="Q16" si="56">F16*P16</f>
        <v>-47884591.33291129</v>
      </c>
      <c r="R16">
        <f t="shared" ref="R16" si="57">R17+Q16</f>
        <v>-224945088.7139205</v>
      </c>
      <c r="S16">
        <f t="shared" ref="S16" si="58">R16/100000</f>
        <v>-2249.450887139205</v>
      </c>
      <c r="T16">
        <f t="shared" ref="T16" si="59">S16/1000</f>
        <v>-2.2494508871392052</v>
      </c>
    </row>
    <row r="17" spans="1:20" x14ac:dyDescent="0.25">
      <c r="A17" s="5">
        <v>44576</v>
      </c>
      <c r="B17">
        <v>0.10191</v>
      </c>
      <c r="C17">
        <v>0.10285</v>
      </c>
      <c r="D17">
        <v>9.7489999999999993E-2</v>
      </c>
      <c r="E17">
        <v>9.8330000000000001E-2</v>
      </c>
      <c r="F17">
        <v>107552763.3</v>
      </c>
      <c r="G17">
        <v>9.8330000000000001E-2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-0.68656716417910191</v>
      </c>
      <c r="Q17">
        <f t="shared" ref="Q17" si="61">F17*P17</f>
        <v>-73842195.69850719</v>
      </c>
      <c r="R17">
        <f t="shared" ref="R17" si="62">R18+Q17</f>
        <v>-177060497.38100922</v>
      </c>
      <c r="S17">
        <f t="shared" ref="S17" si="63">R17/100000</f>
        <v>-1770.6049738100921</v>
      </c>
      <c r="T17">
        <f t="shared" ref="T17" si="64">S17/1000</f>
        <v>-1.7706049738100922</v>
      </c>
    </row>
    <row r="18" spans="1:20" x14ac:dyDescent="0.25">
      <c r="A18" s="5">
        <v>44575</v>
      </c>
      <c r="B18">
        <v>9.4939999999999997E-2</v>
      </c>
      <c r="C18">
        <v>0.10389</v>
      </c>
      <c r="D18">
        <v>9.2350000000000002E-2</v>
      </c>
      <c r="E18">
        <v>0.1019</v>
      </c>
      <c r="F18">
        <v>195041722.80000001</v>
      </c>
      <c r="G18">
        <v>0.1019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0.65511265164644839</v>
      </c>
      <c r="Q18">
        <f t="shared" ref="Q18" si="66">F18*P18</f>
        <v>127774300.20519955</v>
      </c>
      <c r="R18">
        <f t="shared" ref="R18" si="67">R19+Q18</f>
        <v>-103218301.68250205</v>
      </c>
      <c r="S18">
        <f t="shared" ref="S18" si="68">R18/100000</f>
        <v>-1032.1830168250206</v>
      </c>
      <c r="T18">
        <f t="shared" ref="T18" si="69">S18/1000</f>
        <v>-1.0321830168250206</v>
      </c>
    </row>
    <row r="19" spans="1:20" x14ac:dyDescent="0.25">
      <c r="A19" s="5">
        <v>44574</v>
      </c>
      <c r="B19">
        <v>0.10301</v>
      </c>
      <c r="C19">
        <v>0.10366</v>
      </c>
      <c r="D19">
        <v>9.4450000000000006E-2</v>
      </c>
      <c r="E19">
        <v>9.5019999999999993E-2</v>
      </c>
      <c r="F19">
        <v>220859748</v>
      </c>
      <c r="G19">
        <v>9.5019999999999993E-2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-0.87622149837133823</v>
      </c>
      <c r="Q19">
        <f t="shared" ref="Q19" si="71">F19*P19</f>
        <v>-193522059.32247618</v>
      </c>
      <c r="R19">
        <f t="shared" ref="R19" si="72">R20+Q19</f>
        <v>-230992601.8877016</v>
      </c>
      <c r="S19">
        <f t="shared" ref="S19" si="73">R19/100000</f>
        <v>-2309.9260188770158</v>
      </c>
      <c r="T19">
        <f t="shared" ref="T19" si="74">S19/1000</f>
        <v>-2.3099260188770159</v>
      </c>
    </row>
    <row r="20" spans="1:20" x14ac:dyDescent="0.25">
      <c r="A20" s="5">
        <v>44573</v>
      </c>
      <c r="B20">
        <v>9.4299999999999995E-2</v>
      </c>
      <c r="C20">
        <v>0.10592</v>
      </c>
      <c r="D20">
        <v>9.3399999999999997E-2</v>
      </c>
      <c r="E20">
        <v>0.10299999999999999</v>
      </c>
      <c r="F20">
        <v>280919184.5</v>
      </c>
      <c r="G20">
        <v>0.10299999999999999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0.53354632587859341</v>
      </c>
      <c r="Q20">
        <f t="shared" ref="Q20" si="76">F20*P20</f>
        <v>149883398.75878569</v>
      </c>
      <c r="R20">
        <f t="shared" ref="R20" si="77">R21+Q20</f>
        <v>-37470542.565225422</v>
      </c>
      <c r="S20">
        <f t="shared" ref="S20" si="78">R20/100000</f>
        <v>-374.70542565225423</v>
      </c>
      <c r="T20">
        <f t="shared" ref="T20" si="79">S20/1000</f>
        <v>-0.37470542565225423</v>
      </c>
    </row>
    <row r="21" spans="1:20" x14ac:dyDescent="0.25">
      <c r="A21" s="5">
        <v>44572</v>
      </c>
      <c r="B21">
        <v>9.0630000000000002E-2</v>
      </c>
      <c r="C21">
        <v>9.5949999999999994E-2</v>
      </c>
      <c r="D21">
        <v>8.9289999999999994E-2</v>
      </c>
      <c r="E21">
        <v>9.4359999999999999E-2</v>
      </c>
      <c r="F21">
        <v>210336670.59999999</v>
      </c>
      <c r="G21">
        <v>9.4359999999999999E-2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0.52252252252252418</v>
      </c>
      <c r="Q21">
        <f t="shared" ref="Q21" si="81">F21*P21</f>
        <v>109905647.70090124</v>
      </c>
      <c r="R21">
        <f t="shared" ref="R21" si="82">R22+Q21</f>
        <v>-187353941.32401112</v>
      </c>
      <c r="S21">
        <f t="shared" ref="S21" si="83">R21/100000</f>
        <v>-1873.5394132401111</v>
      </c>
      <c r="T21">
        <f t="shared" ref="T21" si="84">S21/1000</f>
        <v>-1.8735394132401111</v>
      </c>
    </row>
    <row r="22" spans="1:20" x14ac:dyDescent="0.25">
      <c r="A22" s="5">
        <v>44571</v>
      </c>
      <c r="B22">
        <v>9.8280000000000006E-2</v>
      </c>
      <c r="C22">
        <v>0.1007</v>
      </c>
      <c r="D22">
        <v>8.4659999999999999E-2</v>
      </c>
      <c r="E22">
        <v>9.0639999999999998E-2</v>
      </c>
      <c r="F22">
        <v>320177725.19999999</v>
      </c>
      <c r="G22">
        <v>9.0639999999999998E-2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-0.25436408977556113</v>
      </c>
      <c r="Q22">
        <f t="shared" ref="Q22" si="86">F22*P22</f>
        <v>-81441715.636907741</v>
      </c>
      <c r="R22">
        <f t="shared" ref="R22" si="87">R23+Q22</f>
        <v>-297259589.02491236</v>
      </c>
      <c r="S22">
        <f t="shared" ref="S22" si="88">R22/100000</f>
        <v>-2972.5958902491234</v>
      </c>
      <c r="T22">
        <f t="shared" ref="T22" si="89">S22/1000</f>
        <v>-2.9725958902491234</v>
      </c>
    </row>
    <row r="23" spans="1:20" x14ac:dyDescent="0.25">
      <c r="A23" s="5">
        <v>44570</v>
      </c>
      <c r="B23">
        <v>9.5630000000000007E-2</v>
      </c>
      <c r="C23">
        <v>0.10277</v>
      </c>
      <c r="D23">
        <v>9.4649999999999998E-2</v>
      </c>
      <c r="E23">
        <v>9.826E-2</v>
      </c>
      <c r="F23">
        <v>218643071.59999999</v>
      </c>
      <c r="G23">
        <v>9.826E-2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-0.11083743842364505</v>
      </c>
      <c r="Q23">
        <f t="shared" ref="Q23" si="91">F23*P23</f>
        <v>-24233837.985221613</v>
      </c>
      <c r="R23">
        <f t="shared" ref="R23" si="92">R24+Q23</f>
        <v>-215817873.38800463</v>
      </c>
      <c r="S23">
        <f t="shared" ref="S23" si="93">R23/100000</f>
        <v>-2158.1787338800464</v>
      </c>
      <c r="T23">
        <f t="shared" ref="T23" si="94">S23/1000</f>
        <v>-2.1581787338800464</v>
      </c>
    </row>
    <row r="24" spans="1:20" x14ac:dyDescent="0.25">
      <c r="A24" s="5">
        <v>44569</v>
      </c>
      <c r="B24">
        <v>0.10861</v>
      </c>
      <c r="C24">
        <v>0.11169</v>
      </c>
      <c r="D24">
        <v>9.3340000000000006E-2</v>
      </c>
      <c r="E24">
        <v>9.5600000000000004E-2</v>
      </c>
      <c r="F24">
        <v>326939091.10000002</v>
      </c>
      <c r="G24">
        <v>9.5600000000000004E-2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-0.75367847411444155</v>
      </c>
      <c r="Q24">
        <f t="shared" ref="Q24" si="96">F24*P24</f>
        <v>-246406955.30861041</v>
      </c>
      <c r="R24">
        <f t="shared" ref="R24" si="97">R25+Q24</f>
        <v>-191584035.40278301</v>
      </c>
      <c r="S24">
        <f t="shared" ref="S24" si="98">R24/100000</f>
        <v>-1915.84035402783</v>
      </c>
      <c r="T24">
        <f t="shared" ref="T24" si="99">S24/1000</f>
        <v>-1.9158403540278299</v>
      </c>
    </row>
    <row r="25" spans="1:20" x14ac:dyDescent="0.25">
      <c r="A25" s="5">
        <v>44568</v>
      </c>
      <c r="B25">
        <v>0.12615000000000001</v>
      </c>
      <c r="C25">
        <v>0.12653</v>
      </c>
      <c r="D25">
        <v>0.10711</v>
      </c>
      <c r="E25">
        <v>0.10872999999999999</v>
      </c>
      <c r="F25">
        <v>424262408.60000002</v>
      </c>
      <c r="G25">
        <v>0.10872999999999999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-0.83316168898043297</v>
      </c>
      <c r="Q25">
        <f t="shared" ref="Q25" si="101">F25*P25</f>
        <v>-353479184.92008257</v>
      </c>
      <c r="R25">
        <f t="shared" ref="R25" si="102">R26+Q25</f>
        <v>54822919.905827403</v>
      </c>
      <c r="S25">
        <f t="shared" ref="S25" si="103">R25/100000</f>
        <v>548.22919905827405</v>
      </c>
      <c r="T25">
        <f t="shared" ref="T25" si="104">S25/1000</f>
        <v>0.54822919905827405</v>
      </c>
    </row>
    <row r="26" spans="1:20" x14ac:dyDescent="0.25">
      <c r="A26" s="5">
        <v>44567</v>
      </c>
      <c r="B26">
        <v>0.11827</v>
      </c>
      <c r="C26">
        <v>0.13019</v>
      </c>
      <c r="D26">
        <v>0.11198</v>
      </c>
      <c r="E26">
        <v>0.12609999999999999</v>
      </c>
      <c r="F26">
        <v>453317521.60000002</v>
      </c>
      <c r="G26">
        <v>0.12609999999999999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0.55079626578802754</v>
      </c>
      <c r="Q26">
        <f t="shared" ref="Q26" si="106">F26*P26</f>
        <v>249685598.11356354</v>
      </c>
      <c r="R26">
        <f t="shared" ref="R26" si="107">R27+Q26</f>
        <v>408302104.82590997</v>
      </c>
      <c r="S26">
        <f t="shared" ref="S26" si="108">R26/100000</f>
        <v>4083.0210482590996</v>
      </c>
      <c r="T26">
        <f t="shared" ref="T26" si="109">S26/1000</f>
        <v>4.0830210482590994</v>
      </c>
    </row>
    <row r="27" spans="1:20" x14ac:dyDescent="0.25">
      <c r="A27" s="5">
        <v>44566</v>
      </c>
      <c r="B27">
        <v>0.13316</v>
      </c>
      <c r="C27">
        <v>0.13844999999999999</v>
      </c>
      <c r="D27">
        <v>0.11</v>
      </c>
      <c r="E27">
        <v>0.1183</v>
      </c>
      <c r="F27">
        <v>825764101.29999995</v>
      </c>
      <c r="G27">
        <v>0.1183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-0.41652021089630897</v>
      </c>
      <c r="Q27">
        <f t="shared" ref="Q27" si="111">F27*P27</f>
        <v>-343947437.62407702</v>
      </c>
      <c r="R27">
        <f t="shared" ref="R27" si="112">R28+Q27</f>
        <v>158616506.71234643</v>
      </c>
      <c r="S27">
        <f t="shared" ref="S27" si="113">R27/100000</f>
        <v>1586.1650671234643</v>
      </c>
      <c r="T27">
        <f t="shared" ref="T27" si="114">S27/1000</f>
        <v>1.5861650671234642</v>
      </c>
    </row>
    <row r="28" spans="1:20" x14ac:dyDescent="0.25">
      <c r="A28" s="5">
        <v>44565</v>
      </c>
      <c r="B28">
        <v>0.10878</v>
      </c>
      <c r="C28">
        <v>0.13880000000000001</v>
      </c>
      <c r="D28">
        <v>0.10858</v>
      </c>
      <c r="E28">
        <v>0.13316</v>
      </c>
      <c r="F28">
        <v>1166903840.9000001</v>
      </c>
      <c r="G28">
        <v>0.13316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0.62673726009265363</v>
      </c>
      <c r="Q28">
        <f t="shared" ref="Q28" si="116">F28*P28</f>
        <v>731342116.03725982</v>
      </c>
      <c r="R28">
        <f t="shared" ref="R28" si="117">R29+Q28</f>
        <v>502563944.33642346</v>
      </c>
      <c r="S28">
        <f t="shared" ref="S28" si="118">R28/100000</f>
        <v>5025.6394433642345</v>
      </c>
      <c r="T28">
        <f t="shared" ref="T28" si="119">S28/1000</f>
        <v>5.0256394433642342</v>
      </c>
    </row>
    <row r="29" spans="1:20" x14ac:dyDescent="0.25">
      <c r="A29" s="5">
        <v>44564</v>
      </c>
      <c r="B29">
        <v>0.10201</v>
      </c>
      <c r="C29">
        <v>0.10904</v>
      </c>
      <c r="D29">
        <v>9.9080000000000001E-2</v>
      </c>
      <c r="E29">
        <v>0.10886</v>
      </c>
      <c r="F29">
        <v>211482124.90000001</v>
      </c>
      <c r="G29">
        <v>0.10886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0.96385542168674709</v>
      </c>
      <c r="Q29">
        <f t="shared" ref="Q29" si="121">F29*P29</f>
        <v>203838192.67469883</v>
      </c>
      <c r="R29">
        <f t="shared" ref="R29" si="122">R30+Q29</f>
        <v>-228778171.70083636</v>
      </c>
      <c r="S29">
        <f t="shared" ref="S29" si="123">R29/100000</f>
        <v>-2287.7817170083636</v>
      </c>
      <c r="T29">
        <f t="shared" ref="T29" si="124">S29/1000</f>
        <v>-2.2877817170083636</v>
      </c>
    </row>
    <row r="30" spans="1:20" x14ac:dyDescent="0.25">
      <c r="A30" s="5">
        <v>44563</v>
      </c>
      <c r="B30">
        <v>0.107</v>
      </c>
      <c r="C30">
        <v>0.1072</v>
      </c>
      <c r="D30">
        <v>0.10148</v>
      </c>
      <c r="E30">
        <v>0.10198</v>
      </c>
      <c r="F30">
        <v>114478486.3</v>
      </c>
      <c r="G30">
        <v>0.10198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-0.8251748251748251</v>
      </c>
      <c r="Q30">
        <f t="shared" ref="Q30" si="126">F30*P30</f>
        <v>-94464764.918881103</v>
      </c>
      <c r="R30">
        <f t="shared" ref="R30" si="127">R31+Q30</f>
        <v>-432616364.37553519</v>
      </c>
      <c r="S30">
        <f t="shared" ref="S30" si="128">R30/100000</f>
        <v>-4326.1636437553516</v>
      </c>
      <c r="T30">
        <f t="shared" ref="T30" si="129">S30/1000</f>
        <v>-4.3261636437553515</v>
      </c>
    </row>
    <row r="31" spans="1:20" x14ac:dyDescent="0.25">
      <c r="A31" s="5">
        <v>44562</v>
      </c>
      <c r="B31">
        <v>9.8629999999999995E-2</v>
      </c>
      <c r="C31">
        <v>0.10792</v>
      </c>
      <c r="D31">
        <v>9.8559999999999995E-2</v>
      </c>
      <c r="E31">
        <v>0.107</v>
      </c>
      <c r="F31">
        <v>191478317.59999999</v>
      </c>
      <c r="G31">
        <v>0.107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0.80341880341880267</v>
      </c>
      <c r="Q31">
        <f t="shared" ref="Q31" si="131">F31*P31</f>
        <v>153837280.80683747</v>
      </c>
      <c r="R31">
        <f t="shared" ref="R31" si="132">R32+Q31</f>
        <v>-338151599.45665407</v>
      </c>
      <c r="S31">
        <f t="shared" ref="S31" si="133">R31/100000</f>
        <v>-3381.5159945665409</v>
      </c>
      <c r="T31">
        <f t="shared" ref="T31" si="134">S31/1000</f>
        <v>-3.381515994566541</v>
      </c>
    </row>
    <row r="32" spans="1:20" x14ac:dyDescent="0.25">
      <c r="A32" s="5">
        <v>44561</v>
      </c>
      <c r="B32">
        <v>9.4719999999999999E-2</v>
      </c>
      <c r="C32">
        <v>0.10652</v>
      </c>
      <c r="D32">
        <v>9.2899999999999996E-2</v>
      </c>
      <c r="E32">
        <v>9.8680000000000004E-2</v>
      </c>
      <c r="F32">
        <v>243066829.69999999</v>
      </c>
      <c r="G32">
        <v>9.8680000000000004E-2</v>
      </c>
      <c r="L32" t="s">
        <v>8</v>
      </c>
      <c r="M32" t="s">
        <v>8</v>
      </c>
      <c r="N32" t="s">
        <v>8</v>
      </c>
      <c r="P32">
        <f t="shared" ref="P32" si="135">IF(C32=D32,0,((E32-D32)-(C32-E32))/(C32-D32))</f>
        <v>-0.15124816446402287</v>
      </c>
      <c r="Q32">
        <f t="shared" ref="Q32" si="136">F32*P32</f>
        <v>-36763411.834214233</v>
      </c>
      <c r="R32">
        <f t="shared" ref="R32" si="137">R33+Q32</f>
        <v>-491988880.26349157</v>
      </c>
      <c r="S32">
        <f t="shared" ref="S32" si="138">R32/100000</f>
        <v>-4919.8888026349159</v>
      </c>
      <c r="T32">
        <f t="shared" ref="T32" si="139">S32/1000</f>
        <v>-4.9198888026349161</v>
      </c>
    </row>
    <row r="33" spans="1:20" x14ac:dyDescent="0.25">
      <c r="A33" s="5">
        <v>44560</v>
      </c>
      <c r="B33">
        <v>9.307E-2</v>
      </c>
      <c r="C33">
        <v>9.869E-2</v>
      </c>
      <c r="D33">
        <v>8.9700000000000002E-2</v>
      </c>
      <c r="E33">
        <v>9.4769999999999993E-2</v>
      </c>
      <c r="F33">
        <v>155093685.69999999</v>
      </c>
      <c r="G33">
        <v>9.4769999999999993E-2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0.1279199110122341</v>
      </c>
      <c r="Q33">
        <f t="shared" ref="Q33" si="141">F33*P33</f>
        <v>19839570.473303404</v>
      </c>
      <c r="R33">
        <f t="shared" ref="R33" si="142">R34+Q33</f>
        <v>-455225468.42927736</v>
      </c>
      <c r="S33">
        <f t="shared" ref="S33" si="143">R33/100000</f>
        <v>-4552.2546842927732</v>
      </c>
      <c r="T33">
        <f t="shared" ref="T33" si="144">S33/1000</f>
        <v>-4.5522546842927731</v>
      </c>
    </row>
    <row r="34" spans="1:20" x14ac:dyDescent="0.25">
      <c r="A34" s="5">
        <v>44559</v>
      </c>
      <c r="B34">
        <v>9.5430000000000001E-2</v>
      </c>
      <c r="C34">
        <v>9.9339999999999998E-2</v>
      </c>
      <c r="D34">
        <v>8.9289999999999994E-2</v>
      </c>
      <c r="E34">
        <v>9.3060000000000004E-2</v>
      </c>
      <c r="F34">
        <v>188368307.19999999</v>
      </c>
      <c r="G34">
        <v>9.3060000000000004E-2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-0.2497512437810929</v>
      </c>
      <c r="Q34">
        <f t="shared" ref="Q34" si="146">F34*P34</f>
        <v>-47045219.012138993</v>
      </c>
      <c r="R34">
        <f t="shared" ref="R34" si="147">R35+Q34</f>
        <v>-475065038.90258074</v>
      </c>
      <c r="S34">
        <f t="shared" ref="S34" si="148">R34/100000</f>
        <v>-4750.6503890258073</v>
      </c>
      <c r="T34">
        <f t="shared" ref="T34" si="149">S34/1000</f>
        <v>-4.7506503890258074</v>
      </c>
    </row>
    <row r="35" spans="1:20" x14ac:dyDescent="0.25">
      <c r="A35" s="5">
        <v>44558</v>
      </c>
      <c r="B35">
        <v>0.11143</v>
      </c>
      <c r="C35">
        <v>0.11454</v>
      </c>
      <c r="D35">
        <v>9.4210000000000002E-2</v>
      </c>
      <c r="E35">
        <v>9.5469999999999999E-2</v>
      </c>
      <c r="F35">
        <v>342088937.30000001</v>
      </c>
      <c r="G35">
        <v>9.5469999999999999E-2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-0.87604525332021665</v>
      </c>
      <c r="Q35">
        <f t="shared" ref="Q35" si="151">F35*P35</f>
        <v>-299685389.73502225</v>
      </c>
      <c r="R35">
        <f t="shared" ref="R35" si="152">R36+Q35</f>
        <v>-428019819.89044178</v>
      </c>
      <c r="S35">
        <f t="shared" ref="S35" si="153">R35/100000</f>
        <v>-4280.1981989044179</v>
      </c>
      <c r="T35">
        <f t="shared" ref="T35" si="154">S35/1000</f>
        <v>-4.2801981989044178</v>
      </c>
    </row>
    <row r="36" spans="1:20" x14ac:dyDescent="0.25">
      <c r="A36" s="5">
        <v>44557</v>
      </c>
      <c r="B36">
        <v>9.8239999999999994E-2</v>
      </c>
      <c r="C36">
        <v>0.11749999999999999</v>
      </c>
      <c r="D36">
        <v>9.7229999999999997E-2</v>
      </c>
      <c r="E36">
        <v>0.11148</v>
      </c>
      <c r="F36">
        <v>465801268.30000001</v>
      </c>
      <c r="G36">
        <v>0.11148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0.40601874691662571</v>
      </c>
      <c r="Q36">
        <f t="shared" ref="Q36" si="156">F36*P36</f>
        <v>189124047.26734096</v>
      </c>
      <c r="R36">
        <f t="shared" ref="R36" si="157">R37+Q36</f>
        <v>-128334430.15541953</v>
      </c>
      <c r="S36">
        <f t="shared" ref="S36" si="158">R36/100000</f>
        <v>-1283.3443015541952</v>
      </c>
      <c r="T36">
        <f t="shared" ref="T36" si="159">S36/1000</f>
        <v>-1.2833443015541952</v>
      </c>
    </row>
    <row r="37" spans="1:20" x14ac:dyDescent="0.25">
      <c r="A37" s="5">
        <v>44556</v>
      </c>
      <c r="B37">
        <v>9.6589999999999995E-2</v>
      </c>
      <c r="C37">
        <v>9.8570000000000005E-2</v>
      </c>
      <c r="D37">
        <v>9.3619999999999995E-2</v>
      </c>
      <c r="E37">
        <v>9.8210000000000006E-2</v>
      </c>
      <c r="F37">
        <v>82096606.799999997</v>
      </c>
      <c r="G37">
        <v>9.8210000000000006E-2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0.85454545454545516</v>
      </c>
      <c r="Q37">
        <f t="shared" ref="Q37" si="161">F37*P37</f>
        <v>70155282.174545497</v>
      </c>
      <c r="R37">
        <f t="shared" ref="R37" si="162">R38+Q37</f>
        <v>-317458477.42276049</v>
      </c>
      <c r="S37">
        <f t="shared" ref="S37" si="163">R37/100000</f>
        <v>-3174.5847742276051</v>
      </c>
      <c r="T37">
        <f t="shared" ref="T37" si="164">S37/1000</f>
        <v>-3.174584774227605</v>
      </c>
    </row>
    <row r="38" spans="1:20" x14ac:dyDescent="0.25">
      <c r="A38" s="5">
        <v>44555</v>
      </c>
      <c r="B38">
        <v>9.6280000000000004E-2</v>
      </c>
      <c r="C38">
        <v>9.7729999999999997E-2</v>
      </c>
      <c r="D38">
        <v>9.4539999999999999E-2</v>
      </c>
      <c r="E38">
        <v>9.6610000000000001E-2</v>
      </c>
      <c r="F38">
        <v>71140161.5</v>
      </c>
      <c r="G38">
        <v>9.6610000000000001E-2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0.297805642633231</v>
      </c>
      <c r="Q38">
        <f t="shared" ref="Q38" si="166">F38*P38</f>
        <v>21185941.512539338</v>
      </c>
      <c r="R38">
        <f t="shared" ref="R38" si="167">R39+Q38</f>
        <v>-387613759.59730595</v>
      </c>
      <c r="S38">
        <f t="shared" ref="S38" si="168">R38/100000</f>
        <v>-3876.1375959730594</v>
      </c>
      <c r="T38">
        <f t="shared" ref="T38" si="169">S38/1000</f>
        <v>-3.8761375959730593</v>
      </c>
    </row>
    <row r="39" spans="1:20" x14ac:dyDescent="0.25">
      <c r="A39" s="5">
        <v>44554</v>
      </c>
      <c r="B39">
        <v>9.4799999999999995E-2</v>
      </c>
      <c r="C39">
        <v>9.9979999999999999E-2</v>
      </c>
      <c r="D39">
        <v>9.4159999999999994E-2</v>
      </c>
      <c r="E39">
        <v>9.6229999999999996E-2</v>
      </c>
      <c r="F39">
        <v>132703634.2</v>
      </c>
      <c r="G39">
        <v>9.6229999999999996E-2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-0.28865979381443285</v>
      </c>
      <c r="Q39">
        <f t="shared" ref="Q39" si="171">F39*P39</f>
        <v>-38306203.686597921</v>
      </c>
      <c r="R39">
        <f t="shared" ref="R39" si="172">R40+Q39</f>
        <v>-408799701.10984528</v>
      </c>
      <c r="S39">
        <f t="shared" ref="S39" si="173">R39/100000</f>
        <v>-4087.9970110984527</v>
      </c>
      <c r="T39">
        <f t="shared" ref="T39" si="174">S39/1000</f>
        <v>-4.0879970110984525</v>
      </c>
    </row>
    <row r="40" spans="1:20" x14ac:dyDescent="0.25">
      <c r="A40" s="5">
        <v>44553</v>
      </c>
      <c r="B40">
        <v>8.7859999999999994E-2</v>
      </c>
      <c r="C40">
        <v>9.8750000000000004E-2</v>
      </c>
      <c r="D40">
        <v>8.6629999999999999E-2</v>
      </c>
      <c r="E40">
        <v>9.4750000000000001E-2</v>
      </c>
      <c r="F40">
        <v>157054615.59999999</v>
      </c>
      <c r="G40">
        <v>9.4750000000000001E-2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0.33993399339933966</v>
      </c>
      <c r="Q40">
        <f t="shared" ref="Q40" si="176">F40*P40</f>
        <v>53388202.662706226</v>
      </c>
      <c r="R40">
        <f t="shared" ref="R40" si="177">R41+Q40</f>
        <v>-370493497.42324734</v>
      </c>
      <c r="S40">
        <f t="shared" ref="S40" si="178">R40/100000</f>
        <v>-3704.9349742324735</v>
      </c>
      <c r="T40">
        <f t="shared" ref="T40" si="179">S40/1000</f>
        <v>-3.7049349742324735</v>
      </c>
    </row>
    <row r="41" spans="1:20" x14ac:dyDescent="0.25">
      <c r="A41" s="5">
        <v>44552</v>
      </c>
      <c r="B41">
        <v>8.4409999999999999E-2</v>
      </c>
      <c r="C41">
        <v>8.9829999999999993E-2</v>
      </c>
      <c r="D41">
        <v>8.3979999999999999E-2</v>
      </c>
      <c r="E41">
        <v>8.7840000000000001E-2</v>
      </c>
      <c r="F41">
        <v>79748319</v>
      </c>
      <c r="G41">
        <v>8.7840000000000001E-2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0.3196581196581218</v>
      </c>
      <c r="Q41">
        <f t="shared" ref="Q41" si="181">F41*P41</f>
        <v>25492197.697436068</v>
      </c>
      <c r="R41">
        <f t="shared" ref="R41" si="182">R42+Q41</f>
        <v>-423881700.08595353</v>
      </c>
      <c r="S41">
        <f t="shared" ref="S41" si="183">R41/100000</f>
        <v>-4238.8170008595353</v>
      </c>
      <c r="T41">
        <f t="shared" ref="T41" si="184">S41/1000</f>
        <v>-4.2388170008595356</v>
      </c>
    </row>
    <row r="42" spans="1:20" x14ac:dyDescent="0.25">
      <c r="A42" s="5">
        <v>44551</v>
      </c>
      <c r="B42">
        <v>8.1610000000000002E-2</v>
      </c>
      <c r="C42">
        <v>8.5769999999999999E-2</v>
      </c>
      <c r="D42">
        <v>8.0589999999999995E-2</v>
      </c>
      <c r="E42">
        <v>8.4419999999999995E-2</v>
      </c>
      <c r="F42">
        <v>85206947.599999994</v>
      </c>
      <c r="G42">
        <v>8.4419999999999995E-2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0.47876447876447764</v>
      </c>
      <c r="Q42">
        <f t="shared" ref="Q42" si="186">F42*P42</f>
        <v>40794059.85482616</v>
      </c>
      <c r="R42">
        <f t="shared" ref="R42" si="187">R43+Q42</f>
        <v>-449373897.78338963</v>
      </c>
      <c r="S42">
        <f t="shared" ref="S42" si="188">R42/100000</f>
        <v>-4493.7389778338966</v>
      </c>
      <c r="T42">
        <f t="shared" ref="T42" si="189">S42/1000</f>
        <v>-4.493738977833897</v>
      </c>
    </row>
    <row r="43" spans="1:20" x14ac:dyDescent="0.25">
      <c r="A43" s="5">
        <v>44550</v>
      </c>
      <c r="B43">
        <v>8.0629999999999993E-2</v>
      </c>
      <c r="C43">
        <v>8.2979999999999998E-2</v>
      </c>
      <c r="D43">
        <v>7.6130000000000003E-2</v>
      </c>
      <c r="E43">
        <v>8.1570000000000004E-2</v>
      </c>
      <c r="F43">
        <v>98870961.700000003</v>
      </c>
      <c r="G43">
        <v>8.1570000000000004E-2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0.58832116788321298</v>
      </c>
      <c r="Q43">
        <f t="shared" ref="Q43" si="191">F43*P43</f>
        <v>58167879.657080419</v>
      </c>
      <c r="R43">
        <f t="shared" ref="R43" si="192">R44+Q43</f>
        <v>-490167957.63821578</v>
      </c>
      <c r="S43">
        <f t="shared" ref="S43" si="193">R43/100000</f>
        <v>-4901.6795763821574</v>
      </c>
      <c r="T43">
        <f t="shared" ref="T43" si="194">S43/1000</f>
        <v>-4.9016795763821577</v>
      </c>
    </row>
    <row r="44" spans="1:20" x14ac:dyDescent="0.25">
      <c r="A44" s="5">
        <v>44549</v>
      </c>
      <c r="B44">
        <v>8.2070000000000004E-2</v>
      </c>
      <c r="C44">
        <v>8.3750000000000005E-2</v>
      </c>
      <c r="D44">
        <v>7.9990000000000006E-2</v>
      </c>
      <c r="E44">
        <v>8.0640000000000003E-2</v>
      </c>
      <c r="F44">
        <v>67853213.099999994</v>
      </c>
      <c r="G44">
        <v>8.0640000000000003E-2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-0.65425531914893731</v>
      </c>
      <c r="Q44">
        <f t="shared" ref="Q44" si="196">F44*P44</f>
        <v>-44393325.592021354</v>
      </c>
      <c r="R44">
        <f t="shared" ref="R44" si="197">R45+Q44</f>
        <v>-548335837.29529619</v>
      </c>
      <c r="S44">
        <f t="shared" ref="S44" si="198">R44/100000</f>
        <v>-5483.3583729529619</v>
      </c>
      <c r="T44">
        <f t="shared" ref="T44" si="199">S44/1000</f>
        <v>-5.4833583729529618</v>
      </c>
    </row>
    <row r="45" spans="1:20" x14ac:dyDescent="0.25">
      <c r="A45" s="5">
        <v>44548</v>
      </c>
      <c r="B45">
        <v>8.1299999999999997E-2</v>
      </c>
      <c r="C45">
        <v>8.3199999999999996E-2</v>
      </c>
      <c r="D45">
        <v>7.8850000000000003E-2</v>
      </c>
      <c r="E45">
        <v>8.2059999999999994E-2</v>
      </c>
      <c r="F45">
        <v>65015288.399999999</v>
      </c>
      <c r="G45">
        <v>8.2059999999999994E-2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0.47586206896551542</v>
      </c>
      <c r="Q45">
        <f t="shared" ref="Q45" si="201">F45*P45</f>
        <v>30938309.652413674</v>
      </c>
      <c r="R45">
        <f t="shared" ref="R45" si="202">R46+Q45</f>
        <v>-503942511.70327485</v>
      </c>
      <c r="S45">
        <f t="shared" ref="S45" si="203">R45/100000</f>
        <v>-5039.4251170327489</v>
      </c>
      <c r="T45">
        <f t="shared" ref="T45" si="204">S45/1000</f>
        <v>-5.0394251170327484</v>
      </c>
    </row>
    <row r="46" spans="1:20" x14ac:dyDescent="0.25">
      <c r="A46" s="5">
        <v>44547</v>
      </c>
      <c r="B46">
        <v>8.4669999999999995E-2</v>
      </c>
      <c r="C46">
        <v>8.6249999999999993E-2</v>
      </c>
      <c r="D46">
        <v>7.8579999999999997E-2</v>
      </c>
      <c r="E46">
        <v>8.1269999999999995E-2</v>
      </c>
      <c r="F46">
        <v>86761515</v>
      </c>
      <c r="G46">
        <v>8.1269999999999995E-2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-0.29856584093872252</v>
      </c>
      <c r="Q46">
        <f t="shared" ref="Q46" si="206">F46*P46</f>
        <v>-25904024.687092587</v>
      </c>
      <c r="R46">
        <f t="shared" ref="R46" si="207">R47+Q46</f>
        <v>-534880821.35568851</v>
      </c>
      <c r="S46">
        <f t="shared" ref="S46" si="208">R46/100000</f>
        <v>-5348.8082135568848</v>
      </c>
      <c r="T46">
        <f t="shared" ref="T46" si="209">S46/1000</f>
        <v>-5.3488082135568851</v>
      </c>
    </row>
    <row r="47" spans="1:20" x14ac:dyDescent="0.25">
      <c r="A47" s="5">
        <v>44546</v>
      </c>
      <c r="B47">
        <v>8.6809999999999998E-2</v>
      </c>
      <c r="C47">
        <v>8.8200000000000001E-2</v>
      </c>
      <c r="D47">
        <v>8.4089999999999998E-2</v>
      </c>
      <c r="E47">
        <v>8.4720000000000004E-2</v>
      </c>
      <c r="F47">
        <v>63191493.700000003</v>
      </c>
      <c r="G47">
        <v>8.4720000000000004E-2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-0.69343065693430406</v>
      </c>
      <c r="Q47">
        <f t="shared" ref="Q47" si="211">F47*P47</f>
        <v>-43818918.98905094</v>
      </c>
      <c r="R47">
        <f t="shared" ref="R47" si="212">R48+Q47</f>
        <v>-508976796.66859591</v>
      </c>
      <c r="S47">
        <f t="shared" ref="S47" si="213">R47/100000</f>
        <v>-5089.7679666859594</v>
      </c>
      <c r="T47">
        <f t="shared" ref="T47" si="214">S47/1000</f>
        <v>-5.0897679666859599</v>
      </c>
    </row>
    <row r="48" spans="1:20" x14ac:dyDescent="0.25">
      <c r="A48" s="5">
        <v>44545</v>
      </c>
      <c r="B48">
        <v>8.4169999999999995E-2</v>
      </c>
      <c r="C48">
        <v>8.7999999999999995E-2</v>
      </c>
      <c r="D48">
        <v>7.9909999999999995E-2</v>
      </c>
      <c r="E48">
        <v>8.6809999999999998E-2</v>
      </c>
      <c r="F48">
        <v>112199792.40000001</v>
      </c>
      <c r="G48">
        <v>8.6809999999999998E-2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0.70580964153275727</v>
      </c>
      <c r="Q48">
        <f t="shared" ref="Q48" si="216">F48*P48</f>
        <v>79191695.253893793</v>
      </c>
      <c r="R48">
        <f t="shared" ref="R48" si="217">R49+Q48</f>
        <v>-465157877.67954499</v>
      </c>
      <c r="S48">
        <f t="shared" ref="S48" si="218">R48/100000</f>
        <v>-4651.5787767954498</v>
      </c>
      <c r="T48">
        <f t="shared" ref="T48" si="219">S48/1000</f>
        <v>-4.65157877679545</v>
      </c>
    </row>
    <row r="49" spans="1:20" x14ac:dyDescent="0.25">
      <c r="A49" s="5">
        <v>44544</v>
      </c>
      <c r="B49">
        <v>8.0280000000000004E-2</v>
      </c>
      <c r="C49">
        <v>8.4669999999999995E-2</v>
      </c>
      <c r="D49">
        <v>7.9000000000000001E-2</v>
      </c>
      <c r="E49">
        <v>8.4140000000000006E-2</v>
      </c>
      <c r="F49">
        <v>113939857.40000001</v>
      </c>
      <c r="G49">
        <v>8.4140000000000006E-2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0.8130511463844835</v>
      </c>
      <c r="Q49">
        <f t="shared" ref="Q49" si="221">F49*P49</f>
        <v>92638931.677954584</v>
      </c>
      <c r="R49">
        <f t="shared" ref="R49" si="222">R50+Q49</f>
        <v>-544349572.93343878</v>
      </c>
      <c r="S49">
        <f t="shared" ref="S49" si="223">R49/100000</f>
        <v>-5443.4957293343878</v>
      </c>
      <c r="T49">
        <f t="shared" ref="T49" si="224">S49/1000</f>
        <v>-5.443495729334388</v>
      </c>
    </row>
    <row r="50" spans="1:20" x14ac:dyDescent="0.25">
      <c r="A50" s="5">
        <v>44543</v>
      </c>
      <c r="B50">
        <v>8.8650000000000007E-2</v>
      </c>
      <c r="C50">
        <v>8.9069999999999996E-2</v>
      </c>
      <c r="D50">
        <v>7.8289999999999998E-2</v>
      </c>
      <c r="E50">
        <v>8.0339999999999995E-2</v>
      </c>
      <c r="F50">
        <v>94548563.400000006</v>
      </c>
      <c r="G50">
        <v>8.0339999999999995E-2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-0.6196660482374774</v>
      </c>
      <c r="Q50">
        <f t="shared" ref="Q50" si="226">F50*P50</f>
        <v>-58588534.648608595</v>
      </c>
      <c r="R50">
        <f t="shared" ref="R50" si="227">R51+Q50</f>
        <v>-636988504.61139333</v>
      </c>
      <c r="S50">
        <f t="shared" ref="S50" si="228">R50/100000</f>
        <v>-6369.8850461139336</v>
      </c>
      <c r="T50">
        <f t="shared" ref="T50" si="229">S50/1000</f>
        <v>-6.369885046113934</v>
      </c>
    </row>
    <row r="51" spans="1:20" x14ac:dyDescent="0.25">
      <c r="A51" s="5">
        <v>44542</v>
      </c>
      <c r="B51">
        <v>8.813E-2</v>
      </c>
      <c r="C51">
        <v>9.0240000000000001E-2</v>
      </c>
      <c r="D51">
        <v>8.6150000000000004E-2</v>
      </c>
      <c r="E51">
        <v>8.8669999999999999E-2</v>
      </c>
      <c r="F51">
        <v>74744391.799999997</v>
      </c>
      <c r="G51">
        <v>8.8669999999999999E-2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0.23227383863080522</v>
      </c>
      <c r="Q51">
        <f t="shared" ref="Q51" si="231">F51*P51</f>
        <v>17361166.799510881</v>
      </c>
      <c r="R51">
        <f t="shared" ref="R51" si="232">R52+Q51</f>
        <v>-578399969.96278477</v>
      </c>
      <c r="S51">
        <f t="shared" ref="S51" si="233">R51/100000</f>
        <v>-5783.9996996278478</v>
      </c>
      <c r="T51">
        <f t="shared" ref="T51" si="234">S51/1000</f>
        <v>-5.7839996996278478</v>
      </c>
    </row>
    <row r="52" spans="1:20" x14ac:dyDescent="0.25">
      <c r="A52" s="5">
        <v>44541</v>
      </c>
      <c r="B52">
        <v>8.2210000000000005E-2</v>
      </c>
      <c r="C52">
        <v>8.3900000000000002E-2</v>
      </c>
      <c r="D52">
        <v>8.0460000000000004E-2</v>
      </c>
      <c r="E52">
        <v>8.3449999999999996E-2</v>
      </c>
      <c r="F52">
        <v>9696248.5</v>
      </c>
      <c r="G52">
        <v>8.3449999999999996E-2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0.73837209302325224</v>
      </c>
      <c r="Q52">
        <f t="shared" ref="Q52" si="236">F52*P52</f>
        <v>7159439.2994185695</v>
      </c>
      <c r="R52">
        <f t="shared" ref="R52" si="237">R53+Q52</f>
        <v>-595761136.7622956</v>
      </c>
      <c r="S52">
        <f t="shared" ref="S52" si="238">R52/100000</f>
        <v>-5957.6113676229561</v>
      </c>
      <c r="T52">
        <f t="shared" ref="T52" si="239">S52/1000</f>
        <v>-5.9576113676229561</v>
      </c>
    </row>
    <row r="53" spans="1:20" x14ac:dyDescent="0.25">
      <c r="A53" s="5">
        <v>44540</v>
      </c>
      <c r="B53">
        <v>8.4839999999999999E-2</v>
      </c>
      <c r="C53">
        <v>9.2499999999999999E-2</v>
      </c>
      <c r="D53">
        <v>8.1780000000000005E-2</v>
      </c>
      <c r="E53">
        <v>8.2220000000000001E-2</v>
      </c>
      <c r="F53">
        <v>116859393.2</v>
      </c>
      <c r="G53">
        <v>8.2220000000000001E-2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-0.91791044776119468</v>
      </c>
      <c r="Q53">
        <f t="shared" ref="Q53" si="241">F53*P53</f>
        <v>-107266457.93731351</v>
      </c>
      <c r="R53">
        <f t="shared" ref="R53" si="242">R54+Q53</f>
        <v>-602920576.06171417</v>
      </c>
      <c r="S53">
        <f t="shared" ref="S53" si="243">R53/100000</f>
        <v>-6029.205760617142</v>
      </c>
      <c r="T53">
        <f t="shared" ref="T53" si="244">S53/1000</f>
        <v>-6.0292057606171419</v>
      </c>
    </row>
    <row r="54" spans="1:20" x14ac:dyDescent="0.25">
      <c r="A54" s="5">
        <v>44539</v>
      </c>
      <c r="B54">
        <v>9.3030000000000002E-2</v>
      </c>
      <c r="C54">
        <v>9.3640000000000001E-2</v>
      </c>
      <c r="D54">
        <v>8.4470000000000003E-2</v>
      </c>
      <c r="E54">
        <v>8.5000000000000006E-2</v>
      </c>
      <c r="F54">
        <v>88377750</v>
      </c>
      <c r="G54">
        <v>8.5000000000000006E-2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-0.88440567066521203</v>
      </c>
      <c r="Q54">
        <f t="shared" ref="Q54" si="246">F54*P54</f>
        <v>-78161783.26063244</v>
      </c>
      <c r="R54">
        <f t="shared" ref="R54" si="247">R55+Q54</f>
        <v>-495654118.12440068</v>
      </c>
      <c r="S54">
        <f t="shared" ref="S54" si="248">R54/100000</f>
        <v>-4956.541181244007</v>
      </c>
      <c r="T54">
        <f t="shared" ref="T54" si="249">S54/1000</f>
        <v>-4.956541181244007</v>
      </c>
    </row>
    <row r="55" spans="1:20" x14ac:dyDescent="0.25">
      <c r="A55" s="5">
        <v>44538</v>
      </c>
      <c r="B55">
        <v>9.1889999999999999E-2</v>
      </c>
      <c r="C55">
        <v>9.4979999999999995E-2</v>
      </c>
      <c r="D55">
        <v>8.7999999999999995E-2</v>
      </c>
      <c r="E55">
        <v>9.2950000000000005E-2</v>
      </c>
      <c r="F55">
        <v>103283341.7</v>
      </c>
      <c r="G55">
        <v>9.2950000000000005E-2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0.41833810888252432</v>
      </c>
      <c r="Q55">
        <f t="shared" ref="Q55" si="251">F55*P55</f>
        <v>43207357.845845565</v>
      </c>
      <c r="R55">
        <f t="shared" ref="R55" si="252">R56+Q55</f>
        <v>-417492334.86376822</v>
      </c>
      <c r="S55">
        <f t="shared" ref="S55" si="253">R55/100000</f>
        <v>-4174.9233486376825</v>
      </c>
      <c r="T55">
        <f t="shared" ref="T55" si="254">S55/1000</f>
        <v>-4.1749233486376829</v>
      </c>
    </row>
    <row r="56" spans="1:20" x14ac:dyDescent="0.25">
      <c r="A56" s="5">
        <v>44537</v>
      </c>
      <c r="B56">
        <v>9.1910000000000006E-2</v>
      </c>
      <c r="C56">
        <v>9.6149999999999999E-2</v>
      </c>
      <c r="D56">
        <v>9.0039999999999995E-2</v>
      </c>
      <c r="E56">
        <v>9.1889999999999999E-2</v>
      </c>
      <c r="F56">
        <v>105236672.59999999</v>
      </c>
      <c r="G56">
        <v>9.1889999999999999E-2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-0.39443535188215939</v>
      </c>
      <c r="Q56">
        <f t="shared" ref="Q56" si="256">F56*P56</f>
        <v>-41509063.987888597</v>
      </c>
      <c r="R56">
        <f t="shared" ref="R56" si="257">R57+Q56</f>
        <v>-460699692.7096138</v>
      </c>
      <c r="S56">
        <f t="shared" ref="S56" si="258">R56/100000</f>
        <v>-4606.9969270961383</v>
      </c>
      <c r="T56">
        <f t="shared" ref="T56" si="259">S56/1000</f>
        <v>-4.6069969270961382</v>
      </c>
    </row>
    <row r="57" spans="1:20" x14ac:dyDescent="0.25">
      <c r="A57" s="5">
        <v>44536</v>
      </c>
      <c r="B57">
        <v>8.9440000000000006E-2</v>
      </c>
      <c r="C57">
        <v>9.2780000000000001E-2</v>
      </c>
      <c r="D57">
        <v>8.2400000000000001E-2</v>
      </c>
      <c r="E57">
        <v>9.2050000000000007E-2</v>
      </c>
      <c r="F57">
        <v>157668460.80000001</v>
      </c>
      <c r="G57">
        <v>9.2050000000000007E-2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0.859344894026976</v>
      </c>
      <c r="Q57">
        <f t="shared" ref="Q57" si="261">F57*P57</f>
        <v>135491586.73757243</v>
      </c>
      <c r="R57">
        <f t="shared" ref="R57" si="262">R58+Q57</f>
        <v>-419190628.72172523</v>
      </c>
      <c r="S57">
        <f t="shared" ref="S57" si="263">R57/100000</f>
        <v>-4191.9062872172526</v>
      </c>
      <c r="T57">
        <f t="shared" ref="T57" si="264">S57/1000</f>
        <v>-4.191906287217253</v>
      </c>
    </row>
    <row r="58" spans="1:20" x14ac:dyDescent="0.25">
      <c r="A58" s="5">
        <v>44535</v>
      </c>
      <c r="B58">
        <v>9.2329999999999995E-2</v>
      </c>
      <c r="C58">
        <v>9.4810000000000005E-2</v>
      </c>
      <c r="D58">
        <v>8.43E-2</v>
      </c>
      <c r="E58">
        <v>8.9370000000000005E-2</v>
      </c>
      <c r="F58">
        <v>135557615.69999999</v>
      </c>
      <c r="G58">
        <v>8.9370000000000005E-2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-3.5204567078971946E-2</v>
      </c>
      <c r="Q58">
        <f t="shared" ref="Q58" si="266">F58*P58</f>
        <v>-4772247.1749761505</v>
      </c>
      <c r="R58">
        <f t="shared" ref="R58" si="267">R59+Q58</f>
        <v>-554682215.45929766</v>
      </c>
      <c r="S58">
        <f t="shared" ref="S58" si="268">R58/100000</f>
        <v>-5546.8221545929764</v>
      </c>
      <c r="T58">
        <f t="shared" ref="T58" si="269">S58/1000</f>
        <v>-5.5468221545929763</v>
      </c>
    </row>
    <row r="59" spans="1:20" x14ac:dyDescent="0.25">
      <c r="A59" s="5">
        <v>44534</v>
      </c>
      <c r="B59">
        <v>0.10526000000000001</v>
      </c>
      <c r="C59">
        <v>0.10545</v>
      </c>
      <c r="D59">
        <v>6.4689999999999998E-2</v>
      </c>
      <c r="E59">
        <v>9.2350000000000002E-2</v>
      </c>
      <c r="F59">
        <v>342742983.30000001</v>
      </c>
      <c r="G59">
        <v>9.2350000000000002E-2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0.35721295387634938</v>
      </c>
      <c r="Q59">
        <f t="shared" ref="Q59" si="271">F59*P59</f>
        <v>122432233.48498529</v>
      </c>
      <c r="R59">
        <f t="shared" ref="R59" si="272">R60+Q59</f>
        <v>-549909968.28432155</v>
      </c>
      <c r="S59">
        <f t="shared" ref="S59" si="273">R59/100000</f>
        <v>-5499.0996828432153</v>
      </c>
      <c r="T59">
        <f t="shared" ref="T59" si="274">S59/1000</f>
        <v>-5.499099682843215</v>
      </c>
    </row>
    <row r="60" spans="1:20" x14ac:dyDescent="0.25">
      <c r="A60" s="5">
        <v>44533</v>
      </c>
      <c r="B60">
        <v>0.10591</v>
      </c>
      <c r="C60">
        <v>0.11749999999999999</v>
      </c>
      <c r="D60">
        <v>0.10289</v>
      </c>
      <c r="E60">
        <v>0.1053</v>
      </c>
      <c r="F60">
        <v>271427436.5</v>
      </c>
      <c r="G60">
        <v>0.1053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-0.67008898015058049</v>
      </c>
      <c r="Q60">
        <f t="shared" ref="Q60" si="276">F60*P60</f>
        <v>-181880534.10917145</v>
      </c>
      <c r="R60">
        <f t="shared" ref="R60" si="277">R61+Q60</f>
        <v>-672342201.76930678</v>
      </c>
      <c r="S60">
        <f t="shared" ref="S60" si="278">R60/100000</f>
        <v>-6723.4220176930676</v>
      </c>
      <c r="T60">
        <f t="shared" ref="T60" si="279">S60/1000</f>
        <v>-6.7234220176930677</v>
      </c>
    </row>
    <row r="61" spans="1:20" x14ac:dyDescent="0.25">
      <c r="A61" s="5">
        <v>44532</v>
      </c>
      <c r="B61">
        <v>0.10727</v>
      </c>
      <c r="C61">
        <v>0.10772</v>
      </c>
      <c r="D61">
        <v>0.10267</v>
      </c>
      <c r="E61">
        <v>0.10591</v>
      </c>
      <c r="F61">
        <v>86746035.799999997</v>
      </c>
      <c r="G61">
        <v>0.10591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0.28316831683168614</v>
      </c>
      <c r="Q61">
        <f t="shared" ref="Q61" si="281">F61*P61</f>
        <v>24563728.949307188</v>
      </c>
      <c r="R61">
        <f t="shared" ref="R61" si="282">R62+Q61</f>
        <v>-490461667.66013533</v>
      </c>
      <c r="S61">
        <f t="shared" ref="S61" si="283">R61/100000</f>
        <v>-4904.616676601353</v>
      </c>
      <c r="T61">
        <f t="shared" ref="T61" si="284">S61/1000</f>
        <v>-4.9046166766013526</v>
      </c>
    </row>
    <row r="62" spans="1:20" x14ac:dyDescent="0.25">
      <c r="A62" s="5">
        <v>44531</v>
      </c>
      <c r="B62">
        <v>0.10747</v>
      </c>
      <c r="C62">
        <v>0.11176999999999999</v>
      </c>
      <c r="D62">
        <v>0.105</v>
      </c>
      <c r="E62">
        <v>0.10731</v>
      </c>
      <c r="F62">
        <v>100481233.59999999</v>
      </c>
      <c r="G62">
        <v>0.10731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-0.31757754800590632</v>
      </c>
      <c r="Q62">
        <f t="shared" ref="Q62" si="286">F62*P62</f>
        <v>-31910583.787296686</v>
      </c>
      <c r="R62">
        <f t="shared" ref="R62" si="287">R63+Q62</f>
        <v>-515025396.60944253</v>
      </c>
      <c r="S62">
        <f t="shared" ref="S62" si="288">R62/100000</f>
        <v>-5150.2539660944249</v>
      </c>
      <c r="T62">
        <f t="shared" ref="T62" si="289">S62/1000</f>
        <v>-5.1502539660944251</v>
      </c>
    </row>
    <row r="63" spans="1:20" x14ac:dyDescent="0.25">
      <c r="A63" s="5">
        <v>44530</v>
      </c>
      <c r="B63">
        <v>0.11114</v>
      </c>
      <c r="C63">
        <v>0.11239</v>
      </c>
      <c r="D63">
        <v>0.1065</v>
      </c>
      <c r="E63">
        <v>0.10736</v>
      </c>
      <c r="F63">
        <v>130417733.2</v>
      </c>
      <c r="G63">
        <v>0.10736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-0.70797962648556922</v>
      </c>
      <c r="Q63">
        <f t="shared" ref="Q63" si="291">F63*P63</f>
        <v>-92333098.038030624</v>
      </c>
      <c r="R63">
        <f t="shared" ref="R63" si="292">R64+Q63</f>
        <v>-483114812.82214582</v>
      </c>
      <c r="S63">
        <f t="shared" ref="S63" si="293">R63/100000</f>
        <v>-4831.1481282214581</v>
      </c>
      <c r="T63">
        <f t="shared" ref="T63" si="294">S63/1000</f>
        <v>-4.8311481282214581</v>
      </c>
    </row>
    <row r="64" spans="1:20" x14ac:dyDescent="0.25">
      <c r="A64" s="5">
        <v>44529</v>
      </c>
      <c r="B64">
        <v>0.11164</v>
      </c>
      <c r="C64">
        <v>0.11287</v>
      </c>
      <c r="D64">
        <v>0.10846</v>
      </c>
      <c r="E64">
        <v>0.11117</v>
      </c>
      <c r="F64">
        <v>100962829.8</v>
      </c>
      <c r="G64">
        <v>0.11117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0.2290249433106602</v>
      </c>
      <c r="Q64">
        <f t="shared" ref="Q64" si="296">F64*P64</f>
        <v>23123006.371428832</v>
      </c>
      <c r="R64">
        <f t="shared" ref="R64" si="297">R65+Q64</f>
        <v>-390781714.7841152</v>
      </c>
      <c r="S64">
        <f t="shared" ref="S64" si="298">R64/100000</f>
        <v>-3907.8171478411518</v>
      </c>
      <c r="T64">
        <f t="shared" ref="T64" si="299">S64/1000</f>
        <v>-3.9078171478411519</v>
      </c>
    </row>
    <row r="65" spans="1:20" x14ac:dyDescent="0.25">
      <c r="A65" s="5">
        <v>44528</v>
      </c>
      <c r="B65">
        <v>0.10947</v>
      </c>
      <c r="C65">
        <v>0.11583</v>
      </c>
      <c r="D65">
        <v>0.10299999999999999</v>
      </c>
      <c r="E65">
        <v>0.11174000000000001</v>
      </c>
      <c r="F65">
        <v>216838903.69999999</v>
      </c>
      <c r="G65">
        <v>0.11174000000000001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0.36243180046765489</v>
      </c>
      <c r="Q65">
        <f t="shared" ref="Q65" si="301">F65*P65</f>
        <v>78589314.279423431</v>
      </c>
      <c r="R65">
        <f t="shared" ref="R65" si="302">R66+Q65</f>
        <v>-413904721.15554404</v>
      </c>
      <c r="S65">
        <f t="shared" ref="S65" si="303">R65/100000</f>
        <v>-4139.0472115554403</v>
      </c>
      <c r="T65">
        <f t="shared" ref="T65" si="304">S65/1000</f>
        <v>-4.1390472115554404</v>
      </c>
    </row>
    <row r="66" spans="1:20" x14ac:dyDescent="0.25">
      <c r="A66" s="5">
        <v>44527</v>
      </c>
      <c r="B66">
        <v>0.10339</v>
      </c>
      <c r="C66">
        <v>0.11355</v>
      </c>
      <c r="D66">
        <v>0.10279000000000001</v>
      </c>
      <c r="E66">
        <v>0.10933</v>
      </c>
      <c r="F66">
        <v>157715330.90000001</v>
      </c>
      <c r="G66">
        <v>0.10933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0.21561338289962736</v>
      </c>
      <c r="Q66">
        <f t="shared" ref="Q66" si="306">F66*P66</f>
        <v>34005536.030483134</v>
      </c>
      <c r="R66">
        <f t="shared" ref="R66" si="307">R67+Q66</f>
        <v>-492494035.43496746</v>
      </c>
      <c r="S66">
        <f t="shared" ref="S66" si="308">R66/100000</f>
        <v>-4924.9403543496746</v>
      </c>
      <c r="T66">
        <f t="shared" ref="T66" si="309">S66/1000</f>
        <v>-4.9249403543496744</v>
      </c>
    </row>
    <row r="67" spans="1:20" x14ac:dyDescent="0.25">
      <c r="A67" s="5">
        <v>44526</v>
      </c>
      <c r="B67">
        <v>0.11463</v>
      </c>
      <c r="C67">
        <v>0.11483</v>
      </c>
      <c r="D67">
        <v>9.8760000000000001E-2</v>
      </c>
      <c r="E67">
        <v>0.10339</v>
      </c>
      <c r="F67">
        <v>223394039.90000001</v>
      </c>
      <c r="G67">
        <v>0.10339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-0.42377100186683325</v>
      </c>
      <c r="Q67">
        <f t="shared" ref="Q67" si="311">F67*P67</f>
        <v>-94667916.099502325</v>
      </c>
      <c r="R67">
        <f t="shared" ref="R67" si="312">R68+Q67</f>
        <v>-526499571.46545058</v>
      </c>
      <c r="S67">
        <f t="shared" ref="S67" si="313">R67/100000</f>
        <v>-5264.9957146545057</v>
      </c>
      <c r="T67">
        <f t="shared" ref="T67" si="314">S67/1000</f>
        <v>-5.2649957146545061</v>
      </c>
    </row>
    <row r="68" spans="1:20" x14ac:dyDescent="0.25">
      <c r="A68" s="5">
        <v>44525</v>
      </c>
      <c r="B68">
        <v>0.11244999999999999</v>
      </c>
      <c r="C68">
        <v>0.1178</v>
      </c>
      <c r="D68">
        <v>0.11076999999999999</v>
      </c>
      <c r="E68">
        <v>0.11459</v>
      </c>
      <c r="F68">
        <v>124161651.09999999</v>
      </c>
      <c r="G68">
        <v>0.11459</v>
      </c>
      <c r="L68" t="s">
        <v>7</v>
      </c>
      <c r="M68" t="s">
        <v>8</v>
      </c>
      <c r="N68" t="s">
        <v>7</v>
      </c>
      <c r="P68">
        <f t="shared" ref="P68" si="315">IF(C68=D68,0,((E68-D68)-(C68-E68))/(C68-D68))</f>
        <v>8.6770981507823433E-2</v>
      </c>
      <c r="Q68">
        <f t="shared" ref="Q68" si="316">F68*P68</f>
        <v>10773628.331578925</v>
      </c>
      <c r="R68">
        <f t="shared" ref="R68" si="317">R69+Q68</f>
        <v>-431831655.36594826</v>
      </c>
      <c r="S68">
        <f t="shared" ref="S68" si="318">R68/100000</f>
        <v>-4318.3165536594825</v>
      </c>
      <c r="T68">
        <f t="shared" ref="T68" si="319">S68/1000</f>
        <v>-4.3183165536594821</v>
      </c>
    </row>
    <row r="69" spans="1:20" x14ac:dyDescent="0.25">
      <c r="A69" s="5">
        <v>44524</v>
      </c>
      <c r="B69">
        <v>0.11532000000000001</v>
      </c>
      <c r="C69">
        <v>0.11651</v>
      </c>
      <c r="D69">
        <v>0.11255</v>
      </c>
      <c r="E69">
        <v>0.11380999999999999</v>
      </c>
      <c r="F69">
        <v>35011957.5</v>
      </c>
      <c r="G69">
        <v>0.11380999999999999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-0.36363636363636587</v>
      </c>
      <c r="Q69">
        <f t="shared" ref="Q69" si="321">F69*P69</f>
        <v>-12731620.909090986</v>
      </c>
      <c r="R69">
        <f t="shared" ref="R69" si="322">R70+Q69</f>
        <v>-442605283.69752717</v>
      </c>
      <c r="S69">
        <f t="shared" ref="S69" si="323">R69/100000</f>
        <v>-4426.0528369752719</v>
      </c>
      <c r="T69">
        <f t="shared" ref="T69" si="324">S69/1000</f>
        <v>-4.4260528369752716</v>
      </c>
    </row>
    <row r="70" spans="1:20" x14ac:dyDescent="0.25">
      <c r="A70" s="5">
        <v>44523</v>
      </c>
      <c r="B70">
        <v>0.11531</v>
      </c>
      <c r="C70">
        <v>0.11669</v>
      </c>
      <c r="D70">
        <v>0.112</v>
      </c>
      <c r="E70">
        <v>0.11527999999999999</v>
      </c>
      <c r="F70">
        <v>96606364.599999994</v>
      </c>
      <c r="G70">
        <v>0.11527999999999999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0.39872068230276819</v>
      </c>
      <c r="Q70">
        <f t="shared" ref="Q70" si="326">F70*P70</f>
        <v>38518955.608101986</v>
      </c>
      <c r="R70">
        <f t="shared" ref="R70" si="327">R71+Q70</f>
        <v>-429873662.78843617</v>
      </c>
      <c r="S70">
        <f t="shared" ref="S70" si="328">R70/100000</f>
        <v>-4298.736627884362</v>
      </c>
      <c r="T70">
        <f t="shared" ref="T70" si="329">S70/1000</f>
        <v>-4.2987366278843622</v>
      </c>
    </row>
    <row r="71" spans="1:20" x14ac:dyDescent="0.25">
      <c r="A71" s="5">
        <v>44522</v>
      </c>
      <c r="B71">
        <v>0.12017</v>
      </c>
      <c r="C71">
        <v>0.12052</v>
      </c>
      <c r="D71">
        <v>0.11289</v>
      </c>
      <c r="E71">
        <v>0.11531</v>
      </c>
      <c r="F71">
        <v>108357357.3</v>
      </c>
      <c r="G71">
        <v>0.11531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-0.36566186107470716</v>
      </c>
      <c r="Q71">
        <f t="shared" ref="Q71" si="331">F71*P71</f>
        <v>-39622152.931455001</v>
      </c>
      <c r="R71">
        <f t="shared" ref="R71" si="332">R72+Q71</f>
        <v>-468392618.39653814</v>
      </c>
      <c r="S71">
        <f t="shared" ref="S71" si="333">R71/100000</f>
        <v>-4683.9261839653818</v>
      </c>
      <c r="T71">
        <f t="shared" ref="T71" si="334">S71/1000</f>
        <v>-4.6839261839653821</v>
      </c>
    </row>
    <row r="72" spans="1:20" x14ac:dyDescent="0.25">
      <c r="A72" s="5">
        <v>44521</v>
      </c>
      <c r="B72">
        <v>0.12318</v>
      </c>
      <c r="C72">
        <v>0.12444</v>
      </c>
      <c r="D72">
        <v>0.11926</v>
      </c>
      <c r="E72">
        <v>0.12013</v>
      </c>
      <c r="F72">
        <v>103619125</v>
      </c>
      <c r="G72">
        <v>0.12013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-0.6640926640926651</v>
      </c>
      <c r="Q72">
        <f t="shared" ref="Q72" si="336">F72*P72</f>
        <v>-68812700.772200882</v>
      </c>
      <c r="R72">
        <f t="shared" ref="R72" si="337">R73+Q72</f>
        <v>-428770465.46508312</v>
      </c>
      <c r="S72">
        <f t="shared" ref="S72" si="338">R72/100000</f>
        <v>-4287.7046546508309</v>
      </c>
      <c r="T72">
        <f t="shared" ref="T72" si="339">S72/1000</f>
        <v>-4.2877046546508311</v>
      </c>
    </row>
    <row r="73" spans="1:20" x14ac:dyDescent="0.25">
      <c r="A73" s="5">
        <v>44520</v>
      </c>
      <c r="B73">
        <v>0.12367</v>
      </c>
      <c r="C73">
        <v>0.12484000000000001</v>
      </c>
      <c r="D73">
        <v>0.11688</v>
      </c>
      <c r="E73">
        <v>0.12313</v>
      </c>
      <c r="F73">
        <v>116542312.09999999</v>
      </c>
      <c r="G73">
        <v>0.12313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0.57035175879396949</v>
      </c>
      <c r="Q73">
        <f t="shared" ref="Q73" si="341">F73*P73</f>
        <v>66470112.68015071</v>
      </c>
      <c r="R73">
        <f t="shared" ref="R73" si="342">R74+Q73</f>
        <v>-359957764.69288224</v>
      </c>
      <c r="S73">
        <f t="shared" ref="S73" si="343">R73/100000</f>
        <v>-3599.5776469288226</v>
      </c>
      <c r="T73">
        <f t="shared" ref="T73" si="344">S73/1000</f>
        <v>-3.5995776469288225</v>
      </c>
    </row>
    <row r="74" spans="1:20" x14ac:dyDescent="0.25">
      <c r="A74" s="5">
        <v>44519</v>
      </c>
      <c r="B74">
        <v>0.11554</v>
      </c>
      <c r="C74">
        <v>0.12441000000000001</v>
      </c>
      <c r="D74">
        <v>0.11318</v>
      </c>
      <c r="E74">
        <v>0.12372</v>
      </c>
      <c r="F74">
        <v>134975336.5</v>
      </c>
      <c r="G74">
        <v>0.12372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0.87711487088156548</v>
      </c>
      <c r="Q74">
        <f t="shared" ref="Q74" si="346">F74*P74</f>
        <v>118388874.84639335</v>
      </c>
      <c r="R74">
        <f t="shared" ref="R74" si="347">R75+Q74</f>
        <v>-426427877.37303293</v>
      </c>
      <c r="S74">
        <f t="shared" ref="S74" si="348">R74/100000</f>
        <v>-4264.2787737303297</v>
      </c>
      <c r="T74">
        <f t="shared" ref="T74" si="349">S74/1000</f>
        <v>-4.2642787737303296</v>
      </c>
    </row>
    <row r="75" spans="1:20" x14ac:dyDescent="0.25">
      <c r="A75" s="5">
        <v>44518</v>
      </c>
      <c r="B75">
        <v>0.1162</v>
      </c>
      <c r="C75">
        <v>0.12325999999999999</v>
      </c>
      <c r="D75">
        <v>0.1087</v>
      </c>
      <c r="E75">
        <v>0.11543</v>
      </c>
      <c r="F75">
        <v>275981006.80000001</v>
      </c>
      <c r="G75">
        <v>0.11543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-7.5549450549449906E-2</v>
      </c>
      <c r="Q75">
        <f t="shared" ref="Q75" si="351">F75*P75</f>
        <v>-20850213.425823998</v>
      </c>
      <c r="R75">
        <f t="shared" ref="R75" si="352">R76+Q75</f>
        <v>-544816752.21942627</v>
      </c>
      <c r="S75">
        <f t="shared" ref="S75" si="353">R75/100000</f>
        <v>-5448.1675221942623</v>
      </c>
      <c r="T75">
        <f t="shared" ref="T75" si="354">S75/1000</f>
        <v>-5.4481675221942627</v>
      </c>
    </row>
    <row r="76" spans="1:20" x14ac:dyDescent="0.25">
      <c r="A76" s="5">
        <v>44517</v>
      </c>
      <c r="B76">
        <v>0.11355999999999999</v>
      </c>
      <c r="C76">
        <v>0.11824</v>
      </c>
      <c r="D76">
        <v>0.10857</v>
      </c>
      <c r="E76">
        <v>0.11617</v>
      </c>
      <c r="F76">
        <v>106902175.90000001</v>
      </c>
      <c r="G76">
        <v>0.11617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0.57187176835573883</v>
      </c>
      <c r="Q76">
        <f t="shared" ref="Q76" si="356">F76*P76</f>
        <v>61134336.37300925</v>
      </c>
      <c r="R76">
        <f t="shared" ref="R76" si="357">R77+Q76</f>
        <v>-523966538.79360229</v>
      </c>
      <c r="S76">
        <f t="shared" ref="S76" si="358">R76/100000</f>
        <v>-5239.6653879360229</v>
      </c>
      <c r="T76">
        <f t="shared" ref="T76" si="359">S76/1000</f>
        <v>-5.2396653879360224</v>
      </c>
    </row>
    <row r="77" spans="1:20" x14ac:dyDescent="0.25">
      <c r="A77" s="5">
        <v>44516</v>
      </c>
      <c r="B77">
        <v>0.12642</v>
      </c>
      <c r="C77">
        <v>0.12642999999999999</v>
      </c>
      <c r="D77">
        <v>0.10456</v>
      </c>
      <c r="E77">
        <v>0.11358</v>
      </c>
      <c r="F77">
        <v>182252036.40000001</v>
      </c>
      <c r="G77">
        <v>0.11358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-0.17512574302697706</v>
      </c>
      <c r="Q77">
        <f t="shared" ref="Q77" si="361">F77*P77</f>
        <v>-31917023.292729672</v>
      </c>
      <c r="R77">
        <f t="shared" ref="R77" si="362">R78+Q77</f>
        <v>-585100875.16661155</v>
      </c>
      <c r="S77">
        <f t="shared" ref="S77" si="363">R77/100000</f>
        <v>-5851.0087516661151</v>
      </c>
      <c r="T77">
        <f t="shared" ref="T77" si="364">S77/1000</f>
        <v>-5.8510087516661153</v>
      </c>
    </row>
    <row r="78" spans="1:20" x14ac:dyDescent="0.25">
      <c r="A78" s="5">
        <v>44515</v>
      </c>
      <c r="B78">
        <v>0.13013</v>
      </c>
      <c r="C78">
        <v>0.13089000000000001</v>
      </c>
      <c r="D78">
        <v>0.12389</v>
      </c>
      <c r="E78">
        <v>0.12634000000000001</v>
      </c>
      <c r="F78">
        <v>95338924.599999994</v>
      </c>
      <c r="G78">
        <v>0.12634000000000001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-0.29999999999999843</v>
      </c>
      <c r="Q78">
        <f t="shared" ref="Q78" si="366">F78*P78</f>
        <v>-28601677.37999985</v>
      </c>
      <c r="R78">
        <f t="shared" ref="R78" si="367">R79+Q78</f>
        <v>-553183851.87388194</v>
      </c>
      <c r="S78">
        <f t="shared" ref="S78" si="368">R78/100000</f>
        <v>-5531.8385187388194</v>
      </c>
      <c r="T78">
        <f t="shared" ref="T78" si="369">S78/1000</f>
        <v>-5.5318385187388195</v>
      </c>
    </row>
    <row r="79" spans="1:20" x14ac:dyDescent="0.25">
      <c r="A79" s="5">
        <v>44514</v>
      </c>
      <c r="B79">
        <v>0.12914999999999999</v>
      </c>
      <c r="C79">
        <v>0.13457</v>
      </c>
      <c r="D79">
        <v>0.12614</v>
      </c>
      <c r="E79">
        <v>0.13009000000000001</v>
      </c>
      <c r="F79">
        <v>154668203.30000001</v>
      </c>
      <c r="G79">
        <v>0.13009000000000001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-6.2870699881373115E-2</v>
      </c>
      <c r="Q79">
        <f t="shared" ref="Q79" si="371">F79*P79</f>
        <v>-9724098.1908655036</v>
      </c>
      <c r="R79">
        <f t="shared" ref="R79" si="372">R80+Q79</f>
        <v>-524582174.49388212</v>
      </c>
      <c r="S79">
        <f t="shared" ref="S79" si="373">R79/100000</f>
        <v>-5245.8217449388212</v>
      </c>
      <c r="T79">
        <f t="shared" ref="T79" si="374">S79/1000</f>
        <v>-5.2458217449388211</v>
      </c>
    </row>
    <row r="80" spans="1:20" x14ac:dyDescent="0.25">
      <c r="A80" s="5">
        <v>44513</v>
      </c>
      <c r="B80">
        <v>0.12508</v>
      </c>
      <c r="C80">
        <v>0.13120999999999999</v>
      </c>
      <c r="D80">
        <v>0.12393999999999999</v>
      </c>
      <c r="E80">
        <v>0.12916</v>
      </c>
      <c r="F80">
        <v>98485355.900000006</v>
      </c>
      <c r="G80">
        <v>0.12916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0.43603851444291702</v>
      </c>
      <c r="Q80">
        <f t="shared" ref="Q80" si="376">F80*P80</f>
        <v>42943408.281017974</v>
      </c>
      <c r="R80">
        <f t="shared" ref="R80" si="377">R81+Q80</f>
        <v>-514858076.3030166</v>
      </c>
      <c r="S80">
        <f t="shared" ref="S80" si="378">R80/100000</f>
        <v>-5148.5807630301661</v>
      </c>
      <c r="T80">
        <f t="shared" ref="T80" si="379">S80/1000</f>
        <v>-5.1485807630301661</v>
      </c>
    </row>
    <row r="81" spans="1:20" x14ac:dyDescent="0.25">
      <c r="A81" s="5">
        <v>44512</v>
      </c>
      <c r="B81">
        <v>0.12703999999999999</v>
      </c>
      <c r="C81">
        <v>0.12978000000000001</v>
      </c>
      <c r="D81">
        <v>0.12044000000000001</v>
      </c>
      <c r="E81">
        <v>0.12506999999999999</v>
      </c>
      <c r="F81">
        <v>106646425.59999999</v>
      </c>
      <c r="G81">
        <v>0.12506999999999999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-8.5653104925094616E-3</v>
      </c>
      <c r="Q81">
        <f t="shared" ref="Q81" si="381">F81*P81</f>
        <v>-913459.74818030966</v>
      </c>
      <c r="R81">
        <f t="shared" ref="R81" si="382">R82+Q81</f>
        <v>-557801484.58403456</v>
      </c>
      <c r="S81">
        <f t="shared" ref="S81" si="383">R81/100000</f>
        <v>-5578.0148458403455</v>
      </c>
      <c r="T81">
        <f t="shared" ref="T81" si="384">S81/1000</f>
        <v>-5.5780148458403458</v>
      </c>
    </row>
    <row r="82" spans="1:20" x14ac:dyDescent="0.25">
      <c r="A82" s="5">
        <v>44511</v>
      </c>
      <c r="B82">
        <v>0.12302</v>
      </c>
      <c r="C82">
        <v>0.12961</v>
      </c>
      <c r="D82">
        <v>0.12096</v>
      </c>
      <c r="E82">
        <v>0.12712000000000001</v>
      </c>
      <c r="F82">
        <v>108875007.09999999</v>
      </c>
      <c r="G82">
        <v>0.12712000000000001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0.42427745664740096</v>
      </c>
      <c r="Q82">
        <f t="shared" ref="Q82" si="386">F82*P82</f>
        <v>46193211.104855716</v>
      </c>
      <c r="R82">
        <f t="shared" ref="R82" si="387">R83+Q82</f>
        <v>-556888024.83585429</v>
      </c>
      <c r="S82">
        <f t="shared" ref="S82" si="388">R82/100000</f>
        <v>-5568.8802483585432</v>
      </c>
      <c r="T82">
        <f t="shared" ref="T82" si="389">S82/1000</f>
        <v>-5.5688802483585436</v>
      </c>
    </row>
    <row r="83" spans="1:20" x14ac:dyDescent="0.25">
      <c r="A83" s="5">
        <v>44510</v>
      </c>
      <c r="B83">
        <v>0.13589000000000001</v>
      </c>
      <c r="C83">
        <v>0.13796</v>
      </c>
      <c r="D83">
        <v>0.111</v>
      </c>
      <c r="E83">
        <v>0.12306</v>
      </c>
      <c r="F83">
        <v>210760930.5</v>
      </c>
      <c r="G83">
        <v>0.12306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-0.10534124629080102</v>
      </c>
      <c r="Q83">
        <f t="shared" ref="Q83" si="391">F83*P83</f>
        <v>-22201819.088278897</v>
      </c>
      <c r="R83">
        <f t="shared" ref="R83" si="392">R84+Q83</f>
        <v>-603081235.94070995</v>
      </c>
      <c r="S83">
        <f t="shared" ref="S83" si="393">R83/100000</f>
        <v>-6030.8123594070994</v>
      </c>
      <c r="T83">
        <f t="shared" ref="T83" si="394">S83/1000</f>
        <v>-6.0308123594070997</v>
      </c>
    </row>
    <row r="84" spans="1:20" x14ac:dyDescent="0.25">
      <c r="A84" s="5">
        <v>44509</v>
      </c>
      <c r="B84">
        <v>0.13664000000000001</v>
      </c>
      <c r="C84">
        <v>0.14149999999999999</v>
      </c>
      <c r="D84">
        <v>0.13403000000000001</v>
      </c>
      <c r="E84">
        <v>0.13586999999999999</v>
      </c>
      <c r="F84">
        <v>161549508.80000001</v>
      </c>
      <c r="G84">
        <v>0.13586999999999999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-0.50736278447122185</v>
      </c>
      <c r="Q84">
        <f t="shared" ref="Q84" si="396">F84*P84</f>
        <v>-81964208.614726171</v>
      </c>
      <c r="R84">
        <f t="shared" ref="R84" si="397">R85+Q84</f>
        <v>-580879416.85243106</v>
      </c>
      <c r="S84">
        <f t="shared" ref="S84" si="398">R84/100000</f>
        <v>-5808.7941685243104</v>
      </c>
      <c r="T84">
        <f t="shared" ref="T84" si="399">S84/1000</f>
        <v>-5.8087941685243107</v>
      </c>
    </row>
    <row r="85" spans="1:20" x14ac:dyDescent="0.25">
      <c r="A85" s="5">
        <v>44508</v>
      </c>
      <c r="B85">
        <v>0.13371</v>
      </c>
      <c r="C85">
        <v>0.13800000000000001</v>
      </c>
      <c r="D85">
        <v>0.12966</v>
      </c>
      <c r="E85">
        <v>0.13641</v>
      </c>
      <c r="F85">
        <v>157196813.30000001</v>
      </c>
      <c r="G85">
        <v>0.13641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0.61870503597122173</v>
      </c>
      <c r="Q85">
        <f t="shared" ref="Q85" si="401">F85*P85</f>
        <v>97258460.027337939</v>
      </c>
      <c r="R85">
        <f t="shared" ref="R85" si="402">R86+Q85</f>
        <v>-498915208.23770487</v>
      </c>
      <c r="S85">
        <f t="shared" ref="S85" si="403">R85/100000</f>
        <v>-4989.1520823770488</v>
      </c>
      <c r="T85">
        <f t="shared" ref="T85" si="404">S85/1000</f>
        <v>-4.989152082377049</v>
      </c>
    </row>
    <row r="86" spans="1:20" x14ac:dyDescent="0.25">
      <c r="A86" s="5">
        <v>44507</v>
      </c>
      <c r="B86">
        <v>0.13688</v>
      </c>
      <c r="C86">
        <v>0.13938999999999999</v>
      </c>
      <c r="D86">
        <v>0.13331000000000001</v>
      </c>
      <c r="E86">
        <v>0.13372000000000001</v>
      </c>
      <c r="F86">
        <v>91124940.299999997</v>
      </c>
      <c r="G86">
        <v>0.13372000000000001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-0.86513157894736992</v>
      </c>
      <c r="Q86">
        <f t="shared" ref="Q86" si="406">F86*P86</f>
        <v>-78835063.483223811</v>
      </c>
      <c r="R86">
        <f t="shared" ref="R86" si="407">R87+Q86</f>
        <v>-596173668.26504278</v>
      </c>
      <c r="S86">
        <f t="shared" ref="S86" si="408">R86/100000</f>
        <v>-5961.7366826504276</v>
      </c>
      <c r="T86">
        <f t="shared" ref="T86" si="409">S86/1000</f>
        <v>-5.9617366826504279</v>
      </c>
    </row>
    <row r="87" spans="1:20" x14ac:dyDescent="0.25">
      <c r="A87" s="5">
        <v>44506</v>
      </c>
      <c r="B87">
        <v>0.13614999999999999</v>
      </c>
      <c r="C87">
        <v>0.13994000000000001</v>
      </c>
      <c r="D87">
        <v>0.12959000000000001</v>
      </c>
      <c r="E87">
        <v>0.13686999999999999</v>
      </c>
      <c r="F87">
        <v>128508887.3</v>
      </c>
      <c r="G87">
        <v>0.13686999999999999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0.40676328502415116</v>
      </c>
      <c r="Q87">
        <f t="shared" ref="Q87" si="411">F87*P87</f>
        <v>52272697.15294642</v>
      </c>
      <c r="R87">
        <f t="shared" ref="R87" si="412">R88+Q87</f>
        <v>-517338604.78181893</v>
      </c>
      <c r="S87">
        <f t="shared" ref="S87" si="413">R87/100000</f>
        <v>-5173.3860478181896</v>
      </c>
      <c r="T87">
        <f t="shared" ref="T87" si="414">S87/1000</f>
        <v>-5.1733860478181892</v>
      </c>
    </row>
    <row r="88" spans="1:20" x14ac:dyDescent="0.25">
      <c r="A88" s="5">
        <v>44505</v>
      </c>
      <c r="B88">
        <v>0.14399000000000001</v>
      </c>
      <c r="C88">
        <v>0.14787</v>
      </c>
      <c r="D88">
        <v>0.13339999999999999</v>
      </c>
      <c r="E88">
        <v>0.13614999999999999</v>
      </c>
      <c r="F88">
        <v>200740738.90000001</v>
      </c>
      <c r="G88">
        <v>0.13614999999999999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-0.61990324809951614</v>
      </c>
      <c r="Q88">
        <f t="shared" ref="Q88" si="416">F88*P88</f>
        <v>-124439836.07000689</v>
      </c>
      <c r="R88">
        <f t="shared" ref="R88" si="417">R89+Q88</f>
        <v>-569611301.93476534</v>
      </c>
      <c r="S88">
        <f t="shared" ref="S88" si="418">R88/100000</f>
        <v>-5696.1130193476538</v>
      </c>
      <c r="T88">
        <f t="shared" ref="T88" si="419">S88/1000</f>
        <v>-5.6961130193476537</v>
      </c>
    </row>
    <row r="89" spans="1:20" x14ac:dyDescent="0.25">
      <c r="A89" s="5">
        <v>44504</v>
      </c>
      <c r="B89">
        <v>0.13355</v>
      </c>
      <c r="C89">
        <v>0.14960999999999999</v>
      </c>
      <c r="D89">
        <v>0.13094</v>
      </c>
      <c r="E89">
        <v>0.14396999999999999</v>
      </c>
      <c r="F89">
        <v>562856948</v>
      </c>
      <c r="G89">
        <v>0.14396999999999999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0.39582217461167557</v>
      </c>
      <c r="Q89">
        <f t="shared" ref="Q89" si="421">F89*P89</f>
        <v>222791261.1526508</v>
      </c>
      <c r="R89">
        <f t="shared" ref="R89" si="422">R90+Q89</f>
        <v>-445171465.86475849</v>
      </c>
      <c r="S89">
        <f t="shared" ref="S89" si="423">R89/100000</f>
        <v>-4451.7146586475847</v>
      </c>
      <c r="T89">
        <f t="shared" ref="T89" si="424">S89/1000</f>
        <v>-4.4517146586475844</v>
      </c>
    </row>
    <row r="90" spans="1:20" x14ac:dyDescent="0.25">
      <c r="A90" s="5">
        <v>44503</v>
      </c>
      <c r="B90">
        <v>0.128</v>
      </c>
      <c r="C90">
        <v>0.13832</v>
      </c>
      <c r="D90">
        <v>0.1245</v>
      </c>
      <c r="E90">
        <v>0.13355</v>
      </c>
      <c r="F90">
        <v>418481932.10000002</v>
      </c>
      <c r="G90">
        <v>0.13355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0.30969609261939263</v>
      </c>
      <c r="Q90">
        <f t="shared" ref="Q90" si="426">F90*P90</f>
        <v>129602219.20318398</v>
      </c>
      <c r="R90">
        <f t="shared" ref="R90" si="427">R91+Q90</f>
        <v>-667962727.01740932</v>
      </c>
      <c r="S90">
        <f t="shared" ref="S90" si="428">R90/100000</f>
        <v>-6679.6272701740936</v>
      </c>
      <c r="T90">
        <f t="shared" ref="T90" si="429">S90/1000</f>
        <v>-6.6796272701740937</v>
      </c>
    </row>
    <row r="91" spans="1:20" x14ac:dyDescent="0.25">
      <c r="A91" s="5">
        <v>44502</v>
      </c>
      <c r="B91">
        <v>0.12019000000000001</v>
      </c>
      <c r="C91">
        <v>0.14074</v>
      </c>
      <c r="D91">
        <v>0.11840000000000001</v>
      </c>
      <c r="E91">
        <v>0.128</v>
      </c>
      <c r="F91">
        <v>463850789.60000002</v>
      </c>
      <c r="G91">
        <v>0.128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-0.14055505819158479</v>
      </c>
      <c r="Q91">
        <f t="shared" ref="Q91" si="431">F91*P91</f>
        <v>-65196574.724440552</v>
      </c>
      <c r="R91">
        <f t="shared" ref="R91" si="432">R92+Q91</f>
        <v>-797564946.22059333</v>
      </c>
      <c r="S91">
        <f t="shared" ref="S91" si="433">R91/100000</f>
        <v>-7975.6494622059336</v>
      </c>
      <c r="T91">
        <f t="shared" ref="T91" si="434">S91/1000</f>
        <v>-7.9756494622059337</v>
      </c>
    </row>
    <row r="92" spans="1:20" x14ac:dyDescent="0.25">
      <c r="A92" s="5">
        <v>44501</v>
      </c>
      <c r="B92">
        <v>0.12112000000000001</v>
      </c>
      <c r="C92">
        <v>0.12515999999999999</v>
      </c>
      <c r="D92">
        <v>0.11509999999999999</v>
      </c>
      <c r="E92">
        <v>0.12028</v>
      </c>
      <c r="F92">
        <v>194147805.69999999</v>
      </c>
      <c r="G92">
        <v>0.12028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2.9821073558648967E-2</v>
      </c>
      <c r="Q92">
        <f t="shared" ref="Q92" si="436">F92*P92</f>
        <v>5789695.9950299868</v>
      </c>
      <c r="R92">
        <f t="shared" ref="R92" si="437">R93+Q92</f>
        <v>-732368371.49615276</v>
      </c>
      <c r="S92">
        <f t="shared" ref="S92" si="438">R92/100000</f>
        <v>-7323.6837149615276</v>
      </c>
      <c r="T92">
        <f t="shared" ref="T92" si="439">S92/1000</f>
        <v>-7.3236837149615273</v>
      </c>
    </row>
    <row r="93" spans="1:20" x14ac:dyDescent="0.25">
      <c r="A93" s="5">
        <v>44500</v>
      </c>
      <c r="B93">
        <v>0.11570999999999999</v>
      </c>
      <c r="C93">
        <v>0.13333</v>
      </c>
      <c r="D93">
        <v>0.11224000000000001</v>
      </c>
      <c r="E93">
        <v>0.12111</v>
      </c>
      <c r="F93">
        <v>497989005.5</v>
      </c>
      <c r="G93">
        <v>0.12111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-0.15884305357989664</v>
      </c>
      <c r="Q93">
        <f t="shared" ref="Q93" si="441">F93*P93</f>
        <v>-79102094.282835945</v>
      </c>
      <c r="R93">
        <f t="shared" ref="R93" si="442">R94+Q93</f>
        <v>-738158067.4911828</v>
      </c>
      <c r="S93">
        <f t="shared" ref="S93" si="443">R93/100000</f>
        <v>-7381.5806749118283</v>
      </c>
      <c r="T93">
        <f t="shared" ref="T93" si="444">S93/1000</f>
        <v>-7.3815806749118282</v>
      </c>
    </row>
    <row r="94" spans="1:20" x14ac:dyDescent="0.25">
      <c r="A94" s="5">
        <v>44499</v>
      </c>
      <c r="B94">
        <v>0.1139</v>
      </c>
      <c r="C94">
        <v>0.12024</v>
      </c>
      <c r="D94">
        <v>0.10888</v>
      </c>
      <c r="E94">
        <v>0.11570999999999999</v>
      </c>
      <c r="F94">
        <v>134754659</v>
      </c>
      <c r="G94">
        <v>0.11570999999999999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0.20246478873239293</v>
      </c>
      <c r="Q94">
        <f t="shared" ref="Q94" si="446">F94*P94</f>
        <v>27283073.565140653</v>
      </c>
      <c r="R94">
        <f t="shared" ref="R94" si="447">R95+Q94</f>
        <v>-659055973.20834684</v>
      </c>
      <c r="S94">
        <f t="shared" ref="S94" si="448">R94/100000</f>
        <v>-6590.5597320834686</v>
      </c>
      <c r="T94">
        <f t="shared" ref="T94" si="449">S94/1000</f>
        <v>-6.5905597320834683</v>
      </c>
    </row>
    <row r="95" spans="1:20" x14ac:dyDescent="0.25">
      <c r="A95" s="5">
        <v>44498</v>
      </c>
      <c r="B95">
        <v>0.11101999999999999</v>
      </c>
      <c r="C95">
        <v>0.11572</v>
      </c>
      <c r="D95">
        <v>0.11035</v>
      </c>
      <c r="E95">
        <v>0.11385000000000001</v>
      </c>
      <c r="F95">
        <v>81705773.099999994</v>
      </c>
      <c r="G95">
        <v>0.11385000000000001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0.30353817504655617</v>
      </c>
      <c r="Q95">
        <f t="shared" ref="Q95" si="451">F95*P95</f>
        <v>24800821.257541999</v>
      </c>
      <c r="R95">
        <f t="shared" ref="R95" si="452">R96+Q95</f>
        <v>-686339046.77348745</v>
      </c>
      <c r="S95">
        <f t="shared" ref="S95" si="453">R95/100000</f>
        <v>-6863.3904677348746</v>
      </c>
      <c r="T95">
        <f t="shared" ref="T95" si="454">S95/1000</f>
        <v>-6.8633904677348747</v>
      </c>
    </row>
    <row r="96" spans="1:20" x14ac:dyDescent="0.25">
      <c r="A96" s="5">
        <v>44497</v>
      </c>
      <c r="B96">
        <v>0.10589</v>
      </c>
      <c r="C96">
        <v>0.11352</v>
      </c>
      <c r="D96">
        <v>0.10485999999999999</v>
      </c>
      <c r="E96">
        <v>0.11103</v>
      </c>
      <c r="F96">
        <v>114631131.90000001</v>
      </c>
      <c r="G96">
        <v>0.11103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0.42494226327944762</v>
      </c>
      <c r="Q96">
        <f t="shared" ref="Q96" si="456">F96*P96</f>
        <v>48711612.631870888</v>
      </c>
      <c r="R96">
        <f t="shared" ref="R96" si="457">R97+Q96</f>
        <v>-711139868.03102946</v>
      </c>
      <c r="S96">
        <f t="shared" ref="S96" si="458">R96/100000</f>
        <v>-7111.3986803102944</v>
      </c>
      <c r="T96">
        <f t="shared" ref="T96" si="459">S96/1000</f>
        <v>-7.1113986803102947</v>
      </c>
    </row>
    <row r="97" spans="1:20" x14ac:dyDescent="0.25">
      <c r="A97" s="5">
        <v>44496</v>
      </c>
      <c r="B97">
        <v>0.11874999999999999</v>
      </c>
      <c r="C97">
        <v>0.12068</v>
      </c>
      <c r="D97">
        <v>9.955E-2</v>
      </c>
      <c r="E97">
        <v>0.10594000000000001</v>
      </c>
      <c r="F97">
        <v>194633357.09999999</v>
      </c>
      <c r="G97">
        <v>0.10594000000000001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-0.39517274017983833</v>
      </c>
      <c r="Q97">
        <f t="shared" ref="Q97" si="461">F97*P97</f>
        <v>-76913797.055607989</v>
      </c>
      <c r="R97">
        <f t="shared" ref="R97" si="462">R98+Q97</f>
        <v>-759851480.66290033</v>
      </c>
      <c r="S97">
        <f t="shared" ref="S97" si="463">R97/100000</f>
        <v>-7598.514806629003</v>
      </c>
      <c r="T97">
        <f t="shared" ref="T97" si="464">S97/1000</f>
        <v>-7.5985148066290034</v>
      </c>
    </row>
    <row r="98" spans="1:20" x14ac:dyDescent="0.25">
      <c r="A98" s="5">
        <v>44495</v>
      </c>
      <c r="B98">
        <v>0.12218999999999999</v>
      </c>
      <c r="C98">
        <v>0.127</v>
      </c>
      <c r="D98">
        <v>0.11674</v>
      </c>
      <c r="E98">
        <v>0.11878</v>
      </c>
      <c r="F98">
        <v>128069337.2</v>
      </c>
      <c r="G98">
        <v>0.11878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-0.60233918128654984</v>
      </c>
      <c r="Q98">
        <f t="shared" ref="Q98" si="466">F98*P98</f>
        <v>-77141179.716959089</v>
      </c>
      <c r="R98">
        <f t="shared" ref="R98" si="467">R99+Q98</f>
        <v>-682937683.60729229</v>
      </c>
      <c r="S98">
        <f t="shared" ref="S98" si="468">R98/100000</f>
        <v>-6829.3768360729227</v>
      </c>
      <c r="T98">
        <f t="shared" ref="T98" si="469">S98/1000</f>
        <v>-6.8293768360729228</v>
      </c>
    </row>
    <row r="99" spans="1:20" x14ac:dyDescent="0.25">
      <c r="A99" s="5">
        <v>44494</v>
      </c>
      <c r="B99">
        <v>0.1187</v>
      </c>
      <c r="C99">
        <v>0.1244</v>
      </c>
      <c r="D99">
        <v>0.1179</v>
      </c>
      <c r="E99">
        <v>0.12214999999999999</v>
      </c>
      <c r="F99">
        <v>90672313</v>
      </c>
      <c r="G99">
        <v>0.12214999999999999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0.30769230769230621</v>
      </c>
      <c r="Q99">
        <f t="shared" ref="Q99" si="471">F99*P99</f>
        <v>27899173.230769098</v>
      </c>
      <c r="R99">
        <f t="shared" ref="R99" si="472">R100+Q99</f>
        <v>-605796503.89033318</v>
      </c>
      <c r="S99">
        <f t="shared" ref="S99" si="473">R99/100000</f>
        <v>-6057.9650389033313</v>
      </c>
      <c r="T99">
        <f t="shared" ref="T99" si="474">S99/1000</f>
        <v>-6.0579650389033315</v>
      </c>
    </row>
    <row r="100" spans="1:20" x14ac:dyDescent="0.25">
      <c r="A100" s="5">
        <v>44493</v>
      </c>
      <c r="B100">
        <v>0.12175999999999999</v>
      </c>
      <c r="C100">
        <v>0.12471</v>
      </c>
      <c r="D100">
        <v>0.11600000000000001</v>
      </c>
      <c r="E100">
        <v>0.1187</v>
      </c>
      <c r="F100">
        <v>137592943.19999999</v>
      </c>
      <c r="G100">
        <v>0.1187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-0.38002296211251541</v>
      </c>
      <c r="Q100">
        <f t="shared" ref="Q100" si="476">F100*P100</f>
        <v>-52288477.840643078</v>
      </c>
      <c r="R100">
        <f t="shared" ref="R100" si="477">R101+Q100</f>
        <v>-633695677.12110221</v>
      </c>
      <c r="S100">
        <f t="shared" ref="S100" si="478">R100/100000</f>
        <v>-6336.956771211022</v>
      </c>
      <c r="T100">
        <f t="shared" ref="T100" si="479">S100/1000</f>
        <v>-6.336956771211022</v>
      </c>
    </row>
    <row r="101" spans="1:20" x14ac:dyDescent="0.25">
      <c r="A101" s="5">
        <v>44492</v>
      </c>
      <c r="B101">
        <v>0.12091</v>
      </c>
      <c r="C101">
        <v>0.13042000000000001</v>
      </c>
      <c r="D101">
        <v>0.11839</v>
      </c>
      <c r="E101">
        <v>0.1217</v>
      </c>
      <c r="F101">
        <v>398210488.19999999</v>
      </c>
      <c r="G101">
        <v>0.1217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-0.44970906068162864</v>
      </c>
      <c r="Q101">
        <f t="shared" ref="Q101" si="481">F101*P101</f>
        <v>-179078864.60199475</v>
      </c>
      <c r="R101">
        <f t="shared" ref="R101" si="482">R102+Q101</f>
        <v>-581407199.28045917</v>
      </c>
      <c r="S101">
        <f t="shared" ref="S101" si="483">R101/100000</f>
        <v>-5814.0719928045919</v>
      </c>
      <c r="T101">
        <f t="shared" ref="T101" si="484">S101/1000</f>
        <v>-5.8140719928045916</v>
      </c>
    </row>
    <row r="102" spans="1:20" x14ac:dyDescent="0.25">
      <c r="A102" s="5">
        <v>44491</v>
      </c>
      <c r="B102">
        <v>0.10921</v>
      </c>
      <c r="C102">
        <v>0.128</v>
      </c>
      <c r="D102">
        <v>0.109</v>
      </c>
      <c r="E102">
        <v>0.12087000000000001</v>
      </c>
      <c r="F102">
        <v>522823034.39999998</v>
      </c>
      <c r="G102">
        <v>0.12087000000000001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0.24947368421052671</v>
      </c>
      <c r="Q102">
        <f t="shared" ref="Q102" si="486">F102*P102</f>
        <v>130430588.58189493</v>
      </c>
      <c r="R102">
        <f t="shared" ref="R102" si="487">R103+Q102</f>
        <v>-402328334.67846435</v>
      </c>
      <c r="S102">
        <f t="shared" ref="S102" si="488">R102/100000</f>
        <v>-4023.2833467846435</v>
      </c>
      <c r="T102">
        <f t="shared" ref="T102" si="489">S102/1000</f>
        <v>-4.0232833467846438</v>
      </c>
    </row>
    <row r="103" spans="1:20" x14ac:dyDescent="0.25">
      <c r="A103" s="5">
        <v>44490</v>
      </c>
      <c r="B103">
        <v>0.11219</v>
      </c>
      <c r="C103">
        <v>0.11683</v>
      </c>
      <c r="D103">
        <v>0.1077</v>
      </c>
      <c r="E103">
        <v>0.10917</v>
      </c>
      <c r="F103">
        <v>121386674.09999999</v>
      </c>
      <c r="G103">
        <v>0.10917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-0.67798466593647333</v>
      </c>
      <c r="Q103">
        <f t="shared" ref="Q103" si="491">F103*P103</f>
        <v>-82298303.688828051</v>
      </c>
      <c r="R103">
        <f t="shared" ref="R103" si="492">R104+Q103</f>
        <v>-532758923.26035929</v>
      </c>
      <c r="S103">
        <f t="shared" ref="S103" si="493">R103/100000</f>
        <v>-5327.5892326035928</v>
      </c>
      <c r="T103">
        <f t="shared" ref="T103" si="494">S103/1000</f>
        <v>-5.327589232603593</v>
      </c>
    </row>
    <row r="104" spans="1:20" x14ac:dyDescent="0.25">
      <c r="A104" s="5">
        <v>44489</v>
      </c>
      <c r="B104">
        <v>0.10607</v>
      </c>
      <c r="C104">
        <v>0.11276</v>
      </c>
      <c r="D104">
        <v>0.10527</v>
      </c>
      <c r="E104">
        <v>0.11219</v>
      </c>
      <c r="F104">
        <v>97906604.700000003</v>
      </c>
      <c r="G104">
        <v>0.11219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0.8477970627503334</v>
      </c>
      <c r="Q104">
        <f t="shared" ref="Q104" si="496">F104*P104</f>
        <v>83004931.888517991</v>
      </c>
      <c r="R104">
        <f t="shared" ref="R104" si="497">R105+Q104</f>
        <v>-450460619.57153124</v>
      </c>
      <c r="S104">
        <f t="shared" ref="S104" si="498">R104/100000</f>
        <v>-4504.6061957153124</v>
      </c>
      <c r="T104">
        <f t="shared" ref="T104" si="499">S104/1000</f>
        <v>-4.5046061957153123</v>
      </c>
    </row>
    <row r="105" spans="1:20" x14ac:dyDescent="0.25">
      <c r="A105" s="5">
        <v>44488</v>
      </c>
      <c r="B105">
        <v>0.10584</v>
      </c>
      <c r="C105">
        <v>0.11020000000000001</v>
      </c>
      <c r="D105">
        <v>0.105</v>
      </c>
      <c r="E105">
        <v>0.10602</v>
      </c>
      <c r="F105">
        <v>105156895.5</v>
      </c>
      <c r="G105">
        <v>0.10602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-0.60769230769230576</v>
      </c>
      <c r="Q105">
        <f t="shared" ref="Q105" si="501">F105*P105</f>
        <v>-63903036.496153645</v>
      </c>
      <c r="R105">
        <f t="shared" ref="R105" si="502">R106+Q105</f>
        <v>-533465551.46004921</v>
      </c>
      <c r="S105">
        <f t="shared" ref="S105" si="503">R105/100000</f>
        <v>-5334.6555146004921</v>
      </c>
      <c r="T105">
        <f t="shared" ref="T105" si="504">S105/1000</f>
        <v>-5.3346555146004917</v>
      </c>
    </row>
    <row r="106" spans="1:20" x14ac:dyDescent="0.25">
      <c r="A106" s="5">
        <v>44487</v>
      </c>
      <c r="B106">
        <v>0.10732999999999999</v>
      </c>
      <c r="C106">
        <v>0.10886</v>
      </c>
      <c r="D106">
        <v>0.10299999999999999</v>
      </c>
      <c r="E106">
        <v>0.10592</v>
      </c>
      <c r="F106">
        <v>79224946.5</v>
      </c>
      <c r="G106">
        <v>0.10592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-3.4129692832751248E-3</v>
      </c>
      <c r="Q106">
        <f t="shared" ref="Q106" si="506">F106*P106</f>
        <v>-270392.30887361511</v>
      </c>
      <c r="R106">
        <f t="shared" ref="R106" si="507">R107+Q106</f>
        <v>-469562514.96389556</v>
      </c>
      <c r="S106">
        <f t="shared" ref="S106" si="508">R106/100000</f>
        <v>-4695.6251496389559</v>
      </c>
      <c r="T106">
        <f t="shared" ref="T106" si="509">S106/1000</f>
        <v>-4.6956251496389561</v>
      </c>
    </row>
    <row r="107" spans="1:20" x14ac:dyDescent="0.25">
      <c r="A107" s="5">
        <v>44486</v>
      </c>
      <c r="B107">
        <v>0.10943</v>
      </c>
      <c r="C107">
        <v>0.11047999999999999</v>
      </c>
      <c r="D107">
        <v>0.1032</v>
      </c>
      <c r="E107">
        <v>0.10736</v>
      </c>
      <c r="F107">
        <v>76984460.200000003</v>
      </c>
      <c r="G107">
        <v>0.10736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0.14285714285714285</v>
      </c>
      <c r="Q107">
        <f t="shared" ref="Q107" si="511">F107*P107</f>
        <v>10997780.028571429</v>
      </c>
      <c r="R107">
        <f t="shared" ref="R107" si="512">R108+Q107</f>
        <v>-469292122.65502197</v>
      </c>
      <c r="S107">
        <f t="shared" ref="S107" si="513">R107/100000</f>
        <v>-4692.9212265502192</v>
      </c>
      <c r="T107">
        <f t="shared" ref="T107" si="514">S107/1000</f>
        <v>-4.6929212265502196</v>
      </c>
    </row>
    <row r="108" spans="1:20" x14ac:dyDescent="0.25">
      <c r="A108" s="5">
        <v>44485</v>
      </c>
      <c r="B108">
        <v>0.10886</v>
      </c>
      <c r="C108">
        <v>0.11581</v>
      </c>
      <c r="D108">
        <v>0.10822</v>
      </c>
      <c r="E108">
        <v>0.1094</v>
      </c>
      <c r="F108">
        <v>107835358.7</v>
      </c>
      <c r="G108">
        <v>0.1094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-0.68906455862977589</v>
      </c>
      <c r="Q108">
        <f t="shared" ref="Q108" si="516">F108*P108</f>
        <v>-74305523.847299069</v>
      </c>
      <c r="R108">
        <f t="shared" ref="R108" si="517">R109+Q108</f>
        <v>-480289902.68359339</v>
      </c>
      <c r="S108">
        <f t="shared" ref="S108" si="518">R108/100000</f>
        <v>-4802.8990268359339</v>
      </c>
      <c r="T108">
        <f t="shared" ref="T108" si="519">S108/1000</f>
        <v>-4.8028990268359335</v>
      </c>
    </row>
    <row r="109" spans="1:20" x14ac:dyDescent="0.25">
      <c r="A109" s="5">
        <v>44484</v>
      </c>
      <c r="B109">
        <v>0.10879999999999999</v>
      </c>
      <c r="C109">
        <v>0.1135</v>
      </c>
      <c r="D109">
        <v>0.10403999999999999</v>
      </c>
      <c r="E109">
        <v>0.10886999999999999</v>
      </c>
      <c r="F109">
        <v>134394007.90000001</v>
      </c>
      <c r="G109">
        <v>0.10886999999999999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2.1141649048624908E-2</v>
      </c>
      <c r="Q109">
        <f t="shared" ref="Q109" si="521">F109*P109</f>
        <v>2841310.9492599233</v>
      </c>
      <c r="R109">
        <f t="shared" ref="R109" si="522">R110+Q109</f>
        <v>-405984378.83629435</v>
      </c>
      <c r="S109">
        <f t="shared" ref="S109" si="523">R109/100000</f>
        <v>-4059.8437883629435</v>
      </c>
      <c r="T109">
        <f t="shared" ref="T109" si="524">S109/1000</f>
        <v>-4.0598437883629437</v>
      </c>
    </row>
    <row r="110" spans="1:20" x14ac:dyDescent="0.25">
      <c r="A110" s="5">
        <v>44483</v>
      </c>
      <c r="B110">
        <v>0.10811</v>
      </c>
      <c r="C110">
        <v>0.11105</v>
      </c>
      <c r="D110">
        <v>0.10718</v>
      </c>
      <c r="E110">
        <v>0.10886999999999999</v>
      </c>
      <c r="F110">
        <v>85324928.5</v>
      </c>
      <c r="G110">
        <v>0.10886999999999999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-0.12661498708010452</v>
      </c>
      <c r="Q110">
        <f t="shared" ref="Q110" si="526">F110*P110</f>
        <v>-10803414.719638342</v>
      </c>
      <c r="R110">
        <f t="shared" ref="R110" si="527">R111+Q110</f>
        <v>-408825689.78555429</v>
      </c>
      <c r="S110">
        <f t="shared" ref="S110" si="528">R110/100000</f>
        <v>-4088.2568978555428</v>
      </c>
      <c r="T110">
        <f t="shared" ref="T110" si="529">S110/1000</f>
        <v>-4.0882568978555431</v>
      </c>
    </row>
    <row r="111" spans="1:20" x14ac:dyDescent="0.25">
      <c r="A111" s="5">
        <v>44482</v>
      </c>
      <c r="B111">
        <v>0.10714</v>
      </c>
      <c r="C111">
        <v>0.10924</v>
      </c>
      <c r="D111">
        <v>0.10403999999999999</v>
      </c>
      <c r="E111">
        <v>0.1081</v>
      </c>
      <c r="F111">
        <v>68289178.900000006</v>
      </c>
      <c r="G111">
        <v>0.1081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0.56153846153846154</v>
      </c>
      <c r="Q111">
        <f t="shared" ref="Q111" si="531">F111*P111</f>
        <v>38347000.459230773</v>
      </c>
      <c r="R111">
        <f t="shared" ref="R111" si="532">R112+Q111</f>
        <v>-398022275.06591594</v>
      </c>
      <c r="S111">
        <f t="shared" ref="S111" si="533">R111/100000</f>
        <v>-3980.2227506591594</v>
      </c>
      <c r="T111">
        <f t="shared" ref="T111" si="534">S111/1000</f>
        <v>-3.9802227506591592</v>
      </c>
    </row>
    <row r="112" spans="1:20" x14ac:dyDescent="0.25">
      <c r="A112" s="5">
        <v>44481</v>
      </c>
      <c r="B112">
        <v>0.10826</v>
      </c>
      <c r="C112">
        <v>0.10945000000000001</v>
      </c>
      <c r="D112">
        <v>0.10066</v>
      </c>
      <c r="E112">
        <v>0.10715</v>
      </c>
      <c r="F112">
        <v>83237355.400000006</v>
      </c>
      <c r="G112">
        <v>0.10715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0.47667804323094226</v>
      </c>
      <c r="Q112">
        <f t="shared" ref="Q112" si="536">F112*P112</f>
        <v>39677419.695790507</v>
      </c>
      <c r="R112">
        <f t="shared" ref="R112" si="537">R113+Q112</f>
        <v>-436369275.52514672</v>
      </c>
      <c r="S112">
        <f t="shared" ref="S112" si="538">R112/100000</f>
        <v>-4363.6927552514671</v>
      </c>
      <c r="T112">
        <f t="shared" ref="T112" si="539">S112/1000</f>
        <v>-4.363692755251467</v>
      </c>
    </row>
    <row r="113" spans="1:20" x14ac:dyDescent="0.25">
      <c r="A113" s="5">
        <v>44480</v>
      </c>
      <c r="B113">
        <v>0.1084</v>
      </c>
      <c r="C113">
        <v>0.1135</v>
      </c>
      <c r="D113">
        <v>0.10514</v>
      </c>
      <c r="E113">
        <v>0.10832</v>
      </c>
      <c r="F113">
        <v>70115084.200000003</v>
      </c>
      <c r="G113">
        <v>0.10832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-0.23923444976076558</v>
      </c>
      <c r="Q113">
        <f t="shared" ref="Q113" si="541">F113*P113</f>
        <v>-16773943.588516749</v>
      </c>
      <c r="R113">
        <f t="shared" ref="R113" si="542">R114+Q113</f>
        <v>-476046695.22093725</v>
      </c>
      <c r="S113">
        <f t="shared" ref="S113" si="543">R113/100000</f>
        <v>-4760.4669522093727</v>
      </c>
      <c r="T113">
        <f t="shared" ref="T113" si="544">S113/1000</f>
        <v>-4.7604669522093728</v>
      </c>
    </row>
    <row r="114" spans="1:20" x14ac:dyDescent="0.25">
      <c r="A114" s="5">
        <v>44479</v>
      </c>
      <c r="B114">
        <v>0.11451</v>
      </c>
      <c r="C114">
        <v>0.11964</v>
      </c>
      <c r="D114">
        <v>0.10759000000000001</v>
      </c>
      <c r="E114">
        <v>0.10836999999999999</v>
      </c>
      <c r="F114">
        <v>117172034.3</v>
      </c>
      <c r="G114">
        <v>0.10836999999999999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-0.87053941908713861</v>
      </c>
      <c r="Q114">
        <f t="shared" ref="Q114" si="546">F114*P114</f>
        <v>-102002874.67278028</v>
      </c>
      <c r="R114">
        <f t="shared" ref="R114" si="547">R115+Q114</f>
        <v>-459272751.63242048</v>
      </c>
      <c r="S114">
        <f t="shared" ref="S114" si="548">R114/100000</f>
        <v>-4592.7275163242048</v>
      </c>
      <c r="T114">
        <f t="shared" ref="T114" si="549">S114/1000</f>
        <v>-4.5927275163242047</v>
      </c>
    </row>
    <row r="115" spans="1:20" x14ac:dyDescent="0.25">
      <c r="A115" s="5">
        <v>44478</v>
      </c>
      <c r="B115">
        <v>0.11311</v>
      </c>
      <c r="C115">
        <v>0.11673</v>
      </c>
      <c r="D115">
        <v>0.11154</v>
      </c>
      <c r="E115">
        <v>0.11451</v>
      </c>
      <c r="F115">
        <v>73118647</v>
      </c>
      <c r="G115">
        <v>0.11451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0.14450867052023134</v>
      </c>
      <c r="Q115">
        <f t="shared" ref="Q115" si="551">F115*P115</f>
        <v>10566278.468208101</v>
      </c>
      <c r="R115">
        <f t="shared" ref="R115" si="552">R116+Q115</f>
        <v>-357269876.9596402</v>
      </c>
      <c r="S115">
        <f t="shared" ref="S115" si="553">R115/100000</f>
        <v>-3572.6987695964021</v>
      </c>
      <c r="T115">
        <f t="shared" ref="T115" si="554">S115/1000</f>
        <v>-3.5726987695964021</v>
      </c>
    </row>
    <row r="116" spans="1:20" x14ac:dyDescent="0.25">
      <c r="A116" s="5">
        <v>44477</v>
      </c>
      <c r="B116">
        <v>0.11255999999999999</v>
      </c>
      <c r="C116">
        <v>0.11608</v>
      </c>
      <c r="D116">
        <v>0.11164</v>
      </c>
      <c r="E116">
        <v>0.11316</v>
      </c>
      <c r="F116">
        <v>100520954.40000001</v>
      </c>
      <c r="G116">
        <v>0.11316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-0.31531531531531815</v>
      </c>
      <c r="Q116">
        <f t="shared" ref="Q116" si="556">F116*P116</f>
        <v>-31695796.432432719</v>
      </c>
      <c r="R116">
        <f t="shared" ref="R116" si="557">R117+Q116</f>
        <v>-367836155.42784828</v>
      </c>
      <c r="S116">
        <f t="shared" ref="S116" si="558">R116/100000</f>
        <v>-3678.3615542784828</v>
      </c>
      <c r="T116">
        <f t="shared" ref="T116" si="559">S116/1000</f>
        <v>-3.6783615542784829</v>
      </c>
    </row>
    <row r="117" spans="1:20" x14ac:dyDescent="0.25">
      <c r="A117" s="5">
        <v>44476</v>
      </c>
      <c r="B117">
        <v>0.11236</v>
      </c>
      <c r="C117">
        <v>0.11795</v>
      </c>
      <c r="D117">
        <v>0.1106</v>
      </c>
      <c r="E117">
        <v>0.11255999999999999</v>
      </c>
      <c r="F117">
        <v>159782425</v>
      </c>
      <c r="G117">
        <v>0.11255999999999999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-0.46666666666666917</v>
      </c>
      <c r="Q117">
        <f t="shared" ref="Q117" si="561">F117*P117</f>
        <v>-74565131.666667074</v>
      </c>
      <c r="R117">
        <f t="shared" ref="R117" si="562">R118+Q117</f>
        <v>-336140358.99541557</v>
      </c>
      <c r="S117">
        <f t="shared" ref="S117" si="563">R117/100000</f>
        <v>-3361.4035899541559</v>
      </c>
      <c r="T117">
        <f t="shared" ref="T117" si="564">S117/1000</f>
        <v>-3.3614035899541559</v>
      </c>
    </row>
    <row r="118" spans="1:20" x14ac:dyDescent="0.25">
      <c r="A118" s="5">
        <v>44475</v>
      </c>
      <c r="B118">
        <v>0.11273</v>
      </c>
      <c r="C118">
        <v>0.12399</v>
      </c>
      <c r="D118">
        <v>0.10304000000000001</v>
      </c>
      <c r="E118">
        <v>0.1124</v>
      </c>
      <c r="F118">
        <v>272225298.19999999</v>
      </c>
      <c r="G118">
        <v>0.1124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-0.10644391408114606</v>
      </c>
      <c r="Q118">
        <f t="shared" ref="Q118" si="566">F118*P118</f>
        <v>-28976726.252315164</v>
      </c>
      <c r="R118">
        <f t="shared" ref="R118" si="567">R119+Q118</f>
        <v>-261575227.32874846</v>
      </c>
      <c r="S118">
        <f t="shared" ref="S118" si="568">R118/100000</f>
        <v>-2615.7522732874845</v>
      </c>
      <c r="T118">
        <f t="shared" ref="T118" si="569">S118/1000</f>
        <v>-2.6157522732874847</v>
      </c>
    </row>
    <row r="119" spans="1:20" x14ac:dyDescent="0.25">
      <c r="A119" s="5">
        <v>44474</v>
      </c>
      <c r="B119">
        <v>0.10818</v>
      </c>
      <c r="C119">
        <v>0.11547</v>
      </c>
      <c r="D119">
        <v>0.10705000000000001</v>
      </c>
      <c r="E119">
        <v>0.11269999999999999</v>
      </c>
      <c r="F119">
        <v>133837185.2</v>
      </c>
      <c r="G119">
        <v>0.11269999999999999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0.34204275534441581</v>
      </c>
      <c r="Q119">
        <f t="shared" ref="Q119" si="571">F119*P119</f>
        <v>45778039.593348868</v>
      </c>
      <c r="R119">
        <f t="shared" ref="R119" si="572">R120+Q119</f>
        <v>-232598501.0764333</v>
      </c>
      <c r="S119">
        <f t="shared" ref="S119" si="573">R119/100000</f>
        <v>-2325.9850107643329</v>
      </c>
      <c r="T119">
        <f t="shared" ref="T119" si="574">S119/1000</f>
        <v>-2.3259850107643327</v>
      </c>
    </row>
    <row r="120" spans="1:20" x14ac:dyDescent="0.25">
      <c r="A120" s="5">
        <v>44473</v>
      </c>
      <c r="B120">
        <v>0.11126</v>
      </c>
      <c r="C120">
        <v>0.11386</v>
      </c>
      <c r="D120">
        <v>0.10425</v>
      </c>
      <c r="E120">
        <v>0.10828</v>
      </c>
      <c r="F120">
        <v>124261575.40000001</v>
      </c>
      <c r="G120">
        <v>0.10828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-0.1612903225806446</v>
      </c>
      <c r="Q120">
        <f t="shared" ref="Q120" si="576">F120*P120</f>
        <v>-20042189.580645092</v>
      </c>
      <c r="R120">
        <f t="shared" ref="R120" si="577">R121+Q120</f>
        <v>-278376540.66978216</v>
      </c>
      <c r="S120">
        <f t="shared" ref="S120" si="578">R120/100000</f>
        <v>-2783.7654066978216</v>
      </c>
      <c r="T120">
        <f t="shared" ref="T120" si="579">S120/1000</f>
        <v>-2.7837654066978215</v>
      </c>
    </row>
    <row r="121" spans="1:20" x14ac:dyDescent="0.25">
      <c r="A121" s="5">
        <v>44472</v>
      </c>
      <c r="B121">
        <v>0.11027000000000001</v>
      </c>
      <c r="C121">
        <v>0.11425</v>
      </c>
      <c r="D121">
        <v>0.10800999999999999</v>
      </c>
      <c r="E121">
        <v>0.11106000000000001</v>
      </c>
      <c r="F121">
        <v>92048369</v>
      </c>
      <c r="G121">
        <v>0.11106000000000001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-2.2435897435895375E-2</v>
      </c>
      <c r="Q121">
        <f t="shared" ref="Q121" si="581">F121*P121</f>
        <v>-2065187.7660254512</v>
      </c>
      <c r="R121">
        <f t="shared" ref="R121" si="582">R122+Q121</f>
        <v>-258334351.08913705</v>
      </c>
      <c r="S121">
        <f t="shared" ref="S121" si="583">R121/100000</f>
        <v>-2583.3435108913704</v>
      </c>
      <c r="T121">
        <f t="shared" ref="T121" si="584">S121/1000</f>
        <v>-2.5833435108913703</v>
      </c>
    </row>
    <row r="122" spans="1:20" x14ac:dyDescent="0.25">
      <c r="A122" s="5">
        <v>44471</v>
      </c>
      <c r="B122">
        <v>0.10631</v>
      </c>
      <c r="C122">
        <v>0.11737</v>
      </c>
      <c r="D122">
        <v>0.10306999999999999</v>
      </c>
      <c r="E122">
        <v>0.1103</v>
      </c>
      <c r="F122">
        <v>227292401.59999999</v>
      </c>
      <c r="G122">
        <v>0.1103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1.1188811188810727E-2</v>
      </c>
      <c r="Q122">
        <f t="shared" ref="Q122" si="586">F122*P122</f>
        <v>2543131.7661537412</v>
      </c>
      <c r="R122">
        <f t="shared" ref="R122" si="587">R123+Q122</f>
        <v>-256269163.32311159</v>
      </c>
      <c r="S122">
        <f t="shared" ref="S122" si="588">R122/100000</f>
        <v>-2562.6916332311162</v>
      </c>
      <c r="T122">
        <f t="shared" ref="T122" si="589">S122/1000</f>
        <v>-2.562691633231116</v>
      </c>
    </row>
    <row r="123" spans="1:20" x14ac:dyDescent="0.25">
      <c r="A123" s="5">
        <v>44470</v>
      </c>
      <c r="B123">
        <v>9.6229999999999996E-2</v>
      </c>
      <c r="C123">
        <v>0.10663</v>
      </c>
      <c r="D123">
        <v>9.4520000000000007E-2</v>
      </c>
      <c r="E123">
        <v>0.10631</v>
      </c>
      <c r="F123">
        <v>108678817.3</v>
      </c>
      <c r="G123">
        <v>0.10631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0.94715111478117242</v>
      </c>
      <c r="Q123">
        <f t="shared" ref="Q123" si="591">F123*P123</f>
        <v>102935262.95879437</v>
      </c>
      <c r="R123">
        <f t="shared" ref="R123" si="592">R124+Q123</f>
        <v>-258812295.08926535</v>
      </c>
      <c r="S123">
        <f t="shared" ref="S123" si="593">R123/100000</f>
        <v>-2588.1229508926535</v>
      </c>
      <c r="T123">
        <f t="shared" ref="T123" si="594">S123/1000</f>
        <v>-2.5881229508926533</v>
      </c>
    </row>
    <row r="124" spans="1:20" x14ac:dyDescent="0.25">
      <c r="A124" s="5">
        <v>44469</v>
      </c>
      <c r="B124">
        <v>9.1929999999999998E-2</v>
      </c>
      <c r="C124">
        <v>9.6250000000000002E-2</v>
      </c>
      <c r="D124">
        <v>9.1350000000000001E-2</v>
      </c>
      <c r="E124">
        <v>9.6250000000000002E-2</v>
      </c>
      <c r="F124">
        <v>60976191.399999999</v>
      </c>
      <c r="G124">
        <v>9.6250000000000002E-2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1</v>
      </c>
      <c r="Q124">
        <f t="shared" ref="Q124" si="596">F124*P124</f>
        <v>60976191.399999999</v>
      </c>
      <c r="R124">
        <f t="shared" ref="R124" si="597">R125+Q124</f>
        <v>-361747558.0480597</v>
      </c>
      <c r="S124">
        <f t="shared" ref="S124" si="598">R124/100000</f>
        <v>-3617.4755804805968</v>
      </c>
      <c r="T124">
        <f t="shared" ref="T124" si="599">S124/1000</f>
        <v>-3.6174755804805967</v>
      </c>
    </row>
    <row r="125" spans="1:20" x14ac:dyDescent="0.25">
      <c r="A125" s="5">
        <v>44468</v>
      </c>
      <c r="B125">
        <v>9.1179999999999997E-2</v>
      </c>
      <c r="C125">
        <v>9.6689999999999998E-2</v>
      </c>
      <c r="D125">
        <v>9.01E-2</v>
      </c>
      <c r="E125">
        <v>9.1869999999999993E-2</v>
      </c>
      <c r="F125">
        <v>66275344.399999999</v>
      </c>
      <c r="G125">
        <v>9.1869999999999993E-2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-0.46282245827010798</v>
      </c>
      <c r="Q125">
        <f t="shared" ref="Q125" si="601">F125*P125</f>
        <v>-30673717.817906033</v>
      </c>
      <c r="R125">
        <f t="shared" ref="R125" si="602">R126+Q125</f>
        <v>-422723749.44805968</v>
      </c>
      <c r="S125">
        <f t="shared" ref="S125" si="603">R125/100000</f>
        <v>-4227.237494480597</v>
      </c>
      <c r="T125">
        <f t="shared" ref="T125" si="604">S125/1000</f>
        <v>-4.2272374944805966</v>
      </c>
    </row>
    <row r="126" spans="1:20" x14ac:dyDescent="0.25">
      <c r="A126" s="5">
        <v>44467</v>
      </c>
      <c r="B126">
        <v>9.5949999999999994E-2</v>
      </c>
      <c r="C126">
        <v>9.7689999999999999E-2</v>
      </c>
      <c r="D126">
        <v>9.078E-2</v>
      </c>
      <c r="E126">
        <v>9.1240000000000002E-2</v>
      </c>
      <c r="F126">
        <v>73198308.299999997</v>
      </c>
      <c r="G126">
        <v>9.1240000000000002E-2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-0.86685962373371861</v>
      </c>
      <c r="Q126">
        <f t="shared" ref="Q126" si="606">F126*P126</f>
        <v>-63452657.990882732</v>
      </c>
      <c r="R126">
        <f t="shared" ref="R126" si="607">R127+Q126</f>
        <v>-392050031.63015366</v>
      </c>
      <c r="S126">
        <f t="shared" ref="S126" si="608">R126/100000</f>
        <v>-3920.5003163015367</v>
      </c>
      <c r="T126">
        <f t="shared" ref="T126" si="609">S126/1000</f>
        <v>-3.9205003163015366</v>
      </c>
    </row>
    <row r="127" spans="1:20" x14ac:dyDescent="0.25">
      <c r="A127" s="5">
        <v>44466</v>
      </c>
      <c r="B127">
        <v>9.9409999999999998E-2</v>
      </c>
      <c r="C127">
        <v>0.10338</v>
      </c>
      <c r="D127">
        <v>9.5659999999999995E-2</v>
      </c>
      <c r="E127">
        <v>9.5979999999999996E-2</v>
      </c>
      <c r="F127">
        <v>82034840.299999997</v>
      </c>
      <c r="G127">
        <v>9.5979999999999996E-2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-0.91709844559585474</v>
      </c>
      <c r="Q127">
        <f t="shared" ref="Q127" si="611">F127*P127</f>
        <v>-75234024.523834184</v>
      </c>
      <c r="R127">
        <f t="shared" ref="R127" si="612">R128+Q127</f>
        <v>-328597373.6392709</v>
      </c>
      <c r="S127">
        <f t="shared" ref="S127" si="613">R127/100000</f>
        <v>-3285.9737363927088</v>
      </c>
      <c r="T127">
        <f t="shared" ref="T127" si="614">S127/1000</f>
        <v>-3.2859737363927088</v>
      </c>
    </row>
    <row r="128" spans="1:20" x14ac:dyDescent="0.25">
      <c r="A128" s="5">
        <v>44465</v>
      </c>
      <c r="B128">
        <v>0.10306</v>
      </c>
      <c r="C128">
        <v>0.107</v>
      </c>
      <c r="D128">
        <v>9.4839999999999994E-2</v>
      </c>
      <c r="E128">
        <v>9.9709999999999993E-2</v>
      </c>
      <c r="F128">
        <v>168888001.40000001</v>
      </c>
      <c r="G128">
        <v>9.9709999999999993E-2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-0.19901315789473722</v>
      </c>
      <c r="Q128">
        <f t="shared" ref="Q128" si="616">F128*P128</f>
        <v>-33610934.489144802</v>
      </c>
      <c r="R128">
        <f t="shared" ref="R128" si="617">R129+Q128</f>
        <v>-253363349.11543673</v>
      </c>
      <c r="S128">
        <f t="shared" ref="S128" si="618">R128/100000</f>
        <v>-2533.6334911543672</v>
      </c>
      <c r="T128">
        <f t="shared" ref="T128" si="619">S128/1000</f>
        <v>-2.5336334911543674</v>
      </c>
    </row>
    <row r="129" spans="1:20" x14ac:dyDescent="0.25">
      <c r="A129" s="5">
        <v>44464</v>
      </c>
      <c r="B129">
        <v>9.7960000000000005E-2</v>
      </c>
      <c r="C129">
        <v>0.11076999999999999</v>
      </c>
      <c r="D129">
        <v>9.4329999999999997E-2</v>
      </c>
      <c r="E129">
        <v>0.10298</v>
      </c>
      <c r="F129">
        <v>220136415</v>
      </c>
      <c r="G129">
        <v>0.10298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5.2311435523115193E-2</v>
      </c>
      <c r="Q129">
        <f t="shared" ref="Q129" si="621">F129*P129</f>
        <v>11515651.879562229</v>
      </c>
      <c r="R129">
        <f t="shared" ref="R129" si="622">R130+Q129</f>
        <v>-219752414.62629193</v>
      </c>
      <c r="S129">
        <f t="shared" ref="S129" si="623">R129/100000</f>
        <v>-2197.5241462629192</v>
      </c>
      <c r="T129">
        <f t="shared" ref="T129" si="624">S129/1000</f>
        <v>-2.1975241462629191</v>
      </c>
    </row>
    <row r="130" spans="1:20" x14ac:dyDescent="0.25">
      <c r="A130" s="5">
        <v>44463</v>
      </c>
      <c r="B130">
        <v>0.10647</v>
      </c>
      <c r="C130">
        <v>0.10692</v>
      </c>
      <c r="D130">
        <v>9.146E-2</v>
      </c>
      <c r="E130">
        <v>9.7939999999999999E-2</v>
      </c>
      <c r="F130">
        <v>93614699.700000003</v>
      </c>
      <c r="G130">
        <v>9.7939999999999999E-2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-0.16170763260025886</v>
      </c>
      <c r="Q130">
        <f t="shared" ref="Q130" si="626">F130*P130</f>
        <v>-15138211.465071164</v>
      </c>
      <c r="R130">
        <f t="shared" ref="R130" si="627">R131+Q130</f>
        <v>-231268066.50585416</v>
      </c>
      <c r="S130">
        <f t="shared" ref="S130" si="628">R130/100000</f>
        <v>-2312.6806650585418</v>
      </c>
      <c r="T130">
        <f t="shared" ref="T130" si="629">S130/1000</f>
        <v>-2.3126806650585419</v>
      </c>
    </row>
    <row r="131" spans="1:20" x14ac:dyDescent="0.25">
      <c r="A131" s="5">
        <v>44462</v>
      </c>
      <c r="B131">
        <v>0.10692</v>
      </c>
      <c r="C131">
        <v>0.10853</v>
      </c>
      <c r="D131">
        <v>0.10134</v>
      </c>
      <c r="E131">
        <v>0.10646</v>
      </c>
      <c r="F131">
        <v>84716406.400000006</v>
      </c>
      <c r="G131">
        <v>0.10646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0.42420027816411632</v>
      </c>
      <c r="Q131">
        <f t="shared" ref="Q131" si="631">F131*P131</f>
        <v>35936723.159944326</v>
      </c>
      <c r="R131">
        <f t="shared" ref="R131" si="632">R132+Q131</f>
        <v>-216129855.04078299</v>
      </c>
      <c r="S131">
        <f t="shared" ref="S131" si="633">R131/100000</f>
        <v>-2161.2985504078297</v>
      </c>
      <c r="T131">
        <f t="shared" ref="T131" si="634">S131/1000</f>
        <v>-2.1612985504078295</v>
      </c>
    </row>
    <row r="132" spans="1:20" x14ac:dyDescent="0.25">
      <c r="A132" s="5">
        <v>44461</v>
      </c>
      <c r="B132">
        <v>9.0200000000000002E-2</v>
      </c>
      <c r="C132">
        <v>0.10839</v>
      </c>
      <c r="D132">
        <v>8.8679999999999995E-2</v>
      </c>
      <c r="E132">
        <v>0.10697</v>
      </c>
      <c r="F132">
        <v>119253427.09999999</v>
      </c>
      <c r="G132">
        <v>0.10697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0.85591070522577328</v>
      </c>
      <c r="Q132">
        <f t="shared" ref="Q132" si="636">F132*P132</f>
        <v>102070284.88975134</v>
      </c>
      <c r="R132">
        <f t="shared" ref="R132" si="637">R133+Q132</f>
        <v>-252066578.20072731</v>
      </c>
      <c r="S132">
        <f t="shared" ref="S132" si="638">R132/100000</f>
        <v>-2520.6657820072733</v>
      </c>
      <c r="T132">
        <f t="shared" ref="T132" si="639">S132/1000</f>
        <v>-2.5206657820072733</v>
      </c>
    </row>
    <row r="133" spans="1:20" x14ac:dyDescent="0.25">
      <c r="A133" s="5">
        <v>44460</v>
      </c>
      <c r="B133">
        <v>9.486E-2</v>
      </c>
      <c r="C133">
        <v>0.10317999999999999</v>
      </c>
      <c r="D133">
        <v>8.7650000000000006E-2</v>
      </c>
      <c r="E133">
        <v>8.9969999999999994E-2</v>
      </c>
      <c r="F133">
        <v>157064606.69999999</v>
      </c>
      <c r="G133">
        <v>8.9969999999999994E-2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-0.70122343850611846</v>
      </c>
      <c r="Q133">
        <f t="shared" ref="Q133" si="641">F133*P133</f>
        <v>-110137383.57778512</v>
      </c>
      <c r="R133">
        <f t="shared" ref="R133" si="642">R134+Q133</f>
        <v>-354136863.09047866</v>
      </c>
      <c r="S133">
        <f t="shared" ref="S133" si="643">R133/100000</f>
        <v>-3541.3686309047866</v>
      </c>
      <c r="T133">
        <f t="shared" ref="T133" si="644">S133/1000</f>
        <v>-3.5413686309047865</v>
      </c>
    </row>
    <row r="134" spans="1:20" x14ac:dyDescent="0.25">
      <c r="A134" s="5">
        <v>44459</v>
      </c>
      <c r="B134">
        <v>0.11204</v>
      </c>
      <c r="C134">
        <v>0.11212</v>
      </c>
      <c r="D134">
        <v>9.9269999999999997E-2</v>
      </c>
      <c r="E134">
        <v>0.10059999999999999</v>
      </c>
      <c r="F134">
        <v>70027863.099999994</v>
      </c>
      <c r="G134">
        <v>0.10059999999999999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-0.79299610894941663</v>
      </c>
      <c r="Q134">
        <f t="shared" ref="Q134" si="646">F134*P134</f>
        <v>-55531822.956342429</v>
      </c>
      <c r="R134">
        <f t="shared" ref="R134" si="647">R135+Q134</f>
        <v>-243999479.51269355</v>
      </c>
      <c r="S134">
        <f t="shared" ref="S134" si="648">R134/100000</f>
        <v>-2439.9947951269355</v>
      </c>
      <c r="T134">
        <f t="shared" ref="T134" si="649">S134/1000</f>
        <v>-2.4399947951269354</v>
      </c>
    </row>
    <row r="135" spans="1:20" x14ac:dyDescent="0.25">
      <c r="A135" s="5">
        <v>44458</v>
      </c>
      <c r="B135">
        <v>0.11373999999999999</v>
      </c>
      <c r="C135">
        <v>0.11409999999999999</v>
      </c>
      <c r="D135">
        <v>0.1085</v>
      </c>
      <c r="E135">
        <v>0.11207</v>
      </c>
      <c r="F135">
        <v>47135086.299999997</v>
      </c>
      <c r="G135">
        <v>0.11207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0.27500000000000274</v>
      </c>
      <c r="Q135">
        <f t="shared" ref="Q135" si="651">F135*P135</f>
        <v>12962148.732500128</v>
      </c>
      <c r="R135">
        <f t="shared" ref="R135" si="652">R136+Q135</f>
        <v>-188467656.55635113</v>
      </c>
      <c r="S135">
        <f t="shared" ref="S135" si="653">R135/100000</f>
        <v>-1884.6765655635113</v>
      </c>
      <c r="T135">
        <f t="shared" ref="T135" si="654">S135/1000</f>
        <v>-1.8846765655635114</v>
      </c>
    </row>
    <row r="136" spans="1:20" x14ac:dyDescent="0.25">
      <c r="A136" s="5">
        <v>44457</v>
      </c>
      <c r="B136">
        <v>0.11292000000000001</v>
      </c>
      <c r="C136">
        <v>0.1162</v>
      </c>
      <c r="D136">
        <v>0.1113</v>
      </c>
      <c r="E136">
        <v>0.11369</v>
      </c>
      <c r="F136">
        <v>50195966.5</v>
      </c>
      <c r="G136">
        <v>0.11369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-2.448979591836634E-2</v>
      </c>
      <c r="Q136">
        <f t="shared" ref="Q136" si="656">F136*P136</f>
        <v>-1229288.9755101535</v>
      </c>
      <c r="R136">
        <f t="shared" ref="R136" si="657">R137+Q136</f>
        <v>-201429805.28885126</v>
      </c>
      <c r="S136">
        <f t="shared" ref="S136" si="658">R136/100000</f>
        <v>-2014.2980528885125</v>
      </c>
      <c r="T136">
        <f t="shared" ref="T136" si="659">S136/1000</f>
        <v>-2.0142980528885124</v>
      </c>
    </row>
    <row r="137" spans="1:20" x14ac:dyDescent="0.25">
      <c r="A137" s="5">
        <v>44456</v>
      </c>
      <c r="B137">
        <v>0.11729000000000001</v>
      </c>
      <c r="C137">
        <v>0.11795</v>
      </c>
      <c r="D137">
        <v>0.11104</v>
      </c>
      <c r="E137">
        <v>0.11286</v>
      </c>
      <c r="F137">
        <v>67547480.200000003</v>
      </c>
      <c r="G137">
        <v>0.11286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-0.47322720694645376</v>
      </c>
      <c r="Q137">
        <f t="shared" ref="Q137" si="661">F137*P137</f>
        <v>-31965305.391316891</v>
      </c>
      <c r="R137">
        <f t="shared" ref="R137" si="662">R138+Q137</f>
        <v>-200200516.31334111</v>
      </c>
      <c r="S137">
        <f t="shared" ref="S137" si="663">R137/100000</f>
        <v>-2002.0051631334111</v>
      </c>
      <c r="T137">
        <f t="shared" ref="T137" si="664">S137/1000</f>
        <v>-2.0020051631334113</v>
      </c>
    </row>
    <row r="138" spans="1:20" x14ac:dyDescent="0.25">
      <c r="A138" s="5">
        <v>44455</v>
      </c>
      <c r="B138">
        <v>0.12041</v>
      </c>
      <c r="C138">
        <v>0.12069000000000001</v>
      </c>
      <c r="D138">
        <v>0.11454</v>
      </c>
      <c r="E138">
        <v>0.11735</v>
      </c>
      <c r="F138">
        <v>91057693.400000006</v>
      </c>
      <c r="G138">
        <v>0.11735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-8.6178861788620539E-2</v>
      </c>
      <c r="Q138">
        <f t="shared" ref="Q138" si="666">F138*P138</f>
        <v>-7847248.374309185</v>
      </c>
      <c r="R138">
        <f t="shared" ref="R138" si="667">R139+Q138</f>
        <v>-168235210.92202422</v>
      </c>
      <c r="S138">
        <f t="shared" ref="S138" si="668">R138/100000</f>
        <v>-1682.3521092202423</v>
      </c>
      <c r="T138">
        <f t="shared" ref="T138" si="669">S138/1000</f>
        <v>-1.6823521092202423</v>
      </c>
    </row>
    <row r="139" spans="1:20" x14ac:dyDescent="0.25">
      <c r="A139" s="5">
        <v>44454</v>
      </c>
      <c r="B139">
        <v>0.11808</v>
      </c>
      <c r="C139">
        <v>0.12354999999999999</v>
      </c>
      <c r="D139">
        <v>0.11654</v>
      </c>
      <c r="E139">
        <v>0.12026000000000001</v>
      </c>
      <c r="F139">
        <v>75911760.200000003</v>
      </c>
      <c r="G139">
        <v>0.12026000000000001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6.1340941512127593E-2</v>
      </c>
      <c r="Q139">
        <f t="shared" ref="Q139" si="671">F139*P139</f>
        <v>4656498.8425108558</v>
      </c>
      <c r="R139">
        <f t="shared" ref="R139" si="672">R140+Q139</f>
        <v>-160387962.54771504</v>
      </c>
      <c r="S139">
        <f t="shared" ref="S139" si="673">R139/100000</f>
        <v>-1603.8796254771503</v>
      </c>
      <c r="T139">
        <f t="shared" ref="T139" si="674">S139/1000</f>
        <v>-1.6038796254771504</v>
      </c>
    </row>
    <row r="140" spans="1:20" x14ac:dyDescent="0.25">
      <c r="A140" s="5">
        <v>44453</v>
      </c>
      <c r="B140">
        <v>0.11429</v>
      </c>
      <c r="C140">
        <v>0.12087000000000001</v>
      </c>
      <c r="D140">
        <v>0.11273</v>
      </c>
      <c r="E140">
        <v>0.11806999999999999</v>
      </c>
      <c r="F140">
        <v>72968103.900000006</v>
      </c>
      <c r="G140">
        <v>0.11806999999999999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0.31203931203931007</v>
      </c>
      <c r="Q140">
        <f t="shared" ref="Q140" si="676">F140*P140</f>
        <v>22768916.9417689</v>
      </c>
      <c r="R140">
        <f t="shared" ref="R140" si="677">R141+Q140</f>
        <v>-165044461.39022589</v>
      </c>
      <c r="S140">
        <f t="shared" ref="S140" si="678">R140/100000</f>
        <v>-1650.4446139022589</v>
      </c>
      <c r="T140">
        <f t="shared" ref="T140" si="679">S140/1000</f>
        <v>-1.6504446139022588</v>
      </c>
    </row>
    <row r="141" spans="1:20" x14ac:dyDescent="0.25">
      <c r="A141" s="5">
        <v>44452</v>
      </c>
      <c r="B141">
        <v>0.12032</v>
      </c>
      <c r="C141">
        <v>0.12128</v>
      </c>
      <c r="D141">
        <v>0.10835</v>
      </c>
      <c r="E141">
        <v>0.11439000000000001</v>
      </c>
      <c r="F141">
        <v>123480193.7</v>
      </c>
      <c r="G141">
        <v>0.11439000000000001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-6.5738592420726202E-2</v>
      </c>
      <c r="Q141">
        <f t="shared" ref="Q141" si="681">F141*P141</f>
        <v>-8117414.1256766235</v>
      </c>
      <c r="R141">
        <f t="shared" ref="R141" si="682">R142+Q141</f>
        <v>-187813378.33199477</v>
      </c>
      <c r="S141">
        <f t="shared" ref="S141" si="683">R141/100000</f>
        <v>-1878.1337833199477</v>
      </c>
      <c r="T141">
        <f t="shared" ref="T141" si="684">S141/1000</f>
        <v>-1.8781337833199476</v>
      </c>
    </row>
    <row r="142" spans="1:20" x14ac:dyDescent="0.25">
      <c r="A142" s="5">
        <v>44451</v>
      </c>
      <c r="B142">
        <v>0.11781</v>
      </c>
      <c r="C142">
        <v>0.12227</v>
      </c>
      <c r="D142">
        <v>0.11418</v>
      </c>
      <c r="E142">
        <v>0.12027</v>
      </c>
      <c r="F142">
        <v>101976355</v>
      </c>
      <c r="G142">
        <v>0.12027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0.5055624227441281</v>
      </c>
      <c r="Q142">
        <f t="shared" ref="Q142" si="686">F142*P142</f>
        <v>51555413.096415281</v>
      </c>
      <c r="R142">
        <f t="shared" ref="R142" si="687">R143+Q142</f>
        <v>-179695964.20631814</v>
      </c>
      <c r="S142">
        <f t="shared" ref="S142" si="688">R142/100000</f>
        <v>-1796.9596420631815</v>
      </c>
      <c r="T142">
        <f t="shared" ref="T142" si="689">S142/1000</f>
        <v>-1.7969596420631815</v>
      </c>
    </row>
    <row r="143" spans="1:20" x14ac:dyDescent="0.25">
      <c r="A143" s="5">
        <v>44450</v>
      </c>
      <c r="B143">
        <v>0.11489000000000001</v>
      </c>
      <c r="C143">
        <v>0.12282</v>
      </c>
      <c r="D143">
        <v>0.11247</v>
      </c>
      <c r="E143">
        <v>0.11777</v>
      </c>
      <c r="F143">
        <v>108835179.3</v>
      </c>
      <c r="G143">
        <v>0.11777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2.4154589371980704E-2</v>
      </c>
      <c r="Q143">
        <f t="shared" ref="Q143" si="691">F143*P143</f>
        <v>2628869.0652173944</v>
      </c>
      <c r="R143">
        <f t="shared" ref="R143" si="692">R144+Q143</f>
        <v>-231251377.30273342</v>
      </c>
      <c r="S143">
        <f t="shared" ref="S143" si="693">R143/100000</f>
        <v>-2312.5137730273341</v>
      </c>
      <c r="T143">
        <f t="shared" ref="T143" si="694">S143/1000</f>
        <v>-2.3125137730273342</v>
      </c>
    </row>
    <row r="144" spans="1:20" x14ac:dyDescent="0.25">
      <c r="A144" s="5">
        <v>44449</v>
      </c>
      <c r="B144">
        <v>0.12016</v>
      </c>
      <c r="C144">
        <v>0.1249</v>
      </c>
      <c r="D144">
        <v>0.1099</v>
      </c>
      <c r="E144">
        <v>0.11491999999999999</v>
      </c>
      <c r="F144">
        <v>142885357.90000001</v>
      </c>
      <c r="G144">
        <v>0.11491999999999999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-0.33066666666666711</v>
      </c>
      <c r="Q144">
        <f t="shared" ref="Q144" si="696">F144*P144</f>
        <v>-47247425.012266733</v>
      </c>
      <c r="R144">
        <f t="shared" ref="R144" si="697">R145+Q144</f>
        <v>-233880246.36795083</v>
      </c>
      <c r="S144">
        <f t="shared" ref="S144" si="698">R144/100000</f>
        <v>-2338.8024636795085</v>
      </c>
      <c r="T144">
        <f t="shared" ref="T144" si="699">S144/1000</f>
        <v>-2.3388024636795084</v>
      </c>
    </row>
    <row r="145" spans="1:20" x14ac:dyDescent="0.25">
      <c r="A145" s="5">
        <v>44448</v>
      </c>
      <c r="B145">
        <v>0.12034</v>
      </c>
      <c r="C145">
        <v>0.12429999999999999</v>
      </c>
      <c r="D145">
        <v>0.11501</v>
      </c>
      <c r="E145">
        <v>0.12015000000000001</v>
      </c>
      <c r="F145">
        <v>133838822.8</v>
      </c>
      <c r="G145">
        <v>0.12015000000000001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0.10656620021528734</v>
      </c>
      <c r="Q145">
        <f t="shared" ref="Q145" si="701">F145*P145</f>
        <v>14262694.787083164</v>
      </c>
      <c r="R145">
        <f t="shared" ref="R145" si="702">R146+Q145</f>
        <v>-186632821.3556841</v>
      </c>
      <c r="S145">
        <f t="shared" ref="S145" si="703">R145/100000</f>
        <v>-1866.3282135568411</v>
      </c>
      <c r="T145">
        <f t="shared" ref="T145" si="704">S145/1000</f>
        <v>-1.8663282135568411</v>
      </c>
    </row>
    <row r="146" spans="1:20" x14ac:dyDescent="0.25">
      <c r="A146" s="5">
        <v>44447</v>
      </c>
      <c r="B146">
        <v>0.11781999999999999</v>
      </c>
      <c r="C146">
        <v>0.12371</v>
      </c>
      <c r="D146">
        <v>0.10589</v>
      </c>
      <c r="E146">
        <v>0.1203</v>
      </c>
      <c r="F146">
        <v>223208725.19999999</v>
      </c>
      <c r="G146">
        <v>0.1203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0.61728395061728436</v>
      </c>
      <c r="Q146">
        <f t="shared" ref="Q146" si="706">F146*P146</f>
        <v>137783163.70370379</v>
      </c>
      <c r="R146">
        <f t="shared" ref="R146" si="707">R147+Q146</f>
        <v>-200895516.14276728</v>
      </c>
      <c r="S146">
        <f t="shared" ref="S146" si="708">R146/100000</f>
        <v>-2008.9551614276727</v>
      </c>
      <c r="T146">
        <f t="shared" ref="T146" si="709">S146/1000</f>
        <v>-2.0089551614276728</v>
      </c>
    </row>
    <row r="147" spans="1:20" x14ac:dyDescent="0.25">
      <c r="A147" s="5">
        <v>44446</v>
      </c>
      <c r="B147">
        <v>0.14480999999999999</v>
      </c>
      <c r="C147">
        <v>0.14491999999999999</v>
      </c>
      <c r="D147">
        <v>9.9489999999999995E-2</v>
      </c>
      <c r="E147">
        <v>0.1177</v>
      </c>
      <c r="F147">
        <v>382240094.19999999</v>
      </c>
      <c r="G147">
        <v>0.1177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-0.19832709663218118</v>
      </c>
      <c r="Q147">
        <f t="shared" ref="Q147" si="711">F147*P147</f>
        <v>-75808568.099097431</v>
      </c>
      <c r="R147">
        <f t="shared" ref="R147" si="712">R148+Q147</f>
        <v>-338678679.84647107</v>
      </c>
      <c r="S147">
        <f t="shared" ref="S147" si="713">R147/100000</f>
        <v>-3386.7867984647105</v>
      </c>
      <c r="T147">
        <f t="shared" ref="T147" si="714">S147/1000</f>
        <v>-3.3867867984647106</v>
      </c>
    </row>
    <row r="148" spans="1:20" x14ac:dyDescent="0.25">
      <c r="A148" s="5">
        <v>44445</v>
      </c>
      <c r="B148">
        <v>0.15207999999999999</v>
      </c>
      <c r="C148">
        <v>0.15221999999999999</v>
      </c>
      <c r="D148">
        <v>0.13475000000000001</v>
      </c>
      <c r="E148">
        <v>0.14480999999999999</v>
      </c>
      <c r="F148">
        <v>202936774.90000001</v>
      </c>
      <c r="G148">
        <v>0.14480999999999999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0.15168860904407486</v>
      </c>
      <c r="Q148">
        <f t="shared" ref="Q148" si="716">F148*P148</f>
        <v>30783197.108471524</v>
      </c>
      <c r="R148">
        <f t="shared" ref="R148" si="717">R149+Q148</f>
        <v>-262870111.74737364</v>
      </c>
      <c r="S148">
        <f t="shared" ref="S148" si="718">R148/100000</f>
        <v>-2628.7011174737363</v>
      </c>
      <c r="T148">
        <f t="shared" ref="T148" si="719">S148/1000</f>
        <v>-2.6287011174737365</v>
      </c>
    </row>
    <row r="149" spans="1:20" x14ac:dyDescent="0.25">
      <c r="A149" s="5">
        <v>44444</v>
      </c>
      <c r="B149">
        <v>0.15562999999999999</v>
      </c>
      <c r="C149">
        <v>0.15709000000000001</v>
      </c>
      <c r="D149">
        <v>0.14488999999999999</v>
      </c>
      <c r="E149">
        <v>0.15215999999999999</v>
      </c>
      <c r="F149">
        <v>217667237.90000001</v>
      </c>
      <c r="G149">
        <v>0.15215999999999999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0.19180327868852276</v>
      </c>
      <c r="Q149">
        <f t="shared" ref="Q149" si="721">F149*P149</f>
        <v>41749289.892294683</v>
      </c>
      <c r="R149">
        <f t="shared" ref="R149" si="722">R150+Q149</f>
        <v>-293653308.85584515</v>
      </c>
      <c r="S149">
        <f t="shared" ref="S149" si="723">R149/100000</f>
        <v>-2936.5330885584517</v>
      </c>
      <c r="T149">
        <f t="shared" ref="T149" si="724">S149/1000</f>
        <v>-2.9365330885584515</v>
      </c>
    </row>
    <row r="150" spans="1:20" x14ac:dyDescent="0.25">
      <c r="A150" s="5">
        <v>44443</v>
      </c>
      <c r="B150">
        <v>0.13772999999999999</v>
      </c>
      <c r="C150">
        <v>0.16678000000000001</v>
      </c>
      <c r="D150">
        <v>0.13646</v>
      </c>
      <c r="E150">
        <v>0.15565000000000001</v>
      </c>
      <c r="F150">
        <v>414201084.39999998</v>
      </c>
      <c r="G150">
        <v>0.15565000000000001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0.26583113456464408</v>
      </c>
      <c r="Q150">
        <f t="shared" ref="Q150" si="726">F150*P150</f>
        <v>110107544.20395789</v>
      </c>
      <c r="R150">
        <f t="shared" ref="R150" si="727">R151+Q150</f>
        <v>-335402598.74813986</v>
      </c>
      <c r="S150">
        <f t="shared" ref="S150" si="728">R150/100000</f>
        <v>-3354.0259874813987</v>
      </c>
      <c r="T150">
        <f t="shared" ref="T150" si="729">S150/1000</f>
        <v>-3.3540259874813989</v>
      </c>
    </row>
    <row r="151" spans="1:20" x14ac:dyDescent="0.25">
      <c r="A151" s="5">
        <v>44442</v>
      </c>
      <c r="B151">
        <v>0.13492999999999999</v>
      </c>
      <c r="C151">
        <v>0.14399999999999999</v>
      </c>
      <c r="D151">
        <v>0.13083</v>
      </c>
      <c r="E151">
        <v>0.13775000000000001</v>
      </c>
      <c r="F151">
        <v>156224500.5</v>
      </c>
      <c r="G151">
        <v>0.13775000000000001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5.0873196659076109E-2</v>
      </c>
      <c r="Q151">
        <f t="shared" ref="Q151" si="731">F151*P151</f>
        <v>7947639.7369024334</v>
      </c>
      <c r="R151">
        <f t="shared" ref="R151" si="732">R152+Q151</f>
        <v>-445510142.95209771</v>
      </c>
      <c r="S151">
        <f t="shared" ref="S151" si="733">R151/100000</f>
        <v>-4455.101429520977</v>
      </c>
      <c r="T151">
        <f t="shared" ref="T151" si="734">S151/1000</f>
        <v>-4.455101429520977</v>
      </c>
    </row>
    <row r="152" spans="1:20" x14ac:dyDescent="0.25">
      <c r="A152" s="5">
        <v>44441</v>
      </c>
      <c r="B152">
        <v>0.13555</v>
      </c>
      <c r="C152">
        <v>0.14041000000000001</v>
      </c>
      <c r="D152">
        <v>0.13288</v>
      </c>
      <c r="E152">
        <v>0.13488</v>
      </c>
      <c r="F152">
        <v>133604263</v>
      </c>
      <c r="G152">
        <v>0.13488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-0.46879150066401076</v>
      </c>
      <c r="Q152">
        <f t="shared" ref="Q152" si="736">F152*P152</f>
        <v>-62632542.946879171</v>
      </c>
      <c r="R152">
        <f t="shared" ref="R152" si="737">R153+Q152</f>
        <v>-453457782.68900013</v>
      </c>
      <c r="S152">
        <f t="shared" ref="S152" si="738">R152/100000</f>
        <v>-4534.5778268900012</v>
      </c>
      <c r="T152">
        <f t="shared" ref="T152" si="739">S152/1000</f>
        <v>-4.5345778268900014</v>
      </c>
    </row>
    <row r="153" spans="1:20" x14ac:dyDescent="0.25">
      <c r="A153" s="5">
        <v>44440</v>
      </c>
      <c r="B153">
        <v>0.12837000000000001</v>
      </c>
      <c r="C153">
        <v>0.13691999999999999</v>
      </c>
      <c r="D153">
        <v>0.1255</v>
      </c>
      <c r="E153">
        <v>0.13553999999999999</v>
      </c>
      <c r="F153">
        <v>152693549.09999999</v>
      </c>
      <c r="G153">
        <v>0.13553999999999999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0.7583187390542917</v>
      </c>
      <c r="Q153">
        <f t="shared" ref="Q153" si="741">F153*P153</f>
        <v>115790379.61523658</v>
      </c>
      <c r="R153">
        <f t="shared" ref="R153" si="742">R154+Q153</f>
        <v>-390825239.74212098</v>
      </c>
      <c r="S153">
        <f t="shared" ref="S153" si="743">R153/100000</f>
        <v>-3908.2523974212099</v>
      </c>
      <c r="T153">
        <f t="shared" ref="T153" si="744">S153/1000</f>
        <v>-3.9082523974212098</v>
      </c>
    </row>
    <row r="154" spans="1:20" x14ac:dyDescent="0.25">
      <c r="A154" s="5">
        <v>44439</v>
      </c>
      <c r="B154">
        <v>0.12615999999999999</v>
      </c>
      <c r="C154">
        <v>0.13120000000000001</v>
      </c>
      <c r="D154">
        <v>0.125</v>
      </c>
      <c r="E154">
        <v>0.12842999999999999</v>
      </c>
      <c r="F154">
        <v>106007438.8</v>
      </c>
      <c r="G154">
        <v>0.12842999999999999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0.10645161290322017</v>
      </c>
      <c r="Q154">
        <f t="shared" ref="Q154" si="746">F154*P154</f>
        <v>11284662.839999402</v>
      </c>
      <c r="R154">
        <f t="shared" ref="R154" si="747">R155+Q154</f>
        <v>-506615619.35735756</v>
      </c>
      <c r="S154">
        <f t="shared" ref="S154" si="748">R154/100000</f>
        <v>-5066.1561935735754</v>
      </c>
      <c r="T154">
        <f t="shared" ref="T154" si="749">S154/1000</f>
        <v>-5.0661561935735753</v>
      </c>
    </row>
    <row r="155" spans="1:20" x14ac:dyDescent="0.25">
      <c r="A155" s="5">
        <v>44438</v>
      </c>
      <c r="B155">
        <v>0.13048000000000001</v>
      </c>
      <c r="C155">
        <v>0.13980000000000001</v>
      </c>
      <c r="D155">
        <v>0.12372</v>
      </c>
      <c r="E155">
        <v>0.12611</v>
      </c>
      <c r="F155">
        <v>180942482.80000001</v>
      </c>
      <c r="G155">
        <v>0.12611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-0.70273631840796003</v>
      </c>
      <c r="Q155">
        <f t="shared" ref="Q155" si="751">F155*P155</f>
        <v>-127154854.20646764</v>
      </c>
      <c r="R155">
        <f t="shared" ref="R155" si="752">R156+Q155</f>
        <v>-517900282.19735694</v>
      </c>
      <c r="S155">
        <f t="shared" ref="S155" si="753">R155/100000</f>
        <v>-5179.0028219735696</v>
      </c>
      <c r="T155">
        <f t="shared" ref="T155" si="754">S155/1000</f>
        <v>-5.1790028219735698</v>
      </c>
    </row>
    <row r="156" spans="1:20" x14ac:dyDescent="0.25">
      <c r="A156" s="5">
        <v>44437</v>
      </c>
      <c r="B156">
        <v>0.13036</v>
      </c>
      <c r="C156">
        <v>0.13388</v>
      </c>
      <c r="D156">
        <v>0.1268</v>
      </c>
      <c r="E156">
        <v>0.13044</v>
      </c>
      <c r="F156">
        <v>82476695.200000003</v>
      </c>
      <c r="G156">
        <v>0.13044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2.8248587570622267E-2</v>
      </c>
      <c r="Q156">
        <f t="shared" ref="Q156" si="756">F156*P156</f>
        <v>2329850.1468927213</v>
      </c>
      <c r="R156">
        <f t="shared" ref="R156" si="757">R157+Q156</f>
        <v>-390745427.99088931</v>
      </c>
      <c r="S156">
        <f t="shared" ref="S156" si="758">R156/100000</f>
        <v>-3907.4542799088931</v>
      </c>
      <c r="T156">
        <f t="shared" ref="T156" si="759">S156/1000</f>
        <v>-3.9074542799088929</v>
      </c>
    </row>
    <row r="157" spans="1:20" x14ac:dyDescent="0.25">
      <c r="A157" s="5">
        <v>44436</v>
      </c>
      <c r="B157">
        <v>0.13582</v>
      </c>
      <c r="C157">
        <v>0.13582</v>
      </c>
      <c r="D157">
        <v>0.12909000000000001</v>
      </c>
      <c r="E157">
        <v>0.13031000000000001</v>
      </c>
      <c r="F157">
        <v>74273468.200000003</v>
      </c>
      <c r="G157">
        <v>0.13031000000000001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-0.63744427934621062</v>
      </c>
      <c r="Q157">
        <f t="shared" ref="Q157" si="761">F157*P157</f>
        <v>-47345197.411292695</v>
      </c>
      <c r="R157">
        <f t="shared" ref="R157" si="762">R158+Q157</f>
        <v>-393075278.13778204</v>
      </c>
      <c r="S157">
        <f t="shared" ref="S157" si="763">R157/100000</f>
        <v>-3930.7527813778202</v>
      </c>
      <c r="T157">
        <f t="shared" ref="T157" si="764">S157/1000</f>
        <v>-3.9307527813778202</v>
      </c>
    </row>
    <row r="158" spans="1:20" x14ac:dyDescent="0.25">
      <c r="A158" s="5">
        <v>44435</v>
      </c>
      <c r="B158">
        <v>0.12494</v>
      </c>
      <c r="C158">
        <v>0.13600000000000001</v>
      </c>
      <c r="D158">
        <v>0.11899999999999999</v>
      </c>
      <c r="E158">
        <v>0.13569000000000001</v>
      </c>
      <c r="F158">
        <v>125731941.40000001</v>
      </c>
      <c r="G158">
        <v>0.13569000000000001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0.96352941176470541</v>
      </c>
      <c r="Q158">
        <f t="shared" ref="Q158" si="766">F158*P158</f>
        <v>121146423.53717642</v>
      </c>
      <c r="R158">
        <f t="shared" ref="R158" si="767">R159+Q158</f>
        <v>-345730080.72648937</v>
      </c>
      <c r="S158">
        <f t="shared" ref="S158" si="768">R158/100000</f>
        <v>-3457.3008072648936</v>
      </c>
      <c r="T158">
        <f t="shared" ref="T158" si="769">S158/1000</f>
        <v>-3.4573008072648936</v>
      </c>
    </row>
    <row r="159" spans="1:20" x14ac:dyDescent="0.25">
      <c r="A159" s="5">
        <v>44434</v>
      </c>
      <c r="B159">
        <v>0.13652</v>
      </c>
      <c r="C159">
        <v>0.13997000000000001</v>
      </c>
      <c r="D159">
        <v>0.12300999999999999</v>
      </c>
      <c r="E159">
        <v>0.1249</v>
      </c>
      <c r="F159">
        <v>116643461.5</v>
      </c>
      <c r="G159">
        <v>0.1249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-0.77712264150943389</v>
      </c>
      <c r="Q159">
        <f t="shared" ref="Q159" si="771">F159*P159</f>
        <v>-90646274.915683955</v>
      </c>
      <c r="R159">
        <f t="shared" ref="R159" si="772">R160+Q159</f>
        <v>-466876504.2636658</v>
      </c>
      <c r="S159">
        <f t="shared" ref="S159" si="773">R159/100000</f>
        <v>-4668.7650426366581</v>
      </c>
      <c r="T159">
        <f t="shared" ref="T159" si="774">S159/1000</f>
        <v>-4.6687650426366583</v>
      </c>
    </row>
    <row r="160" spans="1:20" x14ac:dyDescent="0.25">
      <c r="A160" s="5">
        <v>44433</v>
      </c>
      <c r="B160">
        <v>0.13300999999999999</v>
      </c>
      <c r="C160">
        <v>0.13886000000000001</v>
      </c>
      <c r="D160">
        <v>0.12756999999999999</v>
      </c>
      <c r="E160">
        <v>0.13647000000000001</v>
      </c>
      <c r="F160">
        <v>121768368.09999999</v>
      </c>
      <c r="G160">
        <v>0.13647000000000001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0.57661647475642186</v>
      </c>
      <c r="Q160">
        <f t="shared" ref="Q160" si="776">F160*P160</f>
        <v>70213647.15066433</v>
      </c>
      <c r="R160">
        <f t="shared" ref="R160" si="777">R161+Q160</f>
        <v>-376230229.34798181</v>
      </c>
      <c r="S160">
        <f t="shared" ref="S160" si="778">R160/100000</f>
        <v>-3762.3022934798182</v>
      </c>
      <c r="T160">
        <f t="shared" ref="T160" si="779">S160/1000</f>
        <v>-3.7623022934798183</v>
      </c>
    </row>
    <row r="161" spans="1:20" x14ac:dyDescent="0.25">
      <c r="A161" s="5">
        <v>44432</v>
      </c>
      <c r="B161">
        <v>0.14627999999999999</v>
      </c>
      <c r="C161">
        <v>0.15074000000000001</v>
      </c>
      <c r="D161">
        <v>0.13</v>
      </c>
      <c r="E161">
        <v>0.13308</v>
      </c>
      <c r="F161">
        <v>204316893.90000001</v>
      </c>
      <c r="G161">
        <v>0.13308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-0.70298939247830294</v>
      </c>
      <c r="Q161">
        <f t="shared" ref="Q161" si="781">F161*P161</f>
        <v>-143632609.11581489</v>
      </c>
      <c r="R161">
        <f t="shared" ref="R161" si="782">R162+Q161</f>
        <v>-446443876.49864614</v>
      </c>
      <c r="S161">
        <f t="shared" ref="S161" si="783">R161/100000</f>
        <v>-4464.4387649864611</v>
      </c>
      <c r="T161">
        <f t="shared" ref="T161" si="784">S161/1000</f>
        <v>-4.4644387649864612</v>
      </c>
    </row>
    <row r="162" spans="1:20" x14ac:dyDescent="0.25">
      <c r="A162" s="5">
        <v>44431</v>
      </c>
      <c r="B162">
        <v>0.13974</v>
      </c>
      <c r="C162">
        <v>0.15981999999999999</v>
      </c>
      <c r="D162">
        <v>0.13941000000000001</v>
      </c>
      <c r="E162">
        <v>0.14643999999999999</v>
      </c>
      <c r="F162">
        <v>415992253.60000002</v>
      </c>
      <c r="G162">
        <v>0.14643999999999999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-0.31112199902008952</v>
      </c>
      <c r="Q162">
        <f t="shared" ref="Q162" si="786">F162*P162</f>
        <v>-129424341.51690404</v>
      </c>
      <c r="R162">
        <f t="shared" ref="R162" si="787">R163+Q162</f>
        <v>-302811267.38283122</v>
      </c>
      <c r="S162">
        <f t="shared" ref="S162" si="788">R162/100000</f>
        <v>-3028.1126738283124</v>
      </c>
      <c r="T162">
        <f t="shared" ref="T162" si="789">S162/1000</f>
        <v>-3.0281126738283124</v>
      </c>
    </row>
    <row r="163" spans="1:20" x14ac:dyDescent="0.25">
      <c r="A163" s="5">
        <v>44430</v>
      </c>
      <c r="B163">
        <v>0.13844000000000001</v>
      </c>
      <c r="C163">
        <v>0.14112</v>
      </c>
      <c r="D163">
        <v>0.13758000000000001</v>
      </c>
      <c r="E163">
        <v>0.14069000000000001</v>
      </c>
      <c r="F163">
        <v>22384349</v>
      </c>
      <c r="G163">
        <v>0.14069000000000001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0.75706214689266249</v>
      </c>
      <c r="Q163">
        <f t="shared" ref="Q163" si="791">F163*P163</f>
        <v>16946343.310734622</v>
      </c>
      <c r="R163">
        <f t="shared" ref="R163" si="792">R164+Q163</f>
        <v>-173386925.86592719</v>
      </c>
      <c r="S163">
        <f t="shared" ref="S163" si="793">R163/100000</f>
        <v>-1733.869258659272</v>
      </c>
      <c r="T163">
        <f t="shared" ref="T163" si="794">S163/1000</f>
        <v>-1.7338692586592719</v>
      </c>
    </row>
    <row r="164" spans="1:20" x14ac:dyDescent="0.25">
      <c r="A164" s="5">
        <v>44429</v>
      </c>
      <c r="B164">
        <v>0.14398</v>
      </c>
      <c r="C164">
        <v>0.14688999999999999</v>
      </c>
      <c r="D164">
        <v>0.13100000000000001</v>
      </c>
      <c r="E164">
        <v>0.13841000000000001</v>
      </c>
      <c r="F164">
        <v>200327733.30000001</v>
      </c>
      <c r="G164">
        <v>0.13841000000000001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-6.7337948395216396E-2</v>
      </c>
      <c r="Q164">
        <f t="shared" ref="Q164" si="796">F164*P164</f>
        <v>-13489658.567086075</v>
      </c>
      <c r="R164">
        <f t="shared" ref="R164" si="797">R165+Q164</f>
        <v>-190333269.17666182</v>
      </c>
      <c r="S164">
        <f t="shared" ref="S164" si="798">R164/100000</f>
        <v>-1903.3326917666182</v>
      </c>
      <c r="T164">
        <f t="shared" ref="T164" si="799">S164/1000</f>
        <v>-1.9033326917666182</v>
      </c>
    </row>
    <row r="165" spans="1:20" x14ac:dyDescent="0.25">
      <c r="A165" s="5">
        <v>44428</v>
      </c>
      <c r="B165">
        <v>0.14121</v>
      </c>
      <c r="C165">
        <v>0.1489</v>
      </c>
      <c r="D165">
        <v>0.13753000000000001</v>
      </c>
      <c r="E165">
        <v>0.14396999999999999</v>
      </c>
      <c r="F165">
        <v>262430633.19999999</v>
      </c>
      <c r="G165">
        <v>0.14396999999999999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0.13280562884784142</v>
      </c>
      <c r="Q165">
        <f t="shared" ref="Q165" si="801">F165*P165</f>
        <v>34852265.271063209</v>
      </c>
      <c r="R165">
        <f t="shared" ref="R165" si="802">R166+Q165</f>
        <v>-176843610.60957575</v>
      </c>
      <c r="S165">
        <f t="shared" ref="S165" si="803">R165/100000</f>
        <v>-1768.4361060957574</v>
      </c>
      <c r="T165">
        <f t="shared" ref="T165" si="804">S165/1000</f>
        <v>-1.7684361060957574</v>
      </c>
    </row>
    <row r="166" spans="1:20" x14ac:dyDescent="0.25">
      <c r="A166" s="5">
        <v>44427</v>
      </c>
      <c r="B166">
        <v>0.13627</v>
      </c>
      <c r="C166">
        <v>0.14141999999999999</v>
      </c>
      <c r="D166">
        <v>0.13</v>
      </c>
      <c r="E166">
        <v>0.14122999999999999</v>
      </c>
      <c r="F166">
        <v>202371118.80000001</v>
      </c>
      <c r="G166">
        <v>0.14122999999999999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0.96672504378283786</v>
      </c>
      <c r="Q166">
        <f t="shared" ref="Q166" si="806">F166*P166</f>
        <v>195637228.68231189</v>
      </c>
      <c r="R166">
        <f t="shared" ref="R166" si="807">R167+Q166</f>
        <v>-211695875.88063896</v>
      </c>
      <c r="S166">
        <f t="shared" ref="S166" si="808">R166/100000</f>
        <v>-2116.9587588063896</v>
      </c>
      <c r="T166">
        <f t="shared" ref="T166" si="809">S166/1000</f>
        <v>-2.1169587588063896</v>
      </c>
    </row>
    <row r="167" spans="1:20" x14ac:dyDescent="0.25">
      <c r="A167" s="5">
        <v>44426</v>
      </c>
      <c r="B167">
        <v>0.13635</v>
      </c>
      <c r="C167">
        <v>0.14746999999999999</v>
      </c>
      <c r="D167">
        <v>0.12581999999999999</v>
      </c>
      <c r="E167">
        <v>0.1363</v>
      </c>
      <c r="F167">
        <v>328074703.80000001</v>
      </c>
      <c r="G167">
        <v>0.1363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-3.1870669745956967E-2</v>
      </c>
      <c r="Q167">
        <f t="shared" ref="Q167" si="811">F167*P167</f>
        <v>-10455960.536812454</v>
      </c>
      <c r="R167">
        <f t="shared" ref="R167" si="812">R168+Q167</f>
        <v>-407333104.56295085</v>
      </c>
      <c r="S167">
        <f t="shared" ref="S167" si="813">R167/100000</f>
        <v>-4073.3310456295085</v>
      </c>
      <c r="T167">
        <f t="shared" ref="T167" si="814">S167/1000</f>
        <v>-4.0733310456295087</v>
      </c>
    </row>
    <row r="168" spans="1:20" x14ac:dyDescent="0.25">
      <c r="A168" s="5">
        <v>44425</v>
      </c>
      <c r="B168">
        <v>0.14024</v>
      </c>
      <c r="C168">
        <v>0.15229999999999999</v>
      </c>
      <c r="D168">
        <v>0.13170000000000001</v>
      </c>
      <c r="E168">
        <v>0.13618</v>
      </c>
      <c r="F168">
        <v>353341359.89999998</v>
      </c>
      <c r="G168">
        <v>0.13618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-0.56504854368932156</v>
      </c>
      <c r="Q168">
        <f t="shared" ref="Q168" si="816">F168*P168</f>
        <v>-199655020.83669943</v>
      </c>
      <c r="R168">
        <f t="shared" ref="R168" si="817">R169+Q168</f>
        <v>-396877144.02613842</v>
      </c>
      <c r="S168">
        <f t="shared" ref="S168" si="818">R168/100000</f>
        <v>-3968.7714402613842</v>
      </c>
      <c r="T168">
        <f t="shared" ref="T168" si="819">S168/1000</f>
        <v>-3.9687714402613841</v>
      </c>
    </row>
    <row r="169" spans="1:20" x14ac:dyDescent="0.25">
      <c r="A169" s="5">
        <v>44424</v>
      </c>
      <c r="B169">
        <v>0.14660999999999999</v>
      </c>
      <c r="C169">
        <v>0.1575</v>
      </c>
      <c r="D169">
        <v>0.13880000000000001</v>
      </c>
      <c r="E169">
        <v>0.14027000000000001</v>
      </c>
      <c r="F169">
        <v>254557478.40000001</v>
      </c>
      <c r="G169">
        <v>0.14027000000000001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-0.84278074866310171</v>
      </c>
      <c r="Q169">
        <f t="shared" ref="Q169" si="821">F169*P169</f>
        <v>-214536142.22374335</v>
      </c>
      <c r="R169">
        <f t="shared" ref="R169" si="822">R170+Q169</f>
        <v>-197222123.189439</v>
      </c>
      <c r="S169">
        <f t="shared" ref="S169" si="823">R169/100000</f>
        <v>-1972.22123189439</v>
      </c>
      <c r="T169">
        <f t="shared" ref="T169" si="824">S169/1000</f>
        <v>-1.9722212318943901</v>
      </c>
    </row>
    <row r="170" spans="1:20" x14ac:dyDescent="0.25">
      <c r="A170" s="5">
        <v>44423</v>
      </c>
      <c r="B170">
        <v>0.15035999999999999</v>
      </c>
      <c r="C170">
        <v>0.15132999999999999</v>
      </c>
      <c r="D170">
        <v>0.13850000000000001</v>
      </c>
      <c r="E170">
        <v>0.14663999999999999</v>
      </c>
      <c r="F170">
        <v>197993203.69999999</v>
      </c>
      <c r="G170">
        <v>0.14663999999999999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0.26890101325019378</v>
      </c>
      <c r="Q170">
        <f t="shared" ref="Q170" si="826">F170*P170</f>
        <v>53240573.091582015</v>
      </c>
      <c r="R170">
        <f t="shared" ref="R170" si="827">R171+Q170</f>
        <v>17314019.034304366</v>
      </c>
      <c r="S170">
        <f t="shared" ref="S170" si="828">R170/100000</f>
        <v>173.14019034304366</v>
      </c>
      <c r="T170">
        <f t="shared" ref="T170" si="829">S170/1000</f>
        <v>0.17314019034304365</v>
      </c>
    </row>
    <row r="171" spans="1:20" x14ac:dyDescent="0.25">
      <c r="A171" s="5">
        <v>44422</v>
      </c>
      <c r="B171">
        <v>0.15554000000000001</v>
      </c>
      <c r="C171">
        <v>0.16159999999999999</v>
      </c>
      <c r="D171">
        <v>0.14616999999999999</v>
      </c>
      <c r="E171">
        <v>0.15037</v>
      </c>
      <c r="F171">
        <v>289611773.80000001</v>
      </c>
      <c r="G171">
        <v>0.15037</v>
      </c>
      <c r="L171" t="s">
        <v>7</v>
      </c>
      <c r="M171" t="s">
        <v>7</v>
      </c>
      <c r="N171" t="s">
        <v>8</v>
      </c>
      <c r="P171">
        <f t="shared" ref="P171" si="830">IF(C171=D171,0,((E171-D171)-(C171-E171))/(C171-D171))</f>
        <v>-0.45560596241088663</v>
      </c>
      <c r="Q171">
        <f t="shared" ref="Q171" si="831">F171*P171</f>
        <v>-131948850.92767301</v>
      </c>
      <c r="R171">
        <f t="shared" ref="R171" si="832">R172+Q171</f>
        <v>-35926554.05727765</v>
      </c>
      <c r="S171">
        <f t="shared" ref="S171" si="833">R171/100000</f>
        <v>-359.2655405727765</v>
      </c>
      <c r="T171">
        <f t="shared" ref="T171" si="834">S171/1000</f>
        <v>-0.35926554057277649</v>
      </c>
    </row>
    <row r="172" spans="1:20" x14ac:dyDescent="0.25">
      <c r="A172" s="5">
        <v>44421</v>
      </c>
      <c r="B172">
        <v>0.15073</v>
      </c>
      <c r="C172">
        <v>0.16325999999999999</v>
      </c>
      <c r="D172">
        <v>0.14682999999999999</v>
      </c>
      <c r="E172">
        <v>0.15557000000000001</v>
      </c>
      <c r="F172">
        <v>345857771.30000001</v>
      </c>
      <c r="G172">
        <v>0.15557000000000001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6.3907486305541744E-2</v>
      </c>
      <c r="Q172">
        <f t="shared" ref="Q172" si="836">F172*P172</f>
        <v>22102900.783019938</v>
      </c>
      <c r="R172">
        <f t="shared" ref="R172" si="837">R173+Q172</f>
        <v>96022296.870395362</v>
      </c>
      <c r="S172">
        <f t="shared" ref="S172" si="838">R172/100000</f>
        <v>960.2229687039536</v>
      </c>
      <c r="T172">
        <f t="shared" ref="T172" si="839">S172/1000</f>
        <v>0.96022296870395363</v>
      </c>
    </row>
    <row r="173" spans="1:20" x14ac:dyDescent="0.25">
      <c r="A173" s="5">
        <v>44420</v>
      </c>
      <c r="B173">
        <v>0.15417</v>
      </c>
      <c r="C173">
        <v>0.16250000000000001</v>
      </c>
      <c r="D173">
        <v>0.13557</v>
      </c>
      <c r="E173">
        <v>0.15074000000000001</v>
      </c>
      <c r="F173">
        <v>646365935.20000005</v>
      </c>
      <c r="G173">
        <v>0.15074000000000001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0.12662458225027934</v>
      </c>
      <c r="Q173">
        <f t="shared" ref="Q173" si="841">F173*P173</f>
        <v>81845816.525511131</v>
      </c>
      <c r="R173">
        <f t="shared" ref="R173" si="842">R174+Q173</f>
        <v>73919396.087375432</v>
      </c>
      <c r="S173">
        <f t="shared" ref="S173" si="843">R173/100000</f>
        <v>739.19396087375435</v>
      </c>
      <c r="T173">
        <f t="shared" ref="T173" si="844">S173/1000</f>
        <v>0.73919396087375433</v>
      </c>
    </row>
    <row r="174" spans="1:20" x14ac:dyDescent="0.25">
      <c r="A174" s="5">
        <v>44419</v>
      </c>
      <c r="B174">
        <v>0.13628999999999999</v>
      </c>
      <c r="C174">
        <v>0.17798</v>
      </c>
      <c r="D174">
        <v>0.13117000000000001</v>
      </c>
      <c r="E174">
        <v>0.15421000000000001</v>
      </c>
      <c r="F174">
        <v>1139642435.0999999</v>
      </c>
      <c r="G174">
        <v>0.15421000000000001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-1.5594958342234155E-2</v>
      </c>
      <c r="Q174">
        <f t="shared" ref="Q174" si="846">F174*P174</f>
        <v>-17772676.300426789</v>
      </c>
      <c r="R174">
        <f t="shared" ref="R174" si="847">R175+Q174</f>
        <v>-7926420.438135691</v>
      </c>
      <c r="S174">
        <f t="shared" ref="S174" si="848">R174/100000</f>
        <v>-79.264204381356905</v>
      </c>
      <c r="T174">
        <f t="shared" ref="T174" si="849">S174/1000</f>
        <v>-7.9264204381356909E-2</v>
      </c>
    </row>
    <row r="175" spans="1:20" x14ac:dyDescent="0.25">
      <c r="A175" s="5">
        <v>44418</v>
      </c>
      <c r="B175">
        <v>0.11375</v>
      </c>
      <c r="C175">
        <v>0.14199999999999999</v>
      </c>
      <c r="D175">
        <v>0.11228</v>
      </c>
      <c r="E175">
        <v>0.13621</v>
      </c>
      <c r="F175">
        <v>1117314384.7</v>
      </c>
      <c r="G175">
        <v>0.13621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0.61036339165545139</v>
      </c>
      <c r="Q175">
        <f t="shared" ref="Q175" si="851">F175*P175</f>
        <v>681967797.39091587</v>
      </c>
      <c r="R175">
        <f t="shared" ref="R175" si="852">R176+Q175</f>
        <v>9846255.8622910976</v>
      </c>
      <c r="S175">
        <f t="shared" ref="S175" si="853">R175/100000</f>
        <v>98.462558622910976</v>
      </c>
      <c r="T175">
        <f t="shared" ref="T175" si="854">S175/1000</f>
        <v>9.8462558622910978E-2</v>
      </c>
    </row>
    <row r="176" spans="1:20" x14ac:dyDescent="0.25">
      <c r="A176" s="5">
        <v>44417</v>
      </c>
      <c r="B176">
        <v>9.0980000000000005E-2</v>
      </c>
      <c r="C176">
        <v>0.12</v>
      </c>
      <c r="D176">
        <v>8.7419999999999998E-2</v>
      </c>
      <c r="E176">
        <v>0.11373999999999999</v>
      </c>
      <c r="F176">
        <v>707906109.20000005</v>
      </c>
      <c r="G176">
        <v>0.11373999999999999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0.61571516267648851</v>
      </c>
      <c r="Q176">
        <f t="shared" ref="Q176" si="856">F176*P176</f>
        <v>435868525.18575805</v>
      </c>
      <c r="R176">
        <f t="shared" ref="R176" si="857">R177+Q176</f>
        <v>-672121541.52862477</v>
      </c>
      <c r="S176">
        <f t="shared" ref="S176" si="858">R176/100000</f>
        <v>-6721.2154152862477</v>
      </c>
      <c r="T176">
        <f t="shared" ref="T176" si="859">S176/1000</f>
        <v>-6.721215415286248</v>
      </c>
    </row>
    <row r="177" spans="1:20" x14ac:dyDescent="0.25">
      <c r="A177" s="5">
        <v>44416</v>
      </c>
      <c r="B177">
        <v>9.7460000000000005E-2</v>
      </c>
      <c r="C177">
        <v>9.9879999999999997E-2</v>
      </c>
      <c r="D177">
        <v>8.9700000000000002E-2</v>
      </c>
      <c r="E177">
        <v>9.0969999999999995E-2</v>
      </c>
      <c r="F177">
        <v>228946634.40000001</v>
      </c>
      <c r="G177">
        <v>9.0969999999999995E-2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-0.75049115913556108</v>
      </c>
      <c r="Q177">
        <f t="shared" ref="Q177" si="861">F177*P177</f>
        <v>-171822425.03104153</v>
      </c>
      <c r="R177">
        <f t="shared" ref="R177" si="862">R178+Q177</f>
        <v>-1107990066.7143829</v>
      </c>
      <c r="S177">
        <f t="shared" ref="S177" si="863">R177/100000</f>
        <v>-11079.900667143829</v>
      </c>
      <c r="T177">
        <f t="shared" ref="T177" si="864">S177/1000</f>
        <v>-11.079900667143828</v>
      </c>
    </row>
    <row r="178" spans="1:20" x14ac:dyDescent="0.25">
      <c r="A178" s="5">
        <v>44415</v>
      </c>
      <c r="B178">
        <v>9.9309999999999996E-2</v>
      </c>
      <c r="C178">
        <v>0.105</v>
      </c>
      <c r="D178">
        <v>9.1869999999999993E-2</v>
      </c>
      <c r="E178">
        <v>9.7460000000000005E-2</v>
      </c>
      <c r="F178">
        <v>585984460.89999998</v>
      </c>
      <c r="G178">
        <v>9.7460000000000005E-2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-0.14851485148514693</v>
      </c>
      <c r="Q178">
        <f t="shared" ref="Q178" si="866">F178*P178</f>
        <v>-87027395.183167383</v>
      </c>
      <c r="R178">
        <f t="shared" ref="R178" si="867">R179+Q178</f>
        <v>-936167641.68334126</v>
      </c>
      <c r="S178">
        <f t="shared" ref="S178" si="868">R178/100000</f>
        <v>-9361.6764168334121</v>
      </c>
      <c r="T178">
        <f t="shared" ref="T178" si="869">S178/1000</f>
        <v>-9.3616764168334115</v>
      </c>
    </row>
    <row r="179" spans="1:20" x14ac:dyDescent="0.25">
      <c r="A179" s="5">
        <v>44414</v>
      </c>
      <c r="B179">
        <v>7.324E-2</v>
      </c>
      <c r="C179">
        <v>0.11239</v>
      </c>
      <c r="D179">
        <v>7.1940000000000004E-2</v>
      </c>
      <c r="E179">
        <v>9.9309999999999996E-2</v>
      </c>
      <c r="F179">
        <v>1182092718.5</v>
      </c>
      <c r="G179">
        <v>9.9309999999999996E-2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0.35327564894931973</v>
      </c>
      <c r="Q179">
        <f t="shared" ref="Q179" si="871">F179*P179</f>
        <v>417604572.24635303</v>
      </c>
      <c r="R179">
        <f t="shared" ref="R179" si="872">R180+Q179</f>
        <v>-849140246.50017393</v>
      </c>
      <c r="S179">
        <f t="shared" ref="S179" si="873">R179/100000</f>
        <v>-8491.40246500174</v>
      </c>
      <c r="T179">
        <f t="shared" ref="T179" si="874">S179/1000</f>
        <v>-8.4914024650017392</v>
      </c>
    </row>
    <row r="180" spans="1:20" x14ac:dyDescent="0.25">
      <c r="A180" s="5">
        <v>44413</v>
      </c>
      <c r="B180">
        <v>7.3800000000000004E-2</v>
      </c>
      <c r="C180">
        <v>7.4219999999999994E-2</v>
      </c>
      <c r="D180">
        <v>7.0129999999999998E-2</v>
      </c>
      <c r="E180">
        <v>7.3219999999999993E-2</v>
      </c>
      <c r="F180">
        <v>148909270.69999999</v>
      </c>
      <c r="G180">
        <v>7.3219999999999993E-2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0.51100244498777425</v>
      </c>
      <c r="Q180">
        <f t="shared" ref="Q180" si="876">F180*P180</f>
        <v>76093001.409046322</v>
      </c>
      <c r="R180">
        <f t="shared" ref="R180" si="877">R181+Q180</f>
        <v>-1266744818.746527</v>
      </c>
      <c r="S180">
        <f t="shared" ref="S180" si="878">R180/100000</f>
        <v>-12667.44818746527</v>
      </c>
      <c r="T180">
        <f t="shared" ref="T180" si="879">S180/1000</f>
        <v>-12.66744818746527</v>
      </c>
    </row>
    <row r="181" spans="1:20" x14ac:dyDescent="0.25">
      <c r="A181" s="5">
        <v>44412</v>
      </c>
      <c r="B181">
        <v>7.2599999999999998E-2</v>
      </c>
      <c r="C181">
        <v>7.4810000000000001E-2</v>
      </c>
      <c r="D181">
        <v>7.0120000000000002E-2</v>
      </c>
      <c r="E181">
        <v>7.3789999999999994E-2</v>
      </c>
      <c r="F181">
        <v>226168774.80000001</v>
      </c>
      <c r="G181">
        <v>7.3789999999999994E-2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0.56503198294242774</v>
      </c>
      <c r="Q181">
        <f t="shared" ref="Q181" si="881">F181*P181</f>
        <v>127792591.30490339</v>
      </c>
      <c r="R181">
        <f t="shared" ref="R181" si="882">R182+Q181</f>
        <v>-1342837820.1555734</v>
      </c>
      <c r="S181">
        <f t="shared" ref="S181" si="883">R181/100000</f>
        <v>-13428.378201555734</v>
      </c>
      <c r="T181">
        <f t="shared" ref="T181" si="884">S181/1000</f>
        <v>-13.428378201555734</v>
      </c>
    </row>
    <row r="182" spans="1:20" x14ac:dyDescent="0.25">
      <c r="A182" s="5">
        <v>44411</v>
      </c>
      <c r="B182">
        <v>6.5850000000000006E-2</v>
      </c>
      <c r="C182">
        <v>7.4249999999999997E-2</v>
      </c>
      <c r="D182">
        <v>6.2630000000000005E-2</v>
      </c>
      <c r="E182">
        <v>7.2599999999999998E-2</v>
      </c>
      <c r="F182">
        <v>306582799.39999998</v>
      </c>
      <c r="G182">
        <v>7.2599999999999998E-2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0.71600688468158347</v>
      </c>
      <c r="Q182">
        <f t="shared" ref="Q182" si="886">F182*P182</f>
        <v>219515395.09535283</v>
      </c>
      <c r="R182">
        <f t="shared" ref="R182" si="887">R183+Q182</f>
        <v>-1470630411.4604766</v>
      </c>
      <c r="S182">
        <f t="shared" ref="S182" si="888">R182/100000</f>
        <v>-14706.304114604767</v>
      </c>
      <c r="T182">
        <f t="shared" ref="T182" si="889">S182/1000</f>
        <v>-14.706304114604768</v>
      </c>
    </row>
    <row r="183" spans="1:20" x14ac:dyDescent="0.25">
      <c r="A183" s="5">
        <v>44410</v>
      </c>
      <c r="B183">
        <v>6.3380000000000006E-2</v>
      </c>
      <c r="C183">
        <v>6.7400000000000002E-2</v>
      </c>
      <c r="D183">
        <v>6.2979999999999994E-2</v>
      </c>
      <c r="E183">
        <v>6.583E-2</v>
      </c>
      <c r="F183">
        <v>90003196</v>
      </c>
      <c r="G183">
        <v>6.583E-2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0.28959276018099578</v>
      </c>
      <c r="Q183">
        <f t="shared" ref="Q183" si="891">F183*P183</f>
        <v>26064273.95475116</v>
      </c>
      <c r="R183">
        <f t="shared" ref="R183" si="892">R184+Q183</f>
        <v>-1690145806.5558295</v>
      </c>
      <c r="S183">
        <f t="shared" ref="S183" si="893">R183/100000</f>
        <v>-16901.458065558294</v>
      </c>
      <c r="T183">
        <f t="shared" ref="T183" si="894">S183/1000</f>
        <v>-16.901458065558295</v>
      </c>
    </row>
    <row r="184" spans="1:20" x14ac:dyDescent="0.25">
      <c r="A184" s="5">
        <v>44409</v>
      </c>
      <c r="B184">
        <v>6.6009999999999999E-2</v>
      </c>
      <c r="C184">
        <v>6.8500000000000005E-2</v>
      </c>
      <c r="D184">
        <v>6.225E-2</v>
      </c>
      <c r="E184">
        <v>6.3339999999999994E-2</v>
      </c>
      <c r="F184">
        <v>114896904.5</v>
      </c>
      <c r="G184">
        <v>6.3339999999999994E-2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-0.65120000000000233</v>
      </c>
      <c r="Q184">
        <f t="shared" ref="Q184" si="896">F184*P184</f>
        <v>-74820864.210400268</v>
      </c>
      <c r="R184">
        <f t="shared" ref="R184" si="897">R185+Q184</f>
        <v>-1716210080.5105808</v>
      </c>
      <c r="S184">
        <f t="shared" ref="S184" si="898">R184/100000</f>
        <v>-17162.100805105809</v>
      </c>
      <c r="T184">
        <f t="shared" ref="T184" si="899">S184/1000</f>
        <v>-17.162100805105808</v>
      </c>
    </row>
    <row r="185" spans="1:20" x14ac:dyDescent="0.25">
      <c r="A185" s="5">
        <v>44408</v>
      </c>
      <c r="B185">
        <v>6.5640000000000004E-2</v>
      </c>
      <c r="C185">
        <v>6.8750000000000006E-2</v>
      </c>
      <c r="D185">
        <v>6.4670000000000005E-2</v>
      </c>
      <c r="E185">
        <v>6.5979999999999997E-2</v>
      </c>
      <c r="F185">
        <v>169725777.90000001</v>
      </c>
      <c r="G185">
        <v>6.5979999999999997E-2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-0.35784313725490607</v>
      </c>
      <c r="Q185">
        <f t="shared" ref="Q185" si="901">F185*P185</f>
        <v>-60735204.836765409</v>
      </c>
      <c r="R185">
        <f t="shared" ref="R185" si="902">R186+Q185</f>
        <v>-1641389216.3001804</v>
      </c>
      <c r="S185">
        <f t="shared" ref="S185" si="903">R185/100000</f>
        <v>-16413.892163001805</v>
      </c>
      <c r="T185">
        <f t="shared" ref="T185" si="904">S185/1000</f>
        <v>-16.413892163001805</v>
      </c>
    </row>
    <row r="186" spans="1:20" x14ac:dyDescent="0.25">
      <c r="A186" s="5">
        <v>44407</v>
      </c>
      <c r="B186">
        <v>6.071E-2</v>
      </c>
      <c r="C186">
        <v>6.5989999999999993E-2</v>
      </c>
      <c r="D186">
        <v>5.8009999999999999E-2</v>
      </c>
      <c r="E186">
        <v>6.5640000000000004E-2</v>
      </c>
      <c r="F186">
        <v>247125734.19999999</v>
      </c>
      <c r="G186">
        <v>6.5640000000000004E-2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0.91228070175438858</v>
      </c>
      <c r="Q186">
        <f t="shared" ref="Q186" si="906">F186*P186</f>
        <v>225448038.2175445</v>
      </c>
      <c r="R186">
        <f t="shared" ref="R186" si="907">R187+Q186</f>
        <v>-1580654011.4634149</v>
      </c>
      <c r="S186">
        <f t="shared" ref="S186" si="908">R186/100000</f>
        <v>-15806.540114634148</v>
      </c>
      <c r="T186">
        <f t="shared" ref="T186" si="909">S186/1000</f>
        <v>-15.806540114634148</v>
      </c>
    </row>
    <row r="187" spans="1:20" x14ac:dyDescent="0.25">
      <c r="A187" s="5">
        <v>44406</v>
      </c>
      <c r="B187">
        <v>6.071E-2</v>
      </c>
      <c r="C187">
        <v>6.1089999999999998E-2</v>
      </c>
      <c r="D187">
        <v>5.9200000000000003E-2</v>
      </c>
      <c r="E187">
        <v>6.0690000000000001E-2</v>
      </c>
      <c r="F187">
        <v>65401997.799999997</v>
      </c>
      <c r="G187">
        <v>6.0690000000000001E-2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0.5767195767195783</v>
      </c>
      <c r="Q187">
        <f t="shared" ref="Q187" si="911">F187*P187</f>
        <v>37718612.487830788</v>
      </c>
      <c r="R187">
        <f t="shared" ref="R187" si="912">R188+Q187</f>
        <v>-1806102049.6809595</v>
      </c>
      <c r="S187">
        <f t="shared" ref="S187" si="913">R187/100000</f>
        <v>-18061.020496809593</v>
      </c>
      <c r="T187">
        <f t="shared" ref="T187" si="914">S187/1000</f>
        <v>-18.061020496809594</v>
      </c>
    </row>
    <row r="188" spans="1:20" x14ac:dyDescent="0.25">
      <c r="A188" s="5">
        <v>44405</v>
      </c>
      <c r="B188">
        <v>6.0630000000000003E-2</v>
      </c>
      <c r="C188">
        <v>6.3530000000000003E-2</v>
      </c>
      <c r="D188">
        <v>5.91E-2</v>
      </c>
      <c r="E188">
        <v>6.0760000000000002E-2</v>
      </c>
      <c r="F188">
        <v>107696874.8</v>
      </c>
      <c r="G188">
        <v>6.0760000000000002E-2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-0.25056433408577855</v>
      </c>
      <c r="Q188">
        <f t="shared" ref="Q188" si="916">F188*P188</f>
        <v>-26984995.717381462</v>
      </c>
      <c r="R188">
        <f t="shared" ref="R188" si="917">R189+Q188</f>
        <v>-1843820662.1687903</v>
      </c>
      <c r="S188">
        <f t="shared" ref="S188" si="918">R188/100000</f>
        <v>-18438.206621687903</v>
      </c>
      <c r="T188">
        <f t="shared" ref="T188" si="919">S188/1000</f>
        <v>-18.438206621687904</v>
      </c>
    </row>
    <row r="189" spans="1:20" x14ac:dyDescent="0.25">
      <c r="A189" s="5">
        <v>44404</v>
      </c>
      <c r="B189">
        <v>5.9180000000000003E-2</v>
      </c>
      <c r="C189">
        <v>6.1499999999999999E-2</v>
      </c>
      <c r="D189">
        <v>5.6730000000000003E-2</v>
      </c>
      <c r="E189">
        <v>6.0650000000000003E-2</v>
      </c>
      <c r="F189">
        <v>118029568.8</v>
      </c>
      <c r="G189">
        <v>6.0650000000000003E-2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0.64360587002096548</v>
      </c>
      <c r="Q189">
        <f t="shared" ref="Q189" si="921">F189*P189</f>
        <v>75964523.315723404</v>
      </c>
      <c r="R189">
        <f t="shared" ref="R189" si="922">R190+Q189</f>
        <v>-1816835666.4514089</v>
      </c>
      <c r="S189">
        <f t="shared" ref="S189" si="923">R189/100000</f>
        <v>-18168.356664514089</v>
      </c>
      <c r="T189">
        <f t="shared" ref="T189" si="924">S189/1000</f>
        <v>-18.168356664514089</v>
      </c>
    </row>
    <row r="190" spans="1:20" x14ac:dyDescent="0.25">
      <c r="A190" s="5">
        <v>44403</v>
      </c>
      <c r="B190">
        <v>5.987E-2</v>
      </c>
      <c r="C190">
        <v>6.4810000000000006E-2</v>
      </c>
      <c r="D190">
        <v>5.8520000000000003E-2</v>
      </c>
      <c r="E190">
        <v>5.9229999999999998E-2</v>
      </c>
      <c r="F190">
        <v>202507757.40000001</v>
      </c>
      <c r="G190">
        <v>5.9229999999999998E-2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-0.77424483306836411</v>
      </c>
      <c r="Q190">
        <f t="shared" ref="Q190" si="926">F190*P190</f>
        <v>-156790584.82321179</v>
      </c>
      <c r="R190">
        <f t="shared" ref="R190" si="927">R191+Q190</f>
        <v>-1892800189.7671323</v>
      </c>
      <c r="S190">
        <f t="shared" ref="S190" si="928">R190/100000</f>
        <v>-18928.001897671322</v>
      </c>
      <c r="T190">
        <f t="shared" ref="T190" si="929">S190/1000</f>
        <v>-18.928001897671322</v>
      </c>
    </row>
    <row r="191" spans="1:20" x14ac:dyDescent="0.25">
      <c r="A191" s="5">
        <v>44402</v>
      </c>
      <c r="B191">
        <v>5.713E-2</v>
      </c>
      <c r="C191">
        <v>6.055E-2</v>
      </c>
      <c r="D191">
        <v>5.5079999999999997E-2</v>
      </c>
      <c r="E191">
        <v>5.9839999999999997E-2</v>
      </c>
      <c r="F191">
        <v>157145931.69999999</v>
      </c>
      <c r="G191">
        <v>5.9839999999999997E-2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0.74040219378427718</v>
      </c>
      <c r="Q191">
        <f t="shared" ref="Q191" si="931">F191*P191</f>
        <v>116351192.57495418</v>
      </c>
      <c r="R191">
        <f t="shared" ref="R191" si="932">R192+Q191</f>
        <v>-1736009604.9439206</v>
      </c>
      <c r="S191">
        <f t="shared" ref="S191" si="933">R191/100000</f>
        <v>-17360.096049439206</v>
      </c>
      <c r="T191">
        <f t="shared" ref="T191:T197" si="934">S191/1000</f>
        <v>-17.360096049439207</v>
      </c>
    </row>
    <row r="192" spans="1:20" x14ac:dyDescent="0.25">
      <c r="A192" s="5">
        <v>44401</v>
      </c>
      <c r="B192">
        <v>5.7369999999999997E-2</v>
      </c>
      <c r="C192">
        <v>5.8979999999999998E-2</v>
      </c>
      <c r="D192">
        <v>5.5320000000000001E-2</v>
      </c>
      <c r="E192">
        <v>5.7070000000000003E-2</v>
      </c>
      <c r="F192">
        <v>109646985.8</v>
      </c>
      <c r="G192">
        <v>5.7070000000000003E-2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-4.3715846994533777E-2</v>
      </c>
      <c r="Q192">
        <f t="shared" ref="Q192" si="936">F192*P192</f>
        <v>-4793310.854644618</v>
      </c>
      <c r="R192">
        <f t="shared" ref="R192" si="937">R193+Q192</f>
        <v>-1852360797.5188749</v>
      </c>
      <c r="S192">
        <f t="shared" ref="S192" si="938">R192/100000</f>
        <v>-18523.607975188748</v>
      </c>
      <c r="T192">
        <f t="shared" si="934"/>
        <v>-18.523607975188749</v>
      </c>
    </row>
    <row r="193" spans="1:20" x14ac:dyDescent="0.25">
      <c r="A193" s="5">
        <v>44400</v>
      </c>
      <c r="B193">
        <v>5.4649999999999997E-2</v>
      </c>
      <c r="C193">
        <v>5.7450000000000001E-2</v>
      </c>
      <c r="D193">
        <v>5.4100000000000002E-2</v>
      </c>
      <c r="E193">
        <v>5.7360000000000001E-2</v>
      </c>
      <c r="F193">
        <v>128554491.7</v>
      </c>
      <c r="G193">
        <v>5.7360000000000001E-2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0.94626865671641802</v>
      </c>
      <c r="Q193">
        <f t="shared" ref="Q193" si="940">F193*P193</f>
        <v>121647086.17582092</v>
      </c>
      <c r="R193">
        <f t="shared" ref="R193" si="941">R194+Q193</f>
        <v>-1847567486.6642303</v>
      </c>
      <c r="S193">
        <f t="shared" ref="S193" si="942">R193/100000</f>
        <v>-18475.674866642305</v>
      </c>
      <c r="T193">
        <f t="shared" si="934"/>
        <v>-18.475674866642304</v>
      </c>
    </row>
    <row r="194" spans="1:20" x14ac:dyDescent="0.25">
      <c r="A194" s="5">
        <v>44399</v>
      </c>
      <c r="B194">
        <v>5.3789999999999998E-2</v>
      </c>
      <c r="C194">
        <v>5.5399999999999998E-2</v>
      </c>
      <c r="D194">
        <v>5.2519999999999997E-2</v>
      </c>
      <c r="E194">
        <v>5.4620000000000002E-2</v>
      </c>
      <c r="F194">
        <v>93450003.900000006</v>
      </c>
      <c r="G194">
        <v>5.4620000000000002E-2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0.45833333333333626</v>
      </c>
      <c r="Q194">
        <f t="shared" ref="Q194" si="944">F194*P194</f>
        <v>42831251.787500277</v>
      </c>
      <c r="R194">
        <f t="shared" ref="R194" si="945">R195+Q194</f>
        <v>-1969214572.8400512</v>
      </c>
      <c r="S194">
        <f t="shared" ref="S194" si="946">R194/100000</f>
        <v>-19692.145728400512</v>
      </c>
      <c r="T194">
        <f t="shared" si="934"/>
        <v>-19.692145728400511</v>
      </c>
    </row>
    <row r="195" spans="1:20" x14ac:dyDescent="0.25">
      <c r="A195" s="5">
        <v>44398</v>
      </c>
      <c r="B195">
        <v>5.0970000000000001E-2</v>
      </c>
      <c r="C195">
        <v>5.4820000000000001E-2</v>
      </c>
      <c r="D195">
        <v>5.008E-2</v>
      </c>
      <c r="E195">
        <v>5.3789999999999998E-2</v>
      </c>
      <c r="F195">
        <v>133463830.3</v>
      </c>
      <c r="G195">
        <v>5.3789999999999998E-2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0.5654008438818553</v>
      </c>
      <c r="Q195">
        <f t="shared" ref="Q195" si="948">F195*P195</f>
        <v>75460562.279324725</v>
      </c>
      <c r="R195">
        <f t="shared" ref="R195" si="949">R196+Q195</f>
        <v>-2012045824.6275516</v>
      </c>
      <c r="S195">
        <f t="shared" ref="S195" si="950">R195/100000</f>
        <v>-20120.458246275517</v>
      </c>
      <c r="T195">
        <f t="shared" si="934"/>
        <v>-20.120458246275518</v>
      </c>
    </row>
    <row r="196" spans="1:20" x14ac:dyDescent="0.25">
      <c r="A196" s="5">
        <v>44397</v>
      </c>
      <c r="B196">
        <v>5.2240000000000002E-2</v>
      </c>
      <c r="C196">
        <v>5.3339999999999999E-2</v>
      </c>
      <c r="D196">
        <v>4.8120000000000003E-2</v>
      </c>
      <c r="E196">
        <v>5.0939999999999999E-2</v>
      </c>
      <c r="F196">
        <v>174203895</v>
      </c>
      <c r="G196">
        <v>5.0939999999999999E-2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8.0459770114941973E-2</v>
      </c>
      <c r="Q196">
        <f t="shared" ref="Q196" si="952">F196*P196</f>
        <v>14016405.34482749</v>
      </c>
      <c r="R196">
        <f t="shared" ref="R196" si="953">R197+Q196</f>
        <v>-2087506386.9068763</v>
      </c>
      <c r="S196">
        <f t="shared" ref="S196" si="954">R196/100000</f>
        <v>-20875.063869068763</v>
      </c>
      <c r="T196">
        <f t="shared" si="934"/>
        <v>-20.875063869068764</v>
      </c>
    </row>
    <row r="197" spans="1:20" x14ac:dyDescent="0.25">
      <c r="A197" s="5">
        <v>44396</v>
      </c>
      <c r="B197">
        <v>5.7750000000000003E-2</v>
      </c>
      <c r="C197">
        <v>5.8189999999999999E-2</v>
      </c>
      <c r="D197">
        <v>5.1299999999999998E-2</v>
      </c>
      <c r="E197">
        <v>5.2209999999999999E-2</v>
      </c>
      <c r="F197">
        <v>210316162.69999999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-0.73584905660377331</v>
      </c>
      <c r="Q197">
        <f t="shared" ref="Q197" si="956">F197*P197</f>
        <v>-154760949.91132069</v>
      </c>
      <c r="R197">
        <f t="shared" ref="R197" si="957">R198+Q197</f>
        <v>-2101522792.2517037</v>
      </c>
      <c r="S197">
        <f t="shared" ref="S197" si="958">R197/100000</f>
        <v>-21015.227922517039</v>
      </c>
      <c r="T197">
        <f t="shared" si="934"/>
        <v>-21.015227922517038</v>
      </c>
    </row>
    <row r="198" spans="1:20" x14ac:dyDescent="0.25">
      <c r="A198" s="5">
        <v>44395</v>
      </c>
      <c r="B198">
        <v>6.1710000000000001E-2</v>
      </c>
      <c r="C198">
        <v>6.4990000000000006E-2</v>
      </c>
      <c r="D198">
        <v>5.6849999999999998E-2</v>
      </c>
      <c r="E198">
        <v>5.7700000000000001E-2</v>
      </c>
      <c r="F198">
        <v>287693266.19999999</v>
      </c>
      <c r="G198">
        <v>0</v>
      </c>
      <c r="L198" t="s">
        <v>7</v>
      </c>
      <c r="M198" t="s">
        <v>8</v>
      </c>
      <c r="N198" t="s">
        <v>8</v>
      </c>
      <c r="P198">
        <f t="shared" ref="P198:P261" si="959">IF(C198=D198,0,((E198-D198)-(C198-E198))/(C198-D198))</f>
        <v>-0.79115479115479048</v>
      </c>
      <c r="Q198">
        <f t="shared" ref="Q198:Q261" si="960">F198*P198</f>
        <v>-227609905.93710053</v>
      </c>
      <c r="R198">
        <f t="shared" ref="R198:R261" si="961">R199+Q198</f>
        <v>-1946761842.3403831</v>
      </c>
      <c r="S198">
        <f t="shared" ref="S198:S261" si="962">R198/100000</f>
        <v>-19467.61842340383</v>
      </c>
      <c r="T198">
        <f t="shared" ref="T198:T261" si="963">S198/1000</f>
        <v>-19.467618423403831</v>
      </c>
    </row>
    <row r="199" spans="1:20" x14ac:dyDescent="0.25">
      <c r="A199" s="5">
        <v>44394</v>
      </c>
      <c r="B199">
        <v>5.382E-2</v>
      </c>
      <c r="C199">
        <v>6.5000000000000002E-2</v>
      </c>
      <c r="D199">
        <v>5.3319999999999999E-2</v>
      </c>
      <c r="E199">
        <v>6.1710000000000001E-2</v>
      </c>
      <c r="F199">
        <v>845009394.60000002</v>
      </c>
      <c r="G199">
        <v>0</v>
      </c>
      <c r="L199" t="s">
        <v>8</v>
      </c>
      <c r="M199" t="s">
        <v>8</v>
      </c>
      <c r="N199" t="s">
        <v>8</v>
      </c>
      <c r="P199">
        <f t="shared" si="959"/>
        <v>0.43664383561643827</v>
      </c>
      <c r="Q199">
        <f t="shared" si="960"/>
        <v>368968143.19006842</v>
      </c>
      <c r="R199">
        <f t="shared" si="961"/>
        <v>-1719151936.4032824</v>
      </c>
      <c r="S199">
        <f t="shared" si="962"/>
        <v>-17191.519364032825</v>
      </c>
      <c r="T199">
        <f t="shared" si="963"/>
        <v>-17.191519364032825</v>
      </c>
    </row>
    <row r="200" spans="1:20" x14ac:dyDescent="0.25">
      <c r="A200" s="5">
        <v>44393</v>
      </c>
      <c r="B200">
        <v>5.11E-2</v>
      </c>
      <c r="C200">
        <v>6.1899999999999997E-2</v>
      </c>
      <c r="D200">
        <v>5.0450000000000002E-2</v>
      </c>
      <c r="E200">
        <v>5.3789999999999998E-2</v>
      </c>
      <c r="F200">
        <v>827745346.60000002</v>
      </c>
      <c r="G200">
        <v>0</v>
      </c>
      <c r="L200" t="s">
        <v>8</v>
      </c>
      <c r="M200" t="s">
        <v>8</v>
      </c>
      <c r="N200" t="s">
        <v>8</v>
      </c>
      <c r="P200">
        <f t="shared" si="959"/>
        <v>-0.41659388646288259</v>
      </c>
      <c r="Q200">
        <f t="shared" si="960"/>
        <v>-344833650.94165981</v>
      </c>
      <c r="R200">
        <f t="shared" si="961"/>
        <v>-2088120079.5933509</v>
      </c>
      <c r="S200">
        <f t="shared" si="962"/>
        <v>-20881.20079593351</v>
      </c>
      <c r="T200">
        <f t="shared" si="963"/>
        <v>-20.881200795933509</v>
      </c>
    </row>
    <row r="201" spans="1:20" x14ac:dyDescent="0.25">
      <c r="A201" s="5">
        <v>44392</v>
      </c>
      <c r="B201">
        <v>5.28E-2</v>
      </c>
      <c r="C201">
        <v>5.5E-2</v>
      </c>
      <c r="D201">
        <v>4.9739999999999999E-2</v>
      </c>
      <c r="E201">
        <v>5.1130000000000002E-2</v>
      </c>
      <c r="F201">
        <v>241018355.90000001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-0.47148288973383951</v>
      </c>
      <c r="Q201">
        <f t="shared" si="960"/>
        <v>-113636030.91863099</v>
      </c>
      <c r="R201">
        <f t="shared" si="961"/>
        <v>-1743286428.6516912</v>
      </c>
      <c r="S201">
        <f t="shared" si="962"/>
        <v>-17432.864286516913</v>
      </c>
      <c r="T201">
        <f t="shared" si="963"/>
        <v>-17.432864286516914</v>
      </c>
    </row>
    <row r="202" spans="1:20" x14ac:dyDescent="0.25">
      <c r="A202" s="5">
        <v>44391</v>
      </c>
      <c r="B202">
        <v>5.0310000000000001E-2</v>
      </c>
      <c r="C202">
        <v>5.4420000000000003E-2</v>
      </c>
      <c r="D202">
        <v>4.7050000000000002E-2</v>
      </c>
      <c r="E202">
        <v>5.2780000000000001E-2</v>
      </c>
      <c r="F202">
        <v>283410830.69999999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0.55495251017639013</v>
      </c>
      <c r="Q202">
        <f t="shared" si="960"/>
        <v>157279551.90814093</v>
      </c>
      <c r="R202">
        <f t="shared" si="961"/>
        <v>-1629650397.7330601</v>
      </c>
      <c r="S202">
        <f t="shared" si="962"/>
        <v>-16296.503977330602</v>
      </c>
      <c r="T202">
        <f t="shared" si="963"/>
        <v>-16.296503977330602</v>
      </c>
    </row>
    <row r="203" spans="1:20" x14ac:dyDescent="0.25">
      <c r="A203" s="5">
        <v>44390</v>
      </c>
      <c r="B203">
        <v>5.0709999999999998E-2</v>
      </c>
      <c r="C203">
        <v>5.1729999999999998E-2</v>
      </c>
      <c r="D203">
        <v>4.8820000000000002E-2</v>
      </c>
      <c r="E203">
        <v>5.0229999999999997E-2</v>
      </c>
      <c r="F203">
        <v>78620634.599999994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-3.0927835051548752E-2</v>
      </c>
      <c r="Q203">
        <f t="shared" si="960"/>
        <v>-2431566.0185568864</v>
      </c>
      <c r="R203">
        <f t="shared" si="961"/>
        <v>-1786929949.641201</v>
      </c>
      <c r="S203">
        <f t="shared" si="962"/>
        <v>-17869.299496412012</v>
      </c>
      <c r="T203">
        <f t="shared" si="963"/>
        <v>-17.869299496412012</v>
      </c>
    </row>
    <row r="204" spans="1:20" x14ac:dyDescent="0.25">
      <c r="A204" s="5">
        <v>44389</v>
      </c>
      <c r="B204">
        <v>5.1920000000000001E-2</v>
      </c>
      <c r="C204">
        <v>5.3310000000000003E-2</v>
      </c>
      <c r="D204">
        <v>4.9529999999999998E-2</v>
      </c>
      <c r="E204">
        <v>5.0790000000000002E-2</v>
      </c>
      <c r="F204">
        <v>69632311.200000003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-0.33333333333333209</v>
      </c>
      <c r="Q204">
        <f t="shared" si="960"/>
        <v>-23210770.399999913</v>
      </c>
      <c r="R204">
        <f t="shared" si="961"/>
        <v>-1784498383.6226442</v>
      </c>
      <c r="S204">
        <f t="shared" si="962"/>
        <v>-17844.983836226442</v>
      </c>
      <c r="T204">
        <f t="shared" si="963"/>
        <v>-17.84498383622644</v>
      </c>
    </row>
    <row r="205" spans="1:20" x14ac:dyDescent="0.25">
      <c r="A205" s="5">
        <v>44388</v>
      </c>
      <c r="B205">
        <v>5.0659999999999997E-2</v>
      </c>
      <c r="C205">
        <v>5.2389999999999999E-2</v>
      </c>
      <c r="D205">
        <v>4.9959999999999997E-2</v>
      </c>
      <c r="E205">
        <v>5.194E-2</v>
      </c>
      <c r="F205">
        <v>49856750.5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0.62962962962963065</v>
      </c>
      <c r="Q205">
        <f t="shared" si="960"/>
        <v>31391287.351851903</v>
      </c>
      <c r="R205">
        <f t="shared" si="961"/>
        <v>-1761287613.2226443</v>
      </c>
      <c r="S205">
        <f t="shared" si="962"/>
        <v>-17612.876132226444</v>
      </c>
      <c r="T205">
        <f t="shared" si="963"/>
        <v>-17.612876132226443</v>
      </c>
    </row>
    <row r="206" spans="1:20" x14ac:dyDescent="0.25">
      <c r="A206" s="5">
        <v>44387</v>
      </c>
      <c r="B206">
        <v>5.2249999999999998E-2</v>
      </c>
      <c r="C206">
        <v>5.2990000000000002E-2</v>
      </c>
      <c r="D206">
        <v>4.9840000000000002E-2</v>
      </c>
      <c r="E206">
        <v>5.0650000000000001E-2</v>
      </c>
      <c r="F206">
        <v>50424802.799999997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-0.48571428571428682</v>
      </c>
      <c r="Q206">
        <f t="shared" si="960"/>
        <v>-24492047.074285768</v>
      </c>
      <c r="R206">
        <f t="shared" si="961"/>
        <v>-1792678900.5744963</v>
      </c>
      <c r="S206">
        <f t="shared" si="962"/>
        <v>-17926.789005744962</v>
      </c>
      <c r="T206">
        <f t="shared" si="963"/>
        <v>-17.926789005744961</v>
      </c>
    </row>
    <row r="207" spans="1:20" x14ac:dyDescent="0.25">
      <c r="A207" s="5">
        <v>44386</v>
      </c>
      <c r="B207">
        <v>5.0450000000000002E-2</v>
      </c>
      <c r="C207">
        <v>5.3319999999999999E-2</v>
      </c>
      <c r="D207">
        <v>4.7390000000000002E-2</v>
      </c>
      <c r="E207">
        <v>5.2299999999999999E-2</v>
      </c>
      <c r="F207">
        <v>114347558.59999999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0.65598650927487334</v>
      </c>
      <c r="Q207">
        <f t="shared" si="960"/>
        <v>75010455.81011802</v>
      </c>
      <c r="R207">
        <f t="shared" si="961"/>
        <v>-1768186853.5002105</v>
      </c>
      <c r="S207">
        <f t="shared" si="962"/>
        <v>-17681.868535002104</v>
      </c>
      <c r="T207">
        <f t="shared" si="963"/>
        <v>-17.681868535002103</v>
      </c>
    </row>
    <row r="208" spans="1:20" x14ac:dyDescent="0.25">
      <c r="A208" s="5">
        <v>44385</v>
      </c>
      <c r="B208">
        <v>5.3490000000000003E-2</v>
      </c>
      <c r="C208">
        <v>5.3530000000000001E-2</v>
      </c>
      <c r="D208">
        <v>4.8439999999999997E-2</v>
      </c>
      <c r="E208">
        <v>5.0549999999999998E-2</v>
      </c>
      <c r="F208">
        <v>104865538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-0.17092337917485304</v>
      </c>
      <c r="Q208">
        <f t="shared" si="960"/>
        <v>-17923972.11394896</v>
      </c>
      <c r="R208">
        <f t="shared" si="961"/>
        <v>-1843197309.3103285</v>
      </c>
      <c r="S208">
        <f t="shared" si="962"/>
        <v>-18431.973093103286</v>
      </c>
      <c r="T208">
        <f t="shared" si="963"/>
        <v>-18.431973093103288</v>
      </c>
    </row>
    <row r="209" spans="1:20" x14ac:dyDescent="0.25">
      <c r="A209" s="5">
        <v>44384</v>
      </c>
      <c r="B209">
        <v>5.3620000000000001E-2</v>
      </c>
      <c r="C209">
        <v>5.5419999999999997E-2</v>
      </c>
      <c r="D209">
        <v>5.2650000000000002E-2</v>
      </c>
      <c r="E209">
        <v>5.3420000000000002E-2</v>
      </c>
      <c r="F209">
        <v>101640402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-0.44404332129963803</v>
      </c>
      <c r="Q209">
        <f t="shared" si="960"/>
        <v>-45132741.682310373</v>
      </c>
      <c r="R209">
        <f t="shared" si="961"/>
        <v>-1825273337.1963794</v>
      </c>
      <c r="S209">
        <f t="shared" si="962"/>
        <v>-18252.733371963794</v>
      </c>
      <c r="T209">
        <f t="shared" si="963"/>
        <v>-18.252733371963792</v>
      </c>
    </row>
    <row r="210" spans="1:20" x14ac:dyDescent="0.25">
      <c r="A210" s="5">
        <v>44383</v>
      </c>
      <c r="B210">
        <v>5.2720000000000003E-2</v>
      </c>
      <c r="C210">
        <v>5.5199999999999999E-2</v>
      </c>
      <c r="D210">
        <v>5.2429999999999997E-2</v>
      </c>
      <c r="E210">
        <v>5.3650000000000003E-2</v>
      </c>
      <c r="F210">
        <v>69250366.799999997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-0.11913357400721654</v>
      </c>
      <c r="Q210">
        <f t="shared" si="960"/>
        <v>-8250043.698194691</v>
      </c>
      <c r="R210">
        <f t="shared" si="961"/>
        <v>-1780140595.5140691</v>
      </c>
      <c r="S210">
        <f t="shared" si="962"/>
        <v>-17801.40595514069</v>
      </c>
      <c r="T210">
        <f t="shared" si="963"/>
        <v>-17.801405955140691</v>
      </c>
    </row>
    <row r="211" spans="1:20" x14ac:dyDescent="0.25">
      <c r="A211" s="5">
        <v>44382</v>
      </c>
      <c r="B211">
        <v>5.5539999999999999E-2</v>
      </c>
      <c r="C211">
        <v>5.5539999999999999E-2</v>
      </c>
      <c r="D211">
        <v>5.1279999999999999E-2</v>
      </c>
      <c r="E211">
        <v>5.2740000000000002E-2</v>
      </c>
      <c r="F211">
        <v>84731648.900000006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-0.31455399061032724</v>
      </c>
      <c r="Q211">
        <f t="shared" si="960"/>
        <v>-26652678.292488147</v>
      </c>
      <c r="R211">
        <f t="shared" si="961"/>
        <v>-1771890551.8158743</v>
      </c>
      <c r="S211">
        <f t="shared" si="962"/>
        <v>-17718.905518158743</v>
      </c>
      <c r="T211">
        <f t="shared" si="963"/>
        <v>-17.718905518158742</v>
      </c>
    </row>
    <row r="212" spans="1:20" x14ac:dyDescent="0.25">
      <c r="A212" s="5">
        <v>44381</v>
      </c>
      <c r="B212">
        <v>5.5809999999999998E-2</v>
      </c>
      <c r="C212">
        <v>5.6939999999999998E-2</v>
      </c>
      <c r="D212">
        <v>5.4039999999999998E-2</v>
      </c>
      <c r="E212">
        <v>5.5509999999999997E-2</v>
      </c>
      <c r="F212">
        <v>79160537.299999997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1.3793103448275302E-2</v>
      </c>
      <c r="Q212">
        <f t="shared" si="960"/>
        <v>1091869.4799999555</v>
      </c>
      <c r="R212">
        <f t="shared" si="961"/>
        <v>-1745237873.5233862</v>
      </c>
      <c r="S212">
        <f t="shared" si="962"/>
        <v>-17452.378735233862</v>
      </c>
      <c r="T212">
        <f t="shared" si="963"/>
        <v>-17.452378735233861</v>
      </c>
    </row>
    <row r="213" spans="1:20" x14ac:dyDescent="0.25">
      <c r="A213" s="5">
        <v>44380</v>
      </c>
      <c r="B213">
        <v>5.4710000000000002E-2</v>
      </c>
      <c r="C213">
        <v>5.6599999999999998E-2</v>
      </c>
      <c r="D213">
        <v>5.3469999999999997E-2</v>
      </c>
      <c r="E213">
        <v>5.5829999999999998E-2</v>
      </c>
      <c r="F213">
        <v>61382018.899999999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0.50798722044728462</v>
      </c>
      <c r="Q213">
        <f t="shared" si="960"/>
        <v>31181281.166453689</v>
      </c>
      <c r="R213">
        <f t="shared" si="961"/>
        <v>-1746329743.0033863</v>
      </c>
      <c r="S213">
        <f t="shared" si="962"/>
        <v>-17463.297430033861</v>
      </c>
      <c r="T213">
        <f t="shared" si="963"/>
        <v>-17.463297430033862</v>
      </c>
    </row>
    <row r="214" spans="1:20" x14ac:dyDescent="0.25">
      <c r="A214" s="5">
        <v>44379</v>
      </c>
      <c r="B214">
        <v>5.4179999999999999E-2</v>
      </c>
      <c r="C214">
        <v>5.5169999999999997E-2</v>
      </c>
      <c r="D214">
        <v>5.2060000000000002E-2</v>
      </c>
      <c r="E214">
        <v>5.4769999999999999E-2</v>
      </c>
      <c r="F214">
        <v>65765746.700000003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0.74276527331189823</v>
      </c>
      <c r="Q214">
        <f t="shared" si="960"/>
        <v>48848512.822186574</v>
      </c>
      <c r="R214">
        <f t="shared" si="961"/>
        <v>-1777511024.1698399</v>
      </c>
      <c r="S214">
        <f t="shared" si="962"/>
        <v>-17775.110241698399</v>
      </c>
      <c r="T214">
        <f t="shared" si="963"/>
        <v>-17.7751102416984</v>
      </c>
    </row>
    <row r="215" spans="1:20" x14ac:dyDescent="0.25">
      <c r="A215" s="5">
        <v>44378</v>
      </c>
      <c r="B215">
        <v>5.6469999999999999E-2</v>
      </c>
      <c r="C215">
        <v>5.663E-2</v>
      </c>
      <c r="D215">
        <v>5.2350000000000001E-2</v>
      </c>
      <c r="E215">
        <v>5.4330000000000003E-2</v>
      </c>
      <c r="F215">
        <v>92366982.700000003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-7.4766355140185509E-2</v>
      </c>
      <c r="Q215">
        <f t="shared" si="960"/>
        <v>-6905942.631775571</v>
      </c>
      <c r="R215">
        <f t="shared" si="961"/>
        <v>-1826359536.9920263</v>
      </c>
      <c r="S215">
        <f t="shared" si="962"/>
        <v>-18263.595369920262</v>
      </c>
      <c r="T215">
        <f t="shared" si="963"/>
        <v>-18.26359536992026</v>
      </c>
    </row>
    <row r="216" spans="1:20" x14ac:dyDescent="0.25">
      <c r="A216" s="5">
        <v>44377</v>
      </c>
      <c r="B216">
        <v>5.7750000000000003E-2</v>
      </c>
      <c r="C216">
        <v>5.8900000000000001E-2</v>
      </c>
      <c r="D216">
        <v>5.2639999999999999E-2</v>
      </c>
      <c r="E216">
        <v>5.6439999999999997E-2</v>
      </c>
      <c r="F216">
        <v>105993826.7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0.21405750798721943</v>
      </c>
      <c r="Q216">
        <f t="shared" si="960"/>
        <v>22688774.405431204</v>
      </c>
      <c r="R216">
        <f t="shared" si="961"/>
        <v>-1819453594.3602507</v>
      </c>
      <c r="S216">
        <f t="shared" si="962"/>
        <v>-18194.535943602506</v>
      </c>
      <c r="T216">
        <f t="shared" si="963"/>
        <v>-18.194535943602506</v>
      </c>
    </row>
    <row r="217" spans="1:20" x14ac:dyDescent="0.25">
      <c r="A217" s="5">
        <v>44376</v>
      </c>
      <c r="B217">
        <v>5.4359999999999999E-2</v>
      </c>
      <c r="C217">
        <v>5.9580000000000001E-2</v>
      </c>
      <c r="D217">
        <v>5.423E-2</v>
      </c>
      <c r="E217">
        <v>5.772E-2</v>
      </c>
      <c r="F217">
        <v>113351872.7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0.30467289719626156</v>
      </c>
      <c r="Q217">
        <f t="shared" si="960"/>
        <v>34535243.458130829</v>
      </c>
      <c r="R217">
        <f t="shared" si="961"/>
        <v>-1842142368.765682</v>
      </c>
      <c r="S217">
        <f t="shared" si="962"/>
        <v>-18421.423687656821</v>
      </c>
      <c r="T217">
        <f t="shared" si="963"/>
        <v>-18.421423687656819</v>
      </c>
    </row>
    <row r="218" spans="1:20" x14ac:dyDescent="0.25">
      <c r="A218" s="5">
        <v>44375</v>
      </c>
      <c r="B218">
        <v>5.4109999999999998E-2</v>
      </c>
      <c r="C218">
        <v>5.5399999999999998E-2</v>
      </c>
      <c r="D218">
        <v>5.2290000000000003E-2</v>
      </c>
      <c r="E218">
        <v>5.432E-2</v>
      </c>
      <c r="F218">
        <v>87826850.099999994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0.30546623794212252</v>
      </c>
      <c r="Q218">
        <f t="shared" si="960"/>
        <v>26828137.490353726</v>
      </c>
      <c r="R218">
        <f t="shared" si="961"/>
        <v>-1876677612.2238128</v>
      </c>
      <c r="S218">
        <f t="shared" si="962"/>
        <v>-18766.776122238127</v>
      </c>
      <c r="T218">
        <f t="shared" si="963"/>
        <v>-18.766776122238127</v>
      </c>
    </row>
    <row r="219" spans="1:20" x14ac:dyDescent="0.25">
      <c r="A219" s="5">
        <v>44374</v>
      </c>
      <c r="B219">
        <v>5.0720000000000001E-2</v>
      </c>
      <c r="C219">
        <v>5.7000000000000002E-2</v>
      </c>
      <c r="D219">
        <v>5.0180000000000002E-2</v>
      </c>
      <c r="E219">
        <v>5.4059999999999997E-2</v>
      </c>
      <c r="F219">
        <v>185556348.69999999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0.13782991202345887</v>
      </c>
      <c r="Q219">
        <f t="shared" si="960"/>
        <v>25575215.216715254</v>
      </c>
      <c r="R219">
        <f t="shared" si="961"/>
        <v>-1903505749.7141666</v>
      </c>
      <c r="S219">
        <f t="shared" si="962"/>
        <v>-19035.057497141668</v>
      </c>
      <c r="T219">
        <f t="shared" si="963"/>
        <v>-19.035057497141668</v>
      </c>
    </row>
    <row r="220" spans="1:20" x14ac:dyDescent="0.25">
      <c r="A220" s="5">
        <v>44373</v>
      </c>
      <c r="B220">
        <v>5.008E-2</v>
      </c>
      <c r="C220">
        <v>5.1749999999999997E-2</v>
      </c>
      <c r="D220">
        <v>4.7309999999999998E-2</v>
      </c>
      <c r="E220">
        <v>5.0770000000000003E-2</v>
      </c>
      <c r="F220">
        <v>101965892.3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0.55855855855856085</v>
      </c>
      <c r="Q220">
        <f t="shared" si="960"/>
        <v>56953921.825225458</v>
      </c>
      <c r="R220">
        <f t="shared" si="961"/>
        <v>-1929080964.930882</v>
      </c>
      <c r="S220">
        <f t="shared" si="962"/>
        <v>-19290.80964930882</v>
      </c>
      <c r="T220">
        <f t="shared" si="963"/>
        <v>-19.290809649308819</v>
      </c>
    </row>
    <row r="221" spans="1:20" x14ac:dyDescent="0.25">
      <c r="A221" s="5">
        <v>44372</v>
      </c>
      <c r="B221">
        <v>5.5500000000000001E-2</v>
      </c>
      <c r="C221">
        <v>5.67E-2</v>
      </c>
      <c r="D221">
        <v>4.8849999999999998E-2</v>
      </c>
      <c r="E221">
        <v>5.0099999999999999E-2</v>
      </c>
      <c r="F221">
        <v>152210642.5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-0.68152866242038201</v>
      </c>
      <c r="Q221">
        <f t="shared" si="960"/>
        <v>-103735915.58917195</v>
      </c>
      <c r="R221">
        <f t="shared" si="961"/>
        <v>-1986034886.7561073</v>
      </c>
      <c r="S221">
        <f t="shared" si="962"/>
        <v>-19860.348867561072</v>
      </c>
      <c r="T221">
        <f t="shared" si="963"/>
        <v>-19.860348867561072</v>
      </c>
    </row>
    <row r="222" spans="1:20" x14ac:dyDescent="0.25">
      <c r="A222" s="5">
        <v>44371</v>
      </c>
      <c r="B222">
        <v>5.2519999999999997E-2</v>
      </c>
      <c r="C222">
        <v>5.6669999999999998E-2</v>
      </c>
      <c r="D222">
        <v>5.0310000000000001E-2</v>
      </c>
      <c r="E222">
        <v>5.5539999999999999E-2</v>
      </c>
      <c r="F222">
        <v>117846969.8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0.64465408805031466</v>
      </c>
      <c r="Q222">
        <f t="shared" si="960"/>
        <v>75970530.845911965</v>
      </c>
      <c r="R222">
        <f t="shared" si="961"/>
        <v>-1882298971.1669354</v>
      </c>
      <c r="S222">
        <f t="shared" si="962"/>
        <v>-18822.989711669354</v>
      </c>
      <c r="T222">
        <f t="shared" si="963"/>
        <v>-18.822989711669354</v>
      </c>
    </row>
    <row r="223" spans="1:20" x14ac:dyDescent="0.25">
      <c r="A223" s="5">
        <v>44370</v>
      </c>
      <c r="B223">
        <v>4.9239999999999999E-2</v>
      </c>
      <c r="C223">
        <v>5.5730000000000002E-2</v>
      </c>
      <c r="D223">
        <v>4.7030000000000002E-2</v>
      </c>
      <c r="E223">
        <v>5.2499999999999998E-2</v>
      </c>
      <c r="F223">
        <v>153457551.59999999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0.2574712643678152</v>
      </c>
      <c r="Q223">
        <f t="shared" si="960"/>
        <v>39510909.83724124</v>
      </c>
      <c r="R223">
        <f t="shared" si="961"/>
        <v>-1958269502.0128474</v>
      </c>
      <c r="S223">
        <f t="shared" si="962"/>
        <v>-19582.695020128474</v>
      </c>
      <c r="T223">
        <f t="shared" si="963"/>
        <v>-19.582695020128476</v>
      </c>
    </row>
    <row r="224" spans="1:20" x14ac:dyDescent="0.25">
      <c r="A224" s="5">
        <v>44369</v>
      </c>
      <c r="B224">
        <v>5.1200000000000002E-2</v>
      </c>
      <c r="C224">
        <v>5.5359999999999999E-2</v>
      </c>
      <c r="D224">
        <v>4.0500000000000001E-2</v>
      </c>
      <c r="E224">
        <v>4.9230000000000003E-2</v>
      </c>
      <c r="F224">
        <v>325114463.69999999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0.17496635262449564</v>
      </c>
      <c r="Q224">
        <f t="shared" si="960"/>
        <v>56884091.899057984</v>
      </c>
      <c r="R224">
        <f t="shared" si="961"/>
        <v>-1997780411.8500886</v>
      </c>
      <c r="S224">
        <f t="shared" si="962"/>
        <v>-19977.804118500884</v>
      </c>
      <c r="T224">
        <f t="shared" si="963"/>
        <v>-19.977804118500885</v>
      </c>
    </row>
    <row r="225" spans="1:20" x14ac:dyDescent="0.25">
      <c r="A225" s="5">
        <v>44368</v>
      </c>
      <c r="B225">
        <v>6.6059999999999994E-2</v>
      </c>
      <c r="C225">
        <v>6.6559999999999994E-2</v>
      </c>
      <c r="D225">
        <v>5.101E-2</v>
      </c>
      <c r="E225">
        <v>5.1189999999999999E-2</v>
      </c>
      <c r="F225">
        <v>171223950.59999999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-0.97684887459807079</v>
      </c>
      <c r="Q225">
        <f t="shared" si="960"/>
        <v>-167259923.44784567</v>
      </c>
      <c r="R225">
        <f t="shared" si="961"/>
        <v>-2054664503.7491465</v>
      </c>
      <c r="S225">
        <f t="shared" si="962"/>
        <v>-20546.645037491464</v>
      </c>
      <c r="T225">
        <f t="shared" si="963"/>
        <v>-20.546645037491462</v>
      </c>
    </row>
    <row r="226" spans="1:20" x14ac:dyDescent="0.25">
      <c r="A226" s="5">
        <v>44367</v>
      </c>
      <c r="B226">
        <v>6.6220000000000001E-2</v>
      </c>
      <c r="C226">
        <v>6.6729999999999998E-2</v>
      </c>
      <c r="D226">
        <v>6.0199999999999997E-2</v>
      </c>
      <c r="E226">
        <v>6.6100000000000006E-2</v>
      </c>
      <c r="F226">
        <v>96804699.700000003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0.80704441041347885</v>
      </c>
      <c r="Q226">
        <f t="shared" si="960"/>
        <v>78125691.794640377</v>
      </c>
      <c r="R226">
        <f t="shared" si="961"/>
        <v>-1887404580.3013008</v>
      </c>
      <c r="S226">
        <f t="shared" si="962"/>
        <v>-18874.045803013007</v>
      </c>
      <c r="T226">
        <f t="shared" si="963"/>
        <v>-18.874045803013008</v>
      </c>
    </row>
    <row r="227" spans="1:20" x14ac:dyDescent="0.25">
      <c r="A227" s="5">
        <v>44366</v>
      </c>
      <c r="B227">
        <v>6.7250000000000004E-2</v>
      </c>
      <c r="C227">
        <v>6.8449999999999997E-2</v>
      </c>
      <c r="D227">
        <v>6.5809999999999994E-2</v>
      </c>
      <c r="E227">
        <v>6.6250000000000003E-2</v>
      </c>
      <c r="F227">
        <v>62344475.399999999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-0.66666666666665964</v>
      </c>
      <c r="Q227">
        <f t="shared" si="960"/>
        <v>-41562983.599999562</v>
      </c>
      <c r="R227">
        <f t="shared" si="961"/>
        <v>-1965530272.0959411</v>
      </c>
      <c r="S227">
        <f t="shared" si="962"/>
        <v>-19655.302720959411</v>
      </c>
      <c r="T227">
        <f t="shared" si="963"/>
        <v>-19.655302720959412</v>
      </c>
    </row>
    <row r="228" spans="1:20" x14ac:dyDescent="0.25">
      <c r="A228" s="5">
        <v>44365</v>
      </c>
      <c r="B228">
        <v>7.127E-2</v>
      </c>
      <c r="C228">
        <v>7.1999999999999995E-2</v>
      </c>
      <c r="D228">
        <v>6.565E-2</v>
      </c>
      <c r="E228">
        <v>6.726E-2</v>
      </c>
      <c r="F228">
        <v>91923791.900000006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-0.49291338582677113</v>
      </c>
      <c r="Q228">
        <f t="shared" si="960"/>
        <v>-45310467.50346452</v>
      </c>
      <c r="R228">
        <f t="shared" si="961"/>
        <v>-1923967288.4959414</v>
      </c>
      <c r="S228">
        <f t="shared" si="962"/>
        <v>-19239.672884959415</v>
      </c>
      <c r="T228">
        <f t="shared" si="963"/>
        <v>-19.239672884959415</v>
      </c>
    </row>
    <row r="229" spans="1:20" x14ac:dyDescent="0.25">
      <c r="A229" s="5">
        <v>44364</v>
      </c>
      <c r="B229">
        <v>7.1279999999999996E-2</v>
      </c>
      <c r="C229">
        <v>7.5130000000000002E-2</v>
      </c>
      <c r="D229">
        <v>7.0209999999999995E-2</v>
      </c>
      <c r="E229">
        <v>7.1290000000000006E-2</v>
      </c>
      <c r="F229">
        <v>73661200.599999994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-0.56097560975609362</v>
      </c>
      <c r="Q229">
        <f t="shared" si="960"/>
        <v>-41322136.921950929</v>
      </c>
      <c r="R229">
        <f t="shared" si="961"/>
        <v>-1878656820.9924769</v>
      </c>
      <c r="S229">
        <f t="shared" si="962"/>
        <v>-18786.568209924768</v>
      </c>
      <c r="T229">
        <f t="shared" si="963"/>
        <v>-18.786568209924766</v>
      </c>
    </row>
    <row r="230" spans="1:20" x14ac:dyDescent="0.25">
      <c r="A230" s="5">
        <v>44363</v>
      </c>
      <c r="B230">
        <v>7.5550000000000006E-2</v>
      </c>
      <c r="C230">
        <v>7.6990000000000003E-2</v>
      </c>
      <c r="D230">
        <v>7.0660000000000001E-2</v>
      </c>
      <c r="E230">
        <v>7.1220000000000006E-2</v>
      </c>
      <c r="F230">
        <v>117774811.7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-0.82306477093206798</v>
      </c>
      <c r="Q230">
        <f t="shared" si="960"/>
        <v>-96936298.413427949</v>
      </c>
      <c r="R230">
        <f t="shared" si="961"/>
        <v>-1837334684.0705261</v>
      </c>
      <c r="S230">
        <f t="shared" si="962"/>
        <v>-18373.346840705261</v>
      </c>
      <c r="T230">
        <f t="shared" si="963"/>
        <v>-18.37334684070526</v>
      </c>
    </row>
    <row r="231" spans="1:20" x14ac:dyDescent="0.25">
      <c r="A231" s="5">
        <v>44362</v>
      </c>
      <c r="B231">
        <v>7.6740000000000003E-2</v>
      </c>
      <c r="C231">
        <v>7.8689999999999996E-2</v>
      </c>
      <c r="D231">
        <v>7.4149999999999994E-2</v>
      </c>
      <c r="E231">
        <v>7.5520000000000004E-2</v>
      </c>
      <c r="F231">
        <v>134727885.59999999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-0.396475770925106</v>
      </c>
      <c r="Q231">
        <f t="shared" si="960"/>
        <v>-53416342.308369488</v>
      </c>
      <c r="R231">
        <f t="shared" si="961"/>
        <v>-1740398385.6570983</v>
      </c>
      <c r="S231">
        <f t="shared" si="962"/>
        <v>-17403.983856570983</v>
      </c>
      <c r="T231">
        <f t="shared" si="963"/>
        <v>-17.403983856570985</v>
      </c>
    </row>
    <row r="232" spans="1:20" x14ac:dyDescent="0.25">
      <c r="A232" s="5">
        <v>44361</v>
      </c>
      <c r="B232">
        <v>7.4999999999999997E-2</v>
      </c>
      <c r="C232">
        <v>7.8579999999999997E-2</v>
      </c>
      <c r="D232">
        <v>7.3700000000000002E-2</v>
      </c>
      <c r="E232">
        <v>7.6770000000000005E-2</v>
      </c>
      <c r="F232">
        <v>158055450.5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0.25819672131147792</v>
      </c>
      <c r="Q232">
        <f t="shared" si="960"/>
        <v>40809399.104508594</v>
      </c>
      <c r="R232">
        <f t="shared" si="961"/>
        <v>-1686982043.3487289</v>
      </c>
      <c r="S232">
        <f t="shared" si="962"/>
        <v>-16869.82043348729</v>
      </c>
      <c r="T232">
        <f t="shared" si="963"/>
        <v>-16.869820433487291</v>
      </c>
    </row>
    <row r="233" spans="1:20" x14ac:dyDescent="0.25">
      <c r="A233" s="5">
        <v>44360</v>
      </c>
      <c r="B233">
        <v>6.9519999999999998E-2</v>
      </c>
      <c r="C233">
        <v>7.6660000000000006E-2</v>
      </c>
      <c r="D233">
        <v>6.8699999999999997E-2</v>
      </c>
      <c r="E233">
        <v>7.5060000000000002E-2</v>
      </c>
      <c r="F233">
        <v>241043472.30000001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0.59798994974874309</v>
      </c>
      <c r="Q233">
        <f t="shared" si="960"/>
        <v>144141573.88793954</v>
      </c>
      <c r="R233">
        <f t="shared" si="961"/>
        <v>-1727791442.4532375</v>
      </c>
      <c r="S233">
        <f t="shared" si="962"/>
        <v>-17277.914424532377</v>
      </c>
      <c r="T233">
        <f t="shared" si="963"/>
        <v>-17.277914424532376</v>
      </c>
    </row>
    <row r="234" spans="1:20" x14ac:dyDescent="0.25">
      <c r="A234" s="5">
        <v>44359</v>
      </c>
      <c r="B234">
        <v>7.0999999999999994E-2</v>
      </c>
      <c r="C234">
        <v>7.5939999999999994E-2</v>
      </c>
      <c r="D234">
        <v>6.5299999999999997E-2</v>
      </c>
      <c r="E234">
        <v>6.9430000000000006E-2</v>
      </c>
      <c r="F234">
        <v>294720065.80000001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-0.22368421052631393</v>
      </c>
      <c r="Q234">
        <f t="shared" si="960"/>
        <v>-65924225.244736299</v>
      </c>
      <c r="R234">
        <f t="shared" si="961"/>
        <v>-1871933016.341177</v>
      </c>
      <c r="S234">
        <f t="shared" si="962"/>
        <v>-18719.330163411771</v>
      </c>
      <c r="T234">
        <f t="shared" si="963"/>
        <v>-18.719330163411772</v>
      </c>
    </row>
    <row r="235" spans="1:20" x14ac:dyDescent="0.25">
      <c r="A235" s="5">
        <v>44358</v>
      </c>
      <c r="B235">
        <v>7.1410000000000001E-2</v>
      </c>
      <c r="C235">
        <v>7.9899999999999999E-2</v>
      </c>
      <c r="D235">
        <v>6.9370000000000001E-2</v>
      </c>
      <c r="E235">
        <v>7.0999999999999994E-2</v>
      </c>
      <c r="F235">
        <v>261644384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-0.69040835707502513</v>
      </c>
      <c r="Q235">
        <f t="shared" si="960"/>
        <v>-180641469.29534701</v>
      </c>
      <c r="R235">
        <f t="shared" si="961"/>
        <v>-1806008791.0964408</v>
      </c>
      <c r="S235">
        <f t="shared" si="962"/>
        <v>-18060.087910964408</v>
      </c>
      <c r="T235">
        <f t="shared" si="963"/>
        <v>-18.060087910964409</v>
      </c>
    </row>
    <row r="236" spans="1:20" x14ac:dyDescent="0.25">
      <c r="A236" s="5">
        <v>44357</v>
      </c>
      <c r="B236">
        <v>7.6149999999999995E-2</v>
      </c>
      <c r="C236">
        <v>7.9899999999999999E-2</v>
      </c>
      <c r="D236">
        <v>6.9589999999999999E-2</v>
      </c>
      <c r="E236">
        <v>7.1290000000000006E-2</v>
      </c>
      <c r="F236">
        <v>145659457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-0.67022308438409173</v>
      </c>
      <c r="Q236">
        <f t="shared" si="960"/>
        <v>-97624330.540251985</v>
      </c>
      <c r="R236">
        <f t="shared" si="961"/>
        <v>-1625367321.8010938</v>
      </c>
      <c r="S236">
        <f t="shared" si="962"/>
        <v>-16253.673218010937</v>
      </c>
      <c r="T236">
        <f t="shared" si="963"/>
        <v>-16.253673218010938</v>
      </c>
    </row>
    <row r="237" spans="1:20" x14ac:dyDescent="0.25">
      <c r="A237" s="5">
        <v>44356</v>
      </c>
      <c r="B237">
        <v>7.0129999999999998E-2</v>
      </c>
      <c r="C237">
        <v>7.7289999999999998E-2</v>
      </c>
      <c r="D237">
        <v>6.6009999999999999E-2</v>
      </c>
      <c r="E237">
        <v>7.6170000000000002E-2</v>
      </c>
      <c r="F237">
        <v>188177301.30000001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0.80141843971631277</v>
      </c>
      <c r="Q237">
        <f t="shared" si="960"/>
        <v>150808759.19787249</v>
      </c>
      <c r="R237">
        <f t="shared" si="961"/>
        <v>-1527742991.2608418</v>
      </c>
      <c r="S237">
        <f t="shared" si="962"/>
        <v>-15277.429912608419</v>
      </c>
      <c r="T237">
        <f t="shared" si="963"/>
        <v>-15.277429912608419</v>
      </c>
    </row>
    <row r="238" spans="1:20" x14ac:dyDescent="0.25">
      <c r="A238" s="5">
        <v>44355</v>
      </c>
      <c r="B238">
        <v>7.1279999999999996E-2</v>
      </c>
      <c r="C238">
        <v>7.2870000000000004E-2</v>
      </c>
      <c r="D238">
        <v>6.1440000000000002E-2</v>
      </c>
      <c r="E238">
        <v>7.0129999999999998E-2</v>
      </c>
      <c r="F238">
        <v>208773853.09999999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0.5205599300087479</v>
      </c>
      <c r="Q238">
        <f t="shared" si="960"/>
        <v>108679302.35739261</v>
      </c>
      <c r="R238">
        <f t="shared" si="961"/>
        <v>-1678551750.4587142</v>
      </c>
      <c r="S238">
        <f t="shared" si="962"/>
        <v>-16785.517504587144</v>
      </c>
      <c r="T238">
        <f t="shared" si="963"/>
        <v>-16.785517504587144</v>
      </c>
    </row>
    <row r="239" spans="1:20" x14ac:dyDescent="0.25">
      <c r="A239" s="5">
        <v>44354</v>
      </c>
      <c r="B239">
        <v>7.9009999999999997E-2</v>
      </c>
      <c r="C239">
        <v>8.2860000000000003E-2</v>
      </c>
      <c r="D239">
        <v>7.0550000000000002E-2</v>
      </c>
      <c r="E239">
        <v>7.1300000000000002E-2</v>
      </c>
      <c r="F239">
        <v>113819115.7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-0.87814784727863515</v>
      </c>
      <c r="Q239">
        <f t="shared" si="960"/>
        <v>-99950011.4311129</v>
      </c>
      <c r="R239">
        <f t="shared" si="961"/>
        <v>-1787231052.8161068</v>
      </c>
      <c r="S239">
        <f t="shared" si="962"/>
        <v>-17872.31052816107</v>
      </c>
      <c r="T239">
        <f t="shared" si="963"/>
        <v>-17.872310528161069</v>
      </c>
    </row>
    <row r="240" spans="1:20" x14ac:dyDescent="0.25">
      <c r="A240" s="5">
        <v>44353</v>
      </c>
      <c r="B240">
        <v>7.6429999999999998E-2</v>
      </c>
      <c r="C240">
        <v>0.08</v>
      </c>
      <c r="D240">
        <v>7.596E-2</v>
      </c>
      <c r="E240">
        <v>7.9000000000000001E-2</v>
      </c>
      <c r="F240">
        <v>67287788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0.50495049504950473</v>
      </c>
      <c r="Q240">
        <f t="shared" si="960"/>
        <v>33977001.86138612</v>
      </c>
      <c r="R240">
        <f t="shared" si="961"/>
        <v>-1687281041.3849938</v>
      </c>
      <c r="S240">
        <f t="shared" si="962"/>
        <v>-16872.810413849937</v>
      </c>
      <c r="T240">
        <f t="shared" si="963"/>
        <v>-16.872810413849937</v>
      </c>
    </row>
    <row r="241" spans="1:20" x14ac:dyDescent="0.25">
      <c r="A241" s="5">
        <v>44352</v>
      </c>
      <c r="B241">
        <v>8.0390000000000003E-2</v>
      </c>
      <c r="C241">
        <v>8.3690000000000001E-2</v>
      </c>
      <c r="D241">
        <v>7.4609999999999996E-2</v>
      </c>
      <c r="E241">
        <v>7.6499999999999999E-2</v>
      </c>
      <c r="F241">
        <v>102658586.7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-0.58370044052863401</v>
      </c>
      <c r="Q241">
        <f t="shared" si="960"/>
        <v>-59921862.28083697</v>
      </c>
      <c r="R241">
        <f t="shared" si="961"/>
        <v>-1721258043.2463799</v>
      </c>
      <c r="S241">
        <f t="shared" si="962"/>
        <v>-17212.580432463797</v>
      </c>
      <c r="T241">
        <f t="shared" si="963"/>
        <v>-17.212580432463799</v>
      </c>
    </row>
    <row r="242" spans="1:20" x14ac:dyDescent="0.25">
      <c r="A242" s="5">
        <v>44351</v>
      </c>
      <c r="B242">
        <v>8.8179999999999994E-2</v>
      </c>
      <c r="C242">
        <v>8.831E-2</v>
      </c>
      <c r="D242">
        <v>7.6300000000000007E-2</v>
      </c>
      <c r="E242">
        <v>8.0509999999999998E-2</v>
      </c>
      <c r="F242">
        <v>197164858.80000001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-0.29891756869275704</v>
      </c>
      <c r="Q242">
        <f t="shared" si="960"/>
        <v>-58936040.224146746</v>
      </c>
      <c r="R242">
        <f t="shared" si="961"/>
        <v>-1661336180.9655428</v>
      </c>
      <c r="S242">
        <f t="shared" si="962"/>
        <v>-16613.361809655427</v>
      </c>
      <c r="T242">
        <f t="shared" si="963"/>
        <v>-16.613361809655427</v>
      </c>
    </row>
    <row r="243" spans="1:20" x14ac:dyDescent="0.25">
      <c r="A243" s="5">
        <v>44350</v>
      </c>
      <c r="B243">
        <v>8.5830000000000004E-2</v>
      </c>
      <c r="C243">
        <v>9.2090000000000005E-2</v>
      </c>
      <c r="D243">
        <v>8.3059999999999995E-2</v>
      </c>
      <c r="E243">
        <v>8.8150000000000006E-2</v>
      </c>
      <c r="F243">
        <v>159980338.40000001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0.12735326688815179</v>
      </c>
      <c r="Q243">
        <f t="shared" si="960"/>
        <v>20374018.733112041</v>
      </c>
      <c r="R243">
        <f t="shared" si="961"/>
        <v>-1602400140.741396</v>
      </c>
      <c r="S243">
        <f t="shared" si="962"/>
        <v>-16024.00140741396</v>
      </c>
      <c r="T243">
        <f t="shared" si="963"/>
        <v>-16.024001407413959</v>
      </c>
    </row>
    <row r="244" spans="1:20" x14ac:dyDescent="0.25">
      <c r="A244" s="5">
        <v>44349</v>
      </c>
      <c r="B244">
        <v>8.0729999999999996E-2</v>
      </c>
      <c r="C244">
        <v>9.4789999999999999E-2</v>
      </c>
      <c r="D244">
        <v>7.9189999999999997E-2</v>
      </c>
      <c r="E244">
        <v>8.5870000000000002E-2</v>
      </c>
      <c r="F244">
        <v>330988512.10000002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-0.14358974358974305</v>
      </c>
      <c r="Q244">
        <f t="shared" si="960"/>
        <v>-47526555.583589569</v>
      </c>
      <c r="R244">
        <f t="shared" si="961"/>
        <v>-1622774159.474508</v>
      </c>
      <c r="S244">
        <f t="shared" si="962"/>
        <v>-16227.741594745081</v>
      </c>
      <c r="T244">
        <f t="shared" si="963"/>
        <v>-16.22774159474508</v>
      </c>
    </row>
    <row r="245" spans="1:20" x14ac:dyDescent="0.25">
      <c r="A245" s="5">
        <v>44348</v>
      </c>
      <c r="B245">
        <v>8.4010000000000001E-2</v>
      </c>
      <c r="C245">
        <v>8.5669999999999996E-2</v>
      </c>
      <c r="D245">
        <v>7.9000000000000001E-2</v>
      </c>
      <c r="E245">
        <v>8.0729999999999996E-2</v>
      </c>
      <c r="F245">
        <v>108520282.3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-0.48125937031484362</v>
      </c>
      <c r="Q245">
        <f t="shared" si="960"/>
        <v>-52226402.726087071</v>
      </c>
      <c r="R245">
        <f t="shared" si="961"/>
        <v>-1575247603.8909185</v>
      </c>
      <c r="S245">
        <f t="shared" si="962"/>
        <v>-15752.476038909184</v>
      </c>
      <c r="T245">
        <f t="shared" si="963"/>
        <v>-15.752476038909185</v>
      </c>
    </row>
    <row r="246" spans="1:20" x14ac:dyDescent="0.25">
      <c r="A246" s="5">
        <v>44347</v>
      </c>
      <c r="B246">
        <v>7.8520000000000006E-2</v>
      </c>
      <c r="C246">
        <v>8.4540000000000004E-2</v>
      </c>
      <c r="D246">
        <v>7.4260000000000007E-2</v>
      </c>
      <c r="E246">
        <v>8.4000000000000005E-2</v>
      </c>
      <c r="F246">
        <v>106425839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0.89494163424124529</v>
      </c>
      <c r="Q246">
        <f t="shared" si="960"/>
        <v>95244914.280155659</v>
      </c>
      <c r="R246">
        <f t="shared" si="961"/>
        <v>-1523021201.1648314</v>
      </c>
      <c r="S246">
        <f t="shared" si="962"/>
        <v>-15230.212011648315</v>
      </c>
      <c r="T246">
        <f t="shared" si="963"/>
        <v>-15.230212011648314</v>
      </c>
    </row>
    <row r="247" spans="1:20" x14ac:dyDescent="0.25">
      <c r="A247" s="5">
        <v>44346</v>
      </c>
      <c r="B247">
        <v>7.6119999999999993E-2</v>
      </c>
      <c r="C247">
        <v>8.3979999999999999E-2</v>
      </c>
      <c r="D247">
        <v>7.0459999999999995E-2</v>
      </c>
      <c r="E247">
        <v>7.8649999999999998E-2</v>
      </c>
      <c r="F247">
        <v>110375410.40000001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0.21153846153846156</v>
      </c>
      <c r="Q247">
        <f t="shared" si="960"/>
        <v>23348644.507692311</v>
      </c>
      <c r="R247">
        <f t="shared" si="961"/>
        <v>-1618266115.4449871</v>
      </c>
      <c r="S247">
        <f t="shared" si="962"/>
        <v>-16182.66115444987</v>
      </c>
      <c r="T247">
        <f t="shared" si="963"/>
        <v>-16.182661154449871</v>
      </c>
    </row>
    <row r="248" spans="1:20" x14ac:dyDescent="0.25">
      <c r="A248" s="5">
        <v>44345</v>
      </c>
      <c r="B248">
        <v>8.0979999999999996E-2</v>
      </c>
      <c r="C248">
        <v>8.4459999999999993E-2</v>
      </c>
      <c r="D248">
        <v>7.0010000000000003E-2</v>
      </c>
      <c r="E248">
        <v>7.6149999999999995E-2</v>
      </c>
      <c r="F248">
        <v>140465696.30000001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-0.15017301038062331</v>
      </c>
      <c r="Q248">
        <f t="shared" si="960"/>
        <v>-21094156.468581382</v>
      </c>
      <c r="R248">
        <f t="shared" si="961"/>
        <v>-1641614759.9526794</v>
      </c>
      <c r="S248">
        <f t="shared" si="962"/>
        <v>-16416.147599526794</v>
      </c>
      <c r="T248">
        <f t="shared" si="963"/>
        <v>-16.416147599526795</v>
      </c>
    </row>
    <row r="249" spans="1:20" x14ac:dyDescent="0.25">
      <c r="A249" s="5">
        <v>44344</v>
      </c>
      <c r="B249">
        <v>9.4759999999999997E-2</v>
      </c>
      <c r="C249">
        <v>9.604E-2</v>
      </c>
      <c r="D249">
        <v>7.739E-2</v>
      </c>
      <c r="E249">
        <v>8.1079999999999999E-2</v>
      </c>
      <c r="F249">
        <v>206675310.80000001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-0.60428954423592507</v>
      </c>
      <c r="Q249">
        <f t="shared" si="960"/>
        <v>-124891729.36815017</v>
      </c>
      <c r="R249">
        <f t="shared" si="961"/>
        <v>-1620520603.484098</v>
      </c>
      <c r="S249">
        <f t="shared" si="962"/>
        <v>-16205.20603484098</v>
      </c>
      <c r="T249">
        <f t="shared" si="963"/>
        <v>-16.20520603484098</v>
      </c>
    </row>
    <row r="250" spans="1:20" x14ac:dyDescent="0.25">
      <c r="A250" s="5">
        <v>44343</v>
      </c>
      <c r="B250">
        <v>0.10142</v>
      </c>
      <c r="C250">
        <v>0.10494000000000001</v>
      </c>
      <c r="D250">
        <v>9.1389999999999999E-2</v>
      </c>
      <c r="E250">
        <v>9.4759999999999997E-2</v>
      </c>
      <c r="F250">
        <v>164219199.90000001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-0.50258302583025882</v>
      </c>
      <c r="Q250">
        <f t="shared" si="960"/>
        <v>-82533782.385166138</v>
      </c>
      <c r="R250">
        <f t="shared" si="961"/>
        <v>-1495628874.1159477</v>
      </c>
      <c r="S250">
        <f t="shared" si="962"/>
        <v>-14956.288741159477</v>
      </c>
      <c r="T250">
        <f t="shared" si="963"/>
        <v>-14.956288741159476</v>
      </c>
    </row>
    <row r="251" spans="1:20" x14ac:dyDescent="0.25">
      <c r="A251" s="5">
        <v>44342</v>
      </c>
      <c r="B251">
        <v>8.6660000000000001E-2</v>
      </c>
      <c r="C251">
        <v>0.10265000000000001</v>
      </c>
      <c r="D251">
        <v>8.405E-2</v>
      </c>
      <c r="E251">
        <v>0.10138999999999999</v>
      </c>
      <c r="F251">
        <v>240692288.90000001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0.86451612903225694</v>
      </c>
      <c r="Q251">
        <f t="shared" si="960"/>
        <v>208082365.88774168</v>
      </c>
      <c r="R251">
        <f t="shared" si="961"/>
        <v>-1413095091.7307816</v>
      </c>
      <c r="S251">
        <f t="shared" si="962"/>
        <v>-14130.950917307815</v>
      </c>
      <c r="T251">
        <f t="shared" si="963"/>
        <v>-14.130950917307816</v>
      </c>
    </row>
    <row r="252" spans="1:20" x14ac:dyDescent="0.25">
      <c r="A252" s="5">
        <v>44341</v>
      </c>
      <c r="B252">
        <v>8.0140000000000003E-2</v>
      </c>
      <c r="C252">
        <v>8.7999999999999995E-2</v>
      </c>
      <c r="D252">
        <v>7.5740000000000002E-2</v>
      </c>
      <c r="E252">
        <v>8.6709999999999995E-2</v>
      </c>
      <c r="F252">
        <v>184917813.80000001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0.78955954323001631</v>
      </c>
      <c r="Q252">
        <f t="shared" si="960"/>
        <v>146003624.59902123</v>
      </c>
      <c r="R252">
        <f t="shared" si="961"/>
        <v>-1621177457.6185234</v>
      </c>
      <c r="S252">
        <f t="shared" si="962"/>
        <v>-16211.774576185233</v>
      </c>
      <c r="T252">
        <f t="shared" si="963"/>
        <v>-16.211774576185231</v>
      </c>
    </row>
    <row r="253" spans="1:20" x14ac:dyDescent="0.25">
      <c r="A253" s="5">
        <v>44340</v>
      </c>
      <c r="B253">
        <v>6.5930000000000002E-2</v>
      </c>
      <c r="C253">
        <v>8.1309999999999993E-2</v>
      </c>
      <c r="D253">
        <v>6.4019999999999994E-2</v>
      </c>
      <c r="E253">
        <v>8.0310000000000006E-2</v>
      </c>
      <c r="F253">
        <v>181461208.30000001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0.88432620011567531</v>
      </c>
      <c r="Q253">
        <f t="shared" si="960"/>
        <v>160470900.80433804</v>
      </c>
      <c r="R253">
        <f t="shared" si="961"/>
        <v>-1767181082.2175446</v>
      </c>
      <c r="S253">
        <f t="shared" si="962"/>
        <v>-17671.810822175445</v>
      </c>
      <c r="T253">
        <f t="shared" si="963"/>
        <v>-17.671810822175445</v>
      </c>
    </row>
    <row r="254" spans="1:20" x14ac:dyDescent="0.25">
      <c r="A254" s="5">
        <v>44339</v>
      </c>
      <c r="B254">
        <v>7.8130000000000005E-2</v>
      </c>
      <c r="C254">
        <v>8.2540000000000002E-2</v>
      </c>
      <c r="D254">
        <v>5.3609999999999998E-2</v>
      </c>
      <c r="E254">
        <v>6.5869999999999998E-2</v>
      </c>
      <c r="F254">
        <v>272089017.60000002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-0.15243691669547196</v>
      </c>
      <c r="Q254">
        <f t="shared" si="960"/>
        <v>-41476410.909644008</v>
      </c>
      <c r="R254">
        <f t="shared" si="961"/>
        <v>-1927651983.0218825</v>
      </c>
      <c r="S254">
        <f t="shared" si="962"/>
        <v>-19276.519830218826</v>
      </c>
      <c r="T254">
        <f t="shared" si="963"/>
        <v>-19.276519830218824</v>
      </c>
    </row>
    <row r="255" spans="1:20" x14ac:dyDescent="0.25">
      <c r="A255" s="5">
        <v>44338</v>
      </c>
      <c r="B255">
        <v>8.4650000000000003E-2</v>
      </c>
      <c r="C255">
        <v>8.6050000000000001E-2</v>
      </c>
      <c r="D255">
        <v>7.1679999999999994E-2</v>
      </c>
      <c r="E255">
        <v>7.8130000000000005E-2</v>
      </c>
      <c r="F255">
        <v>174994206.80000001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-0.10229645093945612</v>
      </c>
      <c r="Q255">
        <f t="shared" si="960"/>
        <v>-17901286.29060524</v>
      </c>
      <c r="R255">
        <f t="shared" si="961"/>
        <v>-1886175572.1122386</v>
      </c>
      <c r="S255">
        <f t="shared" si="962"/>
        <v>-18861.755721122387</v>
      </c>
      <c r="T255">
        <f t="shared" si="963"/>
        <v>-18.861755721122385</v>
      </c>
    </row>
    <row r="256" spans="1:20" x14ac:dyDescent="0.25">
      <c r="A256" s="5">
        <v>44337</v>
      </c>
      <c r="B256">
        <v>9.8629999999999995E-2</v>
      </c>
      <c r="C256">
        <v>0.10324999999999999</v>
      </c>
      <c r="D256">
        <v>7.0999999999999994E-2</v>
      </c>
      <c r="E256">
        <v>8.4680000000000005E-2</v>
      </c>
      <c r="F256">
        <v>271881687.89999998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-0.1516279069767435</v>
      </c>
      <c r="Q256">
        <f t="shared" si="960"/>
        <v>-41224851.281581208</v>
      </c>
      <c r="R256">
        <f t="shared" si="961"/>
        <v>-1868274285.8216333</v>
      </c>
      <c r="S256">
        <f t="shared" si="962"/>
        <v>-18682.742858216334</v>
      </c>
      <c r="T256">
        <f t="shared" si="963"/>
        <v>-18.682742858216333</v>
      </c>
    </row>
    <row r="257" spans="1:20" x14ac:dyDescent="0.25">
      <c r="A257" s="5">
        <v>44336</v>
      </c>
      <c r="B257">
        <v>8.5720000000000005E-2</v>
      </c>
      <c r="C257">
        <v>0.10829999999999999</v>
      </c>
      <c r="D257">
        <v>7.5410000000000005E-2</v>
      </c>
      <c r="E257">
        <v>9.8710000000000006E-2</v>
      </c>
      <c r="F257">
        <v>251358776.40000001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0.41684402553967825</v>
      </c>
      <c r="Q257">
        <f t="shared" si="960"/>
        <v>104777404.20930387</v>
      </c>
      <c r="R257">
        <f t="shared" si="961"/>
        <v>-1827049434.5400522</v>
      </c>
      <c r="S257">
        <f t="shared" si="962"/>
        <v>-18270.494345400522</v>
      </c>
      <c r="T257">
        <f t="shared" si="963"/>
        <v>-18.270494345400522</v>
      </c>
    </row>
    <row r="258" spans="1:20" x14ac:dyDescent="0.25">
      <c r="A258" s="5">
        <v>44335</v>
      </c>
      <c r="B258">
        <v>0.12970999999999999</v>
      </c>
      <c r="C258">
        <v>0.13206000000000001</v>
      </c>
      <c r="D258">
        <v>5.6140000000000002E-2</v>
      </c>
      <c r="E258">
        <v>8.5720000000000005E-2</v>
      </c>
      <c r="F258">
        <v>417742993.80000001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-0.22075869336143308</v>
      </c>
      <c r="Q258">
        <f t="shared" si="960"/>
        <v>-92220397.472181246</v>
      </c>
      <c r="R258">
        <f t="shared" si="961"/>
        <v>-1931826838.749356</v>
      </c>
      <c r="S258">
        <f t="shared" si="962"/>
        <v>-19318.268387493561</v>
      </c>
      <c r="T258">
        <f t="shared" si="963"/>
        <v>-19.318268387493561</v>
      </c>
    </row>
    <row r="259" spans="1:20" x14ac:dyDescent="0.25">
      <c r="A259" s="5">
        <v>44334</v>
      </c>
      <c r="B259">
        <v>0.12548999999999999</v>
      </c>
      <c r="C259">
        <v>0.13396</v>
      </c>
      <c r="D259">
        <v>0.12282999999999999</v>
      </c>
      <c r="E259">
        <v>0.12973999999999999</v>
      </c>
      <c r="F259">
        <v>119673156.8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0.24168912848158111</v>
      </c>
      <c r="Q259">
        <f t="shared" si="960"/>
        <v>28923700.969631601</v>
      </c>
      <c r="R259">
        <f t="shared" si="961"/>
        <v>-1839606441.2771747</v>
      </c>
      <c r="S259">
        <f t="shared" si="962"/>
        <v>-18396.064412771746</v>
      </c>
      <c r="T259">
        <f t="shared" si="963"/>
        <v>-18.396064412771747</v>
      </c>
    </row>
    <row r="260" spans="1:20" x14ac:dyDescent="0.25">
      <c r="A260" s="5">
        <v>44333</v>
      </c>
      <c r="B260">
        <v>0.13650000000000001</v>
      </c>
      <c r="C260">
        <v>0.13704</v>
      </c>
      <c r="D260">
        <v>0.11700000000000001</v>
      </c>
      <c r="E260">
        <v>0.12526000000000001</v>
      </c>
      <c r="F260">
        <v>183323579.09999999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-0.17564870259480955</v>
      </c>
      <c r="Q260">
        <f t="shared" si="960"/>
        <v>-32200548.823951945</v>
      </c>
      <c r="R260">
        <f t="shared" si="961"/>
        <v>-1868530142.2468064</v>
      </c>
      <c r="S260">
        <f t="shared" si="962"/>
        <v>-18685.301422468063</v>
      </c>
      <c r="T260">
        <f t="shared" si="963"/>
        <v>-18.685301422468061</v>
      </c>
    </row>
    <row r="261" spans="1:20" x14ac:dyDescent="0.25">
      <c r="A261" s="5">
        <v>44332</v>
      </c>
      <c r="B261">
        <v>0.13582</v>
      </c>
      <c r="C261">
        <v>0.14979999999999999</v>
      </c>
      <c r="D261">
        <v>0.12697</v>
      </c>
      <c r="E261">
        <v>0.13663</v>
      </c>
      <c r="F261">
        <v>189860670.59999999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-0.15374507227332401</v>
      </c>
      <c r="Q261">
        <f t="shared" si="960"/>
        <v>-29190142.523258764</v>
      </c>
      <c r="R261">
        <f t="shared" si="961"/>
        <v>-1836329593.4228544</v>
      </c>
      <c r="S261">
        <f t="shared" si="962"/>
        <v>-18363.295934228543</v>
      </c>
      <c r="T261">
        <f t="shared" si="963"/>
        <v>-18.363295934228542</v>
      </c>
    </row>
    <row r="262" spans="1:20" x14ac:dyDescent="0.25">
      <c r="A262" s="5">
        <v>44331</v>
      </c>
      <c r="B262">
        <v>0.13944999999999999</v>
      </c>
      <c r="C262">
        <v>0.15778</v>
      </c>
      <c r="D262">
        <v>0.1343</v>
      </c>
      <c r="E262">
        <v>0.13577</v>
      </c>
      <c r="F262">
        <v>395554322.69999999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-0.87478705281090297</v>
      </c>
      <c r="Q262">
        <f t="shared" ref="Q262:Q325" si="965">F262*P262</f>
        <v>-346025800.18134582</v>
      </c>
      <c r="R262">
        <f t="shared" ref="R262:R325" si="966">R263+Q262</f>
        <v>-1807139450.8995957</v>
      </c>
      <c r="S262">
        <f t="shared" ref="S262:S325" si="967">R262/100000</f>
        <v>-18071.394508995956</v>
      </c>
      <c r="T262">
        <f t="shared" ref="T262:T325" si="968">S262/1000</f>
        <v>-18.071394508995954</v>
      </c>
    </row>
    <row r="263" spans="1:20" x14ac:dyDescent="0.25">
      <c r="A263" s="5">
        <v>44330</v>
      </c>
      <c r="B263">
        <v>0.13652</v>
      </c>
      <c r="C263">
        <v>0.14299999999999999</v>
      </c>
      <c r="D263">
        <v>0.13317999999999999</v>
      </c>
      <c r="E263">
        <v>0.13941999999999999</v>
      </c>
      <c r="F263">
        <v>134926882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0.27087576374745387</v>
      </c>
      <c r="Q263">
        <f t="shared" si="965"/>
        <v>36548422.211812586</v>
      </c>
      <c r="R263">
        <f t="shared" si="966"/>
        <v>-1461113650.7182498</v>
      </c>
      <c r="S263">
        <f t="shared" si="967"/>
        <v>-14611.136507182498</v>
      </c>
      <c r="T263">
        <f t="shared" si="968"/>
        <v>-14.611136507182499</v>
      </c>
    </row>
    <row r="264" spans="1:20" x14ac:dyDescent="0.25">
      <c r="A264" s="5">
        <v>44329</v>
      </c>
      <c r="B264">
        <v>0.13236000000000001</v>
      </c>
      <c r="C264">
        <v>0.14346</v>
      </c>
      <c r="D264">
        <v>0.12262000000000001</v>
      </c>
      <c r="E264">
        <v>0.13672999999999999</v>
      </c>
      <c r="F264">
        <v>206763457.69999999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0.35412667946257059</v>
      </c>
      <c r="Q264">
        <f t="shared" si="965"/>
        <v>73220456.70950067</v>
      </c>
      <c r="R264">
        <f t="shared" si="966"/>
        <v>-1497662072.9300623</v>
      </c>
      <c r="S264">
        <f t="shared" si="967"/>
        <v>-14976.620729300623</v>
      </c>
      <c r="T264">
        <f t="shared" si="968"/>
        <v>-14.976620729300622</v>
      </c>
    </row>
    <row r="265" spans="1:20" x14ac:dyDescent="0.25">
      <c r="A265" s="5">
        <v>44328</v>
      </c>
      <c r="B265">
        <v>0.15742</v>
      </c>
      <c r="C265">
        <v>0.16452</v>
      </c>
      <c r="D265">
        <v>0.12902</v>
      </c>
      <c r="E265">
        <v>0.13197999999999999</v>
      </c>
      <c r="F265">
        <v>180882870.90000001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-0.83323943661971889</v>
      </c>
      <c r="Q265">
        <f t="shared" si="965"/>
        <v>-150718741.44287336</v>
      </c>
      <c r="R265">
        <f t="shared" si="966"/>
        <v>-1570882529.6395631</v>
      </c>
      <c r="S265">
        <f t="shared" si="967"/>
        <v>-15708.825296395631</v>
      </c>
      <c r="T265">
        <f t="shared" si="968"/>
        <v>-15.708825296395631</v>
      </c>
    </row>
    <row r="266" spans="1:20" x14ac:dyDescent="0.25">
      <c r="A266" s="5">
        <v>44327</v>
      </c>
      <c r="B266">
        <v>0.14971000000000001</v>
      </c>
      <c r="C266">
        <v>0.15928</v>
      </c>
      <c r="D266">
        <v>0.14441000000000001</v>
      </c>
      <c r="E266">
        <v>0.15742</v>
      </c>
      <c r="F266">
        <v>128293496.2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0.74983187626092784</v>
      </c>
      <c r="Q266">
        <f t="shared" si="965"/>
        <v>96198552.967720225</v>
      </c>
      <c r="R266">
        <f t="shared" si="966"/>
        <v>-1420163788.1966896</v>
      </c>
      <c r="S266">
        <f t="shared" si="967"/>
        <v>-14201.637881966895</v>
      </c>
      <c r="T266">
        <f t="shared" si="968"/>
        <v>-14.201637881966896</v>
      </c>
    </row>
    <row r="267" spans="1:20" x14ac:dyDescent="0.25">
      <c r="A267" s="5">
        <v>44326</v>
      </c>
      <c r="B267">
        <v>0.16850000000000001</v>
      </c>
      <c r="C267">
        <v>0.17352000000000001</v>
      </c>
      <c r="D267">
        <v>0.13643</v>
      </c>
      <c r="E267">
        <v>0.14985000000000001</v>
      </c>
      <c r="F267">
        <v>216346349.30000001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-0.27635481261795575</v>
      </c>
      <c r="Q267">
        <f t="shared" si="965"/>
        <v>-59788354.821380302</v>
      </c>
      <c r="R267">
        <f t="shared" si="966"/>
        <v>-1516362341.1644099</v>
      </c>
      <c r="S267">
        <f t="shared" si="967"/>
        <v>-15163.623411644099</v>
      </c>
      <c r="T267">
        <f t="shared" si="968"/>
        <v>-15.1636234116441</v>
      </c>
    </row>
    <row r="268" spans="1:20" x14ac:dyDescent="0.25">
      <c r="A268" s="5">
        <v>44325</v>
      </c>
      <c r="B268">
        <v>0.17523</v>
      </c>
      <c r="C268">
        <v>0.17602999999999999</v>
      </c>
      <c r="D268">
        <v>0.16039999999999999</v>
      </c>
      <c r="E268">
        <v>0.16841999999999999</v>
      </c>
      <c r="F268">
        <v>142965407.09999999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2.6231605886116033E-2</v>
      </c>
      <c r="Q268">
        <f t="shared" si="965"/>
        <v>3750212.2143953349</v>
      </c>
      <c r="R268">
        <f t="shared" si="966"/>
        <v>-1456573986.3430295</v>
      </c>
      <c r="S268">
        <f t="shared" si="967"/>
        <v>-14565.739863430295</v>
      </c>
      <c r="T268">
        <f t="shared" si="968"/>
        <v>-14.565739863430295</v>
      </c>
    </row>
    <row r="269" spans="1:20" x14ac:dyDescent="0.25">
      <c r="A269" s="5">
        <v>44324</v>
      </c>
      <c r="B269">
        <v>0.17435</v>
      </c>
      <c r="C269">
        <v>0.18099999999999999</v>
      </c>
      <c r="D269">
        <v>0.16919999999999999</v>
      </c>
      <c r="E269">
        <v>0.17516999999999999</v>
      </c>
      <c r="F269">
        <v>153218634.30000001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1.1864406779661116E-2</v>
      </c>
      <c r="Q269">
        <f t="shared" si="965"/>
        <v>1817848.2035593374</v>
      </c>
      <c r="R269">
        <f t="shared" si="966"/>
        <v>-1460324198.5574248</v>
      </c>
      <c r="S269">
        <f t="shared" si="967"/>
        <v>-14603.241985574248</v>
      </c>
      <c r="T269">
        <f t="shared" si="968"/>
        <v>-14.603241985574249</v>
      </c>
    </row>
    <row r="270" spans="1:20" x14ac:dyDescent="0.25">
      <c r="A270" s="5">
        <v>44323</v>
      </c>
      <c r="B270">
        <v>0.18157999999999999</v>
      </c>
      <c r="C270">
        <v>0.185</v>
      </c>
      <c r="D270">
        <v>0.16900000000000001</v>
      </c>
      <c r="E270">
        <v>0.1744</v>
      </c>
      <c r="F270">
        <v>230244522.59999999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-0.3250000000000009</v>
      </c>
      <c r="Q270">
        <f t="shared" si="965"/>
        <v>-74829469.845000207</v>
      </c>
      <c r="R270">
        <f t="shared" si="966"/>
        <v>-1462142046.7609842</v>
      </c>
      <c r="S270">
        <f t="shared" si="967"/>
        <v>-14621.420467609842</v>
      </c>
      <c r="T270">
        <f t="shared" si="968"/>
        <v>-14.621420467609841</v>
      </c>
    </row>
    <row r="271" spans="1:20" x14ac:dyDescent="0.25">
      <c r="A271" s="5">
        <v>44322</v>
      </c>
      <c r="B271">
        <v>0.17496999999999999</v>
      </c>
      <c r="C271">
        <v>0.18848999999999999</v>
      </c>
      <c r="D271">
        <v>0.16742000000000001</v>
      </c>
      <c r="E271">
        <v>0.18157999999999999</v>
      </c>
      <c r="F271">
        <v>373004396.30000001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0.3440911248220212</v>
      </c>
      <c r="Q271">
        <f t="shared" si="965"/>
        <v>128347502.28642596</v>
      </c>
      <c r="R271">
        <f t="shared" si="966"/>
        <v>-1387312576.9159839</v>
      </c>
      <c r="S271">
        <f t="shared" si="967"/>
        <v>-13873.125769159838</v>
      </c>
      <c r="T271">
        <f t="shared" si="968"/>
        <v>-13.873125769159838</v>
      </c>
    </row>
    <row r="272" spans="1:20" x14ac:dyDescent="0.25">
      <c r="A272" s="5">
        <v>44321</v>
      </c>
      <c r="B272">
        <v>0.16064999999999999</v>
      </c>
      <c r="C272">
        <v>0.17899999999999999</v>
      </c>
      <c r="D272">
        <v>0.15806999999999999</v>
      </c>
      <c r="E272">
        <v>0.17496999999999999</v>
      </c>
      <c r="F272">
        <v>177234145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0.61490683229813614</v>
      </c>
      <c r="Q272">
        <f t="shared" si="965"/>
        <v>108982486.67701854</v>
      </c>
      <c r="R272">
        <f t="shared" si="966"/>
        <v>-1515660079.20241</v>
      </c>
      <c r="S272">
        <f t="shared" si="967"/>
        <v>-15156.600792024099</v>
      </c>
      <c r="T272">
        <f t="shared" si="968"/>
        <v>-15.156600792024099</v>
      </c>
    </row>
    <row r="273" spans="1:20" x14ac:dyDescent="0.25">
      <c r="A273" s="5">
        <v>44320</v>
      </c>
      <c r="B273">
        <v>0.18318000000000001</v>
      </c>
      <c r="C273">
        <v>0.18362000000000001</v>
      </c>
      <c r="D273">
        <v>0.15897</v>
      </c>
      <c r="E273">
        <v>0.16081000000000001</v>
      </c>
      <c r="F273">
        <v>191297131.09999999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-0.85070993914807236</v>
      </c>
      <c r="Q273">
        <f t="shared" si="965"/>
        <v>-162738370.75728181</v>
      </c>
      <c r="R273">
        <f t="shared" si="966"/>
        <v>-1624642565.8794286</v>
      </c>
      <c r="S273">
        <f t="shared" si="967"/>
        <v>-16246.425658794285</v>
      </c>
      <c r="T273">
        <f t="shared" si="968"/>
        <v>-16.246425658794287</v>
      </c>
    </row>
    <row r="274" spans="1:20" x14ac:dyDescent="0.25">
      <c r="A274" s="5">
        <v>44319</v>
      </c>
      <c r="B274">
        <v>0.18853</v>
      </c>
      <c r="C274">
        <v>0.19699</v>
      </c>
      <c r="D274">
        <v>0.18074000000000001</v>
      </c>
      <c r="E274">
        <v>0.18329000000000001</v>
      </c>
      <c r="F274">
        <v>193221217.59999999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-0.68615384615384634</v>
      </c>
      <c r="Q274">
        <f t="shared" si="965"/>
        <v>-132579481.61476927</v>
      </c>
      <c r="R274">
        <f t="shared" si="966"/>
        <v>-1461904195.1221468</v>
      </c>
      <c r="S274">
        <f t="shared" si="967"/>
        <v>-14619.041951221468</v>
      </c>
      <c r="T274">
        <f t="shared" si="968"/>
        <v>-14.619041951221469</v>
      </c>
    </row>
    <row r="275" spans="1:20" x14ac:dyDescent="0.25">
      <c r="A275" s="5">
        <v>44318</v>
      </c>
      <c r="B275">
        <v>0.18404000000000001</v>
      </c>
      <c r="C275">
        <v>0.20416999999999999</v>
      </c>
      <c r="D275">
        <v>0.17185</v>
      </c>
      <c r="E275">
        <v>0.18840000000000001</v>
      </c>
      <c r="F275">
        <v>506443051.19999999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2.4133663366337592E-2</v>
      </c>
      <c r="Q275">
        <f t="shared" si="965"/>
        <v>12222326.111881673</v>
      </c>
      <c r="R275">
        <f t="shared" si="966"/>
        <v>-1329324713.5073776</v>
      </c>
      <c r="S275">
        <f t="shared" si="967"/>
        <v>-13293.247135073776</v>
      </c>
      <c r="T275">
        <f t="shared" si="968"/>
        <v>-13.293247135073775</v>
      </c>
    </row>
    <row r="276" spans="1:20" x14ac:dyDescent="0.25">
      <c r="A276" s="5">
        <v>44317</v>
      </c>
      <c r="B276">
        <v>0.17130999999999999</v>
      </c>
      <c r="C276">
        <v>0.19857</v>
      </c>
      <c r="D276">
        <v>0.17018</v>
      </c>
      <c r="E276">
        <v>0.18404000000000001</v>
      </c>
      <c r="F276">
        <v>459010649.10000002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-2.3599859105317936E-2</v>
      </c>
      <c r="Q276">
        <f t="shared" si="965"/>
        <v>-10832586.646600531</v>
      </c>
      <c r="R276">
        <f t="shared" si="966"/>
        <v>-1341547039.6192594</v>
      </c>
      <c r="S276">
        <f t="shared" si="967"/>
        <v>-13415.470396192593</v>
      </c>
      <c r="T276">
        <f t="shared" si="968"/>
        <v>-13.415470396192593</v>
      </c>
    </row>
    <row r="277" spans="1:20" x14ac:dyDescent="0.25">
      <c r="A277" s="5">
        <v>44316</v>
      </c>
      <c r="B277">
        <v>0.16377</v>
      </c>
      <c r="C277">
        <v>0.17580999999999999</v>
      </c>
      <c r="D277">
        <v>0.1598</v>
      </c>
      <c r="E277">
        <v>0.17149</v>
      </c>
      <c r="F277">
        <v>142318834.40000001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0.46033728919425465</v>
      </c>
      <c r="Q277">
        <f t="shared" si="965"/>
        <v>65514666.428982042</v>
      </c>
      <c r="R277">
        <f t="shared" si="966"/>
        <v>-1330714452.9726589</v>
      </c>
      <c r="S277">
        <f t="shared" si="967"/>
        <v>-13307.144529726589</v>
      </c>
      <c r="T277">
        <f t="shared" si="968"/>
        <v>-13.307144529726589</v>
      </c>
    </row>
    <row r="278" spans="1:20" x14ac:dyDescent="0.25">
      <c r="A278" s="5">
        <v>44315</v>
      </c>
      <c r="B278">
        <v>0.16399</v>
      </c>
      <c r="C278">
        <v>0.17111000000000001</v>
      </c>
      <c r="D278">
        <v>0.15670000000000001</v>
      </c>
      <c r="E278">
        <v>0.16384000000000001</v>
      </c>
      <c r="F278">
        <v>126405612.7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-9.0215128383061196E-3</v>
      </c>
      <c r="Q278">
        <f t="shared" si="965"/>
        <v>-1140369.8578070011</v>
      </c>
      <c r="R278">
        <f t="shared" si="966"/>
        <v>-1396229119.4016409</v>
      </c>
      <c r="S278">
        <f t="shared" si="967"/>
        <v>-13962.291194016409</v>
      </c>
      <c r="T278">
        <f t="shared" si="968"/>
        <v>-13.962291194016409</v>
      </c>
    </row>
    <row r="279" spans="1:20" x14ac:dyDescent="0.25">
      <c r="A279" s="5">
        <v>44314</v>
      </c>
      <c r="B279">
        <v>0.17030999999999999</v>
      </c>
      <c r="C279">
        <v>0.17776</v>
      </c>
      <c r="D279">
        <v>0.15701000000000001</v>
      </c>
      <c r="E279">
        <v>0.16405</v>
      </c>
      <c r="F279">
        <v>169432832.19999999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-0.32144578313253069</v>
      </c>
      <c r="Q279">
        <f t="shared" si="965"/>
        <v>-54463469.434891656</v>
      </c>
      <c r="R279">
        <f t="shared" si="966"/>
        <v>-1395088749.543834</v>
      </c>
      <c r="S279">
        <f t="shared" si="967"/>
        <v>-13950.887495438339</v>
      </c>
      <c r="T279">
        <f t="shared" si="968"/>
        <v>-13.950887495438339</v>
      </c>
    </row>
    <row r="280" spans="1:20" x14ac:dyDescent="0.25">
      <c r="A280" s="5">
        <v>44313</v>
      </c>
      <c r="B280">
        <v>0.15687999999999999</v>
      </c>
      <c r="C280">
        <v>0.17899000000000001</v>
      </c>
      <c r="D280">
        <v>0.15210000000000001</v>
      </c>
      <c r="E280">
        <v>0.17030999999999999</v>
      </c>
      <c r="F280">
        <v>353834156.80000001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0.3544068426924491</v>
      </c>
      <c r="Q280">
        <f t="shared" si="965"/>
        <v>125401246.34823297</v>
      </c>
      <c r="R280">
        <f t="shared" si="966"/>
        <v>-1340625280.1089423</v>
      </c>
      <c r="S280">
        <f t="shared" si="967"/>
        <v>-13406.252801089422</v>
      </c>
      <c r="T280">
        <f t="shared" si="968"/>
        <v>-13.406252801089423</v>
      </c>
    </row>
    <row r="281" spans="1:20" x14ac:dyDescent="0.25">
      <c r="A281" s="5">
        <v>44312</v>
      </c>
      <c r="B281">
        <v>0.12995999999999999</v>
      </c>
      <c r="C281">
        <v>0.16700000000000001</v>
      </c>
      <c r="D281">
        <v>0.12826000000000001</v>
      </c>
      <c r="E281">
        <v>0.15709000000000001</v>
      </c>
      <c r="F281">
        <v>452329533.5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0.48838409912235398</v>
      </c>
      <c r="Q281">
        <f t="shared" si="965"/>
        <v>220910551.72483215</v>
      </c>
      <c r="R281">
        <f t="shared" si="966"/>
        <v>-1466026526.4571753</v>
      </c>
      <c r="S281">
        <f t="shared" si="967"/>
        <v>-14660.265264571752</v>
      </c>
      <c r="T281">
        <f t="shared" si="968"/>
        <v>-14.660265264571752</v>
      </c>
    </row>
    <row r="282" spans="1:20" x14ac:dyDescent="0.25">
      <c r="A282" s="5">
        <v>44311</v>
      </c>
      <c r="B282">
        <v>0.13075000000000001</v>
      </c>
      <c r="C282">
        <v>0.14374999999999999</v>
      </c>
      <c r="D282">
        <v>0.12095</v>
      </c>
      <c r="E282">
        <v>0.12998999999999999</v>
      </c>
      <c r="F282">
        <v>177967711.30000001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-0.20701754385964932</v>
      </c>
      <c r="Q282">
        <f t="shared" si="965"/>
        <v>-36842438.479649164</v>
      </c>
      <c r="R282">
        <f t="shared" si="966"/>
        <v>-1686937078.1820073</v>
      </c>
      <c r="S282">
        <f t="shared" si="967"/>
        <v>-16869.370781820075</v>
      </c>
      <c r="T282">
        <f t="shared" si="968"/>
        <v>-16.869370781820074</v>
      </c>
    </row>
    <row r="283" spans="1:20" x14ac:dyDescent="0.25">
      <c r="A283" s="5">
        <v>44310</v>
      </c>
      <c r="B283">
        <v>0.14449000000000001</v>
      </c>
      <c r="C283">
        <v>0.1467</v>
      </c>
      <c r="D283">
        <v>0.12948999999999999</v>
      </c>
      <c r="E283">
        <v>0.13075999999999999</v>
      </c>
      <c r="F283">
        <v>220397315.59999999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-0.85241138872748479</v>
      </c>
      <c r="Q283">
        <f t="shared" si="965"/>
        <v>-187869181.86240575</v>
      </c>
      <c r="R283">
        <f t="shared" si="966"/>
        <v>-1650094639.7023582</v>
      </c>
      <c r="S283">
        <f t="shared" si="967"/>
        <v>-16500.946397023581</v>
      </c>
      <c r="T283">
        <f t="shared" si="968"/>
        <v>-16.500946397023583</v>
      </c>
    </row>
    <row r="284" spans="1:20" x14ac:dyDescent="0.25">
      <c r="A284" s="5">
        <v>44309</v>
      </c>
      <c r="B284">
        <v>0.15273999999999999</v>
      </c>
      <c r="C284">
        <v>0.15701000000000001</v>
      </c>
      <c r="D284">
        <v>0.11</v>
      </c>
      <c r="E284">
        <v>0.14466000000000001</v>
      </c>
      <c r="F284">
        <v>492410898.39999998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0.47457987662199541</v>
      </c>
      <c r="Q284">
        <f t="shared" si="965"/>
        <v>233688303.40999791</v>
      </c>
      <c r="R284">
        <f t="shared" si="966"/>
        <v>-1462225457.8399525</v>
      </c>
      <c r="S284">
        <f t="shared" si="967"/>
        <v>-14622.254578399525</v>
      </c>
      <c r="T284">
        <f t="shared" si="968"/>
        <v>-14.622254578399525</v>
      </c>
    </row>
    <row r="285" spans="1:20" x14ac:dyDescent="0.25">
      <c r="A285" s="5">
        <v>44308</v>
      </c>
      <c r="B285">
        <v>0.17222999999999999</v>
      </c>
      <c r="C285">
        <v>0.17816000000000001</v>
      </c>
      <c r="D285">
        <v>0.15034</v>
      </c>
      <c r="E285">
        <v>0.15273999999999999</v>
      </c>
      <c r="F285">
        <v>206758974.5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-0.82746225736880052</v>
      </c>
      <c r="Q285">
        <f t="shared" si="965"/>
        <v>-171085247.77102825</v>
      </c>
      <c r="R285">
        <f t="shared" si="966"/>
        <v>-1695913761.2499504</v>
      </c>
      <c r="S285">
        <f t="shared" si="967"/>
        <v>-16959.137612499504</v>
      </c>
      <c r="T285">
        <f t="shared" si="968"/>
        <v>-16.959137612499504</v>
      </c>
    </row>
    <row r="286" spans="1:20" x14ac:dyDescent="0.25">
      <c r="A286" s="5">
        <v>44307</v>
      </c>
      <c r="B286">
        <v>0.18182999999999999</v>
      </c>
      <c r="C286">
        <v>0.19045999999999999</v>
      </c>
      <c r="D286">
        <v>0.17008999999999999</v>
      </c>
      <c r="E286">
        <v>0.17224999999999999</v>
      </c>
      <c r="F286">
        <v>206890229.30000001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-0.78792341678939659</v>
      </c>
      <c r="Q286">
        <f t="shared" si="965"/>
        <v>-163013656.37039775</v>
      </c>
      <c r="R286">
        <f t="shared" si="966"/>
        <v>-1524828513.4789221</v>
      </c>
      <c r="S286">
        <f t="shared" si="967"/>
        <v>-15248.285134789221</v>
      </c>
      <c r="T286">
        <f t="shared" si="968"/>
        <v>-15.248285134789221</v>
      </c>
    </row>
    <row r="287" spans="1:20" x14ac:dyDescent="0.25">
      <c r="A287" s="5">
        <v>44306</v>
      </c>
      <c r="B287">
        <v>0.18303</v>
      </c>
      <c r="C287">
        <v>0.19489000000000001</v>
      </c>
      <c r="D287">
        <v>0.1598</v>
      </c>
      <c r="E287">
        <v>0.18185000000000001</v>
      </c>
      <c r="F287">
        <v>242815500.59999999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0.25676831005984657</v>
      </c>
      <c r="Q287">
        <f t="shared" si="965"/>
        <v>62347325.745397657</v>
      </c>
      <c r="R287">
        <f t="shared" si="966"/>
        <v>-1361814857.1085243</v>
      </c>
      <c r="S287">
        <f t="shared" si="967"/>
        <v>-13618.148571085243</v>
      </c>
      <c r="T287">
        <f t="shared" si="968"/>
        <v>-13.618148571085243</v>
      </c>
    </row>
    <row r="288" spans="1:20" x14ac:dyDescent="0.25">
      <c r="A288" s="5">
        <v>44305</v>
      </c>
      <c r="B288">
        <v>0.19667999999999999</v>
      </c>
      <c r="C288">
        <v>0.2099</v>
      </c>
      <c r="D288">
        <v>0.17699999999999999</v>
      </c>
      <c r="E288">
        <v>0.18307999999999999</v>
      </c>
      <c r="F288">
        <v>315078610.19999999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-0.63039513677811554</v>
      </c>
      <c r="Q288">
        <f t="shared" si="965"/>
        <v>-198624023.57288754</v>
      </c>
      <c r="R288">
        <f t="shared" si="966"/>
        <v>-1424162182.8539219</v>
      </c>
      <c r="S288">
        <f t="shared" si="967"/>
        <v>-14241.621828539219</v>
      </c>
      <c r="T288">
        <f t="shared" si="968"/>
        <v>-14.241621828539218</v>
      </c>
    </row>
    <row r="289" spans="1:20" x14ac:dyDescent="0.25">
      <c r="A289" s="5">
        <v>44304</v>
      </c>
      <c r="B289">
        <v>0.21509</v>
      </c>
      <c r="C289">
        <v>0.24779000000000001</v>
      </c>
      <c r="D289">
        <v>0.16794999999999999</v>
      </c>
      <c r="E289">
        <v>0.19647999999999999</v>
      </c>
      <c r="F289">
        <v>800388494.39999998</v>
      </c>
      <c r="G289">
        <v>0</v>
      </c>
      <c r="L289" t="s">
        <v>8</v>
      </c>
      <c r="M289" t="s">
        <v>8</v>
      </c>
      <c r="N289" t="s">
        <v>7</v>
      </c>
      <c r="P289">
        <f t="shared" si="964"/>
        <v>-0.28532064128256535</v>
      </c>
      <c r="Q289">
        <f t="shared" si="965"/>
        <v>-228367358.49739495</v>
      </c>
      <c r="R289">
        <f t="shared" si="966"/>
        <v>-1225538159.2810342</v>
      </c>
      <c r="S289">
        <f t="shared" si="967"/>
        <v>-12255.381592810343</v>
      </c>
      <c r="T289">
        <f t="shared" si="968"/>
        <v>-12.255381592810343</v>
      </c>
    </row>
    <row r="290" spans="1:20" x14ac:dyDescent="0.25">
      <c r="A290" s="5">
        <v>44303</v>
      </c>
      <c r="B290">
        <v>0.20194999999999999</v>
      </c>
      <c r="C290">
        <v>0.2399</v>
      </c>
      <c r="D290">
        <v>0.20041999999999999</v>
      </c>
      <c r="E290">
        <v>0.2152</v>
      </c>
      <c r="F290">
        <v>548660368.70000005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-0.25126646403242098</v>
      </c>
      <c r="Q290">
        <f t="shared" si="965"/>
        <v>-137859950.79797339</v>
      </c>
      <c r="R290">
        <f t="shared" si="966"/>
        <v>-997170800.78363919</v>
      </c>
      <c r="S290">
        <f t="shared" si="967"/>
        <v>-9971.7080078363924</v>
      </c>
      <c r="T290">
        <f t="shared" si="968"/>
        <v>-9.9717080078363924</v>
      </c>
    </row>
    <row r="291" spans="1:20" x14ac:dyDescent="0.25">
      <c r="A291" s="5">
        <v>44302</v>
      </c>
      <c r="B291">
        <v>0.22170000000000001</v>
      </c>
      <c r="C291">
        <v>0.2235</v>
      </c>
      <c r="D291">
        <v>0.19087000000000001</v>
      </c>
      <c r="E291">
        <v>0.20188999999999999</v>
      </c>
      <c r="F291">
        <v>412305400.89999998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-0.3245479619981626</v>
      </c>
      <c r="Q291">
        <f t="shared" si="965"/>
        <v>-133812877.58293039</v>
      </c>
      <c r="R291">
        <f t="shared" si="966"/>
        <v>-859310849.9856658</v>
      </c>
      <c r="S291">
        <f t="shared" si="967"/>
        <v>-8593.1084998566585</v>
      </c>
      <c r="T291">
        <f t="shared" si="968"/>
        <v>-8.5931084998566583</v>
      </c>
    </row>
    <row r="292" spans="1:20" x14ac:dyDescent="0.25">
      <c r="A292" s="5">
        <v>44301</v>
      </c>
      <c r="B292">
        <v>0.23458000000000001</v>
      </c>
      <c r="C292">
        <v>0.23849000000000001</v>
      </c>
      <c r="D292">
        <v>0.21179999999999999</v>
      </c>
      <c r="E292">
        <v>0.22170999999999999</v>
      </c>
      <c r="F292">
        <v>638986174.20000005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-0.25739977519670326</v>
      </c>
      <c r="Q292">
        <f t="shared" si="965"/>
        <v>-164474897.59288147</v>
      </c>
      <c r="R292">
        <f t="shared" si="966"/>
        <v>-725497972.40273547</v>
      </c>
      <c r="S292">
        <f t="shared" si="967"/>
        <v>-7254.9797240273547</v>
      </c>
      <c r="T292">
        <f t="shared" si="968"/>
        <v>-7.254979724027355</v>
      </c>
    </row>
    <row r="293" spans="1:20" x14ac:dyDescent="0.25">
      <c r="A293" s="5">
        <v>44300</v>
      </c>
      <c r="B293">
        <v>0.19214000000000001</v>
      </c>
      <c r="C293">
        <v>0.26490000000000002</v>
      </c>
      <c r="D293">
        <v>0.19</v>
      </c>
      <c r="E293">
        <v>0.23491999999999999</v>
      </c>
      <c r="F293">
        <v>1789535546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0.19946595460614083</v>
      </c>
      <c r="Q293">
        <f t="shared" si="965"/>
        <v>356951415.98451144</v>
      </c>
      <c r="R293">
        <f t="shared" si="966"/>
        <v>-561023074.80985403</v>
      </c>
      <c r="S293">
        <f t="shared" si="967"/>
        <v>-5610.2307480985401</v>
      </c>
      <c r="T293">
        <f t="shared" si="968"/>
        <v>-5.6102307480985401</v>
      </c>
    </row>
    <row r="294" spans="1:20" x14ac:dyDescent="0.25">
      <c r="A294" s="5">
        <v>44299</v>
      </c>
      <c r="B294">
        <v>0.18615999999999999</v>
      </c>
      <c r="C294">
        <v>0.19500000000000001</v>
      </c>
      <c r="D294">
        <v>0.18307999999999999</v>
      </c>
      <c r="E294">
        <v>0.19214000000000001</v>
      </c>
      <c r="F294">
        <v>172917077.30000001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0.52013422818791977</v>
      </c>
      <c r="Q294">
        <f t="shared" si="965"/>
        <v>89940090.541946366</v>
      </c>
      <c r="R294">
        <f t="shared" si="966"/>
        <v>-917974490.79436541</v>
      </c>
      <c r="S294">
        <f t="shared" si="967"/>
        <v>-9179.7449079436537</v>
      </c>
      <c r="T294">
        <f t="shared" si="968"/>
        <v>-9.1797449079436539</v>
      </c>
    </row>
    <row r="295" spans="1:20" x14ac:dyDescent="0.25">
      <c r="A295" s="5">
        <v>44298</v>
      </c>
      <c r="B295">
        <v>0.1867</v>
      </c>
      <c r="C295">
        <v>0.19008</v>
      </c>
      <c r="D295">
        <v>0.18279999999999999</v>
      </c>
      <c r="E295">
        <v>0.18622</v>
      </c>
      <c r="F295">
        <v>129088013.09999999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-6.0439560439559809E-2</v>
      </c>
      <c r="Q295">
        <f t="shared" si="965"/>
        <v>-7802022.7697801376</v>
      </c>
      <c r="R295">
        <f t="shared" si="966"/>
        <v>-1007914581.3363118</v>
      </c>
      <c r="S295">
        <f t="shared" si="967"/>
        <v>-10079.145813363119</v>
      </c>
      <c r="T295">
        <f t="shared" si="968"/>
        <v>-10.079145813363118</v>
      </c>
    </row>
    <row r="296" spans="1:20" x14ac:dyDescent="0.25">
      <c r="A296" s="5">
        <v>44297</v>
      </c>
      <c r="B296">
        <v>0.18847</v>
      </c>
      <c r="C296">
        <v>0.19294</v>
      </c>
      <c r="D296">
        <v>0.18060000000000001</v>
      </c>
      <c r="E296">
        <v>0.18676999999999999</v>
      </c>
      <c r="F296">
        <v>189002840.59999999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-2.2492362735517777E-15</v>
      </c>
      <c r="Q296">
        <f t="shared" si="965"/>
        <v>-4.251120448818446E-7</v>
      </c>
      <c r="R296">
        <f t="shared" si="966"/>
        <v>-1000112558.5665317</v>
      </c>
      <c r="S296">
        <f t="shared" si="967"/>
        <v>-10001.125585665317</v>
      </c>
      <c r="T296">
        <f t="shared" si="968"/>
        <v>-10.001125585665317</v>
      </c>
    </row>
    <row r="297" spans="1:20" x14ac:dyDescent="0.25">
      <c r="A297" s="5">
        <v>44296</v>
      </c>
      <c r="B297">
        <v>0.18812000000000001</v>
      </c>
      <c r="C297">
        <v>0.19474</v>
      </c>
      <c r="D297">
        <v>0.18540000000000001</v>
      </c>
      <c r="E297">
        <v>0.18858</v>
      </c>
      <c r="F297">
        <v>184137062.19999999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-0.31905781584582599</v>
      </c>
      <c r="Q297">
        <f t="shared" si="965"/>
        <v>-58750368.881799005</v>
      </c>
      <c r="R297">
        <f t="shared" si="966"/>
        <v>-1000112558.5665312</v>
      </c>
      <c r="S297">
        <f t="shared" si="967"/>
        <v>-10001.125585665312</v>
      </c>
      <c r="T297">
        <f t="shared" si="968"/>
        <v>-10.001125585665312</v>
      </c>
    </row>
    <row r="298" spans="1:20" x14ac:dyDescent="0.25">
      <c r="A298" s="5">
        <v>44295</v>
      </c>
      <c r="B298">
        <v>0.18493000000000001</v>
      </c>
      <c r="C298">
        <v>0.19886999999999999</v>
      </c>
      <c r="D298">
        <v>0.18459999999999999</v>
      </c>
      <c r="E298">
        <v>0.18798000000000001</v>
      </c>
      <c r="F298">
        <v>249960084.5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-0.52627890679747436</v>
      </c>
      <c r="Q298">
        <f t="shared" si="965"/>
        <v>-131548720.01366432</v>
      </c>
      <c r="R298">
        <f t="shared" si="966"/>
        <v>-941362189.6847322</v>
      </c>
      <c r="S298">
        <f t="shared" si="967"/>
        <v>-9413.6218968473222</v>
      </c>
      <c r="T298">
        <f t="shared" si="968"/>
        <v>-9.4136218968473226</v>
      </c>
    </row>
    <row r="299" spans="1:20" x14ac:dyDescent="0.25">
      <c r="A299" s="5">
        <v>44294</v>
      </c>
      <c r="B299">
        <v>0.17898</v>
      </c>
      <c r="C299">
        <v>0.18823999999999999</v>
      </c>
      <c r="D299">
        <v>0.17745</v>
      </c>
      <c r="E299">
        <v>0.18506</v>
      </c>
      <c r="F299">
        <v>182021479.09999999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0.41056533827618347</v>
      </c>
      <c r="Q299">
        <f t="shared" si="965"/>
        <v>74731710.140222758</v>
      </c>
      <c r="R299">
        <f t="shared" si="966"/>
        <v>-809813469.67106783</v>
      </c>
      <c r="S299">
        <f t="shared" si="967"/>
        <v>-8098.1346967106783</v>
      </c>
      <c r="T299">
        <f t="shared" si="968"/>
        <v>-8.0981346967106784</v>
      </c>
    </row>
    <row r="300" spans="1:20" x14ac:dyDescent="0.25">
      <c r="A300" s="5">
        <v>44293</v>
      </c>
      <c r="B300">
        <v>0.18625</v>
      </c>
      <c r="C300">
        <v>0.18770000000000001</v>
      </c>
      <c r="D300">
        <v>0.16811999999999999</v>
      </c>
      <c r="E300">
        <v>0.17899000000000001</v>
      </c>
      <c r="F300">
        <v>210665881.69999999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0.11031664964249344</v>
      </c>
      <c r="Q300">
        <f t="shared" si="965"/>
        <v>23239954.263125867</v>
      </c>
      <c r="R300">
        <f t="shared" si="966"/>
        <v>-884545179.81129062</v>
      </c>
      <c r="S300">
        <f t="shared" si="967"/>
        <v>-8845.4517981129065</v>
      </c>
      <c r="T300">
        <f t="shared" si="968"/>
        <v>-8.8454517981129062</v>
      </c>
    </row>
    <row r="301" spans="1:20" x14ac:dyDescent="0.25">
      <c r="A301" s="5">
        <v>44292</v>
      </c>
      <c r="B301">
        <v>0.19547</v>
      </c>
      <c r="C301">
        <v>0.19678000000000001</v>
      </c>
      <c r="D301">
        <v>0.18079000000000001</v>
      </c>
      <c r="E301">
        <v>0.18626999999999999</v>
      </c>
      <c r="F301">
        <v>260105963.90000001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-0.31457160725453615</v>
      </c>
      <c r="Q301">
        <f t="shared" si="965"/>
        <v>-81821951.120513365</v>
      </c>
      <c r="R301">
        <f t="shared" si="966"/>
        <v>-907785134.07441652</v>
      </c>
      <c r="S301">
        <f t="shared" si="967"/>
        <v>-9077.851340744166</v>
      </c>
      <c r="T301">
        <f t="shared" si="968"/>
        <v>-9.0778513407441661</v>
      </c>
    </row>
    <row r="302" spans="1:20" x14ac:dyDescent="0.25">
      <c r="A302" s="5">
        <v>44291</v>
      </c>
      <c r="B302">
        <v>0.18645</v>
      </c>
      <c r="C302">
        <v>0.21301999999999999</v>
      </c>
      <c r="D302">
        <v>0.18</v>
      </c>
      <c r="E302">
        <v>0.19570000000000001</v>
      </c>
      <c r="F302">
        <v>435645115.5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-4.9061175045425655E-2</v>
      </c>
      <c r="Q302">
        <f t="shared" si="965"/>
        <v>-21373261.269230176</v>
      </c>
      <c r="R302">
        <f t="shared" si="966"/>
        <v>-825963182.9539032</v>
      </c>
      <c r="S302">
        <f t="shared" si="967"/>
        <v>-8259.631829539032</v>
      </c>
      <c r="T302">
        <f t="shared" si="968"/>
        <v>-8.2596318295390319</v>
      </c>
    </row>
    <row r="303" spans="1:20" x14ac:dyDescent="0.25">
      <c r="A303" s="5">
        <v>44290</v>
      </c>
      <c r="B303">
        <v>0.182</v>
      </c>
      <c r="C303">
        <v>0.19388</v>
      </c>
      <c r="D303">
        <v>0.18006</v>
      </c>
      <c r="E303">
        <v>0.18645</v>
      </c>
      <c r="F303">
        <v>164454693.19999999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-7.525325615050546E-2</v>
      </c>
      <c r="Q303">
        <f t="shared" si="965"/>
        <v>-12375751.152532388</v>
      </c>
      <c r="R303">
        <f t="shared" si="966"/>
        <v>-804589921.68467307</v>
      </c>
      <c r="S303">
        <f t="shared" si="967"/>
        <v>-8045.8992168467303</v>
      </c>
      <c r="T303">
        <f t="shared" si="968"/>
        <v>-8.0458992168467312</v>
      </c>
    </row>
    <row r="304" spans="1:20" x14ac:dyDescent="0.25">
      <c r="A304" s="5">
        <v>44289</v>
      </c>
      <c r="B304">
        <v>0.19248999999999999</v>
      </c>
      <c r="C304">
        <v>0.19500000000000001</v>
      </c>
      <c r="D304">
        <v>0.18</v>
      </c>
      <c r="E304">
        <v>0.18218999999999999</v>
      </c>
      <c r="F304">
        <v>195221274.80000001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-0.70800000000000063</v>
      </c>
      <c r="Q304">
        <f t="shared" si="965"/>
        <v>-138216662.55840012</v>
      </c>
      <c r="R304">
        <f t="shared" si="966"/>
        <v>-792214170.53214073</v>
      </c>
      <c r="S304">
        <f t="shared" si="967"/>
        <v>-7922.1417053214072</v>
      </c>
      <c r="T304">
        <f t="shared" si="968"/>
        <v>-7.9221417053214074</v>
      </c>
    </row>
    <row r="305" spans="1:20" x14ac:dyDescent="0.25">
      <c r="A305" s="5">
        <v>44288</v>
      </c>
      <c r="B305">
        <v>0.19297</v>
      </c>
      <c r="C305">
        <v>0.19944999999999999</v>
      </c>
      <c r="D305">
        <v>0.19026999999999999</v>
      </c>
      <c r="E305">
        <v>0.19253999999999999</v>
      </c>
      <c r="F305">
        <v>162639868.69999999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-0.50544662309368282</v>
      </c>
      <c r="Q305">
        <f t="shared" si="965"/>
        <v>-82205772.414814949</v>
      </c>
      <c r="R305">
        <f t="shared" si="966"/>
        <v>-653997507.97374058</v>
      </c>
      <c r="S305">
        <f t="shared" si="967"/>
        <v>-6539.9750797374054</v>
      </c>
      <c r="T305">
        <f t="shared" si="968"/>
        <v>-6.5399750797374052</v>
      </c>
    </row>
    <row r="306" spans="1:20" x14ac:dyDescent="0.25">
      <c r="A306" s="5">
        <v>44287</v>
      </c>
      <c r="B306">
        <v>0.18815999999999999</v>
      </c>
      <c r="C306">
        <v>0.20485999999999999</v>
      </c>
      <c r="D306">
        <v>0.18328</v>
      </c>
      <c r="E306">
        <v>0.19273999999999999</v>
      </c>
      <c r="F306">
        <v>197817935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-0.12326227988878578</v>
      </c>
      <c r="Q306">
        <f t="shared" si="965"/>
        <v>-24383489.670991633</v>
      </c>
      <c r="R306">
        <f t="shared" si="966"/>
        <v>-571791735.55892563</v>
      </c>
      <c r="S306">
        <f t="shared" si="967"/>
        <v>-5717.9173555892567</v>
      </c>
      <c r="T306">
        <f t="shared" si="968"/>
        <v>-5.7179173555892566</v>
      </c>
    </row>
    <row r="307" spans="1:20" x14ac:dyDescent="0.25">
      <c r="A307" s="5">
        <v>44286</v>
      </c>
      <c r="B307">
        <v>0.19478999999999999</v>
      </c>
      <c r="C307">
        <v>0.19545999999999999</v>
      </c>
      <c r="D307">
        <v>0.18001</v>
      </c>
      <c r="E307">
        <v>0.18806999999999999</v>
      </c>
      <c r="F307">
        <v>150440503.30000001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4.3365695792878738E-2</v>
      </c>
      <c r="Q307">
        <f t="shared" si="965"/>
        <v>6523957.1010353705</v>
      </c>
      <c r="R307">
        <f t="shared" si="966"/>
        <v>-547408245.88793397</v>
      </c>
      <c r="S307">
        <f t="shared" si="967"/>
        <v>-5474.0824588793394</v>
      </c>
      <c r="T307">
        <f t="shared" si="968"/>
        <v>-5.4740824588793391</v>
      </c>
    </row>
    <row r="308" spans="1:20" x14ac:dyDescent="0.25">
      <c r="A308" s="5">
        <v>44285</v>
      </c>
      <c r="B308">
        <v>0.20032</v>
      </c>
      <c r="C308">
        <v>0.2029</v>
      </c>
      <c r="D308">
        <v>0.19117999999999999</v>
      </c>
      <c r="E308">
        <v>0.19470999999999999</v>
      </c>
      <c r="F308">
        <v>155193928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-0.39761092150170602</v>
      </c>
      <c r="Q308">
        <f t="shared" si="965"/>
        <v>-61706800.723549418</v>
      </c>
      <c r="R308">
        <f t="shared" si="966"/>
        <v>-553932202.98896933</v>
      </c>
      <c r="S308">
        <f t="shared" si="967"/>
        <v>-5539.3220298896931</v>
      </c>
      <c r="T308">
        <f t="shared" si="968"/>
        <v>-5.5393220298896928</v>
      </c>
    </row>
    <row r="309" spans="1:20" x14ac:dyDescent="0.25">
      <c r="A309" s="5">
        <v>44284</v>
      </c>
      <c r="B309">
        <v>0.19994000000000001</v>
      </c>
      <c r="C309">
        <v>0.20507</v>
      </c>
      <c r="D309">
        <v>0.19672999999999999</v>
      </c>
      <c r="E309">
        <v>0.20019999999999999</v>
      </c>
      <c r="F309">
        <v>128132644.40000001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-0.16786570743405396</v>
      </c>
      <c r="Q309">
        <f t="shared" si="965"/>
        <v>-21509076.997602075</v>
      </c>
      <c r="R309">
        <f t="shared" si="966"/>
        <v>-492225402.26541996</v>
      </c>
      <c r="S309">
        <f t="shared" si="967"/>
        <v>-4922.2540226541996</v>
      </c>
      <c r="T309">
        <f t="shared" si="968"/>
        <v>-4.9222540226542</v>
      </c>
    </row>
    <row r="310" spans="1:20" x14ac:dyDescent="0.25">
      <c r="A310" s="5">
        <v>44283</v>
      </c>
      <c r="B310">
        <v>0.20216999999999999</v>
      </c>
      <c r="C310">
        <v>0.20813000000000001</v>
      </c>
      <c r="D310">
        <v>0.19420000000000001</v>
      </c>
      <c r="E310">
        <v>0.19994000000000001</v>
      </c>
      <c r="F310">
        <v>167299639.5</v>
      </c>
      <c r="G310">
        <v>0</v>
      </c>
      <c r="L310" t="s">
        <v>7</v>
      </c>
      <c r="M310" t="s">
        <v>8</v>
      </c>
      <c r="N310" t="s">
        <v>7</v>
      </c>
      <c r="P310">
        <f t="shared" si="964"/>
        <v>-0.17587939698492519</v>
      </c>
      <c r="Q310">
        <f t="shared" si="965"/>
        <v>-29424559.711055372</v>
      </c>
      <c r="R310">
        <f t="shared" si="966"/>
        <v>-470716325.26781785</v>
      </c>
      <c r="S310">
        <f t="shared" si="967"/>
        <v>-4707.1632526781787</v>
      </c>
      <c r="T310">
        <f t="shared" si="968"/>
        <v>-4.7071632526781784</v>
      </c>
    </row>
    <row r="311" spans="1:20" x14ac:dyDescent="0.25">
      <c r="A311" s="5">
        <v>44282</v>
      </c>
      <c r="B311">
        <v>0.20111999999999999</v>
      </c>
      <c r="C311">
        <v>0.22600000000000001</v>
      </c>
      <c r="D311">
        <v>0.19267000000000001</v>
      </c>
      <c r="E311">
        <v>0.20216000000000001</v>
      </c>
      <c r="F311">
        <v>267641074.90000001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-0.43054305430543061</v>
      </c>
      <c r="Q311">
        <f t="shared" si="965"/>
        <v>-115231005.84503452</v>
      </c>
      <c r="R311">
        <f t="shared" si="966"/>
        <v>-441291765.55676246</v>
      </c>
      <c r="S311">
        <f t="shared" si="967"/>
        <v>-4412.9176555676249</v>
      </c>
      <c r="T311">
        <f t="shared" si="968"/>
        <v>-4.4129176555676253</v>
      </c>
    </row>
    <row r="312" spans="1:20" x14ac:dyDescent="0.25">
      <c r="A312" s="5">
        <v>44281</v>
      </c>
      <c r="B312">
        <v>0.18928</v>
      </c>
      <c r="C312">
        <v>0.20250000000000001</v>
      </c>
      <c r="D312">
        <v>0.18908</v>
      </c>
      <c r="E312">
        <v>0.20125000000000001</v>
      </c>
      <c r="F312">
        <v>79295577.700000003</v>
      </c>
      <c r="G312">
        <v>0</v>
      </c>
      <c r="L312" t="s">
        <v>7</v>
      </c>
      <c r="M312" t="s">
        <v>7</v>
      </c>
      <c r="N312" t="s">
        <v>7</v>
      </c>
      <c r="P312">
        <f t="shared" si="964"/>
        <v>0.8137108792846498</v>
      </c>
      <c r="Q312">
        <f t="shared" si="965"/>
        <v>64523674.253651269</v>
      </c>
      <c r="R312">
        <f t="shared" si="966"/>
        <v>-326060759.71172792</v>
      </c>
      <c r="S312">
        <f t="shared" si="967"/>
        <v>-3260.6075971172791</v>
      </c>
      <c r="T312">
        <f t="shared" si="968"/>
        <v>-3.260607597117279</v>
      </c>
    </row>
    <row r="313" spans="1:20" x14ac:dyDescent="0.25">
      <c r="A313" s="5">
        <v>44280</v>
      </c>
      <c r="B313">
        <v>0.18915000000000001</v>
      </c>
      <c r="C313">
        <v>0.20164000000000001</v>
      </c>
      <c r="D313">
        <v>0.18434</v>
      </c>
      <c r="E313">
        <v>0.189</v>
      </c>
      <c r="F313">
        <v>183746825.40000001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-0.46127167630057864</v>
      </c>
      <c r="Q313">
        <f t="shared" si="965"/>
        <v>-84757206.167167738</v>
      </c>
      <c r="R313">
        <f t="shared" si="966"/>
        <v>-390584433.96537918</v>
      </c>
      <c r="S313">
        <f t="shared" si="967"/>
        <v>-3905.8443396537918</v>
      </c>
      <c r="T313">
        <f t="shared" si="968"/>
        <v>-3.9058443396537919</v>
      </c>
    </row>
    <row r="314" spans="1:20" x14ac:dyDescent="0.25">
      <c r="A314" s="5">
        <v>44279</v>
      </c>
      <c r="B314">
        <v>0.19331999999999999</v>
      </c>
      <c r="C314">
        <v>0.20630999999999999</v>
      </c>
      <c r="D314">
        <v>0.1832</v>
      </c>
      <c r="E314">
        <v>0.18915000000000001</v>
      </c>
      <c r="F314">
        <v>161224463.80000001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-0.48507139766334806</v>
      </c>
      <c r="Q314">
        <f t="shared" si="965"/>
        <v>-78205375.992989868</v>
      </c>
      <c r="R314">
        <f t="shared" si="966"/>
        <v>-305827227.79821146</v>
      </c>
      <c r="S314">
        <f t="shared" si="967"/>
        <v>-3058.2722779821147</v>
      </c>
      <c r="T314">
        <f t="shared" si="968"/>
        <v>-3.0582722779821148</v>
      </c>
    </row>
    <row r="315" spans="1:20" x14ac:dyDescent="0.25">
      <c r="A315" s="5">
        <v>44278</v>
      </c>
      <c r="B315">
        <v>0.19907</v>
      </c>
      <c r="C315">
        <v>0.21052999999999999</v>
      </c>
      <c r="D315">
        <v>0.188</v>
      </c>
      <c r="E315">
        <v>0.19364000000000001</v>
      </c>
      <c r="F315">
        <v>222407059.19999999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-0.49933422103861452</v>
      </c>
      <c r="Q315">
        <f t="shared" si="965"/>
        <v>-111055455.65912102</v>
      </c>
      <c r="R315">
        <f t="shared" si="966"/>
        <v>-227621851.80522159</v>
      </c>
      <c r="S315">
        <f t="shared" si="967"/>
        <v>-2276.218518052216</v>
      </c>
      <c r="T315">
        <f t="shared" si="968"/>
        <v>-2.2762185180522159</v>
      </c>
    </row>
    <row r="316" spans="1:20" x14ac:dyDescent="0.25">
      <c r="A316" s="5">
        <v>44277</v>
      </c>
      <c r="B316">
        <v>0.21731</v>
      </c>
      <c r="C316">
        <v>0.22439999999999999</v>
      </c>
      <c r="D316">
        <v>0.18698000000000001</v>
      </c>
      <c r="E316">
        <v>0.19905999999999999</v>
      </c>
      <c r="F316">
        <v>227715619.90000001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-0.35435595938001146</v>
      </c>
      <c r="Q316">
        <f t="shared" si="965"/>
        <v>-80692386.955478534</v>
      </c>
      <c r="R316">
        <f t="shared" si="966"/>
        <v>-116566396.14610057</v>
      </c>
      <c r="S316">
        <f t="shared" si="967"/>
        <v>-1165.6639614610056</v>
      </c>
      <c r="T316">
        <f t="shared" si="968"/>
        <v>-1.1656639614610056</v>
      </c>
    </row>
    <row r="317" spans="1:20" x14ac:dyDescent="0.25">
      <c r="A317" s="5">
        <v>44276</v>
      </c>
      <c r="B317">
        <v>0.21828</v>
      </c>
      <c r="C317">
        <v>0.23899999999999999</v>
      </c>
      <c r="D317">
        <v>0.21149999999999999</v>
      </c>
      <c r="E317">
        <v>0.21729000000000001</v>
      </c>
      <c r="F317">
        <v>398520315.19999999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-0.5789090909090896</v>
      </c>
      <c r="Q317">
        <f t="shared" si="965"/>
        <v>-230707033.38123584</v>
      </c>
      <c r="R317">
        <f t="shared" si="966"/>
        <v>-35874009.190622032</v>
      </c>
      <c r="S317">
        <f t="shared" si="967"/>
        <v>-358.7400919062203</v>
      </c>
      <c r="T317">
        <f t="shared" si="968"/>
        <v>-0.3587400919062203</v>
      </c>
    </row>
    <row r="318" spans="1:20" x14ac:dyDescent="0.25">
      <c r="A318" s="5">
        <v>44275</v>
      </c>
      <c r="B318">
        <v>0.21201</v>
      </c>
      <c r="C318">
        <v>0.24870999999999999</v>
      </c>
      <c r="D318">
        <v>0.20930000000000001</v>
      </c>
      <c r="E318">
        <v>0.21809999999999999</v>
      </c>
      <c r="F318">
        <v>477062433.5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-0.55341283938086883</v>
      </c>
      <c r="Q318">
        <f t="shared" si="965"/>
        <v>-264012475.8851819</v>
      </c>
      <c r="R318">
        <f t="shared" si="966"/>
        <v>194833024.19061381</v>
      </c>
      <c r="S318">
        <f t="shared" si="967"/>
        <v>1948.3302419061381</v>
      </c>
      <c r="T318">
        <f t="shared" si="968"/>
        <v>1.9483302419061381</v>
      </c>
    </row>
    <row r="319" spans="1:20" x14ac:dyDescent="0.25">
      <c r="A319" s="5">
        <v>44274</v>
      </c>
      <c r="B319">
        <v>0.20991000000000001</v>
      </c>
      <c r="C319">
        <v>0.22489000000000001</v>
      </c>
      <c r="D319">
        <v>0.20161999999999999</v>
      </c>
      <c r="E319">
        <v>0.21182999999999999</v>
      </c>
      <c r="F319">
        <v>169961731.90000001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-0.12247529007305619</v>
      </c>
      <c r="Q319">
        <f t="shared" si="965"/>
        <v>-20816112.415771507</v>
      </c>
      <c r="R319">
        <f t="shared" si="966"/>
        <v>458845500.07579571</v>
      </c>
      <c r="S319">
        <f t="shared" si="967"/>
        <v>4588.4550007579574</v>
      </c>
      <c r="T319">
        <f t="shared" si="968"/>
        <v>4.588455000757957</v>
      </c>
    </row>
    <row r="320" spans="1:20" x14ac:dyDescent="0.25">
      <c r="A320" s="5">
        <v>44273</v>
      </c>
      <c r="B320">
        <v>0.21992</v>
      </c>
      <c r="C320">
        <v>0.22670000000000001</v>
      </c>
      <c r="D320">
        <v>0.20663000000000001</v>
      </c>
      <c r="E320">
        <v>0.20968999999999999</v>
      </c>
      <c r="F320">
        <v>204419519.09999999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-0.69506726457399315</v>
      </c>
      <c r="Q320">
        <f t="shared" si="965"/>
        <v>-142085315.96636814</v>
      </c>
      <c r="R320">
        <f t="shared" si="966"/>
        <v>479661612.49156719</v>
      </c>
      <c r="S320">
        <f t="shared" si="967"/>
        <v>4796.6161249156721</v>
      </c>
      <c r="T320">
        <f t="shared" si="968"/>
        <v>4.7966161249156718</v>
      </c>
    </row>
    <row r="321" spans="1:20" x14ac:dyDescent="0.25">
      <c r="A321" s="5">
        <v>44272</v>
      </c>
      <c r="B321">
        <v>0.22165000000000001</v>
      </c>
      <c r="C321">
        <v>0.23871999999999999</v>
      </c>
      <c r="D321">
        <v>0.21185999999999999</v>
      </c>
      <c r="E321">
        <v>0.22006000000000001</v>
      </c>
      <c r="F321">
        <v>425858186.80000001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-0.38942665673864374</v>
      </c>
      <c r="Q321">
        <f t="shared" si="965"/>
        <v>-165840529.93030483</v>
      </c>
      <c r="R321">
        <f t="shared" si="966"/>
        <v>621746928.45793533</v>
      </c>
      <c r="S321">
        <f t="shared" si="967"/>
        <v>6217.4692845793534</v>
      </c>
      <c r="T321">
        <f t="shared" si="968"/>
        <v>6.2174692845793533</v>
      </c>
    </row>
    <row r="322" spans="1:20" x14ac:dyDescent="0.25">
      <c r="A322" s="5">
        <v>44271</v>
      </c>
      <c r="B322">
        <v>0.21761</v>
      </c>
      <c r="C322">
        <v>0.27289999999999998</v>
      </c>
      <c r="D322">
        <v>0.20304</v>
      </c>
      <c r="E322">
        <v>0.22165000000000001</v>
      </c>
      <c r="F322">
        <v>1215520038.0999999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-0.46722015459490346</v>
      </c>
      <c r="Q322">
        <f t="shared" si="965"/>
        <v>-567915460.11428487</v>
      </c>
      <c r="R322">
        <f t="shared" si="966"/>
        <v>787587458.38824022</v>
      </c>
      <c r="S322">
        <f t="shared" si="967"/>
        <v>7875.8745838824025</v>
      </c>
      <c r="T322">
        <f t="shared" si="968"/>
        <v>7.8758745838824025</v>
      </c>
    </row>
    <row r="323" spans="1:20" x14ac:dyDescent="0.25">
      <c r="A323" s="5">
        <v>44270</v>
      </c>
      <c r="B323">
        <v>0.17956</v>
      </c>
      <c r="C323">
        <v>0.26768999999999998</v>
      </c>
      <c r="D323">
        <v>0.17938999999999999</v>
      </c>
      <c r="E323">
        <v>0.21765000000000001</v>
      </c>
      <c r="F323">
        <v>957645301.70000005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-0.13340883352208333</v>
      </c>
      <c r="Q323">
        <f t="shared" si="965"/>
        <v>-127758342.62770057</v>
      </c>
      <c r="R323">
        <f t="shared" si="966"/>
        <v>1355502918.5025251</v>
      </c>
      <c r="S323">
        <f t="shared" si="967"/>
        <v>13555.029185025251</v>
      </c>
      <c r="T323">
        <f t="shared" si="968"/>
        <v>13.555029185025251</v>
      </c>
    </row>
    <row r="324" spans="1:20" x14ac:dyDescent="0.25">
      <c r="A324" s="5">
        <v>44269</v>
      </c>
      <c r="B324">
        <v>0.19125</v>
      </c>
      <c r="C324">
        <v>0.19283</v>
      </c>
      <c r="D324">
        <v>0.17731</v>
      </c>
      <c r="E324">
        <v>0.17987</v>
      </c>
      <c r="F324">
        <v>129099980.2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-0.67010309278350444</v>
      </c>
      <c r="Q324">
        <f t="shared" si="965"/>
        <v>-86510296.01030919</v>
      </c>
      <c r="R324">
        <f t="shared" si="966"/>
        <v>1483261261.1302257</v>
      </c>
      <c r="S324">
        <f t="shared" si="967"/>
        <v>14832.612611302256</v>
      </c>
      <c r="T324">
        <f t="shared" si="968"/>
        <v>14.832612611302256</v>
      </c>
    </row>
    <row r="325" spans="1:20" x14ac:dyDescent="0.25">
      <c r="A325" s="5">
        <v>44268</v>
      </c>
      <c r="B325">
        <v>0.18453</v>
      </c>
      <c r="C325">
        <v>0.2</v>
      </c>
      <c r="D325">
        <v>0.18204999999999999</v>
      </c>
      <c r="E325">
        <v>0.19112000000000001</v>
      </c>
      <c r="F325">
        <v>269341283.80000001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1.0584958217271491E-2</v>
      </c>
      <c r="Q325">
        <f t="shared" si="965"/>
        <v>2850966.2352092629</v>
      </c>
      <c r="R325">
        <f t="shared" si="966"/>
        <v>1569771557.1405349</v>
      </c>
      <c r="S325">
        <f t="shared" si="967"/>
        <v>15697.715571405348</v>
      </c>
      <c r="T325">
        <f t="shared" si="968"/>
        <v>15.697715571405348</v>
      </c>
    </row>
    <row r="326" spans="1:20" x14ac:dyDescent="0.25">
      <c r="A326" s="5">
        <v>44267</v>
      </c>
      <c r="B326">
        <v>0.18140000000000001</v>
      </c>
      <c r="C326">
        <v>0.19666</v>
      </c>
      <c r="D326">
        <v>0.17768</v>
      </c>
      <c r="E326">
        <v>0.18484999999999999</v>
      </c>
      <c r="F326">
        <v>352264600.10000002</v>
      </c>
      <c r="G326">
        <v>0</v>
      </c>
      <c r="L326" t="s">
        <v>8</v>
      </c>
      <c r="M326" t="s">
        <v>7</v>
      </c>
      <c r="N326" t="s">
        <v>8</v>
      </c>
      <c r="P326">
        <f t="shared" ref="P326:P389" si="969">IF(C326=D326,0,((E326-D326)-(C326-E326))/(C326-D326))</f>
        <v>-0.24446786090621886</v>
      </c>
      <c r="Q326">
        <f t="shared" ref="Q326:Q389" si="970">F326*P326</f>
        <v>-86117373.259431615</v>
      </c>
      <c r="R326">
        <f t="shared" ref="R326:R389" si="971">R327+Q326</f>
        <v>1566920590.9053257</v>
      </c>
      <c r="S326">
        <f t="shared" ref="S326:S389" si="972">R326/100000</f>
        <v>15669.205909053257</v>
      </c>
      <c r="T326">
        <f t="shared" ref="T326:T389" si="973">S326/1000</f>
        <v>15.669205909053257</v>
      </c>
    </row>
    <row r="327" spans="1:20" x14ac:dyDescent="0.25">
      <c r="A327" s="5">
        <v>44266</v>
      </c>
      <c r="B327">
        <v>0.18124999999999999</v>
      </c>
      <c r="C327">
        <v>0.18955</v>
      </c>
      <c r="D327">
        <v>0.17347000000000001</v>
      </c>
      <c r="E327">
        <v>0.18140000000000001</v>
      </c>
      <c r="F327">
        <v>208727362.40000001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-1.3681592039800884E-2</v>
      </c>
      <c r="Q327">
        <f t="shared" si="970"/>
        <v>-2855722.6199004743</v>
      </c>
      <c r="R327">
        <f t="shared" si="971"/>
        <v>1653037964.1647573</v>
      </c>
      <c r="S327">
        <f t="shared" si="972"/>
        <v>16530.379641647574</v>
      </c>
      <c r="T327">
        <f t="shared" si="973"/>
        <v>16.530379641647574</v>
      </c>
    </row>
    <row r="328" spans="1:20" x14ac:dyDescent="0.25">
      <c r="A328" s="5">
        <v>44265</v>
      </c>
      <c r="B328">
        <v>0.17555000000000001</v>
      </c>
      <c r="C328">
        <v>0.2</v>
      </c>
      <c r="D328">
        <v>0.16635</v>
      </c>
      <c r="E328">
        <v>0.18124000000000001</v>
      </c>
      <c r="F328">
        <v>432677132.69999999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-0.11500742942050469</v>
      </c>
      <c r="Q328">
        <f t="shared" si="970"/>
        <v>-49761084.80086159</v>
      </c>
      <c r="R328">
        <f t="shared" si="971"/>
        <v>1655893686.7846577</v>
      </c>
      <c r="S328">
        <f t="shared" si="972"/>
        <v>16558.936867846576</v>
      </c>
      <c r="T328">
        <f t="shared" si="973"/>
        <v>16.558936867846576</v>
      </c>
    </row>
    <row r="329" spans="1:20" x14ac:dyDescent="0.25">
      <c r="A329" s="5">
        <v>44264</v>
      </c>
      <c r="B329">
        <v>0.15467</v>
      </c>
      <c r="C329">
        <v>0.20526</v>
      </c>
      <c r="D329">
        <v>0.15121000000000001</v>
      </c>
      <c r="E329">
        <v>0.17544000000000001</v>
      </c>
      <c r="F329">
        <v>654248542.5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-0.10342275670675273</v>
      </c>
      <c r="Q329">
        <f t="shared" si="970"/>
        <v>-67664187.836725071</v>
      </c>
      <c r="R329">
        <f t="shared" si="971"/>
        <v>1705654771.5855193</v>
      </c>
      <c r="S329">
        <f t="shared" si="972"/>
        <v>17056.547715855195</v>
      </c>
      <c r="T329">
        <f t="shared" si="973"/>
        <v>17.056547715855196</v>
      </c>
    </row>
    <row r="330" spans="1:20" x14ac:dyDescent="0.25">
      <c r="A330" s="5">
        <v>44263</v>
      </c>
      <c r="B330">
        <v>0.15820999999999999</v>
      </c>
      <c r="C330">
        <v>0.15909999999999999</v>
      </c>
      <c r="D330">
        <v>0.15</v>
      </c>
      <c r="E330">
        <v>0.15443999999999999</v>
      </c>
      <c r="F330">
        <v>109399864.3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-2.4175824175823962E-2</v>
      </c>
      <c r="Q330">
        <f t="shared" si="970"/>
        <v>-2644831.8841758007</v>
      </c>
      <c r="R330">
        <f t="shared" si="971"/>
        <v>1773318959.4222443</v>
      </c>
      <c r="S330">
        <f t="shared" si="972"/>
        <v>17733.189594222444</v>
      </c>
      <c r="T330">
        <f t="shared" si="973"/>
        <v>17.733189594222445</v>
      </c>
    </row>
    <row r="331" spans="1:20" x14ac:dyDescent="0.25">
      <c r="A331" s="5">
        <v>44262</v>
      </c>
      <c r="B331">
        <v>0.15548999999999999</v>
      </c>
      <c r="C331">
        <v>0.16159999999999999</v>
      </c>
      <c r="D331">
        <v>0.15257999999999999</v>
      </c>
      <c r="E331">
        <v>0.15790000000000001</v>
      </c>
      <c r="F331">
        <v>103458778.90000001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0.1796008869179643</v>
      </c>
      <c r="Q331">
        <f t="shared" si="970"/>
        <v>18581288.44988957</v>
      </c>
      <c r="R331">
        <f t="shared" si="971"/>
        <v>1775963791.3064201</v>
      </c>
      <c r="S331">
        <f t="shared" si="972"/>
        <v>17759.637913064202</v>
      </c>
      <c r="T331">
        <f t="shared" si="973"/>
        <v>17.759637913064203</v>
      </c>
    </row>
    <row r="332" spans="1:20" x14ac:dyDescent="0.25">
      <c r="A332" s="5">
        <v>44261</v>
      </c>
      <c r="B332">
        <v>0.15440999999999999</v>
      </c>
      <c r="C332">
        <v>0.15679999999999999</v>
      </c>
      <c r="D332">
        <v>0.14718999999999999</v>
      </c>
      <c r="E332">
        <v>0.15548999999999999</v>
      </c>
      <c r="F332">
        <v>88733163.900000006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0.72736732570239238</v>
      </c>
      <c r="Q332">
        <f t="shared" si="970"/>
        <v>64541604.127055071</v>
      </c>
      <c r="R332">
        <f t="shared" si="971"/>
        <v>1757382502.8565304</v>
      </c>
      <c r="S332">
        <f t="shared" si="972"/>
        <v>17573.825028565305</v>
      </c>
      <c r="T332">
        <f t="shared" si="973"/>
        <v>17.573825028565306</v>
      </c>
    </row>
    <row r="333" spans="1:20" x14ac:dyDescent="0.25">
      <c r="A333" s="5">
        <v>44260</v>
      </c>
      <c r="B333">
        <v>0.14901</v>
      </c>
      <c r="C333">
        <v>0.15916</v>
      </c>
      <c r="D333">
        <v>0.13943</v>
      </c>
      <c r="E333">
        <v>0.15457000000000001</v>
      </c>
      <c r="F333">
        <v>157734253.69999999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0.53471870248352926</v>
      </c>
      <c r="Q333">
        <f t="shared" si="970"/>
        <v>84343455.475671813</v>
      </c>
      <c r="R333">
        <f t="shared" si="971"/>
        <v>1692840898.7294753</v>
      </c>
      <c r="S333">
        <f t="shared" si="972"/>
        <v>16928.408987294752</v>
      </c>
      <c r="T333">
        <f t="shared" si="973"/>
        <v>16.928408987294752</v>
      </c>
    </row>
    <row r="334" spans="1:20" x14ac:dyDescent="0.25">
      <c r="A334" s="5">
        <v>44259</v>
      </c>
      <c r="B334">
        <v>0.15955</v>
      </c>
      <c r="C334">
        <v>0.1628</v>
      </c>
      <c r="D334">
        <v>0.1429</v>
      </c>
      <c r="E334">
        <v>0.14898</v>
      </c>
      <c r="F334">
        <v>143403796.59999999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-0.38894472361809029</v>
      </c>
      <c r="Q334">
        <f t="shared" si="970"/>
        <v>-55776150.034371831</v>
      </c>
      <c r="R334">
        <f t="shared" si="971"/>
        <v>1608497443.2538035</v>
      </c>
      <c r="S334">
        <f t="shared" si="972"/>
        <v>16084.974432538034</v>
      </c>
      <c r="T334">
        <f t="shared" si="973"/>
        <v>16.084974432538033</v>
      </c>
    </row>
    <row r="335" spans="1:20" x14ac:dyDescent="0.25">
      <c r="A335" s="5">
        <v>44258</v>
      </c>
      <c r="B335">
        <v>0.16014999999999999</v>
      </c>
      <c r="C335">
        <v>0.16966000000000001</v>
      </c>
      <c r="D335">
        <v>0.15670999999999999</v>
      </c>
      <c r="E335">
        <v>0.15926999999999999</v>
      </c>
      <c r="F335">
        <v>191985980.59999999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-0.60463320463320414</v>
      </c>
      <c r="Q335">
        <f t="shared" si="970"/>
        <v>-116081098.69482616</v>
      </c>
      <c r="R335">
        <f t="shared" si="971"/>
        <v>1664273593.2881753</v>
      </c>
      <c r="S335">
        <f t="shared" si="972"/>
        <v>16642.735932881755</v>
      </c>
      <c r="T335">
        <f t="shared" si="973"/>
        <v>16.642735932881756</v>
      </c>
    </row>
    <row r="336" spans="1:20" x14ac:dyDescent="0.25">
      <c r="A336" s="5">
        <v>44257</v>
      </c>
      <c r="B336">
        <v>0.17058999999999999</v>
      </c>
      <c r="C336">
        <v>0.18059</v>
      </c>
      <c r="D336">
        <v>0.14957999999999999</v>
      </c>
      <c r="E336">
        <v>0.16055</v>
      </c>
      <c r="F336">
        <v>280233159.10000002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-0.2924862947436308</v>
      </c>
      <c r="Q336">
        <f t="shared" si="970"/>
        <v>-81964358.369461387</v>
      </c>
      <c r="R336">
        <f t="shared" si="971"/>
        <v>1780354691.9830015</v>
      </c>
      <c r="S336">
        <f t="shared" si="972"/>
        <v>17803.546919830016</v>
      </c>
      <c r="T336">
        <f t="shared" si="973"/>
        <v>17.803546919830016</v>
      </c>
    </row>
    <row r="337" spans="1:20" x14ac:dyDescent="0.25">
      <c r="A337" s="5">
        <v>44256</v>
      </c>
      <c r="B337">
        <v>0.13086999999999999</v>
      </c>
      <c r="C337">
        <v>0.1762</v>
      </c>
      <c r="D337">
        <v>0.12966</v>
      </c>
      <c r="E337">
        <v>0.17041000000000001</v>
      </c>
      <c r="F337">
        <v>828652230.5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0.75118177911474049</v>
      </c>
      <c r="Q337">
        <f t="shared" si="970"/>
        <v>622468456.77438807</v>
      </c>
      <c r="R337">
        <f t="shared" si="971"/>
        <v>1862319050.3524628</v>
      </c>
      <c r="S337">
        <f t="shared" si="972"/>
        <v>18623.190503524627</v>
      </c>
      <c r="T337">
        <f t="shared" si="973"/>
        <v>18.623190503524626</v>
      </c>
    </row>
    <row r="338" spans="1:20" x14ac:dyDescent="0.25">
      <c r="A338" s="5">
        <v>44255</v>
      </c>
      <c r="B338">
        <v>0.14194000000000001</v>
      </c>
      <c r="C338">
        <v>0.14194000000000001</v>
      </c>
      <c r="D338">
        <v>0.11656999999999999</v>
      </c>
      <c r="E338">
        <v>0.13086999999999999</v>
      </c>
      <c r="F338">
        <v>366613316.89999998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0.12731572723689266</v>
      </c>
      <c r="Q338">
        <f t="shared" si="970"/>
        <v>46675641.05585289</v>
      </c>
      <c r="R338">
        <f t="shared" si="971"/>
        <v>1239850593.5780747</v>
      </c>
      <c r="S338">
        <f t="shared" si="972"/>
        <v>12398.505935780748</v>
      </c>
      <c r="T338">
        <f t="shared" si="973"/>
        <v>12.398505935780747</v>
      </c>
    </row>
    <row r="339" spans="1:20" x14ac:dyDescent="0.25">
      <c r="A339" s="5">
        <v>44254</v>
      </c>
      <c r="B339">
        <v>0.15498999999999999</v>
      </c>
      <c r="C339">
        <v>0.16175</v>
      </c>
      <c r="D339">
        <v>0.13628999999999999</v>
      </c>
      <c r="E339">
        <v>0.14202999999999999</v>
      </c>
      <c r="F339">
        <v>200801506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-0.54909662215239652</v>
      </c>
      <c r="Q339">
        <f t="shared" si="970"/>
        <v>-110259428.66771418</v>
      </c>
      <c r="R339">
        <f t="shared" si="971"/>
        <v>1193174952.5222218</v>
      </c>
      <c r="S339">
        <f t="shared" si="972"/>
        <v>11931.749525222218</v>
      </c>
      <c r="T339">
        <f t="shared" si="973"/>
        <v>11.931749525222218</v>
      </c>
    </row>
    <row r="340" spans="1:20" x14ac:dyDescent="0.25">
      <c r="A340" s="5">
        <v>44253</v>
      </c>
      <c r="B340">
        <v>0.16269</v>
      </c>
      <c r="C340">
        <v>0.17197999999999999</v>
      </c>
      <c r="D340">
        <v>0.1477</v>
      </c>
      <c r="E340">
        <v>0.155</v>
      </c>
      <c r="F340">
        <v>194122870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-0.39868204283360775</v>
      </c>
      <c r="Q340">
        <f t="shared" si="970"/>
        <v>-77393302.372322872</v>
      </c>
      <c r="R340">
        <f t="shared" si="971"/>
        <v>1303434381.1899359</v>
      </c>
      <c r="S340">
        <f t="shared" si="972"/>
        <v>13034.34381189936</v>
      </c>
      <c r="T340">
        <f t="shared" si="973"/>
        <v>13.03434381189936</v>
      </c>
    </row>
    <row r="341" spans="1:20" x14ac:dyDescent="0.25">
      <c r="A341" s="5">
        <v>44252</v>
      </c>
      <c r="B341">
        <v>0.18129000000000001</v>
      </c>
      <c r="C341">
        <v>0.1915</v>
      </c>
      <c r="D341">
        <v>0.15986</v>
      </c>
      <c r="E341">
        <v>0.1628</v>
      </c>
      <c r="F341">
        <v>208854835.90000001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-0.81415929203539839</v>
      </c>
      <c r="Q341">
        <f t="shared" si="970"/>
        <v>-170041105.33451331</v>
      </c>
      <c r="R341">
        <f t="shared" si="971"/>
        <v>1380827683.5622587</v>
      </c>
      <c r="S341">
        <f t="shared" si="972"/>
        <v>13808.276835622588</v>
      </c>
      <c r="T341">
        <f t="shared" si="973"/>
        <v>13.808276835622587</v>
      </c>
    </row>
    <row r="342" spans="1:20" x14ac:dyDescent="0.25">
      <c r="A342" s="5">
        <v>44251</v>
      </c>
      <c r="B342">
        <v>0.17968000000000001</v>
      </c>
      <c r="C342">
        <v>0.19800000000000001</v>
      </c>
      <c r="D342">
        <v>0.1641</v>
      </c>
      <c r="E342">
        <v>0.18101</v>
      </c>
      <c r="F342">
        <v>346731814.89999998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-2.3598820058996078E-3</v>
      </c>
      <c r="Q342">
        <f t="shared" si="970"/>
        <v>-818246.17085542344</v>
      </c>
      <c r="R342">
        <f t="shared" si="971"/>
        <v>1550868788.8967719</v>
      </c>
      <c r="S342">
        <f t="shared" si="972"/>
        <v>15508.687888967719</v>
      </c>
      <c r="T342">
        <f t="shared" si="973"/>
        <v>15.508687888967719</v>
      </c>
    </row>
    <row r="343" spans="1:20" x14ac:dyDescent="0.25">
      <c r="A343" s="5">
        <v>44250</v>
      </c>
      <c r="B343">
        <v>0.19975999999999999</v>
      </c>
      <c r="C343">
        <v>0.2001</v>
      </c>
      <c r="D343">
        <v>0.13758000000000001</v>
      </c>
      <c r="E343">
        <v>0.17943000000000001</v>
      </c>
      <c r="F343">
        <v>712562731.60000002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0.33877159309021126</v>
      </c>
      <c r="Q343">
        <f t="shared" si="970"/>
        <v>241396011.76084462</v>
      </c>
      <c r="R343">
        <f t="shared" si="971"/>
        <v>1551687035.0676274</v>
      </c>
      <c r="S343">
        <f t="shared" si="972"/>
        <v>15516.870350676274</v>
      </c>
      <c r="T343">
        <f t="shared" si="973"/>
        <v>15.516870350676275</v>
      </c>
    </row>
    <row r="344" spans="1:20" x14ac:dyDescent="0.25">
      <c r="A344" s="5">
        <v>44249</v>
      </c>
      <c r="B344">
        <v>0.20760000000000001</v>
      </c>
      <c r="C344">
        <v>0.23</v>
      </c>
      <c r="D344">
        <v>0.15010000000000001</v>
      </c>
      <c r="E344">
        <v>0.19975999999999999</v>
      </c>
      <c r="F344">
        <v>795298401.10000002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0.24305381727158906</v>
      </c>
      <c r="Q344">
        <f t="shared" si="970"/>
        <v>193300312.25734636</v>
      </c>
      <c r="R344">
        <f t="shared" si="971"/>
        <v>1310291023.3067827</v>
      </c>
      <c r="S344">
        <f t="shared" si="972"/>
        <v>13102.910233067827</v>
      </c>
      <c r="T344">
        <f t="shared" si="973"/>
        <v>13.102910233067828</v>
      </c>
    </row>
    <row r="345" spans="1:20" x14ac:dyDescent="0.25">
      <c r="A345" s="5">
        <v>44248</v>
      </c>
      <c r="B345">
        <v>0.22531999999999999</v>
      </c>
      <c r="C345">
        <v>0.25</v>
      </c>
      <c r="D345">
        <v>0.18717</v>
      </c>
      <c r="E345">
        <v>0.20752999999999999</v>
      </c>
      <c r="F345">
        <v>1162278727.0999999</v>
      </c>
      <c r="G345">
        <v>0</v>
      </c>
      <c r="L345" t="s">
        <v>7</v>
      </c>
      <c r="M345" t="s">
        <v>7</v>
      </c>
      <c r="N345" t="s">
        <v>7</v>
      </c>
      <c r="P345">
        <f t="shared" si="969"/>
        <v>-0.35190195766353682</v>
      </c>
      <c r="Q345">
        <f t="shared" si="970"/>
        <v>-409008159.41717362</v>
      </c>
      <c r="R345">
        <f t="shared" si="971"/>
        <v>1116990711.0494363</v>
      </c>
      <c r="S345">
        <f t="shared" si="972"/>
        <v>11169.907110494363</v>
      </c>
      <c r="T345">
        <f t="shared" si="973"/>
        <v>11.169907110494362</v>
      </c>
    </row>
    <row r="346" spans="1:20" x14ac:dyDescent="0.25">
      <c r="A346" s="5">
        <v>44247</v>
      </c>
      <c r="B346">
        <v>0.14526</v>
      </c>
      <c r="C346">
        <v>0.29293000000000002</v>
      </c>
      <c r="D346">
        <v>0.13894000000000001</v>
      </c>
      <c r="E346">
        <v>0.22556999999999999</v>
      </c>
      <c r="F346">
        <v>2800016563.5999999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0.12513799597376421</v>
      </c>
      <c r="Q346">
        <f t="shared" si="970"/>
        <v>350388461.46224988</v>
      </c>
      <c r="R346">
        <f t="shared" si="971"/>
        <v>1525998870.46661</v>
      </c>
      <c r="S346">
        <f t="shared" si="972"/>
        <v>15259.988704666099</v>
      </c>
      <c r="T346">
        <f t="shared" si="973"/>
        <v>15.2599887046661</v>
      </c>
    </row>
    <row r="347" spans="1:20" x14ac:dyDescent="0.25">
      <c r="A347" s="5">
        <v>44246</v>
      </c>
      <c r="B347">
        <v>0.10025000000000001</v>
      </c>
      <c r="C347">
        <v>0.186</v>
      </c>
      <c r="D347">
        <v>9.6009999999999998E-2</v>
      </c>
      <c r="E347">
        <v>0.14543</v>
      </c>
      <c r="F347">
        <v>1197831164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9.8344260473386055E-2</v>
      </c>
      <c r="Q347">
        <f t="shared" si="970"/>
        <v>117799819.99555521</v>
      </c>
      <c r="R347">
        <f t="shared" si="971"/>
        <v>1175610409.00436</v>
      </c>
      <c r="S347">
        <f t="shared" si="972"/>
        <v>11756.1040900436</v>
      </c>
      <c r="T347">
        <f t="shared" si="973"/>
        <v>11.7561040900436</v>
      </c>
    </row>
    <row r="348" spans="1:20" x14ac:dyDescent="0.25">
      <c r="A348" s="5">
        <v>44245</v>
      </c>
      <c r="B348">
        <v>7.392E-2</v>
      </c>
      <c r="C348">
        <v>0.10100000000000001</v>
      </c>
      <c r="D348">
        <v>7.392E-2</v>
      </c>
      <c r="E348">
        <v>0.10024</v>
      </c>
      <c r="F348">
        <v>313254757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0.94387001477104793</v>
      </c>
      <c r="Q348">
        <f t="shared" si="970"/>
        <v>295671772.11669105</v>
      </c>
      <c r="R348">
        <f t="shared" si="971"/>
        <v>1057810589.0088048</v>
      </c>
      <c r="S348">
        <f t="shared" si="972"/>
        <v>10578.105890088047</v>
      </c>
      <c r="T348">
        <f t="shared" si="973"/>
        <v>10.578105890088047</v>
      </c>
    </row>
    <row r="349" spans="1:20" x14ac:dyDescent="0.25">
      <c r="A349" s="5">
        <v>44244</v>
      </c>
      <c r="B349">
        <v>7.8750000000000001E-2</v>
      </c>
      <c r="C349">
        <v>8.0619999999999997E-2</v>
      </c>
      <c r="D349">
        <v>7.1800000000000003E-2</v>
      </c>
      <c r="E349">
        <v>7.3999999999999996E-2</v>
      </c>
      <c r="F349">
        <v>137837340.59999999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-0.50113378684807375</v>
      </c>
      <c r="Q349">
        <f t="shared" si="970"/>
        <v>-69074948.463945732</v>
      </c>
      <c r="R349">
        <f t="shared" si="971"/>
        <v>762138816.89211369</v>
      </c>
      <c r="S349">
        <f t="shared" si="972"/>
        <v>7621.3881689211366</v>
      </c>
      <c r="T349">
        <f t="shared" si="973"/>
        <v>7.6213881689211362</v>
      </c>
    </row>
    <row r="350" spans="1:20" x14ac:dyDescent="0.25">
      <c r="A350" s="5">
        <v>44243</v>
      </c>
      <c r="B350">
        <v>7.4690000000000006E-2</v>
      </c>
      <c r="C350">
        <v>8.2750000000000004E-2</v>
      </c>
      <c r="D350">
        <v>7.2150000000000006E-2</v>
      </c>
      <c r="E350">
        <v>7.8750000000000001E-2</v>
      </c>
      <c r="F350">
        <v>167510431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0.24528301886792372</v>
      </c>
      <c r="Q350">
        <f t="shared" si="970"/>
        <v>41087464.207547039</v>
      </c>
      <c r="R350">
        <f t="shared" si="971"/>
        <v>831213765.35605943</v>
      </c>
      <c r="S350">
        <f t="shared" si="972"/>
        <v>8312.1376535605941</v>
      </c>
      <c r="T350">
        <f t="shared" si="973"/>
        <v>8.312137653560594</v>
      </c>
    </row>
    <row r="351" spans="1:20" x14ac:dyDescent="0.25">
      <c r="A351" s="5">
        <v>44242</v>
      </c>
      <c r="B351">
        <v>7.2499999999999995E-2</v>
      </c>
      <c r="C351">
        <v>8.4489999999999996E-2</v>
      </c>
      <c r="D351">
        <v>6.2289999999999998E-2</v>
      </c>
      <c r="E351">
        <v>7.4690000000000006E-2</v>
      </c>
      <c r="F351">
        <v>478773069.10000002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0.11711711711711799</v>
      </c>
      <c r="Q351">
        <f t="shared" si="970"/>
        <v>56072521.606306724</v>
      </c>
      <c r="R351">
        <f t="shared" si="971"/>
        <v>790126301.14851236</v>
      </c>
      <c r="S351">
        <f t="shared" si="972"/>
        <v>7901.2630114851236</v>
      </c>
      <c r="T351">
        <f t="shared" si="973"/>
        <v>7.9012630114851232</v>
      </c>
    </row>
    <row r="352" spans="1:20" x14ac:dyDescent="0.25">
      <c r="A352" s="5">
        <v>44241</v>
      </c>
      <c r="B352">
        <v>5.79E-2</v>
      </c>
      <c r="C352">
        <v>8.863E-2</v>
      </c>
      <c r="D352">
        <v>5.6610000000000001E-2</v>
      </c>
      <c r="E352">
        <v>7.2720000000000007E-2</v>
      </c>
      <c r="F352">
        <v>1248677172.0999999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6.2460961898817202E-3</v>
      </c>
      <c r="Q352">
        <f t="shared" si="970"/>
        <v>7799357.7270460902</v>
      </c>
      <c r="R352">
        <f t="shared" si="971"/>
        <v>734053779.54220569</v>
      </c>
      <c r="S352">
        <f t="shared" si="972"/>
        <v>7340.5377954220567</v>
      </c>
      <c r="T352">
        <f t="shared" si="973"/>
        <v>7.3405377954220565</v>
      </c>
    </row>
    <row r="353" spans="1:20" x14ac:dyDescent="0.25">
      <c r="A353" s="5">
        <v>44240</v>
      </c>
      <c r="B353">
        <v>5.0020000000000002E-2</v>
      </c>
      <c r="C353">
        <v>5.9950000000000003E-2</v>
      </c>
      <c r="D353">
        <v>4.9779999999999998E-2</v>
      </c>
      <c r="E353">
        <v>5.7860000000000002E-2</v>
      </c>
      <c r="F353">
        <v>333823091.89999998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0.58898721730580128</v>
      </c>
      <c r="Q353">
        <f t="shared" si="970"/>
        <v>196617533.97059977</v>
      </c>
      <c r="R353">
        <f t="shared" si="971"/>
        <v>726254421.81515956</v>
      </c>
      <c r="S353">
        <f t="shared" si="972"/>
        <v>7262.5442181515955</v>
      </c>
      <c r="T353">
        <f t="shared" si="973"/>
        <v>7.2625442181515956</v>
      </c>
    </row>
    <row r="354" spans="1:20" x14ac:dyDescent="0.25">
      <c r="A354" s="5">
        <v>44239</v>
      </c>
      <c r="B354">
        <v>4.829E-2</v>
      </c>
      <c r="C354">
        <v>5.2269999999999997E-2</v>
      </c>
      <c r="D354">
        <v>4.6629999999999998E-2</v>
      </c>
      <c r="E354">
        <v>5.0020000000000002E-2</v>
      </c>
      <c r="F354">
        <v>155479585.19999999</v>
      </c>
      <c r="G354">
        <v>0</v>
      </c>
      <c r="L354" t="s">
        <v>8</v>
      </c>
      <c r="M354" t="s">
        <v>7</v>
      </c>
      <c r="N354" t="s">
        <v>8</v>
      </c>
      <c r="P354">
        <f t="shared" si="969"/>
        <v>0.20212765957446971</v>
      </c>
      <c r="Q354">
        <f t="shared" si="970"/>
        <v>31426724.668085355</v>
      </c>
      <c r="R354">
        <f t="shared" si="971"/>
        <v>529636887.84455979</v>
      </c>
      <c r="S354">
        <f t="shared" si="972"/>
        <v>5296.3688784455981</v>
      </c>
      <c r="T354">
        <f t="shared" si="973"/>
        <v>5.2963688784455982</v>
      </c>
    </row>
    <row r="355" spans="1:20" x14ac:dyDescent="0.25">
      <c r="A355" s="5">
        <v>44238</v>
      </c>
      <c r="B355">
        <v>4.9489999999999999E-2</v>
      </c>
      <c r="C355">
        <v>5.0639999999999998E-2</v>
      </c>
      <c r="D355">
        <v>4.6179999999999999E-2</v>
      </c>
      <c r="E355">
        <v>4.8169999999999998E-2</v>
      </c>
      <c r="F355">
        <v>189206330</v>
      </c>
      <c r="G355">
        <v>0</v>
      </c>
      <c r="L355" t="s">
        <v>7</v>
      </c>
      <c r="M355" t="s">
        <v>7</v>
      </c>
      <c r="N355" t="s">
        <v>8</v>
      </c>
      <c r="P355">
        <f t="shared" si="969"/>
        <v>-0.10762331838565053</v>
      </c>
      <c r="Q355">
        <f t="shared" si="970"/>
        <v>-20363013.094170462</v>
      </c>
      <c r="R355">
        <f t="shared" si="971"/>
        <v>498210163.17647445</v>
      </c>
      <c r="S355">
        <f t="shared" si="972"/>
        <v>4982.1016317647445</v>
      </c>
      <c r="T355">
        <f t="shared" si="973"/>
        <v>4.9821016317647446</v>
      </c>
    </row>
    <row r="356" spans="1:20" x14ac:dyDescent="0.25">
      <c r="A356" s="5">
        <v>44237</v>
      </c>
      <c r="B356">
        <v>4.2099999999999999E-2</v>
      </c>
      <c r="C356">
        <v>5.389E-2</v>
      </c>
      <c r="D356">
        <v>4.2040000000000001E-2</v>
      </c>
      <c r="E356">
        <v>4.9489999999999999E-2</v>
      </c>
      <c r="F356">
        <v>481463599.60000002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0.25738396624472554</v>
      </c>
      <c r="Q356">
        <f t="shared" si="970"/>
        <v>123921010.86751045</v>
      </c>
      <c r="R356">
        <f t="shared" si="971"/>
        <v>518573176.2706449</v>
      </c>
      <c r="S356">
        <f t="shared" si="972"/>
        <v>5185.7317627064494</v>
      </c>
      <c r="T356">
        <f t="shared" si="973"/>
        <v>5.1857317627064496</v>
      </c>
    </row>
    <row r="357" spans="1:20" x14ac:dyDescent="0.25">
      <c r="A357" s="5">
        <v>44236</v>
      </c>
      <c r="B357">
        <v>3.4849999999999999E-2</v>
      </c>
      <c r="C357">
        <v>4.4560000000000002E-2</v>
      </c>
      <c r="D357">
        <v>3.4610000000000002E-2</v>
      </c>
      <c r="E357">
        <v>4.2040000000000001E-2</v>
      </c>
      <c r="F357">
        <v>396067799.89999998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0.4934673366834168</v>
      </c>
      <c r="Q357">
        <f t="shared" si="970"/>
        <v>195446522.36271346</v>
      </c>
      <c r="R357">
        <f t="shared" si="971"/>
        <v>394652165.40313447</v>
      </c>
      <c r="S357">
        <f t="shared" si="972"/>
        <v>3946.5216540313445</v>
      </c>
      <c r="T357">
        <f t="shared" si="973"/>
        <v>3.9465216540313444</v>
      </c>
    </row>
    <row r="358" spans="1:20" x14ac:dyDescent="0.25">
      <c r="A358" s="5">
        <v>44235</v>
      </c>
      <c r="B358">
        <v>3.1829999999999997E-2</v>
      </c>
      <c r="C358">
        <v>3.6220000000000002E-2</v>
      </c>
      <c r="D358">
        <v>3.1019999999999999E-2</v>
      </c>
      <c r="E358">
        <v>3.483E-2</v>
      </c>
      <c r="F358">
        <v>350469187.10000002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0.46538461538461484</v>
      </c>
      <c r="Q358">
        <f t="shared" si="970"/>
        <v>163102967.84269214</v>
      </c>
      <c r="R358">
        <f t="shared" si="971"/>
        <v>199205643.04042104</v>
      </c>
      <c r="S358">
        <f t="shared" si="972"/>
        <v>1992.0564304042105</v>
      </c>
      <c r="T358">
        <f t="shared" si="973"/>
        <v>1.9920564304042105</v>
      </c>
    </row>
    <row r="359" spans="1:20" x14ac:dyDescent="0.25">
      <c r="A359" s="5">
        <v>44234</v>
      </c>
      <c r="B359">
        <v>3.1119999999999998E-2</v>
      </c>
      <c r="C359">
        <v>3.32E-2</v>
      </c>
      <c r="D359">
        <v>2.801E-2</v>
      </c>
      <c r="E359">
        <v>3.1879999999999999E-2</v>
      </c>
      <c r="F359">
        <v>281272415.19999999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0.49132947976878549</v>
      </c>
      <c r="Q359">
        <f t="shared" si="970"/>
        <v>138197429.43352583</v>
      </c>
      <c r="R359">
        <f t="shared" si="971"/>
        <v>36102675.197728902</v>
      </c>
      <c r="S359">
        <f t="shared" si="972"/>
        <v>361.026751977289</v>
      </c>
      <c r="T359">
        <f t="shared" si="973"/>
        <v>0.36102675197728901</v>
      </c>
    </row>
    <row r="360" spans="1:20" x14ac:dyDescent="0.25">
      <c r="A360" s="5">
        <v>44233</v>
      </c>
      <c r="B360">
        <v>3.0439999999999998E-2</v>
      </c>
      <c r="C360">
        <v>3.3680000000000002E-2</v>
      </c>
      <c r="D360">
        <v>2.7689999999999999E-2</v>
      </c>
      <c r="E360">
        <v>3.1119999999999998E-2</v>
      </c>
      <c r="F360">
        <v>270316410.60000002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0.14524207011686069</v>
      </c>
      <c r="Q360">
        <f t="shared" si="970"/>
        <v>39261315.062103309</v>
      </c>
      <c r="R360">
        <f t="shared" si="971"/>
        <v>-102094754.23579693</v>
      </c>
      <c r="S360">
        <f t="shared" si="972"/>
        <v>-1020.9475423579693</v>
      </c>
      <c r="T360">
        <f t="shared" si="973"/>
        <v>-1.0209475423579693</v>
      </c>
    </row>
    <row r="361" spans="1:20" x14ac:dyDescent="0.25">
      <c r="A361" s="5">
        <v>44232</v>
      </c>
      <c r="B361">
        <v>2.598E-2</v>
      </c>
      <c r="C361">
        <v>3.1910000000000001E-2</v>
      </c>
      <c r="D361">
        <v>2.58E-2</v>
      </c>
      <c r="E361">
        <v>3.0460000000000001E-2</v>
      </c>
      <c r="F361">
        <v>405447994.60000002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0.52536824877250421</v>
      </c>
      <c r="Q361">
        <f t="shared" si="970"/>
        <v>213009502.89132574</v>
      </c>
      <c r="R361">
        <f t="shared" si="971"/>
        <v>-141356069.29790023</v>
      </c>
      <c r="S361">
        <f t="shared" si="972"/>
        <v>-1413.5606929790024</v>
      </c>
      <c r="T361">
        <f t="shared" si="973"/>
        <v>-1.4135606929790023</v>
      </c>
    </row>
    <row r="362" spans="1:20" x14ac:dyDescent="0.25">
      <c r="A362" s="5">
        <v>44231</v>
      </c>
      <c r="B362">
        <v>2.4760000000000001E-2</v>
      </c>
      <c r="C362">
        <v>2.759E-2</v>
      </c>
      <c r="D362">
        <v>2.4E-2</v>
      </c>
      <c r="E362">
        <v>2.597E-2</v>
      </c>
      <c r="F362">
        <v>345150683.5</v>
      </c>
      <c r="G362">
        <v>0</v>
      </c>
      <c r="L362" t="s">
        <v>8</v>
      </c>
      <c r="M362" t="s">
        <v>8</v>
      </c>
      <c r="N362" t="s">
        <v>7</v>
      </c>
      <c r="P362">
        <f t="shared" si="969"/>
        <v>9.7493036211699066E-2</v>
      </c>
      <c r="Q362">
        <f t="shared" si="970"/>
        <v>33649788.084958181</v>
      </c>
      <c r="R362">
        <f t="shared" si="971"/>
        <v>-354365572.18922597</v>
      </c>
      <c r="S362">
        <f t="shared" si="972"/>
        <v>-3543.6557218922599</v>
      </c>
      <c r="T362">
        <f t="shared" si="973"/>
        <v>-3.54365572189226</v>
      </c>
    </row>
    <row r="363" spans="1:20" x14ac:dyDescent="0.25">
      <c r="A363" s="5">
        <v>44230</v>
      </c>
      <c r="B363">
        <v>2.4809999999999999E-2</v>
      </c>
      <c r="C363">
        <v>2.5600000000000001E-2</v>
      </c>
      <c r="D363">
        <v>2.4199999999999999E-2</v>
      </c>
      <c r="E363">
        <v>2.479E-2</v>
      </c>
      <c r="F363">
        <v>196285429.40000001</v>
      </c>
      <c r="G363">
        <v>0</v>
      </c>
      <c r="L363" t="s">
        <v>8</v>
      </c>
      <c r="M363" t="s">
        <v>7</v>
      </c>
      <c r="N363" t="s">
        <v>7</v>
      </c>
      <c r="P363">
        <f t="shared" si="969"/>
        <v>-0.15714285714285794</v>
      </c>
      <c r="Q363">
        <f t="shared" si="970"/>
        <v>-30844853.191428728</v>
      </c>
      <c r="R363">
        <f t="shared" si="971"/>
        <v>-388015360.27418417</v>
      </c>
      <c r="S363">
        <f t="shared" si="972"/>
        <v>-3880.1536027418415</v>
      </c>
      <c r="T363">
        <f t="shared" si="973"/>
        <v>-3.8801536027418413</v>
      </c>
    </row>
    <row r="364" spans="1:20" x14ac:dyDescent="0.25">
      <c r="A364" s="5">
        <v>44229</v>
      </c>
      <c r="B364">
        <v>2.3900000000000001E-2</v>
      </c>
      <c r="C364">
        <v>2.5870000000000001E-2</v>
      </c>
      <c r="D364">
        <v>2.3429999999999999E-2</v>
      </c>
      <c r="E364">
        <v>2.478E-2</v>
      </c>
      <c r="F364">
        <v>280790595.89999998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0.1065573770491802</v>
      </c>
      <c r="Q364">
        <f t="shared" si="970"/>
        <v>29920309.399180289</v>
      </c>
      <c r="R364">
        <f t="shared" si="971"/>
        <v>-357170507.08275545</v>
      </c>
      <c r="S364">
        <f t="shared" si="972"/>
        <v>-3571.7050708275547</v>
      </c>
      <c r="T364">
        <f t="shared" si="973"/>
        <v>-3.5717050708275546</v>
      </c>
    </row>
    <row r="365" spans="1:20" x14ac:dyDescent="0.25">
      <c r="A365" s="5">
        <v>44228</v>
      </c>
      <c r="B365">
        <v>2.4539999999999999E-2</v>
      </c>
      <c r="C365">
        <v>2.6380000000000001E-2</v>
      </c>
      <c r="D365">
        <v>2.266E-2</v>
      </c>
      <c r="E365">
        <v>2.3900000000000001E-2</v>
      </c>
      <c r="F365">
        <v>488584836.89999998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-0.3333333333333327</v>
      </c>
      <c r="Q365">
        <f t="shared" si="970"/>
        <v>-162861612.29999968</v>
      </c>
      <c r="R365">
        <f t="shared" si="971"/>
        <v>-387090816.48193574</v>
      </c>
      <c r="S365">
        <f t="shared" si="972"/>
        <v>-3870.9081648193574</v>
      </c>
      <c r="T365">
        <f t="shared" si="973"/>
        <v>-3.8709081648193573</v>
      </c>
    </row>
    <row r="366" spans="1:20" x14ac:dyDescent="0.25">
      <c r="A366" s="5">
        <v>44227</v>
      </c>
      <c r="B366">
        <v>2.3269999999999999E-2</v>
      </c>
      <c r="C366">
        <v>2.7900000000000001E-2</v>
      </c>
      <c r="D366">
        <v>2.2259999999999999E-2</v>
      </c>
      <c r="E366">
        <v>2.4500000000000001E-2</v>
      </c>
      <c r="F366">
        <v>1103575099.5999999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-0.20567375886524775</v>
      </c>
      <c r="Q366">
        <f t="shared" si="970"/>
        <v>-226976438.92482215</v>
      </c>
      <c r="R366">
        <f t="shared" si="971"/>
        <v>-224229204.18193609</v>
      </c>
      <c r="S366">
        <f t="shared" si="972"/>
        <v>-2242.2920418193607</v>
      </c>
      <c r="T366">
        <f t="shared" si="973"/>
        <v>-2.2422920418193608</v>
      </c>
    </row>
    <row r="367" spans="1:20" x14ac:dyDescent="0.25">
      <c r="A367" s="5">
        <v>44226</v>
      </c>
      <c r="B367">
        <v>2.682E-2</v>
      </c>
      <c r="C367">
        <v>4.0899999999999999E-2</v>
      </c>
      <c r="D367">
        <v>2.231E-2</v>
      </c>
      <c r="E367">
        <v>2.332E-2</v>
      </c>
      <c r="F367">
        <v>3334916890.4000001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-0.89133942980096825</v>
      </c>
      <c r="Q367">
        <f t="shared" si="970"/>
        <v>-2972542919.5227542</v>
      </c>
      <c r="R367">
        <f t="shared" si="971"/>
        <v>2747234.7428860664</v>
      </c>
      <c r="S367">
        <f t="shared" si="972"/>
        <v>27.472347428860665</v>
      </c>
      <c r="T367">
        <f t="shared" si="973"/>
        <v>2.7472347428860667E-2</v>
      </c>
    </row>
    <row r="368" spans="1:20" x14ac:dyDescent="0.25">
      <c r="A368" s="5">
        <v>44225</v>
      </c>
      <c r="B368">
        <v>1.6369999999999999E-2</v>
      </c>
      <c r="C368">
        <v>3.0499999999999999E-2</v>
      </c>
      <c r="D368">
        <v>1.636E-2</v>
      </c>
      <c r="E368">
        <v>2.6749999999999999E-2</v>
      </c>
      <c r="F368">
        <v>1810809704.9000001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0.46958981612446959</v>
      </c>
      <c r="Q368">
        <f t="shared" si="970"/>
        <v>850337796.36039615</v>
      </c>
      <c r="R368">
        <f t="shared" si="971"/>
        <v>2975290154.2656403</v>
      </c>
      <c r="S368">
        <f t="shared" si="972"/>
        <v>29752.901542656404</v>
      </c>
      <c r="T368">
        <f t="shared" si="973"/>
        <v>29.752901542656403</v>
      </c>
    </row>
    <row r="369" spans="1:20" x14ac:dyDescent="0.25">
      <c r="A369" s="5">
        <v>44224</v>
      </c>
      <c r="B369">
        <v>1.525E-2</v>
      </c>
      <c r="C369">
        <v>1.6639999999999999E-2</v>
      </c>
      <c r="D369">
        <v>1.5169999999999999E-2</v>
      </c>
      <c r="E369">
        <v>1.6369999999999999E-2</v>
      </c>
      <c r="F369">
        <v>81321853.799999997</v>
      </c>
      <c r="G369">
        <v>0</v>
      </c>
      <c r="L369" t="s">
        <v>8</v>
      </c>
      <c r="M369" t="s">
        <v>7</v>
      </c>
      <c r="N369" t="s">
        <v>8</v>
      </c>
      <c r="P369">
        <f t="shared" si="969"/>
        <v>0.63265306122449039</v>
      </c>
      <c r="Q369">
        <f t="shared" si="970"/>
        <v>51448519.751020454</v>
      </c>
      <c r="R369">
        <f t="shared" si="971"/>
        <v>2124952357.9052444</v>
      </c>
      <c r="S369">
        <f t="shared" si="972"/>
        <v>21249.523579052442</v>
      </c>
      <c r="T369">
        <f t="shared" si="973"/>
        <v>21.249523579052443</v>
      </c>
    </row>
    <row r="370" spans="1:20" x14ac:dyDescent="0.25">
      <c r="A370" s="5">
        <v>44223</v>
      </c>
      <c r="B370">
        <v>1.6459999999999999E-2</v>
      </c>
      <c r="C370">
        <v>1.6580000000000001E-2</v>
      </c>
      <c r="D370">
        <v>1.4489999999999999E-2</v>
      </c>
      <c r="E370">
        <v>1.5270000000000001E-2</v>
      </c>
      <c r="F370">
        <v>98061661.400000006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-0.25358851674641092</v>
      </c>
      <c r="Q370">
        <f t="shared" si="970"/>
        <v>-24867311.264114778</v>
      </c>
      <c r="R370">
        <f t="shared" si="971"/>
        <v>2073503838.1542239</v>
      </c>
      <c r="S370">
        <f t="shared" si="972"/>
        <v>20735.038381542239</v>
      </c>
      <c r="T370">
        <f t="shared" si="973"/>
        <v>20.735038381542239</v>
      </c>
    </row>
    <row r="371" spans="1:20" x14ac:dyDescent="0.25">
      <c r="A371" s="5">
        <v>44222</v>
      </c>
      <c r="B371">
        <v>1.6619999999999999E-2</v>
      </c>
      <c r="C371">
        <v>1.6799999999999999E-2</v>
      </c>
      <c r="D371">
        <v>1.5740000000000001E-2</v>
      </c>
      <c r="E371">
        <v>1.6480000000000002E-2</v>
      </c>
      <c r="F371">
        <v>97671916.700000003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0.3962264150943437</v>
      </c>
      <c r="Q371">
        <f t="shared" si="970"/>
        <v>38700193.409434363</v>
      </c>
      <c r="R371">
        <f t="shared" si="971"/>
        <v>2098371149.4183388</v>
      </c>
      <c r="S371">
        <f t="shared" si="972"/>
        <v>20983.711494183386</v>
      </c>
      <c r="T371">
        <f t="shared" si="973"/>
        <v>20.983711494183385</v>
      </c>
    </row>
    <row r="372" spans="1:20" x14ac:dyDescent="0.25">
      <c r="A372" s="5">
        <v>44221</v>
      </c>
      <c r="B372">
        <v>1.7170000000000001E-2</v>
      </c>
      <c r="C372">
        <v>1.7600000000000001E-2</v>
      </c>
      <c r="D372">
        <v>1.6500000000000001E-2</v>
      </c>
      <c r="E372">
        <v>1.661E-2</v>
      </c>
      <c r="F372">
        <v>64818605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-0.80000000000000193</v>
      </c>
      <c r="Q372">
        <f t="shared" si="970"/>
        <v>-51854884.000000127</v>
      </c>
      <c r="R372">
        <f t="shared" si="971"/>
        <v>2059670956.0089045</v>
      </c>
      <c r="S372">
        <f t="shared" si="972"/>
        <v>20596.709560089046</v>
      </c>
      <c r="T372">
        <f t="shared" si="973"/>
        <v>20.596709560089046</v>
      </c>
    </row>
    <row r="373" spans="1:20" x14ac:dyDescent="0.25">
      <c r="A373" s="5">
        <v>44220</v>
      </c>
      <c r="B373">
        <v>1.719E-2</v>
      </c>
      <c r="C373">
        <v>1.7690000000000001E-2</v>
      </c>
      <c r="D373">
        <v>1.6619999999999999E-2</v>
      </c>
      <c r="E373">
        <v>1.7180000000000001E-2</v>
      </c>
      <c r="F373">
        <v>53156699.700000003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4.6728971962618097E-2</v>
      </c>
      <c r="Q373">
        <f t="shared" si="970"/>
        <v>2483957.9299066099</v>
      </c>
      <c r="R373">
        <f t="shared" si="971"/>
        <v>2111525840.0089047</v>
      </c>
      <c r="S373">
        <f t="shared" si="972"/>
        <v>21115.258400089046</v>
      </c>
      <c r="T373">
        <f t="shared" si="973"/>
        <v>21.115258400089047</v>
      </c>
    </row>
    <row r="374" spans="1:20" x14ac:dyDescent="0.25">
      <c r="A374" s="5">
        <v>44219</v>
      </c>
      <c r="B374">
        <v>1.728E-2</v>
      </c>
      <c r="C374">
        <v>1.779E-2</v>
      </c>
      <c r="D374">
        <v>1.6650000000000002E-2</v>
      </c>
      <c r="E374">
        <v>1.7160000000000002E-2</v>
      </c>
      <c r="F374">
        <v>64492619.799999997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-0.10526315789473573</v>
      </c>
      <c r="Q374">
        <f t="shared" si="970"/>
        <v>-6788696.8210525597</v>
      </c>
      <c r="R374">
        <f t="shared" si="971"/>
        <v>2109041882.0789981</v>
      </c>
      <c r="S374">
        <f t="shared" si="972"/>
        <v>21090.418820789982</v>
      </c>
      <c r="T374">
        <f t="shared" si="973"/>
        <v>21.090418820789981</v>
      </c>
    </row>
    <row r="375" spans="1:20" x14ac:dyDescent="0.25">
      <c r="A375" s="5">
        <v>44218</v>
      </c>
      <c r="B375">
        <v>1.583E-2</v>
      </c>
      <c r="C375">
        <v>1.7840000000000002E-2</v>
      </c>
      <c r="D375">
        <v>1.485E-2</v>
      </c>
      <c r="E375">
        <v>1.729E-2</v>
      </c>
      <c r="F375">
        <v>137175782.80000001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0.63210702341137015</v>
      </c>
      <c r="Q375">
        <f t="shared" si="970"/>
        <v>86709775.74983263</v>
      </c>
      <c r="R375">
        <f t="shared" si="971"/>
        <v>2115830578.9000506</v>
      </c>
      <c r="S375">
        <f t="shared" si="972"/>
        <v>21158.305789000508</v>
      </c>
      <c r="T375">
        <f t="shared" si="973"/>
        <v>21.158305789000508</v>
      </c>
    </row>
    <row r="376" spans="1:20" x14ac:dyDescent="0.25">
      <c r="A376" s="5">
        <v>44217</v>
      </c>
      <c r="B376">
        <v>1.7809999999999999E-2</v>
      </c>
      <c r="C376">
        <v>1.7909999999999999E-2</v>
      </c>
      <c r="D376">
        <v>1.5599999999999999E-2</v>
      </c>
      <c r="E376">
        <v>1.5859999999999999E-2</v>
      </c>
      <c r="F376">
        <v>105147769.2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-0.77489177489177496</v>
      </c>
      <c r="Q376">
        <f t="shared" si="970"/>
        <v>-81478141.501298711</v>
      </c>
      <c r="R376">
        <f t="shared" si="971"/>
        <v>2029120803.150218</v>
      </c>
      <c r="S376">
        <f t="shared" si="972"/>
        <v>20291.208031502181</v>
      </c>
      <c r="T376">
        <f t="shared" si="973"/>
        <v>20.29120803150218</v>
      </c>
    </row>
    <row r="377" spans="1:20" x14ac:dyDescent="0.25">
      <c r="A377" s="5">
        <v>44216</v>
      </c>
      <c r="B377">
        <v>1.789E-2</v>
      </c>
      <c r="C377">
        <v>1.8370000000000001E-2</v>
      </c>
      <c r="D377">
        <v>1.6670000000000001E-2</v>
      </c>
      <c r="E377">
        <v>1.7749999999999998E-2</v>
      </c>
      <c r="F377">
        <v>122331873.8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0.27058823529411474</v>
      </c>
      <c r="Q377">
        <f t="shared" si="970"/>
        <v>33101565.851764351</v>
      </c>
      <c r="R377">
        <f t="shared" si="971"/>
        <v>2110598944.6515167</v>
      </c>
      <c r="S377">
        <f t="shared" si="972"/>
        <v>21105.989446515166</v>
      </c>
      <c r="T377">
        <f t="shared" si="973"/>
        <v>21.105989446515167</v>
      </c>
    </row>
    <row r="378" spans="1:20" x14ac:dyDescent="0.25">
      <c r="A378" s="5">
        <v>44215</v>
      </c>
      <c r="B378">
        <v>1.8919999999999999E-2</v>
      </c>
      <c r="C378">
        <v>1.908E-2</v>
      </c>
      <c r="D378">
        <v>1.772E-2</v>
      </c>
      <c r="E378">
        <v>1.7899999999999999E-2</v>
      </c>
      <c r="F378">
        <v>129984923.7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-0.73529411764705943</v>
      </c>
      <c r="Q378">
        <f t="shared" si="970"/>
        <v>-95577149.779411852</v>
      </c>
      <c r="R378">
        <f t="shared" si="971"/>
        <v>2077497378.7997522</v>
      </c>
      <c r="S378">
        <f t="shared" si="972"/>
        <v>20774.973787997522</v>
      </c>
      <c r="T378">
        <f t="shared" si="973"/>
        <v>20.774973787997521</v>
      </c>
    </row>
    <row r="379" spans="1:20" x14ac:dyDescent="0.25">
      <c r="A379" s="5">
        <v>44214</v>
      </c>
      <c r="B379">
        <v>1.738E-2</v>
      </c>
      <c r="C379">
        <v>1.9609999999999999E-2</v>
      </c>
      <c r="D379">
        <v>1.7090000000000001E-2</v>
      </c>
      <c r="E379">
        <v>1.8939999999999999E-2</v>
      </c>
      <c r="F379">
        <v>229906989.30000001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0.46825396825396748</v>
      </c>
      <c r="Q379">
        <f t="shared" si="970"/>
        <v>107654860.06904745</v>
      </c>
      <c r="R379">
        <f t="shared" si="971"/>
        <v>2173074528.579164</v>
      </c>
      <c r="S379">
        <f t="shared" si="972"/>
        <v>21730.74528579164</v>
      </c>
      <c r="T379">
        <f t="shared" si="973"/>
        <v>21.730745285791638</v>
      </c>
    </row>
    <row r="380" spans="1:20" x14ac:dyDescent="0.25">
      <c r="A380" s="5">
        <v>44213</v>
      </c>
      <c r="B380">
        <v>1.6140000000000002E-2</v>
      </c>
      <c r="C380">
        <v>1.7979999999999999E-2</v>
      </c>
      <c r="D380">
        <v>1.555E-2</v>
      </c>
      <c r="E380">
        <v>1.737E-2</v>
      </c>
      <c r="F380">
        <v>122422204.40000001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0.49794238683127617</v>
      </c>
      <c r="Q380">
        <f t="shared" si="970"/>
        <v>60959204.660082363</v>
      </c>
      <c r="R380">
        <f t="shared" si="971"/>
        <v>2065419668.5101166</v>
      </c>
      <c r="S380">
        <f t="shared" si="972"/>
        <v>20654.196685101168</v>
      </c>
      <c r="T380">
        <f t="shared" si="973"/>
        <v>20.654196685101166</v>
      </c>
    </row>
    <row r="381" spans="1:20" x14ac:dyDescent="0.25">
      <c r="A381" s="5">
        <v>44212</v>
      </c>
      <c r="B381">
        <v>1.6459999999999999E-2</v>
      </c>
      <c r="C381">
        <v>1.736E-2</v>
      </c>
      <c r="D381">
        <v>1.5820000000000001E-2</v>
      </c>
      <c r="E381">
        <v>1.6140000000000002E-2</v>
      </c>
      <c r="F381">
        <v>113445977.2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-0.58441558441558328</v>
      </c>
      <c r="Q381">
        <f t="shared" si="970"/>
        <v>-66299597.064934939</v>
      </c>
      <c r="R381">
        <f t="shared" si="971"/>
        <v>2004460463.8500342</v>
      </c>
      <c r="S381">
        <f t="shared" si="972"/>
        <v>20044.604638500343</v>
      </c>
      <c r="T381">
        <f t="shared" si="973"/>
        <v>20.044604638500342</v>
      </c>
    </row>
    <row r="382" spans="1:20" x14ac:dyDescent="0.25">
      <c r="A382" s="5">
        <v>44211</v>
      </c>
      <c r="B382">
        <v>1.6320000000000001E-2</v>
      </c>
      <c r="C382">
        <v>1.7399999999999999E-2</v>
      </c>
      <c r="D382">
        <v>1.4999999999999999E-2</v>
      </c>
      <c r="E382">
        <v>1.644E-2</v>
      </c>
      <c r="F382">
        <v>110005772.3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0.20000000000000057</v>
      </c>
      <c r="Q382">
        <f t="shared" si="970"/>
        <v>22001154.46000006</v>
      </c>
      <c r="R382">
        <f t="shared" si="971"/>
        <v>2070760060.9149692</v>
      </c>
      <c r="S382">
        <f t="shared" si="972"/>
        <v>20707.600609149693</v>
      </c>
      <c r="T382">
        <f t="shared" si="973"/>
        <v>20.707600609149694</v>
      </c>
    </row>
    <row r="383" spans="1:20" x14ac:dyDescent="0.25">
      <c r="A383" s="5">
        <v>44210</v>
      </c>
      <c r="B383">
        <v>1.635E-2</v>
      </c>
      <c r="C383">
        <v>1.6889999999999999E-2</v>
      </c>
      <c r="D383">
        <v>1.576E-2</v>
      </c>
      <c r="E383">
        <v>1.6320000000000001E-2</v>
      </c>
      <c r="F383">
        <v>82857384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-8.8495575221204711E-3</v>
      </c>
      <c r="Q383">
        <f t="shared" si="970"/>
        <v>-733251.18584042438</v>
      </c>
      <c r="R383">
        <f t="shared" si="971"/>
        <v>2048758906.4549692</v>
      </c>
      <c r="S383">
        <f t="shared" si="972"/>
        <v>20487.589064549691</v>
      </c>
      <c r="T383">
        <f t="shared" si="973"/>
        <v>20.487589064549692</v>
      </c>
    </row>
    <row r="384" spans="1:20" x14ac:dyDescent="0.25">
      <c r="A384" s="5">
        <v>44209</v>
      </c>
      <c r="B384">
        <v>1.4789999999999999E-2</v>
      </c>
      <c r="C384">
        <v>1.6830000000000001E-2</v>
      </c>
      <c r="D384">
        <v>1.456E-2</v>
      </c>
      <c r="E384">
        <v>1.636E-2</v>
      </c>
      <c r="F384">
        <v>111181082.8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0.58590308370043931</v>
      </c>
      <c r="Q384">
        <f t="shared" si="970"/>
        <v>65141339.261673875</v>
      </c>
      <c r="R384">
        <f t="shared" si="971"/>
        <v>2049492157.6408095</v>
      </c>
      <c r="S384">
        <f t="shared" si="972"/>
        <v>20494.921576408095</v>
      </c>
      <c r="T384">
        <f t="shared" si="973"/>
        <v>20.494921576408096</v>
      </c>
    </row>
    <row r="385" spans="1:20" x14ac:dyDescent="0.25">
      <c r="A385" s="5">
        <v>44208</v>
      </c>
      <c r="B385">
        <v>1.487E-2</v>
      </c>
      <c r="C385">
        <v>1.5689999999999999E-2</v>
      </c>
      <c r="D385">
        <v>1.409E-2</v>
      </c>
      <c r="E385">
        <v>1.4829999999999999E-2</v>
      </c>
      <c r="F385">
        <v>80249289.799999997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-7.5000000000000247E-2</v>
      </c>
      <c r="Q385">
        <f t="shared" si="970"/>
        <v>-6018696.7350000199</v>
      </c>
      <c r="R385">
        <f t="shared" si="971"/>
        <v>1984350818.3791356</v>
      </c>
      <c r="S385">
        <f t="shared" si="972"/>
        <v>19843.508183791357</v>
      </c>
      <c r="T385">
        <f t="shared" si="973"/>
        <v>19.843508183791357</v>
      </c>
    </row>
    <row r="386" spans="1:20" x14ac:dyDescent="0.25">
      <c r="A386" s="5">
        <v>44207</v>
      </c>
      <c r="B386">
        <v>1.6820000000000002E-2</v>
      </c>
      <c r="C386">
        <v>1.6969999999999999E-2</v>
      </c>
      <c r="D386">
        <v>1.3089999999999999E-2</v>
      </c>
      <c r="E386">
        <v>1.489E-2</v>
      </c>
      <c r="F386">
        <v>204639546.09999999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-7.2164948453607547E-2</v>
      </c>
      <c r="Q386">
        <f t="shared" si="970"/>
        <v>-14767802.295876145</v>
      </c>
      <c r="R386">
        <f t="shared" si="971"/>
        <v>1990369515.1141357</v>
      </c>
      <c r="S386">
        <f t="shared" si="972"/>
        <v>19903.695151141357</v>
      </c>
      <c r="T386">
        <f t="shared" si="973"/>
        <v>19.903695151141356</v>
      </c>
    </row>
    <row r="387" spans="1:20" x14ac:dyDescent="0.25">
      <c r="A387" s="5">
        <v>44206</v>
      </c>
      <c r="B387">
        <v>1.771E-2</v>
      </c>
      <c r="C387">
        <v>1.8780000000000002E-2</v>
      </c>
      <c r="D387">
        <v>1.542E-2</v>
      </c>
      <c r="E387">
        <v>1.6820000000000002E-2</v>
      </c>
      <c r="F387">
        <v>248150610.5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-0.16666666666666599</v>
      </c>
      <c r="Q387">
        <f t="shared" si="970"/>
        <v>-41358435.083333164</v>
      </c>
      <c r="R387">
        <f t="shared" si="971"/>
        <v>2005137317.4100118</v>
      </c>
      <c r="S387">
        <f t="shared" si="972"/>
        <v>20051.373174100117</v>
      </c>
      <c r="T387">
        <f t="shared" si="973"/>
        <v>20.051373174100117</v>
      </c>
    </row>
    <row r="388" spans="1:20" x14ac:dyDescent="0.25">
      <c r="A388" s="5">
        <v>44205</v>
      </c>
      <c r="B388">
        <v>1.6209999999999999E-2</v>
      </c>
      <c r="C388">
        <v>1.8329999999999999E-2</v>
      </c>
      <c r="D388">
        <v>1.545E-2</v>
      </c>
      <c r="E388">
        <v>1.7729999999999999E-2</v>
      </c>
      <c r="F388">
        <v>245084716.5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0.58333333333333326</v>
      </c>
      <c r="Q388">
        <f t="shared" si="970"/>
        <v>142966084.62499997</v>
      </c>
      <c r="R388">
        <f t="shared" si="971"/>
        <v>2046495752.493345</v>
      </c>
      <c r="S388">
        <f t="shared" si="972"/>
        <v>20464.957524933448</v>
      </c>
      <c r="T388">
        <f t="shared" si="973"/>
        <v>20.46495752493345</v>
      </c>
    </row>
    <row r="389" spans="1:20" x14ac:dyDescent="0.25">
      <c r="A389" s="5">
        <v>44204</v>
      </c>
      <c r="B389">
        <v>1.5640000000000001E-2</v>
      </c>
      <c r="C389">
        <v>1.8259999999999998E-2</v>
      </c>
      <c r="D389">
        <v>1.448E-2</v>
      </c>
      <c r="E389">
        <v>1.619E-2</v>
      </c>
      <c r="F389">
        <v>296919537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-9.5238095238095066E-2</v>
      </c>
      <c r="Q389">
        <f t="shared" si="970"/>
        <v>-28278051.142857093</v>
      </c>
      <c r="R389">
        <f t="shared" si="971"/>
        <v>1903529667.868345</v>
      </c>
      <c r="S389">
        <f t="shared" si="972"/>
        <v>19035.296678683451</v>
      </c>
      <c r="T389">
        <f t="shared" si="973"/>
        <v>19.035296678683451</v>
      </c>
    </row>
    <row r="390" spans="1:20" x14ac:dyDescent="0.25">
      <c r="A390" s="5">
        <v>44203</v>
      </c>
      <c r="B390">
        <v>1.5769999999999999E-2</v>
      </c>
      <c r="C390">
        <v>1.702E-2</v>
      </c>
      <c r="D390">
        <v>1.4800000000000001E-2</v>
      </c>
      <c r="E390">
        <v>1.566E-2</v>
      </c>
      <c r="F390">
        <v>222545835.69999999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-0.22522522522522545</v>
      </c>
      <c r="Q390">
        <f t="shared" ref="Q390:Q453" si="975">F390*P390</f>
        <v>-50122935.968468517</v>
      </c>
      <c r="R390">
        <f t="shared" ref="R390:R453" si="976">R391+Q390</f>
        <v>1931807719.0112021</v>
      </c>
      <c r="S390">
        <f t="shared" ref="S390:S453" si="977">R390/100000</f>
        <v>19318.077190112021</v>
      </c>
      <c r="T390">
        <f t="shared" ref="T390:T453" si="978">S390/1000</f>
        <v>19.318077190112021</v>
      </c>
    </row>
    <row r="391" spans="1:20" x14ac:dyDescent="0.25">
      <c r="A391" s="5">
        <v>44202</v>
      </c>
      <c r="B391">
        <v>1.487E-2</v>
      </c>
      <c r="C391">
        <v>1.6E-2</v>
      </c>
      <c r="D391">
        <v>1.4500000000000001E-2</v>
      </c>
      <c r="E391">
        <v>1.5800000000000002E-2</v>
      </c>
      <c r="F391">
        <v>172030845.59999999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0.73333333333333484</v>
      </c>
      <c r="Q391">
        <f t="shared" si="975"/>
        <v>126155953.44000025</v>
      </c>
      <c r="R391">
        <f t="shared" si="976"/>
        <v>1981930654.9796705</v>
      </c>
      <c r="S391">
        <f t="shared" si="977"/>
        <v>19819.306549796704</v>
      </c>
      <c r="T391">
        <f t="shared" si="978"/>
        <v>19.819306549796703</v>
      </c>
    </row>
    <row r="392" spans="1:20" x14ac:dyDescent="0.25">
      <c r="A392" s="5">
        <v>44201</v>
      </c>
      <c r="B392">
        <v>1.3599999999999999E-2</v>
      </c>
      <c r="C392">
        <v>1.5939999999999999E-2</v>
      </c>
      <c r="D392">
        <v>1.286E-2</v>
      </c>
      <c r="E392">
        <v>1.4880000000000001E-2</v>
      </c>
      <c r="F392">
        <v>249697107.19999999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0.31168831168831257</v>
      </c>
      <c r="Q392">
        <f t="shared" si="975"/>
        <v>77827669.776623592</v>
      </c>
      <c r="R392">
        <f t="shared" si="976"/>
        <v>1855774701.5396702</v>
      </c>
      <c r="S392">
        <f t="shared" si="977"/>
        <v>18557.747015396701</v>
      </c>
      <c r="T392">
        <f t="shared" si="978"/>
        <v>18.5577470153967</v>
      </c>
    </row>
    <row r="393" spans="1:20" x14ac:dyDescent="0.25">
      <c r="A393" s="5">
        <v>44200</v>
      </c>
      <c r="B393">
        <v>1.409E-2</v>
      </c>
      <c r="C393">
        <v>1.44E-2</v>
      </c>
      <c r="D393">
        <v>1.261E-2</v>
      </c>
      <c r="E393">
        <v>1.362E-2</v>
      </c>
      <c r="F393">
        <v>104096388.8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0.12849162011173243</v>
      </c>
      <c r="Q393">
        <f t="shared" si="975"/>
        <v>13375513.644692797</v>
      </c>
      <c r="R393">
        <f t="shared" si="976"/>
        <v>1777947031.7630467</v>
      </c>
      <c r="S393">
        <f t="shared" si="977"/>
        <v>17779.470317630468</v>
      </c>
      <c r="T393">
        <f t="shared" si="978"/>
        <v>17.779470317630469</v>
      </c>
    </row>
    <row r="394" spans="1:20" x14ac:dyDescent="0.25">
      <c r="A394" s="5">
        <v>44199</v>
      </c>
      <c r="B394">
        <v>1.3050000000000001E-2</v>
      </c>
      <c r="C394">
        <v>1.4590000000000001E-2</v>
      </c>
      <c r="D394">
        <v>1.2699999999999999E-2</v>
      </c>
      <c r="E394">
        <v>1.406E-2</v>
      </c>
      <c r="F394">
        <v>194151979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0.43915343915343846</v>
      </c>
      <c r="Q394">
        <f t="shared" si="975"/>
        <v>85262509.296296164</v>
      </c>
      <c r="R394">
        <f t="shared" si="976"/>
        <v>1764571518.1183538</v>
      </c>
      <c r="S394">
        <f t="shared" si="977"/>
        <v>17645.715181183539</v>
      </c>
      <c r="T394">
        <f t="shared" si="978"/>
        <v>17.64571518118354</v>
      </c>
    </row>
    <row r="395" spans="1:20" x14ac:dyDescent="0.25">
      <c r="A395" s="5">
        <v>44198</v>
      </c>
      <c r="B395">
        <v>1.294E-2</v>
      </c>
      <c r="C395">
        <v>1.367E-2</v>
      </c>
      <c r="D395">
        <v>1.235E-2</v>
      </c>
      <c r="E395">
        <v>1.3050000000000001E-2</v>
      </c>
      <c r="F395">
        <v>130680631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6.0606060606062079E-2</v>
      </c>
      <c r="Q395">
        <f t="shared" si="975"/>
        <v>7920038.242424435</v>
      </c>
      <c r="R395">
        <f t="shared" si="976"/>
        <v>1679309008.8220577</v>
      </c>
      <c r="S395">
        <f t="shared" si="977"/>
        <v>16793.090088220579</v>
      </c>
      <c r="T395">
        <f t="shared" si="978"/>
        <v>16.79309008822058</v>
      </c>
    </row>
    <row r="396" spans="1:20" x14ac:dyDescent="0.25">
      <c r="A396" s="5">
        <v>44197</v>
      </c>
      <c r="B396">
        <v>1.255E-2</v>
      </c>
      <c r="C396">
        <v>1.299E-2</v>
      </c>
      <c r="D396">
        <v>1.223E-2</v>
      </c>
      <c r="E396">
        <v>1.2930000000000001E-2</v>
      </c>
      <c r="F396">
        <v>52740949.299999997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0.84210526315789669</v>
      </c>
      <c r="Q396">
        <f t="shared" si="975"/>
        <v>44413430.989473782</v>
      </c>
      <c r="R396">
        <f t="shared" si="976"/>
        <v>1671388970.5796332</v>
      </c>
      <c r="S396">
        <f t="shared" si="977"/>
        <v>16713.889705796333</v>
      </c>
      <c r="T396">
        <f t="shared" si="978"/>
        <v>16.713889705796333</v>
      </c>
    </row>
    <row r="397" spans="1:20" x14ac:dyDescent="0.25">
      <c r="A397" s="5">
        <v>44196</v>
      </c>
      <c r="B397">
        <v>1.3129999999999999E-2</v>
      </c>
      <c r="C397">
        <v>1.3299999999999999E-2</v>
      </c>
      <c r="D397">
        <v>1.2460000000000001E-2</v>
      </c>
      <c r="E397">
        <v>1.2540000000000001E-2</v>
      </c>
      <c r="F397">
        <v>50679315.200000003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-0.80952380952380876</v>
      </c>
      <c r="Q397">
        <f t="shared" si="975"/>
        <v>-41026112.304761872</v>
      </c>
      <c r="R397">
        <f t="shared" si="976"/>
        <v>1626975539.5901594</v>
      </c>
      <c r="S397">
        <f t="shared" si="977"/>
        <v>16269.755395901595</v>
      </c>
      <c r="T397">
        <f t="shared" si="978"/>
        <v>16.269755395901594</v>
      </c>
    </row>
    <row r="398" spans="1:20" x14ac:dyDescent="0.25">
      <c r="A398" s="5">
        <v>44195</v>
      </c>
      <c r="B398">
        <v>1.2840000000000001E-2</v>
      </c>
      <c r="C398">
        <v>1.3270000000000001E-2</v>
      </c>
      <c r="D398">
        <v>1.261E-2</v>
      </c>
      <c r="E398">
        <v>1.3100000000000001E-2</v>
      </c>
      <c r="F398">
        <v>49803727.200000003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0.48484848484848547</v>
      </c>
      <c r="Q398">
        <f t="shared" si="975"/>
        <v>24147261.672727305</v>
      </c>
      <c r="R398">
        <f t="shared" si="976"/>
        <v>1668001651.8949213</v>
      </c>
      <c r="S398">
        <f t="shared" si="977"/>
        <v>16680.016518949215</v>
      </c>
      <c r="T398">
        <f t="shared" si="978"/>
        <v>16.680016518949216</v>
      </c>
    </row>
    <row r="399" spans="1:20" x14ac:dyDescent="0.25">
      <c r="A399" s="5">
        <v>44194</v>
      </c>
      <c r="B399">
        <v>1.332E-2</v>
      </c>
      <c r="C399">
        <v>1.346E-2</v>
      </c>
      <c r="D399">
        <v>1.2500000000000001E-2</v>
      </c>
      <c r="E399">
        <v>1.2829999999999999E-2</v>
      </c>
      <c r="F399">
        <v>60575489.5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-0.31250000000000205</v>
      </c>
      <c r="Q399">
        <f t="shared" si="975"/>
        <v>-18929840.468750123</v>
      </c>
      <c r="R399">
        <f t="shared" si="976"/>
        <v>1643854390.222194</v>
      </c>
      <c r="S399">
        <f t="shared" si="977"/>
        <v>16438.54390222194</v>
      </c>
      <c r="T399">
        <f t="shared" si="978"/>
        <v>16.438543902221941</v>
      </c>
    </row>
    <row r="400" spans="1:20" x14ac:dyDescent="0.25">
      <c r="A400" s="5">
        <v>44193</v>
      </c>
      <c r="B400">
        <v>1.3220000000000001E-2</v>
      </c>
      <c r="C400">
        <v>1.362E-2</v>
      </c>
      <c r="D400">
        <v>1.302E-2</v>
      </c>
      <c r="E400">
        <v>1.332E-2</v>
      </c>
      <c r="F400">
        <v>58515700.5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</v>
      </c>
      <c r="Q400">
        <f t="shared" si="975"/>
        <v>0</v>
      </c>
      <c r="R400">
        <f t="shared" si="976"/>
        <v>1662784230.6909442</v>
      </c>
      <c r="S400">
        <f t="shared" si="977"/>
        <v>16627.842306909442</v>
      </c>
      <c r="T400">
        <f t="shared" si="978"/>
        <v>16.627842306909443</v>
      </c>
    </row>
    <row r="401" spans="1:20" x14ac:dyDescent="0.25">
      <c r="A401" s="5">
        <v>44192</v>
      </c>
      <c r="B401">
        <v>1.367E-2</v>
      </c>
      <c r="C401">
        <v>1.376E-2</v>
      </c>
      <c r="D401">
        <v>1.2699999999999999E-2</v>
      </c>
      <c r="E401">
        <v>1.32E-2</v>
      </c>
      <c r="F401">
        <v>85603612.200000003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-5.6603773584904982E-2</v>
      </c>
      <c r="Q401">
        <f t="shared" si="975"/>
        <v>-4845487.4830188099</v>
      </c>
      <c r="R401">
        <f t="shared" si="976"/>
        <v>1662784230.6909442</v>
      </c>
      <c r="S401">
        <f t="shared" si="977"/>
        <v>16627.842306909442</v>
      </c>
      <c r="T401">
        <f t="shared" si="978"/>
        <v>16.627842306909443</v>
      </c>
    </row>
    <row r="402" spans="1:20" x14ac:dyDescent="0.25">
      <c r="A402" s="5">
        <v>44191</v>
      </c>
      <c r="B402">
        <v>1.338E-2</v>
      </c>
      <c r="C402">
        <v>1.3990000000000001E-2</v>
      </c>
      <c r="D402">
        <v>1.3310000000000001E-2</v>
      </c>
      <c r="E402">
        <v>1.366E-2</v>
      </c>
      <c r="F402">
        <v>56907960.100000001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2.9411764705881152E-2</v>
      </c>
      <c r="Q402">
        <f t="shared" si="975"/>
        <v>1673763.5323528729</v>
      </c>
      <c r="R402">
        <f t="shared" si="976"/>
        <v>1667629718.1739631</v>
      </c>
      <c r="S402">
        <f t="shared" si="977"/>
        <v>16676.297181739632</v>
      </c>
      <c r="T402">
        <f t="shared" si="978"/>
        <v>16.676297181739631</v>
      </c>
    </row>
    <row r="403" spans="1:20" x14ac:dyDescent="0.25">
      <c r="A403" s="5">
        <v>44190</v>
      </c>
      <c r="B403">
        <v>1.353E-2</v>
      </c>
      <c r="C403">
        <v>1.38E-2</v>
      </c>
      <c r="D403">
        <v>1.32E-2</v>
      </c>
      <c r="E403">
        <v>1.333E-2</v>
      </c>
      <c r="F403">
        <v>45308913.899999999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-0.56666666666666687</v>
      </c>
      <c r="Q403">
        <f t="shared" si="975"/>
        <v>-25675051.210000008</v>
      </c>
      <c r="R403">
        <f t="shared" si="976"/>
        <v>1665955954.6416101</v>
      </c>
      <c r="S403">
        <f t="shared" si="977"/>
        <v>16659.559546416102</v>
      </c>
      <c r="T403">
        <f t="shared" si="978"/>
        <v>16.659559546416101</v>
      </c>
    </row>
    <row r="404" spans="1:20" x14ac:dyDescent="0.25">
      <c r="A404" s="5">
        <v>44189</v>
      </c>
      <c r="B404">
        <v>1.242E-2</v>
      </c>
      <c r="C404">
        <v>1.357E-2</v>
      </c>
      <c r="D404">
        <v>1.205E-2</v>
      </c>
      <c r="E404">
        <v>1.353E-2</v>
      </c>
      <c r="F404">
        <v>51439222.100000001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0.94736842105263142</v>
      </c>
      <c r="Q404">
        <f t="shared" si="975"/>
        <v>48731894.621052623</v>
      </c>
      <c r="R404">
        <f t="shared" si="976"/>
        <v>1691631005.8516102</v>
      </c>
      <c r="S404">
        <f t="shared" si="977"/>
        <v>16916.310058516101</v>
      </c>
      <c r="T404">
        <f t="shared" si="978"/>
        <v>16.9163100585161</v>
      </c>
    </row>
    <row r="405" spans="1:20" x14ac:dyDescent="0.25">
      <c r="A405" s="5">
        <v>44188</v>
      </c>
      <c r="B405">
        <v>1.376E-2</v>
      </c>
      <c r="C405">
        <v>1.4149999999999999E-2</v>
      </c>
      <c r="D405">
        <v>1.1990000000000001E-2</v>
      </c>
      <c r="E405">
        <v>1.239E-2</v>
      </c>
      <c r="F405">
        <v>92322925.700000003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-0.62962962962963009</v>
      </c>
      <c r="Q405">
        <f t="shared" si="975"/>
        <v>-58129249.514814861</v>
      </c>
      <c r="R405">
        <f t="shared" si="976"/>
        <v>1642899111.2305574</v>
      </c>
      <c r="S405">
        <f t="shared" si="977"/>
        <v>16428.991112305575</v>
      </c>
      <c r="T405">
        <f t="shared" si="978"/>
        <v>16.428991112305575</v>
      </c>
    </row>
    <row r="406" spans="1:20" x14ac:dyDescent="0.25">
      <c r="A406" s="5">
        <v>44187</v>
      </c>
      <c r="B406">
        <v>1.3780000000000001E-2</v>
      </c>
      <c r="C406">
        <v>1.418E-2</v>
      </c>
      <c r="D406">
        <v>1.325E-2</v>
      </c>
      <c r="E406">
        <v>1.376E-2</v>
      </c>
      <c r="F406">
        <v>66849184.399999999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9.6774193548386858E-2</v>
      </c>
      <c r="Q406">
        <f t="shared" si="975"/>
        <v>6469275.909677403</v>
      </c>
      <c r="R406">
        <f t="shared" si="976"/>
        <v>1701028360.7453723</v>
      </c>
      <c r="S406">
        <f t="shared" si="977"/>
        <v>17010.283607453723</v>
      </c>
      <c r="T406">
        <f t="shared" si="978"/>
        <v>17.010283607453722</v>
      </c>
    </row>
    <row r="407" spans="1:20" x14ac:dyDescent="0.25">
      <c r="A407" s="5">
        <v>44186</v>
      </c>
      <c r="B407">
        <v>1.464E-2</v>
      </c>
      <c r="C407">
        <v>1.478E-2</v>
      </c>
      <c r="D407">
        <v>1.34E-2</v>
      </c>
      <c r="E407">
        <v>1.375E-2</v>
      </c>
      <c r="F407">
        <v>92239660.400000006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-0.4927536231884061</v>
      </c>
      <c r="Q407">
        <f t="shared" si="975"/>
        <v>-45451426.863768145</v>
      </c>
      <c r="R407">
        <f t="shared" si="976"/>
        <v>1694559084.8356948</v>
      </c>
      <c r="S407">
        <f t="shared" si="977"/>
        <v>16945.590848356947</v>
      </c>
      <c r="T407">
        <f t="shared" si="978"/>
        <v>16.945590848356947</v>
      </c>
    </row>
    <row r="408" spans="1:20" x14ac:dyDescent="0.25">
      <c r="A408" s="5">
        <v>44185</v>
      </c>
      <c r="B408">
        <v>1.5389999999999999E-2</v>
      </c>
      <c r="C408">
        <v>1.54E-2</v>
      </c>
      <c r="D408">
        <v>1.4239999999999999E-2</v>
      </c>
      <c r="E408">
        <v>1.461E-2</v>
      </c>
      <c r="F408">
        <v>114015104.90000001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-0.36206896551724116</v>
      </c>
      <c r="Q408">
        <f t="shared" si="975"/>
        <v>-41281331.084482737</v>
      </c>
      <c r="R408">
        <f t="shared" si="976"/>
        <v>1740010511.6994629</v>
      </c>
      <c r="S408">
        <f t="shared" si="977"/>
        <v>17400.105116994629</v>
      </c>
      <c r="T408">
        <f t="shared" si="978"/>
        <v>17.400105116994631</v>
      </c>
    </row>
    <row r="409" spans="1:20" x14ac:dyDescent="0.25">
      <c r="A409" s="5">
        <v>44184</v>
      </c>
      <c r="B409">
        <v>1.414E-2</v>
      </c>
      <c r="C409">
        <v>1.5820000000000001E-2</v>
      </c>
      <c r="D409">
        <v>1.4E-2</v>
      </c>
      <c r="E409">
        <v>1.54E-2</v>
      </c>
      <c r="F409">
        <v>251294107.80000001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0.53846153846153832</v>
      </c>
      <c r="Q409">
        <f t="shared" si="975"/>
        <v>135312211.89230767</v>
      </c>
      <c r="R409">
        <f t="shared" si="976"/>
        <v>1781291842.7839456</v>
      </c>
      <c r="S409">
        <f t="shared" si="977"/>
        <v>17812.918427839457</v>
      </c>
      <c r="T409">
        <f t="shared" si="978"/>
        <v>17.812918427839456</v>
      </c>
    </row>
    <row r="410" spans="1:20" x14ac:dyDescent="0.25">
      <c r="A410" s="5">
        <v>44183</v>
      </c>
      <c r="B410">
        <v>1.3769999999999999E-2</v>
      </c>
      <c r="C410">
        <v>1.427E-2</v>
      </c>
      <c r="D410">
        <v>1.34E-2</v>
      </c>
      <c r="E410">
        <v>1.4160000000000001E-2</v>
      </c>
      <c r="F410">
        <v>49198987.5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0.74712643678161128</v>
      </c>
      <c r="Q410">
        <f t="shared" si="975"/>
        <v>36757864.224138036</v>
      </c>
      <c r="R410">
        <f t="shared" si="976"/>
        <v>1645979630.8916378</v>
      </c>
      <c r="S410">
        <f t="shared" si="977"/>
        <v>16459.796308916379</v>
      </c>
      <c r="T410">
        <f t="shared" si="978"/>
        <v>16.459796308916378</v>
      </c>
    </row>
    <row r="411" spans="1:20" x14ac:dyDescent="0.25">
      <c r="A411" s="5">
        <v>44182</v>
      </c>
      <c r="B411">
        <v>1.4E-2</v>
      </c>
      <c r="C411">
        <v>1.451E-2</v>
      </c>
      <c r="D411">
        <v>1.3599999999999999E-2</v>
      </c>
      <c r="E411">
        <v>1.38E-2</v>
      </c>
      <c r="F411">
        <v>106717979.90000001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-0.56043956043955978</v>
      </c>
      <c r="Q411">
        <f t="shared" si="975"/>
        <v>-59808977.746153779</v>
      </c>
      <c r="R411">
        <f t="shared" si="976"/>
        <v>1609221766.6674998</v>
      </c>
      <c r="S411">
        <f t="shared" si="977"/>
        <v>16092.217666674998</v>
      </c>
      <c r="T411">
        <f t="shared" si="978"/>
        <v>16.092217666674998</v>
      </c>
    </row>
    <row r="412" spans="1:20" x14ac:dyDescent="0.25">
      <c r="A412" s="5">
        <v>44181</v>
      </c>
      <c r="B412">
        <v>1.3610000000000001E-2</v>
      </c>
      <c r="C412">
        <v>1.418E-2</v>
      </c>
      <c r="D412">
        <v>1.333E-2</v>
      </c>
      <c r="E412">
        <v>1.397E-2</v>
      </c>
      <c r="F412">
        <v>68987595.799999997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0.50588235294117623</v>
      </c>
      <c r="Q412">
        <f t="shared" si="975"/>
        <v>34899607.287058808</v>
      </c>
      <c r="R412">
        <f t="shared" si="976"/>
        <v>1669030744.4136536</v>
      </c>
      <c r="S412">
        <f t="shared" si="977"/>
        <v>16690.307444136535</v>
      </c>
      <c r="T412">
        <f t="shared" si="978"/>
        <v>16.690307444136536</v>
      </c>
    </row>
    <row r="413" spans="1:20" x14ac:dyDescent="0.25">
      <c r="A413" s="5">
        <v>44180</v>
      </c>
      <c r="B413">
        <v>1.371E-2</v>
      </c>
      <c r="C413">
        <v>1.3849999999999999E-2</v>
      </c>
      <c r="D413">
        <v>1.346E-2</v>
      </c>
      <c r="E413">
        <v>1.3610000000000001E-2</v>
      </c>
      <c r="F413">
        <v>32987333.800000001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-0.23076923076922598</v>
      </c>
      <c r="Q413">
        <f t="shared" si="975"/>
        <v>-7612461.6461536884</v>
      </c>
      <c r="R413">
        <f t="shared" si="976"/>
        <v>1634131137.1265948</v>
      </c>
      <c r="S413">
        <f t="shared" si="977"/>
        <v>16341.311371265947</v>
      </c>
      <c r="T413">
        <f t="shared" si="978"/>
        <v>16.341311371265945</v>
      </c>
    </row>
    <row r="414" spans="1:20" x14ac:dyDescent="0.25">
      <c r="A414" s="5">
        <v>44179</v>
      </c>
      <c r="B414">
        <v>1.3769999999999999E-2</v>
      </c>
      <c r="C414">
        <v>1.409E-2</v>
      </c>
      <c r="D414">
        <v>1.35E-2</v>
      </c>
      <c r="E414">
        <v>1.3729999999999999E-2</v>
      </c>
      <c r="F414">
        <v>23834612.100000001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-0.22033898305085015</v>
      </c>
      <c r="Q414">
        <f t="shared" si="975"/>
        <v>-5251694.1915254882</v>
      </c>
      <c r="R414">
        <f t="shared" si="976"/>
        <v>1641743598.7727485</v>
      </c>
      <c r="S414">
        <f t="shared" si="977"/>
        <v>16417.435987727484</v>
      </c>
      <c r="T414">
        <f t="shared" si="978"/>
        <v>16.417435987727483</v>
      </c>
    </row>
    <row r="415" spans="1:20" x14ac:dyDescent="0.25">
      <c r="A415" s="5">
        <v>44178</v>
      </c>
      <c r="B415">
        <v>1.3899999999999999E-2</v>
      </c>
      <c r="C415">
        <v>1.4149999999999999E-2</v>
      </c>
      <c r="D415">
        <v>1.338E-2</v>
      </c>
      <c r="E415">
        <v>1.376E-2</v>
      </c>
      <c r="F415">
        <v>35057514.5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-1.2987012987012461E-2</v>
      </c>
      <c r="Q415">
        <f t="shared" si="975"/>
        <v>-455292.39610387763</v>
      </c>
      <c r="R415">
        <f t="shared" si="976"/>
        <v>1646995292.9642739</v>
      </c>
      <c r="S415">
        <f t="shared" si="977"/>
        <v>16469.952929642739</v>
      </c>
      <c r="T415">
        <f t="shared" si="978"/>
        <v>16.469952929642741</v>
      </c>
    </row>
    <row r="416" spans="1:20" x14ac:dyDescent="0.25">
      <c r="A416" s="5">
        <v>44177</v>
      </c>
      <c r="B416">
        <v>1.346E-2</v>
      </c>
      <c r="C416">
        <v>1.3979999999999999E-2</v>
      </c>
      <c r="D416">
        <v>1.346E-2</v>
      </c>
      <c r="E416">
        <v>1.3899999999999999E-2</v>
      </c>
      <c r="F416">
        <v>35718934.700000003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0.69230769230769129</v>
      </c>
      <c r="Q416">
        <f t="shared" si="975"/>
        <v>24728493.25384612</v>
      </c>
      <c r="R416">
        <f t="shared" si="976"/>
        <v>1647450585.3603778</v>
      </c>
      <c r="S416">
        <f t="shared" si="977"/>
        <v>16474.50585360378</v>
      </c>
      <c r="T416">
        <f t="shared" si="978"/>
        <v>16.47450585360378</v>
      </c>
    </row>
    <row r="417" spans="1:20" x14ac:dyDescent="0.25">
      <c r="A417" s="5">
        <v>44176</v>
      </c>
      <c r="B417">
        <v>1.3480000000000001E-2</v>
      </c>
      <c r="C417">
        <v>1.371E-2</v>
      </c>
      <c r="D417">
        <v>1.3100000000000001E-2</v>
      </c>
      <c r="E417">
        <v>1.3480000000000001E-2</v>
      </c>
      <c r="F417">
        <v>28523986</v>
      </c>
      <c r="G417">
        <v>0</v>
      </c>
      <c r="L417" t="s">
        <v>8</v>
      </c>
      <c r="M417" t="s">
        <v>8</v>
      </c>
      <c r="N417" t="s">
        <v>8</v>
      </c>
      <c r="P417">
        <f t="shared" si="974"/>
        <v>0.24590163934426387</v>
      </c>
      <c r="Q417">
        <f t="shared" si="975"/>
        <v>7014094.9180328315</v>
      </c>
      <c r="R417">
        <f t="shared" si="976"/>
        <v>1622722092.1065316</v>
      </c>
      <c r="S417">
        <f t="shared" si="977"/>
        <v>16227.220921065316</v>
      </c>
      <c r="T417">
        <f t="shared" si="978"/>
        <v>16.227220921065317</v>
      </c>
    </row>
    <row r="418" spans="1:20" x14ac:dyDescent="0.25">
      <c r="A418" s="5">
        <v>44175</v>
      </c>
      <c r="B418">
        <v>1.383E-2</v>
      </c>
      <c r="C418">
        <v>1.3950000000000001E-2</v>
      </c>
      <c r="D418">
        <v>1.332E-2</v>
      </c>
      <c r="E418">
        <v>1.345E-2</v>
      </c>
      <c r="F418">
        <v>38532622.200000003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-0.58730158730158788</v>
      </c>
      <c r="Q418">
        <f t="shared" si="975"/>
        <v>-22630270.180952404</v>
      </c>
      <c r="R418">
        <f t="shared" si="976"/>
        <v>1615707997.1884987</v>
      </c>
      <c r="S418">
        <f t="shared" si="977"/>
        <v>16157.079971884987</v>
      </c>
      <c r="T418">
        <f t="shared" si="978"/>
        <v>16.157079971884986</v>
      </c>
    </row>
    <row r="419" spans="1:20" x14ac:dyDescent="0.25">
      <c r="A419" s="5">
        <v>44174</v>
      </c>
      <c r="B419">
        <v>1.341E-2</v>
      </c>
      <c r="C419">
        <v>1.3990000000000001E-2</v>
      </c>
      <c r="D419">
        <v>1.302E-2</v>
      </c>
      <c r="E419">
        <v>1.384E-2</v>
      </c>
      <c r="F419">
        <v>47917264.100000001</v>
      </c>
      <c r="G419">
        <v>0</v>
      </c>
      <c r="L419" t="s">
        <v>7</v>
      </c>
      <c r="M419" t="s">
        <v>8</v>
      </c>
      <c r="N419" t="s">
        <v>8</v>
      </c>
      <c r="P419">
        <f t="shared" si="974"/>
        <v>0.69072164948453452</v>
      </c>
      <c r="Q419">
        <f t="shared" si="975"/>
        <v>33097491.69793807</v>
      </c>
      <c r="R419">
        <f t="shared" si="976"/>
        <v>1638338267.369451</v>
      </c>
      <c r="S419">
        <f t="shared" si="977"/>
        <v>16383.38267369451</v>
      </c>
      <c r="T419">
        <f t="shared" si="978"/>
        <v>16.383382673694509</v>
      </c>
    </row>
    <row r="420" spans="1:20" x14ac:dyDescent="0.25">
      <c r="A420" s="5">
        <v>44173</v>
      </c>
      <c r="B420">
        <v>1.431E-2</v>
      </c>
      <c r="C420">
        <v>1.4590000000000001E-2</v>
      </c>
      <c r="D420">
        <v>1.3299999999999999E-2</v>
      </c>
      <c r="E420">
        <v>1.341E-2</v>
      </c>
      <c r="F420">
        <v>47029394.100000001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-0.8294573643410843</v>
      </c>
      <c r="Q420">
        <f t="shared" si="975"/>
        <v>-39008877.276744142</v>
      </c>
      <c r="R420">
        <f t="shared" si="976"/>
        <v>1605240775.6715131</v>
      </c>
      <c r="S420">
        <f t="shared" si="977"/>
        <v>16052.407756715131</v>
      </c>
      <c r="T420">
        <f t="shared" si="978"/>
        <v>16.05240775671513</v>
      </c>
    </row>
    <row r="421" spans="1:20" x14ac:dyDescent="0.25">
      <c r="A421" s="5">
        <v>44172</v>
      </c>
      <c r="B421">
        <v>1.457E-2</v>
      </c>
      <c r="C421">
        <v>1.508E-2</v>
      </c>
      <c r="D421">
        <v>1.396E-2</v>
      </c>
      <c r="E421">
        <v>1.4319999999999999E-2</v>
      </c>
      <c r="F421">
        <v>43451935.5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-0.35714285714285826</v>
      </c>
      <c r="Q421">
        <f t="shared" si="975"/>
        <v>-15518548.392857192</v>
      </c>
      <c r="R421">
        <f t="shared" si="976"/>
        <v>1644249652.9482572</v>
      </c>
      <c r="S421">
        <f t="shared" si="977"/>
        <v>16442.496529482571</v>
      </c>
      <c r="T421">
        <f t="shared" si="978"/>
        <v>16.442496529482572</v>
      </c>
    </row>
    <row r="422" spans="1:20" x14ac:dyDescent="0.25">
      <c r="A422" s="5">
        <v>44171</v>
      </c>
      <c r="B422">
        <v>1.457E-2</v>
      </c>
      <c r="C422">
        <v>1.4840000000000001E-2</v>
      </c>
      <c r="D422">
        <v>1.4149999999999999E-2</v>
      </c>
      <c r="E422">
        <v>1.455E-2</v>
      </c>
      <c r="F422">
        <v>33129252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0.1594202898550732</v>
      </c>
      <c r="Q422">
        <f t="shared" si="975"/>
        <v>5281474.9565217635</v>
      </c>
      <c r="R422">
        <f t="shared" si="976"/>
        <v>1659768201.3411143</v>
      </c>
      <c r="S422">
        <f t="shared" si="977"/>
        <v>16597.682013411144</v>
      </c>
      <c r="T422">
        <f t="shared" si="978"/>
        <v>16.597682013411145</v>
      </c>
    </row>
    <row r="423" spans="1:20" x14ac:dyDescent="0.25">
      <c r="A423" s="5">
        <v>44170</v>
      </c>
      <c r="B423">
        <v>1.3820000000000001E-2</v>
      </c>
      <c r="C423">
        <v>1.499E-2</v>
      </c>
      <c r="D423">
        <v>1.3650000000000001E-2</v>
      </c>
      <c r="E423">
        <v>1.4579999999999999E-2</v>
      </c>
      <c r="F423">
        <v>47784068.100000001</v>
      </c>
      <c r="G423">
        <v>0</v>
      </c>
      <c r="L423" t="s">
        <v>8</v>
      </c>
      <c r="M423" t="s">
        <v>8</v>
      </c>
      <c r="N423" t="s">
        <v>8</v>
      </c>
      <c r="P423">
        <f t="shared" si="974"/>
        <v>0.38805970149253599</v>
      </c>
      <c r="Q423">
        <f t="shared" si="975"/>
        <v>18543071.202985011</v>
      </c>
      <c r="R423">
        <f t="shared" si="976"/>
        <v>1654486726.3845925</v>
      </c>
      <c r="S423">
        <f t="shared" si="977"/>
        <v>16544.867263845925</v>
      </c>
      <c r="T423">
        <f t="shared" si="978"/>
        <v>16.544867263845926</v>
      </c>
    </row>
    <row r="424" spans="1:20" x14ac:dyDescent="0.25">
      <c r="A424" s="5">
        <v>44169</v>
      </c>
      <c r="B424">
        <v>1.5129999999999999E-2</v>
      </c>
      <c r="C424">
        <v>1.541E-2</v>
      </c>
      <c r="D424">
        <v>1.3679999999999999E-2</v>
      </c>
      <c r="E424">
        <v>1.384E-2</v>
      </c>
      <c r="F424">
        <v>75869971.200000003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-0.81502890173410358</v>
      </c>
      <c r="Q424">
        <f t="shared" si="975"/>
        <v>-61836219.301734075</v>
      </c>
      <c r="R424">
        <f t="shared" si="976"/>
        <v>1635943655.1816075</v>
      </c>
      <c r="S424">
        <f t="shared" si="977"/>
        <v>16359.436551816076</v>
      </c>
      <c r="T424">
        <f t="shared" si="978"/>
        <v>16.359436551816074</v>
      </c>
    </row>
    <row r="425" spans="1:20" x14ac:dyDescent="0.25">
      <c r="A425" s="5">
        <v>44168</v>
      </c>
      <c r="B425">
        <v>1.426E-2</v>
      </c>
      <c r="C425">
        <v>1.537E-2</v>
      </c>
      <c r="D425">
        <v>1.409E-2</v>
      </c>
      <c r="E425">
        <v>1.5129999999999999E-2</v>
      </c>
      <c r="F425">
        <v>92905360.200000003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0.624999999999999</v>
      </c>
      <c r="Q425">
        <f t="shared" si="975"/>
        <v>58065850.124999911</v>
      </c>
      <c r="R425">
        <f t="shared" si="976"/>
        <v>1697779874.4833415</v>
      </c>
      <c r="S425">
        <f t="shared" si="977"/>
        <v>16977.798744833413</v>
      </c>
      <c r="T425">
        <f t="shared" si="978"/>
        <v>16.977798744833414</v>
      </c>
    </row>
    <row r="426" spans="1:20" x14ac:dyDescent="0.25">
      <c r="A426" s="5">
        <v>44167</v>
      </c>
      <c r="B426">
        <v>1.404E-2</v>
      </c>
      <c r="C426">
        <v>1.44E-2</v>
      </c>
      <c r="D426">
        <v>1.38E-2</v>
      </c>
      <c r="E426">
        <v>1.423E-2</v>
      </c>
      <c r="F426">
        <v>34552843.200000003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0.43333333333333313</v>
      </c>
      <c r="Q426">
        <f t="shared" si="975"/>
        <v>14972898.719999993</v>
      </c>
      <c r="R426">
        <f t="shared" si="976"/>
        <v>1639714024.3583415</v>
      </c>
      <c r="S426">
        <f t="shared" si="977"/>
        <v>16397.140243583413</v>
      </c>
      <c r="T426">
        <f t="shared" si="978"/>
        <v>16.397140243583415</v>
      </c>
    </row>
    <row r="427" spans="1:20" x14ac:dyDescent="0.25">
      <c r="A427" s="5">
        <v>44166</v>
      </c>
      <c r="B427">
        <v>1.4590000000000001E-2</v>
      </c>
      <c r="C427">
        <v>1.498E-2</v>
      </c>
      <c r="D427">
        <v>1.3610000000000001E-2</v>
      </c>
      <c r="E427">
        <v>1.404E-2</v>
      </c>
      <c r="F427">
        <v>64864516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-0.37226277372262784</v>
      </c>
      <c r="Q427">
        <f t="shared" si="975"/>
        <v>-24146644.642335773</v>
      </c>
      <c r="R427">
        <f t="shared" si="976"/>
        <v>1624741125.6383414</v>
      </c>
      <c r="S427">
        <f t="shared" si="977"/>
        <v>16247.411256383415</v>
      </c>
      <c r="T427">
        <f t="shared" si="978"/>
        <v>16.247411256383415</v>
      </c>
    </row>
    <row r="428" spans="1:20" x14ac:dyDescent="0.25">
      <c r="A428" s="5">
        <v>44165</v>
      </c>
      <c r="B428">
        <v>1.4080000000000001E-2</v>
      </c>
      <c r="C428">
        <v>1.487E-2</v>
      </c>
      <c r="D428">
        <v>1.3990000000000001E-2</v>
      </c>
      <c r="E428">
        <v>1.457E-2</v>
      </c>
      <c r="F428">
        <v>87799314.599999994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0.31818181818181746</v>
      </c>
      <c r="Q428">
        <f t="shared" si="975"/>
        <v>27936145.554545388</v>
      </c>
      <c r="R428">
        <f t="shared" si="976"/>
        <v>1648887770.2806771</v>
      </c>
      <c r="S428">
        <f t="shared" si="977"/>
        <v>16488.877702806771</v>
      </c>
      <c r="T428">
        <f t="shared" si="978"/>
        <v>16.488877702806771</v>
      </c>
    </row>
    <row r="429" spans="1:20" x14ac:dyDescent="0.25">
      <c r="A429" s="5">
        <v>44164</v>
      </c>
      <c r="B429">
        <v>1.4239999999999999E-2</v>
      </c>
      <c r="C429">
        <v>1.4590000000000001E-2</v>
      </c>
      <c r="D429">
        <v>1.363E-2</v>
      </c>
      <c r="E429">
        <v>1.4080000000000001E-2</v>
      </c>
      <c r="F429">
        <v>56862231.799999997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-6.2499999999999209E-2</v>
      </c>
      <c r="Q429">
        <f t="shared" si="975"/>
        <v>-3553889.4874999546</v>
      </c>
      <c r="R429">
        <f t="shared" si="976"/>
        <v>1620951624.7261317</v>
      </c>
      <c r="S429">
        <f t="shared" si="977"/>
        <v>16209.516247261317</v>
      </c>
      <c r="T429">
        <f t="shared" si="978"/>
        <v>16.209516247261316</v>
      </c>
    </row>
    <row r="430" spans="1:20" x14ac:dyDescent="0.25">
      <c r="A430" s="5">
        <v>44163</v>
      </c>
      <c r="B430">
        <v>1.391E-2</v>
      </c>
      <c r="C430">
        <v>1.473E-2</v>
      </c>
      <c r="D430">
        <v>1.3599999999999999E-2</v>
      </c>
      <c r="E430">
        <v>1.4279999999999999E-2</v>
      </c>
      <c r="F430">
        <v>57181700.299999997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0.20353982300884879</v>
      </c>
      <c r="Q430">
        <f t="shared" si="975"/>
        <v>11638753.158407034</v>
      </c>
      <c r="R430">
        <f t="shared" si="976"/>
        <v>1624505514.2136316</v>
      </c>
      <c r="S430">
        <f t="shared" si="977"/>
        <v>16245.055142136316</v>
      </c>
      <c r="T430">
        <f t="shared" si="978"/>
        <v>16.245055142136316</v>
      </c>
    </row>
    <row r="431" spans="1:20" x14ac:dyDescent="0.25">
      <c r="A431" s="5">
        <v>44162</v>
      </c>
      <c r="B431">
        <v>1.3979999999999999E-2</v>
      </c>
      <c r="C431">
        <v>1.4999999999999999E-2</v>
      </c>
      <c r="D431">
        <v>1.303E-2</v>
      </c>
      <c r="E431">
        <v>1.387E-2</v>
      </c>
      <c r="F431">
        <v>63103530.200000003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-0.1472081218274105</v>
      </c>
      <c r="Q431">
        <f t="shared" si="975"/>
        <v>-9289352.1614212785</v>
      </c>
      <c r="R431">
        <f t="shared" si="976"/>
        <v>1612866761.0552247</v>
      </c>
      <c r="S431">
        <f t="shared" si="977"/>
        <v>16128.667610552247</v>
      </c>
      <c r="T431">
        <f t="shared" si="978"/>
        <v>16.128667610552249</v>
      </c>
    </row>
    <row r="432" spans="1:20" x14ac:dyDescent="0.25">
      <c r="A432" s="5">
        <v>44161</v>
      </c>
      <c r="B432">
        <v>1.5610000000000001E-2</v>
      </c>
      <c r="C432">
        <v>1.5859999999999999E-2</v>
      </c>
      <c r="D432">
        <v>1.2999999999999999E-2</v>
      </c>
      <c r="E432">
        <v>1.397E-2</v>
      </c>
      <c r="F432">
        <v>112835310.7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-0.32167832167832133</v>
      </c>
      <c r="Q432">
        <f t="shared" si="975"/>
        <v>-36296673.372027934</v>
      </c>
      <c r="R432">
        <f t="shared" si="976"/>
        <v>1622156113.216646</v>
      </c>
      <c r="S432">
        <f t="shared" si="977"/>
        <v>16221.56113216646</v>
      </c>
      <c r="T432">
        <f t="shared" si="978"/>
        <v>16.22156113216646</v>
      </c>
    </row>
    <row r="433" spans="1:20" x14ac:dyDescent="0.25">
      <c r="A433" s="5">
        <v>44160</v>
      </c>
      <c r="B433">
        <v>1.6379999999999999E-2</v>
      </c>
      <c r="C433">
        <v>1.7479999999999999E-2</v>
      </c>
      <c r="D433">
        <v>1.4999999999999999E-2</v>
      </c>
      <c r="E433">
        <v>1.555E-2</v>
      </c>
      <c r="F433">
        <v>164398569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-0.55645161290322565</v>
      </c>
      <c r="Q433">
        <f t="shared" si="975"/>
        <v>-91479848.879032224</v>
      </c>
      <c r="R433">
        <f t="shared" si="976"/>
        <v>1658452786.5886738</v>
      </c>
      <c r="S433">
        <f t="shared" si="977"/>
        <v>16584.527865886739</v>
      </c>
      <c r="T433">
        <f t="shared" si="978"/>
        <v>16.584527865886738</v>
      </c>
    </row>
    <row r="434" spans="1:20" x14ac:dyDescent="0.25">
      <c r="A434" s="5">
        <v>44159</v>
      </c>
      <c r="B434">
        <v>1.469E-2</v>
      </c>
      <c r="C434">
        <v>1.7430000000000001E-2</v>
      </c>
      <c r="D434">
        <v>1.448E-2</v>
      </c>
      <c r="E434">
        <v>1.6379999999999999E-2</v>
      </c>
      <c r="F434">
        <v>259962062.30000001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0.28813559322033772</v>
      </c>
      <c r="Q434">
        <f t="shared" si="975"/>
        <v>74904323.035592899</v>
      </c>
      <c r="R434">
        <f t="shared" si="976"/>
        <v>1749932635.467706</v>
      </c>
      <c r="S434">
        <f t="shared" si="977"/>
        <v>17499.326354677061</v>
      </c>
      <c r="T434">
        <f t="shared" si="978"/>
        <v>17.499326354677063</v>
      </c>
    </row>
    <row r="435" spans="1:20" x14ac:dyDescent="0.25">
      <c r="A435" s="5">
        <v>44158</v>
      </c>
      <c r="B435">
        <v>1.35E-2</v>
      </c>
      <c r="C435">
        <v>1.477E-2</v>
      </c>
      <c r="D435">
        <v>1.311E-2</v>
      </c>
      <c r="E435">
        <v>1.4710000000000001E-2</v>
      </c>
      <c r="F435">
        <v>151058605.5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0.92771084337349485</v>
      </c>
      <c r="Q435">
        <f t="shared" si="975"/>
        <v>140138706.30722904</v>
      </c>
      <c r="R435">
        <f t="shared" si="976"/>
        <v>1675028312.4321132</v>
      </c>
      <c r="S435">
        <f t="shared" si="977"/>
        <v>16750.283124321133</v>
      </c>
      <c r="T435">
        <f t="shared" si="978"/>
        <v>16.750283124321133</v>
      </c>
    </row>
    <row r="436" spans="1:20" x14ac:dyDescent="0.25">
      <c r="A436" s="5">
        <v>44157</v>
      </c>
      <c r="B436">
        <v>1.3979999999999999E-2</v>
      </c>
      <c r="C436">
        <v>1.431E-2</v>
      </c>
      <c r="D436">
        <v>1.291E-2</v>
      </c>
      <c r="E436">
        <v>1.349E-2</v>
      </c>
      <c r="F436">
        <v>93661165.400000006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-0.17142857142857063</v>
      </c>
      <c r="Q436">
        <f t="shared" si="975"/>
        <v>-16056199.782857068</v>
      </c>
      <c r="R436">
        <f t="shared" si="976"/>
        <v>1534889606.1248841</v>
      </c>
      <c r="S436">
        <f t="shared" si="977"/>
        <v>15348.896061248841</v>
      </c>
      <c r="T436">
        <f t="shared" si="978"/>
        <v>15.348896061248841</v>
      </c>
    </row>
    <row r="437" spans="1:20" x14ac:dyDescent="0.25">
      <c r="A437" s="5">
        <v>44156</v>
      </c>
      <c r="B437">
        <v>1.259E-2</v>
      </c>
      <c r="C437">
        <v>1.4120000000000001E-2</v>
      </c>
      <c r="D437">
        <v>1.2449999999999999E-2</v>
      </c>
      <c r="E437">
        <v>1.3979999999999999E-2</v>
      </c>
      <c r="F437">
        <v>119371753.7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0.83233532934131604</v>
      </c>
      <c r="Q437">
        <f t="shared" si="975"/>
        <v>99357327.92993997</v>
      </c>
      <c r="R437">
        <f t="shared" si="976"/>
        <v>1550945805.9077413</v>
      </c>
      <c r="S437">
        <f t="shared" si="977"/>
        <v>15509.458059077413</v>
      </c>
      <c r="T437">
        <f t="shared" si="978"/>
        <v>15.509458059077414</v>
      </c>
    </row>
    <row r="438" spans="1:20" x14ac:dyDescent="0.25">
      <c r="A438" s="5">
        <v>44155</v>
      </c>
      <c r="B438">
        <v>1.268E-2</v>
      </c>
      <c r="C438">
        <v>1.2959999999999999E-2</v>
      </c>
      <c r="D438">
        <v>1.2109999999999999E-2</v>
      </c>
      <c r="E438">
        <v>1.26E-2</v>
      </c>
      <c r="F438">
        <v>66027133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0.15294117647059016</v>
      </c>
      <c r="Q438">
        <f t="shared" si="975"/>
        <v>10098267.400000127</v>
      </c>
      <c r="R438">
        <f t="shared" si="976"/>
        <v>1451588477.9778013</v>
      </c>
      <c r="S438">
        <f t="shared" si="977"/>
        <v>14515.884779778013</v>
      </c>
      <c r="T438">
        <f t="shared" si="978"/>
        <v>14.515884779778013</v>
      </c>
    </row>
    <row r="439" spans="1:20" x14ac:dyDescent="0.25">
      <c r="A439" s="5">
        <v>44154</v>
      </c>
      <c r="B439">
        <v>1.2760000000000001E-2</v>
      </c>
      <c r="C439">
        <v>1.29E-2</v>
      </c>
      <c r="D439">
        <v>1.2290000000000001E-2</v>
      </c>
      <c r="E439">
        <v>1.2710000000000001E-2</v>
      </c>
      <c r="F439">
        <v>40210730.399999999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0.37704918032787088</v>
      </c>
      <c r="Q439">
        <f t="shared" si="975"/>
        <v>15161422.937704999</v>
      </c>
      <c r="R439">
        <f t="shared" si="976"/>
        <v>1441490210.5778012</v>
      </c>
      <c r="S439">
        <f t="shared" si="977"/>
        <v>14414.902105778012</v>
      </c>
      <c r="T439">
        <f t="shared" si="978"/>
        <v>14.414902105778012</v>
      </c>
    </row>
    <row r="440" spans="1:20" x14ac:dyDescent="0.25">
      <c r="A440" s="5">
        <v>44153</v>
      </c>
      <c r="B440">
        <v>1.321E-2</v>
      </c>
      <c r="C440">
        <v>1.3339999999999999E-2</v>
      </c>
      <c r="D440">
        <v>1.2460000000000001E-2</v>
      </c>
      <c r="E440">
        <v>1.2789999999999999E-2</v>
      </c>
      <c r="F440">
        <v>64300233.600000001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-0.250000000000002</v>
      </c>
      <c r="Q440">
        <f t="shared" si="975"/>
        <v>-16075058.400000129</v>
      </c>
      <c r="R440">
        <f t="shared" si="976"/>
        <v>1426328787.6400962</v>
      </c>
      <c r="S440">
        <f t="shared" si="977"/>
        <v>14263.287876400962</v>
      </c>
      <c r="T440">
        <f t="shared" si="978"/>
        <v>14.263287876400963</v>
      </c>
    </row>
    <row r="441" spans="1:20" x14ac:dyDescent="0.25">
      <c r="A441" s="5">
        <v>44152</v>
      </c>
      <c r="B441">
        <v>1.282E-2</v>
      </c>
      <c r="C441">
        <v>1.362E-2</v>
      </c>
      <c r="D441">
        <v>1.281E-2</v>
      </c>
      <c r="E441">
        <v>1.3180000000000001E-2</v>
      </c>
      <c r="F441">
        <v>54601139.5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-8.6419753086418374E-2</v>
      </c>
      <c r="Q441">
        <f t="shared" si="975"/>
        <v>-4718616.993827085</v>
      </c>
      <c r="R441">
        <f t="shared" si="976"/>
        <v>1442403846.0400963</v>
      </c>
      <c r="S441">
        <f t="shared" si="977"/>
        <v>14424.038460400963</v>
      </c>
      <c r="T441">
        <f t="shared" si="978"/>
        <v>14.424038460400963</v>
      </c>
    </row>
    <row r="442" spans="1:20" x14ac:dyDescent="0.25">
      <c r="A442" s="5">
        <v>44151</v>
      </c>
      <c r="B442">
        <v>1.282E-2</v>
      </c>
      <c r="C442">
        <v>1.311E-2</v>
      </c>
      <c r="D442">
        <v>1.2619999999999999E-2</v>
      </c>
      <c r="E442">
        <v>1.2840000000000001E-2</v>
      </c>
      <c r="F442">
        <v>36604787.899999999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-0.10204081632652627</v>
      </c>
      <c r="Q442">
        <f t="shared" si="975"/>
        <v>-3735182.4387753513</v>
      </c>
      <c r="R442">
        <f t="shared" si="976"/>
        <v>1447122463.0339234</v>
      </c>
      <c r="S442">
        <f t="shared" si="977"/>
        <v>14471.224630339233</v>
      </c>
      <c r="T442">
        <f t="shared" si="978"/>
        <v>14.471224630339233</v>
      </c>
    </row>
    <row r="443" spans="1:20" x14ac:dyDescent="0.25">
      <c r="A443" s="5">
        <v>44150</v>
      </c>
      <c r="B443">
        <v>1.2760000000000001E-2</v>
      </c>
      <c r="C443">
        <v>1.289E-2</v>
      </c>
      <c r="D443">
        <v>1.24E-2</v>
      </c>
      <c r="E443">
        <v>1.282E-2</v>
      </c>
      <c r="F443">
        <v>24975609.899999999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0.7142857142857123</v>
      </c>
      <c r="Q443">
        <f t="shared" si="975"/>
        <v>17839721.357142806</v>
      </c>
      <c r="R443">
        <f t="shared" si="976"/>
        <v>1450857645.4726987</v>
      </c>
      <c r="S443">
        <f t="shared" si="977"/>
        <v>14508.576454726986</v>
      </c>
      <c r="T443">
        <f t="shared" si="978"/>
        <v>14.508576454726986</v>
      </c>
    </row>
    <row r="444" spans="1:20" x14ac:dyDescent="0.25">
      <c r="A444" s="5">
        <v>44149</v>
      </c>
      <c r="B444">
        <v>1.3140000000000001E-2</v>
      </c>
      <c r="C444">
        <v>1.3299999999999999E-2</v>
      </c>
      <c r="D444">
        <v>1.251E-2</v>
      </c>
      <c r="E444">
        <v>1.278E-2</v>
      </c>
      <c r="F444">
        <v>42494739.600000001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-0.31645569620253233</v>
      </c>
      <c r="Q444">
        <f t="shared" si="975"/>
        <v>-13447702.40506332</v>
      </c>
      <c r="R444">
        <f t="shared" si="976"/>
        <v>1433017924.1155558</v>
      </c>
      <c r="S444">
        <f t="shared" si="977"/>
        <v>14330.179241155558</v>
      </c>
      <c r="T444">
        <f t="shared" si="978"/>
        <v>14.330179241155559</v>
      </c>
    </row>
    <row r="445" spans="1:20" x14ac:dyDescent="0.25">
      <c r="A445" s="5">
        <v>44148</v>
      </c>
      <c r="B445">
        <v>1.278E-2</v>
      </c>
      <c r="C445">
        <v>1.333E-2</v>
      </c>
      <c r="D445">
        <v>1.269E-2</v>
      </c>
      <c r="E445">
        <v>1.3129999999999999E-2</v>
      </c>
      <c r="F445">
        <v>37908290.200000003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0.37499999999999828</v>
      </c>
      <c r="Q445">
        <f t="shared" si="975"/>
        <v>14215608.824999936</v>
      </c>
      <c r="R445">
        <f t="shared" si="976"/>
        <v>1446465626.5206192</v>
      </c>
      <c r="S445">
        <f t="shared" si="977"/>
        <v>14464.656265206191</v>
      </c>
      <c r="T445">
        <f t="shared" si="978"/>
        <v>14.464656265206191</v>
      </c>
    </row>
    <row r="446" spans="1:20" x14ac:dyDescent="0.25">
      <c r="A446" s="5">
        <v>44147</v>
      </c>
      <c r="B446">
        <v>1.291E-2</v>
      </c>
      <c r="C446">
        <v>1.2919999999999999E-2</v>
      </c>
      <c r="D446">
        <v>1.239E-2</v>
      </c>
      <c r="E446">
        <v>1.278E-2</v>
      </c>
      <c r="F446">
        <v>53333366.399999999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0.47169811320754829</v>
      </c>
      <c r="Q446">
        <f t="shared" si="975"/>
        <v>25157248.301886853</v>
      </c>
      <c r="R446">
        <f t="shared" si="976"/>
        <v>1432250017.6956191</v>
      </c>
      <c r="S446">
        <f t="shared" si="977"/>
        <v>14322.500176956191</v>
      </c>
      <c r="T446">
        <f t="shared" si="978"/>
        <v>14.322500176956192</v>
      </c>
    </row>
    <row r="447" spans="1:20" x14ac:dyDescent="0.25">
      <c r="A447" s="5">
        <v>44146</v>
      </c>
      <c r="B447">
        <v>1.3169999999999999E-2</v>
      </c>
      <c r="C447">
        <v>1.3390000000000001E-2</v>
      </c>
      <c r="D447">
        <v>1.285E-2</v>
      </c>
      <c r="E447">
        <v>1.2930000000000001E-2</v>
      </c>
      <c r="F447">
        <v>61133497.600000001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-0.70370370370370328</v>
      </c>
      <c r="Q447">
        <f t="shared" si="975"/>
        <v>-43019868.681481458</v>
      </c>
      <c r="R447">
        <f t="shared" si="976"/>
        <v>1407092769.3937323</v>
      </c>
      <c r="S447">
        <f t="shared" si="977"/>
        <v>14070.927693937323</v>
      </c>
      <c r="T447">
        <f t="shared" si="978"/>
        <v>14.070927693937323</v>
      </c>
    </row>
    <row r="448" spans="1:20" x14ac:dyDescent="0.25">
      <c r="A448" s="5">
        <v>44145</v>
      </c>
      <c r="B448">
        <v>1.244E-2</v>
      </c>
      <c r="C448">
        <v>1.333E-2</v>
      </c>
      <c r="D448">
        <v>1.2330000000000001E-2</v>
      </c>
      <c r="E448">
        <v>1.316E-2</v>
      </c>
      <c r="F448">
        <v>81992075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0.6599999999999997</v>
      </c>
      <c r="Q448">
        <f t="shared" si="975"/>
        <v>54114769.499999978</v>
      </c>
      <c r="R448">
        <f t="shared" si="976"/>
        <v>1450112638.0752137</v>
      </c>
      <c r="S448">
        <f t="shared" si="977"/>
        <v>14501.126380752137</v>
      </c>
      <c r="T448">
        <f t="shared" si="978"/>
        <v>14.501126380752137</v>
      </c>
    </row>
    <row r="449" spans="1:20" x14ac:dyDescent="0.25">
      <c r="A449" s="5">
        <v>44144</v>
      </c>
      <c r="B449">
        <v>1.239E-2</v>
      </c>
      <c r="C449">
        <v>1.259E-2</v>
      </c>
      <c r="D449">
        <v>1.201E-2</v>
      </c>
      <c r="E449">
        <v>1.2449999999999999E-2</v>
      </c>
      <c r="F449">
        <v>50895382.399999999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0.51724137931034109</v>
      </c>
      <c r="Q449">
        <f t="shared" si="975"/>
        <v>26325197.793103255</v>
      </c>
      <c r="R449">
        <f t="shared" si="976"/>
        <v>1395997868.5752137</v>
      </c>
      <c r="S449">
        <f t="shared" si="977"/>
        <v>13959.978685752138</v>
      </c>
      <c r="T449">
        <f t="shared" si="978"/>
        <v>13.959978685752137</v>
      </c>
    </row>
    <row r="450" spans="1:20" x14ac:dyDescent="0.25">
      <c r="A450" s="5">
        <v>44143</v>
      </c>
      <c r="B450">
        <v>1.175E-2</v>
      </c>
      <c r="C450">
        <v>1.2840000000000001E-2</v>
      </c>
      <c r="D450">
        <v>1.167E-2</v>
      </c>
      <c r="E450">
        <v>1.2409999999999999E-2</v>
      </c>
      <c r="F450">
        <v>41268054.100000001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0.26495726495726285</v>
      </c>
      <c r="Q450">
        <f t="shared" si="975"/>
        <v>10934270.744444357</v>
      </c>
      <c r="R450">
        <f t="shared" si="976"/>
        <v>1369672670.7821105</v>
      </c>
      <c r="S450">
        <f t="shared" si="977"/>
        <v>13696.726707821104</v>
      </c>
      <c r="T450">
        <f t="shared" si="978"/>
        <v>13.696726707821105</v>
      </c>
    </row>
    <row r="451" spans="1:20" x14ac:dyDescent="0.25">
      <c r="A451" s="5">
        <v>44142</v>
      </c>
      <c r="B451">
        <v>1.26E-2</v>
      </c>
      <c r="C451">
        <v>1.312E-2</v>
      </c>
      <c r="D451">
        <v>1.146E-2</v>
      </c>
      <c r="E451">
        <v>1.175E-2</v>
      </c>
      <c r="F451">
        <v>106509674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-0.65060240963855387</v>
      </c>
      <c r="Q451">
        <f t="shared" si="975"/>
        <v>-69295450.554216832</v>
      </c>
      <c r="R451">
        <f t="shared" si="976"/>
        <v>1358738400.0376661</v>
      </c>
      <c r="S451">
        <f t="shared" si="977"/>
        <v>13587.38400037666</v>
      </c>
      <c r="T451">
        <f t="shared" si="978"/>
        <v>13.587384000376661</v>
      </c>
    </row>
    <row r="452" spans="1:20" x14ac:dyDescent="0.25">
      <c r="A452" s="5">
        <v>44141</v>
      </c>
      <c r="B452">
        <v>1.206E-2</v>
      </c>
      <c r="C452">
        <v>1.2880000000000001E-2</v>
      </c>
      <c r="D452">
        <v>1.205E-2</v>
      </c>
      <c r="E452">
        <v>1.255E-2</v>
      </c>
      <c r="F452">
        <v>88346415.200000003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0.20481927710843353</v>
      </c>
      <c r="Q452">
        <f t="shared" si="975"/>
        <v>18095048.896385524</v>
      </c>
      <c r="R452">
        <f t="shared" si="976"/>
        <v>1428033850.5918829</v>
      </c>
      <c r="S452">
        <f t="shared" si="977"/>
        <v>14280.338505918829</v>
      </c>
      <c r="T452">
        <f t="shared" si="978"/>
        <v>14.280338505918829</v>
      </c>
    </row>
    <row r="453" spans="1:20" x14ac:dyDescent="0.25">
      <c r="A453" s="5">
        <v>44140</v>
      </c>
      <c r="B453">
        <v>1.188E-2</v>
      </c>
      <c r="C453">
        <v>1.2460000000000001E-2</v>
      </c>
      <c r="D453">
        <v>1.1310000000000001E-2</v>
      </c>
      <c r="E453">
        <v>1.206E-2</v>
      </c>
      <c r="F453">
        <v>95531693.5</v>
      </c>
      <c r="G453">
        <v>0</v>
      </c>
      <c r="L453" t="s">
        <v>7</v>
      </c>
      <c r="M453" t="s">
        <v>8</v>
      </c>
      <c r="N453" t="s">
        <v>7</v>
      </c>
      <c r="P453">
        <f t="shared" si="974"/>
        <v>0.30434782608695471</v>
      </c>
      <c r="Q453">
        <f t="shared" si="975"/>
        <v>29074863.239130262</v>
      </c>
      <c r="R453">
        <f t="shared" si="976"/>
        <v>1409938801.6954975</v>
      </c>
      <c r="S453">
        <f t="shared" si="977"/>
        <v>14099.388016954976</v>
      </c>
      <c r="T453">
        <f t="shared" si="978"/>
        <v>14.099388016954975</v>
      </c>
    </row>
    <row r="454" spans="1:20" x14ac:dyDescent="0.25">
      <c r="A454" s="5">
        <v>44139</v>
      </c>
      <c r="B454">
        <v>1.145E-2</v>
      </c>
      <c r="C454">
        <v>1.244E-2</v>
      </c>
      <c r="D454">
        <v>1.115E-2</v>
      </c>
      <c r="E454">
        <v>1.1939999999999999E-2</v>
      </c>
      <c r="F454">
        <v>143633714.80000001</v>
      </c>
      <c r="G454">
        <v>0</v>
      </c>
      <c r="L454" t="s">
        <v>8</v>
      </c>
      <c r="M454" t="s">
        <v>8</v>
      </c>
      <c r="N454" t="s">
        <v>7</v>
      </c>
      <c r="P454">
        <f t="shared" ref="P454:P517" si="979">IF(C454=D454,0,((E454-D454)-(C454-E454))/(C454-D454))</f>
        <v>0.22480620155038661</v>
      </c>
      <c r="Q454">
        <f t="shared" ref="Q454:Q517" si="980">F454*P454</f>
        <v>32289749.838759549</v>
      </c>
      <c r="R454">
        <f t="shared" ref="R454:R517" si="981">R455+Q454</f>
        <v>1380863938.4563673</v>
      </c>
      <c r="S454">
        <f t="shared" ref="S454:S517" si="982">R454/100000</f>
        <v>13808.639384563672</v>
      </c>
      <c r="T454">
        <f t="shared" ref="T454:T517" si="983">S454/1000</f>
        <v>13.808639384563673</v>
      </c>
    </row>
    <row r="455" spans="1:20" x14ac:dyDescent="0.25">
      <c r="A455" s="5">
        <v>44138</v>
      </c>
      <c r="B455">
        <v>1.1129999999999999E-2</v>
      </c>
      <c r="C455">
        <v>1.217E-2</v>
      </c>
      <c r="D455">
        <v>1.0670000000000001E-2</v>
      </c>
      <c r="E455">
        <v>1.14E-2</v>
      </c>
      <c r="F455">
        <v>77213684.900000006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-2.6666666666666745E-2</v>
      </c>
      <c r="Q455">
        <f t="shared" si="980"/>
        <v>-2059031.5973333395</v>
      </c>
      <c r="R455">
        <f t="shared" si="981"/>
        <v>1348574188.6176076</v>
      </c>
      <c r="S455">
        <f t="shared" si="982"/>
        <v>13485.741886176076</v>
      </c>
      <c r="T455">
        <f t="shared" si="983"/>
        <v>13.485741886176076</v>
      </c>
    </row>
    <row r="456" spans="1:20" x14ac:dyDescent="0.25">
      <c r="A456" s="5">
        <v>44137</v>
      </c>
      <c r="B456">
        <v>1.116E-2</v>
      </c>
      <c r="C456">
        <v>1.1350000000000001E-2</v>
      </c>
      <c r="D456">
        <v>1.078E-2</v>
      </c>
      <c r="E456">
        <v>1.1180000000000001E-2</v>
      </c>
      <c r="F456">
        <v>42874894.200000003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0.40350877192982565</v>
      </c>
      <c r="Q456">
        <f t="shared" si="980"/>
        <v>17300395.905263204</v>
      </c>
      <c r="R456">
        <f t="shared" si="981"/>
        <v>1350633220.214941</v>
      </c>
      <c r="S456">
        <f t="shared" si="982"/>
        <v>13506.33220214941</v>
      </c>
      <c r="T456">
        <f t="shared" si="983"/>
        <v>13.506332202149409</v>
      </c>
    </row>
    <row r="457" spans="1:20" x14ac:dyDescent="0.25">
      <c r="A457" s="5">
        <v>44136</v>
      </c>
      <c r="B457">
        <v>1.133E-2</v>
      </c>
      <c r="C457">
        <v>1.141E-2</v>
      </c>
      <c r="D457">
        <v>1.11E-2</v>
      </c>
      <c r="E457">
        <v>1.115E-2</v>
      </c>
      <c r="F457">
        <v>14906937.1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-0.67741935483871107</v>
      </c>
      <c r="Q457">
        <f t="shared" si="980"/>
        <v>-10098247.712903246</v>
      </c>
      <c r="R457">
        <f t="shared" si="981"/>
        <v>1333332824.3096778</v>
      </c>
      <c r="S457">
        <f t="shared" si="982"/>
        <v>13333.328243096779</v>
      </c>
      <c r="T457">
        <f t="shared" si="983"/>
        <v>13.33332824309678</v>
      </c>
    </row>
    <row r="458" spans="1:20" x14ac:dyDescent="0.25">
      <c r="A458" s="5">
        <v>44135</v>
      </c>
      <c r="B458">
        <v>1.1180000000000001E-2</v>
      </c>
      <c r="C458">
        <v>1.153E-2</v>
      </c>
      <c r="D458">
        <v>1.1050000000000001E-2</v>
      </c>
      <c r="E458">
        <v>1.1310000000000001E-2</v>
      </c>
      <c r="F458">
        <v>24644500.5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8.3333333333333634E-2</v>
      </c>
      <c r="Q458">
        <f t="shared" si="980"/>
        <v>2053708.3750000075</v>
      </c>
      <c r="R458">
        <f t="shared" si="981"/>
        <v>1343431072.0225811</v>
      </c>
      <c r="S458">
        <f t="shared" si="982"/>
        <v>13434.310720225811</v>
      </c>
      <c r="T458">
        <f t="shared" si="983"/>
        <v>13.434310720225811</v>
      </c>
    </row>
    <row r="459" spans="1:20" x14ac:dyDescent="0.25">
      <c r="A459" s="5">
        <v>44134</v>
      </c>
      <c r="B459">
        <v>1.1379999999999999E-2</v>
      </c>
      <c r="C459">
        <v>1.1469999999999999E-2</v>
      </c>
      <c r="D459">
        <v>1.0659999999999999E-2</v>
      </c>
      <c r="E459">
        <v>1.11E-2</v>
      </c>
      <c r="F459">
        <v>39122524.600000001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8.6419753086422663E-2</v>
      </c>
      <c r="Q459">
        <f t="shared" si="980"/>
        <v>3380958.9160494967</v>
      </c>
      <c r="R459">
        <f t="shared" si="981"/>
        <v>1341377363.6475811</v>
      </c>
      <c r="S459">
        <f t="shared" si="982"/>
        <v>13413.773636475811</v>
      </c>
      <c r="T459">
        <f t="shared" si="983"/>
        <v>13.413773636475812</v>
      </c>
    </row>
    <row r="460" spans="1:20" x14ac:dyDescent="0.25">
      <c r="A460" s="5">
        <v>44133</v>
      </c>
      <c r="B460">
        <v>1.132E-2</v>
      </c>
      <c r="C460">
        <v>1.17E-2</v>
      </c>
      <c r="D460">
        <v>1.11E-2</v>
      </c>
      <c r="E460">
        <v>1.137E-2</v>
      </c>
      <c r="F460">
        <v>42092539.600000001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-0.10000000000000174</v>
      </c>
      <c r="Q460">
        <f t="shared" si="980"/>
        <v>-4209253.9600000735</v>
      </c>
      <c r="R460">
        <f t="shared" si="981"/>
        <v>1337996404.7315316</v>
      </c>
      <c r="S460">
        <f t="shared" si="982"/>
        <v>13379.964047315316</v>
      </c>
      <c r="T460">
        <f t="shared" si="983"/>
        <v>13.379964047315315</v>
      </c>
    </row>
    <row r="461" spans="1:20" x14ac:dyDescent="0.25">
      <c r="A461" s="5">
        <v>44132</v>
      </c>
      <c r="B461">
        <v>1.1679999999999999E-2</v>
      </c>
      <c r="C461">
        <v>1.196E-2</v>
      </c>
      <c r="D461">
        <v>1.098E-2</v>
      </c>
      <c r="E461">
        <v>1.132E-2</v>
      </c>
      <c r="F461">
        <v>44781079.600000001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-0.30612244897959179</v>
      </c>
      <c r="Q461">
        <f t="shared" si="980"/>
        <v>-13708493.755102038</v>
      </c>
      <c r="R461">
        <f t="shared" si="981"/>
        <v>1342205658.6915317</v>
      </c>
      <c r="S461">
        <f t="shared" si="982"/>
        <v>13422.056586915316</v>
      </c>
      <c r="T461">
        <f t="shared" si="983"/>
        <v>13.422056586915316</v>
      </c>
    </row>
    <row r="462" spans="1:20" x14ac:dyDescent="0.25">
      <c r="A462" s="5">
        <v>44131</v>
      </c>
      <c r="B462">
        <v>1.1939999999999999E-2</v>
      </c>
      <c r="C462">
        <v>1.2E-2</v>
      </c>
      <c r="D462">
        <v>1.159E-2</v>
      </c>
      <c r="E462">
        <v>1.17E-2</v>
      </c>
      <c r="F462">
        <v>49654876.700000003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-0.46341463414633877</v>
      </c>
      <c r="Q462">
        <f t="shared" si="980"/>
        <v>-23010796.519512061</v>
      </c>
      <c r="R462">
        <f t="shared" si="981"/>
        <v>1355914152.4466338</v>
      </c>
      <c r="S462">
        <f t="shared" si="982"/>
        <v>13559.141524466339</v>
      </c>
      <c r="T462">
        <f t="shared" si="983"/>
        <v>13.559141524466339</v>
      </c>
    </row>
    <row r="463" spans="1:20" x14ac:dyDescent="0.25">
      <c r="A463" s="5">
        <v>44130</v>
      </c>
      <c r="B463">
        <v>1.227E-2</v>
      </c>
      <c r="C463">
        <v>1.243E-2</v>
      </c>
      <c r="D463">
        <v>1.176E-2</v>
      </c>
      <c r="E463">
        <v>1.197E-2</v>
      </c>
      <c r="F463">
        <v>38898902.600000001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-0.37313432835820903</v>
      </c>
      <c r="Q463">
        <f t="shared" si="980"/>
        <v>-14514515.895522391</v>
      </c>
      <c r="R463">
        <f t="shared" si="981"/>
        <v>1378924948.966146</v>
      </c>
      <c r="S463">
        <f t="shared" si="982"/>
        <v>13789.249489661461</v>
      </c>
      <c r="T463">
        <f t="shared" si="983"/>
        <v>13.789249489661461</v>
      </c>
    </row>
    <row r="464" spans="1:20" x14ac:dyDescent="0.25">
      <c r="A464" s="5">
        <v>44129</v>
      </c>
      <c r="B464">
        <v>1.2529999999999999E-2</v>
      </c>
      <c r="C464">
        <v>1.2619999999999999E-2</v>
      </c>
      <c r="D464">
        <v>1.205E-2</v>
      </c>
      <c r="E464">
        <v>1.2279999999999999E-2</v>
      </c>
      <c r="F464">
        <v>49048960.100000001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-0.19298245614035237</v>
      </c>
      <c r="Q464">
        <f t="shared" si="980"/>
        <v>-9465588.7912281435</v>
      </c>
      <c r="R464">
        <f t="shared" si="981"/>
        <v>1393439464.8616683</v>
      </c>
      <c r="S464">
        <f t="shared" si="982"/>
        <v>13934.394648616684</v>
      </c>
      <c r="T464">
        <f t="shared" si="983"/>
        <v>13.934394648616685</v>
      </c>
    </row>
    <row r="465" spans="1:20" x14ac:dyDescent="0.25">
      <c r="A465" s="5">
        <v>44128</v>
      </c>
      <c r="B465">
        <v>1.2500000000000001E-2</v>
      </c>
      <c r="C465">
        <v>1.2710000000000001E-2</v>
      </c>
      <c r="D465">
        <v>1.2449999999999999E-2</v>
      </c>
      <c r="E465">
        <v>1.251E-2</v>
      </c>
      <c r="F465">
        <v>28250241.199999999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-0.53846153846153333</v>
      </c>
      <c r="Q465">
        <f t="shared" si="980"/>
        <v>-15211668.338461393</v>
      </c>
      <c r="R465">
        <f t="shared" si="981"/>
        <v>1402905053.6528964</v>
      </c>
      <c r="S465">
        <f t="shared" si="982"/>
        <v>14029.050536528965</v>
      </c>
      <c r="T465">
        <f t="shared" si="983"/>
        <v>14.029050536528965</v>
      </c>
    </row>
    <row r="466" spans="1:20" x14ac:dyDescent="0.25">
      <c r="A466" s="5">
        <v>44127</v>
      </c>
      <c r="B466">
        <v>1.248E-2</v>
      </c>
      <c r="C466">
        <v>1.265E-2</v>
      </c>
      <c r="D466">
        <v>1.2149999999999999E-2</v>
      </c>
      <c r="E466">
        <v>1.2500000000000001E-2</v>
      </c>
      <c r="F466">
        <v>38050855.600000001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0.40000000000000419</v>
      </c>
      <c r="Q466">
        <f t="shared" si="980"/>
        <v>15220342.24000016</v>
      </c>
      <c r="R466">
        <f t="shared" si="981"/>
        <v>1418116721.9913578</v>
      </c>
      <c r="S466">
        <f t="shared" si="982"/>
        <v>14181.167219913577</v>
      </c>
      <c r="T466">
        <f t="shared" si="983"/>
        <v>14.181167219913577</v>
      </c>
    </row>
    <row r="467" spans="1:20" x14ac:dyDescent="0.25">
      <c r="A467" s="5">
        <v>44126</v>
      </c>
      <c r="B467">
        <v>1.2370000000000001E-2</v>
      </c>
      <c r="C467">
        <v>1.2999999999999999E-2</v>
      </c>
      <c r="D467">
        <v>1.2319999999999999E-2</v>
      </c>
      <c r="E467">
        <v>1.2489999999999999E-2</v>
      </c>
      <c r="F467">
        <v>66258823.299999997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-0.5</v>
      </c>
      <c r="Q467">
        <f t="shared" si="980"/>
        <v>-33129411.649999999</v>
      </c>
      <c r="R467">
        <f t="shared" si="981"/>
        <v>1402896379.7513576</v>
      </c>
      <c r="S467">
        <f t="shared" si="982"/>
        <v>14028.963797513576</v>
      </c>
      <c r="T467">
        <f t="shared" si="983"/>
        <v>14.028963797513576</v>
      </c>
    </row>
    <row r="468" spans="1:20" x14ac:dyDescent="0.25">
      <c r="A468" s="5">
        <v>44125</v>
      </c>
      <c r="B468">
        <v>1.2290000000000001E-2</v>
      </c>
      <c r="C468">
        <v>1.2999999999999999E-2</v>
      </c>
      <c r="D468">
        <v>1.223E-2</v>
      </c>
      <c r="E468">
        <v>1.2370000000000001E-2</v>
      </c>
      <c r="F468">
        <v>71756579.599999994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-0.63636363636363313</v>
      </c>
      <c r="Q468">
        <f t="shared" si="980"/>
        <v>-45663277.927272491</v>
      </c>
      <c r="R468">
        <f t="shared" si="981"/>
        <v>1436025791.4013577</v>
      </c>
      <c r="S468">
        <f t="shared" si="982"/>
        <v>14360.257914013577</v>
      </c>
      <c r="T468">
        <f t="shared" si="983"/>
        <v>14.360257914013577</v>
      </c>
    </row>
    <row r="469" spans="1:20" x14ac:dyDescent="0.25">
      <c r="A469" s="5">
        <v>44124</v>
      </c>
      <c r="B469">
        <v>1.274E-2</v>
      </c>
      <c r="C469">
        <v>1.2760000000000001E-2</v>
      </c>
      <c r="D469">
        <v>1.2E-2</v>
      </c>
      <c r="E469">
        <v>1.2279999999999999E-2</v>
      </c>
      <c r="F469">
        <v>46962562.200000003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-0.26315789473684498</v>
      </c>
      <c r="Q469">
        <f t="shared" si="980"/>
        <v>-12358569.000000136</v>
      </c>
      <c r="R469">
        <f t="shared" si="981"/>
        <v>1481689069.3286302</v>
      </c>
      <c r="S469">
        <f t="shared" si="982"/>
        <v>14816.890693286303</v>
      </c>
      <c r="T469">
        <f t="shared" si="983"/>
        <v>14.816890693286302</v>
      </c>
    </row>
    <row r="470" spans="1:20" x14ac:dyDescent="0.25">
      <c r="A470" s="5">
        <v>44123</v>
      </c>
      <c r="B470">
        <v>1.274E-2</v>
      </c>
      <c r="C470">
        <v>1.2800000000000001E-2</v>
      </c>
      <c r="D470">
        <v>1.251E-2</v>
      </c>
      <c r="E470">
        <v>1.273E-2</v>
      </c>
      <c r="F470">
        <v>29639797.5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0.51724137931034109</v>
      </c>
      <c r="Q470">
        <f t="shared" si="980"/>
        <v>15330929.7413792</v>
      </c>
      <c r="R470">
        <f t="shared" si="981"/>
        <v>1494047638.3286304</v>
      </c>
      <c r="S470">
        <f t="shared" si="982"/>
        <v>14940.476383286305</v>
      </c>
      <c r="T470">
        <f t="shared" si="983"/>
        <v>14.940476383286304</v>
      </c>
    </row>
    <row r="471" spans="1:20" x14ac:dyDescent="0.25">
      <c r="A471" s="5">
        <v>44122</v>
      </c>
      <c r="B471">
        <v>1.273E-2</v>
      </c>
      <c r="C471">
        <v>1.2880000000000001E-2</v>
      </c>
      <c r="D471">
        <v>1.264E-2</v>
      </c>
      <c r="E471">
        <v>1.274E-2</v>
      </c>
      <c r="F471">
        <v>15831898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-0.1666666666666739</v>
      </c>
      <c r="Q471">
        <f t="shared" si="980"/>
        <v>-2638649.6666667811</v>
      </c>
      <c r="R471">
        <f t="shared" si="981"/>
        <v>1478716708.5872512</v>
      </c>
      <c r="S471">
        <f t="shared" si="982"/>
        <v>14787.167085872512</v>
      </c>
      <c r="T471">
        <f t="shared" si="983"/>
        <v>14.787167085872513</v>
      </c>
    </row>
    <row r="472" spans="1:20" x14ac:dyDescent="0.25">
      <c r="A472" s="5">
        <v>44121</v>
      </c>
      <c r="B472">
        <v>1.2789999999999999E-2</v>
      </c>
      <c r="C472">
        <v>1.2880000000000001E-2</v>
      </c>
      <c r="D472">
        <v>1.2529999999999999E-2</v>
      </c>
      <c r="E472">
        <v>1.274E-2</v>
      </c>
      <c r="F472">
        <v>28002271.800000001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0.19999999999999604</v>
      </c>
      <c r="Q472">
        <f t="shared" si="980"/>
        <v>5600454.3599998895</v>
      </c>
      <c r="R472">
        <f t="shared" si="981"/>
        <v>1481355358.2539179</v>
      </c>
      <c r="S472">
        <f t="shared" si="982"/>
        <v>14813.55358253918</v>
      </c>
      <c r="T472">
        <f t="shared" si="983"/>
        <v>14.81355358253918</v>
      </c>
    </row>
    <row r="473" spans="1:20" x14ac:dyDescent="0.25">
      <c r="A473" s="5">
        <v>44120</v>
      </c>
      <c r="B473">
        <v>1.272E-2</v>
      </c>
      <c r="C473">
        <v>1.2800000000000001E-2</v>
      </c>
      <c r="D473">
        <v>1.2160000000000001E-2</v>
      </c>
      <c r="E473">
        <v>1.2749999999999999E-2</v>
      </c>
      <c r="F473">
        <v>56984798.399999999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0.84374999999999556</v>
      </c>
      <c r="Q473">
        <f t="shared" si="980"/>
        <v>48080923.649999745</v>
      </c>
      <c r="R473">
        <f t="shared" si="981"/>
        <v>1475754903.893918</v>
      </c>
      <c r="S473">
        <f t="shared" si="982"/>
        <v>14757.54903893918</v>
      </c>
      <c r="T473">
        <f t="shared" si="983"/>
        <v>14.75754903893918</v>
      </c>
    </row>
    <row r="474" spans="1:20" x14ac:dyDescent="0.25">
      <c r="A474" s="5">
        <v>44119</v>
      </c>
      <c r="B474">
        <v>1.2959999999999999E-2</v>
      </c>
      <c r="C474">
        <v>1.2970000000000001E-2</v>
      </c>
      <c r="D474">
        <v>1.2500000000000001E-2</v>
      </c>
      <c r="E474">
        <v>1.2710000000000001E-2</v>
      </c>
      <c r="F474">
        <v>60558077.799999997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-0.10638297872340363</v>
      </c>
      <c r="Q474">
        <f t="shared" si="980"/>
        <v>-6442348.7021276215</v>
      </c>
      <c r="R474">
        <f t="shared" si="981"/>
        <v>1427673980.2439182</v>
      </c>
      <c r="S474">
        <f t="shared" si="982"/>
        <v>14276.739802439182</v>
      </c>
      <c r="T474">
        <f t="shared" si="983"/>
        <v>14.276739802439183</v>
      </c>
    </row>
    <row r="475" spans="1:20" x14ac:dyDescent="0.25">
      <c r="A475" s="5">
        <v>44118</v>
      </c>
      <c r="B475">
        <v>1.3220000000000001E-2</v>
      </c>
      <c r="C475">
        <v>1.341E-2</v>
      </c>
      <c r="D475">
        <v>1.29E-2</v>
      </c>
      <c r="E475">
        <v>1.294E-2</v>
      </c>
      <c r="F475">
        <v>51407383.600000001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-0.84313725490196034</v>
      </c>
      <c r="Q475">
        <f t="shared" si="980"/>
        <v>-43343480.290196054</v>
      </c>
      <c r="R475">
        <f t="shared" si="981"/>
        <v>1434116328.9460459</v>
      </c>
      <c r="S475">
        <f t="shared" si="982"/>
        <v>14341.163289460459</v>
      </c>
      <c r="T475">
        <f t="shared" si="983"/>
        <v>14.341163289460459</v>
      </c>
    </row>
    <row r="476" spans="1:20" x14ac:dyDescent="0.25">
      <c r="A476" s="5">
        <v>44117</v>
      </c>
      <c r="B476">
        <v>1.376E-2</v>
      </c>
      <c r="C476">
        <v>1.38E-2</v>
      </c>
      <c r="D476">
        <v>1.302E-2</v>
      </c>
      <c r="E476">
        <v>1.325E-2</v>
      </c>
      <c r="F476">
        <v>87168912.5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-0.41025641025641163</v>
      </c>
      <c r="Q476">
        <f t="shared" si="980"/>
        <v>-35761605.128205247</v>
      </c>
      <c r="R476">
        <f t="shared" si="981"/>
        <v>1477459809.2362418</v>
      </c>
      <c r="S476">
        <f t="shared" si="982"/>
        <v>14774.598092362417</v>
      </c>
      <c r="T476">
        <f t="shared" si="983"/>
        <v>14.774598092362417</v>
      </c>
    </row>
    <row r="477" spans="1:20" x14ac:dyDescent="0.25">
      <c r="A477" s="5">
        <v>44116</v>
      </c>
      <c r="B477">
        <v>1.409E-2</v>
      </c>
      <c r="C477">
        <v>1.431E-2</v>
      </c>
      <c r="D477">
        <v>1.3469999999999999E-2</v>
      </c>
      <c r="E477">
        <v>1.376E-2</v>
      </c>
      <c r="F477">
        <v>67392765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-0.30952380952380915</v>
      </c>
      <c r="Q477">
        <f t="shared" si="980"/>
        <v>-20859665.357142832</v>
      </c>
      <c r="R477">
        <f t="shared" si="981"/>
        <v>1513221414.3644471</v>
      </c>
      <c r="S477">
        <f t="shared" si="982"/>
        <v>15132.214143644471</v>
      </c>
      <c r="T477">
        <f t="shared" si="983"/>
        <v>15.132214143644472</v>
      </c>
    </row>
    <row r="478" spans="1:20" x14ac:dyDescent="0.25">
      <c r="A478" s="5">
        <v>44115</v>
      </c>
      <c r="B478">
        <v>1.3780000000000001E-2</v>
      </c>
      <c r="C478">
        <v>1.4200000000000001E-2</v>
      </c>
      <c r="D478">
        <v>1.3599999999999999E-2</v>
      </c>
      <c r="E478">
        <v>1.409E-2</v>
      </c>
      <c r="F478">
        <v>44980991.299999997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0.63333333333333186</v>
      </c>
      <c r="Q478">
        <f t="shared" si="980"/>
        <v>28487961.156666599</v>
      </c>
      <c r="R478">
        <f t="shared" si="981"/>
        <v>1534081079.72159</v>
      </c>
      <c r="S478">
        <f t="shared" si="982"/>
        <v>15340.8107972159</v>
      </c>
      <c r="T478">
        <f t="shared" si="983"/>
        <v>15.3408107972159</v>
      </c>
    </row>
    <row r="479" spans="1:20" x14ac:dyDescent="0.25">
      <c r="A479" s="5">
        <v>44114</v>
      </c>
      <c r="B479">
        <v>1.3729999999999999E-2</v>
      </c>
      <c r="C479">
        <v>1.4160000000000001E-2</v>
      </c>
      <c r="D479">
        <v>1.3690000000000001E-2</v>
      </c>
      <c r="E479">
        <v>1.3809999999999999E-2</v>
      </c>
      <c r="F479">
        <v>50849823.799999997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-0.48936170212766555</v>
      </c>
      <c r="Q479">
        <f t="shared" si="980"/>
        <v>-24883956.327659879</v>
      </c>
      <c r="R479">
        <f t="shared" si="981"/>
        <v>1505593118.5649235</v>
      </c>
      <c r="S479">
        <f t="shared" si="982"/>
        <v>15055.931185649235</v>
      </c>
      <c r="T479">
        <f t="shared" si="983"/>
        <v>15.055931185649236</v>
      </c>
    </row>
    <row r="480" spans="1:20" x14ac:dyDescent="0.25">
      <c r="A480" s="5">
        <v>44113</v>
      </c>
      <c r="B480">
        <v>1.306E-2</v>
      </c>
      <c r="C480">
        <v>1.379E-2</v>
      </c>
      <c r="D480">
        <v>1.2869999999999999E-2</v>
      </c>
      <c r="E480">
        <v>1.3729999999999999E-2</v>
      </c>
      <c r="F480">
        <v>64826492.799999997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0.86956521739130221</v>
      </c>
      <c r="Q480">
        <f t="shared" si="980"/>
        <v>56370863.304347686</v>
      </c>
      <c r="R480">
        <f t="shared" si="981"/>
        <v>1530477074.8925834</v>
      </c>
      <c r="S480">
        <f t="shared" si="982"/>
        <v>15304.770748925834</v>
      </c>
      <c r="T480">
        <f t="shared" si="983"/>
        <v>15.304770748925833</v>
      </c>
    </row>
    <row r="481" spans="1:20" x14ac:dyDescent="0.25">
      <c r="A481" s="5">
        <v>44112</v>
      </c>
      <c r="B481">
        <v>1.2880000000000001E-2</v>
      </c>
      <c r="C481">
        <v>1.3469999999999999E-2</v>
      </c>
      <c r="D481">
        <v>1.2500000000000001E-2</v>
      </c>
      <c r="E481">
        <v>1.306E-2</v>
      </c>
      <c r="F481">
        <v>36762572.299999997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0.15463917525773302</v>
      </c>
      <c r="Q481">
        <f t="shared" si="980"/>
        <v>5684933.8608247805</v>
      </c>
      <c r="R481">
        <f t="shared" si="981"/>
        <v>1474106211.5882356</v>
      </c>
      <c r="S481">
        <f t="shared" si="982"/>
        <v>14741.062115882356</v>
      </c>
      <c r="T481">
        <f t="shared" si="983"/>
        <v>14.741062115882356</v>
      </c>
    </row>
    <row r="482" spans="1:20" x14ac:dyDescent="0.25">
      <c r="A482" s="5">
        <v>44111</v>
      </c>
      <c r="B482">
        <v>1.265E-2</v>
      </c>
      <c r="C482">
        <v>1.2880000000000001E-2</v>
      </c>
      <c r="D482">
        <v>1.205E-2</v>
      </c>
      <c r="E482">
        <v>1.2880000000000001E-2</v>
      </c>
      <c r="F482">
        <v>50873929.899999999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1</v>
      </c>
      <c r="Q482">
        <f t="shared" si="980"/>
        <v>50873929.899999999</v>
      </c>
      <c r="R482">
        <f t="shared" si="981"/>
        <v>1468421277.7274108</v>
      </c>
      <c r="S482">
        <f t="shared" si="982"/>
        <v>14684.212777274108</v>
      </c>
      <c r="T482">
        <f t="shared" si="983"/>
        <v>14.684212777274109</v>
      </c>
    </row>
    <row r="483" spans="1:20" x14ac:dyDescent="0.25">
      <c r="A483" s="5">
        <v>44110</v>
      </c>
      <c r="B483">
        <v>1.363E-2</v>
      </c>
      <c r="C483">
        <v>1.3690000000000001E-2</v>
      </c>
      <c r="D483">
        <v>1.239E-2</v>
      </c>
      <c r="E483">
        <v>1.265E-2</v>
      </c>
      <c r="F483">
        <v>55937627.399999999</v>
      </c>
      <c r="G483">
        <v>0</v>
      </c>
      <c r="L483" t="s">
        <v>7</v>
      </c>
      <c r="M483" t="s">
        <v>8</v>
      </c>
      <c r="N483" t="s">
        <v>7</v>
      </c>
      <c r="P483">
        <f t="shared" si="979"/>
        <v>-0.60000000000000053</v>
      </c>
      <c r="Q483">
        <f t="shared" si="980"/>
        <v>-33562576.440000027</v>
      </c>
      <c r="R483">
        <f t="shared" si="981"/>
        <v>1417547347.8274107</v>
      </c>
      <c r="S483">
        <f t="shared" si="982"/>
        <v>14175.473478274107</v>
      </c>
      <c r="T483">
        <f t="shared" si="983"/>
        <v>14.175473478274107</v>
      </c>
    </row>
    <row r="484" spans="1:20" x14ac:dyDescent="0.25">
      <c r="A484" s="5">
        <v>44109</v>
      </c>
      <c r="B484">
        <v>1.323E-2</v>
      </c>
      <c r="C484">
        <v>1.3979999999999999E-2</v>
      </c>
      <c r="D484">
        <v>1.323E-2</v>
      </c>
      <c r="E484">
        <v>1.362E-2</v>
      </c>
      <c r="F484">
        <v>36316951.100000001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4.0000000000000743E-2</v>
      </c>
      <c r="Q484">
        <f t="shared" si="980"/>
        <v>1452678.044000027</v>
      </c>
      <c r="R484">
        <f t="shared" si="981"/>
        <v>1451109924.2674108</v>
      </c>
      <c r="S484">
        <f t="shared" si="982"/>
        <v>14511.099242674107</v>
      </c>
      <c r="T484">
        <f t="shared" si="983"/>
        <v>14.511099242674106</v>
      </c>
    </row>
    <row r="485" spans="1:20" x14ac:dyDescent="0.25">
      <c r="A485" s="5">
        <v>44108</v>
      </c>
      <c r="B485">
        <v>1.329E-2</v>
      </c>
      <c r="C485">
        <v>1.336E-2</v>
      </c>
      <c r="D485">
        <v>1.306E-2</v>
      </c>
      <c r="E485">
        <v>1.3220000000000001E-2</v>
      </c>
      <c r="F485">
        <v>20343297.899999999</v>
      </c>
      <c r="G485">
        <v>0</v>
      </c>
      <c r="L485" t="s">
        <v>7</v>
      </c>
      <c r="M485" t="s">
        <v>8</v>
      </c>
      <c r="N485" t="s">
        <v>7</v>
      </c>
      <c r="P485">
        <f t="shared" si="979"/>
        <v>6.6666666666669747E-2</v>
      </c>
      <c r="Q485">
        <f t="shared" si="980"/>
        <v>1356219.8600000625</v>
      </c>
      <c r="R485">
        <f t="shared" si="981"/>
        <v>1449657246.2234108</v>
      </c>
      <c r="S485">
        <f t="shared" si="982"/>
        <v>14496.572462234108</v>
      </c>
      <c r="T485">
        <f t="shared" si="983"/>
        <v>14.496572462234107</v>
      </c>
    </row>
    <row r="486" spans="1:20" x14ac:dyDescent="0.25">
      <c r="A486" s="5">
        <v>44107</v>
      </c>
      <c r="B486">
        <v>1.3270000000000001E-2</v>
      </c>
      <c r="C486">
        <v>1.349E-2</v>
      </c>
      <c r="D486">
        <v>1.3089999999999999E-2</v>
      </c>
      <c r="E486">
        <v>1.329E-2</v>
      </c>
      <c r="F486">
        <v>17231211.399999999</v>
      </c>
      <c r="G486">
        <v>0</v>
      </c>
      <c r="L486" t="s">
        <v>7</v>
      </c>
      <c r="M486" t="s">
        <v>8</v>
      </c>
      <c r="N486" t="s">
        <v>7</v>
      </c>
      <c r="P486">
        <f t="shared" si="979"/>
        <v>0</v>
      </c>
      <c r="Q486">
        <f t="shared" si="980"/>
        <v>0</v>
      </c>
      <c r="R486">
        <f t="shared" si="981"/>
        <v>1448301026.3634107</v>
      </c>
      <c r="S486">
        <f t="shared" si="982"/>
        <v>14483.010263634107</v>
      </c>
      <c r="T486">
        <f t="shared" si="983"/>
        <v>14.483010263634107</v>
      </c>
    </row>
    <row r="487" spans="1:20" x14ac:dyDescent="0.25">
      <c r="A487" s="5">
        <v>44106</v>
      </c>
      <c r="B487">
        <v>1.366E-2</v>
      </c>
      <c r="C487">
        <v>1.372E-2</v>
      </c>
      <c r="D487">
        <v>1.277E-2</v>
      </c>
      <c r="E487">
        <v>1.3259999999999999E-2</v>
      </c>
      <c r="F487">
        <v>34197536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3.1578947368419784E-2</v>
      </c>
      <c r="Q487">
        <f t="shared" si="980"/>
        <v>1079922.1894736409</v>
      </c>
      <c r="R487">
        <f t="shared" si="981"/>
        <v>1448301026.3634107</v>
      </c>
      <c r="S487">
        <f t="shared" si="982"/>
        <v>14483.010263634107</v>
      </c>
      <c r="T487">
        <f t="shared" si="983"/>
        <v>14.483010263634107</v>
      </c>
    </row>
    <row r="488" spans="1:20" x14ac:dyDescent="0.25">
      <c r="A488" s="5">
        <v>44105</v>
      </c>
      <c r="B488">
        <v>1.4120000000000001E-2</v>
      </c>
      <c r="C488">
        <v>1.456E-2</v>
      </c>
      <c r="D488">
        <v>1.3339999999999999E-2</v>
      </c>
      <c r="E488">
        <v>1.362E-2</v>
      </c>
      <c r="F488">
        <v>45064842.200000003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-0.5409836065573761</v>
      </c>
      <c r="Q488">
        <f t="shared" si="980"/>
        <v>-24379340.862295039</v>
      </c>
      <c r="R488">
        <f t="shared" si="981"/>
        <v>1447221104.1739371</v>
      </c>
      <c r="S488">
        <f t="shared" si="982"/>
        <v>14472.211041739371</v>
      </c>
      <c r="T488">
        <f t="shared" si="983"/>
        <v>14.472211041739371</v>
      </c>
    </row>
    <row r="489" spans="1:20" x14ac:dyDescent="0.25">
      <c r="A489" s="5">
        <v>44104</v>
      </c>
      <c r="B489">
        <v>1.414E-2</v>
      </c>
      <c r="C489">
        <v>1.422E-2</v>
      </c>
      <c r="D489">
        <v>1.372E-2</v>
      </c>
      <c r="E489">
        <v>1.414E-2</v>
      </c>
      <c r="F489">
        <v>26253106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0.67999999999999949</v>
      </c>
      <c r="Q489">
        <f t="shared" si="980"/>
        <v>17852112.079999987</v>
      </c>
      <c r="R489">
        <f t="shared" si="981"/>
        <v>1471600445.0362322</v>
      </c>
      <c r="S489">
        <f t="shared" si="982"/>
        <v>14716.004450362323</v>
      </c>
      <c r="T489">
        <f t="shared" si="983"/>
        <v>14.716004450362323</v>
      </c>
    </row>
    <row r="490" spans="1:20" x14ac:dyDescent="0.25">
      <c r="A490" s="5">
        <v>44103</v>
      </c>
      <c r="B490">
        <v>1.406E-2</v>
      </c>
      <c r="C490">
        <v>1.418E-2</v>
      </c>
      <c r="D490">
        <v>1.379E-2</v>
      </c>
      <c r="E490">
        <v>1.409E-2</v>
      </c>
      <c r="F490">
        <v>27306949.399999999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0.5384615384615391</v>
      </c>
      <c r="Q490">
        <f t="shared" si="980"/>
        <v>14703741.9846154</v>
      </c>
      <c r="R490">
        <f t="shared" si="981"/>
        <v>1453748332.9562323</v>
      </c>
      <c r="S490">
        <f t="shared" si="982"/>
        <v>14537.483329562323</v>
      </c>
      <c r="T490">
        <f t="shared" si="983"/>
        <v>14.537483329562322</v>
      </c>
    </row>
    <row r="491" spans="1:20" x14ac:dyDescent="0.25">
      <c r="A491" s="5">
        <v>44102</v>
      </c>
      <c r="B491">
        <v>1.46E-2</v>
      </c>
      <c r="C491">
        <v>1.4749999999999999E-2</v>
      </c>
      <c r="D491">
        <v>1.401E-2</v>
      </c>
      <c r="E491">
        <v>1.4069999999999999E-2</v>
      </c>
      <c r="F491">
        <v>35734910.100000001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-0.83783783783783961</v>
      </c>
      <c r="Q491">
        <f t="shared" si="980"/>
        <v>-29940059.813513577</v>
      </c>
      <c r="R491">
        <f t="shared" si="981"/>
        <v>1439044590.971617</v>
      </c>
      <c r="S491">
        <f t="shared" si="982"/>
        <v>14390.445909716171</v>
      </c>
      <c r="T491">
        <f t="shared" si="983"/>
        <v>14.390445909716171</v>
      </c>
    </row>
    <row r="492" spans="1:20" x14ac:dyDescent="0.25">
      <c r="A492" s="5">
        <v>44101</v>
      </c>
      <c r="B492">
        <v>1.464E-2</v>
      </c>
      <c r="C492">
        <v>1.487E-2</v>
      </c>
      <c r="D492">
        <v>1.4019999999999999E-2</v>
      </c>
      <c r="E492">
        <v>1.4579999999999999E-2</v>
      </c>
      <c r="F492">
        <v>25665369.300000001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0.31764705882352867</v>
      </c>
      <c r="Q492">
        <f t="shared" si="980"/>
        <v>8152529.0717646871</v>
      </c>
      <c r="R492">
        <f t="shared" si="981"/>
        <v>1468984650.7851305</v>
      </c>
      <c r="S492">
        <f t="shared" si="982"/>
        <v>14689.846507851305</v>
      </c>
      <c r="T492">
        <f t="shared" si="983"/>
        <v>14.689846507851305</v>
      </c>
    </row>
    <row r="493" spans="1:20" x14ac:dyDescent="0.25">
      <c r="A493" s="5">
        <v>44100</v>
      </c>
      <c r="B493">
        <v>1.451E-2</v>
      </c>
      <c r="C493">
        <v>1.468E-2</v>
      </c>
      <c r="D493">
        <v>1.43E-2</v>
      </c>
      <c r="E493">
        <v>1.465E-2</v>
      </c>
      <c r="F493">
        <v>20985336.800000001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0.84210526315789214</v>
      </c>
      <c r="Q493">
        <f t="shared" si="980"/>
        <v>17671862.568420999</v>
      </c>
      <c r="R493">
        <f t="shared" si="981"/>
        <v>1460832121.7133658</v>
      </c>
      <c r="S493">
        <f t="shared" si="982"/>
        <v>14608.321217133658</v>
      </c>
      <c r="T493">
        <f t="shared" si="983"/>
        <v>14.608321217133659</v>
      </c>
    </row>
    <row r="494" spans="1:20" x14ac:dyDescent="0.25">
      <c r="A494" s="5">
        <v>44099</v>
      </c>
      <c r="B494">
        <v>1.3939999999999999E-2</v>
      </c>
      <c r="C494">
        <v>1.486E-2</v>
      </c>
      <c r="D494">
        <v>1.3690000000000001E-2</v>
      </c>
      <c r="E494">
        <v>1.4500000000000001E-2</v>
      </c>
      <c r="F494">
        <v>50418583.700000003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0.38461538461538552</v>
      </c>
      <c r="Q494">
        <f t="shared" si="980"/>
        <v>19391762.961538509</v>
      </c>
      <c r="R494">
        <f t="shared" si="981"/>
        <v>1443160259.1449449</v>
      </c>
      <c r="S494">
        <f t="shared" si="982"/>
        <v>14431.602591449449</v>
      </c>
      <c r="T494">
        <f t="shared" si="983"/>
        <v>14.431602591449449</v>
      </c>
    </row>
    <row r="495" spans="1:20" x14ac:dyDescent="0.25">
      <c r="A495" s="5">
        <v>44098</v>
      </c>
      <c r="B495">
        <v>1.315E-2</v>
      </c>
      <c r="C495">
        <v>1.405E-2</v>
      </c>
      <c r="D495">
        <v>1.307E-2</v>
      </c>
      <c r="E495">
        <v>1.3939999999999999E-2</v>
      </c>
      <c r="F495">
        <v>66852870.399999999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0.77551020408163118</v>
      </c>
      <c r="Q495">
        <f t="shared" si="980"/>
        <v>51845083.167346843</v>
      </c>
      <c r="R495">
        <f t="shared" si="981"/>
        <v>1423768496.1834064</v>
      </c>
      <c r="S495">
        <f t="shared" si="982"/>
        <v>14237.684961834064</v>
      </c>
      <c r="T495">
        <f t="shared" si="983"/>
        <v>14.237684961834065</v>
      </c>
    </row>
    <row r="496" spans="1:20" x14ac:dyDescent="0.25">
      <c r="A496" s="5">
        <v>44097</v>
      </c>
      <c r="B496">
        <v>1.418E-2</v>
      </c>
      <c r="C496">
        <v>1.4540000000000001E-2</v>
      </c>
      <c r="D496">
        <v>1.3010000000000001E-2</v>
      </c>
      <c r="E496">
        <v>1.3129999999999999E-2</v>
      </c>
      <c r="F496">
        <v>62079007.200000003</v>
      </c>
      <c r="G496">
        <v>0</v>
      </c>
      <c r="L496" t="s">
        <v>7</v>
      </c>
      <c r="M496" t="s">
        <v>8</v>
      </c>
      <c r="N496" t="s">
        <v>7</v>
      </c>
      <c r="P496">
        <f t="shared" si="979"/>
        <v>-0.84313725490196267</v>
      </c>
      <c r="Q496">
        <f t="shared" si="980"/>
        <v>-52341123.71764718</v>
      </c>
      <c r="R496">
        <f t="shared" si="981"/>
        <v>1371923413.0160594</v>
      </c>
      <c r="S496">
        <f t="shared" si="982"/>
        <v>13719.234130160594</v>
      </c>
      <c r="T496">
        <f t="shared" si="983"/>
        <v>13.719234130160594</v>
      </c>
    </row>
    <row r="497" spans="1:20" x14ac:dyDescent="0.25">
      <c r="A497" s="5">
        <v>44096</v>
      </c>
      <c r="B497">
        <v>1.3990000000000001E-2</v>
      </c>
      <c r="C497">
        <v>1.457E-2</v>
      </c>
      <c r="D497">
        <v>1.3899999999999999E-2</v>
      </c>
      <c r="E497">
        <v>1.418E-2</v>
      </c>
      <c r="F497">
        <v>35855263.899999999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-0.1641791044776103</v>
      </c>
      <c r="Q497">
        <f t="shared" si="980"/>
        <v>-5886685.1179103889</v>
      </c>
      <c r="R497">
        <f t="shared" si="981"/>
        <v>1424264536.7337065</v>
      </c>
      <c r="S497">
        <f t="shared" si="982"/>
        <v>14242.645367337065</v>
      </c>
      <c r="T497">
        <f t="shared" si="983"/>
        <v>14.242645367337065</v>
      </c>
    </row>
    <row r="498" spans="1:20" x14ac:dyDescent="0.25">
      <c r="A498" s="5">
        <v>44095</v>
      </c>
      <c r="B498">
        <v>1.549E-2</v>
      </c>
      <c r="C498">
        <v>1.6029999999999999E-2</v>
      </c>
      <c r="D498">
        <v>1.2E-2</v>
      </c>
      <c r="E498">
        <v>1.397E-2</v>
      </c>
      <c r="F498">
        <v>114947943.2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-2.2332506203473903E-2</v>
      </c>
      <c r="Q498">
        <f t="shared" si="980"/>
        <v>-2567075.6545905657</v>
      </c>
      <c r="R498">
        <f t="shared" si="981"/>
        <v>1430151221.8516169</v>
      </c>
      <c r="S498">
        <f t="shared" si="982"/>
        <v>14301.512218516169</v>
      </c>
      <c r="T498">
        <f t="shared" si="983"/>
        <v>14.301512218516169</v>
      </c>
    </row>
    <row r="499" spans="1:20" x14ac:dyDescent="0.25">
      <c r="A499" s="5">
        <v>44094</v>
      </c>
      <c r="B499">
        <v>1.6250000000000001E-2</v>
      </c>
      <c r="C499">
        <v>1.668E-2</v>
      </c>
      <c r="D499">
        <v>1.5299999999999999E-2</v>
      </c>
      <c r="E499">
        <v>1.5480000000000001E-2</v>
      </c>
      <c r="F499">
        <v>47296820.5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-0.73913043478260698</v>
      </c>
      <c r="Q499">
        <f t="shared" si="980"/>
        <v>-34958519.499999918</v>
      </c>
      <c r="R499">
        <f t="shared" si="981"/>
        <v>1432718297.5062075</v>
      </c>
      <c r="S499">
        <f t="shared" si="982"/>
        <v>14327.182975062075</v>
      </c>
      <c r="T499">
        <f t="shared" si="983"/>
        <v>14.327182975062074</v>
      </c>
    </row>
    <row r="500" spans="1:20" x14ac:dyDescent="0.25">
      <c r="A500" s="5">
        <v>44093</v>
      </c>
      <c r="B500">
        <v>1.634E-2</v>
      </c>
      <c r="C500">
        <v>1.6420000000000001E-2</v>
      </c>
      <c r="D500">
        <v>1.592E-2</v>
      </c>
      <c r="E500">
        <v>1.6250000000000001E-2</v>
      </c>
      <c r="F500">
        <v>24766688.300000001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0.32000000000000056</v>
      </c>
      <c r="Q500">
        <f t="shared" si="980"/>
        <v>7925340.256000014</v>
      </c>
      <c r="R500">
        <f t="shared" si="981"/>
        <v>1467676817.0062075</v>
      </c>
      <c r="S500">
        <f t="shared" si="982"/>
        <v>14676.768170062074</v>
      </c>
      <c r="T500">
        <f t="shared" si="983"/>
        <v>14.676768170062074</v>
      </c>
    </row>
    <row r="501" spans="1:20" x14ac:dyDescent="0.25">
      <c r="A501" s="5">
        <v>44092</v>
      </c>
      <c r="B501">
        <v>1.6580000000000001E-2</v>
      </c>
      <c r="C501">
        <v>1.6629999999999999E-2</v>
      </c>
      <c r="D501">
        <v>1.6049999999999998E-2</v>
      </c>
      <c r="E501">
        <v>1.634E-2</v>
      </c>
      <c r="F501">
        <v>30072711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5.9818050895751899E-15</v>
      </c>
      <c r="Q501">
        <f t="shared" si="980"/>
        <v>1.798890957171238E-7</v>
      </c>
      <c r="R501">
        <f t="shared" si="981"/>
        <v>1459751476.7502074</v>
      </c>
      <c r="S501">
        <f t="shared" si="982"/>
        <v>14597.514767502074</v>
      </c>
      <c r="T501">
        <f t="shared" si="983"/>
        <v>14.597514767502075</v>
      </c>
    </row>
    <row r="502" spans="1:20" x14ac:dyDescent="0.25">
      <c r="A502" s="5">
        <v>44091</v>
      </c>
      <c r="B502">
        <v>1.6320000000000001E-2</v>
      </c>
      <c r="C502">
        <v>1.6760000000000001E-2</v>
      </c>
      <c r="D502">
        <v>1.626E-2</v>
      </c>
      <c r="E502">
        <v>1.6559999999999998E-2</v>
      </c>
      <c r="F502">
        <v>34537050.799999997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0.19999999999999168</v>
      </c>
      <c r="Q502">
        <f t="shared" si="980"/>
        <v>6907410.1599997124</v>
      </c>
      <c r="R502">
        <f t="shared" si="981"/>
        <v>1459751476.7502072</v>
      </c>
      <c r="S502">
        <f t="shared" si="982"/>
        <v>14597.514767502073</v>
      </c>
      <c r="T502">
        <f t="shared" si="983"/>
        <v>14.597514767502073</v>
      </c>
    </row>
    <row r="503" spans="1:20" x14ac:dyDescent="0.25">
      <c r="A503" s="5">
        <v>44090</v>
      </c>
      <c r="B503">
        <v>1.6670000000000001E-2</v>
      </c>
      <c r="C503">
        <v>1.702E-2</v>
      </c>
      <c r="D503">
        <v>1.6199999999999999E-2</v>
      </c>
      <c r="E503">
        <v>1.6320000000000001E-2</v>
      </c>
      <c r="F503">
        <v>39675549.399999999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-0.70731707317072712</v>
      </c>
      <c r="Q503">
        <f t="shared" si="980"/>
        <v>-28063193.478048597</v>
      </c>
      <c r="R503">
        <f t="shared" si="981"/>
        <v>1452844066.5902076</v>
      </c>
      <c r="S503">
        <f t="shared" si="982"/>
        <v>14528.440665902075</v>
      </c>
      <c r="T503">
        <f t="shared" si="983"/>
        <v>14.528440665902075</v>
      </c>
    </row>
    <row r="504" spans="1:20" x14ac:dyDescent="0.25">
      <c r="A504" s="5">
        <v>44089</v>
      </c>
      <c r="B504">
        <v>1.7350000000000001E-2</v>
      </c>
      <c r="C504">
        <v>1.754E-2</v>
      </c>
      <c r="D504">
        <v>1.6570000000000001E-2</v>
      </c>
      <c r="E504">
        <v>1.6670000000000001E-2</v>
      </c>
      <c r="F504">
        <v>36320666</v>
      </c>
      <c r="G504">
        <v>0</v>
      </c>
      <c r="L504" t="s">
        <v>7</v>
      </c>
      <c r="M504" t="s">
        <v>8</v>
      </c>
      <c r="N504" t="s">
        <v>7</v>
      </c>
      <c r="P504">
        <f t="shared" si="979"/>
        <v>-0.79381443298969168</v>
      </c>
      <c r="Q504">
        <f t="shared" si="980"/>
        <v>-28831868.886597972</v>
      </c>
      <c r="R504">
        <f t="shared" si="981"/>
        <v>1480907260.0682561</v>
      </c>
      <c r="S504">
        <f t="shared" si="982"/>
        <v>14809.072600682561</v>
      </c>
      <c r="T504">
        <f t="shared" si="983"/>
        <v>14.80907260068256</v>
      </c>
    </row>
    <row r="505" spans="1:20" x14ac:dyDescent="0.25">
      <c r="A505" s="5">
        <v>44088</v>
      </c>
      <c r="B505">
        <v>1.7090000000000001E-2</v>
      </c>
      <c r="C505">
        <v>1.753E-2</v>
      </c>
      <c r="D505">
        <v>1.6889999999999999E-2</v>
      </c>
      <c r="E505">
        <v>1.7319999999999999E-2</v>
      </c>
      <c r="F505">
        <v>45468618.399999999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0.34374999999999595</v>
      </c>
      <c r="Q505">
        <f t="shared" si="980"/>
        <v>15629837.574999815</v>
      </c>
      <c r="R505">
        <f t="shared" si="981"/>
        <v>1509739128.954854</v>
      </c>
      <c r="S505">
        <f t="shared" si="982"/>
        <v>15097.391289548541</v>
      </c>
      <c r="T505">
        <f t="shared" si="983"/>
        <v>15.097391289548542</v>
      </c>
    </row>
    <row r="506" spans="1:20" x14ac:dyDescent="0.25">
      <c r="A506" s="5">
        <v>44087</v>
      </c>
      <c r="B506">
        <v>1.762E-2</v>
      </c>
      <c r="C506">
        <v>1.8509999999999999E-2</v>
      </c>
      <c r="D506">
        <v>1.6590000000000001E-2</v>
      </c>
      <c r="E506">
        <v>1.711E-2</v>
      </c>
      <c r="F506">
        <v>82736609.099999994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-0.4583333333333332</v>
      </c>
      <c r="Q506">
        <f t="shared" si="980"/>
        <v>-37920945.837499984</v>
      </c>
      <c r="R506">
        <f t="shared" si="981"/>
        <v>1494109291.3798542</v>
      </c>
      <c r="S506">
        <f t="shared" si="982"/>
        <v>14941.092913798542</v>
      </c>
      <c r="T506">
        <f t="shared" si="983"/>
        <v>14.941092913798542</v>
      </c>
    </row>
    <row r="507" spans="1:20" x14ac:dyDescent="0.25">
      <c r="A507" s="5">
        <v>44086</v>
      </c>
      <c r="B507">
        <v>1.729E-2</v>
      </c>
      <c r="C507">
        <v>1.7850000000000001E-2</v>
      </c>
      <c r="D507">
        <v>1.7149999999999999E-2</v>
      </c>
      <c r="E507">
        <v>1.763E-2</v>
      </c>
      <c r="F507">
        <v>47727958.600000001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0.37142857142856972</v>
      </c>
      <c r="Q507">
        <f t="shared" si="980"/>
        <v>17727527.479999918</v>
      </c>
      <c r="R507">
        <f t="shared" si="981"/>
        <v>1532030237.2173543</v>
      </c>
      <c r="S507">
        <f t="shared" si="982"/>
        <v>15320.302372173543</v>
      </c>
      <c r="T507">
        <f t="shared" si="983"/>
        <v>15.320302372173543</v>
      </c>
    </row>
    <row r="508" spans="1:20" x14ac:dyDescent="0.25">
      <c r="A508" s="5">
        <v>44085</v>
      </c>
      <c r="B508">
        <v>1.736E-2</v>
      </c>
      <c r="C508">
        <v>1.746E-2</v>
      </c>
      <c r="D508">
        <v>1.6549999999999999E-2</v>
      </c>
      <c r="E508">
        <v>1.728E-2</v>
      </c>
      <c r="F508">
        <v>31895134.800000001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0.60439560439560569</v>
      </c>
      <c r="Q508">
        <f t="shared" si="980"/>
        <v>19277279.274725318</v>
      </c>
      <c r="R508">
        <f t="shared" si="981"/>
        <v>1514302709.7373543</v>
      </c>
      <c r="S508">
        <f t="shared" si="982"/>
        <v>15143.027097373542</v>
      </c>
      <c r="T508">
        <f t="shared" si="983"/>
        <v>15.143027097373542</v>
      </c>
    </row>
    <row r="509" spans="1:20" x14ac:dyDescent="0.25">
      <c r="A509" s="5">
        <v>44084</v>
      </c>
      <c r="B509">
        <v>1.6959999999999999E-2</v>
      </c>
      <c r="C509">
        <v>1.755E-2</v>
      </c>
      <c r="D509">
        <v>1.694E-2</v>
      </c>
      <c r="E509">
        <v>1.7350000000000001E-2</v>
      </c>
      <c r="F509">
        <v>46867481.200000003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0.34426229508197059</v>
      </c>
      <c r="Q509">
        <f t="shared" si="980"/>
        <v>16134706.64262311</v>
      </c>
      <c r="R509">
        <f t="shared" si="981"/>
        <v>1495025430.4626291</v>
      </c>
      <c r="S509">
        <f t="shared" si="982"/>
        <v>14950.254304626291</v>
      </c>
      <c r="T509">
        <f t="shared" si="983"/>
        <v>14.950254304626291</v>
      </c>
    </row>
    <row r="510" spans="1:20" x14ac:dyDescent="0.25">
      <c r="A510" s="5">
        <v>44083</v>
      </c>
      <c r="B510">
        <v>1.651E-2</v>
      </c>
      <c r="C510">
        <v>1.7440000000000001E-2</v>
      </c>
      <c r="D510">
        <v>1.592E-2</v>
      </c>
      <c r="E510">
        <v>1.6959999999999999E-2</v>
      </c>
      <c r="F510">
        <v>55615373.799999997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0.36842105263157748</v>
      </c>
      <c r="Q510">
        <f t="shared" si="980"/>
        <v>20489874.557894655</v>
      </c>
      <c r="R510">
        <f t="shared" si="981"/>
        <v>1478890723.8200059</v>
      </c>
      <c r="S510">
        <f t="shared" si="982"/>
        <v>14788.90723820006</v>
      </c>
      <c r="T510">
        <f t="shared" si="983"/>
        <v>14.788907238200059</v>
      </c>
    </row>
    <row r="511" spans="1:20" x14ac:dyDescent="0.25">
      <c r="A511" s="5">
        <v>44082</v>
      </c>
      <c r="B511">
        <v>1.6969999999999999E-2</v>
      </c>
      <c r="C511">
        <v>1.729E-2</v>
      </c>
      <c r="D511">
        <v>1.5949999999999999E-2</v>
      </c>
      <c r="E511">
        <v>1.6549999999999999E-2</v>
      </c>
      <c r="F511">
        <v>38894793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-0.10447761194029936</v>
      </c>
      <c r="Q511">
        <f t="shared" si="980"/>
        <v>-4063635.0895522721</v>
      </c>
      <c r="R511">
        <f t="shared" si="981"/>
        <v>1458400849.2621112</v>
      </c>
      <c r="S511">
        <f t="shared" si="982"/>
        <v>14584.008492621111</v>
      </c>
      <c r="T511">
        <f t="shared" si="983"/>
        <v>14.584008492621111</v>
      </c>
    </row>
    <row r="512" spans="1:20" x14ac:dyDescent="0.25">
      <c r="A512" s="5">
        <v>44081</v>
      </c>
      <c r="B512">
        <v>1.7049999999999999E-2</v>
      </c>
      <c r="C512">
        <v>1.7399999999999999E-2</v>
      </c>
      <c r="D512">
        <v>1.5599999999999999E-2</v>
      </c>
      <c r="E512">
        <v>1.695E-2</v>
      </c>
      <c r="F512">
        <v>58439625.200000003</v>
      </c>
      <c r="G512">
        <v>0</v>
      </c>
      <c r="L512" t="s">
        <v>7</v>
      </c>
      <c r="M512" t="s">
        <v>8</v>
      </c>
      <c r="N512" t="s">
        <v>7</v>
      </c>
      <c r="P512">
        <f t="shared" si="979"/>
        <v>0.500000000000001</v>
      </c>
      <c r="Q512">
        <f t="shared" si="980"/>
        <v>29219812.600000061</v>
      </c>
      <c r="R512">
        <f t="shared" si="981"/>
        <v>1462464484.3516634</v>
      </c>
      <c r="S512">
        <f t="shared" si="982"/>
        <v>14624.644843516633</v>
      </c>
      <c r="T512">
        <f t="shared" si="983"/>
        <v>14.624644843516633</v>
      </c>
    </row>
    <row r="513" spans="1:20" x14ac:dyDescent="0.25">
      <c r="A513" s="5">
        <v>44080</v>
      </c>
      <c r="B513">
        <v>1.6400000000000001E-2</v>
      </c>
      <c r="C513">
        <v>1.7489999999999999E-2</v>
      </c>
      <c r="D513">
        <v>1.5900000000000001E-2</v>
      </c>
      <c r="E513">
        <v>1.703E-2</v>
      </c>
      <c r="F513">
        <v>61889024.700000003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0.42138364779874304</v>
      </c>
      <c r="Q513">
        <f t="shared" si="980"/>
        <v>26079022.986792509</v>
      </c>
      <c r="R513">
        <f t="shared" si="981"/>
        <v>1433244671.7516632</v>
      </c>
      <c r="S513">
        <f t="shared" si="982"/>
        <v>14332.446717516632</v>
      </c>
      <c r="T513">
        <f t="shared" si="983"/>
        <v>14.332446717516632</v>
      </c>
    </row>
    <row r="514" spans="1:20" x14ac:dyDescent="0.25">
      <c r="A514" s="5">
        <v>44079</v>
      </c>
      <c r="B514">
        <v>1.8069999999999999E-2</v>
      </c>
      <c r="C514">
        <v>1.83E-2</v>
      </c>
      <c r="D514">
        <v>1.502E-2</v>
      </c>
      <c r="E514">
        <v>1.6410000000000001E-2</v>
      </c>
      <c r="F514">
        <v>95102150.700000003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-0.15243902439024351</v>
      </c>
      <c r="Q514">
        <f t="shared" si="980"/>
        <v>-14497279.070121914</v>
      </c>
      <c r="R514">
        <f t="shared" si="981"/>
        <v>1407165648.7648706</v>
      </c>
      <c r="S514">
        <f t="shared" si="982"/>
        <v>14071.656487648706</v>
      </c>
      <c r="T514">
        <f t="shared" si="983"/>
        <v>14.071656487648706</v>
      </c>
    </row>
    <row r="515" spans="1:20" x14ac:dyDescent="0.25">
      <c r="A515" s="5">
        <v>44078</v>
      </c>
      <c r="B515">
        <v>1.7510000000000001E-2</v>
      </c>
      <c r="C515">
        <v>1.89E-2</v>
      </c>
      <c r="D515">
        <v>1.6709999999999999E-2</v>
      </c>
      <c r="E515">
        <v>1.8089999999999998E-2</v>
      </c>
      <c r="F515">
        <v>80557840.299999997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0.26027397260273849</v>
      </c>
      <c r="Q515">
        <f t="shared" si="980"/>
        <v>20967109.119177982</v>
      </c>
      <c r="R515">
        <f t="shared" si="981"/>
        <v>1421662927.8349926</v>
      </c>
      <c r="S515">
        <f t="shared" si="982"/>
        <v>14216.629278349927</v>
      </c>
      <c r="T515">
        <f t="shared" si="983"/>
        <v>14.216629278349927</v>
      </c>
    </row>
    <row r="516" spans="1:20" x14ac:dyDescent="0.25">
      <c r="A516" s="5">
        <v>44077</v>
      </c>
      <c r="B516">
        <v>2.069E-2</v>
      </c>
      <c r="C516">
        <v>2.095E-2</v>
      </c>
      <c r="D516">
        <v>1.7149999999999999E-2</v>
      </c>
      <c r="E516">
        <v>1.7500000000000002E-2</v>
      </c>
      <c r="F516">
        <v>94264523.900000006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-0.81578947368420895</v>
      </c>
      <c r="Q516">
        <f t="shared" si="980"/>
        <v>-76900006.339473546</v>
      </c>
      <c r="R516">
        <f t="shared" si="981"/>
        <v>1400695818.7158146</v>
      </c>
      <c r="S516">
        <f t="shared" si="982"/>
        <v>14006.958187158147</v>
      </c>
      <c r="T516">
        <f t="shared" si="983"/>
        <v>14.006958187158146</v>
      </c>
    </row>
    <row r="517" spans="1:20" x14ac:dyDescent="0.25">
      <c r="A517" s="5">
        <v>44076</v>
      </c>
      <c r="B517">
        <v>2.215E-2</v>
      </c>
      <c r="C517">
        <v>2.247E-2</v>
      </c>
      <c r="D517">
        <v>2.001E-2</v>
      </c>
      <c r="E517">
        <v>2.068E-2</v>
      </c>
      <c r="F517">
        <v>79752891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-0.45528455284552816</v>
      </c>
      <c r="Q517">
        <f t="shared" si="980"/>
        <v>-36310259.317073144</v>
      </c>
      <c r="R517">
        <f t="shared" si="981"/>
        <v>1477595825.0552881</v>
      </c>
      <c r="S517">
        <f t="shared" si="982"/>
        <v>14775.958250552882</v>
      </c>
      <c r="T517">
        <f t="shared" si="983"/>
        <v>14.775958250552881</v>
      </c>
    </row>
    <row r="518" spans="1:20" x14ac:dyDescent="0.25">
      <c r="A518" s="5">
        <v>44075</v>
      </c>
      <c r="B518">
        <v>2.2419999999999999E-2</v>
      </c>
      <c r="C518">
        <v>2.2780000000000002E-2</v>
      </c>
      <c r="D518">
        <v>2.1930000000000002E-2</v>
      </c>
      <c r="E518">
        <v>2.2190000000000001E-2</v>
      </c>
      <c r="F518">
        <v>75762975.299999997</v>
      </c>
      <c r="G518">
        <v>0</v>
      </c>
      <c r="L518" t="s">
        <v>8</v>
      </c>
      <c r="M518" t="s">
        <v>7</v>
      </c>
      <c r="N518" t="s">
        <v>8</v>
      </c>
      <c r="P518">
        <f t="shared" ref="P518:P581" si="984">IF(C518=D518,0,((E518-D518)-(C518-E518))/(C518-D518))</f>
        <v>-0.38823529411764751</v>
      </c>
      <c r="Q518">
        <f t="shared" ref="Q518:Q581" si="985">F518*P518</f>
        <v>-29413860.998823561</v>
      </c>
      <c r="R518">
        <f t="shared" ref="R518:R581" si="986">R519+Q518</f>
        <v>1513906084.3723612</v>
      </c>
      <c r="S518">
        <f t="shared" ref="S518:S581" si="987">R518/100000</f>
        <v>15139.060843723611</v>
      </c>
      <c r="T518">
        <f t="shared" ref="T518:T581" si="988">S518/1000</f>
        <v>15.139060843723611</v>
      </c>
    </row>
    <row r="519" spans="1:20" x14ac:dyDescent="0.25">
      <c r="A519" s="5">
        <v>44074</v>
      </c>
      <c r="B519">
        <v>2.2589999999999999E-2</v>
      </c>
      <c r="C519">
        <v>2.2689999999999998E-2</v>
      </c>
      <c r="D519">
        <v>2.2030000000000001E-2</v>
      </c>
      <c r="E519">
        <v>2.2429999999999999E-2</v>
      </c>
      <c r="F519">
        <v>46405686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0.21212121212120957</v>
      </c>
      <c r="Q519">
        <f t="shared" si="985"/>
        <v>9843630.363636246</v>
      </c>
      <c r="R519">
        <f t="shared" si="986"/>
        <v>1543319945.3711848</v>
      </c>
      <c r="S519">
        <f t="shared" si="987"/>
        <v>15433.199453711848</v>
      </c>
      <c r="T519">
        <f t="shared" si="988"/>
        <v>15.433199453711849</v>
      </c>
    </row>
    <row r="520" spans="1:20" x14ac:dyDescent="0.25">
      <c r="A520" s="5">
        <v>44073</v>
      </c>
      <c r="B520">
        <v>2.232E-2</v>
      </c>
      <c r="C520">
        <v>2.2970000000000001E-2</v>
      </c>
      <c r="D520">
        <v>2.2249999999999999E-2</v>
      </c>
      <c r="E520">
        <v>2.256E-2</v>
      </c>
      <c r="F520">
        <v>65178622.899999999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-0.13888888888888767</v>
      </c>
      <c r="Q520">
        <f t="shared" si="985"/>
        <v>-9052586.5138888098</v>
      </c>
      <c r="R520">
        <f t="shared" si="986"/>
        <v>1533476315.0075486</v>
      </c>
      <c r="S520">
        <f t="shared" si="987"/>
        <v>15334.763150075485</v>
      </c>
      <c r="T520">
        <f t="shared" si="988"/>
        <v>15.334763150075485</v>
      </c>
    </row>
    <row r="521" spans="1:20" x14ac:dyDescent="0.25">
      <c r="A521" s="5">
        <v>44072</v>
      </c>
      <c r="B521">
        <v>2.197E-2</v>
      </c>
      <c r="C521">
        <v>2.2849999999999999E-2</v>
      </c>
      <c r="D521">
        <v>2.1829999999999999E-2</v>
      </c>
      <c r="E521">
        <v>2.2349999999999998E-2</v>
      </c>
      <c r="F521">
        <v>52882690.399999999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1.96078431372541E-2</v>
      </c>
      <c r="Q521">
        <f t="shared" si="985"/>
        <v>1036915.4980391733</v>
      </c>
      <c r="R521">
        <f t="shared" si="986"/>
        <v>1542528901.5214374</v>
      </c>
      <c r="S521">
        <f t="shared" si="987"/>
        <v>15425.289015214374</v>
      </c>
      <c r="T521">
        <f t="shared" si="988"/>
        <v>15.425289015214373</v>
      </c>
    </row>
    <row r="522" spans="1:20" x14ac:dyDescent="0.25">
      <c r="A522" s="5">
        <v>44071</v>
      </c>
      <c r="B522">
        <v>2.1489999999999999E-2</v>
      </c>
      <c r="C522">
        <v>2.2190000000000001E-2</v>
      </c>
      <c r="D522">
        <v>2.1350000000000001E-2</v>
      </c>
      <c r="E522">
        <v>2.197E-2</v>
      </c>
      <c r="F522">
        <v>39776878.5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0.47619047619047306</v>
      </c>
      <c r="Q522">
        <f t="shared" si="985"/>
        <v>18941370.71428559</v>
      </c>
      <c r="R522">
        <f t="shared" si="986"/>
        <v>1541491986.0233982</v>
      </c>
      <c r="S522">
        <f t="shared" si="987"/>
        <v>15414.919860233982</v>
      </c>
      <c r="T522">
        <f t="shared" si="988"/>
        <v>15.414919860233981</v>
      </c>
    </row>
    <row r="523" spans="1:20" x14ac:dyDescent="0.25">
      <c r="A523" s="5">
        <v>44070</v>
      </c>
      <c r="B523">
        <v>2.248E-2</v>
      </c>
      <c r="C523">
        <v>2.2669999999999999E-2</v>
      </c>
      <c r="D523">
        <v>2.0959999999999999E-2</v>
      </c>
      <c r="E523">
        <v>2.1510000000000001E-2</v>
      </c>
      <c r="F523">
        <v>69624646.900000006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-0.35672514619882811</v>
      </c>
      <c r="Q523">
        <f t="shared" si="985"/>
        <v>-24836862.344444286</v>
      </c>
      <c r="R523">
        <f t="shared" si="986"/>
        <v>1522550615.3091125</v>
      </c>
      <c r="S523">
        <f t="shared" si="987"/>
        <v>15225.506153091126</v>
      </c>
      <c r="T523">
        <f t="shared" si="988"/>
        <v>15.225506153091127</v>
      </c>
    </row>
    <row r="524" spans="1:20" x14ac:dyDescent="0.25">
      <c r="A524" s="5">
        <v>44069</v>
      </c>
      <c r="B524">
        <v>2.2120000000000001E-2</v>
      </c>
      <c r="C524">
        <v>2.2839999999999999E-2</v>
      </c>
      <c r="D524">
        <v>2.189E-2</v>
      </c>
      <c r="E524">
        <v>2.2460000000000001E-2</v>
      </c>
      <c r="F524">
        <v>60949963.600000001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0.20000000000000293</v>
      </c>
      <c r="Q524">
        <f t="shared" si="985"/>
        <v>12189992.720000179</v>
      </c>
      <c r="R524">
        <f t="shared" si="986"/>
        <v>1547387477.6535568</v>
      </c>
      <c r="S524">
        <f t="shared" si="987"/>
        <v>15473.874776535567</v>
      </c>
      <c r="T524">
        <f t="shared" si="988"/>
        <v>15.473874776535567</v>
      </c>
    </row>
    <row r="525" spans="1:20" x14ac:dyDescent="0.25">
      <c r="A525" s="5">
        <v>44068</v>
      </c>
      <c r="B525">
        <v>2.4250000000000001E-2</v>
      </c>
      <c r="C525">
        <v>2.4369999999999999E-2</v>
      </c>
      <c r="D525">
        <v>2.1499999999999998E-2</v>
      </c>
      <c r="E525">
        <v>2.213E-2</v>
      </c>
      <c r="F525">
        <v>103944972.09999999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-0.56097560975609628</v>
      </c>
      <c r="Q525">
        <f t="shared" si="985"/>
        <v>-58310594.104877912</v>
      </c>
      <c r="R525">
        <f t="shared" si="986"/>
        <v>1535197484.9335566</v>
      </c>
      <c r="S525">
        <f t="shared" si="987"/>
        <v>15351.974849335566</v>
      </c>
      <c r="T525">
        <f t="shared" si="988"/>
        <v>15.351974849335566</v>
      </c>
    </row>
    <row r="526" spans="1:20" x14ac:dyDescent="0.25">
      <c r="A526" s="5">
        <v>44067</v>
      </c>
      <c r="B526">
        <v>2.3189999999999999E-2</v>
      </c>
      <c r="C526">
        <v>2.46E-2</v>
      </c>
      <c r="D526">
        <v>2.29E-2</v>
      </c>
      <c r="E526">
        <v>2.4250000000000001E-2</v>
      </c>
      <c r="F526">
        <v>78658865.5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0.58823529411764752</v>
      </c>
      <c r="Q526">
        <f t="shared" si="985"/>
        <v>46269920.882352978</v>
      </c>
      <c r="R526">
        <f t="shared" si="986"/>
        <v>1593508079.0384345</v>
      </c>
      <c r="S526">
        <f t="shared" si="987"/>
        <v>15935.080790384345</v>
      </c>
      <c r="T526">
        <f t="shared" si="988"/>
        <v>15.935080790384346</v>
      </c>
    </row>
    <row r="527" spans="1:20" x14ac:dyDescent="0.25">
      <c r="A527" s="5">
        <v>44066</v>
      </c>
      <c r="B527">
        <v>2.3869999999999999E-2</v>
      </c>
      <c r="C527">
        <v>2.41E-2</v>
      </c>
      <c r="D527">
        <v>2.266E-2</v>
      </c>
      <c r="E527">
        <v>2.3189999999999999E-2</v>
      </c>
      <c r="F527">
        <v>54974012.100000001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-0.26388888888889012</v>
      </c>
      <c r="Q527">
        <f t="shared" si="985"/>
        <v>-14507030.970833402</v>
      </c>
      <c r="R527">
        <f t="shared" si="986"/>
        <v>1547238158.1560814</v>
      </c>
      <c r="S527">
        <f t="shared" si="987"/>
        <v>15472.381581560814</v>
      </c>
      <c r="T527">
        <f t="shared" si="988"/>
        <v>15.472381581560814</v>
      </c>
    </row>
    <row r="528" spans="1:20" x14ac:dyDescent="0.25">
      <c r="A528" s="5">
        <v>44065</v>
      </c>
      <c r="B528">
        <v>2.308E-2</v>
      </c>
      <c r="C528">
        <v>2.3990000000000001E-2</v>
      </c>
      <c r="D528">
        <v>2.232E-2</v>
      </c>
      <c r="E528">
        <v>2.3859999999999999E-2</v>
      </c>
      <c r="F528">
        <v>63207776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0.84431137724550709</v>
      </c>
      <c r="Q528">
        <f t="shared" si="985"/>
        <v>53367044.40718551</v>
      </c>
      <c r="R528">
        <f t="shared" si="986"/>
        <v>1561745189.1269147</v>
      </c>
      <c r="S528">
        <f t="shared" si="987"/>
        <v>15617.451891269147</v>
      </c>
      <c r="T528">
        <f t="shared" si="988"/>
        <v>15.617451891269148</v>
      </c>
    </row>
    <row r="529" spans="1:20" x14ac:dyDescent="0.25">
      <c r="A529" s="5">
        <v>44064</v>
      </c>
      <c r="B529">
        <v>2.4289999999999999E-2</v>
      </c>
      <c r="C529">
        <v>2.5250000000000002E-2</v>
      </c>
      <c r="D529">
        <v>2.2849999999999999E-2</v>
      </c>
      <c r="E529">
        <v>2.308E-2</v>
      </c>
      <c r="F529">
        <v>100615082.59999999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-0.80833333333333268</v>
      </c>
      <c r="Q529">
        <f t="shared" si="985"/>
        <v>-81330525.1016666</v>
      </c>
      <c r="R529">
        <f t="shared" si="986"/>
        <v>1508378144.7197292</v>
      </c>
      <c r="S529">
        <f t="shared" si="987"/>
        <v>15083.781447197292</v>
      </c>
      <c r="T529">
        <f t="shared" si="988"/>
        <v>15.083781447197293</v>
      </c>
    </row>
    <row r="530" spans="1:20" x14ac:dyDescent="0.25">
      <c r="A530" s="5">
        <v>44063</v>
      </c>
      <c r="B530">
        <v>2.3210000000000001E-2</v>
      </c>
      <c r="C530">
        <v>2.452E-2</v>
      </c>
      <c r="D530">
        <v>2.3009999999999999E-2</v>
      </c>
      <c r="E530">
        <v>2.426E-2</v>
      </c>
      <c r="F530">
        <v>62312234.200000003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0.65562913907284814</v>
      </c>
      <c r="Q530">
        <f t="shared" si="985"/>
        <v>40853716.462251686</v>
      </c>
      <c r="R530">
        <f t="shared" si="986"/>
        <v>1589708669.8213959</v>
      </c>
      <c r="S530">
        <f t="shared" si="987"/>
        <v>15897.08669821396</v>
      </c>
      <c r="T530">
        <f t="shared" si="988"/>
        <v>15.897086698213959</v>
      </c>
    </row>
    <row r="531" spans="1:20" x14ac:dyDescent="0.25">
      <c r="A531" s="5">
        <v>44062</v>
      </c>
      <c r="B531">
        <v>2.5590000000000002E-2</v>
      </c>
      <c r="C531">
        <v>2.5899999999999999E-2</v>
      </c>
      <c r="D531">
        <v>2.2190000000000001E-2</v>
      </c>
      <c r="E531">
        <v>2.3230000000000001E-2</v>
      </c>
      <c r="F531">
        <v>161011713.59999999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-0.43935309973045833</v>
      </c>
      <c r="Q531">
        <f t="shared" si="985"/>
        <v>-70740995.463072792</v>
      </c>
      <c r="R531">
        <f t="shared" si="986"/>
        <v>1548854953.3591442</v>
      </c>
      <c r="S531">
        <f t="shared" si="987"/>
        <v>15488.549533591442</v>
      </c>
      <c r="T531">
        <f t="shared" si="988"/>
        <v>15.488549533591442</v>
      </c>
    </row>
    <row r="532" spans="1:20" x14ac:dyDescent="0.25">
      <c r="A532" s="5">
        <v>44061</v>
      </c>
      <c r="B532">
        <v>2.572E-2</v>
      </c>
      <c r="C532">
        <v>2.6780000000000002E-2</v>
      </c>
      <c r="D532">
        <v>2.4799999999999999E-2</v>
      </c>
      <c r="E532">
        <v>2.5579999999999999E-2</v>
      </c>
      <c r="F532">
        <v>115347202.7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-0.21212121212121371</v>
      </c>
      <c r="Q532">
        <f t="shared" si="985"/>
        <v>-24467588.451515336</v>
      </c>
      <c r="R532">
        <f t="shared" si="986"/>
        <v>1619595948.822217</v>
      </c>
      <c r="S532">
        <f t="shared" si="987"/>
        <v>16195.95948822217</v>
      </c>
      <c r="T532">
        <f t="shared" si="988"/>
        <v>16.195959488222169</v>
      </c>
    </row>
    <row r="533" spans="1:20" x14ac:dyDescent="0.25">
      <c r="A533" s="5">
        <v>44060</v>
      </c>
      <c r="B533">
        <v>2.5760000000000002E-2</v>
      </c>
      <c r="C533">
        <v>2.716E-2</v>
      </c>
      <c r="D533">
        <v>2.511E-2</v>
      </c>
      <c r="E533">
        <v>2.5760000000000002E-2</v>
      </c>
      <c r="F533">
        <v>190727022.80000001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-0.36585365853658403</v>
      </c>
      <c r="Q533">
        <f t="shared" si="985"/>
        <v>-69778179.073170483</v>
      </c>
      <c r="R533">
        <f t="shared" si="986"/>
        <v>1644063537.2737324</v>
      </c>
      <c r="S533">
        <f t="shared" si="987"/>
        <v>16440.635372737324</v>
      </c>
      <c r="T533">
        <f t="shared" si="988"/>
        <v>16.440635372737326</v>
      </c>
    </row>
    <row r="534" spans="1:20" x14ac:dyDescent="0.25">
      <c r="A534" s="5">
        <v>44059</v>
      </c>
      <c r="B534">
        <v>2.436E-2</v>
      </c>
      <c r="C534">
        <v>2.6499999999999999E-2</v>
      </c>
      <c r="D534">
        <v>2.4129999999999999E-2</v>
      </c>
      <c r="E534">
        <v>2.5760000000000002E-2</v>
      </c>
      <c r="F534">
        <v>209818390.69999999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0.37552742616033974</v>
      </c>
      <c r="Q534">
        <f t="shared" si="985"/>
        <v>78792560.220675558</v>
      </c>
      <c r="R534">
        <f t="shared" si="986"/>
        <v>1713841716.3469028</v>
      </c>
      <c r="S534">
        <f t="shared" si="987"/>
        <v>17138.417163469028</v>
      </c>
      <c r="T534">
        <f t="shared" si="988"/>
        <v>17.138417163469029</v>
      </c>
    </row>
    <row r="535" spans="1:20" x14ac:dyDescent="0.25">
      <c r="A535" s="5">
        <v>44058</v>
      </c>
      <c r="B535">
        <v>2.4629999999999999E-2</v>
      </c>
      <c r="C535">
        <v>2.4969999999999999E-2</v>
      </c>
      <c r="D535">
        <v>2.3769999999999999E-2</v>
      </c>
      <c r="E535">
        <v>2.435E-2</v>
      </c>
      <c r="F535">
        <v>181995962.09999999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-3.3333333333331987E-2</v>
      </c>
      <c r="Q535">
        <f t="shared" si="985"/>
        <v>-6066532.0699997544</v>
      </c>
      <c r="R535">
        <f t="shared" si="986"/>
        <v>1635049156.1262274</v>
      </c>
      <c r="S535">
        <f t="shared" si="987"/>
        <v>16350.491561262274</v>
      </c>
      <c r="T535">
        <f t="shared" si="988"/>
        <v>16.350491561262274</v>
      </c>
    </row>
    <row r="536" spans="1:20" x14ac:dyDescent="0.25">
      <c r="A536" s="5">
        <v>44057</v>
      </c>
      <c r="B536">
        <v>2.5319999999999999E-2</v>
      </c>
      <c r="C536">
        <v>2.6450000000000001E-2</v>
      </c>
      <c r="D536">
        <v>2.4250000000000001E-2</v>
      </c>
      <c r="E536">
        <v>2.4580000000000001E-2</v>
      </c>
      <c r="F536">
        <v>175969024.40000001</v>
      </c>
      <c r="G536">
        <v>0</v>
      </c>
      <c r="L536" t="s">
        <v>7</v>
      </c>
      <c r="M536" t="s">
        <v>8</v>
      </c>
      <c r="N536" t="s">
        <v>8</v>
      </c>
      <c r="P536">
        <f t="shared" si="984"/>
        <v>-0.69999999999999973</v>
      </c>
      <c r="Q536">
        <f t="shared" si="985"/>
        <v>-123178317.07999995</v>
      </c>
      <c r="R536">
        <f t="shared" si="986"/>
        <v>1641115688.1962271</v>
      </c>
      <c r="S536">
        <f t="shared" si="987"/>
        <v>16411.15688196227</v>
      </c>
      <c r="T536">
        <f t="shared" si="988"/>
        <v>16.41115688196227</v>
      </c>
    </row>
    <row r="537" spans="1:20" x14ac:dyDescent="0.25">
      <c r="A537" s="5">
        <v>44056</v>
      </c>
      <c r="B537">
        <v>2.273E-2</v>
      </c>
      <c r="C537">
        <v>2.75E-2</v>
      </c>
      <c r="D537">
        <v>2.172E-2</v>
      </c>
      <c r="E537">
        <v>2.5250000000000002E-2</v>
      </c>
      <c r="F537">
        <v>459126791.19999999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0.2214532871972324</v>
      </c>
      <c r="Q537">
        <f t="shared" si="985"/>
        <v>101675137.15155736</v>
      </c>
      <c r="R537">
        <f t="shared" si="986"/>
        <v>1764294005.276227</v>
      </c>
      <c r="S537">
        <f t="shared" si="987"/>
        <v>17642.940052762271</v>
      </c>
      <c r="T537">
        <f t="shared" si="988"/>
        <v>17.64294005276227</v>
      </c>
    </row>
    <row r="538" spans="1:20" x14ac:dyDescent="0.25">
      <c r="A538" s="5">
        <v>44055</v>
      </c>
      <c r="B538">
        <v>2.2040000000000001E-2</v>
      </c>
      <c r="C538">
        <v>2.291E-2</v>
      </c>
      <c r="D538">
        <v>2.1160000000000002E-2</v>
      </c>
      <c r="E538">
        <v>2.2769999999999999E-2</v>
      </c>
      <c r="F538">
        <v>79115672.200000003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0.83999999999999841</v>
      </c>
      <c r="Q538">
        <f t="shared" si="985"/>
        <v>66457164.647999875</v>
      </c>
      <c r="R538">
        <f t="shared" si="986"/>
        <v>1662618868.1246696</v>
      </c>
      <c r="S538">
        <f t="shared" si="987"/>
        <v>16626.188681246695</v>
      </c>
      <c r="T538">
        <f t="shared" si="988"/>
        <v>16.626188681246695</v>
      </c>
    </row>
    <row r="539" spans="1:20" x14ac:dyDescent="0.25">
      <c r="A539" s="5">
        <v>44054</v>
      </c>
      <c r="B539">
        <v>2.332E-2</v>
      </c>
      <c r="C539">
        <v>2.3740000000000001E-2</v>
      </c>
      <c r="D539">
        <v>2.121E-2</v>
      </c>
      <c r="E539">
        <v>2.205E-2</v>
      </c>
      <c r="F539">
        <v>147508453.40000001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-0.33596837944664021</v>
      </c>
      <c r="Q539">
        <f t="shared" si="985"/>
        <v>-49558176.043478251</v>
      </c>
      <c r="R539">
        <f t="shared" si="986"/>
        <v>1596161703.4766698</v>
      </c>
      <c r="S539">
        <f t="shared" si="987"/>
        <v>15961.617034766698</v>
      </c>
      <c r="T539">
        <f t="shared" si="988"/>
        <v>15.961617034766698</v>
      </c>
    </row>
    <row r="540" spans="1:20" x14ac:dyDescent="0.25">
      <c r="A540" s="5">
        <v>44053</v>
      </c>
      <c r="B540">
        <v>2.2720000000000001E-2</v>
      </c>
      <c r="C540">
        <v>2.3359999999999999E-2</v>
      </c>
      <c r="D540">
        <v>2.1899999999999999E-2</v>
      </c>
      <c r="E540">
        <v>2.334E-2</v>
      </c>
      <c r="F540">
        <v>122380134.59999999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0.97260273972602851</v>
      </c>
      <c r="Q540">
        <f t="shared" si="985"/>
        <v>119027254.20000014</v>
      </c>
      <c r="R540">
        <f t="shared" si="986"/>
        <v>1645719879.520148</v>
      </c>
      <c r="S540">
        <f t="shared" si="987"/>
        <v>16457.198795201479</v>
      </c>
      <c r="T540">
        <f t="shared" si="988"/>
        <v>16.457198795201478</v>
      </c>
    </row>
    <row r="541" spans="1:20" x14ac:dyDescent="0.25">
      <c r="A541" s="5">
        <v>44052</v>
      </c>
      <c r="B541">
        <v>2.239E-2</v>
      </c>
      <c r="C541">
        <v>2.3040000000000001E-2</v>
      </c>
      <c r="D541">
        <v>2.2100000000000002E-2</v>
      </c>
      <c r="E541">
        <v>2.2749999999999999E-2</v>
      </c>
      <c r="F541">
        <v>91478948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0.38297872340425082</v>
      </c>
      <c r="Q541">
        <f t="shared" si="985"/>
        <v>35034490.723403841</v>
      </c>
      <c r="R541">
        <f t="shared" si="986"/>
        <v>1526692625.320148</v>
      </c>
      <c r="S541">
        <f t="shared" si="987"/>
        <v>15266.92625320148</v>
      </c>
      <c r="T541">
        <f t="shared" si="988"/>
        <v>15.266926253201479</v>
      </c>
    </row>
    <row r="542" spans="1:20" x14ac:dyDescent="0.25">
      <c r="A542" s="5">
        <v>44051</v>
      </c>
      <c r="B542">
        <v>2.1940000000000001E-2</v>
      </c>
      <c r="C542">
        <v>2.2499999999999999E-2</v>
      </c>
      <c r="D542">
        <v>2.1680000000000001E-2</v>
      </c>
      <c r="E542">
        <v>2.239E-2</v>
      </c>
      <c r="F542">
        <v>83621506.700000003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0.73170731707317249</v>
      </c>
      <c r="Q542">
        <f t="shared" si="985"/>
        <v>61186468.317073323</v>
      </c>
      <c r="R542">
        <f t="shared" si="986"/>
        <v>1491658134.5967441</v>
      </c>
      <c r="S542">
        <f t="shared" si="987"/>
        <v>14916.581345967441</v>
      </c>
      <c r="T542">
        <f t="shared" si="988"/>
        <v>14.91658134596744</v>
      </c>
    </row>
    <row r="543" spans="1:20" x14ac:dyDescent="0.25">
      <c r="A543" s="5">
        <v>44050</v>
      </c>
      <c r="B543">
        <v>2.273E-2</v>
      </c>
      <c r="C543">
        <v>2.3040000000000001E-2</v>
      </c>
      <c r="D543">
        <v>2.1299999999999999E-2</v>
      </c>
      <c r="E543">
        <v>2.1909999999999999E-2</v>
      </c>
      <c r="F543">
        <v>99965901.299999997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-0.29885057471264515</v>
      </c>
      <c r="Q543">
        <f t="shared" si="985"/>
        <v>-29874867.055172559</v>
      </c>
      <c r="R543">
        <f t="shared" si="986"/>
        <v>1430471666.2796707</v>
      </c>
      <c r="S543">
        <f t="shared" si="987"/>
        <v>14304.716662796707</v>
      </c>
      <c r="T543">
        <f t="shared" si="988"/>
        <v>14.304716662796707</v>
      </c>
    </row>
    <row r="544" spans="1:20" x14ac:dyDescent="0.25">
      <c r="A544" s="5">
        <v>44049</v>
      </c>
      <c r="B544">
        <v>2.2800000000000001E-2</v>
      </c>
      <c r="C544">
        <v>2.41E-2</v>
      </c>
      <c r="D544">
        <v>2.2499999999999999E-2</v>
      </c>
      <c r="E544">
        <v>2.273E-2</v>
      </c>
      <c r="F544">
        <v>146593251.30000001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-0.7124999999999988</v>
      </c>
      <c r="Q544">
        <f t="shared" si="985"/>
        <v>-104447691.55124983</v>
      </c>
      <c r="R544">
        <f t="shared" si="986"/>
        <v>1460346533.3348432</v>
      </c>
      <c r="S544">
        <f t="shared" si="987"/>
        <v>14603.465333348431</v>
      </c>
      <c r="T544">
        <f t="shared" si="988"/>
        <v>14.603465333348431</v>
      </c>
    </row>
    <row r="545" spans="1:20" x14ac:dyDescent="0.25">
      <c r="A545" s="5">
        <v>44048</v>
      </c>
      <c r="B545">
        <v>2.104E-2</v>
      </c>
      <c r="C545">
        <v>2.341E-2</v>
      </c>
      <c r="D545">
        <v>2.0820000000000002E-2</v>
      </c>
      <c r="E545">
        <v>2.2790000000000001E-2</v>
      </c>
      <c r="F545">
        <v>163397159.69999999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0.52123552123552175</v>
      </c>
      <c r="Q545">
        <f t="shared" si="985"/>
        <v>85168403.704633281</v>
      </c>
      <c r="R545">
        <f t="shared" si="986"/>
        <v>1564794224.8860929</v>
      </c>
      <c r="S545">
        <f t="shared" si="987"/>
        <v>15647.942248860929</v>
      </c>
      <c r="T545">
        <f t="shared" si="988"/>
        <v>15.647942248860929</v>
      </c>
    </row>
    <row r="546" spans="1:20" x14ac:dyDescent="0.25">
      <c r="A546" s="5">
        <v>44047</v>
      </c>
      <c r="B546">
        <v>2.0840000000000001E-2</v>
      </c>
      <c r="C546">
        <v>2.129E-2</v>
      </c>
      <c r="D546">
        <v>2.01E-2</v>
      </c>
      <c r="E546">
        <v>2.104E-2</v>
      </c>
      <c r="F546">
        <v>60488244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0.57983193277310885</v>
      </c>
      <c r="Q546">
        <f t="shared" si="985"/>
        <v>35073015.428571403</v>
      </c>
      <c r="R546">
        <f t="shared" si="986"/>
        <v>1479625821.1814597</v>
      </c>
      <c r="S546">
        <f t="shared" si="987"/>
        <v>14796.258211814597</v>
      </c>
      <c r="T546">
        <f t="shared" si="988"/>
        <v>14.796258211814596</v>
      </c>
    </row>
    <row r="547" spans="1:20" x14ac:dyDescent="0.25">
      <c r="A547" s="5">
        <v>44046</v>
      </c>
      <c r="B547">
        <v>2.06E-2</v>
      </c>
      <c r="C547">
        <v>2.1600000000000001E-2</v>
      </c>
      <c r="D547">
        <v>2.0379999999999999E-2</v>
      </c>
      <c r="E547">
        <v>2.0789999999999999E-2</v>
      </c>
      <c r="F547">
        <v>74974330.900000006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-0.32786885245901665</v>
      </c>
      <c r="Q547">
        <f t="shared" si="985"/>
        <v>-24581747.836065594</v>
      </c>
      <c r="R547">
        <f t="shared" si="986"/>
        <v>1444552805.7528882</v>
      </c>
      <c r="S547">
        <f t="shared" si="987"/>
        <v>14445.528057528882</v>
      </c>
      <c r="T547">
        <f t="shared" si="988"/>
        <v>14.445528057528882</v>
      </c>
    </row>
    <row r="548" spans="1:20" x14ac:dyDescent="0.25">
      <c r="A548" s="5">
        <v>44045</v>
      </c>
      <c r="B548">
        <v>2.2169999999999999E-2</v>
      </c>
      <c r="C548">
        <v>2.2630000000000001E-2</v>
      </c>
      <c r="D548">
        <v>1.9199999999999998E-2</v>
      </c>
      <c r="E548">
        <v>2.0629999999999999E-2</v>
      </c>
      <c r="F548">
        <v>104773566.2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-0.16618075801749291</v>
      </c>
      <c r="Q548">
        <f t="shared" si="985"/>
        <v>-17411350.651311975</v>
      </c>
      <c r="R548">
        <f t="shared" si="986"/>
        <v>1469134553.5889537</v>
      </c>
      <c r="S548">
        <f t="shared" si="987"/>
        <v>14691.345535889537</v>
      </c>
      <c r="T548">
        <f t="shared" si="988"/>
        <v>14.691345535889537</v>
      </c>
    </row>
    <row r="549" spans="1:20" x14ac:dyDescent="0.25">
      <c r="A549" s="5">
        <v>44044</v>
      </c>
      <c r="B549">
        <v>2.0639999999999999E-2</v>
      </c>
      <c r="C549">
        <v>2.298E-2</v>
      </c>
      <c r="D549">
        <v>2.0580000000000001E-2</v>
      </c>
      <c r="E549">
        <v>2.2200000000000001E-2</v>
      </c>
      <c r="F549">
        <v>167304803.09999999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0.35000000000000031</v>
      </c>
      <c r="Q549">
        <f t="shared" si="985"/>
        <v>58556681.085000053</v>
      </c>
      <c r="R549">
        <f t="shared" si="986"/>
        <v>1486545904.2402656</v>
      </c>
      <c r="S549">
        <f t="shared" si="987"/>
        <v>14865.459042402656</v>
      </c>
      <c r="T549">
        <f t="shared" si="988"/>
        <v>14.865459042402655</v>
      </c>
    </row>
    <row r="550" spans="1:20" x14ac:dyDescent="0.25">
      <c r="A550" s="5">
        <v>44043</v>
      </c>
      <c r="B550">
        <v>2.0389999999999998E-2</v>
      </c>
      <c r="C550">
        <v>2.0899999999999998E-2</v>
      </c>
      <c r="D550">
        <v>2.0029999999999999E-2</v>
      </c>
      <c r="E550">
        <v>2.061E-2</v>
      </c>
      <c r="F550">
        <v>65310393.700000003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0.33333333333333598</v>
      </c>
      <c r="Q550">
        <f t="shared" si="985"/>
        <v>21770131.233333506</v>
      </c>
      <c r="R550">
        <f t="shared" si="986"/>
        <v>1427989223.1552656</v>
      </c>
      <c r="S550">
        <f t="shared" si="987"/>
        <v>14279.892231552656</v>
      </c>
      <c r="T550">
        <f t="shared" si="988"/>
        <v>14.279892231552656</v>
      </c>
    </row>
    <row r="551" spans="1:20" x14ac:dyDescent="0.25">
      <c r="A551" s="5">
        <v>44042</v>
      </c>
      <c r="B551">
        <v>1.9789999999999999E-2</v>
      </c>
      <c r="C551">
        <v>2.052E-2</v>
      </c>
      <c r="D551">
        <v>1.9599999999999999E-2</v>
      </c>
      <c r="E551">
        <v>2.0369999999999999E-2</v>
      </c>
      <c r="F551">
        <v>59126341.799999997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0.67391304347825931</v>
      </c>
      <c r="Q551">
        <f t="shared" si="985"/>
        <v>39846012.952173822</v>
      </c>
      <c r="R551">
        <f t="shared" si="986"/>
        <v>1406219091.921932</v>
      </c>
      <c r="S551">
        <f t="shared" si="987"/>
        <v>14062.19091921932</v>
      </c>
      <c r="T551">
        <f t="shared" si="988"/>
        <v>14.06219091921932</v>
      </c>
    </row>
    <row r="552" spans="1:20" x14ac:dyDescent="0.25">
      <c r="A552" s="5">
        <v>44041</v>
      </c>
      <c r="B552">
        <v>2.0140000000000002E-2</v>
      </c>
      <c r="C552">
        <v>2.0559999999999998E-2</v>
      </c>
      <c r="D552">
        <v>1.9550000000000001E-2</v>
      </c>
      <c r="E552">
        <v>1.9789999999999999E-2</v>
      </c>
      <c r="F552">
        <v>80163905.5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-0.52475247524752899</v>
      </c>
      <c r="Q552">
        <f t="shared" si="985"/>
        <v>-42066207.836634003</v>
      </c>
      <c r="R552">
        <f t="shared" si="986"/>
        <v>1366373078.9697583</v>
      </c>
      <c r="S552">
        <f t="shared" si="987"/>
        <v>13663.730789697584</v>
      </c>
      <c r="T552">
        <f t="shared" si="988"/>
        <v>13.663730789697583</v>
      </c>
    </row>
    <row r="553" spans="1:20" x14ac:dyDescent="0.25">
      <c r="A553" s="5">
        <v>44040</v>
      </c>
      <c r="B553">
        <v>1.9550000000000001E-2</v>
      </c>
      <c r="C553">
        <v>2.0299999999999999E-2</v>
      </c>
      <c r="D553">
        <v>1.933E-2</v>
      </c>
      <c r="E553">
        <v>2.0140000000000002E-2</v>
      </c>
      <c r="F553">
        <v>92760649.099999994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0.67010309278351099</v>
      </c>
      <c r="Q553">
        <f t="shared" si="985"/>
        <v>62159197.850515999</v>
      </c>
      <c r="R553">
        <f t="shared" si="986"/>
        <v>1408439286.8063922</v>
      </c>
      <c r="S553">
        <f t="shared" si="987"/>
        <v>14084.392868063922</v>
      </c>
      <c r="T553">
        <f t="shared" si="988"/>
        <v>14.084392868063922</v>
      </c>
    </row>
    <row r="554" spans="1:20" x14ac:dyDescent="0.25">
      <c r="A554" s="5">
        <v>44039</v>
      </c>
      <c r="B554">
        <v>2.0500000000000001E-2</v>
      </c>
      <c r="C554">
        <v>2.07E-2</v>
      </c>
      <c r="D554">
        <v>1.8360000000000001E-2</v>
      </c>
      <c r="E554">
        <v>1.9480000000000001E-2</v>
      </c>
      <c r="F554">
        <v>174215862.90000001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-4.2735042735042507E-2</v>
      </c>
      <c r="Q554">
        <f t="shared" si="985"/>
        <v>-7445122.3461538069</v>
      </c>
      <c r="R554">
        <f t="shared" si="986"/>
        <v>1346280088.9558761</v>
      </c>
      <c r="S554">
        <f t="shared" si="987"/>
        <v>13462.800889558761</v>
      </c>
      <c r="T554">
        <f t="shared" si="988"/>
        <v>13.462800889558761</v>
      </c>
    </row>
    <row r="555" spans="1:20" x14ac:dyDescent="0.25">
      <c r="A555" s="5">
        <v>44038</v>
      </c>
      <c r="B555">
        <v>2.0330000000000001E-2</v>
      </c>
      <c r="C555">
        <v>2.0590000000000001E-2</v>
      </c>
      <c r="D555">
        <v>0.02</v>
      </c>
      <c r="E555">
        <v>2.0500000000000001E-2</v>
      </c>
      <c r="F555">
        <v>70869887.099999994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0.69491525423728895</v>
      </c>
      <c r="Q555">
        <f t="shared" si="985"/>
        <v>49248565.611864462</v>
      </c>
      <c r="R555">
        <f t="shared" si="986"/>
        <v>1353725211.3020298</v>
      </c>
      <c r="S555">
        <f t="shared" si="987"/>
        <v>13537.252113020299</v>
      </c>
      <c r="T555">
        <f t="shared" si="988"/>
        <v>13.537252113020299</v>
      </c>
    </row>
    <row r="556" spans="1:20" x14ac:dyDescent="0.25">
      <c r="A556" s="5">
        <v>44037</v>
      </c>
      <c r="B556">
        <v>1.993E-2</v>
      </c>
      <c r="C556">
        <v>2.0420000000000001E-2</v>
      </c>
      <c r="D556">
        <v>1.993E-2</v>
      </c>
      <c r="E556">
        <v>2.034E-2</v>
      </c>
      <c r="F556">
        <v>50904084</v>
      </c>
      <c r="G556">
        <v>0</v>
      </c>
      <c r="L556" t="s">
        <v>7</v>
      </c>
      <c r="M556" t="s">
        <v>7</v>
      </c>
      <c r="N556" t="s">
        <v>8</v>
      </c>
      <c r="P556">
        <f t="shared" si="984"/>
        <v>0.67346938775510179</v>
      </c>
      <c r="Q556">
        <f t="shared" si="985"/>
        <v>34282342.285714276</v>
      </c>
      <c r="R556">
        <f t="shared" si="986"/>
        <v>1304476645.6901653</v>
      </c>
      <c r="S556">
        <f t="shared" si="987"/>
        <v>13044.766456901652</v>
      </c>
      <c r="T556">
        <f t="shared" si="988"/>
        <v>13.044766456901652</v>
      </c>
    </row>
    <row r="557" spans="1:20" x14ac:dyDescent="0.25">
      <c r="A557" s="5">
        <v>44036</v>
      </c>
      <c r="B557">
        <v>2.026E-2</v>
      </c>
      <c r="C557">
        <v>2.034E-2</v>
      </c>
      <c r="D557">
        <v>1.9800000000000002E-2</v>
      </c>
      <c r="E557">
        <v>1.9970000000000002E-2</v>
      </c>
      <c r="F557">
        <v>73541435.799999997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-0.37037037037036896</v>
      </c>
      <c r="Q557">
        <f t="shared" si="985"/>
        <v>-27237568.814814709</v>
      </c>
      <c r="R557">
        <f t="shared" si="986"/>
        <v>1270194303.4044509</v>
      </c>
      <c r="S557">
        <f t="shared" si="987"/>
        <v>12701.943034044509</v>
      </c>
      <c r="T557">
        <f t="shared" si="988"/>
        <v>12.701943034044509</v>
      </c>
    </row>
    <row r="558" spans="1:20" x14ac:dyDescent="0.25">
      <c r="A558" s="5">
        <v>44035</v>
      </c>
      <c r="B558">
        <v>2.0369999999999999E-2</v>
      </c>
      <c r="C558">
        <v>2.0580000000000001E-2</v>
      </c>
      <c r="D558">
        <v>2.0109999999999999E-2</v>
      </c>
      <c r="E558">
        <v>2.0289999999999999E-2</v>
      </c>
      <c r="F558">
        <v>86115899.200000003</v>
      </c>
      <c r="G558">
        <v>0</v>
      </c>
      <c r="L558" t="s">
        <v>8</v>
      </c>
      <c r="M558" t="s">
        <v>7</v>
      </c>
      <c r="N558" t="s">
        <v>8</v>
      </c>
      <c r="P558">
        <f t="shared" si="984"/>
        <v>-0.23404255319149375</v>
      </c>
      <c r="Q558">
        <f t="shared" si="985"/>
        <v>-20154784.919149313</v>
      </c>
      <c r="R558">
        <f t="shared" si="986"/>
        <v>1297431872.2192657</v>
      </c>
      <c r="S558">
        <f t="shared" si="987"/>
        <v>12974.318722192656</v>
      </c>
      <c r="T558">
        <f t="shared" si="988"/>
        <v>12.974318722192656</v>
      </c>
    </row>
    <row r="559" spans="1:20" x14ac:dyDescent="0.25">
      <c r="A559" s="5">
        <v>44034</v>
      </c>
      <c r="B559">
        <v>2.0500000000000001E-2</v>
      </c>
      <c r="C559">
        <v>2.06E-2</v>
      </c>
      <c r="D559">
        <v>2.019E-2</v>
      </c>
      <c r="E559">
        <v>2.0369999999999999E-2</v>
      </c>
      <c r="F559">
        <v>64702497.399999999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-0.12195121951219842</v>
      </c>
      <c r="Q559">
        <f t="shared" si="985"/>
        <v>-7890548.4634148479</v>
      </c>
      <c r="R559">
        <f t="shared" si="986"/>
        <v>1317586657.1384151</v>
      </c>
      <c r="S559">
        <f t="shared" si="987"/>
        <v>13175.866571384151</v>
      </c>
      <c r="T559">
        <f t="shared" si="988"/>
        <v>13.175866571384152</v>
      </c>
    </row>
    <row r="560" spans="1:20" x14ac:dyDescent="0.25">
      <c r="A560" s="5">
        <v>44033</v>
      </c>
      <c r="B560">
        <v>2.069E-2</v>
      </c>
      <c r="C560">
        <v>2.094E-2</v>
      </c>
      <c r="D560">
        <v>2.0150000000000001E-2</v>
      </c>
      <c r="E560">
        <v>2.0500000000000001E-2</v>
      </c>
      <c r="F560">
        <v>99392288.299999997</v>
      </c>
      <c r="G560">
        <v>0</v>
      </c>
      <c r="L560" t="s">
        <v>8</v>
      </c>
      <c r="M560" t="s">
        <v>7</v>
      </c>
      <c r="N560" t="s">
        <v>8</v>
      </c>
      <c r="P560">
        <f t="shared" si="984"/>
        <v>-0.11392405063291128</v>
      </c>
      <c r="Q560">
        <f t="shared" si="985"/>
        <v>-11323172.084810115</v>
      </c>
      <c r="R560">
        <f t="shared" si="986"/>
        <v>1325477205.60183</v>
      </c>
      <c r="S560">
        <f t="shared" si="987"/>
        <v>13254.772056018301</v>
      </c>
      <c r="T560">
        <f t="shared" si="988"/>
        <v>13.2547720560183</v>
      </c>
    </row>
    <row r="561" spans="1:104" x14ac:dyDescent="0.25">
      <c r="A561" s="5">
        <v>44032</v>
      </c>
      <c r="B561">
        <v>2.01E-2</v>
      </c>
      <c r="C561">
        <v>2.145E-2</v>
      </c>
      <c r="D561">
        <v>1.9990000000000001E-2</v>
      </c>
      <c r="E561">
        <v>2.0709999999999999E-2</v>
      </c>
      <c r="F561">
        <v>177112499.19999999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-1.3698630136988124E-2</v>
      </c>
      <c r="Q561">
        <f t="shared" si="985"/>
        <v>-2426198.619178405</v>
      </c>
      <c r="R561">
        <f t="shared" si="986"/>
        <v>1336800377.68664</v>
      </c>
      <c r="S561">
        <f t="shared" si="987"/>
        <v>13368.003776866401</v>
      </c>
      <c r="T561">
        <f t="shared" si="988"/>
        <v>13.3680037768664</v>
      </c>
      <c r="CZ561" t="s">
        <v>7</v>
      </c>
    </row>
    <row r="562" spans="1:104" x14ac:dyDescent="0.25">
      <c r="A562" s="5">
        <v>44031</v>
      </c>
      <c r="B562">
        <v>2.018E-2</v>
      </c>
      <c r="C562">
        <v>2.0400000000000001E-2</v>
      </c>
      <c r="D562">
        <v>1.968E-2</v>
      </c>
      <c r="E562">
        <v>2.01E-2</v>
      </c>
      <c r="F562">
        <v>67151565.099999994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0.16666666666666427</v>
      </c>
      <c r="Q562">
        <f t="shared" si="985"/>
        <v>11191927.516666505</v>
      </c>
      <c r="R562">
        <f t="shared" si="986"/>
        <v>1339226576.3058183</v>
      </c>
      <c r="S562">
        <f t="shared" si="987"/>
        <v>13392.265763058183</v>
      </c>
      <c r="T562">
        <f t="shared" si="988"/>
        <v>13.392265763058184</v>
      </c>
      <c r="CZ562" t="s">
        <v>7</v>
      </c>
    </row>
    <row r="563" spans="1:104" x14ac:dyDescent="0.25">
      <c r="A563" s="5">
        <v>44030</v>
      </c>
      <c r="B563">
        <v>2.01E-2</v>
      </c>
      <c r="C563">
        <v>2.035E-2</v>
      </c>
      <c r="D563">
        <v>1.9740000000000001E-2</v>
      </c>
      <c r="E563">
        <v>2.017E-2</v>
      </c>
      <c r="F563">
        <v>44267429.399999999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0.40983606557377122</v>
      </c>
      <c r="Q563">
        <f t="shared" si="985"/>
        <v>18142389.098360687</v>
      </c>
      <c r="R563">
        <f t="shared" si="986"/>
        <v>1328034648.7891519</v>
      </c>
      <c r="S563">
        <f t="shared" si="987"/>
        <v>13280.346487891518</v>
      </c>
      <c r="T563">
        <f t="shared" si="988"/>
        <v>13.280346487891519</v>
      </c>
      <c r="CZ563" t="s">
        <v>7</v>
      </c>
    </row>
    <row r="564" spans="1:104" x14ac:dyDescent="0.25">
      <c r="A564" s="5">
        <v>44029</v>
      </c>
      <c r="B564">
        <v>1.9720000000000001E-2</v>
      </c>
      <c r="C564">
        <v>2.0420000000000001E-2</v>
      </c>
      <c r="D564">
        <v>1.9460000000000002E-2</v>
      </c>
      <c r="E564">
        <v>2.01E-2</v>
      </c>
      <c r="F564">
        <v>85041033.799999997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0.33333333333333093</v>
      </c>
      <c r="Q564">
        <f t="shared" si="985"/>
        <v>28347011.266666461</v>
      </c>
      <c r="R564">
        <f t="shared" si="986"/>
        <v>1309892259.6907911</v>
      </c>
      <c r="S564">
        <f t="shared" si="987"/>
        <v>13098.922596907911</v>
      </c>
      <c r="T564">
        <f t="shared" si="988"/>
        <v>13.098922596907911</v>
      </c>
    </row>
    <row r="565" spans="1:104" x14ac:dyDescent="0.25">
      <c r="A565" s="5">
        <v>44028</v>
      </c>
      <c r="B565">
        <v>2.053E-2</v>
      </c>
      <c r="C565">
        <v>2.0740000000000001E-2</v>
      </c>
      <c r="D565">
        <v>1.8769999999999998E-2</v>
      </c>
      <c r="E565">
        <v>1.975E-2</v>
      </c>
      <c r="F565">
        <v>182167232.90000001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-5.0761421319794808E-3</v>
      </c>
      <c r="Q565">
        <f t="shared" si="985"/>
        <v>-924706.7659898086</v>
      </c>
      <c r="R565">
        <f t="shared" si="986"/>
        <v>1281545248.4241247</v>
      </c>
      <c r="S565">
        <f t="shared" si="987"/>
        <v>12815.452484241247</v>
      </c>
      <c r="T565">
        <f t="shared" si="988"/>
        <v>12.815452484241247</v>
      </c>
    </row>
    <row r="566" spans="1:104" x14ac:dyDescent="0.25">
      <c r="A566" s="5">
        <v>44027</v>
      </c>
      <c r="B566">
        <v>2.1409999999999998E-2</v>
      </c>
      <c r="C566">
        <v>2.1659999999999999E-2</v>
      </c>
      <c r="D566">
        <v>2.0140000000000002E-2</v>
      </c>
      <c r="E566">
        <v>2.0500000000000001E-2</v>
      </c>
      <c r="F566">
        <v>229201115.80000001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-0.52631578947368429</v>
      </c>
      <c r="Q566">
        <f t="shared" si="985"/>
        <v>-120632166.21052635</v>
      </c>
      <c r="R566">
        <f t="shared" si="986"/>
        <v>1282469955.1901145</v>
      </c>
      <c r="S566">
        <f t="shared" si="987"/>
        <v>12824.699551901145</v>
      </c>
      <c r="T566">
        <f t="shared" si="988"/>
        <v>12.824699551901146</v>
      </c>
    </row>
    <row r="567" spans="1:104" x14ac:dyDescent="0.25">
      <c r="A567" s="5">
        <v>44026</v>
      </c>
      <c r="B567">
        <v>2.3099999999999999E-2</v>
      </c>
      <c r="C567">
        <v>2.4369999999999999E-2</v>
      </c>
      <c r="D567">
        <v>1.9800000000000002E-2</v>
      </c>
      <c r="E567">
        <v>2.137E-2</v>
      </c>
      <c r="F567">
        <v>665130821.5</v>
      </c>
      <c r="G567">
        <v>0</v>
      </c>
      <c r="L567" t="s">
        <v>8</v>
      </c>
      <c r="M567" t="s">
        <v>7</v>
      </c>
      <c r="N567" t="s">
        <v>8</v>
      </c>
      <c r="P567">
        <f t="shared" si="984"/>
        <v>-0.31291028446389529</v>
      </c>
      <c r="Q567">
        <f t="shared" si="985"/>
        <v>-208126274.56126937</v>
      </c>
      <c r="R567">
        <f t="shared" si="986"/>
        <v>1403102121.400641</v>
      </c>
      <c r="S567">
        <f t="shared" si="987"/>
        <v>14031.02121400641</v>
      </c>
      <c r="T567">
        <f t="shared" si="988"/>
        <v>14.03102121400641</v>
      </c>
    </row>
    <row r="568" spans="1:104" x14ac:dyDescent="0.25">
      <c r="A568" s="5">
        <v>44025</v>
      </c>
      <c r="B568">
        <v>2.0150000000000001E-2</v>
      </c>
      <c r="C568">
        <v>2.3900000000000001E-2</v>
      </c>
      <c r="D568">
        <v>1.9959999999999999E-2</v>
      </c>
      <c r="E568">
        <v>2.3099999999999999E-2</v>
      </c>
      <c r="F568">
        <v>594740320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0.59390862944162359</v>
      </c>
      <c r="Q568">
        <f t="shared" si="985"/>
        <v>353221408.32487261</v>
      </c>
      <c r="R568">
        <f t="shared" si="986"/>
        <v>1611228395.9619102</v>
      </c>
      <c r="S568">
        <f t="shared" si="987"/>
        <v>16112.283959619102</v>
      </c>
      <c r="T568">
        <f t="shared" si="988"/>
        <v>16.112283959619102</v>
      </c>
    </row>
    <row r="569" spans="1:104" x14ac:dyDescent="0.25">
      <c r="A569" s="5">
        <v>44024</v>
      </c>
      <c r="B569">
        <v>2.0310000000000002E-2</v>
      </c>
      <c r="C569">
        <v>2.0629999999999999E-2</v>
      </c>
      <c r="D569">
        <v>1.9640000000000001E-2</v>
      </c>
      <c r="E569">
        <v>2.0119999999999999E-2</v>
      </c>
      <c r="F569">
        <v>75546534.299999997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-3.0303030303032639E-2</v>
      </c>
      <c r="Q569">
        <f t="shared" si="985"/>
        <v>-2289288.9181819945</v>
      </c>
      <c r="R569">
        <f t="shared" si="986"/>
        <v>1258006987.6370375</v>
      </c>
      <c r="S569">
        <f t="shared" si="987"/>
        <v>12580.069876370375</v>
      </c>
      <c r="T569">
        <f t="shared" si="988"/>
        <v>12.580069876370375</v>
      </c>
    </row>
    <row r="570" spans="1:104" x14ac:dyDescent="0.25">
      <c r="A570" s="5">
        <v>44023</v>
      </c>
      <c r="B570">
        <v>1.9779999999999999E-2</v>
      </c>
      <c r="C570">
        <v>2.1000000000000001E-2</v>
      </c>
      <c r="D570">
        <v>1.975E-2</v>
      </c>
      <c r="E570">
        <v>2.0279999999999999E-2</v>
      </c>
      <c r="F570">
        <v>103149819.8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-0.15200000000000199</v>
      </c>
      <c r="Q570">
        <f t="shared" si="985"/>
        <v>-15678772.609600205</v>
      </c>
      <c r="R570">
        <f t="shared" si="986"/>
        <v>1260296276.5552194</v>
      </c>
      <c r="S570">
        <f t="shared" si="987"/>
        <v>12602.962765552194</v>
      </c>
      <c r="T570">
        <f t="shared" si="988"/>
        <v>12.602962765552194</v>
      </c>
    </row>
    <row r="571" spans="1:104" x14ac:dyDescent="0.25">
      <c r="A571" s="5">
        <v>44022</v>
      </c>
      <c r="B571">
        <v>1.9699999999999999E-2</v>
      </c>
      <c r="C571">
        <v>2.0029999999999999E-2</v>
      </c>
      <c r="D571">
        <v>1.9290000000000002E-2</v>
      </c>
      <c r="E571">
        <v>1.9779999999999999E-2</v>
      </c>
      <c r="F571">
        <v>55477038.399999999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0.32432432432432151</v>
      </c>
      <c r="Q571">
        <f t="shared" si="985"/>
        <v>17992552.99459444</v>
      </c>
      <c r="R571">
        <f t="shared" si="986"/>
        <v>1275975049.1648197</v>
      </c>
      <c r="S571">
        <f t="shared" si="987"/>
        <v>12759.750491648198</v>
      </c>
      <c r="T571">
        <f t="shared" si="988"/>
        <v>12.759750491648198</v>
      </c>
    </row>
    <row r="572" spans="1:104" x14ac:dyDescent="0.25">
      <c r="A572" s="5">
        <v>44021</v>
      </c>
      <c r="B572">
        <v>2.0199999999999999E-2</v>
      </c>
      <c r="C572">
        <v>2.06E-2</v>
      </c>
      <c r="D572">
        <v>1.9130000000000001E-2</v>
      </c>
      <c r="E572">
        <v>1.968E-2</v>
      </c>
      <c r="F572">
        <v>99509639</v>
      </c>
      <c r="G572">
        <v>0</v>
      </c>
      <c r="L572" t="s">
        <v>7</v>
      </c>
      <c r="M572" t="s">
        <v>8</v>
      </c>
      <c r="N572" t="s">
        <v>8</v>
      </c>
      <c r="P572">
        <f t="shared" si="984"/>
        <v>-0.25170068027211057</v>
      </c>
      <c r="Q572">
        <f t="shared" si="985"/>
        <v>-25046643.829932146</v>
      </c>
      <c r="R572">
        <f t="shared" si="986"/>
        <v>1257982496.1702254</v>
      </c>
      <c r="S572">
        <f t="shared" si="987"/>
        <v>12579.824961702254</v>
      </c>
      <c r="T572">
        <f t="shared" si="988"/>
        <v>12.579824961702254</v>
      </c>
    </row>
    <row r="573" spans="1:104" x14ac:dyDescent="0.25">
      <c r="A573" s="5">
        <v>44020</v>
      </c>
      <c r="B573">
        <v>1.9099999999999999E-2</v>
      </c>
      <c r="C573">
        <v>2.0629999999999999E-2</v>
      </c>
      <c r="D573">
        <v>1.908E-2</v>
      </c>
      <c r="E573">
        <v>2.0199999999999999E-2</v>
      </c>
      <c r="F573">
        <v>119418479.59999999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0.44516129032258062</v>
      </c>
      <c r="Q573">
        <f t="shared" si="985"/>
        <v>53160484.467096768</v>
      </c>
      <c r="R573">
        <f t="shared" si="986"/>
        <v>1283029140.0001576</v>
      </c>
      <c r="S573">
        <f t="shared" si="987"/>
        <v>12830.291400001575</v>
      </c>
      <c r="T573">
        <f t="shared" si="988"/>
        <v>12.830291400001576</v>
      </c>
    </row>
    <row r="574" spans="1:104" x14ac:dyDescent="0.25">
      <c r="A574" s="5">
        <v>44019</v>
      </c>
      <c r="B574">
        <v>1.9140000000000001E-2</v>
      </c>
      <c r="C574">
        <v>1.9349999999999999E-2</v>
      </c>
      <c r="D574">
        <v>1.8759999999999999E-2</v>
      </c>
      <c r="E574">
        <v>1.9099999999999999E-2</v>
      </c>
      <c r="F574">
        <v>64328240.100000001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0.15254237288135553</v>
      </c>
      <c r="Q574">
        <f t="shared" si="985"/>
        <v>9812782.3881355673</v>
      </c>
      <c r="R574">
        <f t="shared" si="986"/>
        <v>1229868655.5330608</v>
      </c>
      <c r="S574">
        <f t="shared" si="987"/>
        <v>12298.686555330607</v>
      </c>
      <c r="T574">
        <f t="shared" si="988"/>
        <v>12.298686555330606</v>
      </c>
    </row>
    <row r="575" spans="1:104" x14ac:dyDescent="0.25">
      <c r="A575" s="5">
        <v>44018</v>
      </c>
      <c r="B575">
        <v>1.8450000000000001E-2</v>
      </c>
      <c r="C575">
        <v>1.9189999999999999E-2</v>
      </c>
      <c r="D575">
        <v>1.8370000000000001E-2</v>
      </c>
      <c r="E575">
        <v>1.9130000000000001E-2</v>
      </c>
      <c r="F575">
        <v>63373350.399999999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0.85365853658537139</v>
      </c>
      <c r="Q575">
        <f t="shared" si="985"/>
        <v>54099201.560975961</v>
      </c>
      <c r="R575">
        <f t="shared" si="986"/>
        <v>1220055873.1449251</v>
      </c>
      <c r="S575">
        <f t="shared" si="987"/>
        <v>12200.558731449251</v>
      </c>
      <c r="T575">
        <f t="shared" si="988"/>
        <v>12.200558731449251</v>
      </c>
    </row>
    <row r="576" spans="1:104" x14ac:dyDescent="0.25">
      <c r="A576" s="5">
        <v>44017</v>
      </c>
      <c r="B576">
        <v>1.8870000000000001E-2</v>
      </c>
      <c r="C576">
        <v>1.8970000000000001E-2</v>
      </c>
      <c r="D576">
        <v>1.7999999999999999E-2</v>
      </c>
      <c r="E576">
        <v>1.8499999999999999E-2</v>
      </c>
      <c r="F576">
        <v>36371919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3.0927835051545064E-2</v>
      </c>
      <c r="Q576">
        <f t="shared" si="985"/>
        <v>1124904.7113401578</v>
      </c>
      <c r="R576">
        <f t="shared" si="986"/>
        <v>1165956671.5839491</v>
      </c>
      <c r="S576">
        <f t="shared" si="987"/>
        <v>11659.566715839492</v>
      </c>
      <c r="T576">
        <f t="shared" si="988"/>
        <v>11.659566715839492</v>
      </c>
    </row>
    <row r="577" spans="1:20" x14ac:dyDescent="0.25">
      <c r="A577" s="5">
        <v>44016</v>
      </c>
      <c r="B577">
        <v>1.8100000000000002E-2</v>
      </c>
      <c r="C577">
        <v>1.908E-2</v>
      </c>
      <c r="D577">
        <v>1.8089999999999998E-2</v>
      </c>
      <c r="E577">
        <v>1.8849999999999999E-2</v>
      </c>
      <c r="F577">
        <v>48839457.100000001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0.53535353535353392</v>
      </c>
      <c r="Q577">
        <f t="shared" si="985"/>
        <v>26146376.023232255</v>
      </c>
      <c r="R577">
        <f t="shared" si="986"/>
        <v>1164831766.8726089</v>
      </c>
      <c r="S577">
        <f t="shared" si="987"/>
        <v>11648.317668726089</v>
      </c>
      <c r="T577">
        <f t="shared" si="988"/>
        <v>11.64831766872609</v>
      </c>
    </row>
    <row r="578" spans="1:20" x14ac:dyDescent="0.25">
      <c r="A578" s="5">
        <v>44015</v>
      </c>
      <c r="B578">
        <v>1.8370000000000001E-2</v>
      </c>
      <c r="C578">
        <v>1.847E-2</v>
      </c>
      <c r="D578">
        <v>1.806E-2</v>
      </c>
      <c r="E578">
        <v>1.8089999999999998E-2</v>
      </c>
      <c r="F578">
        <v>52648907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-0.85365853658537205</v>
      </c>
      <c r="Q578">
        <f t="shared" si="985"/>
        <v>-44944188.902439348</v>
      </c>
      <c r="R578">
        <f t="shared" si="986"/>
        <v>1138685390.8493767</v>
      </c>
      <c r="S578">
        <f t="shared" si="987"/>
        <v>11386.853908493767</v>
      </c>
      <c r="T578">
        <f t="shared" si="988"/>
        <v>11.386853908493768</v>
      </c>
    </row>
    <row r="579" spans="1:20" x14ac:dyDescent="0.25">
      <c r="A579" s="5">
        <v>44014</v>
      </c>
      <c r="B579">
        <v>1.8970000000000001E-2</v>
      </c>
      <c r="C579">
        <v>1.9130000000000001E-2</v>
      </c>
      <c r="D579">
        <v>1.7829999999999999E-2</v>
      </c>
      <c r="E579">
        <v>1.8380000000000001E-2</v>
      </c>
      <c r="F579">
        <v>85425473.5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-0.15384615384615261</v>
      </c>
      <c r="Q579">
        <f t="shared" si="985"/>
        <v>-13142380.538461432</v>
      </c>
      <c r="R579">
        <f t="shared" si="986"/>
        <v>1183629579.751816</v>
      </c>
      <c r="S579">
        <f t="shared" si="987"/>
        <v>11836.29579751816</v>
      </c>
      <c r="T579">
        <f t="shared" si="988"/>
        <v>11.83629579751816</v>
      </c>
    </row>
    <row r="580" spans="1:20" x14ac:dyDescent="0.25">
      <c r="A580" s="5">
        <v>44013</v>
      </c>
      <c r="B580">
        <v>1.89E-2</v>
      </c>
      <c r="C580">
        <v>1.924E-2</v>
      </c>
      <c r="D580">
        <v>1.866E-2</v>
      </c>
      <c r="E580">
        <v>1.8970000000000001E-2</v>
      </c>
      <c r="F580">
        <v>40803157.700000003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6.8965517241382404E-2</v>
      </c>
      <c r="Q580">
        <f t="shared" si="985"/>
        <v>2814010.8758621956</v>
      </c>
      <c r="R580">
        <f t="shared" si="986"/>
        <v>1196771960.2902775</v>
      </c>
      <c r="S580">
        <f t="shared" si="987"/>
        <v>11967.719602902775</v>
      </c>
      <c r="T580">
        <f t="shared" si="988"/>
        <v>11.967719602902774</v>
      </c>
    </row>
    <row r="581" spans="1:20" x14ac:dyDescent="0.25">
      <c r="A581" s="5">
        <v>44012</v>
      </c>
      <c r="B581">
        <v>1.8970000000000001E-2</v>
      </c>
      <c r="C581">
        <v>1.9210000000000001E-2</v>
      </c>
      <c r="D581">
        <v>1.8710000000000001E-2</v>
      </c>
      <c r="E581">
        <v>1.89E-2</v>
      </c>
      <c r="F581">
        <v>48392673.700000003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-0.24000000000000388</v>
      </c>
      <c r="Q581">
        <f t="shared" si="985"/>
        <v>-11614241.688000189</v>
      </c>
      <c r="R581">
        <f t="shared" si="986"/>
        <v>1193957949.4144154</v>
      </c>
      <c r="S581">
        <f t="shared" si="987"/>
        <v>11939.579494144153</v>
      </c>
      <c r="T581">
        <f t="shared" si="988"/>
        <v>11.939579494144153</v>
      </c>
    </row>
    <row r="582" spans="1:20" x14ac:dyDescent="0.25">
      <c r="A582" s="5">
        <v>44011</v>
      </c>
      <c r="B582">
        <v>1.8800000000000001E-2</v>
      </c>
      <c r="C582">
        <v>1.915E-2</v>
      </c>
      <c r="D582">
        <v>1.864E-2</v>
      </c>
      <c r="E582">
        <v>1.899E-2</v>
      </c>
      <c r="F582">
        <v>62836637.200000003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0.37254901960784154</v>
      </c>
      <c r="Q582">
        <f t="shared" ref="Q582:Q645" si="990">F582*P582</f>
        <v>23409727.584313627</v>
      </c>
      <c r="R582">
        <f t="shared" ref="R582:R645" si="991">R583+Q582</f>
        <v>1205572191.1024156</v>
      </c>
      <c r="S582">
        <f t="shared" ref="S582:S645" si="992">R582/100000</f>
        <v>12055.721911024155</v>
      </c>
      <c r="T582">
        <f t="shared" ref="T582:T645" si="993">S582/1000</f>
        <v>12.055721911024154</v>
      </c>
    </row>
    <row r="583" spans="1:20" x14ac:dyDescent="0.25">
      <c r="A583" s="5">
        <v>44010</v>
      </c>
      <c r="B583">
        <v>1.8239999999999999E-2</v>
      </c>
      <c r="C583">
        <v>1.924E-2</v>
      </c>
      <c r="D583">
        <v>1.787E-2</v>
      </c>
      <c r="E583">
        <v>1.8769999999999998E-2</v>
      </c>
      <c r="F583">
        <v>62713621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0.31386861313868353</v>
      </c>
      <c r="Q583">
        <f t="shared" si="990"/>
        <v>19683837.248175018</v>
      </c>
      <c r="R583">
        <f t="shared" si="991"/>
        <v>1182162463.5181019</v>
      </c>
      <c r="S583">
        <f t="shared" si="992"/>
        <v>11821.624635181019</v>
      </c>
      <c r="T583">
        <f t="shared" si="993"/>
        <v>11.821624635181019</v>
      </c>
    </row>
    <row r="584" spans="1:20" x14ac:dyDescent="0.25">
      <c r="A584" s="5">
        <v>44009</v>
      </c>
      <c r="B584">
        <v>1.9349999999999999E-2</v>
      </c>
      <c r="C584">
        <v>1.959E-2</v>
      </c>
      <c r="D584">
        <v>1.7330000000000002E-2</v>
      </c>
      <c r="E584">
        <v>1.8239999999999999E-2</v>
      </c>
      <c r="F584">
        <v>93221900.900000006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-0.1946902654867271</v>
      </c>
      <c r="Q584">
        <f t="shared" si="990"/>
        <v>-18149396.635398366</v>
      </c>
      <c r="R584">
        <f t="shared" si="991"/>
        <v>1162478626.269927</v>
      </c>
      <c r="S584">
        <f t="shared" si="992"/>
        <v>11624.78626269927</v>
      </c>
      <c r="T584">
        <f t="shared" si="993"/>
        <v>11.624786262699271</v>
      </c>
    </row>
    <row r="585" spans="1:20" x14ac:dyDescent="0.25">
      <c r="A585" s="5">
        <v>44008</v>
      </c>
      <c r="B585">
        <v>1.9990000000000001E-2</v>
      </c>
      <c r="C585">
        <v>2.002E-2</v>
      </c>
      <c r="D585">
        <v>1.917E-2</v>
      </c>
      <c r="E585">
        <v>1.934E-2</v>
      </c>
      <c r="F585">
        <v>78133310.599999994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-0.6</v>
      </c>
      <c r="Q585">
        <f t="shared" si="990"/>
        <v>-46879986.359999992</v>
      </c>
      <c r="R585">
        <f t="shared" si="991"/>
        <v>1180628022.9053254</v>
      </c>
      <c r="S585">
        <f t="shared" si="992"/>
        <v>11806.280229053255</v>
      </c>
      <c r="T585">
        <f t="shared" si="993"/>
        <v>11.806280229053254</v>
      </c>
    </row>
    <row r="586" spans="1:20" x14ac:dyDescent="0.25">
      <c r="A586" s="5">
        <v>44007</v>
      </c>
      <c r="B586">
        <v>2.0389999999999998E-2</v>
      </c>
      <c r="C586">
        <v>2.044E-2</v>
      </c>
      <c r="D586">
        <v>1.9380000000000001E-2</v>
      </c>
      <c r="E586">
        <v>0.02</v>
      </c>
      <c r="F586">
        <v>86580948.799999997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0.16981132075471686</v>
      </c>
      <c r="Q586">
        <f t="shared" si="990"/>
        <v>14702425.267924517</v>
      </c>
      <c r="R586">
        <f t="shared" si="991"/>
        <v>1227508009.2653253</v>
      </c>
      <c r="S586">
        <f t="shared" si="992"/>
        <v>12275.080092653254</v>
      </c>
      <c r="T586">
        <f t="shared" si="993"/>
        <v>12.275080092653253</v>
      </c>
    </row>
    <row r="587" spans="1:20" x14ac:dyDescent="0.25">
      <c r="A587" s="5">
        <v>44006</v>
      </c>
      <c r="B587">
        <v>2.1350000000000001E-2</v>
      </c>
      <c r="C587">
        <v>2.1669999999999998E-2</v>
      </c>
      <c r="D587">
        <v>2.0049999999999998E-2</v>
      </c>
      <c r="E587">
        <v>2.0410000000000001E-2</v>
      </c>
      <c r="F587">
        <v>103441306.3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-0.55555555555555225</v>
      </c>
      <c r="Q587">
        <f t="shared" si="990"/>
        <v>-57467392.388888545</v>
      </c>
      <c r="R587">
        <f t="shared" si="991"/>
        <v>1212805583.9974008</v>
      </c>
      <c r="S587">
        <f t="shared" si="992"/>
        <v>12128.055839974008</v>
      </c>
      <c r="T587">
        <f t="shared" si="993"/>
        <v>12.128055839974008</v>
      </c>
    </row>
    <row r="588" spans="1:20" x14ac:dyDescent="0.25">
      <c r="A588" s="5">
        <v>44005</v>
      </c>
      <c r="B588">
        <v>2.1080000000000002E-2</v>
      </c>
      <c r="C588">
        <v>2.171E-2</v>
      </c>
      <c r="D588">
        <v>2.0650000000000002E-2</v>
      </c>
      <c r="E588">
        <v>2.1350000000000001E-2</v>
      </c>
      <c r="F588">
        <v>74023355.200000003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0.32075471698113256</v>
      </c>
      <c r="Q588">
        <f t="shared" si="990"/>
        <v>23743340.347169846</v>
      </c>
      <c r="R588">
        <f t="shared" si="991"/>
        <v>1270272976.3862894</v>
      </c>
      <c r="S588">
        <f t="shared" si="992"/>
        <v>12702.729763862893</v>
      </c>
      <c r="T588">
        <f t="shared" si="993"/>
        <v>12.702729763862893</v>
      </c>
    </row>
    <row r="589" spans="1:20" x14ac:dyDescent="0.25">
      <c r="A589" s="5">
        <v>44004</v>
      </c>
      <c r="B589">
        <v>2.0469999999999999E-2</v>
      </c>
      <c r="C589">
        <v>2.1239999999999998E-2</v>
      </c>
      <c r="D589">
        <v>2.0469999999999999E-2</v>
      </c>
      <c r="E589">
        <v>2.1080000000000002E-2</v>
      </c>
      <c r="F589">
        <v>76644430.5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0.58441558441559227</v>
      </c>
      <c r="Q589">
        <f t="shared" si="990"/>
        <v>44792199.642857745</v>
      </c>
      <c r="R589">
        <f t="shared" si="991"/>
        <v>1246529636.0391195</v>
      </c>
      <c r="S589">
        <f t="shared" si="992"/>
        <v>12465.296360391194</v>
      </c>
      <c r="T589">
        <f t="shared" si="993"/>
        <v>12.465296360391195</v>
      </c>
    </row>
    <row r="590" spans="1:20" x14ac:dyDescent="0.25">
      <c r="A590" s="5">
        <v>44003</v>
      </c>
      <c r="B590">
        <v>2.077E-2</v>
      </c>
      <c r="C590">
        <v>2.1600000000000001E-2</v>
      </c>
      <c r="D590">
        <v>2.0400000000000001E-2</v>
      </c>
      <c r="E590">
        <v>2.0490000000000001E-2</v>
      </c>
      <c r="F590">
        <v>85923558.099999994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-0.85000000000000031</v>
      </c>
      <c r="Q590">
        <f t="shared" si="990"/>
        <v>-73035024.38500002</v>
      </c>
      <c r="R590">
        <f t="shared" si="991"/>
        <v>1201737436.3962617</v>
      </c>
      <c r="S590">
        <f t="shared" si="992"/>
        <v>12017.374363962617</v>
      </c>
      <c r="T590">
        <f t="shared" si="993"/>
        <v>12.017374363962617</v>
      </c>
    </row>
    <row r="591" spans="1:20" x14ac:dyDescent="0.25">
      <c r="A591" s="5">
        <v>44002</v>
      </c>
      <c r="B591">
        <v>2.0889999999999999E-2</v>
      </c>
      <c r="C591">
        <v>2.1260000000000001E-2</v>
      </c>
      <c r="D591">
        <v>2.0080000000000001E-2</v>
      </c>
      <c r="E591">
        <v>2.0740000000000001E-2</v>
      </c>
      <c r="F591">
        <v>93494486.799999997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0.11864406779661117</v>
      </c>
      <c r="Q591">
        <f t="shared" si="990"/>
        <v>11092566.230508568</v>
      </c>
      <c r="R591">
        <f t="shared" si="991"/>
        <v>1274772460.7812617</v>
      </c>
      <c r="S591">
        <f t="shared" si="992"/>
        <v>12747.724607812617</v>
      </c>
      <c r="T591">
        <f t="shared" si="993"/>
        <v>12.747724607812618</v>
      </c>
    </row>
    <row r="592" spans="1:20" x14ac:dyDescent="0.25">
      <c r="A592" s="5">
        <v>44001</v>
      </c>
      <c r="B592">
        <v>2.1829999999999999E-2</v>
      </c>
      <c r="C592">
        <v>2.1850000000000001E-2</v>
      </c>
      <c r="D592">
        <v>2.0670000000000001E-2</v>
      </c>
      <c r="E592">
        <v>2.0889999999999999E-2</v>
      </c>
      <c r="F592">
        <v>120297090.8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-0.62711864406780016</v>
      </c>
      <c r="Q592">
        <f t="shared" si="990"/>
        <v>-75440548.467797041</v>
      </c>
      <c r="R592">
        <f t="shared" si="991"/>
        <v>1263679894.5507531</v>
      </c>
      <c r="S592">
        <f t="shared" si="992"/>
        <v>12636.798945507531</v>
      </c>
      <c r="T592">
        <f t="shared" si="993"/>
        <v>12.636798945507531</v>
      </c>
    </row>
    <row r="593" spans="1:20" x14ac:dyDescent="0.25">
      <c r="A593" s="5">
        <v>44000</v>
      </c>
      <c r="B593">
        <v>2.2009999999999998E-2</v>
      </c>
      <c r="C593">
        <v>2.333E-2</v>
      </c>
      <c r="D593">
        <v>2.1399999999999999E-2</v>
      </c>
      <c r="E593">
        <v>2.1829999999999999E-2</v>
      </c>
      <c r="F593">
        <v>188379451.40000001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-0.55440414507772062</v>
      </c>
      <c r="Q593">
        <f t="shared" si="990"/>
        <v>-104438348.70362702</v>
      </c>
      <c r="R593">
        <f t="shared" si="991"/>
        <v>1339120443.0185502</v>
      </c>
      <c r="S593">
        <f t="shared" si="992"/>
        <v>13391.204430185502</v>
      </c>
      <c r="T593">
        <f t="shared" si="993"/>
        <v>13.391204430185502</v>
      </c>
    </row>
    <row r="594" spans="1:20" x14ac:dyDescent="0.25">
      <c r="A594" s="5">
        <v>43999</v>
      </c>
      <c r="B594">
        <v>2.172E-2</v>
      </c>
      <c r="C594">
        <v>2.2589999999999999E-2</v>
      </c>
      <c r="D594">
        <v>2.1010000000000001E-2</v>
      </c>
      <c r="E594">
        <v>2.1950000000000001E-2</v>
      </c>
      <c r="F594">
        <v>230869885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0.18987341772152028</v>
      </c>
      <c r="Q594">
        <f t="shared" si="990"/>
        <v>43836054.113924347</v>
      </c>
      <c r="R594">
        <f t="shared" si="991"/>
        <v>1443558791.7221773</v>
      </c>
      <c r="S594">
        <f t="shared" si="992"/>
        <v>14435.587917221772</v>
      </c>
      <c r="T594">
        <f t="shared" si="993"/>
        <v>14.435587917221772</v>
      </c>
    </row>
    <row r="595" spans="1:20" x14ac:dyDescent="0.25">
      <c r="A595" s="5">
        <v>43998</v>
      </c>
      <c r="B595">
        <v>1.9949999999999999E-2</v>
      </c>
      <c r="C595">
        <v>2.189E-2</v>
      </c>
      <c r="D595">
        <v>1.9769999999999999E-2</v>
      </c>
      <c r="E595">
        <v>2.172E-2</v>
      </c>
      <c r="F595">
        <v>163789282.09999999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0.839622641509434</v>
      </c>
      <c r="Q595">
        <f t="shared" si="990"/>
        <v>137521189.68773586</v>
      </c>
      <c r="R595">
        <f t="shared" si="991"/>
        <v>1399722737.608253</v>
      </c>
      <c r="S595">
        <f t="shared" si="992"/>
        <v>13997.22737608253</v>
      </c>
      <c r="T595">
        <f t="shared" si="993"/>
        <v>13.997227376082531</v>
      </c>
    </row>
    <row r="596" spans="1:20" x14ac:dyDescent="0.25">
      <c r="A596" s="5">
        <v>43997</v>
      </c>
      <c r="B596">
        <v>1.9939999999999999E-2</v>
      </c>
      <c r="C596">
        <v>2.0150000000000001E-2</v>
      </c>
      <c r="D596">
        <v>1.89E-2</v>
      </c>
      <c r="E596">
        <v>1.9939999999999999E-2</v>
      </c>
      <c r="F596">
        <v>73439337.400000006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0.66399999999999737</v>
      </c>
      <c r="Q596">
        <f t="shared" si="990"/>
        <v>48763720.033599809</v>
      </c>
      <c r="R596">
        <f t="shared" si="991"/>
        <v>1262201547.9205172</v>
      </c>
      <c r="S596">
        <f t="shared" si="992"/>
        <v>12622.015479205173</v>
      </c>
      <c r="T596">
        <f t="shared" si="993"/>
        <v>12.622015479205173</v>
      </c>
    </row>
    <row r="597" spans="1:20" x14ac:dyDescent="0.25">
      <c r="A597" s="5">
        <v>43996</v>
      </c>
      <c r="B597">
        <v>2.077E-2</v>
      </c>
      <c r="C597">
        <v>2.1000000000000001E-2</v>
      </c>
      <c r="D597">
        <v>1.9570000000000001E-2</v>
      </c>
      <c r="E597">
        <v>1.9939999999999999E-2</v>
      </c>
      <c r="F597">
        <v>64189509.799999997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-0.48251748251748444</v>
      </c>
      <c r="Q597">
        <f t="shared" si="990"/>
        <v>-30972560.672727395</v>
      </c>
      <c r="R597">
        <f t="shared" si="991"/>
        <v>1213437827.8869174</v>
      </c>
      <c r="S597">
        <f t="shared" si="992"/>
        <v>12134.378278869173</v>
      </c>
      <c r="T597">
        <f t="shared" si="993"/>
        <v>12.134378278869173</v>
      </c>
    </row>
    <row r="598" spans="1:20" x14ac:dyDescent="0.25">
      <c r="A598" s="5">
        <v>43995</v>
      </c>
      <c r="B598">
        <v>2.0060000000000001E-2</v>
      </c>
      <c r="C598">
        <v>2.0799999999999999E-2</v>
      </c>
      <c r="D598">
        <v>1.9769999999999999E-2</v>
      </c>
      <c r="E598">
        <v>2.0750000000000001E-2</v>
      </c>
      <c r="F598">
        <v>62172916.5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0.90291262135922723</v>
      </c>
      <c r="Q598">
        <f t="shared" si="990"/>
        <v>56136711.014563352</v>
      </c>
      <c r="R598">
        <f t="shared" si="991"/>
        <v>1244410388.5596447</v>
      </c>
      <c r="S598">
        <f t="shared" si="992"/>
        <v>12444.103885596447</v>
      </c>
      <c r="T598">
        <f t="shared" si="993"/>
        <v>12.444103885596448</v>
      </c>
    </row>
    <row r="599" spans="1:20" x14ac:dyDescent="0.25">
      <c r="A599" s="5">
        <v>43994</v>
      </c>
      <c r="B599">
        <v>1.9519999999999999E-2</v>
      </c>
      <c r="C599">
        <v>2.0330000000000001E-2</v>
      </c>
      <c r="D599">
        <v>1.9349999999999999E-2</v>
      </c>
      <c r="E599">
        <v>2.0049999999999998E-2</v>
      </c>
      <c r="F599">
        <v>64946287.700000003</v>
      </c>
      <c r="G599">
        <v>0</v>
      </c>
      <c r="L599" t="s">
        <v>7</v>
      </c>
      <c r="M599" t="s">
        <v>8</v>
      </c>
      <c r="N599" t="s">
        <v>8</v>
      </c>
      <c r="P599">
        <f t="shared" si="989"/>
        <v>0.42857142857142455</v>
      </c>
      <c r="Q599">
        <f t="shared" si="990"/>
        <v>27834123.29999974</v>
      </c>
      <c r="R599">
        <f t="shared" si="991"/>
        <v>1188273677.5450814</v>
      </c>
      <c r="S599">
        <f t="shared" si="992"/>
        <v>11882.736775450814</v>
      </c>
      <c r="T599">
        <f t="shared" si="993"/>
        <v>11.882736775450814</v>
      </c>
    </row>
    <row r="600" spans="1:20" x14ac:dyDescent="0.25">
      <c r="A600" s="5">
        <v>43993</v>
      </c>
      <c r="B600">
        <v>2.1219999999999999E-2</v>
      </c>
      <c r="C600">
        <v>2.206E-2</v>
      </c>
      <c r="D600">
        <v>1.857E-2</v>
      </c>
      <c r="E600">
        <v>1.9529999999999999E-2</v>
      </c>
      <c r="F600">
        <v>177326017.90000001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-0.44985673352435585</v>
      </c>
      <c r="Q600">
        <f t="shared" si="990"/>
        <v>-79771303.181375459</v>
      </c>
      <c r="R600">
        <f t="shared" si="991"/>
        <v>1160439554.2450817</v>
      </c>
      <c r="S600">
        <f t="shared" si="992"/>
        <v>11604.395542450817</v>
      </c>
      <c r="T600">
        <f t="shared" si="993"/>
        <v>11.604395542450817</v>
      </c>
    </row>
    <row r="601" spans="1:20" x14ac:dyDescent="0.25">
      <c r="A601" s="5">
        <v>43992</v>
      </c>
      <c r="B601">
        <v>2.0799999999999999E-2</v>
      </c>
      <c r="C601">
        <v>2.171E-2</v>
      </c>
      <c r="D601">
        <v>2.0639999999999999E-2</v>
      </c>
      <c r="E601">
        <v>2.1160000000000002E-2</v>
      </c>
      <c r="F601">
        <v>101533424.3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-2.803738317756567E-2</v>
      </c>
      <c r="Q601">
        <f t="shared" si="990"/>
        <v>-2846731.5224294574</v>
      </c>
      <c r="R601">
        <f t="shared" si="991"/>
        <v>1240210857.4264572</v>
      </c>
      <c r="S601">
        <f t="shared" si="992"/>
        <v>12402.108574264572</v>
      </c>
      <c r="T601">
        <f t="shared" si="993"/>
        <v>12.402108574264572</v>
      </c>
    </row>
    <row r="602" spans="1:20" x14ac:dyDescent="0.25">
      <c r="A602" s="5">
        <v>43991</v>
      </c>
      <c r="B602">
        <v>2.085E-2</v>
      </c>
      <c r="C602">
        <v>2.1389999999999999E-2</v>
      </c>
      <c r="D602">
        <v>2.035E-2</v>
      </c>
      <c r="E602">
        <v>2.0799999999999999E-2</v>
      </c>
      <c r="F602">
        <v>63134891.799999997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-0.13461538461538589</v>
      </c>
      <c r="Q602">
        <f t="shared" si="990"/>
        <v>-8498927.7423077729</v>
      </c>
      <c r="R602">
        <f t="shared" si="991"/>
        <v>1243057588.9488866</v>
      </c>
      <c r="S602">
        <f t="shared" si="992"/>
        <v>12430.575889488866</v>
      </c>
      <c r="T602">
        <f t="shared" si="993"/>
        <v>12.430575889488866</v>
      </c>
    </row>
    <row r="603" spans="1:20" x14ac:dyDescent="0.25">
      <c r="A603" s="5">
        <v>43990</v>
      </c>
      <c r="B603">
        <v>2.0199999999999999E-2</v>
      </c>
      <c r="C603">
        <v>2.1329999999999998E-2</v>
      </c>
      <c r="D603">
        <v>2.0160000000000001E-2</v>
      </c>
      <c r="E603">
        <v>2.0879999999999999E-2</v>
      </c>
      <c r="F603">
        <v>109066976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0.23076923076923078</v>
      </c>
      <c r="Q603">
        <f t="shared" si="990"/>
        <v>25169302.153846156</v>
      </c>
      <c r="R603">
        <f t="shared" si="991"/>
        <v>1251556516.6911943</v>
      </c>
      <c r="S603">
        <f t="shared" si="992"/>
        <v>12515.565166911943</v>
      </c>
      <c r="T603">
        <f t="shared" si="993"/>
        <v>12.515565166911943</v>
      </c>
    </row>
    <row r="604" spans="1:20" x14ac:dyDescent="0.25">
      <c r="A604" s="5">
        <v>43989</v>
      </c>
      <c r="B604">
        <v>2.01E-2</v>
      </c>
      <c r="C604">
        <v>2.0289999999999999E-2</v>
      </c>
      <c r="D604">
        <v>1.932E-2</v>
      </c>
      <c r="E604">
        <v>2.0199999999999999E-2</v>
      </c>
      <c r="F604">
        <v>44703532.5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0.81443298969072175</v>
      </c>
      <c r="Q604">
        <f t="shared" si="990"/>
        <v>36408031.623711348</v>
      </c>
      <c r="R604">
        <f t="shared" si="991"/>
        <v>1226387214.537348</v>
      </c>
      <c r="S604">
        <f t="shared" si="992"/>
        <v>12263.87214537348</v>
      </c>
      <c r="T604">
        <f t="shared" si="993"/>
        <v>12.26387214537348</v>
      </c>
    </row>
    <row r="605" spans="1:20" x14ac:dyDescent="0.25">
      <c r="A605" s="5">
        <v>43988</v>
      </c>
      <c r="B605">
        <v>0.02</v>
      </c>
      <c r="C605">
        <v>2.0369999999999999E-2</v>
      </c>
      <c r="D605">
        <v>1.976E-2</v>
      </c>
      <c r="E605">
        <v>2.0109999999999999E-2</v>
      </c>
      <c r="F605">
        <v>28699823.100000001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0.14754098360655718</v>
      </c>
      <c r="Q605">
        <f t="shared" si="990"/>
        <v>4234400.1295081917</v>
      </c>
      <c r="R605">
        <f t="shared" si="991"/>
        <v>1189979182.9136367</v>
      </c>
      <c r="S605">
        <f t="shared" si="992"/>
        <v>11899.791829136368</v>
      </c>
      <c r="T605">
        <f t="shared" si="993"/>
        <v>11.899791829136367</v>
      </c>
    </row>
    <row r="606" spans="1:20" x14ac:dyDescent="0.25">
      <c r="A606" s="5">
        <v>43987</v>
      </c>
      <c r="B606">
        <v>2.0289999999999999E-2</v>
      </c>
      <c r="C606">
        <v>2.0410000000000001E-2</v>
      </c>
      <c r="D606">
        <v>0.02</v>
      </c>
      <c r="E606">
        <v>0.02</v>
      </c>
      <c r="F606">
        <v>58899246.200000003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-1</v>
      </c>
      <c r="Q606">
        <f t="shared" si="990"/>
        <v>-58899246.200000003</v>
      </c>
      <c r="R606">
        <f t="shared" si="991"/>
        <v>1185744782.7841284</v>
      </c>
      <c r="S606">
        <f t="shared" si="992"/>
        <v>11857.447827841284</v>
      </c>
      <c r="T606">
        <f t="shared" si="993"/>
        <v>11.857447827841284</v>
      </c>
    </row>
    <row r="607" spans="1:20" x14ac:dyDescent="0.25">
      <c r="A607" s="5">
        <v>43986</v>
      </c>
      <c r="B607">
        <v>2.0400000000000001E-2</v>
      </c>
      <c r="C607">
        <v>2.061E-2</v>
      </c>
      <c r="D607">
        <v>1.9720000000000001E-2</v>
      </c>
      <c r="E607">
        <v>2.0299999999999999E-2</v>
      </c>
      <c r="F607">
        <v>72648432.799999997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0.3033707865168499</v>
      </c>
      <c r="Q607">
        <f t="shared" si="990"/>
        <v>22039412.197752517</v>
      </c>
      <c r="R607">
        <f t="shared" si="991"/>
        <v>1244644028.9841285</v>
      </c>
      <c r="S607">
        <f t="shared" si="992"/>
        <v>12446.440289841285</v>
      </c>
      <c r="T607">
        <f t="shared" si="993"/>
        <v>12.446440289841284</v>
      </c>
    </row>
    <row r="608" spans="1:20" x14ac:dyDescent="0.25">
      <c r="A608" s="5">
        <v>43985</v>
      </c>
      <c r="B608">
        <v>2.01E-2</v>
      </c>
      <c r="C608">
        <v>2.0559999999999998E-2</v>
      </c>
      <c r="D608">
        <v>1.9609999999999999E-2</v>
      </c>
      <c r="E608">
        <v>2.0400000000000001E-2</v>
      </c>
      <c r="F608">
        <v>46816531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0.66315789473684839</v>
      </c>
      <c r="Q608">
        <f t="shared" si="990"/>
        <v>31046752.1368424</v>
      </c>
      <c r="R608">
        <f t="shared" si="991"/>
        <v>1222604616.786376</v>
      </c>
      <c r="S608">
        <f t="shared" si="992"/>
        <v>12226.04616786376</v>
      </c>
      <c r="T608">
        <f t="shared" si="993"/>
        <v>12.22604616786376</v>
      </c>
    </row>
    <row r="609" spans="1:20" x14ac:dyDescent="0.25">
      <c r="A609" s="5">
        <v>43984</v>
      </c>
      <c r="B609">
        <v>2.0719999999999999E-2</v>
      </c>
      <c r="C609">
        <v>2.103E-2</v>
      </c>
      <c r="D609">
        <v>1.8839999999999999E-2</v>
      </c>
      <c r="E609">
        <v>2.0150000000000001E-2</v>
      </c>
      <c r="F609">
        <v>143812813.59999999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0.19634703196347172</v>
      </c>
      <c r="Q609">
        <f t="shared" si="990"/>
        <v>28237219.108676001</v>
      </c>
      <c r="R609">
        <f t="shared" si="991"/>
        <v>1191557864.6495335</v>
      </c>
      <c r="S609">
        <f t="shared" si="992"/>
        <v>11915.578646495334</v>
      </c>
      <c r="T609">
        <f t="shared" si="993"/>
        <v>11.915578646495334</v>
      </c>
    </row>
    <row r="610" spans="1:20" x14ac:dyDescent="0.25">
      <c r="A610" s="5">
        <v>43983</v>
      </c>
      <c r="B610">
        <v>1.9599999999999999E-2</v>
      </c>
      <c r="C610">
        <v>2.087E-2</v>
      </c>
      <c r="D610">
        <v>1.9369999999999998E-2</v>
      </c>
      <c r="E610">
        <v>2.068E-2</v>
      </c>
      <c r="F610">
        <v>120947540.8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0.74666666666666792</v>
      </c>
      <c r="Q610">
        <f t="shared" si="990"/>
        <v>90307497.130666822</v>
      </c>
      <c r="R610">
        <f t="shared" si="991"/>
        <v>1163320645.5408576</v>
      </c>
      <c r="S610">
        <f t="shared" si="992"/>
        <v>11633.206455408575</v>
      </c>
      <c r="T610">
        <f t="shared" si="993"/>
        <v>11.633206455408576</v>
      </c>
    </row>
    <row r="611" spans="1:20" x14ac:dyDescent="0.25">
      <c r="A611" s="5">
        <v>43982</v>
      </c>
      <c r="B611">
        <v>2.1219999999999999E-2</v>
      </c>
      <c r="C611">
        <v>2.1950000000000001E-2</v>
      </c>
      <c r="D611">
        <v>1.839E-2</v>
      </c>
      <c r="E611">
        <v>1.9630000000000002E-2</v>
      </c>
      <c r="F611">
        <v>168034563.59999999</v>
      </c>
      <c r="G611">
        <v>0</v>
      </c>
      <c r="L611" t="s">
        <v>7</v>
      </c>
      <c r="M611" t="s">
        <v>8</v>
      </c>
      <c r="N611" t="s">
        <v>8</v>
      </c>
      <c r="P611">
        <f t="shared" si="989"/>
        <v>-0.30337078651685323</v>
      </c>
      <c r="Q611">
        <f t="shared" si="990"/>
        <v>-50976777.721348196</v>
      </c>
      <c r="R611">
        <f t="shared" si="991"/>
        <v>1073013148.4101907</v>
      </c>
      <c r="S611">
        <f t="shared" si="992"/>
        <v>10730.131484101907</v>
      </c>
      <c r="T611">
        <f t="shared" si="993"/>
        <v>10.730131484101907</v>
      </c>
    </row>
    <row r="612" spans="1:20" x14ac:dyDescent="0.25">
      <c r="A612" s="5">
        <v>43981</v>
      </c>
      <c r="B612">
        <v>2.061E-2</v>
      </c>
      <c r="C612">
        <v>2.137E-2</v>
      </c>
      <c r="D612">
        <v>2.0289999999999999E-2</v>
      </c>
      <c r="E612">
        <v>2.1239999999999998E-2</v>
      </c>
      <c r="F612">
        <v>105571727.90000001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0.75925925925925641</v>
      </c>
      <c r="Q612">
        <f t="shared" si="990"/>
        <v>80156311.924073786</v>
      </c>
      <c r="R612">
        <f t="shared" si="991"/>
        <v>1123989926.1315389</v>
      </c>
      <c r="S612">
        <f t="shared" si="992"/>
        <v>11239.899261315388</v>
      </c>
      <c r="T612">
        <f t="shared" si="993"/>
        <v>11.239899261315388</v>
      </c>
    </row>
    <row r="613" spans="1:20" x14ac:dyDescent="0.25">
      <c r="A613" s="5">
        <v>43980</v>
      </c>
      <c r="B613">
        <v>2.052E-2</v>
      </c>
      <c r="C613">
        <v>2.0910000000000002E-2</v>
      </c>
      <c r="D613">
        <v>2.0119999999999999E-2</v>
      </c>
      <c r="E613">
        <v>2.061E-2</v>
      </c>
      <c r="F613">
        <v>69818970.200000003</v>
      </c>
      <c r="G613">
        <v>0</v>
      </c>
      <c r="L613" t="s">
        <v>7</v>
      </c>
      <c r="M613" t="s">
        <v>8</v>
      </c>
      <c r="N613" t="s">
        <v>8</v>
      </c>
      <c r="P613">
        <f t="shared" si="989"/>
        <v>0.24050632911392228</v>
      </c>
      <c r="Q613">
        <f t="shared" si="990"/>
        <v>16791904.225316335</v>
      </c>
      <c r="R613">
        <f t="shared" si="991"/>
        <v>1043833614.2074652</v>
      </c>
      <c r="S613">
        <f t="shared" si="992"/>
        <v>10438.336142074651</v>
      </c>
      <c r="T613">
        <f t="shared" si="993"/>
        <v>10.438336142074652</v>
      </c>
    </row>
    <row r="614" spans="1:20" x14ac:dyDescent="0.25">
      <c r="A614" s="5">
        <v>43979</v>
      </c>
      <c r="B614">
        <v>2.0199999999999999E-2</v>
      </c>
      <c r="C614">
        <v>2.0760000000000001E-2</v>
      </c>
      <c r="D614">
        <v>1.9910000000000001E-2</v>
      </c>
      <c r="E614">
        <v>2.052E-2</v>
      </c>
      <c r="F614">
        <v>90765855.400000006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0.43529411764705739</v>
      </c>
      <c r="Q614">
        <f t="shared" si="990"/>
        <v>39509842.938823402</v>
      </c>
      <c r="R614">
        <f t="shared" si="991"/>
        <v>1027041709.9821489</v>
      </c>
      <c r="S614">
        <f t="shared" si="992"/>
        <v>10270.417099821489</v>
      </c>
      <c r="T614">
        <f t="shared" si="993"/>
        <v>10.270417099821488</v>
      </c>
    </row>
    <row r="615" spans="1:20" x14ac:dyDescent="0.25">
      <c r="A615" s="5">
        <v>43978</v>
      </c>
      <c r="B615">
        <v>2.1129999999999999E-2</v>
      </c>
      <c r="C615">
        <v>2.1610000000000001E-2</v>
      </c>
      <c r="D615">
        <v>1.9900000000000001E-2</v>
      </c>
      <c r="E615">
        <v>2.0250000000000001E-2</v>
      </c>
      <c r="F615">
        <v>144411404.40000001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-0.59064327485380153</v>
      </c>
      <c r="Q615">
        <f t="shared" si="990"/>
        <v>-85295624.821052685</v>
      </c>
      <c r="R615">
        <f t="shared" si="991"/>
        <v>987531867.04332554</v>
      </c>
      <c r="S615">
        <f t="shared" si="992"/>
        <v>9875.3186704332547</v>
      </c>
      <c r="T615">
        <f t="shared" si="993"/>
        <v>9.8753186704332556</v>
      </c>
    </row>
    <row r="616" spans="1:20" x14ac:dyDescent="0.25">
      <c r="A616" s="5">
        <v>43977</v>
      </c>
      <c r="B616">
        <v>2.0449999999999999E-2</v>
      </c>
      <c r="C616">
        <v>2.155E-2</v>
      </c>
      <c r="D616">
        <v>1.9630000000000002E-2</v>
      </c>
      <c r="E616">
        <v>2.111E-2</v>
      </c>
      <c r="F616">
        <v>208315778.69999999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0.54166666666666685</v>
      </c>
      <c r="Q616">
        <f t="shared" si="990"/>
        <v>112837713.46250004</v>
      </c>
      <c r="R616">
        <f t="shared" si="991"/>
        <v>1072827491.8643782</v>
      </c>
      <c r="S616">
        <f t="shared" si="992"/>
        <v>10728.274918643781</v>
      </c>
      <c r="T616">
        <f t="shared" si="993"/>
        <v>10.72827491864378</v>
      </c>
    </row>
    <row r="617" spans="1:20" x14ac:dyDescent="0.25">
      <c r="A617" s="5">
        <v>43976</v>
      </c>
      <c r="B617">
        <v>1.9050000000000001E-2</v>
      </c>
      <c r="C617">
        <v>2.07E-2</v>
      </c>
      <c r="D617">
        <v>1.8610000000000002E-2</v>
      </c>
      <c r="E617">
        <v>2.044E-2</v>
      </c>
      <c r="F617">
        <v>170679307.5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0.75119617224880375</v>
      </c>
      <c r="Q617">
        <f t="shared" si="990"/>
        <v>128213642.47607654</v>
      </c>
      <c r="R617">
        <f t="shared" si="991"/>
        <v>959989778.40187812</v>
      </c>
      <c r="S617">
        <f t="shared" si="992"/>
        <v>9599.8977840187817</v>
      </c>
      <c r="T617">
        <f t="shared" si="993"/>
        <v>9.5998977840187809</v>
      </c>
    </row>
    <row r="618" spans="1:20" x14ac:dyDescent="0.25">
      <c r="A618" s="5">
        <v>43975</v>
      </c>
      <c r="B618">
        <v>1.9300000000000001E-2</v>
      </c>
      <c r="C618">
        <v>2.0990000000000002E-2</v>
      </c>
      <c r="D618">
        <v>1.898E-2</v>
      </c>
      <c r="E618">
        <v>1.9050000000000001E-2</v>
      </c>
      <c r="F618">
        <v>174469415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-0.93034825870646709</v>
      </c>
      <c r="Q618">
        <f t="shared" si="990"/>
        <v>-162317316.44278598</v>
      </c>
      <c r="R618">
        <f t="shared" si="991"/>
        <v>831776135.92580152</v>
      </c>
      <c r="S618">
        <f t="shared" si="992"/>
        <v>8317.7613592580146</v>
      </c>
      <c r="T618">
        <f t="shared" si="993"/>
        <v>8.3177613592580144</v>
      </c>
    </row>
    <row r="619" spans="1:20" x14ac:dyDescent="0.25">
      <c r="A619" s="5">
        <v>43974</v>
      </c>
      <c r="B619">
        <v>1.9359999999999999E-2</v>
      </c>
      <c r="C619">
        <v>1.9800000000000002E-2</v>
      </c>
      <c r="D619">
        <v>1.8859999999999998E-2</v>
      </c>
      <c r="E619">
        <v>1.9300000000000001E-2</v>
      </c>
      <c r="F619">
        <v>71900533.200000003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-6.3829787234039731E-2</v>
      </c>
      <c r="Q619">
        <f t="shared" si="990"/>
        <v>-4589395.7361700097</v>
      </c>
      <c r="R619">
        <f t="shared" si="991"/>
        <v>994093452.36858749</v>
      </c>
      <c r="S619">
        <f t="shared" si="992"/>
        <v>9940.9345236858753</v>
      </c>
      <c r="T619">
        <f t="shared" si="993"/>
        <v>9.9409345236858755</v>
      </c>
    </row>
    <row r="620" spans="1:20" x14ac:dyDescent="0.25">
      <c r="A620" s="5">
        <v>43973</v>
      </c>
      <c r="B620">
        <v>1.8519999999999998E-2</v>
      </c>
      <c r="C620">
        <v>1.9800000000000002E-2</v>
      </c>
      <c r="D620">
        <v>1.8180000000000002E-2</v>
      </c>
      <c r="E620">
        <v>1.9349999999999999E-2</v>
      </c>
      <c r="F620">
        <v>94478559.5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0.44444444444444137</v>
      </c>
      <c r="Q620">
        <f t="shared" si="990"/>
        <v>41990470.888888597</v>
      </c>
      <c r="R620">
        <f t="shared" si="991"/>
        <v>998682848.10475755</v>
      </c>
      <c r="S620">
        <f t="shared" si="992"/>
        <v>9986.8284810475761</v>
      </c>
      <c r="T620">
        <f t="shared" si="993"/>
        <v>9.986828481047576</v>
      </c>
    </row>
    <row r="621" spans="1:20" x14ac:dyDescent="0.25">
      <c r="A621" s="5">
        <v>43972</v>
      </c>
      <c r="B621">
        <v>1.9120000000000002E-2</v>
      </c>
      <c r="C621">
        <v>1.9429999999999999E-2</v>
      </c>
      <c r="D621">
        <v>1.7520000000000001E-2</v>
      </c>
      <c r="E621">
        <v>1.8540000000000001E-2</v>
      </c>
      <c r="F621">
        <v>87454124.5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6.8062827225131808E-2</v>
      </c>
      <c r="Q621">
        <f t="shared" si="990"/>
        <v>5952374.9659686666</v>
      </c>
      <c r="R621">
        <f t="shared" si="991"/>
        <v>956692377.21586895</v>
      </c>
      <c r="S621">
        <f t="shared" si="992"/>
        <v>9566.9237721586887</v>
      </c>
      <c r="T621">
        <f t="shared" si="993"/>
        <v>9.5669237721586882</v>
      </c>
    </row>
    <row r="622" spans="1:20" x14ac:dyDescent="0.25">
      <c r="A622" s="5">
        <v>43971</v>
      </c>
      <c r="B622">
        <v>1.959E-2</v>
      </c>
      <c r="C622">
        <v>1.9820000000000001E-2</v>
      </c>
      <c r="D622">
        <v>1.8380000000000001E-2</v>
      </c>
      <c r="E622">
        <v>1.9140000000000001E-2</v>
      </c>
      <c r="F622">
        <v>74579156.200000003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5.5555555555555691E-2</v>
      </c>
      <c r="Q622">
        <f t="shared" si="990"/>
        <v>4143286.4555555657</v>
      </c>
      <c r="R622">
        <f t="shared" si="991"/>
        <v>950740002.24990034</v>
      </c>
      <c r="S622">
        <f t="shared" si="992"/>
        <v>9507.4000224990032</v>
      </c>
      <c r="T622">
        <f t="shared" si="993"/>
        <v>9.5074000224990023</v>
      </c>
    </row>
    <row r="623" spans="1:20" x14ac:dyDescent="0.25">
      <c r="A623" s="5">
        <v>43970</v>
      </c>
      <c r="B623">
        <v>1.9269999999999999E-2</v>
      </c>
      <c r="C623">
        <v>1.9890000000000001E-2</v>
      </c>
      <c r="D623">
        <v>1.8700000000000001E-2</v>
      </c>
      <c r="E623">
        <v>1.9599999999999999E-2</v>
      </c>
      <c r="F623">
        <v>84005849.299999997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0.51260504201680335</v>
      </c>
      <c r="Q623">
        <f t="shared" si="990"/>
        <v>43061821.910083748</v>
      </c>
      <c r="R623">
        <f t="shared" si="991"/>
        <v>946596715.79434478</v>
      </c>
      <c r="S623">
        <f t="shared" si="992"/>
        <v>9465.9671579434471</v>
      </c>
      <c r="T623">
        <f t="shared" si="993"/>
        <v>9.4659671579434477</v>
      </c>
    </row>
    <row r="624" spans="1:20" x14ac:dyDescent="0.25">
      <c r="A624" s="5">
        <v>43969</v>
      </c>
      <c r="B624">
        <v>1.9099999999999999E-2</v>
      </c>
      <c r="C624">
        <v>1.9630000000000002E-2</v>
      </c>
      <c r="D624">
        <v>1.8620000000000001E-2</v>
      </c>
      <c r="E624">
        <v>1.9279999999999999E-2</v>
      </c>
      <c r="F624">
        <v>63242378.100000001</v>
      </c>
      <c r="G624">
        <v>0</v>
      </c>
      <c r="L624" t="s">
        <v>8</v>
      </c>
      <c r="M624" t="s">
        <v>7</v>
      </c>
      <c r="N624" t="s">
        <v>8</v>
      </c>
      <c r="P624">
        <f t="shared" si="989"/>
        <v>0.30693069306930115</v>
      </c>
      <c r="Q624">
        <f t="shared" si="990"/>
        <v>19411026.941583794</v>
      </c>
      <c r="R624">
        <f t="shared" si="991"/>
        <v>903534893.88426101</v>
      </c>
      <c r="S624">
        <f t="shared" si="992"/>
        <v>9035.3489388426096</v>
      </c>
      <c r="T624">
        <f t="shared" si="993"/>
        <v>9.0353489388426098</v>
      </c>
    </row>
    <row r="625" spans="1:20" x14ac:dyDescent="0.25">
      <c r="A625" s="5">
        <v>43968</v>
      </c>
      <c r="B625">
        <v>1.9279999999999999E-2</v>
      </c>
      <c r="C625">
        <v>1.9539999999999998E-2</v>
      </c>
      <c r="D625">
        <v>1.9E-2</v>
      </c>
      <c r="E625">
        <v>1.9109999999999999E-2</v>
      </c>
      <c r="F625">
        <v>62344491.399999999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-0.59259259259259545</v>
      </c>
      <c r="Q625">
        <f t="shared" si="990"/>
        <v>-36944883.792592771</v>
      </c>
      <c r="R625">
        <f t="shared" si="991"/>
        <v>884123866.94267726</v>
      </c>
      <c r="S625">
        <f t="shared" si="992"/>
        <v>8841.2386694267734</v>
      </c>
      <c r="T625">
        <f t="shared" si="993"/>
        <v>8.8412386694267742</v>
      </c>
    </row>
    <row r="626" spans="1:20" x14ac:dyDescent="0.25">
      <c r="A626" s="5">
        <v>43967</v>
      </c>
      <c r="B626">
        <v>1.8550000000000001E-2</v>
      </c>
      <c r="C626">
        <v>1.9769999999999999E-2</v>
      </c>
      <c r="D626">
        <v>1.8339999999999999E-2</v>
      </c>
      <c r="E626">
        <v>1.9300000000000001E-2</v>
      </c>
      <c r="F626">
        <v>79667905.299999997</v>
      </c>
      <c r="G626">
        <v>0</v>
      </c>
      <c r="L626" t="s">
        <v>8</v>
      </c>
      <c r="M626" t="s">
        <v>7</v>
      </c>
      <c r="N626" t="s">
        <v>8</v>
      </c>
      <c r="P626">
        <f t="shared" si="989"/>
        <v>0.34265734265734549</v>
      </c>
      <c r="Q626">
        <f t="shared" si="990"/>
        <v>27298792.725175049</v>
      </c>
      <c r="R626">
        <f t="shared" si="991"/>
        <v>921068750.73527002</v>
      </c>
      <c r="S626">
        <f t="shared" si="992"/>
        <v>9210.6875073527008</v>
      </c>
      <c r="T626">
        <f t="shared" si="993"/>
        <v>9.2106875073527004</v>
      </c>
    </row>
    <row r="627" spans="1:20" x14ac:dyDescent="0.25">
      <c r="A627" s="5">
        <v>43966</v>
      </c>
      <c r="B627">
        <v>1.9269999999999999E-2</v>
      </c>
      <c r="C627">
        <v>1.9380000000000001E-2</v>
      </c>
      <c r="D627">
        <v>1.8249999999999999E-2</v>
      </c>
      <c r="E627">
        <v>1.8540000000000001E-2</v>
      </c>
      <c r="F627">
        <v>71376930.900000006</v>
      </c>
      <c r="G627">
        <v>0</v>
      </c>
      <c r="L627" t="s">
        <v>7</v>
      </c>
      <c r="M627" t="s">
        <v>7</v>
      </c>
      <c r="N627" t="s">
        <v>8</v>
      </c>
      <c r="P627">
        <f t="shared" si="989"/>
        <v>-0.48672566371681164</v>
      </c>
      <c r="Q627">
        <f t="shared" si="990"/>
        <v>-34740984.066371508</v>
      </c>
      <c r="R627">
        <f t="shared" si="991"/>
        <v>893769958.010095</v>
      </c>
      <c r="S627">
        <f t="shared" si="992"/>
        <v>8937.6995801009507</v>
      </c>
      <c r="T627">
        <f t="shared" si="993"/>
        <v>8.9376995801009507</v>
      </c>
    </row>
    <row r="628" spans="1:20" x14ac:dyDescent="0.25">
      <c r="A628" s="5">
        <v>43965</v>
      </c>
      <c r="B628">
        <v>1.9560000000000001E-2</v>
      </c>
      <c r="C628">
        <v>1.9789999999999999E-2</v>
      </c>
      <c r="D628">
        <v>1.8950000000000002E-2</v>
      </c>
      <c r="E628">
        <v>1.9279999999999999E-2</v>
      </c>
      <c r="F628">
        <v>121326438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-0.21428571428571871</v>
      </c>
      <c r="Q628">
        <f t="shared" si="990"/>
        <v>-25998522.428571966</v>
      </c>
      <c r="R628">
        <f t="shared" si="991"/>
        <v>928510942.07646656</v>
      </c>
      <c r="S628">
        <f t="shared" si="992"/>
        <v>9285.1094207646656</v>
      </c>
      <c r="T628">
        <f t="shared" si="993"/>
        <v>9.2851094207646661</v>
      </c>
    </row>
    <row r="629" spans="1:20" x14ac:dyDescent="0.25">
      <c r="A629" s="5">
        <v>43964</v>
      </c>
      <c r="B629">
        <v>1.9439999999999999E-2</v>
      </c>
      <c r="C629">
        <v>2.0049999999999998E-2</v>
      </c>
      <c r="D629">
        <v>1.924E-2</v>
      </c>
      <c r="E629">
        <v>1.9560000000000001E-2</v>
      </c>
      <c r="F629">
        <v>84656107.700000003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-0.20987654320987273</v>
      </c>
      <c r="Q629">
        <f t="shared" si="990"/>
        <v>-17767331.245678689</v>
      </c>
      <c r="R629">
        <f t="shared" si="991"/>
        <v>954509464.5050385</v>
      </c>
      <c r="S629">
        <f t="shared" si="992"/>
        <v>9545.0946450503852</v>
      </c>
      <c r="T629">
        <f t="shared" si="993"/>
        <v>9.5450946450503853</v>
      </c>
    </row>
    <row r="630" spans="1:20" x14ac:dyDescent="0.25">
      <c r="A630" s="5">
        <v>43963</v>
      </c>
      <c r="B630">
        <v>1.8290000000000001E-2</v>
      </c>
      <c r="C630">
        <v>2.0060000000000001E-2</v>
      </c>
      <c r="D630">
        <v>1.805E-2</v>
      </c>
      <c r="E630">
        <v>1.9480000000000001E-2</v>
      </c>
      <c r="F630">
        <v>92307320.799999997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0.42288557213930322</v>
      </c>
      <c r="Q630">
        <f t="shared" si="990"/>
        <v>39035434.169154204</v>
      </c>
      <c r="R630">
        <f t="shared" si="991"/>
        <v>972276795.75071716</v>
      </c>
      <c r="S630">
        <f t="shared" si="992"/>
        <v>9722.7679575071725</v>
      </c>
      <c r="T630">
        <f t="shared" si="993"/>
        <v>9.7227679575071733</v>
      </c>
    </row>
    <row r="631" spans="1:20" x14ac:dyDescent="0.25">
      <c r="A631" s="5">
        <v>43962</v>
      </c>
      <c r="B631">
        <v>1.9009999999999999E-2</v>
      </c>
      <c r="C631">
        <v>1.9279999999999999E-2</v>
      </c>
      <c r="D631">
        <v>1.704E-2</v>
      </c>
      <c r="E631">
        <v>1.83E-2</v>
      </c>
      <c r="F631">
        <v>84476396.299999997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0.12500000000000117</v>
      </c>
      <c r="Q631">
        <f t="shared" si="990"/>
        <v>10559549.537500098</v>
      </c>
      <c r="R631">
        <f t="shared" si="991"/>
        <v>933241361.581563</v>
      </c>
      <c r="S631">
        <f t="shared" si="992"/>
        <v>9332.4136158156307</v>
      </c>
      <c r="T631">
        <f t="shared" si="993"/>
        <v>9.3324136158156303</v>
      </c>
    </row>
    <row r="632" spans="1:20" x14ac:dyDescent="0.25">
      <c r="A632" s="5">
        <v>43961</v>
      </c>
      <c r="B632">
        <v>2.0959999999999999E-2</v>
      </c>
      <c r="C632">
        <v>2.1000000000000001E-2</v>
      </c>
      <c r="D632">
        <v>1.6799999999999999E-2</v>
      </c>
      <c r="E632">
        <v>1.898E-2</v>
      </c>
      <c r="F632">
        <v>110256770.59999999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3.8095238095238175E-2</v>
      </c>
      <c r="Q632">
        <f t="shared" si="990"/>
        <v>4200257.9276190558</v>
      </c>
      <c r="R632">
        <f t="shared" si="991"/>
        <v>922681812.04406285</v>
      </c>
      <c r="S632">
        <f t="shared" si="992"/>
        <v>9226.8181204406283</v>
      </c>
      <c r="T632">
        <f t="shared" si="993"/>
        <v>9.2268181204406279</v>
      </c>
    </row>
    <row r="633" spans="1:20" x14ac:dyDescent="0.25">
      <c r="A633" s="5">
        <v>43960</v>
      </c>
      <c r="B633">
        <v>2.18E-2</v>
      </c>
      <c r="C633">
        <v>2.2200000000000001E-2</v>
      </c>
      <c r="D633">
        <v>2.087E-2</v>
      </c>
      <c r="E633">
        <v>2.0979999999999999E-2</v>
      </c>
      <c r="F633">
        <v>68421857.400000006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-0.83458646616541521</v>
      </c>
      <c r="Q633">
        <f t="shared" si="990"/>
        <v>-57103956.17593997</v>
      </c>
      <c r="R633">
        <f t="shared" si="991"/>
        <v>918481554.11644375</v>
      </c>
      <c r="S633">
        <f t="shared" si="992"/>
        <v>9184.8155411644384</v>
      </c>
      <c r="T633">
        <f t="shared" si="993"/>
        <v>9.1848155411644381</v>
      </c>
    </row>
    <row r="634" spans="1:20" x14ac:dyDescent="0.25">
      <c r="A634" s="5">
        <v>43959</v>
      </c>
      <c r="B634">
        <v>2.163E-2</v>
      </c>
      <c r="C634">
        <v>2.2589999999999999E-2</v>
      </c>
      <c r="D634">
        <v>2.1010000000000001E-2</v>
      </c>
      <c r="E634">
        <v>2.189E-2</v>
      </c>
      <c r="F634">
        <v>109594107.8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0.11392405063291128</v>
      </c>
      <c r="Q634">
        <f t="shared" si="990"/>
        <v>12485404.686075937</v>
      </c>
      <c r="R634">
        <f t="shared" si="991"/>
        <v>975585510.29238367</v>
      </c>
      <c r="S634">
        <f t="shared" si="992"/>
        <v>9755.855102923837</v>
      </c>
      <c r="T634">
        <f t="shared" si="993"/>
        <v>9.755855102923837</v>
      </c>
    </row>
    <row r="635" spans="1:20" x14ac:dyDescent="0.25">
      <c r="A635" s="5">
        <v>43958</v>
      </c>
      <c r="B635">
        <v>2.145E-2</v>
      </c>
      <c r="C635">
        <v>2.231E-2</v>
      </c>
      <c r="D635">
        <v>2.0930000000000001E-2</v>
      </c>
      <c r="E635">
        <v>2.1600000000000001E-2</v>
      </c>
      <c r="F635">
        <v>160969620.80000001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-2.8985507246375646E-2</v>
      </c>
      <c r="Q635">
        <f t="shared" si="990"/>
        <v>-4665786.11014474</v>
      </c>
      <c r="R635">
        <f t="shared" si="991"/>
        <v>963100105.60630774</v>
      </c>
      <c r="S635">
        <f t="shared" si="992"/>
        <v>9631.0010560630781</v>
      </c>
      <c r="T635">
        <f t="shared" si="993"/>
        <v>9.6310010560630772</v>
      </c>
    </row>
    <row r="636" spans="1:20" x14ac:dyDescent="0.25">
      <c r="A636" s="5">
        <v>43957</v>
      </c>
      <c r="B636">
        <v>2.2100000000000002E-2</v>
      </c>
      <c r="C636">
        <v>2.3630000000000002E-2</v>
      </c>
      <c r="D636">
        <v>2.1250000000000002E-2</v>
      </c>
      <c r="E636">
        <v>2.145E-2</v>
      </c>
      <c r="F636">
        <v>227239539.69999999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-0.83193277310924474</v>
      </c>
      <c r="Q636">
        <f t="shared" si="990"/>
        <v>-189048020.42268929</v>
      </c>
      <c r="R636">
        <f t="shared" si="991"/>
        <v>967765891.71645248</v>
      </c>
      <c r="S636">
        <f t="shared" si="992"/>
        <v>9677.6589171645246</v>
      </c>
      <c r="T636">
        <f t="shared" si="993"/>
        <v>9.6776589171645249</v>
      </c>
    </row>
    <row r="637" spans="1:20" x14ac:dyDescent="0.25">
      <c r="A637" s="5">
        <v>43956</v>
      </c>
      <c r="B637">
        <v>2.1340000000000001E-2</v>
      </c>
      <c r="C637">
        <v>2.2970000000000001E-2</v>
      </c>
      <c r="D637">
        <v>2.052E-2</v>
      </c>
      <c r="E637">
        <v>2.2100000000000002E-2</v>
      </c>
      <c r="F637">
        <v>155200346.80000001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0.2897959183673478</v>
      </c>
      <c r="Q637">
        <f t="shared" si="990"/>
        <v>44976427.031836875</v>
      </c>
      <c r="R637">
        <f t="shared" si="991"/>
        <v>1156813912.1391418</v>
      </c>
      <c r="S637">
        <f t="shared" si="992"/>
        <v>11568.139121391418</v>
      </c>
      <c r="T637">
        <f t="shared" si="993"/>
        <v>11.568139121391418</v>
      </c>
    </row>
    <row r="638" spans="1:20" x14ac:dyDescent="0.25">
      <c r="A638" s="5">
        <v>43955</v>
      </c>
      <c r="B638">
        <v>2.051E-2</v>
      </c>
      <c r="C638">
        <v>2.1749999999999999E-2</v>
      </c>
      <c r="D638">
        <v>1.9120000000000002E-2</v>
      </c>
      <c r="E638">
        <v>2.1399999999999999E-2</v>
      </c>
      <c r="F638">
        <v>110317250.90000001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0.73384030418250945</v>
      </c>
      <c r="Q638">
        <f t="shared" si="990"/>
        <v>80955244.957034215</v>
      </c>
      <c r="R638">
        <f t="shared" si="991"/>
        <v>1111837485.1073048</v>
      </c>
      <c r="S638">
        <f t="shared" si="992"/>
        <v>11118.374851073047</v>
      </c>
      <c r="T638">
        <f t="shared" si="993"/>
        <v>11.118374851073048</v>
      </c>
    </row>
    <row r="639" spans="1:20" x14ac:dyDescent="0.25">
      <c r="A639" s="5">
        <v>43954</v>
      </c>
      <c r="B639">
        <v>2.1409999999999998E-2</v>
      </c>
      <c r="C639">
        <v>2.232E-2</v>
      </c>
      <c r="D639">
        <v>2.009E-2</v>
      </c>
      <c r="E639">
        <v>2.0480000000000002E-2</v>
      </c>
      <c r="F639">
        <v>153823215.09999999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-0.65022421524663532</v>
      </c>
      <c r="Q639">
        <f t="shared" si="990"/>
        <v>-100019579.32511188</v>
      </c>
      <c r="R639">
        <f t="shared" si="991"/>
        <v>1030882240.1502707</v>
      </c>
      <c r="S639">
        <f t="shared" si="992"/>
        <v>10308.822401502706</v>
      </c>
      <c r="T639">
        <f t="shared" si="993"/>
        <v>10.308822401502706</v>
      </c>
    </row>
    <row r="640" spans="1:20" x14ac:dyDescent="0.25">
      <c r="A640" s="5">
        <v>43953</v>
      </c>
      <c r="B640">
        <v>1.968E-2</v>
      </c>
      <c r="C640">
        <v>2.188E-2</v>
      </c>
      <c r="D640">
        <v>1.95E-2</v>
      </c>
      <c r="E640">
        <v>2.1409999999999998E-2</v>
      </c>
      <c r="F640">
        <v>145134715.69999999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0.60504201680672132</v>
      </c>
      <c r="Q640">
        <f t="shared" si="990"/>
        <v>87812601.09579812</v>
      </c>
      <c r="R640">
        <f t="shared" si="991"/>
        <v>1130901819.4753826</v>
      </c>
      <c r="S640">
        <f t="shared" si="992"/>
        <v>11309.018194753826</v>
      </c>
      <c r="T640">
        <f t="shared" si="993"/>
        <v>11.309018194753826</v>
      </c>
    </row>
    <row r="641" spans="1:20" x14ac:dyDescent="0.25">
      <c r="A641" s="5">
        <v>43952</v>
      </c>
      <c r="B641">
        <v>1.8970000000000001E-2</v>
      </c>
      <c r="C641">
        <v>2.0199999999999999E-2</v>
      </c>
      <c r="D641">
        <v>1.8929999999999999E-2</v>
      </c>
      <c r="E641">
        <v>1.9709999999999998E-2</v>
      </c>
      <c r="F641">
        <v>61268449.5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0.22834645669291223</v>
      </c>
      <c r="Q641">
        <f t="shared" si="990"/>
        <v>13990433.350393631</v>
      </c>
      <c r="R641">
        <f t="shared" si="991"/>
        <v>1043089218.3795846</v>
      </c>
      <c r="S641">
        <f t="shared" si="992"/>
        <v>10430.892183795846</v>
      </c>
      <c r="T641">
        <f t="shared" si="993"/>
        <v>10.430892183795846</v>
      </c>
    </row>
    <row r="642" spans="1:20" x14ac:dyDescent="0.25">
      <c r="A642" s="5">
        <v>43951</v>
      </c>
      <c r="B642">
        <v>2.0400000000000001E-2</v>
      </c>
      <c r="C642">
        <v>2.0910000000000002E-2</v>
      </c>
      <c r="D642">
        <v>1.8290000000000001E-2</v>
      </c>
      <c r="E642">
        <v>1.9009999999999999E-2</v>
      </c>
      <c r="F642">
        <v>127619738.2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-0.45038167938931434</v>
      </c>
      <c r="Q642">
        <f t="shared" si="990"/>
        <v>-57477592.013740636</v>
      </c>
      <c r="R642">
        <f t="shared" si="991"/>
        <v>1029098785.0291909</v>
      </c>
      <c r="S642">
        <f t="shared" si="992"/>
        <v>10290.987850291909</v>
      </c>
      <c r="T642">
        <f t="shared" si="993"/>
        <v>10.290987850291909</v>
      </c>
    </row>
    <row r="643" spans="1:20" x14ac:dyDescent="0.25">
      <c r="A643" s="5">
        <v>43950</v>
      </c>
      <c r="B643">
        <v>1.9460000000000002E-2</v>
      </c>
      <c r="C643">
        <v>2.06E-2</v>
      </c>
      <c r="D643">
        <v>1.925E-2</v>
      </c>
      <c r="E643">
        <v>2.0400000000000001E-2</v>
      </c>
      <c r="F643">
        <v>98076417.299999997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0.70370370370370561</v>
      </c>
      <c r="Q643">
        <f t="shared" si="990"/>
        <v>69016738.100000188</v>
      </c>
      <c r="R643">
        <f t="shared" si="991"/>
        <v>1086576377.0429316</v>
      </c>
      <c r="S643">
        <f t="shared" si="992"/>
        <v>10865.763770429316</v>
      </c>
      <c r="T643">
        <f t="shared" si="993"/>
        <v>10.865763770429316</v>
      </c>
    </row>
    <row r="644" spans="1:20" x14ac:dyDescent="0.25">
      <c r="A644" s="5">
        <v>43949</v>
      </c>
      <c r="B644">
        <v>1.932E-2</v>
      </c>
      <c r="C644">
        <v>1.9699999999999999E-2</v>
      </c>
      <c r="D644">
        <v>1.8790000000000001E-2</v>
      </c>
      <c r="E644">
        <v>1.9529999999999999E-2</v>
      </c>
      <c r="F644">
        <v>54897274.399999999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0.62637362637362537</v>
      </c>
      <c r="Q644">
        <f t="shared" si="990"/>
        <v>34386204.843955986</v>
      </c>
      <c r="R644">
        <f t="shared" si="991"/>
        <v>1017559638.9429313</v>
      </c>
      <c r="S644">
        <f t="shared" si="992"/>
        <v>10175.596389429313</v>
      </c>
      <c r="T644">
        <f t="shared" si="993"/>
        <v>10.175596389429312</v>
      </c>
    </row>
    <row r="645" spans="1:20" x14ac:dyDescent="0.25">
      <c r="A645" s="5">
        <v>43948</v>
      </c>
      <c r="B645">
        <v>1.9990000000000001E-2</v>
      </c>
      <c r="C645">
        <v>2.0109999999999999E-2</v>
      </c>
      <c r="D645">
        <v>1.8610000000000002E-2</v>
      </c>
      <c r="E645">
        <v>1.932E-2</v>
      </c>
      <c r="F645">
        <v>111173909.59999999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-5.3333333333333552E-2</v>
      </c>
      <c r="Q645">
        <f t="shared" si="990"/>
        <v>-5929275.1786666904</v>
      </c>
      <c r="R645">
        <f t="shared" si="991"/>
        <v>983173434.0989753</v>
      </c>
      <c r="S645">
        <f t="shared" si="992"/>
        <v>9831.734340989753</v>
      </c>
      <c r="T645">
        <f t="shared" si="993"/>
        <v>9.8317343409897529</v>
      </c>
    </row>
    <row r="646" spans="1:20" x14ac:dyDescent="0.25">
      <c r="A646" s="5">
        <v>43947</v>
      </c>
      <c r="B646">
        <v>1.9130000000000001E-2</v>
      </c>
      <c r="C646">
        <v>2.0809999999999999E-2</v>
      </c>
      <c r="D646">
        <v>1.908E-2</v>
      </c>
      <c r="E646">
        <v>1.9980000000000001E-2</v>
      </c>
      <c r="F646">
        <v>228836059.40000001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4.0462427745667127E-2</v>
      </c>
      <c r="Q646">
        <f t="shared" ref="Q646:Q709" si="995">F646*P646</f>
        <v>9259262.5190756917</v>
      </c>
      <c r="R646">
        <f t="shared" ref="R646:R709" si="996">R647+Q646</f>
        <v>989102709.27764201</v>
      </c>
      <c r="S646">
        <f t="shared" ref="S646:S709" si="997">R646/100000</f>
        <v>9891.0270927764195</v>
      </c>
      <c r="T646">
        <f t="shared" ref="T646:T709" si="998">S646/1000</f>
        <v>9.8910270927764188</v>
      </c>
    </row>
    <row r="647" spans="1:20" x14ac:dyDescent="0.25">
      <c r="A647" s="5">
        <v>43946</v>
      </c>
      <c r="B647">
        <v>1.788E-2</v>
      </c>
      <c r="C647">
        <v>1.9230000000000001E-2</v>
      </c>
      <c r="D647">
        <v>1.7559999999999999E-2</v>
      </c>
      <c r="E647">
        <v>1.9089999999999999E-2</v>
      </c>
      <c r="F647">
        <v>133223936.3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0.83233532934131604</v>
      </c>
      <c r="Q647">
        <f t="shared" si="995"/>
        <v>110886988.89640701</v>
      </c>
      <c r="R647">
        <f t="shared" si="996"/>
        <v>979843446.75856626</v>
      </c>
      <c r="S647">
        <f t="shared" si="997"/>
        <v>9798.4344675856628</v>
      </c>
      <c r="T647">
        <f t="shared" si="998"/>
        <v>9.7984344675856629</v>
      </c>
    </row>
    <row r="648" spans="1:20" x14ac:dyDescent="0.25">
      <c r="A648" s="5">
        <v>43945</v>
      </c>
      <c r="B648">
        <v>1.745E-2</v>
      </c>
      <c r="C648">
        <v>1.814E-2</v>
      </c>
      <c r="D648">
        <v>1.721E-2</v>
      </c>
      <c r="E648">
        <v>1.788E-2</v>
      </c>
      <c r="F648">
        <v>44153577.899999999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0.44086021505376399</v>
      </c>
      <c r="Q648">
        <f t="shared" si="995"/>
        <v>19465555.848387122</v>
      </c>
      <c r="R648">
        <f t="shared" si="996"/>
        <v>868956457.86215925</v>
      </c>
      <c r="S648">
        <f t="shared" si="997"/>
        <v>8689.5645786215919</v>
      </c>
      <c r="T648">
        <f t="shared" si="998"/>
        <v>8.6895645786215923</v>
      </c>
    </row>
    <row r="649" spans="1:20" x14ac:dyDescent="0.25">
      <c r="A649" s="5">
        <v>43944</v>
      </c>
      <c r="B649">
        <v>1.6799999999999999E-2</v>
      </c>
      <c r="C649">
        <v>1.7819999999999999E-2</v>
      </c>
      <c r="D649">
        <v>1.636E-2</v>
      </c>
      <c r="E649">
        <v>1.7420000000000001E-2</v>
      </c>
      <c r="F649">
        <v>48864507.5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0.45205479452055108</v>
      </c>
      <c r="Q649">
        <f t="shared" si="995"/>
        <v>22089434.897260427</v>
      </c>
      <c r="R649">
        <f t="shared" si="996"/>
        <v>849490902.01377213</v>
      </c>
      <c r="S649">
        <f t="shared" si="997"/>
        <v>8494.9090201377221</v>
      </c>
      <c r="T649">
        <f t="shared" si="998"/>
        <v>8.4949090201377224</v>
      </c>
    </row>
    <row r="650" spans="1:20" x14ac:dyDescent="0.25">
      <c r="A650" s="5">
        <v>43943</v>
      </c>
      <c r="B650">
        <v>1.6129999999999999E-2</v>
      </c>
      <c r="C650">
        <v>1.7000000000000001E-2</v>
      </c>
      <c r="D650">
        <v>1.5939999999999999E-2</v>
      </c>
      <c r="E650">
        <v>1.6799999999999999E-2</v>
      </c>
      <c r="F650">
        <v>28844337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0.62264150943395868</v>
      </c>
      <c r="Q650">
        <f t="shared" si="995"/>
        <v>17959681.528301783</v>
      </c>
      <c r="R650">
        <f t="shared" si="996"/>
        <v>827401467.1165117</v>
      </c>
      <c r="S650">
        <f t="shared" si="997"/>
        <v>8274.0146711651178</v>
      </c>
      <c r="T650">
        <f t="shared" si="998"/>
        <v>8.2740146711651175</v>
      </c>
    </row>
    <row r="651" spans="1:20" x14ac:dyDescent="0.25">
      <c r="A651" s="5">
        <v>43942</v>
      </c>
      <c r="B651">
        <v>1.6070000000000001E-2</v>
      </c>
      <c r="C651">
        <v>1.6379999999999999E-2</v>
      </c>
      <c r="D651">
        <v>1.5769999999999999E-2</v>
      </c>
      <c r="E651">
        <v>1.609E-2</v>
      </c>
      <c r="F651">
        <v>24893625.300000001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4.9180327868856191E-2</v>
      </c>
      <c r="Q651">
        <f t="shared" si="995"/>
        <v>1224276.6540984537</v>
      </c>
      <c r="R651">
        <f t="shared" si="996"/>
        <v>809441785.58820987</v>
      </c>
      <c r="S651">
        <f t="shared" si="997"/>
        <v>8094.4178558820986</v>
      </c>
      <c r="T651">
        <f t="shared" si="998"/>
        <v>8.0944178558820994</v>
      </c>
    </row>
    <row r="652" spans="1:20" x14ac:dyDescent="0.25">
      <c r="A652" s="5">
        <v>43941</v>
      </c>
      <c r="B652">
        <v>1.6899999999999998E-2</v>
      </c>
      <c r="C652">
        <v>1.7739999999999999E-2</v>
      </c>
      <c r="D652">
        <v>1.5800000000000002E-2</v>
      </c>
      <c r="E652">
        <v>1.6070000000000001E-2</v>
      </c>
      <c r="F652">
        <v>72522925.799999997</v>
      </c>
      <c r="G652">
        <v>0</v>
      </c>
      <c r="L652" t="s">
        <v>8</v>
      </c>
      <c r="M652" t="s">
        <v>7</v>
      </c>
      <c r="N652" t="s">
        <v>8</v>
      </c>
      <c r="P652">
        <f t="shared" si="994"/>
        <v>-0.72164948453608269</v>
      </c>
      <c r="Q652">
        <f t="shared" si="995"/>
        <v>-52336132.020618573</v>
      </c>
      <c r="R652">
        <f t="shared" si="996"/>
        <v>808217508.93411136</v>
      </c>
      <c r="S652">
        <f t="shared" si="997"/>
        <v>8082.1750893411136</v>
      </c>
      <c r="T652">
        <f t="shared" si="998"/>
        <v>8.0821750893411135</v>
      </c>
    </row>
    <row r="653" spans="1:20" x14ac:dyDescent="0.25">
      <c r="A653" s="5">
        <v>43940</v>
      </c>
      <c r="B653">
        <v>1.7420000000000001E-2</v>
      </c>
      <c r="C653">
        <v>1.7440000000000001E-2</v>
      </c>
      <c r="D653">
        <v>1.6629999999999999E-2</v>
      </c>
      <c r="E653">
        <v>1.6920000000000001E-2</v>
      </c>
      <c r="F653">
        <v>23198380.800000001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-0.28395061728394705</v>
      </c>
      <c r="Q653">
        <f t="shared" si="995"/>
        <v>-6587194.5481480658</v>
      </c>
      <c r="R653">
        <f t="shared" si="996"/>
        <v>860553640.95472991</v>
      </c>
      <c r="S653">
        <f t="shared" si="997"/>
        <v>8605.5364095472996</v>
      </c>
      <c r="T653">
        <f t="shared" si="998"/>
        <v>8.6055364095472999</v>
      </c>
    </row>
    <row r="654" spans="1:20" x14ac:dyDescent="0.25">
      <c r="A654" s="5">
        <v>43939</v>
      </c>
      <c r="B654">
        <v>1.6619999999999999E-2</v>
      </c>
      <c r="C654">
        <v>1.754E-2</v>
      </c>
      <c r="D654">
        <v>1.6619999999999999E-2</v>
      </c>
      <c r="E654">
        <v>1.7430000000000001E-2</v>
      </c>
      <c r="F654">
        <v>37201450.600000001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0.76086956521739368</v>
      </c>
      <c r="Q654">
        <f t="shared" si="995"/>
        <v>28305451.543478351</v>
      </c>
      <c r="R654">
        <f t="shared" si="996"/>
        <v>867140835.50287795</v>
      </c>
      <c r="S654">
        <f t="shared" si="997"/>
        <v>8671.4083550287796</v>
      </c>
      <c r="T654">
        <f t="shared" si="998"/>
        <v>8.6714083550287793</v>
      </c>
    </row>
    <row r="655" spans="1:20" x14ac:dyDescent="0.25">
      <c r="A655" s="5">
        <v>43938</v>
      </c>
      <c r="B655">
        <v>1.6990000000000002E-2</v>
      </c>
      <c r="C655">
        <v>1.7049999999999999E-2</v>
      </c>
      <c r="D655">
        <v>1.651E-2</v>
      </c>
      <c r="E655">
        <v>1.6639999999999999E-2</v>
      </c>
      <c r="F655">
        <v>25247453.800000001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-0.51851851851852426</v>
      </c>
      <c r="Q655">
        <f t="shared" si="995"/>
        <v>-13091272.340740886</v>
      </c>
      <c r="R655">
        <f t="shared" si="996"/>
        <v>838835383.95939958</v>
      </c>
      <c r="S655">
        <f t="shared" si="997"/>
        <v>8388.3538395939959</v>
      </c>
      <c r="T655">
        <f t="shared" si="998"/>
        <v>8.3883538395939965</v>
      </c>
    </row>
    <row r="656" spans="1:20" x14ac:dyDescent="0.25">
      <c r="A656" s="5">
        <v>43937</v>
      </c>
      <c r="B656">
        <v>1.5520000000000001E-2</v>
      </c>
      <c r="C656">
        <v>1.7299999999999999E-2</v>
      </c>
      <c r="D656">
        <v>1.52E-2</v>
      </c>
      <c r="E656">
        <v>1.6959999999999999E-2</v>
      </c>
      <c r="F656">
        <v>55522472.100000001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0.67619047619047612</v>
      </c>
      <c r="Q656">
        <f t="shared" si="995"/>
        <v>37543766.848571427</v>
      </c>
      <c r="R656">
        <f t="shared" si="996"/>
        <v>851926656.3001405</v>
      </c>
      <c r="S656">
        <f t="shared" si="997"/>
        <v>8519.2665630014053</v>
      </c>
      <c r="T656">
        <f t="shared" si="998"/>
        <v>8.5192665630014055</v>
      </c>
    </row>
    <row r="657" spans="1:20" x14ac:dyDescent="0.25">
      <c r="A657" s="5">
        <v>43936</v>
      </c>
      <c r="B657">
        <v>1.6320000000000001E-2</v>
      </c>
      <c r="C657">
        <v>1.6459999999999999E-2</v>
      </c>
      <c r="D657">
        <v>1.537E-2</v>
      </c>
      <c r="E657">
        <v>1.5520000000000001E-2</v>
      </c>
      <c r="F657">
        <v>25732960.899999999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-0.72477064220183307</v>
      </c>
      <c r="Q657">
        <f t="shared" si="995"/>
        <v>-18650494.59724766</v>
      </c>
      <c r="R657">
        <f t="shared" si="996"/>
        <v>814382889.45156908</v>
      </c>
      <c r="S657">
        <f t="shared" si="997"/>
        <v>8143.828894515691</v>
      </c>
      <c r="T657">
        <f t="shared" si="998"/>
        <v>8.1438288945156909</v>
      </c>
    </row>
    <row r="658" spans="1:20" x14ac:dyDescent="0.25">
      <c r="A658" s="5">
        <v>43935</v>
      </c>
      <c r="B658">
        <v>1.6080000000000001E-2</v>
      </c>
      <c r="C658">
        <v>1.669E-2</v>
      </c>
      <c r="D658">
        <v>1.5800000000000002E-2</v>
      </c>
      <c r="E658">
        <v>1.6279999999999999E-2</v>
      </c>
      <c r="F658">
        <v>23890585.5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7.8651685393255358E-2</v>
      </c>
      <c r="Q658">
        <f t="shared" si="995"/>
        <v>1879034.8146066682</v>
      </c>
      <c r="R658">
        <f t="shared" si="996"/>
        <v>833033384.04881668</v>
      </c>
      <c r="S658">
        <f t="shared" si="997"/>
        <v>8330.333840488167</v>
      </c>
      <c r="T658">
        <f t="shared" si="998"/>
        <v>8.3303338404881675</v>
      </c>
    </row>
    <row r="659" spans="1:20" x14ac:dyDescent="0.25">
      <c r="A659" s="5">
        <v>43934</v>
      </c>
      <c r="B659">
        <v>1.6629999999999999E-2</v>
      </c>
      <c r="C659">
        <v>1.6629999999999999E-2</v>
      </c>
      <c r="D659">
        <v>1.554E-2</v>
      </c>
      <c r="E659">
        <v>1.6080000000000001E-2</v>
      </c>
      <c r="F659">
        <v>44395612.399999999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-9.1743119266035483E-3</v>
      </c>
      <c r="Q659">
        <f t="shared" si="995"/>
        <v>-407299.19633018837</v>
      </c>
      <c r="R659">
        <f t="shared" si="996"/>
        <v>831154349.23421001</v>
      </c>
      <c r="S659">
        <f t="shared" si="997"/>
        <v>8311.5434923420999</v>
      </c>
      <c r="T659">
        <f t="shared" si="998"/>
        <v>8.3115434923420999</v>
      </c>
    </row>
    <row r="660" spans="1:20" x14ac:dyDescent="0.25">
      <c r="A660" s="5">
        <v>43933</v>
      </c>
      <c r="B660">
        <v>1.6559999999999998E-2</v>
      </c>
      <c r="C660">
        <v>1.7350000000000001E-2</v>
      </c>
      <c r="D660">
        <v>1.6150000000000001E-2</v>
      </c>
      <c r="E660">
        <v>1.6639999999999999E-2</v>
      </c>
      <c r="F660">
        <v>37100956.899999999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-0.18333333333333748</v>
      </c>
      <c r="Q660">
        <f t="shared" si="995"/>
        <v>-6801842.0983334873</v>
      </c>
      <c r="R660">
        <f t="shared" si="996"/>
        <v>831561648.4305402</v>
      </c>
      <c r="S660">
        <f t="shared" si="997"/>
        <v>8315.6164843054012</v>
      </c>
      <c r="T660">
        <f t="shared" si="998"/>
        <v>8.3156164843054015</v>
      </c>
    </row>
    <row r="661" spans="1:20" x14ac:dyDescent="0.25">
      <c r="A661" s="5">
        <v>43932</v>
      </c>
      <c r="B661">
        <v>1.6299999999999999E-2</v>
      </c>
      <c r="C661">
        <v>1.704E-2</v>
      </c>
      <c r="D661">
        <v>1.6E-2</v>
      </c>
      <c r="E661">
        <v>1.6559999999999998E-2</v>
      </c>
      <c r="F661">
        <v>42290337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7.6923076923073846E-2</v>
      </c>
      <c r="Q661">
        <f t="shared" si="995"/>
        <v>3253102.8461537161</v>
      </c>
      <c r="R661">
        <f t="shared" si="996"/>
        <v>838363490.52887368</v>
      </c>
      <c r="S661">
        <f t="shared" si="997"/>
        <v>8383.6349052887363</v>
      </c>
      <c r="T661">
        <f t="shared" si="998"/>
        <v>8.3836349052887371</v>
      </c>
    </row>
    <row r="662" spans="1:20" x14ac:dyDescent="0.25">
      <c r="A662" s="5">
        <v>43931</v>
      </c>
      <c r="B662">
        <v>1.821E-2</v>
      </c>
      <c r="C662">
        <v>1.8339999999999999E-2</v>
      </c>
      <c r="D662">
        <v>1.5800000000000002E-2</v>
      </c>
      <c r="E662">
        <v>1.6299999999999999E-2</v>
      </c>
      <c r="F662">
        <v>94860528.200000003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-0.60629921259842712</v>
      </c>
      <c r="Q662">
        <f t="shared" si="995"/>
        <v>-57513863.554330893</v>
      </c>
      <c r="R662">
        <f t="shared" si="996"/>
        <v>835110387.68271995</v>
      </c>
      <c r="S662">
        <f t="shared" si="997"/>
        <v>8351.1038768271992</v>
      </c>
      <c r="T662">
        <f t="shared" si="998"/>
        <v>8.3511038768271995</v>
      </c>
    </row>
    <row r="663" spans="1:20" x14ac:dyDescent="0.25">
      <c r="A663" s="5">
        <v>43930</v>
      </c>
      <c r="B663">
        <v>1.7260000000000001E-2</v>
      </c>
      <c r="C663">
        <v>1.9349999999999999E-2</v>
      </c>
      <c r="D663">
        <v>1.6809999999999999E-2</v>
      </c>
      <c r="E663">
        <v>1.821E-2</v>
      </c>
      <c r="F663">
        <v>114622333.7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0.10236220472441072</v>
      </c>
      <c r="Q663">
        <f t="shared" si="995"/>
        <v>11732994.788189122</v>
      </c>
      <c r="R663">
        <f t="shared" si="996"/>
        <v>892624251.23705089</v>
      </c>
      <c r="S663">
        <f t="shared" si="997"/>
        <v>8926.2425123705088</v>
      </c>
      <c r="T663">
        <f t="shared" si="998"/>
        <v>8.9262425123705089</v>
      </c>
    </row>
    <row r="664" spans="1:20" x14ac:dyDescent="0.25">
      <c r="A664" s="5">
        <v>43929</v>
      </c>
      <c r="B664">
        <v>1.6539999999999999E-2</v>
      </c>
      <c r="C664">
        <v>1.7479999999999999E-2</v>
      </c>
      <c r="D664">
        <v>1.636E-2</v>
      </c>
      <c r="E664">
        <v>1.7260000000000001E-2</v>
      </c>
      <c r="F664">
        <v>38425834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0.60714285714286054</v>
      </c>
      <c r="Q664">
        <f t="shared" si="995"/>
        <v>23329970.642857272</v>
      </c>
      <c r="R664">
        <f t="shared" si="996"/>
        <v>880891256.44886172</v>
      </c>
      <c r="S664">
        <f t="shared" si="997"/>
        <v>8808.9125644886171</v>
      </c>
      <c r="T664">
        <f t="shared" si="998"/>
        <v>8.808912564488617</v>
      </c>
    </row>
    <row r="665" spans="1:20" x14ac:dyDescent="0.25">
      <c r="A665" s="5">
        <v>43928</v>
      </c>
      <c r="B665">
        <v>1.7010000000000001E-2</v>
      </c>
      <c r="C665">
        <v>1.7729999999999999E-2</v>
      </c>
      <c r="D665">
        <v>1.618E-2</v>
      </c>
      <c r="E665">
        <v>1.6539999999999999E-2</v>
      </c>
      <c r="F665">
        <v>68718218.599999994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-0.53548387096774275</v>
      </c>
      <c r="Q665">
        <f t="shared" si="995"/>
        <v>-36797497.701935537</v>
      </c>
      <c r="R665">
        <f t="shared" si="996"/>
        <v>857561285.80600441</v>
      </c>
      <c r="S665">
        <f t="shared" si="997"/>
        <v>8575.6128580600434</v>
      </c>
      <c r="T665">
        <f t="shared" si="998"/>
        <v>8.5756128580600439</v>
      </c>
    </row>
    <row r="666" spans="1:20" x14ac:dyDescent="0.25">
      <c r="A666" s="5">
        <v>43927</v>
      </c>
      <c r="B666">
        <v>1.5440000000000001E-2</v>
      </c>
      <c r="C666">
        <v>1.7059999999999999E-2</v>
      </c>
      <c r="D666">
        <v>1.5440000000000001E-2</v>
      </c>
      <c r="E666">
        <v>1.7010000000000001E-2</v>
      </c>
      <c r="F666">
        <v>49788516.100000001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0.938271604938274</v>
      </c>
      <c r="Q666">
        <f t="shared" si="995"/>
        <v>46715150.908642098</v>
      </c>
      <c r="R666">
        <f t="shared" si="996"/>
        <v>894358783.50793993</v>
      </c>
      <c r="S666">
        <f t="shared" si="997"/>
        <v>8943.5878350793992</v>
      </c>
      <c r="T666">
        <f t="shared" si="998"/>
        <v>8.9435878350793985</v>
      </c>
    </row>
    <row r="667" spans="1:20" x14ac:dyDescent="0.25">
      <c r="A667" s="5">
        <v>43926</v>
      </c>
      <c r="B667">
        <v>1.5570000000000001E-2</v>
      </c>
      <c r="C667">
        <v>1.5689999999999999E-2</v>
      </c>
      <c r="D667">
        <v>1.521E-2</v>
      </c>
      <c r="E667">
        <v>1.5429999999999999E-2</v>
      </c>
      <c r="F667">
        <v>8795874.1999999993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-8.3333333333333634E-2</v>
      </c>
      <c r="Q667">
        <f t="shared" si="995"/>
        <v>-732989.51666666928</v>
      </c>
      <c r="R667">
        <f t="shared" si="996"/>
        <v>847643632.59929788</v>
      </c>
      <c r="S667">
        <f t="shared" si="997"/>
        <v>8476.4363259929796</v>
      </c>
      <c r="T667">
        <f t="shared" si="998"/>
        <v>8.4764363259929798</v>
      </c>
    </row>
    <row r="668" spans="1:20" x14ac:dyDescent="0.25">
      <c r="A668" s="5">
        <v>43925</v>
      </c>
      <c r="B668">
        <v>1.541E-2</v>
      </c>
      <c r="C668">
        <v>1.5740000000000001E-2</v>
      </c>
      <c r="D668">
        <v>1.525E-2</v>
      </c>
      <c r="E668">
        <v>1.5570000000000001E-2</v>
      </c>
      <c r="F668">
        <v>26524426.800000001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0.30612244897959301</v>
      </c>
      <c r="Q668">
        <f t="shared" si="995"/>
        <v>8119722.4897959493</v>
      </c>
      <c r="R668">
        <f t="shared" si="996"/>
        <v>848376622.11596453</v>
      </c>
      <c r="S668">
        <f t="shared" si="997"/>
        <v>8483.7662211596453</v>
      </c>
      <c r="T668">
        <f t="shared" si="998"/>
        <v>8.4837662211596445</v>
      </c>
    </row>
    <row r="669" spans="1:20" x14ac:dyDescent="0.25">
      <c r="A669" s="5">
        <v>43924</v>
      </c>
      <c r="B669">
        <v>1.554E-2</v>
      </c>
      <c r="C669">
        <v>1.5879999999999998E-2</v>
      </c>
      <c r="D669">
        <v>1.506E-2</v>
      </c>
      <c r="E669">
        <v>1.538E-2</v>
      </c>
      <c r="F669">
        <v>39132165.299999997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-0.21951219512195133</v>
      </c>
      <c r="Q669">
        <f t="shared" si="995"/>
        <v>-8589987.5048780516</v>
      </c>
      <c r="R669">
        <f t="shared" si="996"/>
        <v>840256899.62616861</v>
      </c>
      <c r="S669">
        <f t="shared" si="997"/>
        <v>8402.5689962616852</v>
      </c>
      <c r="T669">
        <f t="shared" si="998"/>
        <v>8.4025689962616852</v>
      </c>
    </row>
    <row r="670" spans="1:20" x14ac:dyDescent="0.25">
      <c r="A670" s="5">
        <v>43923</v>
      </c>
      <c r="B670">
        <v>1.562E-2</v>
      </c>
      <c r="C670">
        <v>1.627E-2</v>
      </c>
      <c r="D670">
        <v>1.5169999999999999E-2</v>
      </c>
      <c r="E670">
        <v>1.562E-2</v>
      </c>
      <c r="F670">
        <v>68806877.400000006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-0.18181818181818066</v>
      </c>
      <c r="Q670">
        <f t="shared" si="995"/>
        <v>-12510341.345454467</v>
      </c>
      <c r="R670">
        <f t="shared" si="996"/>
        <v>848846887.13104665</v>
      </c>
      <c r="S670">
        <f t="shared" si="997"/>
        <v>8488.4688713104661</v>
      </c>
      <c r="T670">
        <f t="shared" si="998"/>
        <v>8.4884688713104666</v>
      </c>
    </row>
    <row r="671" spans="1:20" x14ac:dyDescent="0.25">
      <c r="A671" s="5">
        <v>43922</v>
      </c>
      <c r="B671">
        <v>1.5180000000000001E-2</v>
      </c>
      <c r="C671">
        <v>1.575E-2</v>
      </c>
      <c r="D671">
        <v>1.4579999999999999E-2</v>
      </c>
      <c r="E671">
        <v>1.5509999999999999E-2</v>
      </c>
      <c r="F671">
        <v>66706537.200000003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0.58974358974358898</v>
      </c>
      <c r="Q671">
        <f t="shared" si="995"/>
        <v>39339752.707692258</v>
      </c>
      <c r="R671">
        <f t="shared" si="996"/>
        <v>861357228.47650111</v>
      </c>
      <c r="S671">
        <f t="shared" si="997"/>
        <v>8613.5722847650104</v>
      </c>
      <c r="T671">
        <f t="shared" si="998"/>
        <v>8.6135722847650111</v>
      </c>
    </row>
    <row r="672" spans="1:20" x14ac:dyDescent="0.25">
      <c r="A672" s="5">
        <v>43921</v>
      </c>
      <c r="B672">
        <v>1.456E-2</v>
      </c>
      <c r="C672">
        <v>1.5570000000000001E-2</v>
      </c>
      <c r="D672">
        <v>1.456E-2</v>
      </c>
      <c r="E672">
        <v>1.516E-2</v>
      </c>
      <c r="F672">
        <v>41370275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0.18811881188118723</v>
      </c>
      <c r="Q672">
        <f t="shared" si="995"/>
        <v>7782526.9801979829</v>
      </c>
      <c r="R672">
        <f t="shared" si="996"/>
        <v>822017475.76880884</v>
      </c>
      <c r="S672">
        <f t="shared" si="997"/>
        <v>8220.174757688088</v>
      </c>
      <c r="T672">
        <f t="shared" si="998"/>
        <v>8.2201747576880884</v>
      </c>
    </row>
    <row r="673" spans="1:20" x14ac:dyDescent="0.25">
      <c r="A673" s="5">
        <v>43920</v>
      </c>
      <c r="B673">
        <v>1.355E-2</v>
      </c>
      <c r="C673">
        <v>1.4999999999999999E-2</v>
      </c>
      <c r="D673">
        <v>1.349E-2</v>
      </c>
      <c r="E673">
        <v>1.4619999999999999E-2</v>
      </c>
      <c r="F673">
        <v>36011310.299999997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0.49668874172185384</v>
      </c>
      <c r="Q673">
        <f t="shared" si="995"/>
        <v>17886412.400662232</v>
      </c>
      <c r="R673">
        <f t="shared" si="996"/>
        <v>814234948.78861082</v>
      </c>
      <c r="S673">
        <f t="shared" si="997"/>
        <v>8142.3494878861084</v>
      </c>
      <c r="T673">
        <f t="shared" si="998"/>
        <v>8.1423494878861078</v>
      </c>
    </row>
    <row r="674" spans="1:20" x14ac:dyDescent="0.25">
      <c r="A674" s="5">
        <v>43919</v>
      </c>
      <c r="B674">
        <v>1.4279999999999999E-2</v>
      </c>
      <c r="C674">
        <v>1.43E-2</v>
      </c>
      <c r="D674">
        <v>1.349E-2</v>
      </c>
      <c r="E674">
        <v>1.359E-2</v>
      </c>
      <c r="F674">
        <v>26194274.5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-0.75308641975308788</v>
      </c>
      <c r="Q674">
        <f t="shared" si="995"/>
        <v>-19726552.401234604</v>
      </c>
      <c r="R674">
        <f t="shared" si="996"/>
        <v>796348536.38794863</v>
      </c>
      <c r="S674">
        <f t="shared" si="997"/>
        <v>7963.4853638794866</v>
      </c>
      <c r="T674">
        <f t="shared" si="998"/>
        <v>7.9634853638794869</v>
      </c>
    </row>
    <row r="675" spans="1:20" x14ac:dyDescent="0.25">
      <c r="A675" s="5">
        <v>43918</v>
      </c>
      <c r="B675">
        <v>1.4409999999999999E-2</v>
      </c>
      <c r="C675">
        <v>1.4409999999999999E-2</v>
      </c>
      <c r="D675">
        <v>1.37E-2</v>
      </c>
      <c r="E675">
        <v>1.431E-2</v>
      </c>
      <c r="F675">
        <v>35593880.5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0.71830985915493084</v>
      </c>
      <c r="Q675">
        <f t="shared" si="995"/>
        <v>25567435.288732439</v>
      </c>
      <c r="R675">
        <f t="shared" si="996"/>
        <v>816075088.78918326</v>
      </c>
      <c r="S675">
        <f t="shared" si="997"/>
        <v>8160.7508878918325</v>
      </c>
      <c r="T675">
        <f t="shared" si="998"/>
        <v>8.1607508878918331</v>
      </c>
    </row>
    <row r="676" spans="1:20" x14ac:dyDescent="0.25">
      <c r="A676" s="5">
        <v>43917</v>
      </c>
      <c r="B676">
        <v>1.576E-2</v>
      </c>
      <c r="C676">
        <v>1.601E-2</v>
      </c>
      <c r="D676">
        <v>1.4330000000000001E-2</v>
      </c>
      <c r="E676">
        <v>1.4420000000000001E-2</v>
      </c>
      <c r="F676">
        <v>40257785.600000001</v>
      </c>
      <c r="G676">
        <v>0</v>
      </c>
      <c r="L676" t="s">
        <v>7</v>
      </c>
      <c r="M676" t="s">
        <v>8</v>
      </c>
      <c r="N676" t="s">
        <v>8</v>
      </c>
      <c r="P676">
        <f t="shared" si="994"/>
        <v>-0.89285714285714302</v>
      </c>
      <c r="Q676">
        <f t="shared" si="995"/>
        <v>-35944451.428571433</v>
      </c>
      <c r="R676">
        <f t="shared" si="996"/>
        <v>790507653.50045085</v>
      </c>
      <c r="S676">
        <f t="shared" si="997"/>
        <v>7905.0765350045085</v>
      </c>
      <c r="T676">
        <f t="shared" si="998"/>
        <v>7.9050765350045085</v>
      </c>
    </row>
    <row r="677" spans="1:20" x14ac:dyDescent="0.25">
      <c r="A677" s="5">
        <v>43916</v>
      </c>
      <c r="B677">
        <v>1.516E-2</v>
      </c>
      <c r="C677">
        <v>1.617E-2</v>
      </c>
      <c r="D677">
        <v>1.506E-2</v>
      </c>
      <c r="E677">
        <v>1.5720000000000001E-2</v>
      </c>
      <c r="F677">
        <v>49400399.100000001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0.18918918918919087</v>
      </c>
      <c r="Q677">
        <f t="shared" si="995"/>
        <v>9346021.451351434</v>
      </c>
      <c r="R677">
        <f t="shared" si="996"/>
        <v>826452104.92902231</v>
      </c>
      <c r="S677">
        <f t="shared" si="997"/>
        <v>8264.5210492902224</v>
      </c>
      <c r="T677">
        <f t="shared" si="998"/>
        <v>8.2645210492902219</v>
      </c>
    </row>
    <row r="678" spans="1:20" x14ac:dyDescent="0.25">
      <c r="A678" s="5">
        <v>43915</v>
      </c>
      <c r="B678">
        <v>1.511E-2</v>
      </c>
      <c r="C678">
        <v>1.558E-2</v>
      </c>
      <c r="D678">
        <v>1.436E-2</v>
      </c>
      <c r="E678">
        <v>1.5129999999999999E-2</v>
      </c>
      <c r="F678">
        <v>37194792.299999997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0.26229508196721224</v>
      </c>
      <c r="Q678">
        <f t="shared" si="995"/>
        <v>9756011.0950819347</v>
      </c>
      <c r="R678">
        <f t="shared" si="996"/>
        <v>817106083.47767091</v>
      </c>
      <c r="S678">
        <f t="shared" si="997"/>
        <v>8171.0608347767093</v>
      </c>
      <c r="T678">
        <f t="shared" si="998"/>
        <v>8.1710608347767089</v>
      </c>
    </row>
    <row r="679" spans="1:20" x14ac:dyDescent="0.25">
      <c r="A679" s="5">
        <v>43914</v>
      </c>
      <c r="B679">
        <v>1.474E-2</v>
      </c>
      <c r="C679">
        <v>1.5299999999999999E-2</v>
      </c>
      <c r="D679">
        <v>1.452E-2</v>
      </c>
      <c r="E679">
        <v>1.515E-2</v>
      </c>
      <c r="F679">
        <v>67428726.400000006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0.61538461538461742</v>
      </c>
      <c r="Q679">
        <f t="shared" si="995"/>
        <v>41494600.861538604</v>
      </c>
      <c r="R679">
        <f t="shared" si="996"/>
        <v>807350072.38258898</v>
      </c>
      <c r="S679">
        <f t="shared" si="997"/>
        <v>8073.5007238258895</v>
      </c>
      <c r="T679">
        <f t="shared" si="998"/>
        <v>8.0735007238258891</v>
      </c>
    </row>
    <row r="680" spans="1:20" x14ac:dyDescent="0.25">
      <c r="A680" s="5">
        <v>43913</v>
      </c>
      <c r="B680">
        <v>1.319E-2</v>
      </c>
      <c r="C680">
        <v>1.485E-2</v>
      </c>
      <c r="D680">
        <v>1.3010000000000001E-2</v>
      </c>
      <c r="E680">
        <v>1.474E-2</v>
      </c>
      <c r="F680">
        <v>50202492.399999999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0.88043478260869479</v>
      </c>
      <c r="Q680">
        <f t="shared" si="995"/>
        <v>44200020.482608654</v>
      </c>
      <c r="R680">
        <f t="shared" si="996"/>
        <v>765855471.52105033</v>
      </c>
      <c r="S680">
        <f t="shared" si="997"/>
        <v>7658.5547152105037</v>
      </c>
      <c r="T680">
        <f t="shared" si="998"/>
        <v>7.6585547152105038</v>
      </c>
    </row>
    <row r="681" spans="1:20" x14ac:dyDescent="0.25">
      <c r="A681" s="5">
        <v>43912</v>
      </c>
      <c r="B681">
        <v>1.468E-2</v>
      </c>
      <c r="C681">
        <v>1.5299999999999999E-2</v>
      </c>
      <c r="D681">
        <v>1.3100000000000001E-2</v>
      </c>
      <c r="E681">
        <v>1.329E-2</v>
      </c>
      <c r="F681">
        <v>31245796.399999999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-0.82727272727272794</v>
      </c>
      <c r="Q681">
        <f t="shared" si="995"/>
        <v>-25848795.203636382</v>
      </c>
      <c r="R681">
        <f t="shared" si="996"/>
        <v>721655451.03844166</v>
      </c>
      <c r="S681">
        <f t="shared" si="997"/>
        <v>7216.554510384417</v>
      </c>
      <c r="T681">
        <f t="shared" si="998"/>
        <v>7.2165545103844169</v>
      </c>
    </row>
    <row r="682" spans="1:20" x14ac:dyDescent="0.25">
      <c r="A682" s="5">
        <v>43911</v>
      </c>
      <c r="B682">
        <v>1.47E-2</v>
      </c>
      <c r="C682">
        <v>1.532E-2</v>
      </c>
      <c r="D682">
        <v>1.376E-2</v>
      </c>
      <c r="E682">
        <v>1.4710000000000001E-2</v>
      </c>
      <c r="F682">
        <v>36564695.799999997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0.21794871794871898</v>
      </c>
      <c r="Q682">
        <f t="shared" si="995"/>
        <v>7969228.5717949085</v>
      </c>
      <c r="R682">
        <f t="shared" si="996"/>
        <v>747504246.24207807</v>
      </c>
      <c r="S682">
        <f t="shared" si="997"/>
        <v>7475.0424624207808</v>
      </c>
      <c r="T682">
        <f t="shared" si="998"/>
        <v>7.475042462420781</v>
      </c>
    </row>
    <row r="683" spans="1:20" x14ac:dyDescent="0.25">
      <c r="A683" s="5">
        <v>43910</v>
      </c>
      <c r="B683">
        <v>1.5339999999999999E-2</v>
      </c>
      <c r="C683">
        <v>1.7649999999999999E-2</v>
      </c>
      <c r="D683">
        <v>1.2999999999999999E-2</v>
      </c>
      <c r="E683">
        <v>1.4749999999999999E-2</v>
      </c>
      <c r="F683">
        <v>90368578.799999997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-0.24731182795698925</v>
      </c>
      <c r="Q683">
        <f t="shared" si="995"/>
        <v>-22349218.412903227</v>
      </c>
      <c r="R683">
        <f t="shared" si="996"/>
        <v>739535017.6702832</v>
      </c>
      <c r="S683">
        <f t="shared" si="997"/>
        <v>7395.350176702832</v>
      </c>
      <c r="T683">
        <f t="shared" si="998"/>
        <v>7.3953501767028316</v>
      </c>
    </row>
    <row r="684" spans="1:20" x14ac:dyDescent="0.25">
      <c r="A684" s="5">
        <v>43909</v>
      </c>
      <c r="B684">
        <v>1.316E-2</v>
      </c>
      <c r="C684">
        <v>1.576E-2</v>
      </c>
      <c r="D684">
        <v>1.295E-2</v>
      </c>
      <c r="E684">
        <v>1.5310000000000001E-2</v>
      </c>
      <c r="F684">
        <v>62998373.600000001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0.6797153024911039</v>
      </c>
      <c r="Q684">
        <f t="shared" si="995"/>
        <v>42820958.567971572</v>
      </c>
      <c r="R684">
        <f t="shared" si="996"/>
        <v>761884236.08318639</v>
      </c>
      <c r="S684">
        <f t="shared" si="997"/>
        <v>7618.8423608318635</v>
      </c>
      <c r="T684">
        <f t="shared" si="998"/>
        <v>7.6188423608318638</v>
      </c>
    </row>
    <row r="685" spans="1:20" x14ac:dyDescent="0.25">
      <c r="A685" s="5">
        <v>43908</v>
      </c>
      <c r="B685">
        <v>1.3050000000000001E-2</v>
      </c>
      <c r="C685">
        <v>1.3350000000000001E-2</v>
      </c>
      <c r="D685">
        <v>1.2E-2</v>
      </c>
      <c r="E685">
        <v>1.3140000000000001E-2</v>
      </c>
      <c r="F685">
        <v>36291417.100000001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0.68888888888888888</v>
      </c>
      <c r="Q685">
        <f t="shared" si="995"/>
        <v>25000754.002222221</v>
      </c>
      <c r="R685">
        <f t="shared" si="996"/>
        <v>719063277.5152148</v>
      </c>
      <c r="S685">
        <f t="shared" si="997"/>
        <v>7190.6327751521476</v>
      </c>
      <c r="T685">
        <f t="shared" si="998"/>
        <v>7.1906327751521477</v>
      </c>
    </row>
    <row r="686" spans="1:20" x14ac:dyDescent="0.25">
      <c r="A686" s="5">
        <v>43907</v>
      </c>
      <c r="B686">
        <v>1.217E-2</v>
      </c>
      <c r="C686">
        <v>1.3480000000000001E-2</v>
      </c>
      <c r="D686">
        <v>1.192E-2</v>
      </c>
      <c r="E686">
        <v>1.307E-2</v>
      </c>
      <c r="F686">
        <v>35874432.299999997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0.47435897435897373</v>
      </c>
      <c r="Q686">
        <f t="shared" si="995"/>
        <v>17017358.911538437</v>
      </c>
      <c r="R686">
        <f t="shared" si="996"/>
        <v>694062523.51299262</v>
      </c>
      <c r="S686">
        <f t="shared" si="997"/>
        <v>6940.6252351299263</v>
      </c>
      <c r="T686">
        <f t="shared" si="998"/>
        <v>6.940625235129926</v>
      </c>
    </row>
    <row r="687" spans="1:20" x14ac:dyDescent="0.25">
      <c r="A687" s="5">
        <v>43906</v>
      </c>
      <c r="B687">
        <v>1.389E-2</v>
      </c>
      <c r="C687">
        <v>1.389E-2</v>
      </c>
      <c r="D687">
        <v>1.068E-2</v>
      </c>
      <c r="E687">
        <v>1.2070000000000001E-2</v>
      </c>
      <c r="F687">
        <v>104716030.3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-0.13395638629283432</v>
      </c>
      <c r="Q687">
        <f t="shared" si="995"/>
        <v>-14027381.005918942</v>
      </c>
      <c r="R687">
        <f t="shared" si="996"/>
        <v>677045164.60145414</v>
      </c>
      <c r="S687">
        <f t="shared" si="997"/>
        <v>6770.4516460145414</v>
      </c>
      <c r="T687">
        <f t="shared" si="998"/>
        <v>6.7704516460145419</v>
      </c>
    </row>
    <row r="688" spans="1:20" x14ac:dyDescent="0.25">
      <c r="A688" s="5">
        <v>43905</v>
      </c>
      <c r="B688">
        <v>1.3639999999999999E-2</v>
      </c>
      <c r="C688">
        <v>1.5570000000000001E-2</v>
      </c>
      <c r="D688">
        <v>1.3310000000000001E-2</v>
      </c>
      <c r="E688">
        <v>1.388E-2</v>
      </c>
      <c r="F688">
        <v>32318526.399999999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-0.4955752212389386</v>
      </c>
      <c r="Q688">
        <f t="shared" si="995"/>
        <v>-16016260.870796477</v>
      </c>
      <c r="R688">
        <f t="shared" si="996"/>
        <v>691072545.60737312</v>
      </c>
      <c r="S688">
        <f t="shared" si="997"/>
        <v>6910.725456073731</v>
      </c>
      <c r="T688">
        <f t="shared" si="998"/>
        <v>6.910725456073731</v>
      </c>
    </row>
    <row r="689" spans="1:20" x14ac:dyDescent="0.25">
      <c r="A689" s="5">
        <v>43904</v>
      </c>
      <c r="B689">
        <v>1.436E-2</v>
      </c>
      <c r="C689">
        <v>1.5389999999999999E-2</v>
      </c>
      <c r="D689">
        <v>1.329E-2</v>
      </c>
      <c r="E689">
        <v>1.3559999999999999E-2</v>
      </c>
      <c r="F689">
        <v>38009198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-0.74285714285714333</v>
      </c>
      <c r="Q689">
        <f t="shared" si="995"/>
        <v>-28235404.228571445</v>
      </c>
      <c r="R689">
        <f t="shared" si="996"/>
        <v>707088806.47816956</v>
      </c>
      <c r="S689">
        <f t="shared" si="997"/>
        <v>7070.8880647816959</v>
      </c>
      <c r="T689">
        <f t="shared" si="998"/>
        <v>7.0708880647816956</v>
      </c>
    </row>
    <row r="690" spans="1:20" x14ac:dyDescent="0.25">
      <c r="A690" s="5">
        <v>43903</v>
      </c>
      <c r="B690">
        <v>1.15E-2</v>
      </c>
      <c r="C690">
        <v>1.5789999999999998E-2</v>
      </c>
      <c r="D690">
        <v>7.1199999999999996E-3</v>
      </c>
      <c r="E690">
        <v>1.438E-2</v>
      </c>
      <c r="F690">
        <v>144677074.80000001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0.6747404844290662</v>
      </c>
      <c r="Q690">
        <f t="shared" si="995"/>
        <v>97619479.53633225</v>
      </c>
      <c r="R690">
        <f t="shared" si="996"/>
        <v>735324210.70674098</v>
      </c>
      <c r="S690">
        <f t="shared" si="997"/>
        <v>7353.24210706741</v>
      </c>
      <c r="T690">
        <f t="shared" si="998"/>
        <v>7.3532421070674099</v>
      </c>
    </row>
    <row r="691" spans="1:20" x14ac:dyDescent="0.25">
      <c r="A691" s="5">
        <v>43902</v>
      </c>
      <c r="B691">
        <v>2.324E-2</v>
      </c>
      <c r="C691">
        <v>2.3369999999999998E-2</v>
      </c>
      <c r="D691">
        <v>1.0319999999999999E-2</v>
      </c>
      <c r="E691">
        <v>1.15E-2</v>
      </c>
      <c r="F691">
        <v>164913311.40000001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-0.81915708812260524</v>
      </c>
      <c r="Q691">
        <f t="shared" si="995"/>
        <v>-135089907.95908046</v>
      </c>
      <c r="R691">
        <f t="shared" si="996"/>
        <v>637704731.17040873</v>
      </c>
      <c r="S691">
        <f t="shared" si="997"/>
        <v>6377.0473117040874</v>
      </c>
      <c r="T691">
        <f t="shared" si="998"/>
        <v>6.3770473117040876</v>
      </c>
    </row>
    <row r="692" spans="1:20" x14ac:dyDescent="0.25">
      <c r="A692" s="5">
        <v>43901</v>
      </c>
      <c r="B692">
        <v>2.3480000000000001E-2</v>
      </c>
      <c r="C692">
        <v>2.4129999999999999E-2</v>
      </c>
      <c r="D692">
        <v>2.1559999999999999E-2</v>
      </c>
      <c r="E692">
        <v>2.3189999999999999E-2</v>
      </c>
      <c r="F692">
        <v>57475246.5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0.26848249027237348</v>
      </c>
      <c r="Q692">
        <f t="shared" si="995"/>
        <v>15431097.309338517</v>
      </c>
      <c r="R692">
        <f t="shared" si="996"/>
        <v>772794639.12948918</v>
      </c>
      <c r="S692">
        <f t="shared" si="997"/>
        <v>7727.9463912948922</v>
      </c>
      <c r="T692">
        <f t="shared" si="998"/>
        <v>7.7279463912948918</v>
      </c>
    </row>
    <row r="693" spans="1:20" x14ac:dyDescent="0.25">
      <c r="A693" s="5">
        <v>43900</v>
      </c>
      <c r="B693">
        <v>2.3460000000000002E-2</v>
      </c>
      <c r="C693">
        <v>2.4299999999999999E-2</v>
      </c>
      <c r="D693">
        <v>2.2249999999999999E-2</v>
      </c>
      <c r="E693">
        <v>2.35E-2</v>
      </c>
      <c r="F693">
        <v>49286088.100000001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0.21951219512195247</v>
      </c>
      <c r="Q693">
        <f t="shared" si="995"/>
        <v>10818897.38780494</v>
      </c>
      <c r="R693">
        <f t="shared" si="996"/>
        <v>757363541.82015061</v>
      </c>
      <c r="S693">
        <f t="shared" si="997"/>
        <v>7573.6354182015066</v>
      </c>
      <c r="T693">
        <f t="shared" si="998"/>
        <v>7.5736354182015067</v>
      </c>
    </row>
    <row r="694" spans="1:20" x14ac:dyDescent="0.25">
      <c r="A694" s="5">
        <v>43899</v>
      </c>
      <c r="B694">
        <v>2.3199999999999998E-2</v>
      </c>
      <c r="C694">
        <v>2.4240000000000001E-2</v>
      </c>
      <c r="D694">
        <v>2.1860000000000001E-2</v>
      </c>
      <c r="E694">
        <v>2.3460000000000002E-2</v>
      </c>
      <c r="F694">
        <v>57571583.899999999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0.34453781512605092</v>
      </c>
      <c r="Q694">
        <f t="shared" si="995"/>
        <v>19835587.730252128</v>
      </c>
      <c r="R694">
        <f t="shared" si="996"/>
        <v>746544644.43234563</v>
      </c>
      <c r="S694">
        <f t="shared" si="997"/>
        <v>7465.4464443234565</v>
      </c>
      <c r="T694">
        <f t="shared" si="998"/>
        <v>7.4654464443234563</v>
      </c>
    </row>
    <row r="695" spans="1:20" x14ac:dyDescent="0.25">
      <c r="A695" s="5">
        <v>43898</v>
      </c>
      <c r="B695">
        <v>2.656E-2</v>
      </c>
      <c r="C695">
        <v>2.656E-2</v>
      </c>
      <c r="D695">
        <v>2.3009999999999999E-2</v>
      </c>
      <c r="E695">
        <v>2.3310000000000001E-2</v>
      </c>
      <c r="F695">
        <v>55446997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-0.83098591549295686</v>
      </c>
      <c r="Q695">
        <f t="shared" si="995"/>
        <v>-46075673.563380234</v>
      </c>
      <c r="R695">
        <f t="shared" si="996"/>
        <v>726709056.70209348</v>
      </c>
      <c r="S695">
        <f t="shared" si="997"/>
        <v>7267.0905670209349</v>
      </c>
      <c r="T695">
        <f t="shared" si="998"/>
        <v>7.2670905670209347</v>
      </c>
    </row>
    <row r="696" spans="1:20" x14ac:dyDescent="0.25">
      <c r="A696" s="5">
        <v>43897</v>
      </c>
      <c r="B696">
        <v>2.7910000000000001E-2</v>
      </c>
      <c r="C696">
        <v>2.8979999999999999E-2</v>
      </c>
      <c r="D696">
        <v>2.632E-2</v>
      </c>
      <c r="E696">
        <v>2.656E-2</v>
      </c>
      <c r="F696">
        <v>62659914.799999997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-0.81954887218045058</v>
      </c>
      <c r="Q696">
        <f t="shared" si="995"/>
        <v>-51352862.50526312</v>
      </c>
      <c r="R696">
        <f t="shared" si="996"/>
        <v>772784730.26547372</v>
      </c>
      <c r="S696">
        <f t="shared" si="997"/>
        <v>7727.8473026547372</v>
      </c>
      <c r="T696">
        <f t="shared" si="998"/>
        <v>7.7278473026547374</v>
      </c>
    </row>
    <row r="697" spans="1:20" x14ac:dyDescent="0.25">
      <c r="A697" s="5">
        <v>43896</v>
      </c>
      <c r="B697">
        <v>2.836E-2</v>
      </c>
      <c r="C697">
        <v>2.8539999999999999E-2</v>
      </c>
      <c r="D697">
        <v>2.7300000000000001E-2</v>
      </c>
      <c r="E697">
        <v>2.7900000000000001E-2</v>
      </c>
      <c r="F697">
        <v>55218967.100000001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-3.2258064516127768E-2</v>
      </c>
      <c r="Q697">
        <f t="shared" si="995"/>
        <v>-1781257.0032257368</v>
      </c>
      <c r="R697">
        <f t="shared" si="996"/>
        <v>824137592.77073681</v>
      </c>
      <c r="S697">
        <f t="shared" si="997"/>
        <v>8241.3759277073677</v>
      </c>
      <c r="T697">
        <f t="shared" si="998"/>
        <v>8.2413759277073684</v>
      </c>
    </row>
    <row r="698" spans="1:20" x14ac:dyDescent="0.25">
      <c r="A698" s="5">
        <v>43895</v>
      </c>
      <c r="B698">
        <v>2.7539999999999999E-2</v>
      </c>
      <c r="C698">
        <v>2.9350000000000001E-2</v>
      </c>
      <c r="D698">
        <v>2.7539999999999999E-2</v>
      </c>
      <c r="E698">
        <v>2.8299999999999999E-2</v>
      </c>
      <c r="F698">
        <v>87769246.400000006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-0.16022099447513904</v>
      </c>
      <c r="Q698">
        <f t="shared" si="995"/>
        <v>-14062475.942541519</v>
      </c>
      <c r="R698">
        <f t="shared" si="996"/>
        <v>825918849.7739625</v>
      </c>
      <c r="S698">
        <f t="shared" si="997"/>
        <v>8259.1884977396257</v>
      </c>
      <c r="T698">
        <f t="shared" si="998"/>
        <v>8.2591884977396255</v>
      </c>
    </row>
    <row r="699" spans="1:20" x14ac:dyDescent="0.25">
      <c r="A699" s="5">
        <v>43894</v>
      </c>
      <c r="B699">
        <v>2.5940000000000001E-2</v>
      </c>
      <c r="C699">
        <v>2.7949999999999999E-2</v>
      </c>
      <c r="D699">
        <v>2.5819999999999999E-2</v>
      </c>
      <c r="E699">
        <v>2.7529999999999999E-2</v>
      </c>
      <c r="F699">
        <v>89049926.900000006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0.60563380281690116</v>
      </c>
      <c r="Q699">
        <f t="shared" si="995"/>
        <v>53931645.869014062</v>
      </c>
      <c r="R699">
        <f t="shared" si="996"/>
        <v>839981325.71650398</v>
      </c>
      <c r="S699">
        <f t="shared" si="997"/>
        <v>8399.8132571650403</v>
      </c>
      <c r="T699">
        <f t="shared" si="998"/>
        <v>8.3998132571650395</v>
      </c>
    </row>
    <row r="700" spans="1:20" x14ac:dyDescent="0.25">
      <c r="A700" s="5">
        <v>43893</v>
      </c>
      <c r="B700">
        <v>2.657E-2</v>
      </c>
      <c r="C700">
        <v>2.6579999999999999E-2</v>
      </c>
      <c r="D700">
        <v>2.5420000000000002E-2</v>
      </c>
      <c r="E700">
        <v>2.5930000000000002E-2</v>
      </c>
      <c r="F700">
        <v>31367266.300000001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-0.12068965517241209</v>
      </c>
      <c r="Q700">
        <f t="shared" si="995"/>
        <v>-3785704.5534482226</v>
      </c>
      <c r="R700">
        <f t="shared" si="996"/>
        <v>786049679.84748995</v>
      </c>
      <c r="S700">
        <f t="shared" si="997"/>
        <v>7860.4967984748992</v>
      </c>
      <c r="T700">
        <f t="shared" si="998"/>
        <v>7.860496798474899</v>
      </c>
    </row>
    <row r="701" spans="1:20" x14ac:dyDescent="0.25">
      <c r="A701" s="5">
        <v>43892</v>
      </c>
      <c r="B701">
        <v>2.4910000000000002E-2</v>
      </c>
      <c r="C701">
        <v>2.6849999999999999E-2</v>
      </c>
      <c r="D701">
        <v>2.4899999999999999E-2</v>
      </c>
      <c r="E701">
        <v>2.6519999999999998E-2</v>
      </c>
      <c r="F701">
        <v>44806358.700000003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0.66153846153846119</v>
      </c>
      <c r="Q701">
        <f t="shared" si="995"/>
        <v>29641129.60153845</v>
      </c>
      <c r="R701">
        <f t="shared" si="996"/>
        <v>789835384.40093815</v>
      </c>
      <c r="S701">
        <f t="shared" si="997"/>
        <v>7898.3538440093816</v>
      </c>
      <c r="T701">
        <f t="shared" si="998"/>
        <v>7.8983538440093817</v>
      </c>
    </row>
    <row r="702" spans="1:20" x14ac:dyDescent="0.25">
      <c r="A702" s="5">
        <v>43891</v>
      </c>
      <c r="B702">
        <v>2.5530000000000001E-2</v>
      </c>
      <c r="C702">
        <v>2.614E-2</v>
      </c>
      <c r="D702">
        <v>2.4500000000000001E-2</v>
      </c>
      <c r="E702">
        <v>2.504E-2</v>
      </c>
      <c r="F702">
        <v>29989195.300000001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-0.34146341463414742</v>
      </c>
      <c r="Q702">
        <f t="shared" si="995"/>
        <v>-10240213.029268326</v>
      </c>
      <c r="R702">
        <f t="shared" si="996"/>
        <v>760194254.79939973</v>
      </c>
      <c r="S702">
        <f t="shared" si="997"/>
        <v>7601.9425479939973</v>
      </c>
      <c r="T702">
        <f t="shared" si="998"/>
        <v>7.601942547993997</v>
      </c>
    </row>
    <row r="703" spans="1:20" x14ac:dyDescent="0.25">
      <c r="A703" s="5">
        <v>43890</v>
      </c>
      <c r="B703">
        <v>2.606E-2</v>
      </c>
      <c r="C703">
        <v>2.6890000000000001E-2</v>
      </c>
      <c r="D703">
        <v>2.5309999999999999E-2</v>
      </c>
      <c r="E703">
        <v>2.562E-2</v>
      </c>
      <c r="F703">
        <v>37173936.899999999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-0.60759493670885956</v>
      </c>
      <c r="Q703">
        <f t="shared" si="995"/>
        <v>-22586695.837974638</v>
      </c>
      <c r="R703">
        <f t="shared" si="996"/>
        <v>770434467.82866812</v>
      </c>
      <c r="S703">
        <f t="shared" si="997"/>
        <v>7704.3446782866813</v>
      </c>
      <c r="T703">
        <f t="shared" si="998"/>
        <v>7.7043446782866809</v>
      </c>
    </row>
    <row r="704" spans="1:20" x14ac:dyDescent="0.25">
      <c r="A704" s="5">
        <v>43889</v>
      </c>
      <c r="B704">
        <v>2.69E-2</v>
      </c>
      <c r="C704">
        <v>2.7390000000000001E-2</v>
      </c>
      <c r="D704">
        <v>2.444E-2</v>
      </c>
      <c r="E704">
        <v>2.6089999999999999E-2</v>
      </c>
      <c r="F704">
        <v>73946814.099999994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0.11864406779660881</v>
      </c>
      <c r="Q704">
        <f t="shared" si="995"/>
        <v>8773350.8254236281</v>
      </c>
      <c r="R704">
        <f t="shared" si="996"/>
        <v>793021163.66664279</v>
      </c>
      <c r="S704">
        <f t="shared" si="997"/>
        <v>7930.2116366664277</v>
      </c>
      <c r="T704">
        <f t="shared" si="998"/>
        <v>7.9302116366664279</v>
      </c>
    </row>
    <row r="705" spans="1:20" x14ac:dyDescent="0.25">
      <c r="A705" s="5">
        <v>43888</v>
      </c>
      <c r="B705">
        <v>2.5760000000000002E-2</v>
      </c>
      <c r="C705">
        <v>2.8850000000000001E-2</v>
      </c>
      <c r="D705">
        <v>2.3859999999999999E-2</v>
      </c>
      <c r="E705">
        <v>2.6870000000000002E-2</v>
      </c>
      <c r="F705">
        <v>140572257.09999999</v>
      </c>
      <c r="G705">
        <v>0</v>
      </c>
      <c r="L705" t="s">
        <v>7</v>
      </c>
      <c r="M705" t="s">
        <v>8</v>
      </c>
      <c r="N705" t="s">
        <v>7</v>
      </c>
      <c r="P705">
        <f t="shared" si="994"/>
        <v>0.20641282565130317</v>
      </c>
      <c r="Q705">
        <f t="shared" si="995"/>
        <v>29015916.796192463</v>
      </c>
      <c r="R705">
        <f t="shared" si="996"/>
        <v>784247812.84121919</v>
      </c>
      <c r="S705">
        <f t="shared" si="997"/>
        <v>7842.4781284121918</v>
      </c>
      <c r="T705">
        <f t="shared" si="998"/>
        <v>7.8424781284121918</v>
      </c>
    </row>
    <row r="706" spans="1:20" x14ac:dyDescent="0.25">
      <c r="A706" s="5">
        <v>43887</v>
      </c>
      <c r="B706">
        <v>2.7359999999999999E-2</v>
      </c>
      <c r="C706">
        <v>2.759E-2</v>
      </c>
      <c r="D706">
        <v>2.4400000000000002E-2</v>
      </c>
      <c r="E706">
        <v>2.5819999999999999E-2</v>
      </c>
      <c r="F706">
        <v>100356753.90000001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-0.10971786833855901</v>
      </c>
      <c r="Q706">
        <f t="shared" si="995"/>
        <v>-11010929.11128537</v>
      </c>
      <c r="R706">
        <f t="shared" si="996"/>
        <v>755231896.04502678</v>
      </c>
      <c r="S706">
        <f t="shared" si="997"/>
        <v>7552.3189604502677</v>
      </c>
      <c r="T706">
        <f t="shared" si="998"/>
        <v>7.5523189604502674</v>
      </c>
    </row>
    <row r="707" spans="1:20" x14ac:dyDescent="0.25">
      <c r="A707" s="5">
        <v>43886</v>
      </c>
      <c r="B707">
        <v>2.964E-2</v>
      </c>
      <c r="C707">
        <v>2.9669999999999998E-2</v>
      </c>
      <c r="D707">
        <v>2.6769999999999999E-2</v>
      </c>
      <c r="E707">
        <v>2.741E-2</v>
      </c>
      <c r="F707">
        <v>148065026.40000001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-0.5586206896551712</v>
      </c>
      <c r="Q707">
        <f t="shared" si="995"/>
        <v>-82712187.161379129</v>
      </c>
      <c r="R707">
        <f t="shared" si="996"/>
        <v>766242825.15631211</v>
      </c>
      <c r="S707">
        <f t="shared" si="997"/>
        <v>7662.4282515631212</v>
      </c>
      <c r="T707">
        <f t="shared" si="998"/>
        <v>7.6624282515631208</v>
      </c>
    </row>
    <row r="708" spans="1:20" x14ac:dyDescent="0.25">
      <c r="A708" s="5">
        <v>43885</v>
      </c>
      <c r="B708">
        <v>3.1859999999999999E-2</v>
      </c>
      <c r="C708">
        <v>3.2250000000000001E-2</v>
      </c>
      <c r="D708">
        <v>2.8510000000000001E-2</v>
      </c>
      <c r="E708">
        <v>2.964E-2</v>
      </c>
      <c r="F708">
        <v>68671762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-0.39572192513369037</v>
      </c>
      <c r="Q708">
        <f t="shared" si="995"/>
        <v>-27174921.860962603</v>
      </c>
      <c r="R708">
        <f t="shared" si="996"/>
        <v>848955012.31769121</v>
      </c>
      <c r="S708">
        <f t="shared" si="997"/>
        <v>8489.5501231769122</v>
      </c>
      <c r="T708">
        <f t="shared" si="998"/>
        <v>8.4895501231769117</v>
      </c>
    </row>
    <row r="709" spans="1:20" x14ac:dyDescent="0.25">
      <c r="A709" s="5">
        <v>43884</v>
      </c>
      <c r="B709">
        <v>3.015E-2</v>
      </c>
      <c r="C709">
        <v>3.2000000000000001E-2</v>
      </c>
      <c r="D709">
        <v>3.015E-2</v>
      </c>
      <c r="E709">
        <v>3.1850000000000003E-2</v>
      </c>
      <c r="F709">
        <v>38392659.899999999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0.83783783783784083</v>
      </c>
      <c r="Q709">
        <f t="shared" si="995"/>
        <v>32166823.159459572</v>
      </c>
      <c r="R709">
        <f t="shared" si="996"/>
        <v>876129934.17865384</v>
      </c>
      <c r="S709">
        <f t="shared" si="997"/>
        <v>8761.2993417865382</v>
      </c>
      <c r="T709">
        <f t="shared" si="998"/>
        <v>8.7612993417865379</v>
      </c>
    </row>
    <row r="710" spans="1:20" x14ac:dyDescent="0.25">
      <c r="A710" s="5">
        <v>43883</v>
      </c>
      <c r="B710">
        <v>3.0980000000000001E-2</v>
      </c>
      <c r="C710">
        <v>3.1269999999999999E-2</v>
      </c>
      <c r="D710">
        <v>2.981E-2</v>
      </c>
      <c r="E710">
        <v>3.0210000000000001E-2</v>
      </c>
      <c r="F710">
        <v>36801706.5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-0.45205479452054631</v>
      </c>
      <c r="Q710">
        <f t="shared" ref="Q710:Q766" si="1000">F710*P710</f>
        <v>-16636387.869862953</v>
      </c>
      <c r="R710">
        <f t="shared" ref="R710:R766" si="1001">R711+Q710</f>
        <v>843963111.01919425</v>
      </c>
      <c r="S710">
        <f t="shared" ref="S710:S766" si="1002">R710/100000</f>
        <v>8439.6311101919418</v>
      </c>
      <c r="T710">
        <f t="shared" ref="T710:T766" si="1003">S710/1000</f>
        <v>8.4396311101919412</v>
      </c>
    </row>
    <row r="711" spans="1:20" x14ac:dyDescent="0.25">
      <c r="A711" s="5">
        <v>43882</v>
      </c>
      <c r="B711">
        <v>3.0669999999999999E-2</v>
      </c>
      <c r="C711">
        <v>3.1980000000000001E-2</v>
      </c>
      <c r="D711">
        <v>3.039E-2</v>
      </c>
      <c r="E711">
        <v>3.1050000000000001E-2</v>
      </c>
      <c r="F711">
        <v>43106896.600000001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-0.1698113207547165</v>
      </c>
      <c r="Q711">
        <f t="shared" si="1000"/>
        <v>-7320039.0452829981</v>
      </c>
      <c r="R711">
        <f t="shared" si="1001"/>
        <v>860599498.88905716</v>
      </c>
      <c r="S711">
        <f t="shared" si="1002"/>
        <v>8605.9949888905721</v>
      </c>
      <c r="T711">
        <f t="shared" si="1003"/>
        <v>8.605994988890572</v>
      </c>
    </row>
    <row r="712" spans="1:20" x14ac:dyDescent="0.25">
      <c r="A712" s="5">
        <v>43881</v>
      </c>
      <c r="B712">
        <v>3.0960000000000001E-2</v>
      </c>
      <c r="C712">
        <v>3.15E-2</v>
      </c>
      <c r="D712">
        <v>2.92E-2</v>
      </c>
      <c r="E712">
        <v>3.065E-2</v>
      </c>
      <c r="F712">
        <v>55480215.200000003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0.26086956521739124</v>
      </c>
      <c r="Q712">
        <f t="shared" si="1000"/>
        <v>14473099.617391301</v>
      </c>
      <c r="R712">
        <f t="shared" si="1001"/>
        <v>867919537.93434012</v>
      </c>
      <c r="S712">
        <f t="shared" si="1002"/>
        <v>8679.1953793434004</v>
      </c>
      <c r="T712">
        <f t="shared" si="1003"/>
        <v>8.6791953793434011</v>
      </c>
    </row>
    <row r="713" spans="1:20" x14ac:dyDescent="0.25">
      <c r="A713" s="5">
        <v>43880</v>
      </c>
      <c r="B713">
        <v>3.4700000000000002E-2</v>
      </c>
      <c r="C713">
        <v>3.5299999999999998E-2</v>
      </c>
      <c r="D713">
        <v>3.056E-2</v>
      </c>
      <c r="E713">
        <v>3.0960000000000001E-2</v>
      </c>
      <c r="F713">
        <v>72307143.5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-0.83122362869198263</v>
      </c>
      <c r="Q713">
        <f t="shared" si="1000"/>
        <v>-60103406.200421907</v>
      </c>
      <c r="R713">
        <f t="shared" si="1001"/>
        <v>853446438.31694877</v>
      </c>
      <c r="S713">
        <f t="shared" si="1002"/>
        <v>8534.4643831694884</v>
      </c>
      <c r="T713">
        <f t="shared" si="1003"/>
        <v>8.5344643831694889</v>
      </c>
    </row>
    <row r="714" spans="1:20" x14ac:dyDescent="0.25">
      <c r="A714" s="5">
        <v>43879</v>
      </c>
      <c r="B714">
        <v>3.3259999999999998E-2</v>
      </c>
      <c r="C714">
        <v>3.4869999999999998E-2</v>
      </c>
      <c r="D714">
        <v>3.1600000000000003E-2</v>
      </c>
      <c r="E714">
        <v>3.4700000000000002E-2</v>
      </c>
      <c r="F714">
        <v>91859534.5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0.8960244648318062</v>
      </c>
      <c r="Q714">
        <f t="shared" si="1000"/>
        <v>82308390.240061343</v>
      </c>
      <c r="R714">
        <f t="shared" si="1001"/>
        <v>913549844.5173707</v>
      </c>
      <c r="S714">
        <f t="shared" si="1002"/>
        <v>9135.4984451737073</v>
      </c>
      <c r="T714">
        <f t="shared" si="1003"/>
        <v>9.1354984451737078</v>
      </c>
    </row>
    <row r="715" spans="1:20" x14ac:dyDescent="0.25">
      <c r="A715" s="5">
        <v>43878</v>
      </c>
      <c r="B715">
        <v>3.5069999999999997E-2</v>
      </c>
      <c r="C715">
        <v>3.526E-2</v>
      </c>
      <c r="D715">
        <v>0.03</v>
      </c>
      <c r="E715">
        <v>3.3259999999999998E-2</v>
      </c>
      <c r="F715">
        <v>114831479.5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0.23954372623574088</v>
      </c>
      <c r="Q715">
        <f t="shared" si="1000"/>
        <v>27507160.48859309</v>
      </c>
      <c r="R715">
        <f t="shared" si="1001"/>
        <v>831241454.2773093</v>
      </c>
      <c r="S715">
        <f t="shared" si="1002"/>
        <v>8312.4145427730928</v>
      </c>
      <c r="T715">
        <f t="shared" si="1003"/>
        <v>8.3124145427730927</v>
      </c>
    </row>
    <row r="716" spans="1:20" x14ac:dyDescent="0.25">
      <c r="A716" s="5">
        <v>43877</v>
      </c>
      <c r="B716">
        <v>3.6990000000000002E-2</v>
      </c>
      <c r="C716">
        <v>3.8440000000000002E-2</v>
      </c>
      <c r="D716">
        <v>3.1910000000000001E-2</v>
      </c>
      <c r="E716">
        <v>3.526E-2</v>
      </c>
      <c r="F716">
        <v>73572672.900000006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2.6033690658498702E-2</v>
      </c>
      <c r="Q716">
        <f t="shared" si="1000"/>
        <v>1915368.2071975106</v>
      </c>
      <c r="R716">
        <f t="shared" si="1001"/>
        <v>803734293.7887162</v>
      </c>
      <c r="S716">
        <f t="shared" si="1002"/>
        <v>8037.3429378871624</v>
      </c>
      <c r="T716">
        <f t="shared" si="1003"/>
        <v>8.0373429378871624</v>
      </c>
    </row>
    <row r="717" spans="1:20" x14ac:dyDescent="0.25">
      <c r="A717" s="5">
        <v>43876</v>
      </c>
      <c r="B717">
        <v>4.027E-2</v>
      </c>
      <c r="C717">
        <v>4.1450000000000001E-2</v>
      </c>
      <c r="D717">
        <v>3.5900000000000001E-2</v>
      </c>
      <c r="E717">
        <v>3.6839999999999998E-2</v>
      </c>
      <c r="F717">
        <v>91214079.099999994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-0.6612612612612625</v>
      </c>
      <c r="Q717">
        <f t="shared" si="1000"/>
        <v>-60316336.990450561</v>
      </c>
      <c r="R717">
        <f t="shared" si="1001"/>
        <v>801818925.58151865</v>
      </c>
      <c r="S717">
        <f t="shared" si="1002"/>
        <v>8018.1892558151867</v>
      </c>
      <c r="T717">
        <f t="shared" si="1003"/>
        <v>8.0181892558151873</v>
      </c>
    </row>
    <row r="718" spans="1:20" x14ac:dyDescent="0.25">
      <c r="A718" s="5">
        <v>43875</v>
      </c>
      <c r="B718">
        <v>3.6389999999999999E-2</v>
      </c>
      <c r="C718">
        <v>4.1739999999999999E-2</v>
      </c>
      <c r="D718">
        <v>3.5560000000000001E-2</v>
      </c>
      <c r="E718">
        <v>4.027E-2</v>
      </c>
      <c r="F718">
        <v>175033210.09999999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0.52427184466019428</v>
      </c>
      <c r="Q718">
        <f t="shared" si="1000"/>
        <v>91764983.93592234</v>
      </c>
      <c r="R718">
        <f t="shared" si="1001"/>
        <v>862135262.57196927</v>
      </c>
      <c r="S718">
        <f t="shared" si="1002"/>
        <v>8621.3526257196936</v>
      </c>
      <c r="T718">
        <f t="shared" si="1003"/>
        <v>8.6213526257196929</v>
      </c>
    </row>
    <row r="719" spans="1:20" x14ac:dyDescent="0.25">
      <c r="A719" s="5">
        <v>43874</v>
      </c>
      <c r="B719">
        <v>3.7100000000000001E-2</v>
      </c>
      <c r="C719">
        <v>3.8210000000000001E-2</v>
      </c>
      <c r="D719">
        <v>3.3799999999999997E-2</v>
      </c>
      <c r="E719">
        <v>3.6389999999999999E-2</v>
      </c>
      <c r="F719">
        <v>73985272.5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0.1746031746031744</v>
      </c>
      <c r="Q719">
        <f t="shared" si="1000"/>
        <v>12918063.452380937</v>
      </c>
      <c r="R719">
        <f t="shared" si="1001"/>
        <v>770370278.63604689</v>
      </c>
      <c r="S719">
        <f t="shared" si="1002"/>
        <v>7703.702786360469</v>
      </c>
      <c r="T719">
        <f t="shared" si="1003"/>
        <v>7.703702786360469</v>
      </c>
    </row>
    <row r="720" spans="1:20" x14ac:dyDescent="0.25">
      <c r="A720" s="5">
        <v>43873</v>
      </c>
      <c r="B720">
        <v>3.4810000000000001E-2</v>
      </c>
      <c r="C720">
        <v>3.7999999999999999E-2</v>
      </c>
      <c r="D720">
        <v>3.4410000000000003E-2</v>
      </c>
      <c r="E720">
        <v>3.7100000000000001E-2</v>
      </c>
      <c r="F720">
        <v>99478587.200000003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0.49860724233983339</v>
      </c>
      <c r="Q720">
        <f t="shared" si="1000"/>
        <v>49600744.035654649</v>
      </c>
      <c r="R720">
        <f t="shared" si="1001"/>
        <v>757452215.18366599</v>
      </c>
      <c r="S720">
        <f t="shared" si="1002"/>
        <v>7574.5221518366598</v>
      </c>
      <c r="T720">
        <f t="shared" si="1003"/>
        <v>7.5745221518366597</v>
      </c>
    </row>
    <row r="721" spans="1:20" x14ac:dyDescent="0.25">
      <c r="A721" s="5">
        <v>43872</v>
      </c>
      <c r="B721">
        <v>3.3959999999999997E-2</v>
      </c>
      <c r="C721">
        <v>3.5409999999999997E-2</v>
      </c>
      <c r="D721">
        <v>3.2289999999999999E-2</v>
      </c>
      <c r="E721">
        <v>3.4810000000000001E-2</v>
      </c>
      <c r="F721">
        <v>78140115.200000003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0.61538461538461742</v>
      </c>
      <c r="Q721">
        <f t="shared" si="1000"/>
        <v>48086224.738461696</v>
      </c>
      <c r="R721">
        <f t="shared" si="1001"/>
        <v>707851471.14801133</v>
      </c>
      <c r="S721">
        <f t="shared" si="1002"/>
        <v>7078.514711480113</v>
      </c>
      <c r="T721">
        <f t="shared" si="1003"/>
        <v>7.0785147114801132</v>
      </c>
    </row>
    <row r="722" spans="1:20" x14ac:dyDescent="0.25">
      <c r="A722" s="5">
        <v>43871</v>
      </c>
      <c r="B722">
        <v>3.422E-2</v>
      </c>
      <c r="C722">
        <v>3.4810000000000001E-2</v>
      </c>
      <c r="D722">
        <v>3.1780000000000003E-2</v>
      </c>
      <c r="E722">
        <v>3.3919999999999999E-2</v>
      </c>
      <c r="F722">
        <v>78895198.099999994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0.41254125412541087</v>
      </c>
      <c r="Q722">
        <f t="shared" si="1000"/>
        <v>32547523.968646731</v>
      </c>
      <c r="R722">
        <f t="shared" si="1001"/>
        <v>659765246.40954959</v>
      </c>
      <c r="S722">
        <f t="shared" si="1002"/>
        <v>6597.6524640954958</v>
      </c>
      <c r="T722">
        <f t="shared" si="1003"/>
        <v>6.5976524640954954</v>
      </c>
    </row>
    <row r="723" spans="1:20" x14ac:dyDescent="0.25">
      <c r="A723" s="5">
        <v>43870</v>
      </c>
      <c r="B723">
        <v>3.3730000000000003E-2</v>
      </c>
      <c r="C723">
        <v>3.5929999999999997E-2</v>
      </c>
      <c r="D723">
        <v>3.2099999999999997E-2</v>
      </c>
      <c r="E723">
        <v>3.4110000000000001E-2</v>
      </c>
      <c r="F723">
        <v>83406698.799999997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4.9608355091386322E-2</v>
      </c>
      <c r="Q723">
        <f t="shared" si="1000"/>
        <v>4137669.1310707051</v>
      </c>
      <c r="R723">
        <f t="shared" si="1001"/>
        <v>627217722.44090283</v>
      </c>
      <c r="S723">
        <f t="shared" si="1002"/>
        <v>6272.177224409028</v>
      </c>
      <c r="T723">
        <f t="shared" si="1003"/>
        <v>6.2721772244090284</v>
      </c>
    </row>
    <row r="724" spans="1:20" x14ac:dyDescent="0.25">
      <c r="A724" s="5">
        <v>43869</v>
      </c>
      <c r="B724">
        <v>3.6380000000000003E-2</v>
      </c>
      <c r="C724">
        <v>3.6459999999999999E-2</v>
      </c>
      <c r="D724">
        <v>3.2500000000000001E-2</v>
      </c>
      <c r="E724">
        <v>3.381E-2</v>
      </c>
      <c r="F724">
        <v>89498155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-0.33838383838383879</v>
      </c>
      <c r="Q724">
        <f t="shared" si="1000"/>
        <v>-30284729.217171755</v>
      </c>
      <c r="R724">
        <f t="shared" si="1001"/>
        <v>623080053.3098321</v>
      </c>
      <c r="S724">
        <f t="shared" si="1002"/>
        <v>6230.8005330983206</v>
      </c>
      <c r="T724">
        <f t="shared" si="1003"/>
        <v>6.2308005330983205</v>
      </c>
    </row>
    <row r="725" spans="1:20" x14ac:dyDescent="0.25">
      <c r="A725" s="5">
        <v>43868</v>
      </c>
      <c r="B725">
        <v>3.4450000000000001E-2</v>
      </c>
      <c r="C725">
        <v>3.7589999999999998E-2</v>
      </c>
      <c r="D725">
        <v>3.4430000000000002E-2</v>
      </c>
      <c r="E725">
        <v>3.6339999999999997E-2</v>
      </c>
      <c r="F725">
        <v>93739375.099999994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0.20886075949366922</v>
      </c>
      <c r="Q725">
        <f t="shared" si="1000"/>
        <v>19578477.077847943</v>
      </c>
      <c r="R725">
        <f t="shared" si="1001"/>
        <v>653364782.52700388</v>
      </c>
      <c r="S725">
        <f t="shared" si="1002"/>
        <v>6533.647825270039</v>
      </c>
      <c r="T725">
        <f t="shared" si="1003"/>
        <v>6.5336478252700392</v>
      </c>
    </row>
    <row r="726" spans="1:20" x14ac:dyDescent="0.25">
      <c r="A726" s="5">
        <v>43867</v>
      </c>
      <c r="B726">
        <v>3.1800000000000002E-2</v>
      </c>
      <c r="C726">
        <v>3.594E-2</v>
      </c>
      <c r="D726">
        <v>3.141E-2</v>
      </c>
      <c r="E726">
        <v>3.4529999999999998E-2</v>
      </c>
      <c r="F726">
        <v>89556611.099999994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0.37748344370860848</v>
      </c>
      <c r="Q726">
        <f t="shared" si="1000"/>
        <v>33806137.96490059</v>
      </c>
      <c r="R726">
        <f t="shared" si="1001"/>
        <v>633786305.44915593</v>
      </c>
      <c r="S726">
        <f t="shared" si="1002"/>
        <v>6337.8630544915595</v>
      </c>
      <c r="T726">
        <f t="shared" si="1003"/>
        <v>6.3378630544915593</v>
      </c>
    </row>
    <row r="727" spans="1:20" x14ac:dyDescent="0.25">
      <c r="A727" s="5">
        <v>43866</v>
      </c>
      <c r="B727">
        <v>3.1539999999999999E-2</v>
      </c>
      <c r="C727">
        <v>3.227E-2</v>
      </c>
      <c r="D727">
        <v>0.03</v>
      </c>
      <c r="E727">
        <v>3.1780000000000003E-2</v>
      </c>
      <c r="F727">
        <v>69744873.599999994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0.56828193832599372</v>
      </c>
      <c r="Q727">
        <f t="shared" si="1000"/>
        <v>39634751.957709424</v>
      </c>
      <c r="R727">
        <f t="shared" si="1001"/>
        <v>599980167.48425531</v>
      </c>
      <c r="S727">
        <f t="shared" si="1002"/>
        <v>5999.8016748425534</v>
      </c>
      <c r="T727">
        <f t="shared" si="1003"/>
        <v>5.9998016748425531</v>
      </c>
    </row>
    <row r="728" spans="1:20" x14ac:dyDescent="0.25">
      <c r="A728" s="5">
        <v>43865</v>
      </c>
      <c r="B728">
        <v>3.0720000000000001E-2</v>
      </c>
      <c r="C728">
        <v>3.2599999999999997E-2</v>
      </c>
      <c r="D728">
        <v>3.0089999999999999E-2</v>
      </c>
      <c r="E728">
        <v>3.1539999999999999E-2</v>
      </c>
      <c r="F728">
        <v>79230425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0.15537848605577759</v>
      </c>
      <c r="Q728">
        <f t="shared" si="1000"/>
        <v>12310703.486055832</v>
      </c>
      <c r="R728">
        <f t="shared" si="1001"/>
        <v>560345415.52654588</v>
      </c>
      <c r="S728">
        <f t="shared" si="1002"/>
        <v>5603.4541552654591</v>
      </c>
      <c r="T728">
        <f t="shared" si="1003"/>
        <v>5.6034541552654593</v>
      </c>
    </row>
    <row r="729" spans="1:20" x14ac:dyDescent="0.25">
      <c r="A729" s="5">
        <v>43864</v>
      </c>
      <c r="B729">
        <v>2.8459999999999999E-2</v>
      </c>
      <c r="C729">
        <v>3.1519999999999999E-2</v>
      </c>
      <c r="D729">
        <v>2.8250000000000001E-2</v>
      </c>
      <c r="E729">
        <v>3.0620000000000001E-2</v>
      </c>
      <c r="F729">
        <v>98453934.599999994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0.44954128440367069</v>
      </c>
      <c r="Q729">
        <f t="shared" si="1000"/>
        <v>44259108.214678995</v>
      </c>
      <c r="R729">
        <f t="shared" si="1001"/>
        <v>548034712.04049003</v>
      </c>
      <c r="S729">
        <f t="shared" si="1002"/>
        <v>5480.3471204049001</v>
      </c>
      <c r="T729">
        <f t="shared" si="1003"/>
        <v>5.4803471204049004</v>
      </c>
    </row>
    <row r="730" spans="1:20" x14ac:dyDescent="0.25">
      <c r="A730" s="5">
        <v>43863</v>
      </c>
      <c r="B730">
        <v>2.7890000000000002E-2</v>
      </c>
      <c r="C730">
        <v>2.9139999999999999E-2</v>
      </c>
      <c r="D730">
        <v>2.7099999999999999E-2</v>
      </c>
      <c r="E730">
        <v>2.8459999999999999E-2</v>
      </c>
      <c r="F730">
        <v>37551158.600000001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0.33333333333333331</v>
      </c>
      <c r="Q730">
        <f t="shared" si="1000"/>
        <v>12517052.866666667</v>
      </c>
      <c r="R730">
        <f t="shared" si="1001"/>
        <v>503775603.82581103</v>
      </c>
      <c r="S730">
        <f t="shared" si="1002"/>
        <v>5037.7560382581105</v>
      </c>
      <c r="T730">
        <f t="shared" si="1003"/>
        <v>5.0377560382581104</v>
      </c>
    </row>
    <row r="731" spans="1:20" x14ac:dyDescent="0.25">
      <c r="A731" s="5">
        <v>43862</v>
      </c>
      <c r="B731">
        <v>2.76E-2</v>
      </c>
      <c r="C731">
        <v>2.7959999999999999E-2</v>
      </c>
      <c r="D731">
        <v>2.7289999999999998E-2</v>
      </c>
      <c r="E731">
        <v>2.784E-2</v>
      </c>
      <c r="F731">
        <v>15133930.699999999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0.64179104477612392</v>
      </c>
      <c r="Q731">
        <f t="shared" si="1000"/>
        <v>9712821.1955224555</v>
      </c>
      <c r="R731">
        <f t="shared" si="1001"/>
        <v>491258550.95914435</v>
      </c>
      <c r="S731">
        <f t="shared" si="1002"/>
        <v>4912.585509591444</v>
      </c>
      <c r="T731">
        <f t="shared" si="1003"/>
        <v>4.9125855095914437</v>
      </c>
    </row>
    <row r="732" spans="1:20" x14ac:dyDescent="0.25">
      <c r="A732" s="5">
        <v>43861</v>
      </c>
      <c r="B732">
        <v>2.7789999999999999E-2</v>
      </c>
      <c r="C732">
        <v>2.8129999999999999E-2</v>
      </c>
      <c r="D732">
        <v>2.6939999999999999E-2</v>
      </c>
      <c r="E732">
        <v>2.7459999999999998E-2</v>
      </c>
      <c r="F732">
        <v>15613772.9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-0.12605042016806792</v>
      </c>
      <c r="Q732">
        <f t="shared" si="1000"/>
        <v>-1968122.6344537924</v>
      </c>
      <c r="R732">
        <f t="shared" si="1001"/>
        <v>481545729.76362193</v>
      </c>
      <c r="S732">
        <f t="shared" si="1002"/>
        <v>4815.4572976362197</v>
      </c>
      <c r="T732">
        <f t="shared" si="1003"/>
        <v>4.81545729763622</v>
      </c>
    </row>
    <row r="733" spans="1:20" x14ac:dyDescent="0.25">
      <c r="A733" s="5">
        <v>43860</v>
      </c>
      <c r="B733">
        <v>2.6919999999999999E-2</v>
      </c>
      <c r="C733">
        <v>2.7980000000000001E-2</v>
      </c>
      <c r="D733">
        <v>2.6880000000000001E-2</v>
      </c>
      <c r="E733">
        <v>2.7699999999999999E-2</v>
      </c>
      <c r="F733">
        <v>28464472.399999999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0.49090909090908658</v>
      </c>
      <c r="Q733">
        <f t="shared" si="1000"/>
        <v>13973468.269090785</v>
      </c>
      <c r="R733">
        <f t="shared" si="1001"/>
        <v>483513852.3980757</v>
      </c>
      <c r="S733">
        <f t="shared" si="1002"/>
        <v>4835.1385239807569</v>
      </c>
      <c r="T733">
        <f t="shared" si="1003"/>
        <v>4.8351385239807572</v>
      </c>
    </row>
    <row r="734" spans="1:20" x14ac:dyDescent="0.25">
      <c r="A734" s="5">
        <v>43859</v>
      </c>
      <c r="B734">
        <v>2.726E-2</v>
      </c>
      <c r="C734">
        <v>2.7349999999999999E-2</v>
      </c>
      <c r="D734">
        <v>2.6610000000000002E-2</v>
      </c>
      <c r="E734">
        <v>2.6929999999999999E-2</v>
      </c>
      <c r="F734">
        <v>21811502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-0.13513513513513944</v>
      </c>
      <c r="Q734">
        <f t="shared" si="1000"/>
        <v>-2947500.2702703644</v>
      </c>
      <c r="R734">
        <f t="shared" si="1001"/>
        <v>469540384.12898493</v>
      </c>
      <c r="S734">
        <f t="shared" si="1002"/>
        <v>4695.403841289849</v>
      </c>
      <c r="T734">
        <f t="shared" si="1003"/>
        <v>4.6954038412898491</v>
      </c>
    </row>
    <row r="735" spans="1:20" x14ac:dyDescent="0.25">
      <c r="A735" s="5">
        <v>43858</v>
      </c>
      <c r="B735">
        <v>2.6749999999999999E-2</v>
      </c>
      <c r="C735">
        <v>2.7369999999999998E-2</v>
      </c>
      <c r="D735">
        <v>2.6339999999999999E-2</v>
      </c>
      <c r="E735">
        <v>2.7359999999999999E-2</v>
      </c>
      <c r="F735">
        <v>23281918.399999999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0.98058252427184545</v>
      </c>
      <c r="Q735">
        <f t="shared" si="1000"/>
        <v>22829842.314563125</v>
      </c>
      <c r="R735">
        <f t="shared" si="1001"/>
        <v>472487884.39925528</v>
      </c>
      <c r="S735">
        <f t="shared" si="1002"/>
        <v>4724.8788439925529</v>
      </c>
      <c r="T735">
        <f t="shared" si="1003"/>
        <v>4.7248788439925526</v>
      </c>
    </row>
    <row r="736" spans="1:20" x14ac:dyDescent="0.25">
      <c r="A736" s="5">
        <v>43857</v>
      </c>
      <c r="B736">
        <v>2.649E-2</v>
      </c>
      <c r="C736">
        <v>2.7109999999999999E-2</v>
      </c>
      <c r="D736">
        <v>2.6030000000000001E-2</v>
      </c>
      <c r="E736">
        <v>2.673E-2</v>
      </c>
      <c r="F736">
        <v>19158428.5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0.29629629629629772</v>
      </c>
      <c r="Q736">
        <f t="shared" si="1000"/>
        <v>5676571.4074074347</v>
      </c>
      <c r="R736">
        <f t="shared" si="1001"/>
        <v>449658042.08469212</v>
      </c>
      <c r="S736">
        <f t="shared" si="1002"/>
        <v>4496.5804208469208</v>
      </c>
      <c r="T736">
        <f t="shared" si="1003"/>
        <v>4.4965804208469207</v>
      </c>
    </row>
    <row r="737" spans="1:20" x14ac:dyDescent="0.25">
      <c r="A737" s="5">
        <v>43856</v>
      </c>
      <c r="B737">
        <v>2.5909999999999999E-2</v>
      </c>
      <c r="C737">
        <v>2.6689999999999998E-2</v>
      </c>
      <c r="D737">
        <v>2.5749999999999999E-2</v>
      </c>
      <c r="E737">
        <v>2.639E-2</v>
      </c>
      <c r="F737">
        <v>10090715</v>
      </c>
      <c r="G737">
        <v>0</v>
      </c>
      <c r="L737" t="s">
        <v>8</v>
      </c>
      <c r="M737" t="s">
        <v>8</v>
      </c>
      <c r="N737" t="s">
        <v>8</v>
      </c>
      <c r="P737">
        <f t="shared" si="999"/>
        <v>0.36170212765957821</v>
      </c>
      <c r="Q737">
        <f t="shared" si="1000"/>
        <v>3649833.0851064208</v>
      </c>
      <c r="R737">
        <f t="shared" si="1001"/>
        <v>443981470.67728466</v>
      </c>
      <c r="S737">
        <f t="shared" si="1002"/>
        <v>4439.8147067728469</v>
      </c>
      <c r="T737">
        <f t="shared" si="1003"/>
        <v>4.4398147067728466</v>
      </c>
    </row>
    <row r="738" spans="1:20" x14ac:dyDescent="0.25">
      <c r="A738" s="5">
        <v>43855</v>
      </c>
      <c r="B738">
        <v>2.5780000000000001E-2</v>
      </c>
      <c r="C738">
        <v>2.6190000000000001E-2</v>
      </c>
      <c r="D738">
        <v>2.5170000000000001E-2</v>
      </c>
      <c r="E738">
        <v>2.5919999999999999E-2</v>
      </c>
      <c r="F738">
        <v>12057722.699999999</v>
      </c>
      <c r="G738">
        <v>0</v>
      </c>
      <c r="L738" t="s">
        <v>7</v>
      </c>
      <c r="M738" t="s">
        <v>8</v>
      </c>
      <c r="N738" t="s">
        <v>8</v>
      </c>
      <c r="P738">
        <f t="shared" si="999"/>
        <v>0.47058823529411203</v>
      </c>
      <c r="Q738">
        <f t="shared" si="1000"/>
        <v>5674222.4470587559</v>
      </c>
      <c r="R738">
        <f t="shared" si="1001"/>
        <v>440331637.59217823</v>
      </c>
      <c r="S738">
        <f t="shared" si="1002"/>
        <v>4403.3163759217823</v>
      </c>
      <c r="T738">
        <f t="shared" si="1003"/>
        <v>4.4033163759217819</v>
      </c>
    </row>
    <row r="739" spans="1:20" x14ac:dyDescent="0.25">
      <c r="A739" s="5">
        <v>43854</v>
      </c>
      <c r="B739">
        <v>2.5579999999999999E-2</v>
      </c>
      <c r="C739">
        <v>2.6239999999999999E-2</v>
      </c>
      <c r="D739">
        <v>2.4840000000000001E-2</v>
      </c>
      <c r="E739">
        <v>2.5839999999999998E-2</v>
      </c>
      <c r="F739">
        <v>9772417.5999999996</v>
      </c>
      <c r="G739">
        <v>0</v>
      </c>
      <c r="L739" t="s">
        <v>7</v>
      </c>
      <c r="M739" t="s">
        <v>8</v>
      </c>
      <c r="N739" t="s">
        <v>8</v>
      </c>
      <c r="P739">
        <f t="shared" si="999"/>
        <v>0.42857142857142644</v>
      </c>
      <c r="Q739">
        <f t="shared" si="1000"/>
        <v>4188178.9714285503</v>
      </c>
      <c r="R739">
        <f t="shared" si="1001"/>
        <v>434657415.14511949</v>
      </c>
      <c r="S739">
        <f t="shared" si="1002"/>
        <v>4346.5741514511947</v>
      </c>
      <c r="T739">
        <f t="shared" si="1003"/>
        <v>4.3465741514511951</v>
      </c>
    </row>
    <row r="740" spans="1:20" x14ac:dyDescent="0.25">
      <c r="A740" s="5">
        <v>43853</v>
      </c>
      <c r="B740">
        <v>2.6759999999999999E-2</v>
      </c>
      <c r="C740">
        <v>2.6790000000000001E-2</v>
      </c>
      <c r="D740">
        <v>2.504E-2</v>
      </c>
      <c r="E740">
        <v>2.5579999999999999E-2</v>
      </c>
      <c r="F740">
        <v>14963292</v>
      </c>
      <c r="G740">
        <v>0</v>
      </c>
      <c r="L740" t="s">
        <v>7</v>
      </c>
      <c r="M740" t="s">
        <v>8</v>
      </c>
      <c r="N740" t="s">
        <v>8</v>
      </c>
      <c r="P740">
        <f t="shared" si="999"/>
        <v>-0.38285714285714478</v>
      </c>
      <c r="Q740">
        <f t="shared" si="1000"/>
        <v>-5728803.2228571717</v>
      </c>
      <c r="R740">
        <f t="shared" si="1001"/>
        <v>430469236.17369092</v>
      </c>
      <c r="S740">
        <f t="shared" si="1002"/>
        <v>4304.6923617369093</v>
      </c>
      <c r="T740">
        <f t="shared" si="1003"/>
        <v>4.3046923617369091</v>
      </c>
    </row>
    <row r="741" spans="1:20" x14ac:dyDescent="0.25">
      <c r="A741" s="5">
        <v>43852</v>
      </c>
      <c r="B741">
        <v>2.6599999999999999E-2</v>
      </c>
      <c r="C741">
        <v>2.7E-2</v>
      </c>
      <c r="D741">
        <v>2.632E-2</v>
      </c>
      <c r="E741">
        <v>2.6710000000000001E-2</v>
      </c>
      <c r="F741">
        <v>11310133.9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0.14705882352941596</v>
      </c>
      <c r="Q741">
        <f t="shared" si="1000"/>
        <v>1663254.9852941651</v>
      </c>
      <c r="R741">
        <f t="shared" si="1001"/>
        <v>436198039.39654809</v>
      </c>
      <c r="S741">
        <f t="shared" si="1002"/>
        <v>4361.9803939654812</v>
      </c>
      <c r="T741">
        <f t="shared" si="1003"/>
        <v>4.3619803939654815</v>
      </c>
    </row>
    <row r="742" spans="1:20" x14ac:dyDescent="0.25">
      <c r="A742" s="5">
        <v>43851</v>
      </c>
      <c r="B742">
        <v>2.6120000000000001E-2</v>
      </c>
      <c r="C742">
        <v>2.7300000000000001E-2</v>
      </c>
      <c r="D742">
        <v>2.1170000000000001E-2</v>
      </c>
      <c r="E742">
        <v>2.657E-2</v>
      </c>
      <c r="F742">
        <v>67776044.200000003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0.76182707993474663</v>
      </c>
      <c r="Q742">
        <f t="shared" si="1000"/>
        <v>51633625.84241432</v>
      </c>
      <c r="R742">
        <f t="shared" si="1001"/>
        <v>434534784.41125393</v>
      </c>
      <c r="S742">
        <f t="shared" si="1002"/>
        <v>4345.347844112539</v>
      </c>
      <c r="T742">
        <f t="shared" si="1003"/>
        <v>4.3453478441125393</v>
      </c>
    </row>
    <row r="743" spans="1:20" x14ac:dyDescent="0.25">
      <c r="A743" s="5">
        <v>43850</v>
      </c>
      <c r="B743">
        <v>2.632E-2</v>
      </c>
      <c r="C743">
        <v>2.6550000000000001E-2</v>
      </c>
      <c r="D743">
        <v>2.529E-2</v>
      </c>
      <c r="E743">
        <v>2.6120000000000001E-2</v>
      </c>
      <c r="F743">
        <v>19578712.399999999</v>
      </c>
      <c r="G743">
        <v>0</v>
      </c>
      <c r="L743" t="s">
        <v>7</v>
      </c>
      <c r="M743" t="s">
        <v>8</v>
      </c>
      <c r="N743" t="s">
        <v>8</v>
      </c>
      <c r="P743">
        <f t="shared" si="999"/>
        <v>0.31746031746031811</v>
      </c>
      <c r="Q743">
        <f t="shared" si="1000"/>
        <v>6215464.2539682658</v>
      </c>
      <c r="R743">
        <f t="shared" si="1001"/>
        <v>382901158.56883961</v>
      </c>
      <c r="S743">
        <f t="shared" si="1002"/>
        <v>3829.0115856883963</v>
      </c>
      <c r="T743">
        <f t="shared" si="1003"/>
        <v>3.8290115856883964</v>
      </c>
    </row>
    <row r="744" spans="1:20" x14ac:dyDescent="0.25">
      <c r="A744" s="5">
        <v>43849</v>
      </c>
      <c r="B744">
        <v>2.7359999999999999E-2</v>
      </c>
      <c r="C744">
        <v>2.7879999999999999E-2</v>
      </c>
      <c r="D744">
        <v>2.5499999999999998E-2</v>
      </c>
      <c r="E744">
        <v>2.6239999999999999E-2</v>
      </c>
      <c r="F744">
        <v>33824587.600000001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-0.37815126050420084</v>
      </c>
      <c r="Q744">
        <f t="shared" si="1000"/>
        <v>-12790810.436974762</v>
      </c>
      <c r="R744">
        <f t="shared" si="1001"/>
        <v>376685694.31487137</v>
      </c>
      <c r="S744">
        <f t="shared" si="1002"/>
        <v>3766.8569431487135</v>
      </c>
      <c r="T744">
        <f t="shared" si="1003"/>
        <v>3.7668569431487136</v>
      </c>
    </row>
    <row r="745" spans="1:20" x14ac:dyDescent="0.25">
      <c r="A745" s="5">
        <v>43848</v>
      </c>
      <c r="B745">
        <v>2.8029999999999999E-2</v>
      </c>
      <c r="C745">
        <v>2.835E-2</v>
      </c>
      <c r="D745">
        <v>2.708E-2</v>
      </c>
      <c r="E745">
        <v>2.7359999999999999E-2</v>
      </c>
      <c r="F745">
        <v>34539853.399999999</v>
      </c>
      <c r="G745">
        <v>0</v>
      </c>
      <c r="L745" t="s">
        <v>8</v>
      </c>
      <c r="M745" t="s">
        <v>8</v>
      </c>
      <c r="N745" t="s">
        <v>8</v>
      </c>
      <c r="P745">
        <f t="shared" si="999"/>
        <v>-0.55905511811023789</v>
      </c>
      <c r="Q745">
        <f t="shared" si="1000"/>
        <v>-19309681.822047301</v>
      </c>
      <c r="R745">
        <f t="shared" si="1001"/>
        <v>389476504.75184613</v>
      </c>
      <c r="S745">
        <f t="shared" si="1002"/>
        <v>3894.7650475184614</v>
      </c>
      <c r="T745">
        <f t="shared" si="1003"/>
        <v>3.8947650475184612</v>
      </c>
    </row>
    <row r="746" spans="1:20" x14ac:dyDescent="0.25">
      <c r="A746" s="5">
        <v>43847</v>
      </c>
      <c r="B746">
        <v>2.6440000000000002E-2</v>
      </c>
      <c r="C746">
        <v>2.8750000000000001E-2</v>
      </c>
      <c r="D746">
        <v>2.614E-2</v>
      </c>
      <c r="E746">
        <v>2.802E-2</v>
      </c>
      <c r="F746">
        <v>91170434.700000003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0.44061302681992248</v>
      </c>
      <c r="Q746">
        <f t="shared" si="1000"/>
        <v>40170881.189655095</v>
      </c>
      <c r="R746">
        <f t="shared" si="1001"/>
        <v>408786186.57389343</v>
      </c>
      <c r="S746">
        <f t="shared" si="1002"/>
        <v>4087.8618657389343</v>
      </c>
      <c r="T746">
        <f t="shared" si="1003"/>
        <v>4.0878618657389341</v>
      </c>
    </row>
    <row r="747" spans="1:20" x14ac:dyDescent="0.25">
      <c r="A747" s="5">
        <v>43846</v>
      </c>
      <c r="B747">
        <v>2.6839999999999999E-2</v>
      </c>
      <c r="C747">
        <v>2.7E-2</v>
      </c>
      <c r="D747">
        <v>2.4629999999999999E-2</v>
      </c>
      <c r="E747">
        <v>2.631E-2</v>
      </c>
      <c r="F747">
        <v>85560635.900000006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0.41772151898734222</v>
      </c>
      <c r="Q747">
        <f t="shared" si="1000"/>
        <v>35740518.79367093</v>
      </c>
      <c r="R747">
        <f t="shared" si="1001"/>
        <v>368615305.3842383</v>
      </c>
      <c r="S747">
        <f t="shared" si="1002"/>
        <v>3686.1530538423831</v>
      </c>
      <c r="T747">
        <f t="shared" si="1003"/>
        <v>3.686153053842383</v>
      </c>
    </row>
    <row r="748" spans="1:20" x14ac:dyDescent="0.25">
      <c r="A748" s="5">
        <v>43845</v>
      </c>
      <c r="B748">
        <v>2.478E-2</v>
      </c>
      <c r="C748">
        <v>2.725E-2</v>
      </c>
      <c r="D748">
        <v>2.4590000000000001E-2</v>
      </c>
      <c r="E748">
        <v>2.6849999999999999E-2</v>
      </c>
      <c r="F748">
        <v>84845709.200000003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0.69924812030075101</v>
      </c>
      <c r="Q748">
        <f t="shared" si="1000"/>
        <v>59328202.673684135</v>
      </c>
      <c r="R748">
        <f t="shared" si="1001"/>
        <v>332874786.59056735</v>
      </c>
      <c r="S748">
        <f t="shared" si="1002"/>
        <v>3328.7478659056733</v>
      </c>
      <c r="T748">
        <f t="shared" si="1003"/>
        <v>3.3287478659056733</v>
      </c>
    </row>
    <row r="749" spans="1:20" x14ac:dyDescent="0.25">
      <c r="A749" s="5">
        <v>43844</v>
      </c>
      <c r="B749">
        <v>2.3539999999999998E-2</v>
      </c>
      <c r="C749">
        <v>2.513E-2</v>
      </c>
      <c r="D749">
        <v>2.3220000000000001E-2</v>
      </c>
      <c r="E749">
        <v>2.478E-2</v>
      </c>
      <c r="F749">
        <v>51603768.799999997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0.63350785340314153</v>
      </c>
      <c r="Q749">
        <f t="shared" si="1000"/>
        <v>32691392.800000008</v>
      </c>
      <c r="R749">
        <f t="shared" si="1001"/>
        <v>273546583.91688323</v>
      </c>
      <c r="S749">
        <f t="shared" si="1002"/>
        <v>2735.4658391688322</v>
      </c>
      <c r="T749">
        <f t="shared" si="1003"/>
        <v>2.7354658391688322</v>
      </c>
    </row>
    <row r="750" spans="1:20" x14ac:dyDescent="0.25">
      <c r="A750" s="5">
        <v>43843</v>
      </c>
      <c r="B750">
        <v>2.3990000000000001E-2</v>
      </c>
      <c r="C750">
        <v>2.41E-2</v>
      </c>
      <c r="D750">
        <v>2.3300000000000001E-2</v>
      </c>
      <c r="E750">
        <v>2.3609999999999999E-2</v>
      </c>
      <c r="F750">
        <v>8202424.5999999996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-0.22500000000000422</v>
      </c>
      <c r="Q750">
        <f t="shared" si="1000"/>
        <v>-1845545.5350000346</v>
      </c>
      <c r="R750">
        <f t="shared" si="1001"/>
        <v>240855191.11688322</v>
      </c>
      <c r="S750">
        <f t="shared" si="1002"/>
        <v>2408.5519111688322</v>
      </c>
      <c r="T750">
        <f t="shared" si="1003"/>
        <v>2.408551911168832</v>
      </c>
    </row>
    <row r="751" spans="1:20" x14ac:dyDescent="0.25">
      <c r="A751" s="5">
        <v>43842</v>
      </c>
      <c r="B751">
        <v>2.3879999999999998E-2</v>
      </c>
      <c r="C751">
        <v>2.4289999999999999E-2</v>
      </c>
      <c r="D751">
        <v>2.3720000000000001E-2</v>
      </c>
      <c r="E751">
        <v>2.3990000000000001E-2</v>
      </c>
      <c r="F751">
        <v>11032464.300000001</v>
      </c>
      <c r="G751">
        <v>0</v>
      </c>
      <c r="L751" t="s">
        <v>7</v>
      </c>
      <c r="M751" t="s">
        <v>8</v>
      </c>
      <c r="N751" t="s">
        <v>7</v>
      </c>
      <c r="P751">
        <f t="shared" si="999"/>
        <v>-5.2631578947366496E-2</v>
      </c>
      <c r="Q751">
        <f t="shared" si="1000"/>
        <v>-580656.01578945247</v>
      </c>
      <c r="R751">
        <f t="shared" si="1001"/>
        <v>242700736.65188324</v>
      </c>
      <c r="S751">
        <f t="shared" si="1002"/>
        <v>2427.0073665188324</v>
      </c>
      <c r="T751">
        <f t="shared" si="1003"/>
        <v>2.4270073665188323</v>
      </c>
    </row>
    <row r="752" spans="1:20" x14ac:dyDescent="0.25">
      <c r="A752" s="5">
        <v>43841</v>
      </c>
      <c r="B752">
        <v>2.4E-2</v>
      </c>
      <c r="C752">
        <v>2.4500000000000001E-2</v>
      </c>
      <c r="D752">
        <v>2.3709999999999998E-2</v>
      </c>
      <c r="E752">
        <v>2.385E-2</v>
      </c>
      <c r="F752">
        <v>19199058.399999999</v>
      </c>
      <c r="G752">
        <v>0</v>
      </c>
      <c r="L752" t="s">
        <v>7</v>
      </c>
      <c r="M752" t="s">
        <v>8</v>
      </c>
      <c r="N752" t="s">
        <v>7</v>
      </c>
      <c r="P752">
        <f t="shared" si="999"/>
        <v>-0.64556962025316256</v>
      </c>
      <c r="Q752">
        <f t="shared" si="1000"/>
        <v>-12394328.840506289</v>
      </c>
      <c r="R752">
        <f t="shared" si="1001"/>
        <v>243281392.66767269</v>
      </c>
      <c r="S752">
        <f t="shared" si="1002"/>
        <v>2432.8139266767271</v>
      </c>
      <c r="T752">
        <f t="shared" si="1003"/>
        <v>2.4328139266767272</v>
      </c>
    </row>
    <row r="753" spans="1:20" x14ac:dyDescent="0.25">
      <c r="A753" s="5">
        <v>43840</v>
      </c>
      <c r="B753">
        <v>2.3439999999999999E-2</v>
      </c>
      <c r="C753">
        <v>2.4E-2</v>
      </c>
      <c r="D753">
        <v>2.2849999999999999E-2</v>
      </c>
      <c r="E753">
        <v>2.4E-2</v>
      </c>
      <c r="F753">
        <v>12587841.4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1</v>
      </c>
      <c r="Q753">
        <f t="shared" si="1000"/>
        <v>12587841.4</v>
      </c>
      <c r="R753">
        <f t="shared" si="1001"/>
        <v>255675721.50817898</v>
      </c>
      <c r="S753">
        <f t="shared" si="1002"/>
        <v>2556.7572150817896</v>
      </c>
      <c r="T753">
        <f t="shared" si="1003"/>
        <v>2.5567572150817894</v>
      </c>
    </row>
    <row r="754" spans="1:20" x14ac:dyDescent="0.25">
      <c r="A754" s="5">
        <v>43839</v>
      </c>
      <c r="B754">
        <v>2.4160000000000001E-2</v>
      </c>
      <c r="C754">
        <v>2.4289999999999999E-2</v>
      </c>
      <c r="D754">
        <v>2.324E-2</v>
      </c>
      <c r="E754">
        <v>2.3349999999999999E-2</v>
      </c>
      <c r="F754">
        <v>9525002.5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-0.79047619047619222</v>
      </c>
      <c r="Q754">
        <f t="shared" si="1000"/>
        <v>-7529287.6904762071</v>
      </c>
      <c r="R754">
        <f t="shared" si="1001"/>
        <v>243087880.10817897</v>
      </c>
      <c r="S754">
        <f t="shared" si="1002"/>
        <v>2430.8788010817898</v>
      </c>
      <c r="T754">
        <f t="shared" si="1003"/>
        <v>2.4308788010817897</v>
      </c>
    </row>
    <row r="755" spans="1:20" x14ac:dyDescent="0.25">
      <c r="A755" s="5">
        <v>43838</v>
      </c>
      <c r="B755">
        <v>2.4670000000000001E-2</v>
      </c>
      <c r="C755">
        <v>2.5000000000000001E-2</v>
      </c>
      <c r="D755">
        <v>2.3120000000000002E-2</v>
      </c>
      <c r="E755">
        <v>2.4170000000000001E-2</v>
      </c>
      <c r="F755">
        <v>61957421.700000003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0.11702127659574361</v>
      </c>
      <c r="Q755">
        <f t="shared" si="1000"/>
        <v>7250336.5819148282</v>
      </c>
      <c r="R755">
        <f t="shared" si="1001"/>
        <v>250617167.79865518</v>
      </c>
      <c r="S755">
        <f t="shared" si="1002"/>
        <v>2506.1716779865519</v>
      </c>
      <c r="T755">
        <f t="shared" si="1003"/>
        <v>2.5061716779865519</v>
      </c>
    </row>
    <row r="756" spans="1:20" x14ac:dyDescent="0.25">
      <c r="A756" s="5">
        <v>43837</v>
      </c>
      <c r="B756">
        <v>2.41E-2</v>
      </c>
      <c r="C756">
        <v>2.4969999999999999E-2</v>
      </c>
      <c r="D756">
        <v>2.3699999999999999E-2</v>
      </c>
      <c r="E756">
        <v>2.4709999999999999E-2</v>
      </c>
      <c r="F756">
        <v>57776802.899999999</v>
      </c>
      <c r="G756">
        <v>0</v>
      </c>
      <c r="L756" t="s">
        <v>8</v>
      </c>
      <c r="M756" t="s">
        <v>8</v>
      </c>
      <c r="N756" t="s">
        <v>7</v>
      </c>
      <c r="P756">
        <f t="shared" si="999"/>
        <v>0.5905511811023626</v>
      </c>
      <c r="Q756">
        <f t="shared" si="1000"/>
        <v>34120159.192913406</v>
      </c>
      <c r="R756">
        <f t="shared" si="1001"/>
        <v>243366831.21674034</v>
      </c>
      <c r="S756">
        <f t="shared" si="1002"/>
        <v>2433.6683121674032</v>
      </c>
      <c r="T756">
        <f t="shared" si="1003"/>
        <v>2.433668312167403</v>
      </c>
    </row>
    <row r="757" spans="1:20" x14ac:dyDescent="0.25">
      <c r="A757" s="5">
        <v>43836</v>
      </c>
      <c r="B757">
        <v>2.3259999999999999E-2</v>
      </c>
      <c r="C757">
        <v>2.4500000000000001E-2</v>
      </c>
      <c r="D757">
        <v>2.3E-2</v>
      </c>
      <c r="E757">
        <v>2.41E-2</v>
      </c>
      <c r="F757">
        <v>33930568.799999997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0.46666666666666573</v>
      </c>
      <c r="Q757">
        <f t="shared" si="1000"/>
        <v>15834265.439999966</v>
      </c>
      <c r="R757">
        <f t="shared" si="1001"/>
        <v>209246672.02382693</v>
      </c>
      <c r="S757">
        <f t="shared" si="1002"/>
        <v>2092.4667202382693</v>
      </c>
      <c r="T757">
        <f t="shared" si="1003"/>
        <v>2.0924667202382694</v>
      </c>
    </row>
    <row r="758" spans="1:20" x14ac:dyDescent="0.25">
      <c r="A758" s="5">
        <v>43835</v>
      </c>
      <c r="B758">
        <v>2.291E-2</v>
      </c>
      <c r="C758">
        <v>2.3529999999999999E-2</v>
      </c>
      <c r="D758">
        <v>2.2890000000000001E-2</v>
      </c>
      <c r="E758">
        <v>2.3259999999999999E-2</v>
      </c>
      <c r="F758">
        <v>22443786.199999999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0.1562499999999995</v>
      </c>
      <c r="Q758">
        <f t="shared" si="1000"/>
        <v>3506841.5937499888</v>
      </c>
      <c r="R758">
        <f t="shared" si="1001"/>
        <v>193412406.58382696</v>
      </c>
      <c r="S758">
        <f t="shared" si="1002"/>
        <v>1934.1240658382696</v>
      </c>
      <c r="T758">
        <f t="shared" si="1003"/>
        <v>1.9341240658382697</v>
      </c>
    </row>
    <row r="759" spans="1:20" x14ac:dyDescent="0.25">
      <c r="A759" s="5">
        <v>43834</v>
      </c>
      <c r="B759">
        <v>2.3E-2</v>
      </c>
      <c r="C759">
        <v>2.3179999999999999E-2</v>
      </c>
      <c r="D759">
        <v>2.2499999999999999E-2</v>
      </c>
      <c r="E759">
        <v>2.291E-2</v>
      </c>
      <c r="F759">
        <v>18348607.600000001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0.20588235294117826</v>
      </c>
      <c r="Q759">
        <f t="shared" si="1000"/>
        <v>3777654.5058823861</v>
      </c>
      <c r="R759">
        <f t="shared" si="1001"/>
        <v>189905564.99007696</v>
      </c>
      <c r="S759">
        <f t="shared" si="1002"/>
        <v>1899.0556499007696</v>
      </c>
      <c r="T759">
        <f t="shared" si="1003"/>
        <v>1.8990556499007696</v>
      </c>
    </row>
    <row r="760" spans="1:20" x14ac:dyDescent="0.25">
      <c r="A760" s="5">
        <v>43833</v>
      </c>
      <c r="B760">
        <v>2.299E-2</v>
      </c>
      <c r="C760">
        <v>2.325E-2</v>
      </c>
      <c r="D760">
        <v>2.1729999999999999E-2</v>
      </c>
      <c r="E760">
        <v>2.3E-2</v>
      </c>
      <c r="F760">
        <v>39327417.399999999</v>
      </c>
      <c r="G760">
        <v>0</v>
      </c>
      <c r="L760" t="s">
        <v>8</v>
      </c>
      <c r="M760" t="s">
        <v>8</v>
      </c>
      <c r="N760" t="s">
        <v>7</v>
      </c>
      <c r="P760">
        <f t="shared" si="999"/>
        <v>0.67105263157894723</v>
      </c>
      <c r="Q760">
        <f t="shared" si="1000"/>
        <v>26390766.939473677</v>
      </c>
      <c r="R760">
        <f t="shared" si="1001"/>
        <v>186127910.48419458</v>
      </c>
      <c r="S760">
        <f t="shared" si="1002"/>
        <v>1861.2791048419458</v>
      </c>
      <c r="T760">
        <f t="shared" si="1003"/>
        <v>1.8612791048419459</v>
      </c>
    </row>
    <row r="761" spans="1:20" x14ac:dyDescent="0.25">
      <c r="A761" s="5">
        <v>43832</v>
      </c>
      <c r="B761">
        <v>2.281E-2</v>
      </c>
      <c r="C761">
        <v>2.3140000000000001E-2</v>
      </c>
      <c r="D761">
        <v>2.162E-2</v>
      </c>
      <c r="E761">
        <v>2.299E-2</v>
      </c>
      <c r="F761">
        <v>31666027.699999999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0.80263157894736736</v>
      </c>
      <c r="Q761">
        <f t="shared" si="1000"/>
        <v>25416153.811842073</v>
      </c>
      <c r="R761">
        <f t="shared" si="1001"/>
        <v>159737143.54472089</v>
      </c>
      <c r="S761">
        <f t="shared" si="1002"/>
        <v>1597.3714354472088</v>
      </c>
      <c r="T761">
        <f t="shared" si="1003"/>
        <v>1.5973714354472088</v>
      </c>
    </row>
    <row r="762" spans="1:20" x14ac:dyDescent="0.25">
      <c r="A762" s="5">
        <v>43831</v>
      </c>
      <c r="B762">
        <v>2.3029999999999998E-2</v>
      </c>
      <c r="C762">
        <v>2.349E-2</v>
      </c>
      <c r="D762">
        <v>2.2509999999999999E-2</v>
      </c>
      <c r="E762">
        <v>2.2700000000000001E-2</v>
      </c>
      <c r="F762">
        <v>18205698.300000001</v>
      </c>
      <c r="G762">
        <v>0</v>
      </c>
      <c r="L762" t="s">
        <v>8</v>
      </c>
      <c r="M762" t="s">
        <v>8</v>
      </c>
      <c r="N762" t="s">
        <v>7</v>
      </c>
      <c r="P762">
        <f t="shared" si="999"/>
        <v>-0.61224489795917891</v>
      </c>
      <c r="Q762">
        <f t="shared" si="1000"/>
        <v>-11146345.897959098</v>
      </c>
      <c r="R762">
        <f t="shared" si="1001"/>
        <v>134320989.7328788</v>
      </c>
      <c r="S762">
        <f t="shared" si="1002"/>
        <v>1343.209897328788</v>
      </c>
      <c r="T762">
        <f t="shared" si="1003"/>
        <v>1.343209897328788</v>
      </c>
    </row>
    <row r="763" spans="1:20" x14ac:dyDescent="0.25">
      <c r="A763" s="5">
        <v>43830</v>
      </c>
      <c r="B763">
        <v>2.2280000000000001E-2</v>
      </c>
      <c r="C763">
        <v>2.3519999999999999E-2</v>
      </c>
      <c r="D763">
        <v>2.2200000000000001E-2</v>
      </c>
      <c r="E763">
        <v>2.2950000000000002E-2</v>
      </c>
      <c r="F763">
        <v>31536382.800000001</v>
      </c>
      <c r="G763">
        <v>0</v>
      </c>
      <c r="L763" t="s">
        <v>8</v>
      </c>
      <c r="M763" t="s">
        <v>8</v>
      </c>
      <c r="N763" t="s">
        <v>7</v>
      </c>
      <c r="P763">
        <f t="shared" si="999"/>
        <v>0.13636363636363888</v>
      </c>
      <c r="Q763">
        <f t="shared" si="1000"/>
        <v>4300415.8363637161</v>
      </c>
      <c r="R763">
        <f t="shared" si="1001"/>
        <v>145467335.63083789</v>
      </c>
      <c r="S763">
        <f t="shared" si="1002"/>
        <v>1454.673356308379</v>
      </c>
      <c r="T763">
        <f t="shared" si="1003"/>
        <v>1.4546733563083789</v>
      </c>
    </row>
    <row r="764" spans="1:20" x14ac:dyDescent="0.25">
      <c r="A764" s="5">
        <v>43829</v>
      </c>
      <c r="B764">
        <v>2.2790000000000001E-2</v>
      </c>
      <c r="C764">
        <v>2.2790000000000001E-2</v>
      </c>
      <c r="D764">
        <v>2.1989999999999999E-2</v>
      </c>
      <c r="E764">
        <v>2.239E-2</v>
      </c>
      <c r="F764">
        <v>7293651</v>
      </c>
      <c r="G764">
        <v>0</v>
      </c>
      <c r="L764" t="s">
        <v>7</v>
      </c>
      <c r="M764" t="s">
        <v>8</v>
      </c>
      <c r="N764" t="s">
        <v>7</v>
      </c>
      <c r="P764">
        <f t="shared" si="999"/>
        <v>0</v>
      </c>
      <c r="Q764">
        <f t="shared" si="1000"/>
        <v>0</v>
      </c>
      <c r="R764">
        <f t="shared" si="1001"/>
        <v>141166919.79447418</v>
      </c>
      <c r="S764">
        <f t="shared" si="1002"/>
        <v>1411.6691979447419</v>
      </c>
      <c r="T764">
        <f t="shared" si="1003"/>
        <v>1.4116691979447418</v>
      </c>
    </row>
    <row r="765" spans="1:20" x14ac:dyDescent="0.25">
      <c r="A765" s="5">
        <v>43828</v>
      </c>
      <c r="B765">
        <v>2.264E-2</v>
      </c>
      <c r="C765">
        <v>2.3029999999999998E-2</v>
      </c>
      <c r="D765">
        <v>2.2440000000000002E-2</v>
      </c>
      <c r="E765">
        <v>2.2780000000000002E-2</v>
      </c>
      <c r="F765">
        <v>16599665.4</v>
      </c>
      <c r="G765">
        <v>0</v>
      </c>
      <c r="L765" t="s">
        <v>7</v>
      </c>
      <c r="M765" t="s">
        <v>8</v>
      </c>
      <c r="N765" t="s">
        <v>7</v>
      </c>
      <c r="P765">
        <f t="shared" si="999"/>
        <v>0.1525423728813623</v>
      </c>
      <c r="Q765">
        <f t="shared" si="1000"/>
        <v>2532152.3491526479</v>
      </c>
      <c r="R765">
        <f t="shared" si="1001"/>
        <v>141166919.79447418</v>
      </c>
      <c r="S765">
        <f t="shared" si="1002"/>
        <v>1411.6691979447419</v>
      </c>
      <c r="T765">
        <f t="shared" si="1003"/>
        <v>1.4116691979447418</v>
      </c>
    </row>
    <row r="766" spans="1:20" x14ac:dyDescent="0.25">
      <c r="A766" s="5">
        <v>43827</v>
      </c>
      <c r="B766">
        <v>2.232E-2</v>
      </c>
      <c r="C766">
        <v>2.273E-2</v>
      </c>
      <c r="D766">
        <v>2.2270000000000002E-2</v>
      </c>
      <c r="E766">
        <v>2.2540000000000001E-2</v>
      </c>
      <c r="F766">
        <v>8865550.8000000007</v>
      </c>
      <c r="G766">
        <v>0</v>
      </c>
      <c r="L766" t="s">
        <v>7</v>
      </c>
      <c r="M766" t="s">
        <v>8</v>
      </c>
      <c r="N766" t="s">
        <v>7</v>
      </c>
      <c r="P766">
        <f t="shared" si="999"/>
        <v>0.17391304347826186</v>
      </c>
      <c r="Q766">
        <f t="shared" si="1000"/>
        <v>1541834.9217391394</v>
      </c>
      <c r="R766">
        <f t="shared" si="1001"/>
        <v>138634767.44532153</v>
      </c>
      <c r="S766">
        <f t="shared" si="1002"/>
        <v>1386.3476744532154</v>
      </c>
      <c r="T766">
        <f t="shared" si="1003"/>
        <v>1.3863476744532155</v>
      </c>
    </row>
    <row r="767" spans="1:20" x14ac:dyDescent="0.25">
      <c r="A767" s="5">
        <v>43826</v>
      </c>
      <c r="B767">
        <v>2.2079999999999999E-2</v>
      </c>
      <c r="C767">
        <v>2.2380000000000001E-2</v>
      </c>
      <c r="D767">
        <v>2.164E-2</v>
      </c>
      <c r="E767">
        <v>2.2280000000000001E-2</v>
      </c>
      <c r="F767">
        <v>10789674.4</v>
      </c>
      <c r="G767">
        <v>0</v>
      </c>
      <c r="L767" t="s">
        <v>7</v>
      </c>
      <c r="M767" t="s">
        <v>8</v>
      </c>
      <c r="N767" t="s">
        <v>7</v>
      </c>
      <c r="P767">
        <f t="shared" ref="P767:P830" si="1004">IF(C767=D767,0,((E767-D767)-(C767-E767))/(C767-D767))</f>
        <v>0.72972972972973171</v>
      </c>
      <c r="Q767">
        <f t="shared" ref="Q767:Q830" si="1005">F767*P767</f>
        <v>7873546.183783805</v>
      </c>
      <c r="R767">
        <f t="shared" ref="R767:R830" si="1006">R768+Q767</f>
        <v>137092932.5235824</v>
      </c>
      <c r="S767">
        <f t="shared" ref="S767:S830" si="1007">R767/100000</f>
        <v>1370.9293252358241</v>
      </c>
      <c r="T767">
        <f t="shared" ref="T767:T830" si="1008">S767/1000</f>
        <v>1.3709293252358241</v>
      </c>
    </row>
    <row r="768" spans="1:20" x14ac:dyDescent="0.25">
      <c r="A768" s="5">
        <v>43825</v>
      </c>
      <c r="B768">
        <v>2.2249999999999999E-2</v>
      </c>
      <c r="C768">
        <v>2.2950000000000002E-2</v>
      </c>
      <c r="D768">
        <v>2.179E-2</v>
      </c>
      <c r="E768">
        <v>2.1950000000000001E-2</v>
      </c>
      <c r="F768">
        <v>21650379.5</v>
      </c>
      <c r="G768">
        <v>0</v>
      </c>
      <c r="L768" t="s">
        <v>7</v>
      </c>
      <c r="M768" t="s">
        <v>8</v>
      </c>
      <c r="N768" t="s">
        <v>7</v>
      </c>
      <c r="P768">
        <f t="shared" si="1004"/>
        <v>-0.72413793103448232</v>
      </c>
      <c r="Q768">
        <f t="shared" si="1005"/>
        <v>-15677861.01724137</v>
      </c>
      <c r="R768">
        <f t="shared" si="1006"/>
        <v>129219386.33979858</v>
      </c>
      <c r="S768">
        <f t="shared" si="1007"/>
        <v>1292.1938633979858</v>
      </c>
      <c r="T768">
        <f t="shared" si="1008"/>
        <v>1.2921938633979857</v>
      </c>
    </row>
    <row r="769" spans="1:20" x14ac:dyDescent="0.25">
      <c r="A769" s="5">
        <v>43824</v>
      </c>
      <c r="B769">
        <v>2.3220000000000001E-2</v>
      </c>
      <c r="C769">
        <v>2.35E-2</v>
      </c>
      <c r="D769">
        <v>2.1520000000000001E-2</v>
      </c>
      <c r="E769">
        <v>2.222E-2</v>
      </c>
      <c r="F769">
        <v>27433018.899999999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-0.29292929292929337</v>
      </c>
      <c r="Q769">
        <f t="shared" si="1005"/>
        <v>-8035934.8292929409</v>
      </c>
      <c r="R769">
        <f t="shared" si="1006"/>
        <v>144897247.35703996</v>
      </c>
      <c r="S769">
        <f t="shared" si="1007"/>
        <v>1448.9724735703996</v>
      </c>
      <c r="T769">
        <f t="shared" si="1008"/>
        <v>1.4489724735703997</v>
      </c>
    </row>
    <row r="770" spans="1:20" x14ac:dyDescent="0.25">
      <c r="A770" s="5">
        <v>43823</v>
      </c>
      <c r="B770">
        <v>2.266E-2</v>
      </c>
      <c r="C770">
        <v>2.325E-2</v>
      </c>
      <c r="D770">
        <v>2.2249999999999999E-2</v>
      </c>
      <c r="E770">
        <v>2.3199999999999998E-2</v>
      </c>
      <c r="F770">
        <v>10163564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0.89999999999999725</v>
      </c>
      <c r="Q770">
        <f t="shared" si="1005"/>
        <v>9147207.5999999717</v>
      </c>
      <c r="R770">
        <f t="shared" si="1006"/>
        <v>152933182.18633291</v>
      </c>
      <c r="S770">
        <f t="shared" si="1007"/>
        <v>1529.3318218633292</v>
      </c>
      <c r="T770">
        <f t="shared" si="1008"/>
        <v>1.5293318218633292</v>
      </c>
    </row>
    <row r="771" spans="1:20" x14ac:dyDescent="0.25">
      <c r="A771" s="5">
        <v>43822</v>
      </c>
      <c r="B771">
        <v>2.3570000000000001E-2</v>
      </c>
      <c r="C771">
        <v>2.384E-2</v>
      </c>
      <c r="D771">
        <v>2.2370000000000001E-2</v>
      </c>
      <c r="E771">
        <v>2.2749999999999999E-2</v>
      </c>
      <c r="F771">
        <v>27960535.699999999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-0.48299319727891343</v>
      </c>
      <c r="Q771">
        <f t="shared" si="1005"/>
        <v>-13504748.535374202</v>
      </c>
      <c r="R771">
        <f t="shared" si="1006"/>
        <v>143785974.58633295</v>
      </c>
      <c r="S771">
        <f t="shared" si="1007"/>
        <v>1437.8597458633294</v>
      </c>
      <c r="T771">
        <f t="shared" si="1008"/>
        <v>1.4378597458633293</v>
      </c>
    </row>
    <row r="772" spans="1:20" x14ac:dyDescent="0.25">
      <c r="A772" s="5">
        <v>43821</v>
      </c>
      <c r="B772">
        <v>2.2769999999999999E-2</v>
      </c>
      <c r="C772">
        <v>2.366E-2</v>
      </c>
      <c r="D772">
        <v>2.231E-2</v>
      </c>
      <c r="E772">
        <v>2.3570000000000001E-2</v>
      </c>
      <c r="F772">
        <v>16526125.9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0.86666666666666703</v>
      </c>
      <c r="Q772">
        <f t="shared" si="1005"/>
        <v>14322642.446666673</v>
      </c>
      <c r="R772">
        <f t="shared" si="1006"/>
        <v>157290723.12170714</v>
      </c>
      <c r="S772">
        <f t="shared" si="1007"/>
        <v>1572.9072312170715</v>
      </c>
      <c r="T772">
        <f t="shared" si="1008"/>
        <v>1.5729072312170715</v>
      </c>
    </row>
    <row r="773" spans="1:20" x14ac:dyDescent="0.25">
      <c r="A773" s="5">
        <v>43820</v>
      </c>
      <c r="B773">
        <v>2.3769999999999999E-2</v>
      </c>
      <c r="C773">
        <v>2.3980000000000001E-2</v>
      </c>
      <c r="D773">
        <v>2.2270000000000002E-2</v>
      </c>
      <c r="E773">
        <v>2.2700000000000001E-2</v>
      </c>
      <c r="F773">
        <v>16788130.100000001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-0.497076023391813</v>
      </c>
      <c r="Q773">
        <f t="shared" si="1005"/>
        <v>-8344976.950292401</v>
      </c>
      <c r="R773">
        <f t="shared" si="1006"/>
        <v>142968080.67504048</v>
      </c>
      <c r="S773">
        <f t="shared" si="1007"/>
        <v>1429.6808067504048</v>
      </c>
      <c r="T773">
        <f t="shared" si="1008"/>
        <v>1.4296808067504048</v>
      </c>
    </row>
    <row r="774" spans="1:20" x14ac:dyDescent="0.25">
      <c r="A774" s="5">
        <v>43819</v>
      </c>
      <c r="B774">
        <v>2.2870000000000001E-2</v>
      </c>
      <c r="C774">
        <v>2.4199999999999999E-2</v>
      </c>
      <c r="D774">
        <v>2.2759999999999999E-2</v>
      </c>
      <c r="E774">
        <v>2.3740000000000001E-2</v>
      </c>
      <c r="F774">
        <v>25327745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0.36111111111111316</v>
      </c>
      <c r="Q774">
        <f t="shared" si="1005"/>
        <v>9146130.1388889402</v>
      </c>
      <c r="R774">
        <f t="shared" si="1006"/>
        <v>151313057.62533289</v>
      </c>
      <c r="S774">
        <f t="shared" si="1007"/>
        <v>1513.1305762533289</v>
      </c>
      <c r="T774">
        <f t="shared" si="1008"/>
        <v>1.5131305762533289</v>
      </c>
    </row>
    <row r="775" spans="1:20" x14ac:dyDescent="0.25">
      <c r="A775" s="5">
        <v>43818</v>
      </c>
      <c r="B775">
        <v>2.2530000000000001E-2</v>
      </c>
      <c r="C775">
        <v>2.366E-2</v>
      </c>
      <c r="D775">
        <v>2.1829999999999999E-2</v>
      </c>
      <c r="E775">
        <v>2.282E-2</v>
      </c>
      <c r="F775">
        <v>26363170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8.1967213114754467E-2</v>
      </c>
      <c r="Q775">
        <f t="shared" si="1005"/>
        <v>2160915.5737705017</v>
      </c>
      <c r="R775">
        <f t="shared" si="1006"/>
        <v>142166927.48644397</v>
      </c>
      <c r="S775">
        <f t="shared" si="1007"/>
        <v>1421.6692748644396</v>
      </c>
      <c r="T775">
        <f t="shared" si="1008"/>
        <v>1.4216692748644395</v>
      </c>
    </row>
    <row r="776" spans="1:20" x14ac:dyDescent="0.25">
      <c r="A776" s="5">
        <v>43817</v>
      </c>
      <c r="B776">
        <v>2.06E-2</v>
      </c>
      <c r="C776">
        <v>2.2890000000000001E-2</v>
      </c>
      <c r="D776">
        <v>1.9599999999999999E-2</v>
      </c>
      <c r="E776">
        <v>2.2519999999999998E-2</v>
      </c>
      <c r="F776">
        <v>21428418.600000001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0.77507598784194398</v>
      </c>
      <c r="Q776">
        <f t="shared" si="1005"/>
        <v>16608652.714285687</v>
      </c>
      <c r="R776">
        <f t="shared" si="1006"/>
        <v>140006011.91267347</v>
      </c>
      <c r="S776">
        <f t="shared" si="1007"/>
        <v>1400.0601191267347</v>
      </c>
      <c r="T776">
        <f t="shared" si="1008"/>
        <v>1.4000601191267346</v>
      </c>
    </row>
    <row r="777" spans="1:20" x14ac:dyDescent="0.25">
      <c r="A777" s="5">
        <v>43816</v>
      </c>
      <c r="B777">
        <v>2.2089999999999999E-2</v>
      </c>
      <c r="C777">
        <v>2.215E-2</v>
      </c>
      <c r="D777">
        <v>2.01E-2</v>
      </c>
      <c r="E777">
        <v>2.068E-2</v>
      </c>
      <c r="F777">
        <v>21387145.300000001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-0.43414634146341391</v>
      </c>
      <c r="Q777">
        <f t="shared" si="1005"/>
        <v>-9285150.8863414489</v>
      </c>
      <c r="R777">
        <f t="shared" si="1006"/>
        <v>123397359.19838777</v>
      </c>
      <c r="S777">
        <f t="shared" si="1007"/>
        <v>1233.9735919838777</v>
      </c>
      <c r="T777">
        <f t="shared" si="1008"/>
        <v>1.2339735919838777</v>
      </c>
    </row>
    <row r="778" spans="1:20" x14ac:dyDescent="0.25">
      <c r="A778" s="5">
        <v>43815</v>
      </c>
      <c r="B778">
        <v>2.3109999999999999E-2</v>
      </c>
      <c r="C778">
        <v>2.3859999999999999E-2</v>
      </c>
      <c r="D778">
        <v>2.164E-2</v>
      </c>
      <c r="E778">
        <v>2.2100000000000002E-2</v>
      </c>
      <c r="F778">
        <v>19623611.800000001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-0.58558558558558371</v>
      </c>
      <c r="Q778">
        <f t="shared" si="1005"/>
        <v>-11491304.207207171</v>
      </c>
      <c r="R778">
        <f t="shared" si="1006"/>
        <v>132682510.08472922</v>
      </c>
      <c r="S778">
        <f t="shared" si="1007"/>
        <v>1326.8251008472923</v>
      </c>
      <c r="T778">
        <f t="shared" si="1008"/>
        <v>1.3268251008472924</v>
      </c>
    </row>
    <row r="779" spans="1:20" x14ac:dyDescent="0.25">
      <c r="A779" s="5">
        <v>43814</v>
      </c>
      <c r="B779">
        <v>2.2349999999999998E-2</v>
      </c>
      <c r="C779">
        <v>2.4199999999999999E-2</v>
      </c>
      <c r="D779">
        <v>2.1909999999999999E-2</v>
      </c>
      <c r="E779">
        <v>2.3050000000000001E-2</v>
      </c>
      <c r="F779">
        <v>16023939.699999999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-4.3668122270725425E-3</v>
      </c>
      <c r="Q779">
        <f t="shared" si="1005"/>
        <v>-69973.535807833119</v>
      </c>
      <c r="R779">
        <f t="shared" si="1006"/>
        <v>144173814.2919364</v>
      </c>
      <c r="S779">
        <f t="shared" si="1007"/>
        <v>1441.738142919364</v>
      </c>
      <c r="T779">
        <f t="shared" si="1008"/>
        <v>1.4417381429193641</v>
      </c>
    </row>
    <row r="780" spans="1:20" x14ac:dyDescent="0.25">
      <c r="A780" s="5">
        <v>43813</v>
      </c>
      <c r="B780">
        <v>2.4039999999999999E-2</v>
      </c>
      <c r="C780">
        <v>2.4250000000000001E-2</v>
      </c>
      <c r="D780">
        <v>2.1760000000000002E-2</v>
      </c>
      <c r="E780">
        <v>2.2290000000000001E-2</v>
      </c>
      <c r="F780">
        <v>27886520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-0.57429718875502056</v>
      </c>
      <c r="Q780">
        <f t="shared" si="1005"/>
        <v>-16015150.040160656</v>
      </c>
      <c r="R780">
        <f t="shared" si="1006"/>
        <v>144243787.82774425</v>
      </c>
      <c r="S780">
        <f t="shared" si="1007"/>
        <v>1442.4378782774425</v>
      </c>
      <c r="T780">
        <f t="shared" si="1008"/>
        <v>1.4424378782774425</v>
      </c>
    </row>
    <row r="781" spans="1:20" x14ac:dyDescent="0.25">
      <c r="A781" s="5">
        <v>43812</v>
      </c>
      <c r="B781">
        <v>2.35E-2</v>
      </c>
      <c r="C781">
        <v>2.479E-2</v>
      </c>
      <c r="D781">
        <v>2.3099999999999999E-2</v>
      </c>
      <c r="E781">
        <v>2.41E-2</v>
      </c>
      <c r="F781">
        <v>34125191.399999999</v>
      </c>
      <c r="G781">
        <v>0</v>
      </c>
      <c r="L781" t="s">
        <v>8</v>
      </c>
      <c r="M781" t="s">
        <v>8</v>
      </c>
      <c r="N781" t="s">
        <v>7</v>
      </c>
      <c r="P781">
        <f t="shared" si="1004"/>
        <v>0.18343195266272258</v>
      </c>
      <c r="Q781">
        <f t="shared" si="1005"/>
        <v>6259650.4934911476</v>
      </c>
      <c r="R781">
        <f t="shared" si="1006"/>
        <v>160258937.8679049</v>
      </c>
      <c r="S781">
        <f t="shared" si="1007"/>
        <v>1602.5893786790491</v>
      </c>
      <c r="T781">
        <f t="shared" si="1008"/>
        <v>1.602589378679049</v>
      </c>
    </row>
    <row r="782" spans="1:20" x14ac:dyDescent="0.25">
      <c r="A782" s="5">
        <v>43811</v>
      </c>
      <c r="B782">
        <v>2.503E-2</v>
      </c>
      <c r="C782">
        <v>2.5190000000000001E-2</v>
      </c>
      <c r="D782">
        <v>2.2919999999999999E-2</v>
      </c>
      <c r="E782">
        <v>2.35E-2</v>
      </c>
      <c r="F782">
        <v>39359405.600000001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-0.48898678414096886</v>
      </c>
      <c r="Q782">
        <f t="shared" si="1005"/>
        <v>-19246229.170044042</v>
      </c>
      <c r="R782">
        <f t="shared" si="1006"/>
        <v>153999287.37441376</v>
      </c>
      <c r="S782">
        <f t="shared" si="1007"/>
        <v>1539.9928737441376</v>
      </c>
      <c r="T782">
        <f t="shared" si="1008"/>
        <v>1.5399928737441375</v>
      </c>
    </row>
    <row r="783" spans="1:20" x14ac:dyDescent="0.25">
      <c r="A783" s="5">
        <v>43810</v>
      </c>
      <c r="B783">
        <v>2.4E-2</v>
      </c>
      <c r="C783">
        <v>2.6980000000000001E-2</v>
      </c>
      <c r="D783">
        <v>2.368E-2</v>
      </c>
      <c r="E783">
        <v>2.4920000000000001E-2</v>
      </c>
      <c r="F783">
        <v>75241653.599999994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-0.24848484848484775</v>
      </c>
      <c r="Q783">
        <f t="shared" si="1005"/>
        <v>-18696410.894545399</v>
      </c>
      <c r="R783">
        <f t="shared" si="1006"/>
        <v>173245516.54445779</v>
      </c>
      <c r="S783">
        <f t="shared" si="1007"/>
        <v>1732.4551654445779</v>
      </c>
      <c r="T783">
        <f t="shared" si="1008"/>
        <v>1.7324551654445779</v>
      </c>
    </row>
    <row r="784" spans="1:20" x14ac:dyDescent="0.25">
      <c r="A784" s="5">
        <v>43809</v>
      </c>
      <c r="B784">
        <v>3.0280000000000001E-2</v>
      </c>
      <c r="C784">
        <v>3.0550000000000001E-2</v>
      </c>
      <c r="D784">
        <v>2.155E-2</v>
      </c>
      <c r="E784">
        <v>2.4E-2</v>
      </c>
      <c r="F784">
        <v>242845622.19999999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-0.45555555555555544</v>
      </c>
      <c r="Q784">
        <f t="shared" si="1005"/>
        <v>-110629672.33555552</v>
      </c>
      <c r="R784">
        <f t="shared" si="1006"/>
        <v>191941927.4390032</v>
      </c>
      <c r="S784">
        <f t="shared" si="1007"/>
        <v>1919.4192743900319</v>
      </c>
      <c r="T784">
        <f t="shared" si="1008"/>
        <v>1.9194192743900318</v>
      </c>
    </row>
    <row r="785" spans="1:20" x14ac:dyDescent="0.25">
      <c r="A785" s="5">
        <v>43808</v>
      </c>
      <c r="B785">
        <v>3.2259999999999997E-2</v>
      </c>
      <c r="C785">
        <v>3.3320000000000002E-2</v>
      </c>
      <c r="D785">
        <v>3.0009999999999998E-2</v>
      </c>
      <c r="E785">
        <v>3.0269999999999998E-2</v>
      </c>
      <c r="F785">
        <v>77553505.799999997</v>
      </c>
      <c r="G785">
        <v>0</v>
      </c>
      <c r="L785" t="s">
        <v>7</v>
      </c>
      <c r="M785" t="s">
        <v>8</v>
      </c>
      <c r="N785" t="s">
        <v>8</v>
      </c>
      <c r="P785">
        <f t="shared" si="1004"/>
        <v>-0.84290030211480393</v>
      </c>
      <c r="Q785">
        <f t="shared" si="1005"/>
        <v>-65369873.468882196</v>
      </c>
      <c r="R785">
        <f t="shared" si="1006"/>
        <v>302571599.77455872</v>
      </c>
      <c r="S785">
        <f t="shared" si="1007"/>
        <v>3025.7159977455872</v>
      </c>
      <c r="T785">
        <f t="shared" si="1008"/>
        <v>3.025715997745587</v>
      </c>
    </row>
    <row r="786" spans="1:20" x14ac:dyDescent="0.25">
      <c r="A786" s="5">
        <v>43807</v>
      </c>
      <c r="B786">
        <v>3.3790000000000001E-2</v>
      </c>
      <c r="C786">
        <v>3.415E-2</v>
      </c>
      <c r="D786">
        <v>3.1300000000000001E-2</v>
      </c>
      <c r="E786">
        <v>3.2259999999999997E-2</v>
      </c>
      <c r="F786">
        <v>89077307.099999994</v>
      </c>
      <c r="G786">
        <v>0</v>
      </c>
      <c r="L786" t="s">
        <v>8</v>
      </c>
      <c r="M786" t="s">
        <v>8</v>
      </c>
      <c r="N786" t="s">
        <v>8</v>
      </c>
      <c r="P786">
        <f t="shared" si="1004"/>
        <v>-0.32631578947368695</v>
      </c>
      <c r="Q786">
        <f t="shared" si="1005"/>
        <v>-29067331.790526558</v>
      </c>
      <c r="R786">
        <f t="shared" si="1006"/>
        <v>367941473.24344093</v>
      </c>
      <c r="S786">
        <f t="shared" si="1007"/>
        <v>3679.4147324344094</v>
      </c>
      <c r="T786">
        <f t="shared" si="1008"/>
        <v>3.6794147324344095</v>
      </c>
    </row>
    <row r="787" spans="1:20" x14ac:dyDescent="0.25">
      <c r="A787" s="5">
        <v>43806</v>
      </c>
      <c r="B787">
        <v>2.845E-2</v>
      </c>
      <c r="C787">
        <v>3.3799999999999997E-2</v>
      </c>
      <c r="D787">
        <v>2.8209999999999999E-2</v>
      </c>
      <c r="E787">
        <v>3.3790000000000001E-2</v>
      </c>
      <c r="F787">
        <v>210234272.69999999</v>
      </c>
      <c r="G787">
        <v>0</v>
      </c>
      <c r="L787" t="s">
        <v>8</v>
      </c>
      <c r="M787" t="s">
        <v>8</v>
      </c>
      <c r="N787" t="s">
        <v>8</v>
      </c>
      <c r="P787">
        <f t="shared" si="1004"/>
        <v>0.99642218246869552</v>
      </c>
      <c r="Q787">
        <f t="shared" si="1005"/>
        <v>209482092.83345288</v>
      </c>
      <c r="R787">
        <f t="shared" si="1006"/>
        <v>397008805.03396749</v>
      </c>
      <c r="S787">
        <f t="shared" si="1007"/>
        <v>3970.0880503396747</v>
      </c>
      <c r="T787">
        <f t="shared" si="1008"/>
        <v>3.9700880503396747</v>
      </c>
    </row>
    <row r="788" spans="1:20" x14ac:dyDescent="0.25">
      <c r="A788" s="5">
        <v>43805</v>
      </c>
      <c r="B788">
        <v>2.5909999999999999E-2</v>
      </c>
      <c r="C788">
        <v>3.0159999999999999E-2</v>
      </c>
      <c r="D788">
        <v>2.5350000000000001E-2</v>
      </c>
      <c r="E788">
        <v>2.844E-2</v>
      </c>
      <c r="F788">
        <v>197209067.40000001</v>
      </c>
      <c r="G788">
        <v>0</v>
      </c>
      <c r="L788" t="s">
        <v>8</v>
      </c>
      <c r="M788" t="s">
        <v>8</v>
      </c>
      <c r="N788" t="s">
        <v>8</v>
      </c>
      <c r="P788">
        <f t="shared" si="1004"/>
        <v>0.28482328482328484</v>
      </c>
      <c r="Q788">
        <f t="shared" si="1005"/>
        <v>56169734.373804577</v>
      </c>
      <c r="R788">
        <f t="shared" si="1006"/>
        <v>187526712.20051461</v>
      </c>
      <c r="S788">
        <f t="shared" si="1007"/>
        <v>1875.2671220051461</v>
      </c>
      <c r="T788">
        <f t="shared" si="1008"/>
        <v>1.8752671220051462</v>
      </c>
    </row>
    <row r="789" spans="1:20" x14ac:dyDescent="0.25">
      <c r="A789" s="5">
        <v>43804</v>
      </c>
      <c r="B789">
        <v>2.6259999999999999E-2</v>
      </c>
      <c r="C789">
        <v>2.6950000000000002E-2</v>
      </c>
      <c r="D789">
        <v>2.4029999999999999E-2</v>
      </c>
      <c r="E789">
        <v>2.6030000000000001E-2</v>
      </c>
      <c r="F789">
        <v>70564782.799999997</v>
      </c>
      <c r="G789">
        <v>0</v>
      </c>
      <c r="L789" t="s">
        <v>7</v>
      </c>
      <c r="M789" t="s">
        <v>7</v>
      </c>
      <c r="N789" t="s">
        <v>8</v>
      </c>
      <c r="P789">
        <f t="shared" si="1004"/>
        <v>0.36986301369863023</v>
      </c>
      <c r="Q789">
        <f t="shared" si="1005"/>
        <v>26099303.227397267</v>
      </c>
      <c r="R789">
        <f t="shared" si="1006"/>
        <v>131356977.82671003</v>
      </c>
      <c r="S789">
        <f t="shared" si="1007"/>
        <v>1313.5697782671002</v>
      </c>
      <c r="T789">
        <f t="shared" si="1008"/>
        <v>1.3135697782671003</v>
      </c>
    </row>
    <row r="790" spans="1:20" x14ac:dyDescent="0.25">
      <c r="A790" s="5">
        <v>43803</v>
      </c>
      <c r="B790">
        <v>2.5680000000000001E-2</v>
      </c>
      <c r="C790">
        <v>2.8500000000000001E-2</v>
      </c>
      <c r="D790">
        <v>2.4680000000000001E-2</v>
      </c>
      <c r="E790">
        <v>2.6259999999999999E-2</v>
      </c>
      <c r="F790">
        <v>156219851.30000001</v>
      </c>
      <c r="G790">
        <v>0</v>
      </c>
      <c r="L790" t="s">
        <v>8</v>
      </c>
      <c r="M790" t="s">
        <v>8</v>
      </c>
      <c r="N790" t="s">
        <v>8</v>
      </c>
      <c r="P790">
        <f t="shared" si="1004"/>
        <v>-0.17277486910994877</v>
      </c>
      <c r="Q790">
        <f t="shared" si="1005"/>
        <v>-26990864.360733163</v>
      </c>
      <c r="R790">
        <f t="shared" si="1006"/>
        <v>105257674.59931277</v>
      </c>
      <c r="S790">
        <f t="shared" si="1007"/>
        <v>1052.5767459931276</v>
      </c>
      <c r="T790">
        <f t="shared" si="1008"/>
        <v>1.0525767459931277</v>
      </c>
    </row>
    <row r="791" spans="1:20" x14ac:dyDescent="0.25">
      <c r="A791" s="5">
        <v>43802</v>
      </c>
      <c r="B791">
        <v>2.2849999999999999E-2</v>
      </c>
      <c r="C791">
        <v>2.75E-2</v>
      </c>
      <c r="D791">
        <v>2.2679999999999999E-2</v>
      </c>
      <c r="E791">
        <v>2.564E-2</v>
      </c>
      <c r="F791">
        <v>137165708.69999999</v>
      </c>
      <c r="G791">
        <v>0</v>
      </c>
      <c r="L791" t="s">
        <v>8</v>
      </c>
      <c r="M791" t="s">
        <v>8</v>
      </c>
      <c r="N791" t="s">
        <v>8</v>
      </c>
      <c r="P791">
        <f t="shared" si="1004"/>
        <v>0.22821576763485477</v>
      </c>
      <c r="Q791">
        <f t="shared" si="1005"/>
        <v>31303377.504149374</v>
      </c>
      <c r="R791">
        <f t="shared" si="1006"/>
        <v>132248538.96004593</v>
      </c>
      <c r="S791">
        <f t="shared" si="1007"/>
        <v>1322.4853896004593</v>
      </c>
      <c r="T791">
        <f t="shared" si="1008"/>
        <v>1.3224853896004594</v>
      </c>
    </row>
    <row r="792" spans="1:20" x14ac:dyDescent="0.25">
      <c r="A792" s="5">
        <v>43801</v>
      </c>
      <c r="B792">
        <v>2.2290000000000001E-2</v>
      </c>
      <c r="C792">
        <v>2.3429999999999999E-2</v>
      </c>
      <c r="D792">
        <v>2.155E-2</v>
      </c>
      <c r="E792">
        <v>2.2780000000000002E-2</v>
      </c>
      <c r="F792">
        <v>6417016.5999999996</v>
      </c>
      <c r="G792">
        <v>0</v>
      </c>
      <c r="L792" t="s">
        <v>8</v>
      </c>
      <c r="M792" t="s">
        <v>8</v>
      </c>
      <c r="N792" t="s">
        <v>7</v>
      </c>
      <c r="P792">
        <f t="shared" si="1004"/>
        <v>0.30851063829787456</v>
      </c>
      <c r="Q792">
        <f t="shared" si="1005"/>
        <v>1979717.8872340566</v>
      </c>
      <c r="R792">
        <f t="shared" si="1006"/>
        <v>100945161.45589656</v>
      </c>
      <c r="S792">
        <f t="shared" si="1007"/>
        <v>1009.4516145589656</v>
      </c>
      <c r="T792">
        <f t="shared" si="1008"/>
        <v>1.0094516145589656</v>
      </c>
    </row>
    <row r="793" spans="1:20" x14ac:dyDescent="0.25">
      <c r="A793" s="5">
        <v>43800</v>
      </c>
      <c r="B793">
        <v>2.2499999999999999E-2</v>
      </c>
      <c r="C793">
        <v>2.273E-2</v>
      </c>
      <c r="D793">
        <v>2.1659999999999999E-2</v>
      </c>
      <c r="E793">
        <v>2.2579999999999999E-2</v>
      </c>
      <c r="F793">
        <v>4467229.3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0.71962616822429792</v>
      </c>
      <c r="Q793">
        <f t="shared" si="1005"/>
        <v>3214735.1037383126</v>
      </c>
      <c r="R793">
        <f t="shared" si="1006"/>
        <v>98965443.568662494</v>
      </c>
      <c r="S793">
        <f t="shared" si="1007"/>
        <v>989.65443568662499</v>
      </c>
      <c r="T793">
        <f t="shared" si="1008"/>
        <v>0.98965443568662503</v>
      </c>
    </row>
    <row r="794" spans="1:20" x14ac:dyDescent="0.25">
      <c r="A794" s="5">
        <v>43799</v>
      </c>
      <c r="B794">
        <v>2.3199999999999998E-2</v>
      </c>
      <c r="C794">
        <v>2.3480000000000001E-2</v>
      </c>
      <c r="D794">
        <v>2.2179999999999998E-2</v>
      </c>
      <c r="E794">
        <v>2.2610000000000002E-2</v>
      </c>
      <c r="F794">
        <v>4687945.2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-0.33846153846153471</v>
      </c>
      <c r="Q794">
        <f t="shared" si="1005"/>
        <v>-1586689.1446153671</v>
      </c>
      <c r="R794">
        <f t="shared" si="1006"/>
        <v>95750708.464924186</v>
      </c>
      <c r="S794">
        <f t="shared" si="1007"/>
        <v>957.50708464924185</v>
      </c>
      <c r="T794">
        <f t="shared" si="1008"/>
        <v>0.95750708464924184</v>
      </c>
    </row>
    <row r="795" spans="1:20" x14ac:dyDescent="0.25">
      <c r="A795" s="5">
        <v>43798</v>
      </c>
      <c r="B795">
        <v>2.2499999999999999E-2</v>
      </c>
      <c r="C795">
        <v>2.35E-2</v>
      </c>
      <c r="D795">
        <v>2.24E-2</v>
      </c>
      <c r="E795">
        <v>2.3189999999999999E-2</v>
      </c>
      <c r="F795">
        <v>4425606.4000000004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0.43636363636363423</v>
      </c>
      <c r="Q795">
        <f t="shared" si="1005"/>
        <v>1931173.7018181726</v>
      </c>
      <c r="R795">
        <f t="shared" si="1006"/>
        <v>97337397.609539554</v>
      </c>
      <c r="S795">
        <f t="shared" si="1007"/>
        <v>973.37397609539551</v>
      </c>
      <c r="T795">
        <f t="shared" si="1008"/>
        <v>0.97337397609539555</v>
      </c>
    </row>
    <row r="796" spans="1:20" x14ac:dyDescent="0.25">
      <c r="A796" s="5">
        <v>43797</v>
      </c>
      <c r="B796">
        <v>2.2700000000000001E-2</v>
      </c>
      <c r="C796">
        <v>2.3210000000000001E-2</v>
      </c>
      <c r="D796">
        <v>2.2329999999999999E-2</v>
      </c>
      <c r="E796">
        <v>2.2550000000000001E-2</v>
      </c>
      <c r="F796">
        <v>5294324.5999999996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-0.499999999999998</v>
      </c>
      <c r="Q796">
        <f t="shared" si="1005"/>
        <v>-2647162.2999999891</v>
      </c>
      <c r="R796">
        <f t="shared" si="1006"/>
        <v>95406223.907721385</v>
      </c>
      <c r="S796">
        <f t="shared" si="1007"/>
        <v>954.0622390772138</v>
      </c>
      <c r="T796">
        <f t="shared" si="1008"/>
        <v>0.95406223907721377</v>
      </c>
    </row>
    <row r="797" spans="1:20" x14ac:dyDescent="0.25">
      <c r="A797" s="5">
        <v>43796</v>
      </c>
      <c r="B797">
        <v>2.23E-2</v>
      </c>
      <c r="C797">
        <v>2.3E-2</v>
      </c>
      <c r="D797">
        <v>2.061E-2</v>
      </c>
      <c r="E797">
        <v>2.2700000000000001E-2</v>
      </c>
      <c r="F797">
        <v>17920831.399999999</v>
      </c>
      <c r="G797">
        <v>0</v>
      </c>
      <c r="L797" t="s">
        <v>7</v>
      </c>
      <c r="M797" t="s">
        <v>7</v>
      </c>
      <c r="N797" t="s">
        <v>7</v>
      </c>
      <c r="P797">
        <f t="shared" si="1004"/>
        <v>0.74895397489539894</v>
      </c>
      <c r="Q797">
        <f t="shared" si="1005"/>
        <v>13421877.910460277</v>
      </c>
      <c r="R797">
        <f t="shared" si="1006"/>
        <v>98053386.207721367</v>
      </c>
      <c r="S797">
        <f t="shared" si="1007"/>
        <v>980.53386207721371</v>
      </c>
      <c r="T797">
        <f t="shared" si="1008"/>
        <v>0.98053386207721371</v>
      </c>
    </row>
    <row r="798" spans="1:20" x14ac:dyDescent="0.25">
      <c r="A798" s="5">
        <v>43795</v>
      </c>
      <c r="B798">
        <v>2.171E-2</v>
      </c>
      <c r="C798">
        <v>2.29E-2</v>
      </c>
      <c r="D798">
        <v>2.154E-2</v>
      </c>
      <c r="E798">
        <v>2.23E-2</v>
      </c>
      <c r="F798">
        <v>8265312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0.11764705882352972</v>
      </c>
      <c r="Q798">
        <f t="shared" si="1005"/>
        <v>972389.64705882606</v>
      </c>
      <c r="R798">
        <f t="shared" si="1006"/>
        <v>84631508.297261089</v>
      </c>
      <c r="S798">
        <f t="shared" si="1007"/>
        <v>846.31508297261087</v>
      </c>
      <c r="T798">
        <f t="shared" si="1008"/>
        <v>0.84631508297261082</v>
      </c>
    </row>
    <row r="799" spans="1:20" x14ac:dyDescent="0.25">
      <c r="A799" s="5">
        <v>43794</v>
      </c>
      <c r="B799">
        <v>2.1149999999999999E-2</v>
      </c>
      <c r="C799">
        <v>2.2540000000000001E-2</v>
      </c>
      <c r="D799">
        <v>1.925E-2</v>
      </c>
      <c r="E799">
        <v>2.171E-2</v>
      </c>
      <c r="F799">
        <v>14730112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0.49544072948328233</v>
      </c>
      <c r="Q799">
        <f t="shared" si="1005"/>
        <v>7297897.4346504509</v>
      </c>
      <c r="R799">
        <f t="shared" si="1006"/>
        <v>83659118.650202259</v>
      </c>
      <c r="S799">
        <f t="shared" si="1007"/>
        <v>836.59118650202254</v>
      </c>
      <c r="T799">
        <f t="shared" si="1008"/>
        <v>0.83659118650202258</v>
      </c>
    </row>
    <row r="800" spans="1:20" x14ac:dyDescent="0.25">
      <c r="A800" s="5">
        <v>43793</v>
      </c>
      <c r="B800">
        <v>2.274E-2</v>
      </c>
      <c r="C800">
        <v>2.283E-2</v>
      </c>
      <c r="D800">
        <v>2.085E-2</v>
      </c>
      <c r="E800">
        <v>2.1049999999999999E-2</v>
      </c>
      <c r="F800">
        <v>10920772.9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-0.79797979797979912</v>
      </c>
      <c r="Q800">
        <f t="shared" si="1005"/>
        <v>-8714556.1525252648</v>
      </c>
      <c r="R800">
        <f t="shared" si="1006"/>
        <v>76361221.215551808</v>
      </c>
      <c r="S800">
        <f t="shared" si="1007"/>
        <v>763.61221215551814</v>
      </c>
      <c r="T800">
        <f t="shared" si="1008"/>
        <v>0.76361221215551811</v>
      </c>
    </row>
    <row r="801" spans="1:20" x14ac:dyDescent="0.25">
      <c r="A801" s="5">
        <v>43792</v>
      </c>
      <c r="B801">
        <v>2.179E-2</v>
      </c>
      <c r="C801">
        <v>2.3689999999999999E-2</v>
      </c>
      <c r="D801">
        <v>2.1409999999999998E-2</v>
      </c>
      <c r="E801">
        <v>2.2620000000000001E-2</v>
      </c>
      <c r="F801">
        <v>6606099.2000000002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6.1403508771931868E-2</v>
      </c>
      <c r="Q801">
        <f t="shared" si="1005"/>
        <v>405637.67017545213</v>
      </c>
      <c r="R801">
        <f t="shared" si="1006"/>
        <v>85075777.36807707</v>
      </c>
      <c r="S801">
        <f t="shared" si="1007"/>
        <v>850.7577736807707</v>
      </c>
      <c r="T801">
        <f t="shared" si="1008"/>
        <v>0.85075777368077066</v>
      </c>
    </row>
    <row r="802" spans="1:20" x14ac:dyDescent="0.25">
      <c r="A802" s="5">
        <v>43791</v>
      </c>
      <c r="B802">
        <v>2.3279999999999999E-2</v>
      </c>
      <c r="C802">
        <v>2.3820000000000001E-2</v>
      </c>
      <c r="D802">
        <v>1.9959999999999999E-2</v>
      </c>
      <c r="E802">
        <v>2.179E-2</v>
      </c>
      <c r="F802">
        <v>12586752.5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-5.181347150259033E-2</v>
      </c>
      <c r="Q802">
        <f t="shared" si="1005"/>
        <v>-652163.34196890763</v>
      </c>
      <c r="R802">
        <f t="shared" si="1006"/>
        <v>84670139.697901621</v>
      </c>
      <c r="S802">
        <f t="shared" si="1007"/>
        <v>846.70139697901618</v>
      </c>
      <c r="T802">
        <f t="shared" si="1008"/>
        <v>0.84670139697901614</v>
      </c>
    </row>
    <row r="803" spans="1:20" x14ac:dyDescent="0.25">
      <c r="A803" s="5">
        <v>43790</v>
      </c>
      <c r="B803">
        <v>2.462E-2</v>
      </c>
      <c r="C803">
        <v>2.4899999999999999E-2</v>
      </c>
      <c r="D803">
        <v>2.1860000000000001E-2</v>
      </c>
      <c r="E803">
        <v>2.3279999999999999E-2</v>
      </c>
      <c r="F803">
        <v>8508051.8000000007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-6.5789473684211328E-2</v>
      </c>
      <c r="Q803">
        <f t="shared" si="1005"/>
        <v>-559740.25000000687</v>
      </c>
      <c r="R803">
        <f t="shared" si="1006"/>
        <v>85322303.03987053</v>
      </c>
      <c r="S803">
        <f t="shared" si="1007"/>
        <v>853.2230303987053</v>
      </c>
      <c r="T803">
        <f t="shared" si="1008"/>
        <v>0.85322303039870528</v>
      </c>
    </row>
    <row r="804" spans="1:20" x14ac:dyDescent="0.25">
      <c r="A804" s="5">
        <v>43789</v>
      </c>
      <c r="B804">
        <v>2.4899999999999999E-2</v>
      </c>
      <c r="C804">
        <v>2.5159999999999998E-2</v>
      </c>
      <c r="D804">
        <v>2.4500000000000001E-2</v>
      </c>
      <c r="E804">
        <v>2.462E-2</v>
      </c>
      <c r="F804">
        <v>7950728.7999999998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-0.63636363636363924</v>
      </c>
      <c r="Q804">
        <f t="shared" si="1005"/>
        <v>-5059554.6909091137</v>
      </c>
      <c r="R804">
        <f t="shared" si="1006"/>
        <v>85882043.28987053</v>
      </c>
      <c r="S804">
        <f t="shared" si="1007"/>
        <v>858.82043289870535</v>
      </c>
      <c r="T804">
        <f t="shared" si="1008"/>
        <v>0.85882043289870535</v>
      </c>
    </row>
    <row r="805" spans="1:20" x14ac:dyDescent="0.25">
      <c r="A805" s="5">
        <v>43788</v>
      </c>
      <c r="B805">
        <v>2.5559999999999999E-2</v>
      </c>
      <c r="C805">
        <v>2.5579999999999999E-2</v>
      </c>
      <c r="D805">
        <v>2.4510000000000001E-2</v>
      </c>
      <c r="E805">
        <v>2.4969999999999999E-2</v>
      </c>
      <c r="F805">
        <v>11361435.6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-0.14018691588785151</v>
      </c>
      <c r="Q805">
        <f t="shared" si="1005"/>
        <v>-1592724.6168224418</v>
      </c>
      <c r="R805">
        <f t="shared" si="1006"/>
        <v>90941597.980779648</v>
      </c>
      <c r="S805">
        <f t="shared" si="1007"/>
        <v>909.41597980779648</v>
      </c>
      <c r="T805">
        <f t="shared" si="1008"/>
        <v>0.90941597980779643</v>
      </c>
    </row>
    <row r="806" spans="1:20" x14ac:dyDescent="0.25">
      <c r="A806" s="5">
        <v>43787</v>
      </c>
      <c r="B806">
        <v>2.6550000000000001E-2</v>
      </c>
      <c r="C806">
        <v>2.6849999999999999E-2</v>
      </c>
      <c r="D806">
        <v>2.5100000000000001E-2</v>
      </c>
      <c r="E806">
        <v>2.5600000000000001E-2</v>
      </c>
      <c r="F806">
        <v>7443472.5999999996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-0.42857142857142744</v>
      </c>
      <c r="Q806">
        <f t="shared" si="1005"/>
        <v>-3190059.685714277</v>
      </c>
      <c r="R806">
        <f t="shared" si="1006"/>
        <v>92534322.597602084</v>
      </c>
      <c r="S806">
        <f t="shared" si="1007"/>
        <v>925.34322597602079</v>
      </c>
      <c r="T806">
        <f t="shared" si="1008"/>
        <v>0.92534322597602081</v>
      </c>
    </row>
    <row r="807" spans="1:20" x14ac:dyDescent="0.25">
      <c r="A807" s="5">
        <v>43786</v>
      </c>
      <c r="B807">
        <v>2.683E-2</v>
      </c>
      <c r="C807">
        <v>2.7E-2</v>
      </c>
      <c r="D807">
        <v>2.6329999999999999E-2</v>
      </c>
      <c r="E807">
        <v>2.6550000000000001E-2</v>
      </c>
      <c r="F807">
        <v>6037121.2999999998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-0.3432835820895484</v>
      </c>
      <c r="Q807">
        <f t="shared" si="1005"/>
        <v>-2072444.6253731111</v>
      </c>
      <c r="R807">
        <f t="shared" si="1006"/>
        <v>95724382.283316359</v>
      </c>
      <c r="S807">
        <f t="shared" si="1007"/>
        <v>957.24382283316356</v>
      </c>
      <c r="T807">
        <f t="shared" si="1008"/>
        <v>0.95724382283316356</v>
      </c>
    </row>
    <row r="808" spans="1:20" x14ac:dyDescent="0.25">
      <c r="A808" s="5">
        <v>43785</v>
      </c>
      <c r="B808">
        <v>2.6409999999999999E-2</v>
      </c>
      <c r="C808">
        <v>2.6890000000000001E-2</v>
      </c>
      <c r="D808">
        <v>2.6259999999999999E-2</v>
      </c>
      <c r="E808">
        <v>2.6769999999999999E-2</v>
      </c>
      <c r="F808">
        <v>12021173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0.61904761904761385</v>
      </c>
      <c r="Q808">
        <f t="shared" si="1005"/>
        <v>7441678.5238094609</v>
      </c>
      <c r="R808">
        <f t="shared" si="1006"/>
        <v>97796826.908689469</v>
      </c>
      <c r="S808">
        <f t="shared" si="1007"/>
        <v>977.96826908689468</v>
      </c>
      <c r="T808">
        <f t="shared" si="1008"/>
        <v>0.97796826908689471</v>
      </c>
    </row>
    <row r="809" spans="1:20" x14ac:dyDescent="0.25">
      <c r="A809" s="5">
        <v>43784</v>
      </c>
      <c r="B809">
        <v>2.7300000000000001E-2</v>
      </c>
      <c r="C809">
        <v>2.7480000000000001E-2</v>
      </c>
      <c r="D809">
        <v>2.6020000000000001E-2</v>
      </c>
      <c r="E809">
        <v>2.6440000000000002E-2</v>
      </c>
      <c r="F809">
        <v>9908165.6999999993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-0.42465753424657482</v>
      </c>
      <c r="Q809">
        <f t="shared" si="1005"/>
        <v>-4207577.2150684875</v>
      </c>
      <c r="R809">
        <f t="shared" si="1006"/>
        <v>90355148.384880006</v>
      </c>
      <c r="S809">
        <f t="shared" si="1007"/>
        <v>903.5514838488001</v>
      </c>
      <c r="T809">
        <f t="shared" si="1008"/>
        <v>0.90355148384880013</v>
      </c>
    </row>
    <row r="810" spans="1:20" x14ac:dyDescent="0.25">
      <c r="A810" s="5">
        <v>43783</v>
      </c>
      <c r="B810">
        <v>2.81E-2</v>
      </c>
      <c r="C810">
        <v>2.826E-2</v>
      </c>
      <c r="D810">
        <v>2.6630000000000001E-2</v>
      </c>
      <c r="E810">
        <v>2.726E-2</v>
      </c>
      <c r="F810">
        <v>10544969.699999999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-0.22699386503067631</v>
      </c>
      <c r="Q810">
        <f t="shared" si="1005"/>
        <v>-2393643.4288343713</v>
      </c>
      <c r="R810">
        <f t="shared" si="1006"/>
        <v>94562725.599948496</v>
      </c>
      <c r="S810">
        <f t="shared" si="1007"/>
        <v>945.62725599948499</v>
      </c>
      <c r="T810">
        <f t="shared" si="1008"/>
        <v>0.94562725599948494</v>
      </c>
    </row>
    <row r="811" spans="1:20" x14ac:dyDescent="0.25">
      <c r="A811" s="5">
        <v>43782</v>
      </c>
      <c r="B811">
        <v>2.8539999999999999E-2</v>
      </c>
      <c r="C811">
        <v>2.862E-2</v>
      </c>
      <c r="D811">
        <v>2.7900000000000001E-2</v>
      </c>
      <c r="E811">
        <v>2.8119999999999999E-2</v>
      </c>
      <c r="F811">
        <v>6937616.5999999996</v>
      </c>
      <c r="G811">
        <v>0</v>
      </c>
      <c r="L811" t="s">
        <v>7</v>
      </c>
      <c r="M811" t="s">
        <v>8</v>
      </c>
      <c r="N811" t="s">
        <v>7</v>
      </c>
      <c r="P811">
        <f t="shared" si="1004"/>
        <v>-0.38888888888889317</v>
      </c>
      <c r="Q811">
        <f t="shared" si="1005"/>
        <v>-2697962.0111111407</v>
      </c>
      <c r="R811">
        <f t="shared" si="1006"/>
        <v>96956369.028782859</v>
      </c>
      <c r="S811">
        <f t="shared" si="1007"/>
        <v>969.56369028782865</v>
      </c>
      <c r="T811">
        <f t="shared" si="1008"/>
        <v>0.96956369028782863</v>
      </c>
    </row>
    <row r="812" spans="1:20" x14ac:dyDescent="0.25">
      <c r="A812" s="5">
        <v>43781</v>
      </c>
      <c r="B812">
        <v>2.8580000000000001E-2</v>
      </c>
      <c r="C812">
        <v>2.8989999999999998E-2</v>
      </c>
      <c r="D812">
        <v>2.741E-2</v>
      </c>
      <c r="E812">
        <v>2.8539999999999999E-2</v>
      </c>
      <c r="F812">
        <v>12662049.5</v>
      </c>
      <c r="G812">
        <v>0</v>
      </c>
      <c r="L812" t="s">
        <v>7</v>
      </c>
      <c r="M812" t="s">
        <v>8</v>
      </c>
      <c r="N812" t="s">
        <v>7</v>
      </c>
      <c r="P812">
        <f t="shared" si="1004"/>
        <v>0.43037974683544361</v>
      </c>
      <c r="Q812">
        <f t="shared" si="1005"/>
        <v>5449489.6582278553</v>
      </c>
      <c r="R812">
        <f t="shared" si="1006"/>
        <v>99654331.039894</v>
      </c>
      <c r="S812">
        <f t="shared" si="1007"/>
        <v>996.54331039893998</v>
      </c>
      <c r="T812">
        <f t="shared" si="1008"/>
        <v>0.99654331039893995</v>
      </c>
    </row>
    <row r="813" spans="1:20" x14ac:dyDescent="0.25">
      <c r="A813" s="5">
        <v>43780</v>
      </c>
      <c r="B813">
        <v>2.9340000000000001E-2</v>
      </c>
      <c r="C813">
        <v>2.9350000000000001E-2</v>
      </c>
      <c r="D813">
        <v>2.7879999999999999E-2</v>
      </c>
      <c r="E813">
        <v>2.8500000000000001E-2</v>
      </c>
      <c r="F813">
        <v>10246090</v>
      </c>
      <c r="G813">
        <v>0</v>
      </c>
      <c r="L813" t="s">
        <v>8</v>
      </c>
      <c r="M813" t="s">
        <v>8</v>
      </c>
      <c r="N813" t="s">
        <v>7</v>
      </c>
      <c r="P813">
        <f t="shared" si="1004"/>
        <v>-0.15646258503401167</v>
      </c>
      <c r="Q813">
        <f t="shared" si="1005"/>
        <v>-1603129.7278911367</v>
      </c>
      <c r="R813">
        <f t="shared" si="1006"/>
        <v>94204841.381666139</v>
      </c>
      <c r="S813">
        <f t="shared" si="1007"/>
        <v>942.04841381666142</v>
      </c>
      <c r="T813">
        <f t="shared" si="1008"/>
        <v>0.94204841381666138</v>
      </c>
    </row>
    <row r="814" spans="1:20" x14ac:dyDescent="0.25">
      <c r="A814" s="5">
        <v>43779</v>
      </c>
      <c r="B814">
        <v>2.8629999999999999E-2</v>
      </c>
      <c r="C814">
        <v>2.9739999999999999E-2</v>
      </c>
      <c r="D814">
        <v>2.844E-2</v>
      </c>
      <c r="E814">
        <v>2.9340000000000001E-2</v>
      </c>
      <c r="F814">
        <v>13531019.699999999</v>
      </c>
      <c r="G814">
        <v>0</v>
      </c>
      <c r="L814" t="s">
        <v>8</v>
      </c>
      <c r="M814" t="s">
        <v>8</v>
      </c>
      <c r="N814" t="s">
        <v>7</v>
      </c>
      <c r="P814">
        <f t="shared" si="1004"/>
        <v>0.38461538461538791</v>
      </c>
      <c r="Q814">
        <f t="shared" si="1005"/>
        <v>5204238.3461538907</v>
      </c>
      <c r="R814">
        <f t="shared" si="1006"/>
        <v>95807971.109557271</v>
      </c>
      <c r="S814">
        <f t="shared" si="1007"/>
        <v>958.07971109557275</v>
      </c>
      <c r="T814">
        <f t="shared" si="1008"/>
        <v>0.95807971109557277</v>
      </c>
    </row>
    <row r="815" spans="1:20" x14ac:dyDescent="0.25">
      <c r="A815" s="5">
        <v>43778</v>
      </c>
      <c r="B815">
        <v>2.801E-2</v>
      </c>
      <c r="C815">
        <v>2.8979999999999999E-2</v>
      </c>
      <c r="D815">
        <v>2.7910000000000001E-2</v>
      </c>
      <c r="E815">
        <v>2.8660000000000001E-2</v>
      </c>
      <c r="F815">
        <v>7286564.0999999996</v>
      </c>
      <c r="G815">
        <v>0</v>
      </c>
      <c r="L815" t="s">
        <v>7</v>
      </c>
      <c r="M815" t="s">
        <v>8</v>
      </c>
      <c r="N815" t="s">
        <v>7</v>
      </c>
      <c r="P815">
        <f t="shared" si="1004"/>
        <v>0.40186915887850849</v>
      </c>
      <c r="Q815">
        <f t="shared" si="1005"/>
        <v>2928245.3859813362</v>
      </c>
      <c r="R815">
        <f t="shared" si="1006"/>
        <v>90603732.763403386</v>
      </c>
      <c r="S815">
        <f t="shared" si="1007"/>
        <v>906.03732763403389</v>
      </c>
      <c r="T815">
        <f t="shared" si="1008"/>
        <v>0.90603732763403388</v>
      </c>
    </row>
    <row r="816" spans="1:20" x14ac:dyDescent="0.25">
      <c r="A816" s="5">
        <v>43777</v>
      </c>
      <c r="B816">
        <v>2.9170000000000001E-2</v>
      </c>
      <c r="C816">
        <v>2.9819999999999999E-2</v>
      </c>
      <c r="D816">
        <v>2.7400000000000001E-2</v>
      </c>
      <c r="E816">
        <v>2.8160000000000001E-2</v>
      </c>
      <c r="F816">
        <v>18451001.800000001</v>
      </c>
      <c r="G816">
        <v>0</v>
      </c>
      <c r="L816" t="s">
        <v>7</v>
      </c>
      <c r="M816" t="s">
        <v>8</v>
      </c>
      <c r="N816" t="s">
        <v>7</v>
      </c>
      <c r="P816">
        <f t="shared" si="1004"/>
        <v>-0.37190082644628042</v>
      </c>
      <c r="Q816">
        <f t="shared" si="1005"/>
        <v>-6861942.8181818081</v>
      </c>
      <c r="R816">
        <f t="shared" si="1006"/>
        <v>87675487.37742205</v>
      </c>
      <c r="S816">
        <f t="shared" si="1007"/>
        <v>876.75487377422053</v>
      </c>
      <c r="T816">
        <f t="shared" si="1008"/>
        <v>0.87675487377422057</v>
      </c>
    </row>
    <row r="817" spans="1:20" x14ac:dyDescent="0.25">
      <c r="A817" s="5">
        <v>43776</v>
      </c>
      <c r="B817">
        <v>2.9520000000000001E-2</v>
      </c>
      <c r="C817">
        <v>2.9950000000000001E-2</v>
      </c>
      <c r="D817">
        <v>2.8740000000000002E-2</v>
      </c>
      <c r="E817">
        <v>2.9170000000000001E-2</v>
      </c>
      <c r="F817">
        <v>10061859.9</v>
      </c>
      <c r="G817">
        <v>0</v>
      </c>
      <c r="L817" t="s">
        <v>8</v>
      </c>
      <c r="M817" t="s">
        <v>8</v>
      </c>
      <c r="N817" t="s">
        <v>7</v>
      </c>
      <c r="P817">
        <f t="shared" si="1004"/>
        <v>-0.28925619834710731</v>
      </c>
      <c r="Q817">
        <f t="shared" si="1005"/>
        <v>-2910455.3429752053</v>
      </c>
      <c r="R817">
        <f t="shared" si="1006"/>
        <v>94537430.195603862</v>
      </c>
      <c r="S817">
        <f t="shared" si="1007"/>
        <v>945.37430195603861</v>
      </c>
      <c r="T817">
        <f t="shared" si="1008"/>
        <v>0.94537430195603855</v>
      </c>
    </row>
    <row r="818" spans="1:20" x14ac:dyDescent="0.25">
      <c r="A818" s="5">
        <v>43775</v>
      </c>
      <c r="B818">
        <v>2.9389999999999999E-2</v>
      </c>
      <c r="C818">
        <v>2.9950000000000001E-2</v>
      </c>
      <c r="D818">
        <v>2.9000000000000001E-2</v>
      </c>
      <c r="E818">
        <v>2.9600000000000001E-2</v>
      </c>
      <c r="F818">
        <v>12483176.300000001</v>
      </c>
      <c r="G818">
        <v>0</v>
      </c>
      <c r="L818" t="s">
        <v>8</v>
      </c>
      <c r="M818" t="s">
        <v>8</v>
      </c>
      <c r="N818" t="s">
        <v>7</v>
      </c>
      <c r="P818">
        <f t="shared" si="1004"/>
        <v>0.26315789473684248</v>
      </c>
      <c r="Q818">
        <f t="shared" si="1005"/>
        <v>3285046.3947368469</v>
      </c>
      <c r="R818">
        <f t="shared" si="1006"/>
        <v>97447885.538579062</v>
      </c>
      <c r="S818">
        <f t="shared" si="1007"/>
        <v>974.47885538579067</v>
      </c>
      <c r="T818">
        <f t="shared" si="1008"/>
        <v>0.97447885538579071</v>
      </c>
    </row>
    <row r="819" spans="1:20" x14ac:dyDescent="0.25">
      <c r="A819" s="5">
        <v>43774</v>
      </c>
      <c r="B819">
        <v>2.9350000000000001E-2</v>
      </c>
      <c r="C819">
        <v>2.963E-2</v>
      </c>
      <c r="D819">
        <v>2.877E-2</v>
      </c>
      <c r="E819">
        <v>2.945E-2</v>
      </c>
      <c r="F819">
        <v>9596096.0999999996</v>
      </c>
      <c r="G819">
        <v>0</v>
      </c>
      <c r="L819" t="s">
        <v>8</v>
      </c>
      <c r="M819" t="s">
        <v>8</v>
      </c>
      <c r="N819" t="s">
        <v>7</v>
      </c>
      <c r="P819">
        <f t="shared" si="1004"/>
        <v>0.58139534883721</v>
      </c>
      <c r="Q819">
        <f t="shared" si="1005"/>
        <v>5579125.6395348907</v>
      </c>
      <c r="R819">
        <f t="shared" si="1006"/>
        <v>94162839.14384222</v>
      </c>
      <c r="S819">
        <f t="shared" si="1007"/>
        <v>941.62839143842223</v>
      </c>
      <c r="T819">
        <f t="shared" si="1008"/>
        <v>0.94162839143842225</v>
      </c>
    </row>
    <row r="820" spans="1:20" x14ac:dyDescent="0.25">
      <c r="A820" s="5">
        <v>43773</v>
      </c>
      <c r="B820">
        <v>2.998E-2</v>
      </c>
      <c r="C820">
        <v>2.9989999999999999E-2</v>
      </c>
      <c r="D820">
        <v>2.869E-2</v>
      </c>
      <c r="E820">
        <v>2.9420000000000002E-2</v>
      </c>
      <c r="F820">
        <v>12488866</v>
      </c>
      <c r="G820">
        <v>0</v>
      </c>
      <c r="L820" t="s">
        <v>8</v>
      </c>
      <c r="M820" t="s">
        <v>8</v>
      </c>
      <c r="N820" t="s">
        <v>7</v>
      </c>
      <c r="P820">
        <f t="shared" si="1004"/>
        <v>0.12307692307692615</v>
      </c>
      <c r="Q820">
        <f t="shared" si="1005"/>
        <v>1537091.2000000384</v>
      </c>
      <c r="R820">
        <f t="shared" si="1006"/>
        <v>88583713.50430733</v>
      </c>
      <c r="S820">
        <f t="shared" si="1007"/>
        <v>885.83713504307332</v>
      </c>
      <c r="T820">
        <f t="shared" si="1008"/>
        <v>0.88583713504307326</v>
      </c>
    </row>
    <row r="821" spans="1:20" x14ac:dyDescent="0.25">
      <c r="A821" s="5">
        <v>43772</v>
      </c>
      <c r="B821">
        <v>2.929E-2</v>
      </c>
      <c r="C821">
        <v>3.0499999999999999E-2</v>
      </c>
      <c r="D821">
        <v>2.895E-2</v>
      </c>
      <c r="E821">
        <v>3.0030000000000001E-2</v>
      </c>
      <c r="F821">
        <v>15166144.199999999</v>
      </c>
      <c r="G821">
        <v>0</v>
      </c>
      <c r="L821" t="s">
        <v>8</v>
      </c>
      <c r="M821" t="s">
        <v>8</v>
      </c>
      <c r="N821" t="s">
        <v>7</v>
      </c>
      <c r="P821">
        <f t="shared" si="1004"/>
        <v>0.39354838709677625</v>
      </c>
      <c r="Q821">
        <f t="shared" si="1005"/>
        <v>5968611.588387128</v>
      </c>
      <c r="R821">
        <f t="shared" si="1006"/>
        <v>87046622.304307297</v>
      </c>
      <c r="S821">
        <f t="shared" si="1007"/>
        <v>870.466223043073</v>
      </c>
      <c r="T821">
        <f t="shared" si="1008"/>
        <v>0.87046622304307297</v>
      </c>
    </row>
    <row r="822" spans="1:20" x14ac:dyDescent="0.25">
      <c r="A822" s="5">
        <v>43771</v>
      </c>
      <c r="B822">
        <v>2.8799999999999999E-2</v>
      </c>
      <c r="C822">
        <v>2.9569999999999999E-2</v>
      </c>
      <c r="D822">
        <v>2.8570000000000002E-2</v>
      </c>
      <c r="E822">
        <v>2.9270000000000001E-2</v>
      </c>
      <c r="F822">
        <v>5577650.2999999998</v>
      </c>
      <c r="G822">
        <v>0</v>
      </c>
      <c r="L822" t="s">
        <v>7</v>
      </c>
      <c r="M822" t="s">
        <v>8</v>
      </c>
      <c r="N822" t="s">
        <v>7</v>
      </c>
      <c r="P822">
        <f t="shared" si="1004"/>
        <v>0.40000000000000208</v>
      </c>
      <c r="Q822">
        <f t="shared" si="1005"/>
        <v>2231060.1200000113</v>
      </c>
      <c r="R822">
        <f t="shared" si="1006"/>
        <v>81078010.715920165</v>
      </c>
      <c r="S822">
        <f t="shared" si="1007"/>
        <v>810.78010715920163</v>
      </c>
      <c r="T822">
        <f t="shared" si="1008"/>
        <v>0.81078010715920168</v>
      </c>
    </row>
    <row r="823" spans="1:20" x14ac:dyDescent="0.25">
      <c r="A823" s="5">
        <v>43770</v>
      </c>
      <c r="B823">
        <v>2.9069999999999999E-2</v>
      </c>
      <c r="C823">
        <v>2.93E-2</v>
      </c>
      <c r="D823">
        <v>2.7900000000000001E-2</v>
      </c>
      <c r="E823">
        <v>2.8750000000000001E-2</v>
      </c>
      <c r="F823">
        <v>8451351.1999999993</v>
      </c>
      <c r="G823">
        <v>0</v>
      </c>
      <c r="L823" t="s">
        <v>7</v>
      </c>
      <c r="M823" t="s">
        <v>8</v>
      </c>
      <c r="N823" t="s">
        <v>7</v>
      </c>
      <c r="P823">
        <f t="shared" si="1004"/>
        <v>0.21428571428571569</v>
      </c>
      <c r="Q823">
        <f t="shared" si="1005"/>
        <v>1811003.8285714402</v>
      </c>
      <c r="R823">
        <f t="shared" si="1006"/>
        <v>78846950.59592016</v>
      </c>
      <c r="S823">
        <f t="shared" si="1007"/>
        <v>788.46950595920157</v>
      </c>
      <c r="T823">
        <f t="shared" si="1008"/>
        <v>0.78846950595920162</v>
      </c>
    </row>
    <row r="824" spans="1:20" x14ac:dyDescent="0.25">
      <c r="A824" s="5">
        <v>43769</v>
      </c>
      <c r="B824">
        <v>2.9010000000000001E-2</v>
      </c>
      <c r="C824">
        <v>2.997E-2</v>
      </c>
      <c r="D824">
        <v>2.8119999999999999E-2</v>
      </c>
      <c r="E824">
        <v>2.9080000000000002E-2</v>
      </c>
      <c r="F824">
        <v>14343812</v>
      </c>
      <c r="G824">
        <v>0</v>
      </c>
      <c r="L824" t="s">
        <v>7</v>
      </c>
      <c r="M824" t="s">
        <v>8</v>
      </c>
      <c r="N824" t="s">
        <v>7</v>
      </c>
      <c r="P824">
        <f t="shared" si="1004"/>
        <v>3.7837837837840026E-2</v>
      </c>
      <c r="Q824">
        <f t="shared" si="1005"/>
        <v>542738.83243246377</v>
      </c>
      <c r="R824">
        <f t="shared" si="1006"/>
        <v>77035946.767348722</v>
      </c>
      <c r="S824">
        <f t="shared" si="1007"/>
        <v>770.35946767348719</v>
      </c>
      <c r="T824">
        <f t="shared" si="1008"/>
        <v>0.77035946767348717</v>
      </c>
    </row>
    <row r="825" spans="1:20" x14ac:dyDescent="0.25">
      <c r="A825" s="5">
        <v>43768</v>
      </c>
      <c r="B825">
        <v>2.9829999999999999E-2</v>
      </c>
      <c r="C825">
        <v>0.03</v>
      </c>
      <c r="D825">
        <v>2.836E-2</v>
      </c>
      <c r="E825">
        <v>2.9000000000000001E-2</v>
      </c>
      <c r="F825">
        <v>5915972.9000000004</v>
      </c>
      <c r="G825">
        <v>0</v>
      </c>
      <c r="L825" t="s">
        <v>7</v>
      </c>
      <c r="M825" t="s">
        <v>8</v>
      </c>
      <c r="N825" t="s">
        <v>7</v>
      </c>
      <c r="P825">
        <f t="shared" si="1004"/>
        <v>-0.21951219512194875</v>
      </c>
      <c r="Q825">
        <f t="shared" si="1005"/>
        <v>-1298628.1975609611</v>
      </c>
      <c r="R825">
        <f t="shared" si="1006"/>
        <v>76493207.934916258</v>
      </c>
      <c r="S825">
        <f t="shared" si="1007"/>
        <v>764.93207934916256</v>
      </c>
      <c r="T825">
        <f t="shared" si="1008"/>
        <v>0.76493207934916252</v>
      </c>
    </row>
    <row r="826" spans="1:20" x14ac:dyDescent="0.25">
      <c r="A826" s="5">
        <v>43767</v>
      </c>
      <c r="B826">
        <v>3.041E-2</v>
      </c>
      <c r="C826">
        <v>3.1189999999999999E-2</v>
      </c>
      <c r="D826">
        <v>2.9399999999999999E-2</v>
      </c>
      <c r="E826">
        <v>2.9989999999999999E-2</v>
      </c>
      <c r="F826">
        <v>9709148.3000000007</v>
      </c>
      <c r="G826">
        <v>0</v>
      </c>
      <c r="L826" t="s">
        <v>7</v>
      </c>
      <c r="M826" t="s">
        <v>8</v>
      </c>
      <c r="N826" t="s">
        <v>7</v>
      </c>
      <c r="P826">
        <f t="shared" si="1004"/>
        <v>-0.34078212290502763</v>
      </c>
      <c r="Q826">
        <f t="shared" si="1005"/>
        <v>-3308704.1692737401</v>
      </c>
      <c r="R826">
        <f t="shared" si="1006"/>
        <v>77791836.132477224</v>
      </c>
      <c r="S826">
        <f t="shared" si="1007"/>
        <v>777.91836132477226</v>
      </c>
      <c r="T826">
        <f t="shared" si="1008"/>
        <v>0.77791836132477221</v>
      </c>
    </row>
    <row r="827" spans="1:20" x14ac:dyDescent="0.25">
      <c r="A827" s="5">
        <v>43766</v>
      </c>
      <c r="B827">
        <v>2.9739999999999999E-2</v>
      </c>
      <c r="C827">
        <v>3.1800000000000002E-2</v>
      </c>
      <c r="D827">
        <v>2.8760000000000001E-2</v>
      </c>
      <c r="E827">
        <v>3.0460000000000001E-2</v>
      </c>
      <c r="F827">
        <v>13308057.199999999</v>
      </c>
      <c r="G827">
        <v>0</v>
      </c>
      <c r="L827" t="s">
        <v>8</v>
      </c>
      <c r="M827" t="s">
        <v>8</v>
      </c>
      <c r="N827" t="s">
        <v>7</v>
      </c>
      <c r="P827">
        <f t="shared" si="1004"/>
        <v>0.11842105263157865</v>
      </c>
      <c r="Q827">
        <f t="shared" si="1005"/>
        <v>1575954.142105259</v>
      </c>
      <c r="R827">
        <f t="shared" si="1006"/>
        <v>81100540.301750958</v>
      </c>
      <c r="S827">
        <f t="shared" si="1007"/>
        <v>811.00540301750959</v>
      </c>
      <c r="T827">
        <f t="shared" si="1008"/>
        <v>0.81100540301750956</v>
      </c>
    </row>
    <row r="828" spans="1:20" x14ac:dyDescent="0.25">
      <c r="A828" s="5">
        <v>43765</v>
      </c>
      <c r="B828">
        <v>2.887E-2</v>
      </c>
      <c r="C828">
        <v>3.0550000000000001E-2</v>
      </c>
      <c r="D828">
        <v>2.75E-2</v>
      </c>
      <c r="E828">
        <v>2.9749999999999999E-2</v>
      </c>
      <c r="F828">
        <v>18989250.899999999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0.47540983606557252</v>
      </c>
      <c r="Q828">
        <f t="shared" si="1005"/>
        <v>9027676.6573770251</v>
      </c>
      <c r="R828">
        <f t="shared" si="1006"/>
        <v>79524586.159645692</v>
      </c>
      <c r="S828">
        <f t="shared" si="1007"/>
        <v>795.24586159645696</v>
      </c>
      <c r="T828">
        <f t="shared" si="1008"/>
        <v>0.79524586159645694</v>
      </c>
    </row>
    <row r="829" spans="1:20" x14ac:dyDescent="0.25">
      <c r="A829" s="5">
        <v>43764</v>
      </c>
      <c r="B829">
        <v>2.9669999999999998E-2</v>
      </c>
      <c r="C829">
        <v>3.2000000000000001E-2</v>
      </c>
      <c r="D829">
        <v>2.7199999999999998E-2</v>
      </c>
      <c r="E829">
        <v>2.887E-2</v>
      </c>
      <c r="F829">
        <v>41594716.299999997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-0.30416666666666642</v>
      </c>
      <c r="Q829">
        <f t="shared" si="1005"/>
        <v>-12651726.207916655</v>
      </c>
      <c r="R829">
        <f t="shared" si="1006"/>
        <v>70496909.502268672</v>
      </c>
      <c r="S829">
        <f t="shared" si="1007"/>
        <v>704.9690950226867</v>
      </c>
      <c r="T829">
        <f t="shared" si="1008"/>
        <v>0.70496909502268668</v>
      </c>
    </row>
    <row r="830" spans="1:20" x14ac:dyDescent="0.25">
      <c r="A830" s="5">
        <v>43763</v>
      </c>
      <c r="B830">
        <v>2.7980000000000001E-2</v>
      </c>
      <c r="C830">
        <v>2.962E-2</v>
      </c>
      <c r="D830">
        <v>2.6980000000000001E-2</v>
      </c>
      <c r="E830">
        <v>2.9590000000000002E-2</v>
      </c>
      <c r="F830">
        <v>29205599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0.97727272727272818</v>
      </c>
      <c r="Q830">
        <f t="shared" si="1005"/>
        <v>28541835.386363663</v>
      </c>
      <c r="R830">
        <f t="shared" si="1006"/>
        <v>83148635.710185319</v>
      </c>
      <c r="S830">
        <f t="shared" si="1007"/>
        <v>831.48635710185317</v>
      </c>
      <c r="T830">
        <f t="shared" si="1008"/>
        <v>0.83148635710185315</v>
      </c>
    </row>
    <row r="831" spans="1:20" x14ac:dyDescent="0.25">
      <c r="A831" s="5">
        <v>43762</v>
      </c>
      <c r="B831">
        <v>2.7619999999999999E-2</v>
      </c>
      <c r="C831">
        <v>2.844E-2</v>
      </c>
      <c r="D831">
        <v>2.681E-2</v>
      </c>
      <c r="E831">
        <v>2.8049999999999999E-2</v>
      </c>
      <c r="F831">
        <v>10862692</v>
      </c>
      <c r="G831">
        <v>0</v>
      </c>
      <c r="L831" t="s">
        <v>8</v>
      </c>
      <c r="M831" t="s">
        <v>7</v>
      </c>
      <c r="N831" t="s">
        <v>7</v>
      </c>
      <c r="P831">
        <f t="shared" ref="P831:P860" si="1009">IF(C831=D831,0,((E831-D831)-(C831-E831))/(C831-D831))</f>
        <v>0.52147239263803491</v>
      </c>
      <c r="Q831">
        <f t="shared" ref="Q831:Q860" si="1010">F831*P831</f>
        <v>5664593.9877300411</v>
      </c>
      <c r="R831">
        <f t="shared" ref="R831:R860" si="1011">R832+Q831</f>
        <v>54606800.323821649</v>
      </c>
      <c r="S831">
        <f t="shared" ref="S831:S860" si="1012">R831/100000</f>
        <v>546.06800323821653</v>
      </c>
      <c r="T831">
        <f t="shared" ref="T831:T860" si="1013">S831/1000</f>
        <v>0.54606800323821658</v>
      </c>
    </row>
    <row r="832" spans="1:20" x14ac:dyDescent="0.25">
      <c r="A832" s="5">
        <v>43761</v>
      </c>
      <c r="B832">
        <v>3.1029999999999999E-2</v>
      </c>
      <c r="C832">
        <v>3.1289999999999998E-2</v>
      </c>
      <c r="D832">
        <v>2.6519999999999998E-2</v>
      </c>
      <c r="E832">
        <v>2.7720000000000002E-2</v>
      </c>
      <c r="F832">
        <v>17512488.899999999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-0.49685534591194835</v>
      </c>
      <c r="Q832">
        <f t="shared" si="1010"/>
        <v>-8701173.7301886547</v>
      </c>
      <c r="R832">
        <f t="shared" si="1011"/>
        <v>48942206.336091608</v>
      </c>
      <c r="S832">
        <f t="shared" si="1012"/>
        <v>489.42206336091607</v>
      </c>
      <c r="T832">
        <f t="shared" si="1013"/>
        <v>0.48942206336091609</v>
      </c>
    </row>
    <row r="833" spans="1:20" x14ac:dyDescent="0.25">
      <c r="A833" s="5">
        <v>43760</v>
      </c>
      <c r="B833">
        <v>3.1269999999999999E-2</v>
      </c>
      <c r="C833">
        <v>3.2070000000000001E-2</v>
      </c>
      <c r="D833">
        <v>3.074E-2</v>
      </c>
      <c r="E833">
        <v>3.1029999999999999E-2</v>
      </c>
      <c r="F833">
        <v>12207970.4</v>
      </c>
      <c r="G833">
        <v>0</v>
      </c>
      <c r="L833" t="s">
        <v>7</v>
      </c>
      <c r="M833" t="s">
        <v>7</v>
      </c>
      <c r="N833" t="s">
        <v>8</v>
      </c>
      <c r="P833">
        <f t="shared" si="1009"/>
        <v>-0.5639097744360928</v>
      </c>
      <c r="Q833">
        <f t="shared" si="1010"/>
        <v>-6884193.8345864974</v>
      </c>
      <c r="R833">
        <f t="shared" si="1011"/>
        <v>57643380.066280261</v>
      </c>
      <c r="S833">
        <f t="shared" si="1012"/>
        <v>576.43380066280258</v>
      </c>
      <c r="T833">
        <f t="shared" si="1013"/>
        <v>0.57643380066280259</v>
      </c>
    </row>
    <row r="834" spans="1:20" x14ac:dyDescent="0.25">
      <c r="A834" s="5">
        <v>43759</v>
      </c>
      <c r="B834">
        <v>3.1649999999999998E-2</v>
      </c>
      <c r="C834">
        <v>3.1820000000000001E-2</v>
      </c>
      <c r="D834">
        <v>3.0689999999999999E-2</v>
      </c>
      <c r="E834">
        <v>3.1269999999999999E-2</v>
      </c>
      <c r="F834">
        <v>9191402.1999999993</v>
      </c>
      <c r="G834">
        <v>0</v>
      </c>
      <c r="L834" t="s">
        <v>7</v>
      </c>
      <c r="M834" t="s">
        <v>7</v>
      </c>
      <c r="N834" t="s">
        <v>8</v>
      </c>
      <c r="P834">
        <f t="shared" si="1009"/>
        <v>2.654867256637054E-2</v>
      </c>
      <c r="Q834">
        <f t="shared" si="1010"/>
        <v>244019.5274336178</v>
      </c>
      <c r="R834">
        <f t="shared" si="1011"/>
        <v>64527573.900866754</v>
      </c>
      <c r="S834">
        <f t="shared" si="1012"/>
        <v>645.27573900866753</v>
      </c>
      <c r="T834">
        <f t="shared" si="1013"/>
        <v>0.64527573900866753</v>
      </c>
    </row>
    <row r="835" spans="1:20" x14ac:dyDescent="0.25">
      <c r="A835" s="5">
        <v>43758</v>
      </c>
      <c r="B835">
        <v>3.1449999999999999E-2</v>
      </c>
      <c r="C835">
        <v>3.1829999999999997E-2</v>
      </c>
      <c r="D835">
        <v>3.0339999999999999E-2</v>
      </c>
      <c r="E835">
        <v>3.1789999999999999E-2</v>
      </c>
      <c r="F835">
        <v>4700591.3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0.94630872483221684</v>
      </c>
      <c r="Q835">
        <f t="shared" si="1010"/>
        <v>4448210.5590604125</v>
      </c>
      <c r="R835">
        <f t="shared" si="1011"/>
        <v>64283554.373433135</v>
      </c>
      <c r="S835">
        <f t="shared" si="1012"/>
        <v>642.8355437343314</v>
      </c>
      <c r="T835">
        <f t="shared" si="1013"/>
        <v>0.64283554373433138</v>
      </c>
    </row>
    <row r="836" spans="1:20" x14ac:dyDescent="0.25">
      <c r="A836" s="5">
        <v>43757</v>
      </c>
      <c r="B836">
        <v>3.0890000000000001E-2</v>
      </c>
      <c r="C836">
        <v>3.1739999999999997E-2</v>
      </c>
      <c r="D836">
        <v>3.0720000000000001E-2</v>
      </c>
      <c r="E836">
        <v>3.1449999999999999E-2</v>
      </c>
      <c r="F836">
        <v>4193040.8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0.4313725490196087</v>
      </c>
      <c r="Q836">
        <f t="shared" si="1010"/>
        <v>1808762.6980392192</v>
      </c>
      <c r="R836">
        <f t="shared" si="1011"/>
        <v>59835343.814372726</v>
      </c>
      <c r="S836">
        <f t="shared" si="1012"/>
        <v>598.3534381437272</v>
      </c>
      <c r="T836">
        <f t="shared" si="1013"/>
        <v>0.59835343814372721</v>
      </c>
    </row>
    <row r="837" spans="1:20" x14ac:dyDescent="0.25">
      <c r="A837" s="5">
        <v>43756</v>
      </c>
      <c r="B837">
        <v>3.2899999999999999E-2</v>
      </c>
      <c r="C837">
        <v>3.3459999999999997E-2</v>
      </c>
      <c r="D837">
        <v>3.0329999999999999E-2</v>
      </c>
      <c r="E837">
        <v>3.1130000000000001E-2</v>
      </c>
      <c r="F837">
        <v>14853163.699999999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-0.48881789137380016</v>
      </c>
      <c r="Q837">
        <f t="shared" si="1010"/>
        <v>-7260492.1600638712</v>
      </c>
      <c r="R837">
        <f t="shared" si="1011"/>
        <v>58026581.116333507</v>
      </c>
      <c r="S837">
        <f t="shared" si="1012"/>
        <v>580.26581116333512</v>
      </c>
      <c r="T837">
        <f t="shared" si="1013"/>
        <v>0.58026581116333509</v>
      </c>
    </row>
    <row r="838" spans="1:20" x14ac:dyDescent="0.25">
      <c r="A838" s="5">
        <v>43755</v>
      </c>
      <c r="B838">
        <v>3.2000000000000001E-2</v>
      </c>
      <c r="C838">
        <v>3.3329999999999999E-2</v>
      </c>
      <c r="D838">
        <v>3.091E-2</v>
      </c>
      <c r="E838">
        <v>3.2899999999999999E-2</v>
      </c>
      <c r="F838">
        <v>14721760.9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0.64462809917355368</v>
      </c>
      <c r="Q838">
        <f t="shared" si="1010"/>
        <v>9490060.7454545461</v>
      </c>
      <c r="R838">
        <f t="shared" si="1011"/>
        <v>65287073.276397377</v>
      </c>
      <c r="S838">
        <f t="shared" si="1012"/>
        <v>652.87073276397382</v>
      </c>
      <c r="T838">
        <f t="shared" si="1013"/>
        <v>0.65287073276397378</v>
      </c>
    </row>
    <row r="839" spans="1:20" x14ac:dyDescent="0.25">
      <c r="A839" s="5">
        <v>43754</v>
      </c>
      <c r="B839">
        <v>3.4020000000000002E-2</v>
      </c>
      <c r="C839">
        <v>3.4200000000000001E-2</v>
      </c>
      <c r="D839">
        <v>3.0800000000000001E-2</v>
      </c>
      <c r="E839">
        <v>3.2000000000000001E-2</v>
      </c>
      <c r="F839">
        <v>12327185.699999999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-0.29411764705882376</v>
      </c>
      <c r="Q839">
        <f t="shared" si="1010"/>
        <v>-3625642.8529411792</v>
      </c>
      <c r="R839">
        <f t="shared" si="1011"/>
        <v>55797012.530942835</v>
      </c>
      <c r="S839">
        <f t="shared" si="1012"/>
        <v>557.97012530942834</v>
      </c>
      <c r="T839">
        <f t="shared" si="1013"/>
        <v>0.55797012530942836</v>
      </c>
    </row>
    <row r="840" spans="1:20" x14ac:dyDescent="0.25">
      <c r="A840" s="5">
        <v>43753</v>
      </c>
      <c r="B840">
        <v>3.6260000000000001E-2</v>
      </c>
      <c r="C840">
        <v>3.6400000000000002E-2</v>
      </c>
      <c r="D840">
        <v>3.363E-2</v>
      </c>
      <c r="E840">
        <v>3.3869999999999997E-2</v>
      </c>
      <c r="F840">
        <v>15919643.6</v>
      </c>
      <c r="G840">
        <v>0</v>
      </c>
      <c r="L840" t="s">
        <v>7</v>
      </c>
      <c r="M840" t="s">
        <v>8</v>
      </c>
      <c r="N840" t="s">
        <v>8</v>
      </c>
      <c r="P840">
        <f t="shared" si="1009"/>
        <v>-0.82671480144404552</v>
      </c>
      <c r="Q840">
        <f t="shared" si="1010"/>
        <v>-13161004.997833969</v>
      </c>
      <c r="R840">
        <f t="shared" si="1011"/>
        <v>59422655.383884013</v>
      </c>
      <c r="S840">
        <f t="shared" si="1012"/>
        <v>594.22655383884012</v>
      </c>
      <c r="T840">
        <f t="shared" si="1013"/>
        <v>0.59422655383884015</v>
      </c>
    </row>
    <row r="841" spans="1:20" x14ac:dyDescent="0.25">
      <c r="A841" s="5">
        <v>43752</v>
      </c>
      <c r="B841">
        <v>3.6409999999999998E-2</v>
      </c>
      <c r="C841">
        <v>3.6799999999999999E-2</v>
      </c>
      <c r="D841">
        <v>3.4939999999999999E-2</v>
      </c>
      <c r="E841">
        <v>3.6150000000000002E-2</v>
      </c>
      <c r="F841">
        <v>11341500.699999999</v>
      </c>
      <c r="G841">
        <v>0</v>
      </c>
      <c r="L841" t="s">
        <v>7</v>
      </c>
      <c r="M841" t="s">
        <v>8</v>
      </c>
      <c r="N841" t="s">
        <v>8</v>
      </c>
      <c r="P841">
        <f t="shared" si="1009"/>
        <v>0.30107526881720686</v>
      </c>
      <c r="Q841">
        <f t="shared" si="1010"/>
        <v>3414645.3720430396</v>
      </c>
      <c r="R841">
        <f t="shared" si="1011"/>
        <v>72583660.38171798</v>
      </c>
      <c r="S841">
        <f t="shared" si="1012"/>
        <v>725.83660381717982</v>
      </c>
      <c r="T841">
        <f t="shared" si="1013"/>
        <v>0.72583660381717985</v>
      </c>
    </row>
    <row r="842" spans="1:20" x14ac:dyDescent="0.25">
      <c r="A842" s="5">
        <v>43751</v>
      </c>
      <c r="B842">
        <v>3.848E-2</v>
      </c>
      <c r="C842">
        <v>3.8600000000000002E-2</v>
      </c>
      <c r="D842">
        <v>3.576E-2</v>
      </c>
      <c r="E842">
        <v>3.6409999999999998E-2</v>
      </c>
      <c r="F842">
        <v>13585242.1</v>
      </c>
      <c r="G842">
        <v>0</v>
      </c>
      <c r="L842" t="s">
        <v>7</v>
      </c>
      <c r="M842" t="s">
        <v>8</v>
      </c>
      <c r="N842" t="s">
        <v>8</v>
      </c>
      <c r="P842">
        <f t="shared" si="1009"/>
        <v>-0.54225352112676251</v>
      </c>
      <c r="Q842">
        <f t="shared" si="1010"/>
        <v>-7366645.3640845334</v>
      </c>
      <c r="R842">
        <f t="shared" si="1011"/>
        <v>69169015.009674937</v>
      </c>
      <c r="S842">
        <f t="shared" si="1012"/>
        <v>691.69015009674933</v>
      </c>
      <c r="T842">
        <f t="shared" si="1013"/>
        <v>0.69169015009674939</v>
      </c>
    </row>
    <row r="843" spans="1:20" x14ac:dyDescent="0.25">
      <c r="A843" s="5">
        <v>43750</v>
      </c>
      <c r="B843">
        <v>3.5589999999999997E-2</v>
      </c>
      <c r="C843">
        <v>3.8879999999999998E-2</v>
      </c>
      <c r="D843">
        <v>3.5529999999999999E-2</v>
      </c>
      <c r="E843">
        <v>3.8429999999999999E-2</v>
      </c>
      <c r="F843">
        <v>21408993.100000001</v>
      </c>
      <c r="G843">
        <v>0</v>
      </c>
      <c r="L843" t="s">
        <v>8</v>
      </c>
      <c r="M843" t="s">
        <v>8</v>
      </c>
      <c r="N843" t="s">
        <v>8</v>
      </c>
      <c r="P843">
        <f t="shared" si="1009"/>
        <v>0.73134328358209</v>
      </c>
      <c r="Q843">
        <f t="shared" si="1010"/>
        <v>15657323.311940309</v>
      </c>
      <c r="R843">
        <f t="shared" si="1011"/>
        <v>76535660.373759463</v>
      </c>
      <c r="S843">
        <f t="shared" si="1012"/>
        <v>765.35660373759458</v>
      </c>
      <c r="T843">
        <f t="shared" si="1013"/>
        <v>0.76535660373759462</v>
      </c>
    </row>
    <row r="844" spans="1:20" x14ac:dyDescent="0.25">
      <c r="A844" s="5">
        <v>43749</v>
      </c>
      <c r="B844">
        <v>3.7900000000000003E-2</v>
      </c>
      <c r="C844">
        <v>3.8330000000000003E-2</v>
      </c>
      <c r="D844">
        <v>3.4369999999999998E-2</v>
      </c>
      <c r="E844">
        <v>3.5569999999999997E-2</v>
      </c>
      <c r="F844">
        <v>37111864.5</v>
      </c>
      <c r="G844">
        <v>0</v>
      </c>
      <c r="L844" t="s">
        <v>7</v>
      </c>
      <c r="M844" t="s">
        <v>8</v>
      </c>
      <c r="N844" t="s">
        <v>8</v>
      </c>
      <c r="P844">
        <f t="shared" si="1009"/>
        <v>-0.39393939393939492</v>
      </c>
      <c r="Q844">
        <f t="shared" si="1010"/>
        <v>-14619825.409090945</v>
      </c>
      <c r="R844">
        <f t="shared" si="1011"/>
        <v>60878337.061819158</v>
      </c>
      <c r="S844">
        <f t="shared" si="1012"/>
        <v>608.78337061819161</v>
      </c>
      <c r="T844">
        <f t="shared" si="1013"/>
        <v>0.60878337061819165</v>
      </c>
    </row>
    <row r="845" spans="1:20" x14ac:dyDescent="0.25">
      <c r="A845" s="5">
        <v>43748</v>
      </c>
      <c r="B845">
        <v>3.3419999999999998E-2</v>
      </c>
      <c r="C845">
        <v>3.9E-2</v>
      </c>
      <c r="D845">
        <v>3.3050000000000003E-2</v>
      </c>
      <c r="E845">
        <v>3.7900000000000003E-2</v>
      </c>
      <c r="F845">
        <v>46889075.5</v>
      </c>
      <c r="G845">
        <v>0</v>
      </c>
      <c r="L845" t="s">
        <v>8</v>
      </c>
      <c r="M845" t="s">
        <v>8</v>
      </c>
      <c r="N845" t="s">
        <v>8</v>
      </c>
      <c r="P845">
        <f t="shared" si="1009"/>
        <v>0.630252100840337</v>
      </c>
      <c r="Q845">
        <f t="shared" si="1010"/>
        <v>29551938.340336174</v>
      </c>
      <c r="R845">
        <f t="shared" si="1011"/>
        <v>75498162.470910102</v>
      </c>
      <c r="S845">
        <f t="shared" si="1012"/>
        <v>754.98162470910097</v>
      </c>
      <c r="T845">
        <f t="shared" si="1013"/>
        <v>0.75498162470910102</v>
      </c>
    </row>
    <row r="846" spans="1:20" x14ac:dyDescent="0.25">
      <c r="A846" s="5">
        <v>43747</v>
      </c>
      <c r="B846">
        <v>3.1989999999999998E-2</v>
      </c>
      <c r="C846">
        <v>3.4200000000000001E-2</v>
      </c>
      <c r="D846">
        <v>3.1E-2</v>
      </c>
      <c r="E846">
        <v>3.3270000000000001E-2</v>
      </c>
      <c r="F846">
        <v>14632787.4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0.41875000000000012</v>
      </c>
      <c r="Q846">
        <f t="shared" si="1010"/>
        <v>6127479.7237500018</v>
      </c>
      <c r="R846">
        <f t="shared" si="1011"/>
        <v>45946224.130573921</v>
      </c>
      <c r="S846">
        <f t="shared" si="1012"/>
        <v>459.46224130573921</v>
      </c>
      <c r="T846">
        <f t="shared" si="1013"/>
        <v>0.45946224130573921</v>
      </c>
    </row>
    <row r="847" spans="1:20" x14ac:dyDescent="0.25">
      <c r="A847" s="5">
        <v>43746</v>
      </c>
      <c r="B847">
        <v>3.2419999999999997E-2</v>
      </c>
      <c r="C847">
        <v>3.2919999999999998E-2</v>
      </c>
      <c r="D847">
        <v>3.092E-2</v>
      </c>
      <c r="E847">
        <v>3.2030000000000003E-2</v>
      </c>
      <c r="F847">
        <v>10581232.9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0.11000000000000429</v>
      </c>
      <c r="Q847">
        <f t="shared" si="1010"/>
        <v>1163935.6190000453</v>
      </c>
      <c r="R847">
        <f t="shared" si="1011"/>
        <v>39818744.406823918</v>
      </c>
      <c r="S847">
        <f t="shared" si="1012"/>
        <v>398.18744406823919</v>
      </c>
      <c r="T847">
        <f t="shared" si="1013"/>
        <v>0.39818744406823919</v>
      </c>
    </row>
    <row r="848" spans="1:20" x14ac:dyDescent="0.25">
      <c r="A848" s="5">
        <v>43745</v>
      </c>
      <c r="B848">
        <v>3.041E-2</v>
      </c>
      <c r="C848">
        <v>3.3009999999999998E-2</v>
      </c>
      <c r="D848">
        <v>3.0079999999999999E-2</v>
      </c>
      <c r="E848">
        <v>3.2419999999999997E-2</v>
      </c>
      <c r="F848">
        <v>6248092.9000000004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0.59726962457337851</v>
      </c>
      <c r="Q848">
        <f t="shared" si="1010"/>
        <v>3731796.100682592</v>
      </c>
      <c r="R848">
        <f t="shared" si="1011"/>
        <v>38654808.787823871</v>
      </c>
      <c r="S848">
        <f t="shared" si="1012"/>
        <v>386.54808787823873</v>
      </c>
      <c r="T848">
        <f t="shared" si="1013"/>
        <v>0.38654808787823874</v>
      </c>
    </row>
    <row r="849" spans="1:20" x14ac:dyDescent="0.25">
      <c r="A849" s="5">
        <v>43744</v>
      </c>
      <c r="B849">
        <v>3.2000000000000001E-2</v>
      </c>
      <c r="C849">
        <v>3.2000000000000001E-2</v>
      </c>
      <c r="D849">
        <v>2.972E-2</v>
      </c>
      <c r="E849">
        <v>3.0200000000000001E-2</v>
      </c>
      <c r="F849">
        <v>6137123.9000000004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-0.57894736842105166</v>
      </c>
      <c r="Q849">
        <f t="shared" si="1010"/>
        <v>-3553071.7315789415</v>
      </c>
      <c r="R849">
        <f t="shared" si="1011"/>
        <v>34923012.687141277</v>
      </c>
      <c r="S849">
        <f t="shared" si="1012"/>
        <v>349.23012687141278</v>
      </c>
      <c r="T849">
        <f t="shared" si="1013"/>
        <v>0.3492301268714128</v>
      </c>
    </row>
    <row r="850" spans="1:20" x14ac:dyDescent="0.25">
      <c r="A850" s="5">
        <v>43743</v>
      </c>
      <c r="B850">
        <v>3.1210000000000002E-2</v>
      </c>
      <c r="C850">
        <v>3.2000000000000001E-2</v>
      </c>
      <c r="D850">
        <v>2.9499999999999998E-2</v>
      </c>
      <c r="E850">
        <v>3.2000000000000001E-2</v>
      </c>
      <c r="F850">
        <v>7760644.4000000004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1</v>
      </c>
      <c r="Q850">
        <f t="shared" si="1010"/>
        <v>7760644.4000000004</v>
      </c>
      <c r="R850">
        <f t="shared" si="1011"/>
        <v>38476084.418720216</v>
      </c>
      <c r="S850">
        <f t="shared" si="1012"/>
        <v>384.76084418720217</v>
      </c>
      <c r="T850">
        <f t="shared" si="1013"/>
        <v>0.38476084418720219</v>
      </c>
    </row>
    <row r="851" spans="1:20" x14ac:dyDescent="0.25">
      <c r="A851" s="5">
        <v>43742</v>
      </c>
      <c r="B851">
        <v>3.0290000000000001E-2</v>
      </c>
      <c r="C851">
        <v>3.141E-2</v>
      </c>
      <c r="D851">
        <v>2.8750000000000001E-2</v>
      </c>
      <c r="E851">
        <v>3.1210000000000002E-2</v>
      </c>
      <c r="F851">
        <v>12205112.699999999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0.84962406015037684</v>
      </c>
      <c r="Q851">
        <f t="shared" si="1010"/>
        <v>10369757.406766927</v>
      </c>
      <c r="R851">
        <f t="shared" si="1011"/>
        <v>30715440.018720217</v>
      </c>
      <c r="S851">
        <f t="shared" si="1012"/>
        <v>307.15440018720216</v>
      </c>
      <c r="T851">
        <f t="shared" si="1013"/>
        <v>0.30715440018720214</v>
      </c>
    </row>
    <row r="852" spans="1:20" x14ac:dyDescent="0.25">
      <c r="A852" s="5">
        <v>43741</v>
      </c>
      <c r="B852">
        <v>3.0939999999999999E-2</v>
      </c>
      <c r="C852">
        <v>3.1189999999999999E-2</v>
      </c>
      <c r="D852">
        <v>2.8150000000000001E-2</v>
      </c>
      <c r="E852">
        <v>3.031E-2</v>
      </c>
      <c r="F852">
        <v>4313845.8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0.42105263157894768</v>
      </c>
      <c r="Q852">
        <f t="shared" si="1010"/>
        <v>1816356.1263157907</v>
      </c>
      <c r="R852">
        <f t="shared" si="1011"/>
        <v>20345682.611953292</v>
      </c>
      <c r="S852">
        <f t="shared" si="1012"/>
        <v>203.45682611953293</v>
      </c>
      <c r="T852">
        <f t="shared" si="1013"/>
        <v>0.20345682611953295</v>
      </c>
    </row>
    <row r="853" spans="1:20" x14ac:dyDescent="0.25">
      <c r="A853" s="5">
        <v>43740</v>
      </c>
      <c r="B853">
        <v>2.9440000000000001E-2</v>
      </c>
      <c r="C853">
        <v>3.1220000000000001E-2</v>
      </c>
      <c r="D853">
        <v>2.929E-2</v>
      </c>
      <c r="E853">
        <v>3.099E-2</v>
      </c>
      <c r="F853">
        <v>3196934.2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0.76165803108808194</v>
      </c>
      <c r="Q853">
        <f t="shared" si="1010"/>
        <v>2434970.6082901526</v>
      </c>
      <c r="R853">
        <f t="shared" si="1011"/>
        <v>18529326.485637501</v>
      </c>
      <c r="S853">
        <f t="shared" si="1012"/>
        <v>185.293264856375</v>
      </c>
      <c r="T853">
        <f t="shared" si="1013"/>
        <v>0.18529326485637501</v>
      </c>
    </row>
    <row r="854" spans="1:20" x14ac:dyDescent="0.25">
      <c r="A854" s="5">
        <v>43739</v>
      </c>
      <c r="B854">
        <v>3.0949999999999998E-2</v>
      </c>
      <c r="C854">
        <v>3.1040000000000002E-2</v>
      </c>
      <c r="D854">
        <v>2.8750000000000001E-2</v>
      </c>
      <c r="E854">
        <v>2.9180000000000001E-2</v>
      </c>
      <c r="F854">
        <v>8233610.2000000002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-0.62445414847161596</v>
      </c>
      <c r="Q854">
        <f t="shared" si="1010"/>
        <v>-5141512.0462882118</v>
      </c>
      <c r="R854">
        <f t="shared" si="1011"/>
        <v>16094355.877347346</v>
      </c>
      <c r="S854">
        <f t="shared" si="1012"/>
        <v>160.94355877347346</v>
      </c>
      <c r="T854">
        <f t="shared" si="1013"/>
        <v>0.16094355877347347</v>
      </c>
    </row>
    <row r="855" spans="1:20" x14ac:dyDescent="0.25">
      <c r="A855" s="5">
        <v>43738</v>
      </c>
      <c r="B855">
        <v>3.083E-2</v>
      </c>
      <c r="C855">
        <v>3.1379999999999998E-2</v>
      </c>
      <c r="D855">
        <v>2.7629999999999998E-2</v>
      </c>
      <c r="E855">
        <v>3.0689999999999999E-2</v>
      </c>
      <c r="F855">
        <v>10140294.9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0.63200000000000023</v>
      </c>
      <c r="Q855">
        <f t="shared" si="1010"/>
        <v>6408666.3768000025</v>
      </c>
      <c r="R855">
        <f t="shared" si="1011"/>
        <v>21235867.923635557</v>
      </c>
      <c r="S855">
        <f t="shared" si="1012"/>
        <v>212.35867923635558</v>
      </c>
      <c r="T855">
        <f t="shared" si="1013"/>
        <v>0.2123586792363556</v>
      </c>
    </row>
    <row r="856" spans="1:20" x14ac:dyDescent="0.25">
      <c r="A856" s="5">
        <v>43737</v>
      </c>
      <c r="B856">
        <v>2.8170000000000001E-2</v>
      </c>
      <c r="C856">
        <v>3.236E-2</v>
      </c>
      <c r="D856">
        <v>2.7619999999999999E-2</v>
      </c>
      <c r="E856">
        <v>3.065E-2</v>
      </c>
      <c r="F856">
        <v>26791880.399999999</v>
      </c>
      <c r="G856">
        <v>0</v>
      </c>
      <c r="L856" t="s">
        <v>8</v>
      </c>
      <c r="M856" t="s">
        <v>8</v>
      </c>
      <c r="N856" t="s">
        <v>7</v>
      </c>
      <c r="P856">
        <f t="shared" si="1009"/>
        <v>0.27848101265822817</v>
      </c>
      <c r="Q856">
        <f t="shared" si="1010"/>
        <v>7461029.9848101344</v>
      </c>
      <c r="R856">
        <f t="shared" si="1011"/>
        <v>14827201.546835557</v>
      </c>
      <c r="S856">
        <f t="shared" si="1012"/>
        <v>148.27201546835556</v>
      </c>
      <c r="T856">
        <f t="shared" si="1013"/>
        <v>0.14827201546835556</v>
      </c>
    </row>
    <row r="857" spans="1:20" x14ac:dyDescent="0.25">
      <c r="A857" s="5">
        <v>43736</v>
      </c>
      <c r="B857">
        <v>2.894E-2</v>
      </c>
      <c r="C857">
        <v>2.9489999999999999E-2</v>
      </c>
      <c r="D857">
        <v>2.768E-2</v>
      </c>
      <c r="E857">
        <v>2.8170000000000001E-2</v>
      </c>
      <c r="F857">
        <v>2577296.7999999998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-0.45856353591160098</v>
      </c>
      <c r="Q857">
        <f t="shared" si="1010"/>
        <v>-1181854.3337016541</v>
      </c>
      <c r="R857">
        <f t="shared" si="1011"/>
        <v>7366171.5620254213</v>
      </c>
      <c r="S857">
        <f t="shared" si="1012"/>
        <v>73.661715620254213</v>
      </c>
      <c r="T857">
        <f t="shared" si="1013"/>
        <v>7.3661715620254212E-2</v>
      </c>
    </row>
    <row r="858" spans="1:20" x14ac:dyDescent="0.25">
      <c r="A858" s="5">
        <v>43735</v>
      </c>
      <c r="B858">
        <v>2.8000000000000001E-2</v>
      </c>
      <c r="C858">
        <v>2.9080000000000002E-2</v>
      </c>
      <c r="D858">
        <v>2.598E-2</v>
      </c>
      <c r="E858">
        <v>2.894E-2</v>
      </c>
      <c r="F858">
        <v>5022722.5999999996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0.90967741935483792</v>
      </c>
      <c r="Q858">
        <f t="shared" si="1010"/>
        <v>4569057.3329032212</v>
      </c>
      <c r="R858">
        <f t="shared" si="1011"/>
        <v>8548025.8957270756</v>
      </c>
      <c r="S858">
        <f t="shared" si="1012"/>
        <v>85.480258957270763</v>
      </c>
      <c r="T858">
        <f t="shared" si="1013"/>
        <v>8.5480258957270766E-2</v>
      </c>
    </row>
    <row r="859" spans="1:20" x14ac:dyDescent="0.25">
      <c r="A859" s="5">
        <v>43734</v>
      </c>
      <c r="B859">
        <v>2.6499999999999999E-2</v>
      </c>
      <c r="C859">
        <v>2.9000000000000001E-2</v>
      </c>
      <c r="D859">
        <v>2.4740000000000002E-2</v>
      </c>
      <c r="E859">
        <v>2.7990000000000001E-2</v>
      </c>
      <c r="F859">
        <v>5815542.7000000002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0.52582159624413127</v>
      </c>
      <c r="Q859">
        <f t="shared" si="1010"/>
        <v>3057937.9455399052</v>
      </c>
      <c r="R859">
        <f t="shared" si="1011"/>
        <v>3978968.5628238549</v>
      </c>
      <c r="S859">
        <f t="shared" si="1012"/>
        <v>39.789685628238551</v>
      </c>
      <c r="T859">
        <f t="shared" si="1013"/>
        <v>3.978968562823855E-2</v>
      </c>
    </row>
    <row r="860" spans="1:20" x14ac:dyDescent="0.25">
      <c r="A860" s="5">
        <v>43733</v>
      </c>
      <c r="B860">
        <v>2.52E-2</v>
      </c>
      <c r="C860">
        <v>2.7130000000000001E-2</v>
      </c>
      <c r="D860">
        <v>2.47E-2</v>
      </c>
      <c r="E860">
        <v>2.665E-2</v>
      </c>
      <c r="F860">
        <v>1522520</v>
      </c>
      <c r="G860">
        <v>0</v>
      </c>
      <c r="P860">
        <f t="shared" si="1009"/>
        <v>0.60493827160493752</v>
      </c>
      <c r="Q860">
        <f t="shared" si="1010"/>
        <v>921030.61728394951</v>
      </c>
      <c r="R860">
        <f t="shared" si="1011"/>
        <v>921030.61728394951</v>
      </c>
      <c r="S860">
        <f t="shared" si="1012"/>
        <v>9.2103061728394948</v>
      </c>
      <c r="T860">
        <f t="shared" si="1013"/>
        <v>9.2103061728394942E-3</v>
      </c>
    </row>
    <row r="861" spans="1:20" x14ac:dyDescent="0.25">
      <c r="A861" s="5"/>
      <c r="C861" s="4"/>
      <c r="D861" s="4"/>
    </row>
    <row r="862" spans="1:20" x14ac:dyDescent="0.25">
      <c r="A862" s="5"/>
      <c r="C862" s="4"/>
      <c r="D862" s="4"/>
    </row>
    <row r="863" spans="1:20" x14ac:dyDescent="0.25">
      <c r="A863" s="5"/>
      <c r="C863" s="4"/>
      <c r="D863" s="4"/>
    </row>
    <row r="864" spans="1:20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R725" sqref="NR725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$A$724</v>
      </c>
      <c r="D111" s="1" t="str">
        <f>ADDRESS(C121-1,D121,1,1)</f>
        <v>$NR$724</v>
      </c>
      <c r="E111"/>
    </row>
    <row r="112" spans="1:5" x14ac:dyDescent="0.25">
      <c r="A112" s="7">
        <v>12164.144957890772</v>
      </c>
      <c r="C112" s="1" t="str">
        <f>ADDRESS(C121,1,1,1)</f>
        <v>$A$725</v>
      </c>
      <c r="D112" s="1" t="str">
        <f>ADDRESS(C121,D121-1,1,1)</f>
        <v>$NQ$725</v>
      </c>
      <c r="E112"/>
    </row>
    <row r="113" spans="1:5" x14ac:dyDescent="0.25">
      <c r="A113" s="7">
        <v>11925.63231165762</v>
      </c>
      <c r="C113" s="1" t="str">
        <f>ADDRESS(C121+1,1,1,1)</f>
        <v>$A$726</v>
      </c>
      <c r="D113" s="1" t="str">
        <f>ADDRESS(C121-1,D121+1,1,1)</f>
        <v>$NS$724</v>
      </c>
    </row>
    <row r="114" spans="1:5" x14ac:dyDescent="0.25">
      <c r="A114" s="7">
        <v>11691.796383978059</v>
      </c>
      <c r="C114" s="1" t="str">
        <f>ADDRESS(C121,D121,1,1)</f>
        <v>$NR$725</v>
      </c>
      <c r="D114" s="1" t="str">
        <f>ADDRESS(C121+1,D121+1,1,1)</f>
        <v>$NS$726</v>
      </c>
    </row>
    <row r="115" spans="1:5" x14ac:dyDescent="0.25">
      <c r="A115" s="7">
        <v>11462.545474488292</v>
      </c>
      <c r="C115" s="1" t="str">
        <f>ADDRESS(C121+1,D121,1,1)</f>
        <v>$NR$726</v>
      </c>
    </row>
    <row r="116" spans="1:5" x14ac:dyDescent="0.25">
      <c r="A116" s="7">
        <v>11237.789680870874</v>
      </c>
      <c r="C116" s="1">
        <f>C117-1</f>
        <v>724</v>
      </c>
    </row>
    <row r="117" spans="1:5" x14ac:dyDescent="0.25">
      <c r="A117" s="7">
        <v>11017.440863598895</v>
      </c>
      <c r="C117" s="1">
        <f>C121</f>
        <v>725</v>
      </c>
      <c r="D117" s="1">
        <f>D121</f>
        <v>382</v>
      </c>
    </row>
    <row r="118" spans="1:5" x14ac:dyDescent="0.25">
      <c r="A118" s="7">
        <v>10801.412611371465</v>
      </c>
      <c r="C118" s="1">
        <f>C117+1</f>
        <v>726</v>
      </c>
      <c r="D118" s="1">
        <f>D117+1</f>
        <v>383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725</v>
      </c>
      <c r="D121" s="19">
        <v>382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R725</v>
      </c>
      <c r="D123" s="1" t="str">
        <f>"C"&amp;D121</f>
        <v>C382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6.5039365659504023E-2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242" x14ac:dyDescent="0.25">
      <c r="A641" s="7">
        <v>0.34323433454431179</v>
      </c>
      <c r="B641"/>
      <c r="C641"/>
      <c r="D641"/>
      <c r="E641"/>
      <c r="F641" s="27" t="s">
        <v>7</v>
      </c>
    </row>
    <row r="642" spans="1:242" x14ac:dyDescent="0.25">
      <c r="A642" s="7">
        <v>0.33650424955324681</v>
      </c>
      <c r="B642"/>
      <c r="C642"/>
      <c r="D642"/>
      <c r="E642"/>
      <c r="F642" s="27" t="s">
        <v>7</v>
      </c>
    </row>
    <row r="643" spans="1:242" x14ac:dyDescent="0.25">
      <c r="A643" s="7">
        <v>0.3299061270129871</v>
      </c>
      <c r="B643"/>
      <c r="C643"/>
      <c r="D643"/>
      <c r="E643"/>
      <c r="F643" s="27" t="s">
        <v>7</v>
      </c>
    </row>
    <row r="644" spans="1:242" x14ac:dyDescent="0.25">
      <c r="A644" s="7">
        <v>0.32343737942449713</v>
      </c>
      <c r="B644"/>
      <c r="C644"/>
      <c r="D644"/>
      <c r="E644"/>
      <c r="F644" s="27" t="s">
        <v>7</v>
      </c>
    </row>
    <row r="645" spans="1:242" x14ac:dyDescent="0.25">
      <c r="A645" s="7">
        <v>0.31709547002401678</v>
      </c>
      <c r="B645"/>
      <c r="C645"/>
      <c r="D645"/>
      <c r="E645"/>
      <c r="F645" s="27" t="s">
        <v>7</v>
      </c>
    </row>
    <row r="646" spans="1:242" x14ac:dyDescent="0.25">
      <c r="A646" s="7">
        <v>0.31087791178825175</v>
      </c>
      <c r="B646"/>
      <c r="C646"/>
      <c r="D646"/>
      <c r="E646"/>
      <c r="F646" s="27" t="s">
        <v>7</v>
      </c>
    </row>
    <row r="647" spans="1:242" x14ac:dyDescent="0.25">
      <c r="A647" s="7">
        <v>0.30478226645907036</v>
      </c>
      <c r="B647"/>
      <c r="C647"/>
      <c r="D647"/>
      <c r="E647"/>
      <c r="F647" s="27" t="s">
        <v>7</v>
      </c>
    </row>
    <row r="648" spans="1:242" x14ac:dyDescent="0.25">
      <c r="A648" s="7">
        <v>0.29880614358732388</v>
      </c>
      <c r="B648"/>
      <c r="C648"/>
      <c r="D648"/>
      <c r="E648"/>
      <c r="F648" s="27" t="s">
        <v>7</v>
      </c>
    </row>
    <row r="649" spans="1:242" x14ac:dyDescent="0.25">
      <c r="A649" s="7">
        <v>0.2929471995954156</v>
      </c>
      <c r="B649"/>
      <c r="C649"/>
      <c r="D649"/>
      <c r="E649"/>
      <c r="F649" s="27" t="s">
        <v>7</v>
      </c>
    </row>
    <row r="650" spans="1:242" x14ac:dyDescent="0.25">
      <c r="A650" s="7">
        <v>0.28720313685825055</v>
      </c>
      <c r="B650"/>
      <c r="C650"/>
      <c r="D650"/>
      <c r="E650"/>
      <c r="F650" s="27" t="s">
        <v>7</v>
      </c>
      <c r="HG650" s="27" t="s">
        <v>8</v>
      </c>
    </row>
    <row r="651" spans="1:242" x14ac:dyDescent="0.25">
      <c r="A651" s="7">
        <v>0.28157170280220645</v>
      </c>
      <c r="B651"/>
      <c r="C651"/>
      <c r="D651"/>
      <c r="E651"/>
      <c r="F651" s="27" t="s">
        <v>7</v>
      </c>
      <c r="HG651" s="27" t="s">
        <v>8</v>
      </c>
      <c r="HH651" s="27" t="s">
        <v>7</v>
      </c>
    </row>
    <row r="652" spans="1:242" x14ac:dyDescent="0.25">
      <c r="A652" s="7">
        <v>0.27605068902177105</v>
      </c>
      <c r="B652"/>
      <c r="C652"/>
      <c r="D652"/>
      <c r="E652"/>
      <c r="F652" s="27" t="s">
        <v>7</v>
      </c>
      <c r="HG652" s="27" t="s">
        <v>8</v>
      </c>
      <c r="HH652" s="27" t="s">
        <v>7</v>
      </c>
    </row>
    <row r="653" spans="1:242" x14ac:dyDescent="0.25">
      <c r="A653" s="7">
        <v>0.27063793041350104</v>
      </c>
      <c r="B653"/>
      <c r="C653"/>
      <c r="D653"/>
      <c r="E653"/>
      <c r="F653" s="27" t="s">
        <v>7</v>
      </c>
      <c r="HG653" s="27" t="s">
        <v>8</v>
      </c>
      <c r="HH653" s="27" t="s">
        <v>7</v>
      </c>
      <c r="HQ653" s="27" t="s">
        <v>8</v>
      </c>
    </row>
    <row r="654" spans="1:242" x14ac:dyDescent="0.25">
      <c r="A654" s="7">
        <v>0.26533130432696184</v>
      </c>
      <c r="B654"/>
      <c r="C654"/>
      <c r="D654"/>
      <c r="E654"/>
      <c r="F654" s="27" t="s">
        <v>7</v>
      </c>
      <c r="HG654" s="27" t="s">
        <v>8</v>
      </c>
      <c r="HH654" s="27" t="s">
        <v>7</v>
      </c>
      <c r="HQ654" s="27" t="s">
        <v>8</v>
      </c>
      <c r="HR654" s="27" t="s">
        <v>7</v>
      </c>
    </row>
    <row r="655" spans="1:242" x14ac:dyDescent="0.25">
      <c r="A655" s="7">
        <v>0.26012872973231554</v>
      </c>
      <c r="B655"/>
      <c r="C655"/>
      <c r="D655"/>
      <c r="E655"/>
      <c r="F655" s="27" t="s">
        <v>7</v>
      </c>
      <c r="HG655" s="27" t="s">
        <v>8</v>
      </c>
      <c r="HH655" s="27" t="s">
        <v>7</v>
      </c>
      <c r="HQ655" s="27" t="s">
        <v>8</v>
      </c>
      <c r="HR655" s="27" t="s">
        <v>7</v>
      </c>
      <c r="IG655" s="27" t="s">
        <v>8</v>
      </c>
    </row>
    <row r="656" spans="1:242" x14ac:dyDescent="0.25">
      <c r="A656" s="7">
        <v>0.25502816640423093</v>
      </c>
      <c r="B656"/>
      <c r="C656"/>
      <c r="D656"/>
      <c r="E656"/>
      <c r="F656" s="27" t="s">
        <v>7</v>
      </c>
      <c r="HG656" s="27" t="s">
        <v>8</v>
      </c>
      <c r="HH656" s="27" t="s">
        <v>7</v>
      </c>
      <c r="HQ656" s="27" t="s">
        <v>8</v>
      </c>
      <c r="HR656" s="27" t="s">
        <v>7</v>
      </c>
      <c r="IG656" s="27" t="s">
        <v>8</v>
      </c>
      <c r="IH656" s="27" t="s">
        <v>7</v>
      </c>
    </row>
    <row r="657" spans="1:253" x14ac:dyDescent="0.25">
      <c r="A657" s="7">
        <v>0.25002761412179503</v>
      </c>
      <c r="B657"/>
      <c r="C657"/>
      <c r="D657"/>
      <c r="E657"/>
      <c r="F657" s="27" t="s">
        <v>7</v>
      </c>
      <c r="HG657" s="27" t="s">
        <v>8</v>
      </c>
      <c r="HH657" s="27" t="s">
        <v>7</v>
      </c>
      <c r="HQ657" s="27" t="s">
        <v>8</v>
      </c>
      <c r="HR657" s="27" t="s">
        <v>7</v>
      </c>
      <c r="IG657" s="27" t="s">
        <v>8</v>
      </c>
      <c r="IH657" s="27" t="s">
        <v>7</v>
      </c>
    </row>
    <row r="658" spans="1:253" x14ac:dyDescent="0.25">
      <c r="A658" s="7">
        <v>0.24512511188411276</v>
      </c>
      <c r="B658"/>
      <c r="C658"/>
      <c r="D658"/>
      <c r="E658"/>
      <c r="F658" s="27" t="s">
        <v>7</v>
      </c>
      <c r="HG658" s="27" t="s">
        <v>8</v>
      </c>
      <c r="HH658" s="27" t="s">
        <v>7</v>
      </c>
      <c r="HQ658" s="27" t="s">
        <v>8</v>
      </c>
      <c r="HR658" s="27" t="s">
        <v>7</v>
      </c>
      <c r="HS658" s="27" t="s">
        <v>8</v>
      </c>
      <c r="IG658" s="27" t="s">
        <v>8</v>
      </c>
      <c r="IH658" s="27" t="s">
        <v>7</v>
      </c>
      <c r="II658" s="27" t="s">
        <v>8</v>
      </c>
    </row>
    <row r="659" spans="1:253" x14ac:dyDescent="0.25">
      <c r="A659" s="7">
        <v>0.24031873714128701</v>
      </c>
      <c r="B659"/>
      <c r="C659"/>
      <c r="D659"/>
      <c r="E659"/>
      <c r="F659" s="27" t="s">
        <v>7</v>
      </c>
      <c r="HG659" s="27" t="s">
        <v>8</v>
      </c>
      <c r="HH659" s="27" t="s">
        <v>7</v>
      </c>
      <c r="HQ659" s="27" t="s">
        <v>8</v>
      </c>
      <c r="HR659" s="27" t="s">
        <v>7</v>
      </c>
      <c r="HS659" s="27" t="s">
        <v>8</v>
      </c>
      <c r="HT659" s="27" t="s">
        <v>7</v>
      </c>
      <c r="IG659" s="27" t="s">
        <v>8</v>
      </c>
      <c r="IH659" s="27" t="s">
        <v>7</v>
      </c>
      <c r="II659" s="27" t="s">
        <v>8</v>
      </c>
      <c r="IJ659" s="27" t="s">
        <v>7</v>
      </c>
    </row>
    <row r="660" spans="1:253" x14ac:dyDescent="0.25">
      <c r="A660" s="7">
        <v>0.23560660504047748</v>
      </c>
      <c r="B660"/>
      <c r="C660"/>
      <c r="D660"/>
      <c r="E660"/>
      <c r="F660" s="27" t="s">
        <v>7</v>
      </c>
      <c r="HG660" s="27" t="s">
        <v>8</v>
      </c>
      <c r="HH660" s="27" t="s">
        <v>7</v>
      </c>
      <c r="HQ660" s="27" t="s">
        <v>8</v>
      </c>
      <c r="HR660" s="27" t="s">
        <v>7</v>
      </c>
      <c r="HS660" s="27" t="s">
        <v>8</v>
      </c>
      <c r="HT660" s="27" t="s">
        <v>7</v>
      </c>
      <c r="IG660" s="27" t="s">
        <v>8</v>
      </c>
      <c r="IH660" s="27" t="s">
        <v>7</v>
      </c>
      <c r="II660" s="27" t="s">
        <v>8</v>
      </c>
      <c r="IJ660" s="27" t="s">
        <v>7</v>
      </c>
    </row>
    <row r="661" spans="1:253" x14ac:dyDescent="0.25">
      <c r="A661" s="7">
        <v>0.23098686768674265</v>
      </c>
      <c r="B661"/>
      <c r="C661"/>
      <c r="D661"/>
      <c r="E661"/>
      <c r="F661" s="27" t="s">
        <v>7</v>
      </c>
      <c r="HG661" s="27" t="s">
        <v>8</v>
      </c>
      <c r="HH661" s="27" t="s">
        <v>7</v>
      </c>
      <c r="HQ661" s="27" t="s">
        <v>8</v>
      </c>
      <c r="HR661" s="27" t="s">
        <v>7</v>
      </c>
      <c r="HS661" s="27" t="s">
        <v>8</v>
      </c>
      <c r="HT661" s="27" t="s">
        <v>7</v>
      </c>
      <c r="IG661" s="27" t="s">
        <v>8</v>
      </c>
      <c r="IH661" s="27" t="s">
        <v>7</v>
      </c>
      <c r="II661" s="27" t="s">
        <v>8</v>
      </c>
      <c r="IJ661" s="27" t="s">
        <v>7</v>
      </c>
    </row>
    <row r="662" spans="1:253" x14ac:dyDescent="0.25">
      <c r="A662" s="7">
        <v>0.22645771341837515</v>
      </c>
      <c r="B662"/>
      <c r="C662"/>
      <c r="D662"/>
      <c r="E662"/>
      <c r="F662" s="27" t="s">
        <v>7</v>
      </c>
      <c r="HG662" s="27" t="s">
        <v>8</v>
      </c>
      <c r="HH662" s="27" t="s">
        <v>7</v>
      </c>
      <c r="HQ662" s="27" t="s">
        <v>8</v>
      </c>
      <c r="HR662" s="27" t="s">
        <v>7</v>
      </c>
      <c r="HS662" s="27" t="s">
        <v>8</v>
      </c>
      <c r="HT662" s="27" t="s">
        <v>7</v>
      </c>
      <c r="IG662" s="27" t="s">
        <v>8</v>
      </c>
      <c r="IH662" s="27" t="s">
        <v>7</v>
      </c>
      <c r="II662" s="27" t="s">
        <v>8</v>
      </c>
      <c r="IJ662" s="27" t="s">
        <v>7</v>
      </c>
    </row>
    <row r="663" spans="1:253" x14ac:dyDescent="0.25">
      <c r="A663" s="7">
        <v>0.22201736609644623</v>
      </c>
      <c r="B663"/>
      <c r="C663"/>
      <c r="D663"/>
      <c r="E663"/>
      <c r="F663" s="27" t="s">
        <v>7</v>
      </c>
      <c r="HG663" s="27" t="s">
        <v>8</v>
      </c>
      <c r="HH663" s="27" t="s">
        <v>7</v>
      </c>
      <c r="HQ663" s="27" t="s">
        <v>8</v>
      </c>
      <c r="HR663" s="27" t="s">
        <v>7</v>
      </c>
      <c r="HS663" s="27" t="s">
        <v>8</v>
      </c>
      <c r="HT663" s="27" t="s">
        <v>7</v>
      </c>
      <c r="HY663" s="27" t="s">
        <v>8</v>
      </c>
      <c r="IG663" s="27" t="s">
        <v>8</v>
      </c>
      <c r="IH663" s="27" t="s">
        <v>7</v>
      </c>
      <c r="II663" s="27" t="s">
        <v>8</v>
      </c>
      <c r="IJ663" s="27" t="s">
        <v>7</v>
      </c>
    </row>
    <row r="664" spans="1:253" x14ac:dyDescent="0.25">
      <c r="A664" s="7">
        <v>0.21766408440828061</v>
      </c>
      <c r="B664"/>
      <c r="C664"/>
      <c r="D664"/>
      <c r="E664"/>
      <c r="F664" s="27" t="s">
        <v>7</v>
      </c>
      <c r="HG664" s="27" t="s">
        <v>8</v>
      </c>
      <c r="HH664" s="27" t="s">
        <v>7</v>
      </c>
      <c r="HQ664" s="27" t="s">
        <v>8</v>
      </c>
      <c r="HR664" s="27" t="s">
        <v>7</v>
      </c>
      <c r="HS664" s="27" t="s">
        <v>8</v>
      </c>
      <c r="HT664" s="27" t="s">
        <v>7</v>
      </c>
      <c r="HY664" s="27" t="s">
        <v>8</v>
      </c>
      <c r="HZ664" s="27" t="s">
        <v>7</v>
      </c>
      <c r="IG664" s="27" t="s">
        <v>8</v>
      </c>
      <c r="IH664" s="27" t="s">
        <v>7</v>
      </c>
      <c r="II664" s="27" t="s">
        <v>8</v>
      </c>
      <c r="IJ664" s="27" t="s">
        <v>7</v>
      </c>
    </row>
    <row r="665" spans="1:253" x14ac:dyDescent="0.25">
      <c r="A665" s="7">
        <v>0.21339616118458882</v>
      </c>
      <c r="B665"/>
      <c r="C665"/>
      <c r="D665"/>
      <c r="E665"/>
      <c r="F665" s="27" t="s">
        <v>7</v>
      </c>
      <c r="HG665" s="27" t="s">
        <v>8</v>
      </c>
      <c r="HH665" s="27" t="s">
        <v>7</v>
      </c>
      <c r="HQ665" s="27" t="s">
        <v>8</v>
      </c>
      <c r="HR665" s="27" t="s">
        <v>7</v>
      </c>
      <c r="HS665" s="27" t="s">
        <v>8</v>
      </c>
      <c r="HT665" s="27" t="s">
        <v>7</v>
      </c>
      <c r="HY665" s="27" t="s">
        <v>8</v>
      </c>
      <c r="HZ665" s="27" t="s">
        <v>7</v>
      </c>
      <c r="IG665" s="27" t="s">
        <v>8</v>
      </c>
      <c r="IH665" s="27" t="s">
        <v>7</v>
      </c>
      <c r="II665" s="27" t="s">
        <v>8</v>
      </c>
      <c r="IJ665" s="27" t="s">
        <v>7</v>
      </c>
    </row>
    <row r="666" spans="1:253" x14ac:dyDescent="0.25">
      <c r="A666" s="7">
        <v>0.20921192272998904</v>
      </c>
      <c r="B666"/>
      <c r="C666"/>
      <c r="D666"/>
      <c r="E666"/>
      <c r="F666" s="27" t="s">
        <v>7</v>
      </c>
      <c r="HG666" s="27" t="s">
        <v>8</v>
      </c>
      <c r="HH666" s="27" t="s">
        <v>7</v>
      </c>
      <c r="HQ666" s="27" t="s">
        <v>8</v>
      </c>
      <c r="HR666" s="27" t="s">
        <v>7</v>
      </c>
      <c r="HS666" s="27" t="s">
        <v>8</v>
      </c>
      <c r="HT666" s="27" t="s">
        <v>7</v>
      </c>
      <c r="HU666" s="27" t="s">
        <v>8</v>
      </c>
      <c r="HY666" s="27" t="s">
        <v>8</v>
      </c>
      <c r="HZ666" s="27" t="s">
        <v>7</v>
      </c>
      <c r="IC666" s="27" t="s">
        <v>8</v>
      </c>
      <c r="IG666" s="27" t="s">
        <v>8</v>
      </c>
      <c r="IH666" s="27" t="s">
        <v>7</v>
      </c>
      <c r="II666" s="27" t="s">
        <v>8</v>
      </c>
      <c r="IJ666" s="27" t="s">
        <v>7</v>
      </c>
    </row>
    <row r="667" spans="1:253" x14ac:dyDescent="0.25">
      <c r="A667" s="7">
        <v>0.20510972816665593</v>
      </c>
      <c r="B667"/>
      <c r="C667"/>
      <c r="D667"/>
      <c r="E667"/>
      <c r="F667" s="27" t="s">
        <v>7</v>
      </c>
      <c r="HG667" s="27" t="s">
        <v>8</v>
      </c>
      <c r="HH667" s="27" t="s">
        <v>7</v>
      </c>
      <c r="HM667" s="27" t="s">
        <v>8</v>
      </c>
      <c r="HQ667" s="27" t="s">
        <v>8</v>
      </c>
      <c r="HR667" s="27" t="s">
        <v>7</v>
      </c>
      <c r="HT667" s="27" t="s">
        <v>7</v>
      </c>
      <c r="HU667" s="27" t="s">
        <v>8</v>
      </c>
      <c r="HV667" s="27" t="s">
        <v>7</v>
      </c>
      <c r="HY667" s="27" t="s">
        <v>8</v>
      </c>
      <c r="HZ667" s="27" t="s">
        <v>7</v>
      </c>
      <c r="IC667" s="27" t="s">
        <v>8</v>
      </c>
      <c r="ID667" s="27" t="s">
        <v>7</v>
      </c>
      <c r="IG667" s="27" t="s">
        <v>8</v>
      </c>
      <c r="IH667" s="27" t="s">
        <v>7</v>
      </c>
      <c r="II667" s="27" t="s">
        <v>8</v>
      </c>
      <c r="IJ667" s="27" t="s">
        <v>7</v>
      </c>
    </row>
    <row r="668" spans="1:253" x14ac:dyDescent="0.25">
      <c r="A668" s="7">
        <v>0.20108796879083912</v>
      </c>
      <c r="B668"/>
      <c r="C668"/>
      <c r="D668"/>
      <c r="E668"/>
      <c r="F668" s="27" t="s">
        <v>7</v>
      </c>
      <c r="HG668" s="27" t="s">
        <v>8</v>
      </c>
      <c r="HH668" s="27" t="s">
        <v>7</v>
      </c>
      <c r="HM668" s="27" t="s">
        <v>8</v>
      </c>
      <c r="HN668" s="27" t="s">
        <v>7</v>
      </c>
      <c r="HQ668" s="27" t="s">
        <v>8</v>
      </c>
      <c r="HT668" s="27" t="s">
        <v>7</v>
      </c>
      <c r="HU668" s="27" t="s">
        <v>8</v>
      </c>
      <c r="HV668" s="27" t="s">
        <v>7</v>
      </c>
      <c r="HW668" s="27" t="s">
        <v>8</v>
      </c>
      <c r="HY668" s="27" t="s">
        <v>8</v>
      </c>
      <c r="HZ668" s="27" t="s">
        <v>7</v>
      </c>
      <c r="IA668" s="27" t="s">
        <v>8</v>
      </c>
      <c r="IC668" s="27" t="s">
        <v>8</v>
      </c>
      <c r="ID668" s="27" t="s">
        <v>7</v>
      </c>
      <c r="IG668" s="27" t="s">
        <v>8</v>
      </c>
      <c r="IH668" s="27" t="s">
        <v>7</v>
      </c>
      <c r="II668" s="27" t="s">
        <v>8</v>
      </c>
      <c r="IJ668" s="27" t="s">
        <v>7</v>
      </c>
      <c r="IQ668" s="27" t="s">
        <v>8</v>
      </c>
    </row>
    <row r="669" spans="1:253" x14ac:dyDescent="0.25">
      <c r="A669" s="7">
        <v>0.19714506744199917</v>
      </c>
      <c r="B669"/>
      <c r="C669"/>
      <c r="D669"/>
      <c r="E669"/>
      <c r="F669" s="27" t="s">
        <v>7</v>
      </c>
      <c r="HG669" s="27" t="s">
        <v>8</v>
      </c>
      <c r="HH669" s="27" t="s">
        <v>7</v>
      </c>
      <c r="HI669" s="27" t="s">
        <v>8</v>
      </c>
      <c r="HM669" s="27" t="s">
        <v>8</v>
      </c>
      <c r="HN669" s="27" t="s">
        <v>7</v>
      </c>
      <c r="HO669" s="27" t="s">
        <v>8</v>
      </c>
      <c r="HQ669" s="27" t="s">
        <v>8</v>
      </c>
      <c r="HT669" s="27" t="s">
        <v>7</v>
      </c>
      <c r="HU669" s="27" t="s">
        <v>8</v>
      </c>
      <c r="HV669" s="27" t="s">
        <v>7</v>
      </c>
      <c r="HW669" s="27" t="s">
        <v>8</v>
      </c>
      <c r="HX669" s="27" t="s">
        <v>7</v>
      </c>
      <c r="HY669" s="27" t="s">
        <v>8</v>
      </c>
      <c r="HZ669" s="27" t="s">
        <v>7</v>
      </c>
      <c r="IA669" s="27" t="s">
        <v>8</v>
      </c>
      <c r="IB669" s="27" t="s">
        <v>7</v>
      </c>
      <c r="IC669" s="27" t="s">
        <v>8</v>
      </c>
      <c r="ID669" s="27" t="s">
        <v>7</v>
      </c>
      <c r="IE669" s="27" t="s">
        <v>8</v>
      </c>
      <c r="IG669" s="27" t="s">
        <v>8</v>
      </c>
      <c r="IH669" s="27" t="s">
        <v>7</v>
      </c>
      <c r="II669" s="27" t="s">
        <v>8</v>
      </c>
      <c r="IJ669" s="27" t="s">
        <v>7</v>
      </c>
      <c r="IQ669" s="27" t="s">
        <v>8</v>
      </c>
      <c r="IR669" s="27" t="s">
        <v>7</v>
      </c>
    </row>
    <row r="670" spans="1:253" x14ac:dyDescent="0.25">
      <c r="A670" s="7">
        <v>0.19327947788431293</v>
      </c>
      <c r="B670"/>
      <c r="C670"/>
      <c r="D670"/>
      <c r="E670"/>
      <c r="F670" s="27" t="s">
        <v>7</v>
      </c>
      <c r="HG670" s="27" t="s">
        <v>8</v>
      </c>
      <c r="HH670" s="27" t="s">
        <v>7</v>
      </c>
      <c r="HI670" s="27" t="s">
        <v>8</v>
      </c>
      <c r="HJ670" s="27" t="s">
        <v>7</v>
      </c>
      <c r="HM670" s="27" t="s">
        <v>8</v>
      </c>
      <c r="HN670" s="27" t="s">
        <v>7</v>
      </c>
      <c r="HO670" s="27" t="s">
        <v>8</v>
      </c>
      <c r="HP670" s="27" t="s">
        <v>7</v>
      </c>
      <c r="HQ670" s="27" t="s">
        <v>8</v>
      </c>
      <c r="HT670" s="27" t="s">
        <v>7</v>
      </c>
      <c r="HU670" s="27" t="s">
        <v>8</v>
      </c>
      <c r="HV670" s="27" t="s">
        <v>7</v>
      </c>
      <c r="HW670" s="27" t="s">
        <v>8</v>
      </c>
      <c r="HX670" s="27" t="s">
        <v>7</v>
      </c>
      <c r="HY670" s="27" t="s">
        <v>8</v>
      </c>
      <c r="HZ670" s="27" t="s">
        <v>7</v>
      </c>
      <c r="IA670" s="27" t="s">
        <v>8</v>
      </c>
      <c r="IB670" s="27" t="s">
        <v>7</v>
      </c>
      <c r="IC670" s="27" t="s">
        <v>8</v>
      </c>
      <c r="ID670" s="27" t="s">
        <v>7</v>
      </c>
      <c r="IE670" s="27" t="s">
        <v>8</v>
      </c>
      <c r="IF670" s="27" t="s">
        <v>7</v>
      </c>
      <c r="IG670" s="27" t="s">
        <v>8</v>
      </c>
      <c r="IH670" s="27" t="s">
        <v>7</v>
      </c>
      <c r="IJ670" s="27" t="s">
        <v>7</v>
      </c>
      <c r="IQ670" s="27" t="s">
        <v>8</v>
      </c>
      <c r="IR670" s="27" t="s">
        <v>7</v>
      </c>
    </row>
    <row r="671" spans="1:253" x14ac:dyDescent="0.25">
      <c r="A671" s="7">
        <v>0.18948968420030682</v>
      </c>
      <c r="B671"/>
      <c r="C671"/>
      <c r="D671"/>
      <c r="E671"/>
      <c r="F671" s="27" t="s">
        <v>7</v>
      </c>
      <c r="HG671" s="27" t="s">
        <v>8</v>
      </c>
      <c r="HH671" s="27" t="s">
        <v>7</v>
      </c>
      <c r="HI671" s="27" t="s">
        <v>8</v>
      </c>
      <c r="HJ671" s="27" t="s">
        <v>7</v>
      </c>
      <c r="HM671" s="27" t="s">
        <v>8</v>
      </c>
      <c r="HN671" s="27" t="s">
        <v>7</v>
      </c>
      <c r="HO671" s="27" t="s">
        <v>8</v>
      </c>
      <c r="HP671" s="27" t="s">
        <v>7</v>
      </c>
      <c r="HQ671" s="27" t="s">
        <v>8</v>
      </c>
      <c r="HT671" s="27" t="s">
        <v>7</v>
      </c>
      <c r="HV671" s="27" t="s">
        <v>7</v>
      </c>
      <c r="HW671" s="27" t="s">
        <v>8</v>
      </c>
      <c r="HX671" s="27" t="s">
        <v>7</v>
      </c>
      <c r="HZ671" s="27" t="s">
        <v>7</v>
      </c>
      <c r="IA671" s="27" t="s">
        <v>8</v>
      </c>
      <c r="IB671" s="27" t="s">
        <v>7</v>
      </c>
      <c r="IC671" s="27" t="s">
        <v>8</v>
      </c>
      <c r="ID671" s="27" t="s">
        <v>7</v>
      </c>
      <c r="IE671" s="27" t="s">
        <v>8</v>
      </c>
      <c r="IF671" s="27" t="s">
        <v>7</v>
      </c>
      <c r="IG671" s="27" t="s">
        <v>8</v>
      </c>
      <c r="IJ671" s="27" t="s">
        <v>7</v>
      </c>
      <c r="IK671" s="27" t="s">
        <v>8</v>
      </c>
      <c r="IQ671" s="27" t="s">
        <v>8</v>
      </c>
      <c r="IR671" s="27" t="s">
        <v>7</v>
      </c>
    </row>
    <row r="672" spans="1:253" x14ac:dyDescent="0.25">
      <c r="A672" s="7">
        <v>0.18577420019637925</v>
      </c>
      <c r="B672"/>
      <c r="C672"/>
      <c r="D672"/>
      <c r="E672"/>
      <c r="F672" s="27" t="s">
        <v>7</v>
      </c>
      <c r="HG672" s="27" t="s">
        <v>8</v>
      </c>
      <c r="HH672" s="27" t="s">
        <v>7</v>
      </c>
      <c r="HI672" s="27" t="s">
        <v>8</v>
      </c>
      <c r="HJ672" s="27" t="s">
        <v>7</v>
      </c>
      <c r="HM672" s="27" t="s">
        <v>8</v>
      </c>
      <c r="HN672" s="27" t="s">
        <v>7</v>
      </c>
      <c r="HO672" s="27" t="s">
        <v>8</v>
      </c>
      <c r="HP672" s="27" t="s">
        <v>7</v>
      </c>
      <c r="HQ672" s="27" t="s">
        <v>8</v>
      </c>
      <c r="HV672" s="27" t="s">
        <v>7</v>
      </c>
      <c r="HZ672" s="27" t="s">
        <v>7</v>
      </c>
      <c r="IA672" s="27" t="s">
        <v>8</v>
      </c>
      <c r="IB672" s="27" t="s">
        <v>7</v>
      </c>
      <c r="IC672" s="27" t="s">
        <v>8</v>
      </c>
      <c r="ID672" s="27" t="s">
        <v>7</v>
      </c>
      <c r="IE672" s="27" t="s">
        <v>8</v>
      </c>
      <c r="IF672" s="27" t="s">
        <v>7</v>
      </c>
      <c r="IG672" s="27" t="s">
        <v>8</v>
      </c>
      <c r="IJ672" s="27" t="s">
        <v>7</v>
      </c>
      <c r="IK672" s="27" t="s">
        <v>8</v>
      </c>
      <c r="IL672" s="27" t="s">
        <v>7</v>
      </c>
      <c r="IQ672" s="27" t="s">
        <v>8</v>
      </c>
      <c r="IR672" s="27" t="s">
        <v>7</v>
      </c>
      <c r="IS672" s="27" t="s">
        <v>8</v>
      </c>
    </row>
    <row r="673" spans="1:370" x14ac:dyDescent="0.25">
      <c r="A673" s="7">
        <v>0.18213156881997963</v>
      </c>
      <c r="B673"/>
      <c r="C673"/>
      <c r="D673"/>
      <c r="E673"/>
      <c r="F673" s="27" t="s">
        <v>7</v>
      </c>
      <c r="HG673" s="27" t="s">
        <v>8</v>
      </c>
      <c r="HH673" s="27" t="s">
        <v>7</v>
      </c>
      <c r="HI673" s="27" t="s">
        <v>8</v>
      </c>
      <c r="HJ673" s="27" t="s">
        <v>7</v>
      </c>
      <c r="HM673" s="27" t="s">
        <v>8</v>
      </c>
      <c r="HN673" s="27" t="s">
        <v>7</v>
      </c>
      <c r="HO673" s="27" t="s">
        <v>8</v>
      </c>
      <c r="HP673" s="27" t="s">
        <v>7</v>
      </c>
      <c r="HQ673" s="27" t="s">
        <v>8</v>
      </c>
      <c r="HZ673" s="27" t="s">
        <v>7</v>
      </c>
      <c r="IB673" s="27" t="s">
        <v>7</v>
      </c>
      <c r="ID673" s="27" t="s">
        <v>7</v>
      </c>
      <c r="IE673" s="27" t="s">
        <v>8</v>
      </c>
      <c r="IF673" s="27" t="s">
        <v>7</v>
      </c>
      <c r="IJ673" s="27" t="s">
        <v>7</v>
      </c>
      <c r="IK673" s="27" t="s">
        <v>8</v>
      </c>
      <c r="IL673" s="27" t="s">
        <v>7</v>
      </c>
      <c r="IQ673" s="27" t="s">
        <v>8</v>
      </c>
      <c r="IR673" s="27" t="s">
        <v>7</v>
      </c>
      <c r="IS673" s="27" t="s">
        <v>8</v>
      </c>
      <c r="IT673" s="27" t="s">
        <v>7</v>
      </c>
    </row>
    <row r="674" spans="1:370" x14ac:dyDescent="0.25">
      <c r="A674" s="7">
        <v>0.17856036158821534</v>
      </c>
      <c r="B674"/>
      <c r="C674"/>
      <c r="D674"/>
      <c r="E674"/>
      <c r="F674" s="27" t="s">
        <v>7</v>
      </c>
      <c r="HG674" s="27" t="s">
        <v>8</v>
      </c>
      <c r="HH674" s="27" t="s">
        <v>7</v>
      </c>
      <c r="HI674" s="27" t="s">
        <v>8</v>
      </c>
      <c r="HJ674" s="27" t="s">
        <v>7</v>
      </c>
      <c r="HK674" s="27" t="s">
        <v>8</v>
      </c>
      <c r="HM674" s="27" t="s">
        <v>8</v>
      </c>
      <c r="HN674" s="27" t="s">
        <v>7</v>
      </c>
      <c r="HO674" s="27" t="s">
        <v>8</v>
      </c>
      <c r="HP674" s="27" t="s">
        <v>7</v>
      </c>
      <c r="ID674" s="27" t="s">
        <v>7</v>
      </c>
      <c r="IE674" s="27" t="s">
        <v>8</v>
      </c>
      <c r="IJ674" s="27" t="s">
        <v>7</v>
      </c>
      <c r="IK674" s="27" t="s">
        <v>8</v>
      </c>
      <c r="IL674" s="27" t="s">
        <v>7</v>
      </c>
      <c r="IO674" s="27" t="s">
        <v>8</v>
      </c>
      <c r="IQ674" s="27" t="s">
        <v>8</v>
      </c>
      <c r="IR674" s="27" t="s">
        <v>7</v>
      </c>
      <c r="IS674" s="27" t="s">
        <v>8</v>
      </c>
      <c r="IT674" s="27" t="s">
        <v>7</v>
      </c>
    </row>
    <row r="675" spans="1:370" x14ac:dyDescent="0.25">
      <c r="A675" s="7">
        <v>0.17505917802766208</v>
      </c>
      <c r="B675"/>
      <c r="C675"/>
      <c r="D675"/>
      <c r="E675"/>
      <c r="F675" s="27" t="s">
        <v>7</v>
      </c>
      <c r="HG675" s="27" t="s">
        <v>8</v>
      </c>
      <c r="HH675" s="27" t="s">
        <v>7</v>
      </c>
      <c r="HI675" s="27" t="s">
        <v>8</v>
      </c>
      <c r="HJ675" s="27" t="s">
        <v>7</v>
      </c>
      <c r="HK675" s="27" t="s">
        <v>8</v>
      </c>
      <c r="HL675" s="27" t="s">
        <v>7</v>
      </c>
      <c r="HM675" s="27" t="s">
        <v>8</v>
      </c>
      <c r="HN675" s="27" t="s">
        <v>7</v>
      </c>
      <c r="HO675" s="27" t="s">
        <v>8</v>
      </c>
      <c r="ID675" s="27" t="s">
        <v>7</v>
      </c>
      <c r="IE675" s="27" t="s">
        <v>8</v>
      </c>
      <c r="IJ675" s="27" t="s">
        <v>7</v>
      </c>
      <c r="IK675" s="27" t="s">
        <v>8</v>
      </c>
      <c r="IL675" s="27" t="s">
        <v>7</v>
      </c>
      <c r="IO675" s="27" t="s">
        <v>8</v>
      </c>
      <c r="IP675" s="27" t="s">
        <v>7</v>
      </c>
      <c r="IQ675" s="27" t="s">
        <v>8</v>
      </c>
      <c r="IR675" s="27" t="s">
        <v>7</v>
      </c>
      <c r="IS675" s="27" t="s">
        <v>8</v>
      </c>
      <c r="IT675" s="27" t="s">
        <v>7</v>
      </c>
      <c r="KO675" s="27" t="s">
        <v>8</v>
      </c>
    </row>
    <row r="676" spans="1:370" x14ac:dyDescent="0.25">
      <c r="A676" s="7">
        <v>0.17162664512515888</v>
      </c>
      <c r="B676"/>
      <c r="C676"/>
      <c r="D676"/>
      <c r="E676"/>
      <c r="F676" s="27" t="s">
        <v>7</v>
      </c>
      <c r="HG676" s="27" t="s">
        <v>8</v>
      </c>
      <c r="HH676" s="27" t="s">
        <v>7</v>
      </c>
      <c r="HI676" s="27" t="s">
        <v>8</v>
      </c>
      <c r="HJ676" s="27" t="s">
        <v>7</v>
      </c>
      <c r="HK676" s="27" t="s">
        <v>8</v>
      </c>
      <c r="HL676" s="27" t="s">
        <v>7</v>
      </c>
      <c r="HM676" s="27" t="s">
        <v>8</v>
      </c>
      <c r="HN676" s="27" t="s">
        <v>7</v>
      </c>
      <c r="HO676" s="27" t="s">
        <v>8</v>
      </c>
      <c r="ID676" s="27" t="s">
        <v>7</v>
      </c>
      <c r="IE676" s="27" t="s">
        <v>8</v>
      </c>
      <c r="IJ676" s="27" t="s">
        <v>7</v>
      </c>
      <c r="IK676" s="27" t="s">
        <v>8</v>
      </c>
      <c r="IL676" s="27" t="s">
        <v>7</v>
      </c>
      <c r="IO676" s="27" t="s">
        <v>8</v>
      </c>
      <c r="IP676" s="27" t="s">
        <v>7</v>
      </c>
      <c r="IQ676" s="27" t="s">
        <v>8</v>
      </c>
      <c r="IR676" s="27" t="s">
        <v>7</v>
      </c>
      <c r="IS676" s="27" t="s">
        <v>8</v>
      </c>
      <c r="IT676" s="27" t="s">
        <v>7</v>
      </c>
      <c r="KO676" s="27" t="s">
        <v>8</v>
      </c>
      <c r="KP676" s="27" t="s">
        <v>7</v>
      </c>
    </row>
    <row r="677" spans="1:370" x14ac:dyDescent="0.25">
      <c r="A677" s="7">
        <v>0.16826141678937145</v>
      </c>
      <c r="B677"/>
      <c r="C677"/>
      <c r="D677"/>
      <c r="E677"/>
      <c r="F677" s="27" t="s">
        <v>7</v>
      </c>
      <c r="HG677" s="27" t="s">
        <v>8</v>
      </c>
      <c r="HH677" s="27" t="s">
        <v>7</v>
      </c>
      <c r="HI677" s="27" t="s">
        <v>8</v>
      </c>
      <c r="HJ677" s="27" t="s">
        <v>7</v>
      </c>
      <c r="HK677" s="27" t="s">
        <v>8</v>
      </c>
      <c r="HL677" s="27" t="s">
        <v>7</v>
      </c>
      <c r="HM677" s="27" t="s">
        <v>8</v>
      </c>
      <c r="HN677" s="27" t="s">
        <v>7</v>
      </c>
      <c r="ID677" s="27" t="s">
        <v>7</v>
      </c>
      <c r="IJ677" s="27" t="s">
        <v>7</v>
      </c>
      <c r="IK677" s="27" t="s">
        <v>8</v>
      </c>
      <c r="IL677" s="27" t="s">
        <v>7</v>
      </c>
      <c r="IO677" s="27" t="s">
        <v>8</v>
      </c>
      <c r="IP677" s="27" t="s">
        <v>7</v>
      </c>
      <c r="IQ677" s="27" t="s">
        <v>8</v>
      </c>
      <c r="IR677" s="27" t="s">
        <v>7</v>
      </c>
      <c r="IS677" s="27" t="s">
        <v>8</v>
      </c>
      <c r="IT677" s="27" t="s">
        <v>7</v>
      </c>
      <c r="KO677" s="27" t="s">
        <v>8</v>
      </c>
      <c r="KP677" s="27" t="s">
        <v>7</v>
      </c>
    </row>
    <row r="678" spans="1:370" x14ac:dyDescent="0.25">
      <c r="A678" s="7">
        <v>0.16496217332291319</v>
      </c>
      <c r="B678"/>
      <c r="C678"/>
      <c r="D678"/>
      <c r="E678"/>
      <c r="F678" s="27" t="s">
        <v>7</v>
      </c>
      <c r="HG678" s="27" t="s">
        <v>8</v>
      </c>
      <c r="HH678" s="27" t="s">
        <v>7</v>
      </c>
      <c r="HI678" s="27" t="s">
        <v>8</v>
      </c>
      <c r="HJ678" s="27" t="s">
        <v>7</v>
      </c>
      <c r="HK678" s="27" t="s">
        <v>8</v>
      </c>
      <c r="HL678" s="27" t="s">
        <v>7</v>
      </c>
      <c r="HM678" s="27" t="s">
        <v>8</v>
      </c>
      <c r="IJ678" s="27" t="s">
        <v>7</v>
      </c>
      <c r="IK678" s="27" t="s">
        <v>8</v>
      </c>
      <c r="IL678" s="27" t="s">
        <v>7</v>
      </c>
      <c r="IO678" s="27" t="s">
        <v>8</v>
      </c>
      <c r="IP678" s="27" t="s">
        <v>7</v>
      </c>
      <c r="IQ678" s="27" t="s">
        <v>8</v>
      </c>
      <c r="IR678" s="27" t="s">
        <v>7</v>
      </c>
      <c r="IS678" s="27" t="s">
        <v>8</v>
      </c>
      <c r="IT678" s="27" t="s">
        <v>7</v>
      </c>
      <c r="KO678" s="27" t="s">
        <v>8</v>
      </c>
      <c r="KP678" s="27" t="s">
        <v>7</v>
      </c>
      <c r="LC678" s="27" t="s">
        <v>8</v>
      </c>
    </row>
    <row r="679" spans="1:370" x14ac:dyDescent="0.25">
      <c r="A679" s="7">
        <v>0.16172762090481685</v>
      </c>
      <c r="B679"/>
      <c r="C679"/>
      <c r="D679"/>
      <c r="E679"/>
      <c r="F679" s="27" t="s">
        <v>7</v>
      </c>
      <c r="HG679" s="27" t="s">
        <v>8</v>
      </c>
      <c r="HH679" s="27" t="s">
        <v>7</v>
      </c>
      <c r="HI679" s="27" t="s">
        <v>8</v>
      </c>
      <c r="HJ679" s="27" t="s">
        <v>7</v>
      </c>
      <c r="HK679" s="27" t="s">
        <v>8</v>
      </c>
      <c r="HL679" s="27" t="s">
        <v>7</v>
      </c>
      <c r="HM679" s="27" t="s">
        <v>8</v>
      </c>
      <c r="IJ679" s="27" t="s">
        <v>7</v>
      </c>
      <c r="IL679" s="27" t="s">
        <v>7</v>
      </c>
      <c r="IO679" s="27" t="s">
        <v>8</v>
      </c>
      <c r="IP679" s="27" t="s">
        <v>7</v>
      </c>
      <c r="IQ679" s="27" t="s">
        <v>8</v>
      </c>
      <c r="IR679" s="27" t="s">
        <v>7</v>
      </c>
      <c r="IS679" s="27" t="s">
        <v>8</v>
      </c>
      <c r="IT679" s="27" t="s">
        <v>7</v>
      </c>
      <c r="IU679" s="27" t="s">
        <v>8</v>
      </c>
      <c r="KO679" s="27" t="s">
        <v>8</v>
      </c>
      <c r="KP679" s="27" t="s">
        <v>7</v>
      </c>
      <c r="KQ679" s="27" t="s">
        <v>8</v>
      </c>
      <c r="LC679" s="27" t="s">
        <v>8</v>
      </c>
      <c r="LD679" s="27" t="s">
        <v>7</v>
      </c>
    </row>
    <row r="680" spans="1:370" x14ac:dyDescent="0.25">
      <c r="A680" s="7">
        <v>0.15855649108315376</v>
      </c>
      <c r="B680"/>
      <c r="C680"/>
      <c r="D680"/>
      <c r="E680"/>
      <c r="F680" s="27" t="s">
        <v>7</v>
      </c>
      <c r="HG680" s="27" t="s">
        <v>8</v>
      </c>
      <c r="HH680" s="27" t="s">
        <v>7</v>
      </c>
      <c r="HI680" s="27" t="s">
        <v>8</v>
      </c>
      <c r="HJ680" s="27" t="s">
        <v>7</v>
      </c>
      <c r="HK680" s="27" t="s">
        <v>8</v>
      </c>
      <c r="HL680" s="27" t="s">
        <v>7</v>
      </c>
      <c r="HM680" s="27" t="s">
        <v>8</v>
      </c>
      <c r="IL680" s="27" t="s">
        <v>7</v>
      </c>
      <c r="IO680" s="27" t="s">
        <v>8</v>
      </c>
      <c r="IP680" s="27" t="s">
        <v>7</v>
      </c>
      <c r="IR680" s="27" t="s">
        <v>7</v>
      </c>
      <c r="IT680" s="27" t="s">
        <v>7</v>
      </c>
      <c r="IU680" s="27" t="s">
        <v>8</v>
      </c>
      <c r="IV680" s="27" t="s">
        <v>7</v>
      </c>
      <c r="KO680" s="27" t="s">
        <v>8</v>
      </c>
      <c r="KP680" s="27" t="s">
        <v>7</v>
      </c>
      <c r="KQ680" s="27" t="s">
        <v>8</v>
      </c>
      <c r="KR680" s="27" t="s">
        <v>7</v>
      </c>
      <c r="KW680" s="27" t="s">
        <v>8</v>
      </c>
      <c r="LC680" s="27" t="s">
        <v>8</v>
      </c>
      <c r="LD680" s="27" t="s">
        <v>7</v>
      </c>
    </row>
    <row r="681" spans="1:370" x14ac:dyDescent="0.25">
      <c r="A681" s="7">
        <v>0.15544754027760171</v>
      </c>
      <c r="B681"/>
      <c r="C681"/>
      <c r="D681"/>
      <c r="E681"/>
      <c r="F681" s="27" t="s">
        <v>7</v>
      </c>
      <c r="HG681" s="27" t="s">
        <v>8</v>
      </c>
      <c r="HH681" s="27" t="s">
        <v>7</v>
      </c>
      <c r="HI681" s="27" t="s">
        <v>8</v>
      </c>
      <c r="HJ681" s="27" t="s">
        <v>7</v>
      </c>
      <c r="HK681" s="27" t="s">
        <v>8</v>
      </c>
      <c r="HL681" s="27" t="s">
        <v>7</v>
      </c>
      <c r="HM681" s="27" t="s">
        <v>8</v>
      </c>
      <c r="IL681" s="27" t="s">
        <v>7</v>
      </c>
      <c r="IO681" s="27" t="s">
        <v>8</v>
      </c>
      <c r="IT681" s="27" t="s">
        <v>7</v>
      </c>
      <c r="IU681" s="27" t="s">
        <v>8</v>
      </c>
      <c r="IV681" s="27" t="s">
        <v>7</v>
      </c>
      <c r="IW681" s="27" t="s">
        <v>8</v>
      </c>
      <c r="KO681" s="27" t="s">
        <v>8</v>
      </c>
      <c r="KP681" s="27" t="s">
        <v>7</v>
      </c>
      <c r="KQ681" s="27" t="s">
        <v>8</v>
      </c>
      <c r="KR681" s="27" t="s">
        <v>7</v>
      </c>
      <c r="KS681" s="27" t="s">
        <v>8</v>
      </c>
      <c r="KW681" s="27" t="s">
        <v>8</v>
      </c>
      <c r="KX681" s="27" t="s">
        <v>7</v>
      </c>
      <c r="LC681" s="27" t="s">
        <v>8</v>
      </c>
      <c r="LD681" s="27" t="s">
        <v>7</v>
      </c>
    </row>
    <row r="682" spans="1:370" x14ac:dyDescent="0.25">
      <c r="A682" s="7">
        <v>0.15239954929176638</v>
      </c>
      <c r="B682"/>
      <c r="C682"/>
      <c r="D682"/>
      <c r="E682"/>
      <c r="F682" s="27" t="s">
        <v>7</v>
      </c>
      <c r="HG682" s="27" t="s">
        <v>8</v>
      </c>
      <c r="HH682" s="27" t="s">
        <v>7</v>
      </c>
      <c r="HI682" s="27" t="s">
        <v>8</v>
      </c>
      <c r="HJ682" s="27" t="s">
        <v>7</v>
      </c>
      <c r="HK682" s="27" t="s">
        <v>8</v>
      </c>
      <c r="HL682" s="27" t="s">
        <v>7</v>
      </c>
      <c r="HM682" s="27" t="s">
        <v>8</v>
      </c>
      <c r="IL682" s="27" t="s">
        <v>7</v>
      </c>
      <c r="IO682" s="27" t="s">
        <v>8</v>
      </c>
      <c r="IT682" s="27" t="s">
        <v>7</v>
      </c>
      <c r="IU682" s="27" t="s">
        <v>8</v>
      </c>
      <c r="IV682" s="27" t="s">
        <v>7</v>
      </c>
      <c r="IW682" s="27" t="s">
        <v>8</v>
      </c>
      <c r="IX682" s="27" t="s">
        <v>7</v>
      </c>
      <c r="KO682" s="27" t="s">
        <v>8</v>
      </c>
      <c r="KP682" s="27" t="s">
        <v>7</v>
      </c>
      <c r="KQ682" s="27" t="s">
        <v>8</v>
      </c>
      <c r="KR682" s="27" t="s">
        <v>7</v>
      </c>
      <c r="KS682" s="27" t="s">
        <v>8</v>
      </c>
      <c r="KT682" s="27" t="s">
        <v>7</v>
      </c>
      <c r="KW682" s="27" t="s">
        <v>8</v>
      </c>
      <c r="KX682" s="27" t="s">
        <v>7</v>
      </c>
      <c r="LC682" s="27" t="s">
        <v>8</v>
      </c>
      <c r="LD682" s="27" t="s">
        <v>7</v>
      </c>
    </row>
    <row r="683" spans="1:370" x14ac:dyDescent="0.25">
      <c r="A683" s="7">
        <v>0.14941132283506509</v>
      </c>
      <c r="B683"/>
      <c r="C683"/>
      <c r="D683"/>
      <c r="E683"/>
      <c r="F683" s="27" t="s">
        <v>7</v>
      </c>
      <c r="HG683" s="27" t="s">
        <v>8</v>
      </c>
      <c r="HH683" s="27" t="s">
        <v>7</v>
      </c>
      <c r="HI683" s="27" t="s">
        <v>8</v>
      </c>
      <c r="HJ683" s="27" t="s">
        <v>7</v>
      </c>
      <c r="HK683" s="27" t="s">
        <v>8</v>
      </c>
      <c r="HL683" s="27" t="s">
        <v>7</v>
      </c>
      <c r="HM683" s="27" t="s">
        <v>8</v>
      </c>
      <c r="IL683" s="27" t="s">
        <v>7</v>
      </c>
      <c r="IO683" s="27" t="s">
        <v>8</v>
      </c>
      <c r="IT683" s="27" t="s">
        <v>7</v>
      </c>
      <c r="IU683" s="27" t="s">
        <v>8</v>
      </c>
      <c r="IV683" s="27" t="s">
        <v>7</v>
      </c>
      <c r="IW683" s="27" t="s">
        <v>8</v>
      </c>
      <c r="IX683" s="27" t="s">
        <v>7</v>
      </c>
      <c r="KO683" s="27" t="s">
        <v>8</v>
      </c>
      <c r="KP683" s="27" t="s">
        <v>7</v>
      </c>
      <c r="KQ683" s="27" t="s">
        <v>8</v>
      </c>
      <c r="KR683" s="27" t="s">
        <v>7</v>
      </c>
      <c r="KS683" s="27" t="s">
        <v>8</v>
      </c>
      <c r="KT683" s="27" t="s">
        <v>7</v>
      </c>
      <c r="KW683" s="27" t="s">
        <v>8</v>
      </c>
      <c r="KX683" s="27" t="s">
        <v>7</v>
      </c>
      <c r="LC683" s="27" t="s">
        <v>8</v>
      </c>
      <c r="LD683" s="27" t="s">
        <v>7</v>
      </c>
      <c r="ME683" s="27" t="s">
        <v>8</v>
      </c>
    </row>
    <row r="684" spans="1:370" x14ac:dyDescent="0.25">
      <c r="A684" s="7">
        <v>0.14648168905398537</v>
      </c>
      <c r="B684"/>
      <c r="C684"/>
      <c r="D684"/>
      <c r="E684"/>
      <c r="F684" s="27" t="s">
        <v>7</v>
      </c>
      <c r="HG684" s="27" t="s">
        <v>8</v>
      </c>
      <c r="HH684" s="27" t="s">
        <v>7</v>
      </c>
      <c r="HI684" s="27" t="s">
        <v>8</v>
      </c>
      <c r="HJ684" s="27" t="s">
        <v>7</v>
      </c>
      <c r="HK684" s="27" t="s">
        <v>8</v>
      </c>
      <c r="HL684" s="27" t="s">
        <v>7</v>
      </c>
      <c r="HM684" s="27" t="s">
        <v>8</v>
      </c>
      <c r="IL684" s="27" t="s">
        <v>7</v>
      </c>
      <c r="IM684" s="27" t="s">
        <v>8</v>
      </c>
      <c r="IO684" s="27" t="s">
        <v>8</v>
      </c>
      <c r="IT684" s="27" t="s">
        <v>7</v>
      </c>
      <c r="IU684" s="27" t="s">
        <v>8</v>
      </c>
      <c r="IV684" s="27" t="s">
        <v>7</v>
      </c>
      <c r="IW684" s="27" t="s">
        <v>8</v>
      </c>
      <c r="IX684" s="27" t="s">
        <v>7</v>
      </c>
      <c r="KO684" s="27" t="s">
        <v>8</v>
      </c>
      <c r="KP684" s="27" t="s">
        <v>7</v>
      </c>
      <c r="KQ684" s="27" t="s">
        <v>8</v>
      </c>
      <c r="KR684" s="27" t="s">
        <v>7</v>
      </c>
      <c r="KS684" s="27" t="s">
        <v>8</v>
      </c>
      <c r="KT684" s="27" t="s">
        <v>7</v>
      </c>
      <c r="KU684" s="27" t="s">
        <v>8</v>
      </c>
      <c r="KW684" s="27" t="s">
        <v>8</v>
      </c>
      <c r="KX684" s="27" t="s">
        <v>7</v>
      </c>
      <c r="LC684" s="27" t="s">
        <v>8</v>
      </c>
      <c r="LD684" s="27" t="s">
        <v>7</v>
      </c>
      <c r="ME684" s="27" t="s">
        <v>8</v>
      </c>
      <c r="MF684" s="27" t="s">
        <v>7</v>
      </c>
    </row>
    <row r="685" spans="1:370" x14ac:dyDescent="0.25">
      <c r="A685" s="7">
        <v>0.14360949907253467</v>
      </c>
      <c r="B685"/>
      <c r="C685"/>
      <c r="D685"/>
      <c r="E685"/>
      <c r="F685" s="27" t="s">
        <v>7</v>
      </c>
      <c r="HG685" s="27" t="s">
        <v>8</v>
      </c>
      <c r="HH685" s="27" t="s">
        <v>7</v>
      </c>
      <c r="HI685" s="27" t="s">
        <v>8</v>
      </c>
      <c r="HJ685" s="27" t="s">
        <v>7</v>
      </c>
      <c r="HK685" s="27" t="s">
        <v>8</v>
      </c>
      <c r="HL685" s="27" t="s">
        <v>7</v>
      </c>
      <c r="HM685" s="27" t="s">
        <v>8</v>
      </c>
      <c r="IL685" s="27" t="s">
        <v>7</v>
      </c>
      <c r="IM685" s="27" t="s">
        <v>8</v>
      </c>
      <c r="IN685" s="27" t="s">
        <v>7</v>
      </c>
      <c r="IO685" s="27" t="s">
        <v>8</v>
      </c>
      <c r="IT685" s="27" t="s">
        <v>7</v>
      </c>
      <c r="IU685" s="27" t="s">
        <v>8</v>
      </c>
      <c r="IV685" s="27" t="s">
        <v>7</v>
      </c>
      <c r="IW685" s="27" t="s">
        <v>8</v>
      </c>
      <c r="IX685" s="27" t="s">
        <v>7</v>
      </c>
      <c r="KO685" s="27" t="s">
        <v>8</v>
      </c>
      <c r="KP685" s="27" t="s">
        <v>7</v>
      </c>
      <c r="KQ685" s="27" t="s">
        <v>8</v>
      </c>
      <c r="KR685" s="27" t="s">
        <v>7</v>
      </c>
      <c r="KS685" s="27" t="s">
        <v>8</v>
      </c>
      <c r="KT685" s="27" t="s">
        <v>7</v>
      </c>
      <c r="KU685" s="27" t="s">
        <v>8</v>
      </c>
      <c r="KV685" s="27" t="s">
        <v>7</v>
      </c>
      <c r="KW685" s="27" t="s">
        <v>8</v>
      </c>
      <c r="KX685" s="27" t="s">
        <v>7</v>
      </c>
      <c r="LC685" s="27" t="s">
        <v>8</v>
      </c>
      <c r="LD685" s="27" t="s">
        <v>7</v>
      </c>
      <c r="ME685" s="27" t="s">
        <v>8</v>
      </c>
      <c r="MF685" s="27" t="s">
        <v>7</v>
      </c>
    </row>
    <row r="686" spans="1:370" x14ac:dyDescent="0.25">
      <c r="A686" s="7">
        <v>0.14079362654170066</v>
      </c>
      <c r="B686"/>
      <c r="C686"/>
      <c r="D686"/>
      <c r="E686"/>
      <c r="F686" s="27" t="s">
        <v>7</v>
      </c>
      <c r="HG686" s="27" t="s">
        <v>8</v>
      </c>
      <c r="HH686" s="27" t="s">
        <v>7</v>
      </c>
      <c r="HI686" s="27" t="s">
        <v>8</v>
      </c>
      <c r="HJ686" s="27" t="s">
        <v>7</v>
      </c>
      <c r="HK686" s="27" t="s">
        <v>8</v>
      </c>
      <c r="HL686" s="27" t="s">
        <v>7</v>
      </c>
      <c r="IL686" s="27" t="s">
        <v>7</v>
      </c>
      <c r="IM686" s="27" t="s">
        <v>8</v>
      </c>
      <c r="IN686" s="27" t="s">
        <v>7</v>
      </c>
      <c r="IO686" s="27" t="s">
        <v>8</v>
      </c>
      <c r="IT686" s="27" t="s">
        <v>7</v>
      </c>
      <c r="IU686" s="27" t="s">
        <v>8</v>
      </c>
      <c r="IV686" s="27" t="s">
        <v>7</v>
      </c>
      <c r="IW686" s="27" t="s">
        <v>8</v>
      </c>
      <c r="IX686" s="27" t="s">
        <v>7</v>
      </c>
      <c r="KO686" s="27" t="s">
        <v>8</v>
      </c>
      <c r="KP686" s="27" t="s">
        <v>7</v>
      </c>
      <c r="KQ686" s="27" t="s">
        <v>8</v>
      </c>
      <c r="KR686" s="27" t="s">
        <v>7</v>
      </c>
      <c r="KT686" s="27" t="s">
        <v>7</v>
      </c>
      <c r="KU686" s="27" t="s">
        <v>8</v>
      </c>
      <c r="KV686" s="27" t="s">
        <v>7</v>
      </c>
      <c r="KW686" s="27" t="s">
        <v>8</v>
      </c>
      <c r="KX686" s="27" t="s">
        <v>7</v>
      </c>
      <c r="LC686" s="27" t="s">
        <v>8</v>
      </c>
      <c r="LD686" s="27" t="s">
        <v>7</v>
      </c>
      <c r="ME686" s="27" t="s">
        <v>8</v>
      </c>
      <c r="MF686" s="27" t="s">
        <v>7</v>
      </c>
      <c r="MI686" s="27" t="s">
        <v>8</v>
      </c>
    </row>
    <row r="687" spans="1:370" x14ac:dyDescent="0.25">
      <c r="A687" s="7">
        <v>0.13803296719774574</v>
      </c>
      <c r="B687"/>
      <c r="C687"/>
      <c r="D687"/>
      <c r="E687"/>
      <c r="F687" s="27" t="s">
        <v>7</v>
      </c>
      <c r="HG687" s="27" t="s">
        <v>8</v>
      </c>
      <c r="HH687" s="27" t="s">
        <v>7</v>
      </c>
      <c r="HJ687" s="27" t="s">
        <v>7</v>
      </c>
      <c r="HK687" s="27" t="s">
        <v>8</v>
      </c>
      <c r="IL687" s="27" t="s">
        <v>7</v>
      </c>
      <c r="IM687" s="27" t="s">
        <v>8</v>
      </c>
      <c r="IN687" s="27" t="s">
        <v>7</v>
      </c>
      <c r="IO687" s="27" t="s">
        <v>8</v>
      </c>
      <c r="IT687" s="27" t="s">
        <v>7</v>
      </c>
      <c r="IV687" s="27" t="s">
        <v>7</v>
      </c>
      <c r="IW687" s="27" t="s">
        <v>8</v>
      </c>
      <c r="IX687" s="27" t="s">
        <v>7</v>
      </c>
      <c r="KO687" s="27" t="s">
        <v>8</v>
      </c>
      <c r="KP687" s="27" t="s">
        <v>7</v>
      </c>
      <c r="KT687" s="27" t="s">
        <v>7</v>
      </c>
      <c r="KU687" s="27" t="s">
        <v>8</v>
      </c>
      <c r="KV687" s="27" t="s">
        <v>7</v>
      </c>
      <c r="KW687" s="27" t="s">
        <v>8</v>
      </c>
      <c r="KX687" s="27" t="s">
        <v>7</v>
      </c>
      <c r="KY687" s="27" t="s">
        <v>8</v>
      </c>
      <c r="LC687" s="27" t="s">
        <v>8</v>
      </c>
      <c r="LD687" s="27" t="s">
        <v>7</v>
      </c>
      <c r="MC687" s="27" t="s">
        <v>8</v>
      </c>
      <c r="ME687" s="27" t="s">
        <v>8</v>
      </c>
      <c r="MF687" s="27" t="s">
        <v>7</v>
      </c>
      <c r="MG687" s="27" t="s">
        <v>8</v>
      </c>
      <c r="MI687" s="27" t="s">
        <v>8</v>
      </c>
      <c r="MJ687" s="27" t="s">
        <v>7</v>
      </c>
      <c r="NE687" s="27" t="s">
        <v>8</v>
      </c>
    </row>
    <row r="688" spans="1:370" x14ac:dyDescent="0.25">
      <c r="A688" s="7">
        <v>0.1353264384291625</v>
      </c>
      <c r="B688"/>
      <c r="C688"/>
      <c r="D688"/>
      <c r="E688"/>
      <c r="F688" s="27" t="s">
        <v>7</v>
      </c>
      <c r="HG688" s="27" t="s">
        <v>8</v>
      </c>
      <c r="HJ688" s="27" t="s">
        <v>7</v>
      </c>
      <c r="HK688" s="27" t="s">
        <v>8</v>
      </c>
      <c r="IL688" s="27" t="s">
        <v>7</v>
      </c>
      <c r="IM688" s="27" t="s">
        <v>8</v>
      </c>
      <c r="IN688" s="27" t="s">
        <v>7</v>
      </c>
      <c r="IO688" s="27" t="s">
        <v>8</v>
      </c>
      <c r="IV688" s="27" t="s">
        <v>7</v>
      </c>
      <c r="IW688" s="27" t="s">
        <v>8</v>
      </c>
      <c r="IX688" s="27" t="s">
        <v>7</v>
      </c>
      <c r="KO688" s="27" t="s">
        <v>8</v>
      </c>
      <c r="KT688" s="27" t="s">
        <v>7</v>
      </c>
      <c r="KU688" s="27" t="s">
        <v>8</v>
      </c>
      <c r="KV688" s="27" t="s">
        <v>7</v>
      </c>
      <c r="KW688" s="27" t="s">
        <v>8</v>
      </c>
      <c r="KX688" s="27" t="s">
        <v>7</v>
      </c>
      <c r="KY688" s="27" t="s">
        <v>8</v>
      </c>
      <c r="KZ688" s="27" t="s">
        <v>7</v>
      </c>
      <c r="LA688" s="27" t="s">
        <v>8</v>
      </c>
      <c r="LC688" s="27" t="s">
        <v>8</v>
      </c>
      <c r="LD688" s="27" t="s">
        <v>7</v>
      </c>
      <c r="MC688" s="27" t="s">
        <v>8</v>
      </c>
      <c r="MD688" s="27" t="s">
        <v>7</v>
      </c>
      <c r="ME688" s="27" t="s">
        <v>8</v>
      </c>
      <c r="MF688" s="27" t="s">
        <v>7</v>
      </c>
      <c r="MG688" s="27" t="s">
        <v>8</v>
      </c>
      <c r="MH688" s="27" t="s">
        <v>7</v>
      </c>
      <c r="MI688" s="27" t="s">
        <v>8</v>
      </c>
      <c r="MJ688" s="27" t="s">
        <v>7</v>
      </c>
      <c r="NE688" s="27" t="s">
        <v>8</v>
      </c>
      <c r="NF688" s="27" t="s">
        <v>7</v>
      </c>
    </row>
    <row r="689" spans="1:378" x14ac:dyDescent="0.25">
      <c r="A689" s="7">
        <v>0.13267297885212009</v>
      </c>
      <c r="B689"/>
      <c r="C689"/>
      <c r="D689"/>
      <c r="E689"/>
      <c r="F689" s="27" t="s">
        <v>7</v>
      </c>
      <c r="HG689" s="27" t="s">
        <v>8</v>
      </c>
      <c r="HJ689" s="27" t="s">
        <v>7</v>
      </c>
      <c r="HK689" s="27" t="s">
        <v>8</v>
      </c>
      <c r="IL689" s="27" t="s">
        <v>7</v>
      </c>
      <c r="IM689" s="27" t="s">
        <v>8</v>
      </c>
      <c r="IN689" s="27" t="s">
        <v>7</v>
      </c>
      <c r="IO689" s="27" t="s">
        <v>8</v>
      </c>
      <c r="IV689" s="27" t="s">
        <v>7</v>
      </c>
      <c r="IW689" s="27" t="s">
        <v>8</v>
      </c>
      <c r="IX689" s="27" t="s">
        <v>7</v>
      </c>
      <c r="IY689" s="27" t="s">
        <v>8</v>
      </c>
      <c r="KO689" s="27" t="s">
        <v>8</v>
      </c>
      <c r="KT689" s="27" t="s">
        <v>7</v>
      </c>
      <c r="KU689" s="27" t="s">
        <v>8</v>
      </c>
      <c r="KV689" s="27" t="s">
        <v>7</v>
      </c>
      <c r="KX689" s="27" t="s">
        <v>7</v>
      </c>
      <c r="KY689" s="27" t="s">
        <v>8</v>
      </c>
      <c r="KZ689" s="27" t="s">
        <v>7</v>
      </c>
      <c r="LA689" s="27" t="s">
        <v>8</v>
      </c>
      <c r="LB689" s="27" t="s">
        <v>7</v>
      </c>
      <c r="LC689" s="27" t="s">
        <v>8</v>
      </c>
      <c r="LD689" s="27" t="s">
        <v>7</v>
      </c>
      <c r="MA689" s="27" t="s">
        <v>8</v>
      </c>
      <c r="MC689" s="27" t="s">
        <v>8</v>
      </c>
      <c r="MD689" s="27" t="s">
        <v>7</v>
      </c>
      <c r="ME689" s="27" t="s">
        <v>8</v>
      </c>
      <c r="MF689" s="27" t="s">
        <v>7</v>
      </c>
      <c r="MG689" s="27" t="s">
        <v>8</v>
      </c>
      <c r="MH689" s="27" t="s">
        <v>7</v>
      </c>
      <c r="MI689" s="27" t="s">
        <v>8</v>
      </c>
      <c r="MJ689" s="27" t="s">
        <v>7</v>
      </c>
      <c r="MK689" s="27" t="s">
        <v>8</v>
      </c>
      <c r="NE689" s="27" t="s">
        <v>8</v>
      </c>
      <c r="NF689" s="27" t="s">
        <v>7</v>
      </c>
    </row>
    <row r="690" spans="1:378" x14ac:dyDescent="0.25">
      <c r="A690" s="7">
        <v>0.13007154789423539</v>
      </c>
      <c r="B690"/>
      <c r="C690"/>
      <c r="D690"/>
      <c r="E690"/>
      <c r="F690" s="27" t="s">
        <v>7</v>
      </c>
      <c r="HG690" s="27" t="s">
        <v>8</v>
      </c>
      <c r="HJ690" s="27" t="s">
        <v>7</v>
      </c>
      <c r="HK690" s="27" t="s">
        <v>8</v>
      </c>
      <c r="IL690" s="27" t="s">
        <v>7</v>
      </c>
      <c r="IM690" s="27" t="s">
        <v>8</v>
      </c>
      <c r="IN690" s="27" t="s">
        <v>7</v>
      </c>
      <c r="IO690" s="27" t="s">
        <v>8</v>
      </c>
      <c r="IV690" s="27" t="s">
        <v>7</v>
      </c>
      <c r="IW690" s="27" t="s">
        <v>8</v>
      </c>
      <c r="IX690" s="27" t="s">
        <v>7</v>
      </c>
      <c r="IY690" s="27" t="s">
        <v>8</v>
      </c>
      <c r="IZ690" s="27" t="s">
        <v>7</v>
      </c>
      <c r="KO690" s="27" t="s">
        <v>8</v>
      </c>
      <c r="KT690" s="27" t="s">
        <v>7</v>
      </c>
      <c r="KU690" s="27" t="s">
        <v>8</v>
      </c>
      <c r="KX690" s="27" t="s">
        <v>7</v>
      </c>
      <c r="KZ690" s="27" t="s">
        <v>7</v>
      </c>
      <c r="LA690" s="27" t="s">
        <v>8</v>
      </c>
      <c r="LB690" s="27" t="s">
        <v>7</v>
      </c>
      <c r="LC690" s="27" t="s">
        <v>8</v>
      </c>
      <c r="LD690" s="27" t="s">
        <v>7</v>
      </c>
      <c r="LW690" s="27" t="s">
        <v>8</v>
      </c>
      <c r="MA690" s="27" t="s">
        <v>8</v>
      </c>
      <c r="MB690" s="27" t="s">
        <v>7</v>
      </c>
      <c r="MC690" s="27" t="s">
        <v>8</v>
      </c>
      <c r="MD690" s="27" t="s">
        <v>7</v>
      </c>
      <c r="ME690" s="27" t="s">
        <v>8</v>
      </c>
      <c r="MF690" s="27" t="s">
        <v>7</v>
      </c>
      <c r="MH690" s="27" t="s">
        <v>7</v>
      </c>
      <c r="MJ690" s="27" t="s">
        <v>7</v>
      </c>
      <c r="MK690" s="27" t="s">
        <v>8</v>
      </c>
      <c r="ML690" s="27" t="s">
        <v>7</v>
      </c>
      <c r="NE690" s="27" t="s">
        <v>8</v>
      </c>
      <c r="NF690" s="27" t="s">
        <v>7</v>
      </c>
      <c r="NG690" s="27" t="s">
        <v>8</v>
      </c>
    </row>
    <row r="691" spans="1:378" x14ac:dyDescent="0.25">
      <c r="A691" s="7">
        <v>0.12752112538650529</v>
      </c>
      <c r="B691"/>
      <c r="C691"/>
      <c r="D691"/>
      <c r="E691"/>
      <c r="F691" s="27" t="s">
        <v>7</v>
      </c>
      <c r="HG691" s="27" t="s">
        <v>8</v>
      </c>
      <c r="HJ691" s="27" t="s">
        <v>7</v>
      </c>
      <c r="HK691" s="27" t="s">
        <v>8</v>
      </c>
      <c r="IL691" s="27" t="s">
        <v>7</v>
      </c>
      <c r="IM691" s="27" t="s">
        <v>8</v>
      </c>
      <c r="IN691" s="27" t="s">
        <v>7</v>
      </c>
      <c r="IO691" s="27" t="s">
        <v>8</v>
      </c>
      <c r="IV691" s="27" t="s">
        <v>7</v>
      </c>
      <c r="IW691" s="27" t="s">
        <v>8</v>
      </c>
      <c r="IX691" s="27" t="s">
        <v>7</v>
      </c>
      <c r="IY691" s="27" t="s">
        <v>8</v>
      </c>
      <c r="IZ691" s="27" t="s">
        <v>7</v>
      </c>
      <c r="KO691" s="27" t="s">
        <v>8</v>
      </c>
      <c r="KT691" s="27" t="s">
        <v>7</v>
      </c>
      <c r="KZ691" s="27" t="s">
        <v>7</v>
      </c>
      <c r="LA691" s="27" t="s">
        <v>8</v>
      </c>
      <c r="LB691" s="27" t="s">
        <v>7</v>
      </c>
      <c r="LC691" s="27" t="s">
        <v>8</v>
      </c>
      <c r="LD691" s="27" t="s">
        <v>7</v>
      </c>
      <c r="LW691" s="27" t="s">
        <v>8</v>
      </c>
      <c r="LX691" s="27" t="s">
        <v>7</v>
      </c>
      <c r="MA691" s="27" t="s">
        <v>8</v>
      </c>
      <c r="MB691" s="27" t="s">
        <v>7</v>
      </c>
      <c r="MC691" s="27" t="s">
        <v>8</v>
      </c>
      <c r="MD691" s="27" t="s">
        <v>7</v>
      </c>
      <c r="ME691" s="27" t="s">
        <v>8</v>
      </c>
      <c r="MJ691" s="27" t="s">
        <v>7</v>
      </c>
      <c r="MK691" s="27" t="s">
        <v>8</v>
      </c>
      <c r="ML691" s="27" t="s">
        <v>7</v>
      </c>
      <c r="NE691" s="27" t="s">
        <v>8</v>
      </c>
      <c r="NF691" s="27" t="s">
        <v>7</v>
      </c>
      <c r="NG691" s="27" t="s">
        <v>8</v>
      </c>
      <c r="NH691" s="27" t="s">
        <v>7</v>
      </c>
    </row>
    <row r="692" spans="1:378" x14ac:dyDescent="0.25">
      <c r="A692" s="7">
        <v>0.12502071116324048</v>
      </c>
      <c r="B692"/>
      <c r="C692"/>
      <c r="D692"/>
      <c r="E692"/>
      <c r="F692" s="27" t="s">
        <v>7</v>
      </c>
      <c r="HG692" s="27" t="s">
        <v>8</v>
      </c>
      <c r="HJ692" s="27" t="s">
        <v>7</v>
      </c>
      <c r="HK692" s="27" t="s">
        <v>8</v>
      </c>
      <c r="IL692" s="27" t="s">
        <v>7</v>
      </c>
      <c r="IM692" s="27" t="s">
        <v>8</v>
      </c>
      <c r="IN692" s="27" t="s">
        <v>7</v>
      </c>
      <c r="IO692" s="27" t="s">
        <v>8</v>
      </c>
      <c r="IV692" s="27" t="s">
        <v>7</v>
      </c>
      <c r="IX692" s="27" t="s">
        <v>7</v>
      </c>
      <c r="IY692" s="27" t="s">
        <v>8</v>
      </c>
      <c r="IZ692" s="27" t="s">
        <v>7</v>
      </c>
      <c r="KO692" s="27" t="s">
        <v>8</v>
      </c>
      <c r="KZ692" s="27" t="s">
        <v>7</v>
      </c>
      <c r="LA692" s="27" t="s">
        <v>8</v>
      </c>
      <c r="LB692" s="27" t="s">
        <v>7</v>
      </c>
      <c r="LD692" s="27" t="s">
        <v>7</v>
      </c>
      <c r="LW692" s="27" t="s">
        <v>8</v>
      </c>
      <c r="LX692" s="27" t="s">
        <v>7</v>
      </c>
      <c r="LY692" s="27" t="s">
        <v>8</v>
      </c>
      <c r="MA692" s="27" t="s">
        <v>8</v>
      </c>
      <c r="MB692" s="27" t="s">
        <v>7</v>
      </c>
      <c r="MC692" s="27" t="s">
        <v>8</v>
      </c>
      <c r="MD692" s="27" t="s">
        <v>7</v>
      </c>
      <c r="MJ692" s="27" t="s">
        <v>7</v>
      </c>
      <c r="MK692" s="27" t="s">
        <v>8</v>
      </c>
      <c r="ML692" s="27" t="s">
        <v>7</v>
      </c>
      <c r="NE692" s="27" t="s">
        <v>8</v>
      </c>
      <c r="NF692" s="27" t="s">
        <v>7</v>
      </c>
      <c r="NG692" s="27" t="s">
        <v>8</v>
      </c>
      <c r="NH692" s="27" t="s">
        <v>7</v>
      </c>
    </row>
    <row r="693" spans="1:378" x14ac:dyDescent="0.25">
      <c r="A693" s="7">
        <v>0.1225693246698436</v>
      </c>
      <c r="B693"/>
      <c r="C693"/>
      <c r="D693"/>
      <c r="E693"/>
      <c r="F693" s="27" t="s">
        <v>7</v>
      </c>
      <c r="HG693" s="27" t="s">
        <v>8</v>
      </c>
      <c r="HJ693" s="27" t="s">
        <v>7</v>
      </c>
      <c r="HK693" s="27" t="s">
        <v>8</v>
      </c>
      <c r="IL693" s="27" t="s">
        <v>7</v>
      </c>
      <c r="IM693" s="27" t="s">
        <v>8</v>
      </c>
      <c r="IN693" s="27" t="s">
        <v>7</v>
      </c>
      <c r="IX693" s="27" t="s">
        <v>7</v>
      </c>
      <c r="IY693" s="27" t="s">
        <v>8</v>
      </c>
      <c r="IZ693" s="27" t="s">
        <v>7</v>
      </c>
      <c r="KO693" s="27" t="s">
        <v>8</v>
      </c>
      <c r="KZ693" s="27" t="s">
        <v>7</v>
      </c>
      <c r="LA693" s="27" t="s">
        <v>8</v>
      </c>
      <c r="LD693" s="27" t="s">
        <v>7</v>
      </c>
      <c r="LE693" s="27" t="s">
        <v>8</v>
      </c>
      <c r="LG693" s="27" t="s">
        <v>8</v>
      </c>
      <c r="LI693" s="27" t="s">
        <v>8</v>
      </c>
      <c r="LS693" s="27" t="s">
        <v>8</v>
      </c>
      <c r="LW693" s="27" t="s">
        <v>8</v>
      </c>
      <c r="LX693" s="27" t="s">
        <v>7</v>
      </c>
      <c r="LY693" s="27" t="s">
        <v>8</v>
      </c>
      <c r="LZ693" s="27" t="s">
        <v>7</v>
      </c>
      <c r="MA693" s="27" t="s">
        <v>8</v>
      </c>
      <c r="MB693" s="27" t="s">
        <v>7</v>
      </c>
      <c r="MC693" s="27" t="s">
        <v>8</v>
      </c>
      <c r="MJ693" s="27" t="s">
        <v>7</v>
      </c>
      <c r="MK693" s="27" t="s">
        <v>8</v>
      </c>
      <c r="ML693" s="27" t="s">
        <v>7</v>
      </c>
      <c r="MM693" s="27" t="s">
        <v>8</v>
      </c>
      <c r="MO693" s="27" t="s">
        <v>8</v>
      </c>
      <c r="NE693" s="27" t="s">
        <v>8</v>
      </c>
      <c r="NF693" s="27" t="s">
        <v>7</v>
      </c>
      <c r="NG693" s="27" t="s">
        <v>8</v>
      </c>
      <c r="NH693" s="27" t="s">
        <v>7</v>
      </c>
    </row>
    <row r="694" spans="1:378" x14ac:dyDescent="0.25">
      <c r="A694" s="7">
        <v>0.12016600457827803</v>
      </c>
      <c r="B694"/>
      <c r="C694"/>
      <c r="D694"/>
      <c r="E694"/>
      <c r="F694" s="27" t="s">
        <v>7</v>
      </c>
      <c r="HG694" s="27" t="s">
        <v>8</v>
      </c>
      <c r="HJ694" s="27" t="s">
        <v>7</v>
      </c>
      <c r="HK694" s="27" t="s">
        <v>8</v>
      </c>
      <c r="IL694" s="27" t="s">
        <v>7</v>
      </c>
      <c r="IM694" s="27" t="s">
        <v>8</v>
      </c>
      <c r="IX694" s="27" t="s">
        <v>7</v>
      </c>
      <c r="IY694" s="27" t="s">
        <v>8</v>
      </c>
      <c r="IZ694" s="27" t="s">
        <v>7</v>
      </c>
      <c r="KO694" s="27" t="s">
        <v>8</v>
      </c>
      <c r="KZ694" s="27" t="s">
        <v>7</v>
      </c>
      <c r="LD694" s="27" t="s">
        <v>7</v>
      </c>
      <c r="LE694" s="27" t="s">
        <v>8</v>
      </c>
      <c r="LF694" s="27" t="s">
        <v>7</v>
      </c>
      <c r="LG694" s="27" t="s">
        <v>8</v>
      </c>
      <c r="LH694" s="27" t="s">
        <v>7</v>
      </c>
      <c r="LI694" s="27" t="s">
        <v>8</v>
      </c>
      <c r="LJ694" s="27" t="s">
        <v>7</v>
      </c>
      <c r="LS694" s="27" t="s">
        <v>8</v>
      </c>
      <c r="LT694" s="27" t="s">
        <v>7</v>
      </c>
      <c r="LW694" s="27" t="s">
        <v>8</v>
      </c>
      <c r="LX694" s="27" t="s">
        <v>7</v>
      </c>
      <c r="LY694" s="27" t="s">
        <v>8</v>
      </c>
      <c r="LZ694" s="27" t="s">
        <v>7</v>
      </c>
      <c r="MA694" s="27" t="s">
        <v>8</v>
      </c>
      <c r="MB694" s="27" t="s">
        <v>7</v>
      </c>
      <c r="MC694" s="27" t="s">
        <v>8</v>
      </c>
      <c r="MJ694" s="27" t="s">
        <v>7</v>
      </c>
      <c r="MK694" s="27" t="s">
        <v>8</v>
      </c>
      <c r="ML694" s="27" t="s">
        <v>7</v>
      </c>
      <c r="MM694" s="27" t="s">
        <v>8</v>
      </c>
      <c r="MN694" s="27" t="s">
        <v>7</v>
      </c>
      <c r="MO694" s="27" t="s">
        <v>8</v>
      </c>
      <c r="MP694" s="27" t="s">
        <v>7</v>
      </c>
      <c r="NE694" s="27" t="s">
        <v>8</v>
      </c>
      <c r="NF694" s="27" t="s">
        <v>7</v>
      </c>
      <c r="NG694" s="27" t="s">
        <v>8</v>
      </c>
      <c r="NH694" s="27" t="s">
        <v>7</v>
      </c>
    </row>
    <row r="695" spans="1:378" x14ac:dyDescent="0.25">
      <c r="A695" s="7">
        <v>0.1178098084100765</v>
      </c>
      <c r="B695"/>
      <c r="C695"/>
      <c r="D695"/>
      <c r="E695"/>
      <c r="F695" s="27" t="s">
        <v>7</v>
      </c>
      <c r="HG695" s="27" t="s">
        <v>8</v>
      </c>
      <c r="HJ695" s="27" t="s">
        <v>7</v>
      </c>
      <c r="IL695" s="27" t="s">
        <v>7</v>
      </c>
      <c r="IM695" s="27" t="s">
        <v>8</v>
      </c>
      <c r="IX695" s="27" t="s">
        <v>7</v>
      </c>
      <c r="IZ695" s="27" t="s">
        <v>7</v>
      </c>
      <c r="KO695" s="27" t="s">
        <v>8</v>
      </c>
      <c r="LD695" s="27" t="s">
        <v>7</v>
      </c>
      <c r="LE695" s="27" t="s">
        <v>8</v>
      </c>
      <c r="LF695" s="27" t="s">
        <v>7</v>
      </c>
      <c r="LG695" s="27" t="s">
        <v>8</v>
      </c>
      <c r="LH695" s="27" t="s">
        <v>7</v>
      </c>
      <c r="LI695" s="27" t="s">
        <v>8</v>
      </c>
      <c r="LJ695" s="27" t="s">
        <v>7</v>
      </c>
      <c r="LS695" s="27" t="s">
        <v>8</v>
      </c>
      <c r="LT695" s="27" t="s">
        <v>7</v>
      </c>
      <c r="LW695" s="27" t="s">
        <v>8</v>
      </c>
      <c r="LX695" s="27" t="s">
        <v>7</v>
      </c>
      <c r="LZ695" s="27" t="s">
        <v>7</v>
      </c>
      <c r="MA695" s="27" t="s">
        <v>8</v>
      </c>
      <c r="MB695" s="27" t="s">
        <v>7</v>
      </c>
      <c r="MC695" s="27" t="s">
        <v>8</v>
      </c>
      <c r="MJ695" s="27" t="s">
        <v>7</v>
      </c>
      <c r="MK695" s="27" t="s">
        <v>8</v>
      </c>
      <c r="ML695" s="27" t="s">
        <v>7</v>
      </c>
      <c r="MM695" s="27" t="s">
        <v>8</v>
      </c>
      <c r="MN695" s="27" t="s">
        <v>7</v>
      </c>
      <c r="MO695" s="27" t="s">
        <v>8</v>
      </c>
      <c r="MP695" s="27" t="s">
        <v>7</v>
      </c>
      <c r="NE695" s="27" t="s">
        <v>8</v>
      </c>
      <c r="NF695" s="27" t="s">
        <v>7</v>
      </c>
      <c r="NG695" s="27" t="s">
        <v>8</v>
      </c>
      <c r="NH695" s="27" t="s">
        <v>7</v>
      </c>
    </row>
    <row r="696" spans="1:378" x14ac:dyDescent="0.25">
      <c r="A696" s="7">
        <v>0.11549981216674166</v>
      </c>
      <c r="B696"/>
      <c r="C696"/>
      <c r="D696"/>
      <c r="E696"/>
      <c r="F696" s="27" t="s">
        <v>7</v>
      </c>
      <c r="HG696" s="27" t="s">
        <v>8</v>
      </c>
      <c r="IL696" s="27" t="s">
        <v>7</v>
      </c>
      <c r="IM696" s="27" t="s">
        <v>8</v>
      </c>
      <c r="IZ696" s="27" t="s">
        <v>7</v>
      </c>
      <c r="KO696" s="27" t="s">
        <v>8</v>
      </c>
      <c r="LD696" s="27" t="s">
        <v>7</v>
      </c>
      <c r="LE696" s="27" t="s">
        <v>8</v>
      </c>
      <c r="LF696" s="27" t="s">
        <v>7</v>
      </c>
      <c r="LG696" s="27" t="s">
        <v>8</v>
      </c>
      <c r="LH696" s="27" t="s">
        <v>7</v>
      </c>
      <c r="LI696" s="27" t="s">
        <v>8</v>
      </c>
      <c r="LJ696" s="27" t="s">
        <v>7</v>
      </c>
      <c r="LQ696" s="27" t="s">
        <v>8</v>
      </c>
      <c r="LS696" s="27" t="s">
        <v>8</v>
      </c>
      <c r="LT696" s="27" t="s">
        <v>7</v>
      </c>
      <c r="LU696" s="27" t="s">
        <v>8</v>
      </c>
      <c r="LW696" s="27" t="s">
        <v>8</v>
      </c>
      <c r="LZ696" s="27" t="s">
        <v>7</v>
      </c>
      <c r="MA696" s="27" t="s">
        <v>8</v>
      </c>
      <c r="MB696" s="27" t="s">
        <v>7</v>
      </c>
      <c r="MJ696" s="27" t="s">
        <v>7</v>
      </c>
      <c r="MK696" s="27" t="s">
        <v>8</v>
      </c>
      <c r="ML696" s="27" t="s">
        <v>7</v>
      </c>
      <c r="MM696" s="27" t="s">
        <v>8</v>
      </c>
      <c r="MN696" s="27" t="s">
        <v>7</v>
      </c>
      <c r="MO696" s="27" t="s">
        <v>8</v>
      </c>
      <c r="MP696" s="27" t="s">
        <v>7</v>
      </c>
      <c r="MQ696" s="27" t="s">
        <v>8</v>
      </c>
      <c r="MS696" s="27" t="s">
        <v>8</v>
      </c>
      <c r="NC696" s="27" t="s">
        <v>8</v>
      </c>
      <c r="NE696" s="27" t="s">
        <v>8</v>
      </c>
      <c r="NF696" s="27" t="s">
        <v>7</v>
      </c>
      <c r="NG696" s="27" t="s">
        <v>8</v>
      </c>
      <c r="NH696" s="27" t="s">
        <v>7</v>
      </c>
    </row>
    <row r="697" spans="1:378" x14ac:dyDescent="0.25">
      <c r="A697" s="7">
        <v>0.11323510996739378</v>
      </c>
      <c r="B697"/>
      <c r="C697"/>
      <c r="D697"/>
      <c r="E697"/>
      <c r="F697" s="27" t="s">
        <v>7</v>
      </c>
      <c r="HG697" s="27" t="s">
        <v>8</v>
      </c>
      <c r="IL697" s="27" t="s">
        <v>7</v>
      </c>
      <c r="IM697" s="27" t="s">
        <v>8</v>
      </c>
      <c r="IZ697" s="27" t="s">
        <v>7</v>
      </c>
      <c r="KO697" s="27" t="s">
        <v>8</v>
      </c>
      <c r="LD697" s="27" t="s">
        <v>7</v>
      </c>
      <c r="LE697" s="27" t="s">
        <v>8</v>
      </c>
      <c r="LF697" s="27" t="s">
        <v>7</v>
      </c>
      <c r="LG697" s="27" t="s">
        <v>8</v>
      </c>
      <c r="LH697" s="27" t="s">
        <v>7</v>
      </c>
      <c r="LI697" s="27" t="s">
        <v>8</v>
      </c>
      <c r="LJ697" s="27" t="s">
        <v>7</v>
      </c>
      <c r="LQ697" s="27" t="s">
        <v>8</v>
      </c>
      <c r="LR697" s="27" t="s">
        <v>7</v>
      </c>
      <c r="LS697" s="27" t="s">
        <v>8</v>
      </c>
      <c r="LT697" s="27" t="s">
        <v>7</v>
      </c>
      <c r="LU697" s="27" t="s">
        <v>8</v>
      </c>
      <c r="LV697" s="27" t="s">
        <v>7</v>
      </c>
      <c r="LW697" s="27" t="s">
        <v>8</v>
      </c>
      <c r="LZ697" s="27" t="s">
        <v>7</v>
      </c>
      <c r="MA697" s="27" t="s">
        <v>8</v>
      </c>
      <c r="MJ697" s="27" t="s">
        <v>7</v>
      </c>
      <c r="MK697" s="27" t="s">
        <v>8</v>
      </c>
      <c r="ML697" s="27" t="s">
        <v>7</v>
      </c>
      <c r="MM697" s="27" t="s">
        <v>8</v>
      </c>
      <c r="MN697" s="27" t="s">
        <v>7</v>
      </c>
      <c r="MP697" s="27" t="s">
        <v>7</v>
      </c>
      <c r="MQ697" s="27" t="s">
        <v>8</v>
      </c>
      <c r="MR697" s="27" t="s">
        <v>7</v>
      </c>
      <c r="MS697" s="27" t="s">
        <v>8</v>
      </c>
      <c r="MT697" s="27" t="s">
        <v>7</v>
      </c>
      <c r="NC697" s="27" t="s">
        <v>8</v>
      </c>
      <c r="ND697" s="27" t="s">
        <v>7</v>
      </c>
      <c r="NE697" s="27" t="s">
        <v>8</v>
      </c>
      <c r="NF697" s="27" t="s">
        <v>7</v>
      </c>
      <c r="NG697" s="27" t="s">
        <v>8</v>
      </c>
      <c r="NH697" s="27" t="s">
        <v>7</v>
      </c>
    </row>
    <row r="698" spans="1:378" x14ac:dyDescent="0.25">
      <c r="A698" s="7">
        <v>0.11101481369352331</v>
      </c>
      <c r="B698"/>
      <c r="C698"/>
      <c r="D698"/>
      <c r="E698"/>
      <c r="F698" s="27" t="s">
        <v>7</v>
      </c>
      <c r="HG698" s="27" t="s">
        <v>8</v>
      </c>
      <c r="IL698" s="27" t="s">
        <v>7</v>
      </c>
      <c r="IZ698" s="27" t="s">
        <v>7</v>
      </c>
      <c r="KM698" s="27" t="s">
        <v>8</v>
      </c>
      <c r="KO698" s="27" t="s">
        <v>8</v>
      </c>
      <c r="LD698" s="27" t="s">
        <v>7</v>
      </c>
      <c r="LE698" s="27" t="s">
        <v>8</v>
      </c>
      <c r="LF698" s="27" t="s">
        <v>7</v>
      </c>
      <c r="LH698" s="27" t="s">
        <v>7</v>
      </c>
      <c r="LI698" s="27" t="s">
        <v>8</v>
      </c>
      <c r="LJ698" s="27" t="s">
        <v>7</v>
      </c>
      <c r="LQ698" s="27" t="s">
        <v>8</v>
      </c>
      <c r="LR698" s="27" t="s">
        <v>7</v>
      </c>
      <c r="LS698" s="27" t="s">
        <v>8</v>
      </c>
      <c r="LT698" s="27" t="s">
        <v>7</v>
      </c>
      <c r="LU698" s="27" t="s">
        <v>8</v>
      </c>
      <c r="LV698" s="27" t="s">
        <v>7</v>
      </c>
      <c r="LW698" s="27" t="s">
        <v>8</v>
      </c>
      <c r="LZ698" s="27" t="s">
        <v>7</v>
      </c>
      <c r="MA698" s="27" t="s">
        <v>8</v>
      </c>
      <c r="MJ698" s="27" t="s">
        <v>7</v>
      </c>
      <c r="ML698" s="27" t="s">
        <v>7</v>
      </c>
      <c r="MM698" s="27" t="s">
        <v>8</v>
      </c>
      <c r="MP698" s="27" t="s">
        <v>7</v>
      </c>
      <c r="MQ698" s="27" t="s">
        <v>8</v>
      </c>
      <c r="MR698" s="27" t="s">
        <v>7</v>
      </c>
      <c r="MS698" s="27" t="s">
        <v>8</v>
      </c>
      <c r="MT698" s="27" t="s">
        <v>7</v>
      </c>
      <c r="NC698" s="27" t="s">
        <v>8</v>
      </c>
      <c r="ND698" s="27" t="s">
        <v>7</v>
      </c>
      <c r="NE698" s="27" t="s">
        <v>8</v>
      </c>
      <c r="NF698" s="27" t="s">
        <v>7</v>
      </c>
      <c r="NH698" s="27" t="s">
        <v>7</v>
      </c>
    </row>
    <row r="699" spans="1:378" x14ac:dyDescent="0.25">
      <c r="A699" s="7">
        <v>0.10883805264070913</v>
      </c>
      <c r="B699"/>
      <c r="C699"/>
      <c r="D699"/>
      <c r="E699"/>
      <c r="F699" s="27" t="s">
        <v>7</v>
      </c>
      <c r="HG699" s="27" t="s">
        <v>8</v>
      </c>
      <c r="IZ699" s="27" t="s">
        <v>7</v>
      </c>
      <c r="KM699" s="27" t="s">
        <v>8</v>
      </c>
      <c r="KN699" s="27" t="s">
        <v>7</v>
      </c>
      <c r="KO699" s="27" t="s">
        <v>8</v>
      </c>
      <c r="LD699" s="27" t="s">
        <v>7</v>
      </c>
      <c r="LE699" s="27" t="s">
        <v>8</v>
      </c>
      <c r="LH699" s="27" t="s">
        <v>7</v>
      </c>
      <c r="LJ699" s="27" t="s">
        <v>7</v>
      </c>
      <c r="LM699" s="27" t="s">
        <v>8</v>
      </c>
      <c r="LQ699" s="27" t="s">
        <v>8</v>
      </c>
      <c r="LR699" s="27" t="s">
        <v>7</v>
      </c>
      <c r="LS699" s="27" t="s">
        <v>8</v>
      </c>
      <c r="LT699" s="27" t="s">
        <v>7</v>
      </c>
      <c r="LU699" s="27" t="s">
        <v>8</v>
      </c>
      <c r="LV699" s="27" t="s">
        <v>7</v>
      </c>
      <c r="LW699" s="27" t="s">
        <v>8</v>
      </c>
      <c r="LZ699" s="27" t="s">
        <v>7</v>
      </c>
      <c r="MA699" s="27" t="s">
        <v>8</v>
      </c>
      <c r="ML699" s="27" t="s">
        <v>7</v>
      </c>
      <c r="MM699" s="27" t="s">
        <v>8</v>
      </c>
      <c r="MP699" s="27" t="s">
        <v>7</v>
      </c>
      <c r="MQ699" s="27" t="s">
        <v>8</v>
      </c>
      <c r="MR699" s="27" t="s">
        <v>7</v>
      </c>
      <c r="MS699" s="27" t="s">
        <v>8</v>
      </c>
      <c r="MT699" s="27" t="s">
        <v>7</v>
      </c>
      <c r="NC699" s="27" t="s">
        <v>8</v>
      </c>
      <c r="ND699" s="27" t="s">
        <v>7</v>
      </c>
      <c r="NE699" s="27" t="s">
        <v>8</v>
      </c>
      <c r="NH699" s="27" t="s">
        <v>7</v>
      </c>
    </row>
    <row r="700" spans="1:378" x14ac:dyDescent="0.25">
      <c r="A700" s="7">
        <v>0.10670397317716582</v>
      </c>
      <c r="B700"/>
      <c r="C700"/>
      <c r="D700"/>
      <c r="E700"/>
      <c r="F700" s="27" t="s">
        <v>7</v>
      </c>
      <c r="HG700" s="27" t="s">
        <v>8</v>
      </c>
      <c r="IZ700" s="27" t="s">
        <v>7</v>
      </c>
      <c r="JA700" s="27" t="s">
        <v>8</v>
      </c>
      <c r="KM700" s="27" t="s">
        <v>8</v>
      </c>
      <c r="KN700" s="27" t="s">
        <v>7</v>
      </c>
      <c r="KO700" s="27" t="s">
        <v>8</v>
      </c>
      <c r="LD700" s="27" t="s">
        <v>7</v>
      </c>
      <c r="LE700" s="27" t="s">
        <v>8</v>
      </c>
      <c r="LJ700" s="27" t="s">
        <v>7</v>
      </c>
      <c r="LK700" s="27" t="s">
        <v>8</v>
      </c>
      <c r="LM700" s="27" t="s">
        <v>8</v>
      </c>
      <c r="LN700" s="27" t="s">
        <v>7</v>
      </c>
      <c r="LQ700" s="27" t="s">
        <v>8</v>
      </c>
      <c r="LR700" s="27" t="s">
        <v>7</v>
      </c>
      <c r="LS700" s="27" t="s">
        <v>8</v>
      </c>
      <c r="LT700" s="27" t="s">
        <v>7</v>
      </c>
      <c r="LU700" s="27" t="s">
        <v>8</v>
      </c>
      <c r="LV700" s="27" t="s">
        <v>7</v>
      </c>
      <c r="LW700" s="27" t="s">
        <v>8</v>
      </c>
      <c r="LZ700" s="27" t="s">
        <v>7</v>
      </c>
      <c r="MA700" s="27" t="s">
        <v>8</v>
      </c>
      <c r="ML700" s="27" t="s">
        <v>7</v>
      </c>
      <c r="MM700" s="27" t="s">
        <v>8</v>
      </c>
      <c r="MP700" s="27" t="s">
        <v>7</v>
      </c>
      <c r="MQ700" s="27" t="s">
        <v>8</v>
      </c>
      <c r="MR700" s="27" t="s">
        <v>7</v>
      </c>
      <c r="MS700" s="27" t="s">
        <v>8</v>
      </c>
      <c r="MT700" s="27" t="s">
        <v>7</v>
      </c>
      <c r="NC700" s="27" t="s">
        <v>8</v>
      </c>
      <c r="ND700" s="27" t="s">
        <v>7</v>
      </c>
      <c r="NE700" s="27" t="s">
        <v>8</v>
      </c>
      <c r="NH700" s="27" t="s">
        <v>7</v>
      </c>
    </row>
    <row r="701" spans="1:378" x14ac:dyDescent="0.25">
      <c r="A701" s="7">
        <v>0.1046117384089861</v>
      </c>
      <c r="B701"/>
      <c r="C701"/>
      <c r="D701"/>
      <c r="E701"/>
      <c r="F701" s="27" t="s">
        <v>7</v>
      </c>
      <c r="HG701" s="27" t="s">
        <v>8</v>
      </c>
      <c r="IZ701" s="27" t="s">
        <v>7</v>
      </c>
      <c r="JA701" s="27" t="s">
        <v>8</v>
      </c>
      <c r="JB701" s="27" t="s">
        <v>7</v>
      </c>
      <c r="JE701" s="27" t="s">
        <v>8</v>
      </c>
      <c r="KM701" s="27" t="s">
        <v>8</v>
      </c>
      <c r="KN701" s="27" t="s">
        <v>7</v>
      </c>
      <c r="KO701" s="27" t="s">
        <v>8</v>
      </c>
      <c r="LD701" s="27" t="s">
        <v>7</v>
      </c>
      <c r="LE701" s="27" t="s">
        <v>8</v>
      </c>
      <c r="LJ701" s="27" t="s">
        <v>7</v>
      </c>
      <c r="LK701" s="27" t="s">
        <v>8</v>
      </c>
      <c r="LL701" s="27" t="s">
        <v>7</v>
      </c>
      <c r="LM701" s="27" t="s">
        <v>8</v>
      </c>
      <c r="LN701" s="27" t="s">
        <v>7</v>
      </c>
      <c r="LQ701" s="27" t="s">
        <v>8</v>
      </c>
      <c r="LR701" s="27" t="s">
        <v>7</v>
      </c>
      <c r="LT701" s="27" t="s">
        <v>7</v>
      </c>
      <c r="LU701" s="27" t="s">
        <v>8</v>
      </c>
      <c r="LV701" s="27" t="s">
        <v>7</v>
      </c>
      <c r="LZ701" s="27" t="s">
        <v>7</v>
      </c>
      <c r="MA701" s="27" t="s">
        <v>8</v>
      </c>
      <c r="ML701" s="27" t="s">
        <v>7</v>
      </c>
      <c r="MP701" s="27" t="s">
        <v>7</v>
      </c>
      <c r="MQ701" s="27" t="s">
        <v>8</v>
      </c>
      <c r="MR701" s="27" t="s">
        <v>7</v>
      </c>
      <c r="MT701" s="27" t="s">
        <v>7</v>
      </c>
      <c r="NC701" s="27" t="s">
        <v>8</v>
      </c>
      <c r="ND701" s="27" t="s">
        <v>7</v>
      </c>
      <c r="NE701" s="27" t="s">
        <v>8</v>
      </c>
      <c r="NH701" s="27" t="s">
        <v>7</v>
      </c>
      <c r="NK701" s="27" t="s">
        <v>8</v>
      </c>
    </row>
    <row r="702" spans="1:378" x14ac:dyDescent="0.25">
      <c r="A702" s="7">
        <v>0.10256052785194716</v>
      </c>
      <c r="B702"/>
      <c r="C702"/>
      <c r="D702"/>
      <c r="E702"/>
      <c r="F702" s="27" t="s">
        <v>7</v>
      </c>
      <c r="HG702" s="27" t="s">
        <v>8</v>
      </c>
      <c r="IZ702" s="27" t="s">
        <v>7</v>
      </c>
      <c r="JA702" s="27" t="s">
        <v>8</v>
      </c>
      <c r="JB702" s="27" t="s">
        <v>7</v>
      </c>
      <c r="JE702" s="27" t="s">
        <v>8</v>
      </c>
      <c r="JF702" s="27" t="s">
        <v>7</v>
      </c>
      <c r="KM702" s="27" t="s">
        <v>8</v>
      </c>
      <c r="KN702" s="27" t="s">
        <v>7</v>
      </c>
      <c r="KO702" s="27" t="s">
        <v>8</v>
      </c>
      <c r="LD702" s="27" t="s">
        <v>7</v>
      </c>
      <c r="LE702" s="27" t="s">
        <v>8</v>
      </c>
      <c r="LJ702" s="27" t="s">
        <v>7</v>
      </c>
      <c r="LK702" s="27" t="s">
        <v>8</v>
      </c>
      <c r="LL702" s="27" t="s">
        <v>7</v>
      </c>
      <c r="LM702" s="27" t="s">
        <v>8</v>
      </c>
      <c r="LN702" s="27" t="s">
        <v>7</v>
      </c>
      <c r="LO702" s="27" t="s">
        <v>8</v>
      </c>
      <c r="LQ702" s="27" t="s">
        <v>8</v>
      </c>
      <c r="LT702" s="27" t="s">
        <v>7</v>
      </c>
      <c r="LZ702" s="27" t="s">
        <v>7</v>
      </c>
      <c r="MA702" s="27" t="s">
        <v>8</v>
      </c>
      <c r="MP702" s="27" t="s">
        <v>7</v>
      </c>
      <c r="MQ702" s="27" t="s">
        <v>8</v>
      </c>
      <c r="MT702" s="27" t="s">
        <v>7</v>
      </c>
      <c r="NC702" s="27" t="s">
        <v>8</v>
      </c>
      <c r="ND702" s="27" t="s">
        <v>7</v>
      </c>
      <c r="NE702" s="27" t="s">
        <v>8</v>
      </c>
      <c r="NH702" s="27" t="s">
        <v>7</v>
      </c>
      <c r="NI702" s="27" t="s">
        <v>8</v>
      </c>
      <c r="NK702" s="27" t="s">
        <v>8</v>
      </c>
      <c r="NL702" s="27" t="s">
        <v>7</v>
      </c>
      <c r="NM702" s="27" t="s">
        <v>8</v>
      </c>
    </row>
    <row r="703" spans="1:378" x14ac:dyDescent="0.25">
      <c r="A703" s="7">
        <v>0.10054953710975212</v>
      </c>
      <c r="B703"/>
      <c r="C703"/>
      <c r="D703"/>
      <c r="E703"/>
      <c r="F703" s="27" t="s">
        <v>7</v>
      </c>
      <c r="HG703" s="27" t="s">
        <v>8</v>
      </c>
      <c r="IZ703" s="27" t="s">
        <v>7</v>
      </c>
      <c r="JA703" s="27" t="s">
        <v>8</v>
      </c>
      <c r="JB703" s="27" t="s">
        <v>7</v>
      </c>
      <c r="JE703" s="27" t="s">
        <v>8</v>
      </c>
      <c r="JF703" s="27" t="s">
        <v>7</v>
      </c>
      <c r="KM703" s="27" t="s">
        <v>8</v>
      </c>
      <c r="KN703" s="27" t="s">
        <v>7</v>
      </c>
      <c r="KO703" s="27" t="s">
        <v>8</v>
      </c>
      <c r="LD703" s="27" t="s">
        <v>7</v>
      </c>
      <c r="LJ703" s="27" t="s">
        <v>7</v>
      </c>
      <c r="LK703" s="27" t="s">
        <v>8</v>
      </c>
      <c r="LL703" s="27" t="s">
        <v>7</v>
      </c>
      <c r="LM703" s="27" t="s">
        <v>8</v>
      </c>
      <c r="LN703" s="27" t="s">
        <v>7</v>
      </c>
      <c r="LO703" s="27" t="s">
        <v>8</v>
      </c>
      <c r="LP703" s="27" t="s">
        <v>7</v>
      </c>
      <c r="LQ703" s="27" t="s">
        <v>8</v>
      </c>
      <c r="LZ703" s="27" t="s">
        <v>7</v>
      </c>
      <c r="MP703" s="27" t="s">
        <v>7</v>
      </c>
      <c r="MT703" s="27" t="s">
        <v>7</v>
      </c>
      <c r="NC703" s="27" t="s">
        <v>8</v>
      </c>
      <c r="ND703" s="27" t="s">
        <v>7</v>
      </c>
      <c r="NE703" s="27" t="s">
        <v>8</v>
      </c>
      <c r="NH703" s="27" t="s">
        <v>7</v>
      </c>
      <c r="NI703" s="27" t="s">
        <v>8</v>
      </c>
      <c r="NJ703" s="27" t="s">
        <v>7</v>
      </c>
      <c r="NK703" s="27" t="s">
        <v>8</v>
      </c>
      <c r="NL703" s="27" t="s">
        <v>7</v>
      </c>
      <c r="NM703" s="27" t="s">
        <v>8</v>
      </c>
      <c r="NN703" s="27" t="s">
        <v>7</v>
      </c>
    </row>
    <row r="704" spans="1:378" x14ac:dyDescent="0.25">
      <c r="A704" s="7">
        <v>9.8577977558580512E-2</v>
      </c>
      <c r="B704"/>
      <c r="C704"/>
      <c r="D704"/>
      <c r="E704"/>
      <c r="F704" s="27" t="s">
        <v>7</v>
      </c>
      <c r="HG704" s="27" t="s">
        <v>8</v>
      </c>
      <c r="IZ704" s="27" t="s">
        <v>7</v>
      </c>
      <c r="JA704" s="27" t="s">
        <v>8</v>
      </c>
      <c r="JB704" s="27" t="s">
        <v>7</v>
      </c>
      <c r="JE704" s="27" t="s">
        <v>8</v>
      </c>
      <c r="JF704" s="27" t="s">
        <v>7</v>
      </c>
      <c r="KM704" s="27" t="s">
        <v>8</v>
      </c>
      <c r="KN704" s="27" t="s">
        <v>7</v>
      </c>
      <c r="KO704" s="27" t="s">
        <v>8</v>
      </c>
      <c r="LJ704" s="27" t="s">
        <v>7</v>
      </c>
      <c r="LK704" s="27" t="s">
        <v>8</v>
      </c>
      <c r="LL704" s="27" t="s">
        <v>7</v>
      </c>
      <c r="LM704" s="27" t="s">
        <v>8</v>
      </c>
      <c r="LN704" s="27" t="s">
        <v>7</v>
      </c>
      <c r="LO704" s="27" t="s">
        <v>8</v>
      </c>
      <c r="LP704" s="27" t="s">
        <v>7</v>
      </c>
      <c r="LQ704" s="27" t="s">
        <v>8</v>
      </c>
      <c r="MT704" s="27" t="s">
        <v>7</v>
      </c>
      <c r="NC704" s="27" t="s">
        <v>8</v>
      </c>
      <c r="ND704" s="27" t="s">
        <v>7</v>
      </c>
      <c r="NE704" s="27" t="s">
        <v>8</v>
      </c>
      <c r="NH704" s="27" t="s">
        <v>7</v>
      </c>
      <c r="NI704" s="27" t="s">
        <v>8</v>
      </c>
      <c r="NJ704" s="27" t="s">
        <v>7</v>
      </c>
      <c r="NK704" s="27" t="s">
        <v>8</v>
      </c>
      <c r="NL704" s="27" t="s">
        <v>7</v>
      </c>
      <c r="NM704" s="27" t="s">
        <v>8</v>
      </c>
      <c r="NN704" s="27" t="s">
        <v>7</v>
      </c>
    </row>
    <row r="705" spans="1:378" x14ac:dyDescent="0.25">
      <c r="A705" s="7">
        <v>9.6645076037824032E-2</v>
      </c>
      <c r="B705"/>
      <c r="C705"/>
      <c r="D705"/>
      <c r="E705"/>
      <c r="F705" s="27" t="s">
        <v>7</v>
      </c>
      <c r="HG705" s="27" t="s">
        <v>8</v>
      </c>
      <c r="IZ705" s="27" t="s">
        <v>7</v>
      </c>
      <c r="JA705" s="27" t="s">
        <v>8</v>
      </c>
      <c r="JB705" s="27" t="s">
        <v>7</v>
      </c>
      <c r="JE705" s="27" t="s">
        <v>8</v>
      </c>
      <c r="JF705" s="27" t="s">
        <v>7</v>
      </c>
      <c r="KM705" s="27" t="s">
        <v>8</v>
      </c>
      <c r="KN705" s="27" t="s">
        <v>7</v>
      </c>
      <c r="KO705" s="27" t="s">
        <v>8</v>
      </c>
      <c r="LJ705" s="27" t="s">
        <v>7</v>
      </c>
      <c r="LK705" s="27" t="s">
        <v>8</v>
      </c>
      <c r="LL705" s="27" t="s">
        <v>7</v>
      </c>
      <c r="LM705" s="27" t="s">
        <v>8</v>
      </c>
      <c r="LN705" s="27" t="s">
        <v>7</v>
      </c>
      <c r="LP705" s="27" t="s">
        <v>7</v>
      </c>
      <c r="LQ705" s="27" t="s">
        <v>8</v>
      </c>
      <c r="MT705" s="27" t="s">
        <v>7</v>
      </c>
      <c r="NC705" s="27" t="s">
        <v>8</v>
      </c>
      <c r="ND705" s="27" t="s">
        <v>7</v>
      </c>
      <c r="NE705" s="27" t="s">
        <v>8</v>
      </c>
      <c r="NH705" s="27" t="s">
        <v>7</v>
      </c>
      <c r="NI705" s="27" t="s">
        <v>8</v>
      </c>
      <c r="NJ705" s="27" t="s">
        <v>7</v>
      </c>
      <c r="NK705" s="27" t="s">
        <v>8</v>
      </c>
      <c r="NL705" s="27" t="s">
        <v>7</v>
      </c>
      <c r="NM705" s="27" t="s">
        <v>8</v>
      </c>
      <c r="NN705" s="27" t="s">
        <v>7</v>
      </c>
    </row>
    <row r="706" spans="1:378" x14ac:dyDescent="0.25">
      <c r="A706" s="7">
        <v>9.4750074546886304E-2</v>
      </c>
      <c r="B706"/>
      <c r="C706"/>
      <c r="D706"/>
      <c r="E706"/>
      <c r="F706" s="27" t="s">
        <v>7</v>
      </c>
      <c r="HG706" s="27" t="s">
        <v>8</v>
      </c>
      <c r="IZ706" s="27" t="s">
        <v>7</v>
      </c>
      <c r="JA706" s="27" t="s">
        <v>8</v>
      </c>
      <c r="JB706" s="27" t="s">
        <v>7</v>
      </c>
      <c r="JE706" s="27" t="s">
        <v>8</v>
      </c>
      <c r="JF706" s="27" t="s">
        <v>7</v>
      </c>
      <c r="JI706" s="27" t="s">
        <v>8</v>
      </c>
      <c r="KM706" s="27" t="s">
        <v>8</v>
      </c>
      <c r="KN706" s="27" t="s">
        <v>7</v>
      </c>
      <c r="KO706" s="27" t="s">
        <v>8</v>
      </c>
      <c r="LJ706" s="27" t="s">
        <v>7</v>
      </c>
      <c r="LK706" s="27" t="s">
        <v>8</v>
      </c>
      <c r="LL706" s="27" t="s">
        <v>7</v>
      </c>
      <c r="LM706" s="27" t="s">
        <v>8</v>
      </c>
      <c r="LP706" s="27" t="s">
        <v>7</v>
      </c>
      <c r="LQ706" s="27" t="s">
        <v>8</v>
      </c>
      <c r="MT706" s="27" t="s">
        <v>7</v>
      </c>
      <c r="MU706" s="27" t="s">
        <v>8</v>
      </c>
      <c r="MW706" s="27" t="s">
        <v>8</v>
      </c>
      <c r="NC706" s="27" t="s">
        <v>8</v>
      </c>
      <c r="ND706" s="27" t="s">
        <v>7</v>
      </c>
      <c r="NE706" s="27" t="s">
        <v>8</v>
      </c>
      <c r="NH706" s="27" t="s">
        <v>7</v>
      </c>
      <c r="NJ706" s="27" t="s">
        <v>7</v>
      </c>
      <c r="NK706" s="27" t="s">
        <v>8</v>
      </c>
      <c r="NL706" s="27" t="s">
        <v>7</v>
      </c>
      <c r="NM706" s="27" t="s">
        <v>8</v>
      </c>
      <c r="NN706" s="27" t="s">
        <v>7</v>
      </c>
    </row>
    <row r="707" spans="1:378" x14ac:dyDescent="0.25">
      <c r="A707" s="7">
        <v>9.2892229947927743E-2</v>
      </c>
      <c r="B707"/>
      <c r="C707"/>
      <c r="D707"/>
      <c r="E707"/>
      <c r="F707" s="27" t="s">
        <v>7</v>
      </c>
      <c r="HG707" s="27" t="s">
        <v>8</v>
      </c>
      <c r="IZ707" s="27" t="s">
        <v>7</v>
      </c>
      <c r="JA707" s="27" t="s">
        <v>8</v>
      </c>
      <c r="JB707" s="27" t="s">
        <v>7</v>
      </c>
      <c r="JE707" s="27" t="s">
        <v>8</v>
      </c>
      <c r="JF707" s="27" t="s">
        <v>7</v>
      </c>
      <c r="JI707" s="27" t="s">
        <v>8</v>
      </c>
      <c r="JJ707" s="27" t="s">
        <v>7</v>
      </c>
      <c r="KM707" s="27" t="s">
        <v>8</v>
      </c>
      <c r="KN707" s="27" t="s">
        <v>7</v>
      </c>
      <c r="KO707" s="27" t="s">
        <v>8</v>
      </c>
      <c r="LJ707" s="27" t="s">
        <v>7</v>
      </c>
      <c r="LK707" s="27" t="s">
        <v>8</v>
      </c>
      <c r="LL707" s="27" t="s">
        <v>7</v>
      </c>
      <c r="LP707" s="27" t="s">
        <v>7</v>
      </c>
      <c r="LQ707" s="27" t="s">
        <v>8</v>
      </c>
      <c r="MT707" s="27" t="s">
        <v>7</v>
      </c>
      <c r="MU707" s="27" t="s">
        <v>8</v>
      </c>
      <c r="MV707" s="27" t="s">
        <v>7</v>
      </c>
      <c r="MW707" s="27" t="s">
        <v>8</v>
      </c>
      <c r="MX707" s="27" t="s">
        <v>7</v>
      </c>
      <c r="NC707" s="27" t="s">
        <v>8</v>
      </c>
      <c r="ND707" s="27" t="s">
        <v>7</v>
      </c>
      <c r="NE707" s="27" t="s">
        <v>8</v>
      </c>
      <c r="NJ707" s="27" t="s">
        <v>7</v>
      </c>
      <c r="NK707" s="27" t="s">
        <v>8</v>
      </c>
      <c r="NL707" s="27" t="s">
        <v>7</v>
      </c>
      <c r="NN707" s="27" t="s">
        <v>7</v>
      </c>
    </row>
    <row r="708" spans="1:378" x14ac:dyDescent="0.25">
      <c r="A708" s="7">
        <v>9.1070813674438963E-2</v>
      </c>
      <c r="B708"/>
      <c r="C708"/>
      <c r="D708"/>
      <c r="E708"/>
      <c r="F708" s="27" t="s">
        <v>7</v>
      </c>
      <c r="HG708" s="27" t="s">
        <v>8</v>
      </c>
      <c r="IZ708" s="27" t="s">
        <v>7</v>
      </c>
      <c r="JA708" s="27" t="s">
        <v>8</v>
      </c>
      <c r="JB708" s="27" t="s">
        <v>7</v>
      </c>
      <c r="JE708" s="27" t="s">
        <v>8</v>
      </c>
      <c r="JF708" s="27" t="s">
        <v>7</v>
      </c>
      <c r="JI708" s="27" t="s">
        <v>8</v>
      </c>
      <c r="JJ708" s="27" t="s">
        <v>7</v>
      </c>
      <c r="KM708" s="27" t="s">
        <v>8</v>
      </c>
      <c r="KN708" s="27" t="s">
        <v>7</v>
      </c>
      <c r="KO708" s="27" t="s">
        <v>8</v>
      </c>
      <c r="LJ708" s="27" t="s">
        <v>7</v>
      </c>
      <c r="LK708" s="27" t="s">
        <v>8</v>
      </c>
      <c r="LP708" s="27" t="s">
        <v>7</v>
      </c>
      <c r="MT708" s="27" t="s">
        <v>7</v>
      </c>
      <c r="MU708" s="27" t="s">
        <v>8</v>
      </c>
      <c r="MV708" s="27" t="s">
        <v>7</v>
      </c>
      <c r="MW708" s="27" t="s">
        <v>8</v>
      </c>
      <c r="MX708" s="27" t="s">
        <v>7</v>
      </c>
      <c r="NC708" s="27" t="s">
        <v>8</v>
      </c>
      <c r="ND708" s="27" t="s">
        <v>7</v>
      </c>
      <c r="NJ708" s="27" t="s">
        <v>7</v>
      </c>
      <c r="NK708" s="27" t="s">
        <v>8</v>
      </c>
      <c r="NN708" s="27" t="s">
        <v>7</v>
      </c>
    </row>
    <row r="709" spans="1:378" x14ac:dyDescent="0.25">
      <c r="A709" s="7">
        <v>8.9285111445528392E-2</v>
      </c>
      <c r="B709"/>
      <c r="C709"/>
      <c r="D709"/>
      <c r="E709"/>
      <c r="F709" s="27" t="s">
        <v>7</v>
      </c>
      <c r="HG709" s="27" t="s">
        <v>8</v>
      </c>
      <c r="IZ709" s="27" t="s">
        <v>7</v>
      </c>
      <c r="JA709" s="27" t="s">
        <v>8</v>
      </c>
      <c r="JB709" s="27" t="s">
        <v>7</v>
      </c>
      <c r="JE709" s="27" t="s">
        <v>8</v>
      </c>
      <c r="JF709" s="27" t="s">
        <v>7</v>
      </c>
      <c r="JI709" s="27" t="s">
        <v>8</v>
      </c>
      <c r="JJ709" s="27" t="s">
        <v>7</v>
      </c>
      <c r="KM709" s="27" t="s">
        <v>8</v>
      </c>
      <c r="KN709" s="27" t="s">
        <v>7</v>
      </c>
      <c r="KO709" s="27" t="s">
        <v>8</v>
      </c>
      <c r="LJ709" s="27" t="s">
        <v>7</v>
      </c>
      <c r="MT709" s="27" t="s">
        <v>7</v>
      </c>
      <c r="MU709" s="27" t="s">
        <v>8</v>
      </c>
      <c r="MV709" s="27" t="s">
        <v>7</v>
      </c>
      <c r="MW709" s="27" t="s">
        <v>8</v>
      </c>
      <c r="MX709" s="27" t="s">
        <v>7</v>
      </c>
      <c r="MY709" s="27" t="s">
        <v>8</v>
      </c>
      <c r="NC709" s="27" t="s">
        <v>8</v>
      </c>
      <c r="NJ709" s="27" t="s">
        <v>7</v>
      </c>
      <c r="NK709" s="27" t="s">
        <v>8</v>
      </c>
      <c r="NN709" s="27" t="s">
        <v>7</v>
      </c>
    </row>
    <row r="710" spans="1:378" x14ac:dyDescent="0.25">
      <c r="A710" s="7">
        <v>8.7534422985812155E-2</v>
      </c>
      <c r="B710"/>
      <c r="C710"/>
      <c r="D710"/>
      <c r="E710"/>
      <c r="F710" s="27" t="s">
        <v>7</v>
      </c>
      <c r="HC710" s="27" t="s">
        <v>8</v>
      </c>
      <c r="HG710" s="27" t="s">
        <v>8</v>
      </c>
      <c r="IZ710" s="27" t="s">
        <v>7</v>
      </c>
      <c r="JA710" s="27" t="s">
        <v>8</v>
      </c>
      <c r="JB710" s="27" t="s">
        <v>7</v>
      </c>
      <c r="JE710" s="27" t="s">
        <v>8</v>
      </c>
      <c r="JF710" s="27" t="s">
        <v>7</v>
      </c>
      <c r="JI710" s="27" t="s">
        <v>8</v>
      </c>
      <c r="JJ710" s="27" t="s">
        <v>7</v>
      </c>
      <c r="KM710" s="27" t="s">
        <v>8</v>
      </c>
      <c r="KN710" s="27" t="s">
        <v>7</v>
      </c>
      <c r="MT710" s="27" t="s">
        <v>7</v>
      </c>
      <c r="MU710" s="27" t="s">
        <v>8</v>
      </c>
      <c r="MV710" s="27" t="s">
        <v>7</v>
      </c>
      <c r="MW710" s="27" t="s">
        <v>8</v>
      </c>
      <c r="MX710" s="27" t="s">
        <v>7</v>
      </c>
      <c r="MY710" s="27" t="s">
        <v>8</v>
      </c>
      <c r="MZ710" s="27" t="s">
        <v>7</v>
      </c>
      <c r="NA710" s="27" t="s">
        <v>8</v>
      </c>
      <c r="NC710" s="27" t="s">
        <v>8</v>
      </c>
      <c r="NJ710" s="27" t="s">
        <v>7</v>
      </c>
      <c r="NK710" s="27" t="s">
        <v>8</v>
      </c>
      <c r="NN710" s="27" t="s">
        <v>7</v>
      </c>
    </row>
    <row r="711" spans="1:378" x14ac:dyDescent="0.25">
      <c r="A711" s="7">
        <v>8.5818061750796232E-2</v>
      </c>
      <c r="B711"/>
      <c r="C711"/>
      <c r="D711"/>
      <c r="E711"/>
      <c r="F711" s="27" t="s">
        <v>7</v>
      </c>
      <c r="HC711" s="27" t="s">
        <v>8</v>
      </c>
      <c r="HD711" s="27" t="s">
        <v>7</v>
      </c>
      <c r="HG711" s="27" t="s">
        <v>8</v>
      </c>
      <c r="IZ711" s="27" t="s">
        <v>7</v>
      </c>
      <c r="JA711" s="27" t="s">
        <v>8</v>
      </c>
      <c r="JB711" s="27" t="s">
        <v>7</v>
      </c>
      <c r="JC711" s="27" t="s">
        <v>8</v>
      </c>
      <c r="JE711" s="27" t="s">
        <v>8</v>
      </c>
      <c r="JF711" s="27" t="s">
        <v>7</v>
      </c>
      <c r="JI711" s="27" t="s">
        <v>8</v>
      </c>
      <c r="JJ711" s="27" t="s">
        <v>7</v>
      </c>
      <c r="KM711" s="27" t="s">
        <v>8</v>
      </c>
      <c r="MT711" s="27" t="s">
        <v>7</v>
      </c>
      <c r="MU711" s="27" t="s">
        <v>8</v>
      </c>
      <c r="MV711" s="27" t="s">
        <v>7</v>
      </c>
      <c r="MW711" s="27" t="s">
        <v>8</v>
      </c>
      <c r="MX711" s="27" t="s">
        <v>7</v>
      </c>
      <c r="MY711" s="27" t="s">
        <v>8</v>
      </c>
      <c r="MZ711" s="27" t="s">
        <v>7</v>
      </c>
      <c r="NA711" s="27" t="s">
        <v>8</v>
      </c>
      <c r="NB711" s="27" t="s">
        <v>7</v>
      </c>
      <c r="NC711" s="27" t="s">
        <v>8</v>
      </c>
      <c r="NJ711" s="27" t="s">
        <v>7</v>
      </c>
      <c r="NN711" s="27" t="s">
        <v>7</v>
      </c>
    </row>
    <row r="712" spans="1:378" x14ac:dyDescent="0.25">
      <c r="A712" s="7">
        <v>8.4135354657643366E-2</v>
      </c>
      <c r="B712"/>
      <c r="C712"/>
      <c r="D712"/>
      <c r="E712"/>
      <c r="F712" s="27" t="s">
        <v>7</v>
      </c>
      <c r="HC712" s="27" t="s">
        <v>8</v>
      </c>
      <c r="HD712" s="27" t="s">
        <v>7</v>
      </c>
      <c r="HG712" s="27" t="s">
        <v>8</v>
      </c>
      <c r="IZ712" s="27" t="s">
        <v>7</v>
      </c>
      <c r="JA712" s="27" t="s">
        <v>8</v>
      </c>
      <c r="JB712" s="27" t="s">
        <v>7</v>
      </c>
      <c r="JC712" s="27" t="s">
        <v>8</v>
      </c>
      <c r="JD712" s="27" t="s">
        <v>7</v>
      </c>
      <c r="JE712" s="27" t="s">
        <v>8</v>
      </c>
      <c r="JF712" s="27" t="s">
        <v>7</v>
      </c>
      <c r="JG712" s="27" t="s">
        <v>8</v>
      </c>
      <c r="JI712" s="27" t="s">
        <v>8</v>
      </c>
      <c r="JJ712" s="27" t="s">
        <v>7</v>
      </c>
      <c r="KM712" s="27" t="s">
        <v>8</v>
      </c>
      <c r="MT712" s="27" t="s">
        <v>7</v>
      </c>
      <c r="MU712" s="27" t="s">
        <v>8</v>
      </c>
      <c r="MV712" s="27" t="s">
        <v>7</v>
      </c>
      <c r="MW712" s="27" t="s">
        <v>8</v>
      </c>
      <c r="MX712" s="27" t="s">
        <v>7</v>
      </c>
      <c r="MY712" s="27" t="s">
        <v>8</v>
      </c>
      <c r="MZ712" s="27" t="s">
        <v>7</v>
      </c>
      <c r="NA712" s="27" t="s">
        <v>8</v>
      </c>
      <c r="NB712" s="27" t="s">
        <v>7</v>
      </c>
      <c r="NC712" s="27" t="s">
        <v>8</v>
      </c>
      <c r="NN712" s="27" t="s">
        <v>7</v>
      </c>
    </row>
    <row r="713" spans="1:378" x14ac:dyDescent="0.25">
      <c r="A713" s="7">
        <v>8.248564182121898E-2</v>
      </c>
      <c r="B713"/>
      <c r="C713"/>
      <c r="D713"/>
      <c r="E713"/>
      <c r="F713" s="27" t="s">
        <v>7</v>
      </c>
      <c r="HC713" s="27" t="s">
        <v>8</v>
      </c>
      <c r="HD713" s="27" t="s">
        <v>7</v>
      </c>
      <c r="HE713" s="27" t="s">
        <v>8</v>
      </c>
      <c r="HG713" s="27" t="s">
        <v>8</v>
      </c>
      <c r="IZ713" s="27" t="s">
        <v>7</v>
      </c>
      <c r="JA713" s="27" t="s">
        <v>8</v>
      </c>
      <c r="JB713" s="27" t="s">
        <v>7</v>
      </c>
      <c r="JC713" s="27" t="s">
        <v>8</v>
      </c>
      <c r="JD713" s="27" t="s">
        <v>7</v>
      </c>
      <c r="JE713" s="27" t="s">
        <v>8</v>
      </c>
      <c r="JF713" s="27" t="s">
        <v>7</v>
      </c>
      <c r="JG713" s="27" t="s">
        <v>8</v>
      </c>
      <c r="JH713" s="27" t="s">
        <v>7</v>
      </c>
      <c r="JI713" s="27" t="s">
        <v>8</v>
      </c>
      <c r="JJ713" s="27" t="s">
        <v>7</v>
      </c>
      <c r="JK713" s="27" t="s">
        <v>8</v>
      </c>
      <c r="KM713" s="27" t="s">
        <v>8</v>
      </c>
      <c r="MT713" s="27" t="s">
        <v>7</v>
      </c>
      <c r="MU713" s="27" t="s">
        <v>8</v>
      </c>
      <c r="MV713" s="27" t="s">
        <v>7</v>
      </c>
      <c r="MX713" s="27" t="s">
        <v>7</v>
      </c>
      <c r="MY713" s="27" t="s">
        <v>8</v>
      </c>
      <c r="MZ713" s="27" t="s">
        <v>7</v>
      </c>
      <c r="NA713" s="27" t="s">
        <v>8</v>
      </c>
      <c r="NB713" s="27" t="s">
        <v>7</v>
      </c>
      <c r="NC713" s="27" t="s">
        <v>8</v>
      </c>
      <c r="NN713" s="27" t="s">
        <v>7</v>
      </c>
    </row>
    <row r="714" spans="1:378" x14ac:dyDescent="0.25">
      <c r="A714" s="7">
        <v>8.0868276295312735E-2</v>
      </c>
      <c r="B714"/>
      <c r="C714"/>
      <c r="D714"/>
      <c r="E714"/>
      <c r="F714" s="27" t="s">
        <v>7</v>
      </c>
      <c r="HC714" s="27" t="s">
        <v>8</v>
      </c>
      <c r="HD714" s="27" t="s">
        <v>7</v>
      </c>
      <c r="HE714" s="27" t="s">
        <v>8</v>
      </c>
      <c r="HF714" s="27" t="s">
        <v>7</v>
      </c>
      <c r="HG714" s="27" t="s">
        <v>8</v>
      </c>
      <c r="IZ714" s="27" t="s">
        <v>7</v>
      </c>
      <c r="JA714" s="27" t="s">
        <v>8</v>
      </c>
      <c r="JB714" s="27" t="s">
        <v>7</v>
      </c>
      <c r="JC714" s="27" t="s">
        <v>8</v>
      </c>
      <c r="JD714" s="27" t="s">
        <v>7</v>
      </c>
      <c r="JE714" s="27" t="s">
        <v>8</v>
      </c>
      <c r="JF714" s="27" t="s">
        <v>7</v>
      </c>
      <c r="JG714" s="27" t="s">
        <v>8</v>
      </c>
      <c r="JH714" s="27" t="s">
        <v>7</v>
      </c>
      <c r="JI714" s="27" t="s">
        <v>8</v>
      </c>
      <c r="JJ714" s="27" t="s">
        <v>7</v>
      </c>
      <c r="JK714" s="27" t="s">
        <v>8</v>
      </c>
      <c r="JL714" s="27" t="s">
        <v>7</v>
      </c>
      <c r="KM714" s="27" t="s">
        <v>8</v>
      </c>
      <c r="MT714" s="27" t="s">
        <v>7</v>
      </c>
      <c r="MU714" s="27" t="s">
        <v>8</v>
      </c>
      <c r="MX714" s="27" t="s">
        <v>7</v>
      </c>
      <c r="MZ714" s="27" t="s">
        <v>7</v>
      </c>
      <c r="NA714" s="27" t="s">
        <v>8</v>
      </c>
      <c r="NB714" s="27" t="s">
        <v>7</v>
      </c>
      <c r="NC714" s="27" t="s">
        <v>8</v>
      </c>
      <c r="NN714" s="27" t="s">
        <v>7</v>
      </c>
    </row>
    <row r="715" spans="1:378" x14ac:dyDescent="0.25">
      <c r="A715" s="7">
        <v>7.9282623818934056E-2</v>
      </c>
      <c r="B715"/>
      <c r="C715"/>
      <c r="D715"/>
      <c r="E715"/>
      <c r="F715" s="27" t="s">
        <v>7</v>
      </c>
      <c r="HC715" s="27" t="s">
        <v>8</v>
      </c>
      <c r="HD715" s="27" t="s">
        <v>7</v>
      </c>
      <c r="HE715" s="27" t="s">
        <v>8</v>
      </c>
      <c r="HF715" s="27" t="s">
        <v>7</v>
      </c>
      <c r="HG715" s="27" t="s">
        <v>8</v>
      </c>
      <c r="IZ715" s="27" t="s">
        <v>7</v>
      </c>
      <c r="JA715" s="27" t="s">
        <v>8</v>
      </c>
      <c r="JB715" s="27" t="s">
        <v>7</v>
      </c>
      <c r="JC715" s="27" t="s">
        <v>8</v>
      </c>
      <c r="JD715" s="27" t="s">
        <v>7</v>
      </c>
      <c r="JE715" s="27" t="s">
        <v>8</v>
      </c>
      <c r="JF715" s="27" t="s">
        <v>7</v>
      </c>
      <c r="JG715" s="27" t="s">
        <v>8</v>
      </c>
      <c r="JH715" s="27" t="s">
        <v>7</v>
      </c>
      <c r="JJ715" s="27" t="s">
        <v>7</v>
      </c>
      <c r="JK715" s="27" t="s">
        <v>8</v>
      </c>
      <c r="JL715" s="27" t="s">
        <v>7</v>
      </c>
      <c r="JM715" s="27" t="s">
        <v>8</v>
      </c>
      <c r="KM715" s="27" t="s">
        <v>8</v>
      </c>
      <c r="MT715" s="27" t="s">
        <v>7</v>
      </c>
      <c r="MU715" s="27" t="s">
        <v>8</v>
      </c>
      <c r="MZ715" s="27" t="s">
        <v>7</v>
      </c>
      <c r="NB715" s="27" t="s">
        <v>7</v>
      </c>
      <c r="NC715" s="27" t="s">
        <v>8</v>
      </c>
      <c r="NN715" s="27" t="s">
        <v>7</v>
      </c>
    </row>
    <row r="716" spans="1:378" x14ac:dyDescent="0.25">
      <c r="A716" s="7">
        <v>7.7728062567582412E-2</v>
      </c>
      <c r="B716"/>
      <c r="C716"/>
      <c r="D716"/>
      <c r="E716"/>
      <c r="F716" s="27" t="s">
        <v>7</v>
      </c>
      <c r="HC716" s="27" t="s">
        <v>8</v>
      </c>
      <c r="HD716" s="27" t="s">
        <v>7</v>
      </c>
      <c r="HE716" s="27" t="s">
        <v>8</v>
      </c>
      <c r="HF716" s="27" t="s">
        <v>7</v>
      </c>
      <c r="HG716" s="27" t="s">
        <v>8</v>
      </c>
      <c r="IZ716" s="27" t="s">
        <v>7</v>
      </c>
      <c r="JA716" s="27" t="s">
        <v>8</v>
      </c>
      <c r="JB716" s="27" t="s">
        <v>7</v>
      </c>
      <c r="JC716" s="27" t="s">
        <v>8</v>
      </c>
      <c r="JD716" s="27" t="s">
        <v>7</v>
      </c>
      <c r="JE716" s="27" t="s">
        <v>8</v>
      </c>
      <c r="JF716" s="27" t="s">
        <v>7</v>
      </c>
      <c r="JG716" s="27" t="s">
        <v>8</v>
      </c>
      <c r="JJ716" s="27" t="s">
        <v>7</v>
      </c>
      <c r="JK716" s="27" t="s">
        <v>8</v>
      </c>
      <c r="JL716" s="27" t="s">
        <v>7</v>
      </c>
      <c r="JM716" s="27" t="s">
        <v>8</v>
      </c>
      <c r="JN716" s="27" t="s">
        <v>7</v>
      </c>
      <c r="JO716" s="27" t="s">
        <v>8</v>
      </c>
      <c r="KM716" s="27" t="s">
        <v>8</v>
      </c>
      <c r="MT716" s="27" t="s">
        <v>7</v>
      </c>
      <c r="MU716" s="27" t="s">
        <v>8</v>
      </c>
      <c r="NB716" s="27" t="s">
        <v>7</v>
      </c>
      <c r="NC716" s="27" t="s">
        <v>8</v>
      </c>
      <c r="NN716" s="27" t="s">
        <v>7</v>
      </c>
    </row>
    <row r="717" spans="1:378" x14ac:dyDescent="0.25">
      <c r="A717" s="7">
        <v>7.6203982909394521E-2</v>
      </c>
      <c r="B717"/>
      <c r="C717"/>
      <c r="D717"/>
      <c r="E717"/>
      <c r="F717" s="27" t="s">
        <v>7</v>
      </c>
      <c r="HC717" s="27" t="s">
        <v>8</v>
      </c>
      <c r="HD717" s="27" t="s">
        <v>7</v>
      </c>
      <c r="HE717" s="27" t="s">
        <v>8</v>
      </c>
      <c r="HF717" s="27" t="s">
        <v>7</v>
      </c>
      <c r="HG717" s="27" t="s">
        <v>8</v>
      </c>
      <c r="IZ717" s="27" t="s">
        <v>7</v>
      </c>
      <c r="JA717" s="27" t="s">
        <v>8</v>
      </c>
      <c r="JB717" s="27" t="s">
        <v>7</v>
      </c>
      <c r="JC717" s="27" t="s">
        <v>8</v>
      </c>
      <c r="JD717" s="27" t="s">
        <v>7</v>
      </c>
      <c r="JE717" s="27" t="s">
        <v>8</v>
      </c>
      <c r="JF717" s="27" t="s">
        <v>7</v>
      </c>
      <c r="JG717" s="27" t="s">
        <v>8</v>
      </c>
      <c r="JJ717" s="27" t="s">
        <v>7</v>
      </c>
      <c r="JK717" s="27" t="s">
        <v>8</v>
      </c>
      <c r="JL717" s="27" t="s">
        <v>7</v>
      </c>
      <c r="JM717" s="27" t="s">
        <v>8</v>
      </c>
      <c r="JN717" s="27" t="s">
        <v>7</v>
      </c>
      <c r="JO717" s="27" t="s">
        <v>8</v>
      </c>
      <c r="JP717" s="27" t="s">
        <v>7</v>
      </c>
      <c r="KM717" s="27" t="s">
        <v>8</v>
      </c>
      <c r="MT717" s="27" t="s">
        <v>7</v>
      </c>
      <c r="MU717" s="27" t="s">
        <v>8</v>
      </c>
      <c r="NB717" s="27" t="s">
        <v>7</v>
      </c>
      <c r="NN717" s="27" t="s">
        <v>7</v>
      </c>
    </row>
    <row r="718" spans="1:378" x14ac:dyDescent="0.25">
      <c r="A718" s="7">
        <v>7.4709787166073058E-2</v>
      </c>
      <c r="B718"/>
      <c r="C718"/>
      <c r="D718"/>
      <c r="E718"/>
      <c r="F718" s="27" t="s">
        <v>7</v>
      </c>
      <c r="HC718" s="27" t="s">
        <v>8</v>
      </c>
      <c r="HD718" s="27" t="s">
        <v>7</v>
      </c>
      <c r="HE718" s="27" t="s">
        <v>8</v>
      </c>
      <c r="HF718" s="27" t="s">
        <v>7</v>
      </c>
      <c r="HG718" s="27" t="s">
        <v>8</v>
      </c>
      <c r="IZ718" s="27" t="s">
        <v>7</v>
      </c>
      <c r="JA718" s="27" t="s">
        <v>8</v>
      </c>
      <c r="JB718" s="27" t="s">
        <v>7</v>
      </c>
      <c r="JC718" s="27" t="s">
        <v>8</v>
      </c>
      <c r="JD718" s="27" t="s">
        <v>7</v>
      </c>
      <c r="JE718" s="27" t="s">
        <v>8</v>
      </c>
      <c r="JF718" s="27" t="s">
        <v>7</v>
      </c>
      <c r="JG718" s="27" t="s">
        <v>8</v>
      </c>
      <c r="JJ718" s="27" t="s">
        <v>7</v>
      </c>
      <c r="JL718" s="27" t="s">
        <v>7</v>
      </c>
      <c r="JM718" s="27" t="s">
        <v>8</v>
      </c>
      <c r="JN718" s="27" t="s">
        <v>7</v>
      </c>
      <c r="JO718" s="27" t="s">
        <v>8</v>
      </c>
      <c r="JP718" s="27" t="s">
        <v>7</v>
      </c>
      <c r="KK718" s="27" t="s">
        <v>8</v>
      </c>
      <c r="KM718" s="27" t="s">
        <v>8</v>
      </c>
      <c r="MT718" s="27" t="s">
        <v>7</v>
      </c>
      <c r="MU718" s="27" t="s">
        <v>8</v>
      </c>
      <c r="NN718" s="27" t="s">
        <v>7</v>
      </c>
    </row>
    <row r="719" spans="1:378" x14ac:dyDescent="0.25">
      <c r="A719" s="7">
        <v>7.3244889378503E-2</v>
      </c>
      <c r="B719"/>
      <c r="C719"/>
      <c r="D719"/>
      <c r="E719"/>
      <c r="F719" s="27" t="s">
        <v>7</v>
      </c>
      <c r="HC719" s="27" t="s">
        <v>8</v>
      </c>
      <c r="HD719" s="27" t="s">
        <v>7</v>
      </c>
      <c r="HE719" s="27" t="s">
        <v>8</v>
      </c>
      <c r="HF719" s="27" t="s">
        <v>7</v>
      </c>
      <c r="HG719" s="27" t="s">
        <v>8</v>
      </c>
      <c r="IZ719" s="27" t="s">
        <v>7</v>
      </c>
      <c r="JA719" s="27" t="s">
        <v>8</v>
      </c>
      <c r="JB719" s="27" t="s">
        <v>7</v>
      </c>
      <c r="JC719" s="27" t="s">
        <v>8</v>
      </c>
      <c r="JD719" s="27" t="s">
        <v>7</v>
      </c>
      <c r="JE719" s="27" t="s">
        <v>8</v>
      </c>
      <c r="JF719" s="27" t="s">
        <v>7</v>
      </c>
      <c r="JG719" s="27" t="s">
        <v>8</v>
      </c>
      <c r="JL719" s="27" t="s">
        <v>7</v>
      </c>
      <c r="JM719" s="27" t="s">
        <v>8</v>
      </c>
      <c r="JN719" s="27" t="s">
        <v>7</v>
      </c>
      <c r="JO719" s="27" t="s">
        <v>8</v>
      </c>
      <c r="JP719" s="27" t="s">
        <v>7</v>
      </c>
      <c r="KK719" s="27" t="s">
        <v>8</v>
      </c>
      <c r="KL719" s="27" t="s">
        <v>7</v>
      </c>
      <c r="KM719" s="27" t="s">
        <v>8</v>
      </c>
      <c r="MT719" s="27" t="s">
        <v>7</v>
      </c>
      <c r="MU719" s="27" t="s">
        <v>8</v>
      </c>
      <c r="NN719" s="27" t="s">
        <v>7</v>
      </c>
    </row>
    <row r="720" spans="1:378" x14ac:dyDescent="0.25">
      <c r="A720" s="7">
        <v>7.1808715076963722E-2</v>
      </c>
      <c r="B720"/>
      <c r="C720"/>
      <c r="D720"/>
      <c r="E720"/>
      <c r="F720" s="27" t="s">
        <v>7</v>
      </c>
      <c r="HC720" s="27" t="s">
        <v>8</v>
      </c>
      <c r="HD720" s="27" t="s">
        <v>7</v>
      </c>
      <c r="HE720" s="27" t="s">
        <v>8</v>
      </c>
      <c r="HF720" s="27" t="s">
        <v>7</v>
      </c>
      <c r="IZ720" s="27" t="s">
        <v>7</v>
      </c>
      <c r="JA720" s="27" t="s">
        <v>8</v>
      </c>
      <c r="JB720" s="27" t="s">
        <v>7</v>
      </c>
      <c r="JD720" s="27" t="s">
        <v>7</v>
      </c>
      <c r="JE720" s="27" t="s">
        <v>8</v>
      </c>
      <c r="JF720" s="27" t="s">
        <v>7</v>
      </c>
      <c r="JG720" s="27" t="s">
        <v>8</v>
      </c>
      <c r="JL720" s="27" t="s">
        <v>7</v>
      </c>
      <c r="JM720" s="27" t="s">
        <v>8</v>
      </c>
      <c r="JN720" s="27" t="s">
        <v>7</v>
      </c>
      <c r="JO720" s="27" t="s">
        <v>8</v>
      </c>
      <c r="JP720" s="27" t="s">
        <v>7</v>
      </c>
      <c r="KK720" s="27" t="s">
        <v>8</v>
      </c>
      <c r="KL720" s="27" t="s">
        <v>7</v>
      </c>
      <c r="KM720" s="27" t="s">
        <v>8</v>
      </c>
      <c r="MT720" s="27" t="s">
        <v>7</v>
      </c>
      <c r="MU720" s="27" t="s">
        <v>8</v>
      </c>
      <c r="NN720" s="27" t="s">
        <v>7</v>
      </c>
    </row>
    <row r="721" spans="1:382" x14ac:dyDescent="0.25">
      <c r="A721" s="7">
        <v>7.0400701055846782E-2</v>
      </c>
      <c r="B721"/>
      <c r="C721"/>
      <c r="D721"/>
      <c r="E721"/>
      <c r="F721" s="27" t="s">
        <v>7</v>
      </c>
      <c r="HC721" s="27" t="s">
        <v>8</v>
      </c>
      <c r="HD721" s="27" t="s">
        <v>7</v>
      </c>
      <c r="HE721" s="27" t="s">
        <v>8</v>
      </c>
      <c r="IZ721" s="27" t="s">
        <v>7</v>
      </c>
      <c r="JA721" s="27" t="s">
        <v>8</v>
      </c>
      <c r="JD721" s="27" t="s">
        <v>7</v>
      </c>
      <c r="JE721" s="27" t="s">
        <v>8</v>
      </c>
      <c r="JF721" s="27" t="s">
        <v>7</v>
      </c>
      <c r="JL721" s="27" t="s">
        <v>7</v>
      </c>
      <c r="JM721" s="27" t="s">
        <v>8</v>
      </c>
      <c r="JN721" s="27" t="s">
        <v>7</v>
      </c>
      <c r="JO721" s="27" t="s">
        <v>8</v>
      </c>
      <c r="JP721" s="27" t="s">
        <v>7</v>
      </c>
      <c r="KK721" s="27" t="s">
        <v>8</v>
      </c>
      <c r="KL721" s="27" t="s">
        <v>7</v>
      </c>
      <c r="MT721" s="27" t="s">
        <v>7</v>
      </c>
      <c r="MU721" s="27" t="s">
        <v>8</v>
      </c>
      <c r="NN721" s="27" t="s">
        <v>7</v>
      </c>
      <c r="NQ721" s="27" t="s">
        <v>8</v>
      </c>
    </row>
    <row r="722" spans="1:382" x14ac:dyDescent="0.25">
      <c r="A722" s="7">
        <v>6.9020295152790956E-2</v>
      </c>
      <c r="B722"/>
      <c r="C722"/>
      <c r="D722"/>
      <c r="E722"/>
      <c r="F722" s="27" t="s">
        <v>7</v>
      </c>
      <c r="HC722" s="27" t="s">
        <v>8</v>
      </c>
      <c r="HD722" s="27" t="s">
        <v>7</v>
      </c>
      <c r="HE722" s="27" t="s">
        <v>8</v>
      </c>
      <c r="IZ722" s="27" t="s">
        <v>7</v>
      </c>
      <c r="JA722" s="27" t="s">
        <v>8</v>
      </c>
      <c r="JD722" s="27" t="s">
        <v>7</v>
      </c>
      <c r="JE722" s="27" t="s">
        <v>8</v>
      </c>
      <c r="JL722" s="27" t="s">
        <v>7</v>
      </c>
      <c r="JM722" s="27" t="s">
        <v>8</v>
      </c>
      <c r="JN722" s="27" t="s">
        <v>7</v>
      </c>
      <c r="JO722" s="27" t="s">
        <v>8</v>
      </c>
      <c r="JP722" s="27" t="s">
        <v>7</v>
      </c>
      <c r="KK722" s="27" t="s">
        <v>8</v>
      </c>
      <c r="MT722" s="27" t="s">
        <v>7</v>
      </c>
      <c r="MU722" s="27" t="s">
        <v>8</v>
      </c>
      <c r="NN722" s="27" t="s">
        <v>7</v>
      </c>
      <c r="NQ722" s="27" t="s">
        <v>8</v>
      </c>
      <c r="NR722" s="27" t="s">
        <v>7</v>
      </c>
    </row>
    <row r="723" spans="1:382" x14ac:dyDescent="0.25">
      <c r="A723" s="7">
        <v>6.7666956032147993E-2</v>
      </c>
      <c r="B723"/>
      <c r="C723"/>
      <c r="D723"/>
      <c r="E723"/>
      <c r="F723" s="27" t="s">
        <v>7</v>
      </c>
      <c r="HC723" s="27" t="s">
        <v>8</v>
      </c>
      <c r="HD723" s="27" t="s">
        <v>7</v>
      </c>
      <c r="HE723" s="27" t="s">
        <v>8</v>
      </c>
      <c r="IZ723" s="27" t="s">
        <v>7</v>
      </c>
      <c r="JA723" s="27" t="s">
        <v>8</v>
      </c>
      <c r="JD723" s="27" t="s">
        <v>7</v>
      </c>
      <c r="JE723" s="27" t="s">
        <v>8</v>
      </c>
      <c r="JL723" s="27" t="s">
        <v>7</v>
      </c>
      <c r="JM723" s="27" t="s">
        <v>8</v>
      </c>
      <c r="JN723" s="27" t="s">
        <v>7</v>
      </c>
      <c r="JO723" s="27" t="s">
        <v>8</v>
      </c>
      <c r="JP723" s="27" t="s">
        <v>7</v>
      </c>
      <c r="KI723" s="27" t="s">
        <v>8</v>
      </c>
      <c r="KK723" s="27" t="s">
        <v>8</v>
      </c>
      <c r="MT723" s="27" t="s">
        <v>7</v>
      </c>
      <c r="MU723" s="27" t="s">
        <v>8</v>
      </c>
      <c r="NN723" s="27" t="s">
        <v>7</v>
      </c>
      <c r="NO723" s="27" t="s">
        <v>8</v>
      </c>
      <c r="NQ723" s="27" t="s">
        <v>8</v>
      </c>
      <c r="NR723" s="27" t="s">
        <v>7</v>
      </c>
    </row>
    <row r="724" spans="1:382" x14ac:dyDescent="0.25">
      <c r="A724" s="7">
        <v>6.6340152972694105E-2</v>
      </c>
      <c r="B724"/>
      <c r="C724"/>
      <c r="D724"/>
      <c r="E724"/>
      <c r="F724" s="27" t="s">
        <v>7</v>
      </c>
      <c r="HC724" s="27" t="s">
        <v>8</v>
      </c>
      <c r="HD724" s="27" t="s">
        <v>7</v>
      </c>
      <c r="HE724" s="27" t="s">
        <v>8</v>
      </c>
      <c r="IZ724" s="27" t="s">
        <v>7</v>
      </c>
      <c r="JA724" s="27" t="s">
        <v>8</v>
      </c>
      <c r="JD724" s="27" t="s">
        <v>7</v>
      </c>
      <c r="JE724" s="27" t="s">
        <v>8</v>
      </c>
      <c r="JL724" s="27" t="s">
        <v>7</v>
      </c>
      <c r="JM724" s="27" t="s">
        <v>8</v>
      </c>
      <c r="JN724" s="27" t="s">
        <v>7</v>
      </c>
      <c r="JP724" s="27" t="s">
        <v>7</v>
      </c>
      <c r="KI724" s="27" t="s">
        <v>8</v>
      </c>
      <c r="KJ724" s="27" t="s">
        <v>7</v>
      </c>
      <c r="KK724" s="27" t="s">
        <v>8</v>
      </c>
      <c r="MT724" s="27" t="s">
        <v>7</v>
      </c>
      <c r="MU724" s="27" t="s">
        <v>8</v>
      </c>
      <c r="NN724" s="27" t="s">
        <v>7</v>
      </c>
      <c r="NO724" s="27" t="s">
        <v>8</v>
      </c>
      <c r="NP724" s="27" t="s">
        <v>7</v>
      </c>
      <c r="NQ724" s="27" t="s">
        <v>8</v>
      </c>
      <c r="NR724" s="27" t="s">
        <v>7</v>
      </c>
    </row>
    <row r="725" spans="1:382" x14ac:dyDescent="0.25">
      <c r="A725" s="7">
        <v>6.5039365659504023E-2</v>
      </c>
      <c r="B725"/>
      <c r="C725"/>
      <c r="D725"/>
      <c r="E725"/>
      <c r="F725" s="27" t="s">
        <v>7</v>
      </c>
      <c r="HC725" s="27" t="s">
        <v>8</v>
      </c>
      <c r="HD725" s="27" t="s">
        <v>7</v>
      </c>
      <c r="HE725" s="27" t="s">
        <v>8</v>
      </c>
      <c r="IZ725" s="27" t="s">
        <v>7</v>
      </c>
      <c r="JA725" s="27" t="s">
        <v>8</v>
      </c>
      <c r="JD725" s="27" t="s">
        <v>7</v>
      </c>
      <c r="JE725" s="27" t="s">
        <v>8</v>
      </c>
      <c r="JL725" s="27" t="s">
        <v>7</v>
      </c>
      <c r="JM725" s="27" t="s">
        <v>8</v>
      </c>
      <c r="JP725" s="27" t="s">
        <v>7</v>
      </c>
      <c r="KI725" s="27" t="s">
        <v>8</v>
      </c>
      <c r="KJ725" s="27" t="s">
        <v>7</v>
      </c>
      <c r="KK725" s="27" t="s">
        <v>8</v>
      </c>
      <c r="MT725" s="27" t="s">
        <v>7</v>
      </c>
      <c r="NN725" s="27" t="s">
        <v>7</v>
      </c>
      <c r="NO725" s="27" t="s">
        <v>8</v>
      </c>
      <c r="NP725" s="27" t="s">
        <v>7</v>
      </c>
      <c r="NQ725" s="27" t="s">
        <v>8</v>
      </c>
      <c r="NR725" s="27" t="s">
        <v>7</v>
      </c>
    </row>
    <row r="726" spans="1:382" x14ac:dyDescent="0.25">
      <c r="A726" s="7">
        <v>6.3764083979905906E-2</v>
      </c>
      <c r="B726"/>
      <c r="C726"/>
      <c r="D726"/>
      <c r="E726"/>
      <c r="F726" s="27" t="s">
        <v>7</v>
      </c>
      <c r="HC726" s="27" t="s">
        <v>8</v>
      </c>
      <c r="HD726" s="27" t="s">
        <v>7</v>
      </c>
      <c r="HE726" s="27" t="s">
        <v>8</v>
      </c>
      <c r="IZ726" s="27" t="s">
        <v>7</v>
      </c>
      <c r="JA726" s="27" t="s">
        <v>8</v>
      </c>
      <c r="JD726" s="27" t="s">
        <v>7</v>
      </c>
      <c r="JE726" s="27" t="s">
        <v>8</v>
      </c>
      <c r="JL726" s="27" t="s">
        <v>7</v>
      </c>
      <c r="JM726" s="27" t="s">
        <v>8</v>
      </c>
      <c r="JP726" s="27" t="s">
        <v>7</v>
      </c>
      <c r="KE726" s="27" t="s">
        <v>8</v>
      </c>
      <c r="KG726" s="27" t="s">
        <v>8</v>
      </c>
      <c r="KI726" s="27" t="s">
        <v>8</v>
      </c>
      <c r="KJ726" s="27" t="s">
        <v>7</v>
      </c>
      <c r="KK726" s="27" t="s">
        <v>8</v>
      </c>
      <c r="NN726" s="27" t="s">
        <v>7</v>
      </c>
      <c r="NO726" s="27" t="s">
        <v>8</v>
      </c>
      <c r="NP726" s="27" t="s">
        <v>7</v>
      </c>
      <c r="NQ726" s="27" t="s">
        <v>8</v>
      </c>
    </row>
    <row r="727" spans="1:382" x14ac:dyDescent="0.25">
      <c r="A727" s="7">
        <v>6.251380782343717E-2</v>
      </c>
      <c r="B727"/>
      <c r="C727"/>
      <c r="D727"/>
      <c r="E727"/>
      <c r="F727" s="27" t="s">
        <v>7</v>
      </c>
      <c r="HC727" s="27" t="s">
        <v>8</v>
      </c>
      <c r="HD727" s="27" t="s">
        <v>7</v>
      </c>
      <c r="IZ727" s="27" t="s">
        <v>7</v>
      </c>
      <c r="JA727" s="27" t="s">
        <v>8</v>
      </c>
      <c r="JD727" s="27" t="s">
        <v>7</v>
      </c>
      <c r="JE727" s="27" t="s">
        <v>8</v>
      </c>
      <c r="JL727" s="27" t="s">
        <v>7</v>
      </c>
      <c r="JP727" s="27" t="s">
        <v>7</v>
      </c>
      <c r="KE727" s="27" t="s">
        <v>8</v>
      </c>
      <c r="KF727" s="27" t="s">
        <v>7</v>
      </c>
      <c r="KG727" s="27" t="s">
        <v>8</v>
      </c>
      <c r="KH727" s="27" t="s">
        <v>7</v>
      </c>
      <c r="KI727" s="27" t="s">
        <v>8</v>
      </c>
      <c r="KJ727" s="27" t="s">
        <v>7</v>
      </c>
      <c r="NN727" s="27" t="s">
        <v>7</v>
      </c>
      <c r="NO727" s="27" t="s">
        <v>8</v>
      </c>
      <c r="NP727" s="27" t="s">
        <v>7</v>
      </c>
      <c r="NQ727" s="27" t="s">
        <v>8</v>
      </c>
    </row>
    <row r="728" spans="1:382" x14ac:dyDescent="0.25">
      <c r="A728" s="7">
        <v>6.1288046885722716E-2</v>
      </c>
      <c r="B728"/>
      <c r="C728"/>
      <c r="D728"/>
      <c r="E728"/>
      <c r="F728" s="27" t="s">
        <v>7</v>
      </c>
      <c r="HC728" s="27" t="s">
        <v>8</v>
      </c>
      <c r="IZ728" s="27" t="s">
        <v>7</v>
      </c>
      <c r="JA728" s="27" t="s">
        <v>8</v>
      </c>
      <c r="JD728" s="27" t="s">
        <v>7</v>
      </c>
      <c r="JE728" s="27" t="s">
        <v>8</v>
      </c>
      <c r="JP728" s="27" t="s">
        <v>7</v>
      </c>
      <c r="KE728" s="27" t="s">
        <v>8</v>
      </c>
      <c r="KF728" s="27" t="s">
        <v>7</v>
      </c>
      <c r="KG728" s="27" t="s">
        <v>8</v>
      </c>
      <c r="KH728" s="27" t="s">
        <v>7</v>
      </c>
      <c r="KI728" s="27" t="s">
        <v>8</v>
      </c>
      <c r="NN728" s="27" t="s">
        <v>7</v>
      </c>
      <c r="NO728" s="27" t="s">
        <v>8</v>
      </c>
      <c r="NP728" s="27" t="s">
        <v>7</v>
      </c>
      <c r="NQ728" s="27" t="s">
        <v>8</v>
      </c>
    </row>
    <row r="729" spans="1:382" x14ac:dyDescent="0.25">
      <c r="A729" s="7">
        <v>6.0086320476198739E-2</v>
      </c>
      <c r="B729"/>
      <c r="C729"/>
      <c r="D729"/>
      <c r="E729"/>
      <c r="F729" s="27" t="s">
        <v>7</v>
      </c>
      <c r="HC729" s="27" t="s">
        <v>8</v>
      </c>
      <c r="IZ729" s="27" t="s">
        <v>7</v>
      </c>
      <c r="JA729" s="27" t="s">
        <v>8</v>
      </c>
      <c r="JD729" s="27" t="s">
        <v>7</v>
      </c>
      <c r="JE729" s="27" t="s">
        <v>8</v>
      </c>
      <c r="JP729" s="27" t="s">
        <v>7</v>
      </c>
      <c r="KE729" s="27" t="s">
        <v>8</v>
      </c>
      <c r="KF729" s="27" t="s">
        <v>7</v>
      </c>
      <c r="KG729" s="27" t="s">
        <v>8</v>
      </c>
      <c r="KH729" s="27" t="s">
        <v>7</v>
      </c>
      <c r="KI729" s="27" t="s">
        <v>8</v>
      </c>
      <c r="NN729" s="27" t="s">
        <v>7</v>
      </c>
      <c r="NO729" s="27" t="s">
        <v>8</v>
      </c>
      <c r="NP729" s="27" t="s">
        <v>7</v>
      </c>
      <c r="NQ729" s="27" t="s">
        <v>8</v>
      </c>
    </row>
    <row r="730" spans="1:382" x14ac:dyDescent="0.25">
      <c r="A730" s="7">
        <v>5.8908157329606609E-2</v>
      </c>
      <c r="B730"/>
      <c r="C730"/>
      <c r="D730"/>
      <c r="E730"/>
      <c r="F730" s="27" t="s">
        <v>7</v>
      </c>
      <c r="HC730" s="27" t="s">
        <v>8</v>
      </c>
      <c r="IZ730" s="27" t="s">
        <v>7</v>
      </c>
      <c r="JA730" s="27" t="s">
        <v>8</v>
      </c>
      <c r="JD730" s="27" t="s">
        <v>7</v>
      </c>
      <c r="JE730" s="27" t="s">
        <v>8</v>
      </c>
      <c r="JP730" s="27" t="s">
        <v>7</v>
      </c>
      <c r="JU730" s="27" t="s">
        <v>8</v>
      </c>
      <c r="KE730" s="27" t="s">
        <v>8</v>
      </c>
      <c r="KF730" s="27" t="s">
        <v>7</v>
      </c>
      <c r="KG730" s="27" t="s">
        <v>8</v>
      </c>
      <c r="KH730" s="27" t="s">
        <v>7</v>
      </c>
      <c r="KI730" s="27" t="s">
        <v>8</v>
      </c>
      <c r="NN730" s="27" t="s">
        <v>7</v>
      </c>
      <c r="NO730" s="27" t="s">
        <v>8</v>
      </c>
      <c r="NP730" s="27" t="s">
        <v>7</v>
      </c>
      <c r="NQ730" s="27" t="s">
        <v>8</v>
      </c>
    </row>
    <row r="731" spans="1:382" x14ac:dyDescent="0.25">
      <c r="A731" s="7">
        <v>5.7753095421182947E-2</v>
      </c>
      <c r="B731"/>
      <c r="C731"/>
      <c r="D731"/>
      <c r="E731"/>
      <c r="F731" s="27" t="s">
        <v>7</v>
      </c>
      <c r="HC731" s="27" t="s">
        <v>8</v>
      </c>
      <c r="IZ731" s="27" t="s">
        <v>7</v>
      </c>
      <c r="JA731" s="27" t="s">
        <v>8</v>
      </c>
      <c r="JD731" s="27" t="s">
        <v>7</v>
      </c>
      <c r="JE731" s="27" t="s">
        <v>8</v>
      </c>
      <c r="JP731" s="27" t="s">
        <v>7</v>
      </c>
      <c r="JU731" s="27" t="s">
        <v>8</v>
      </c>
      <c r="JV731" s="27" t="s">
        <v>7</v>
      </c>
      <c r="KE731" s="27" t="s">
        <v>8</v>
      </c>
      <c r="KF731" s="27" t="s">
        <v>7</v>
      </c>
      <c r="KG731" s="27" t="s">
        <v>8</v>
      </c>
      <c r="KH731" s="27" t="s">
        <v>7</v>
      </c>
      <c r="NN731" s="27" t="s">
        <v>7</v>
      </c>
      <c r="NO731" s="27" t="s">
        <v>8</v>
      </c>
      <c r="NP731" s="27" t="s">
        <v>7</v>
      </c>
      <c r="NQ731" s="27" t="s">
        <v>8</v>
      </c>
    </row>
    <row r="732" spans="1:382" x14ac:dyDescent="0.25">
      <c r="A732" s="7">
        <v>5.6620681785473484E-2</v>
      </c>
      <c r="B732"/>
      <c r="C732"/>
      <c r="D732"/>
      <c r="E732"/>
      <c r="F732" s="27" t="s">
        <v>7</v>
      </c>
      <c r="HC732" s="27" t="s">
        <v>8</v>
      </c>
      <c r="IZ732" s="27" t="s">
        <v>7</v>
      </c>
      <c r="JD732" s="27" t="s">
        <v>7</v>
      </c>
      <c r="JE732" s="27" t="s">
        <v>8</v>
      </c>
      <c r="JP732" s="27" t="s">
        <v>7</v>
      </c>
      <c r="JQ732" s="27" t="s">
        <v>8</v>
      </c>
      <c r="JS732" s="27" t="s">
        <v>8</v>
      </c>
      <c r="JU732" s="27" t="s">
        <v>8</v>
      </c>
      <c r="JV732" s="27" t="s">
        <v>7</v>
      </c>
      <c r="JW732" s="27" t="s">
        <v>8</v>
      </c>
      <c r="JY732" s="27" t="s">
        <v>8</v>
      </c>
      <c r="KE732" s="27" t="s">
        <v>8</v>
      </c>
      <c r="KF732" s="27" t="s">
        <v>7</v>
      </c>
      <c r="KG732" s="27" t="s">
        <v>8</v>
      </c>
      <c r="NN732" s="27" t="s">
        <v>7</v>
      </c>
      <c r="NO732" s="27" t="s">
        <v>8</v>
      </c>
      <c r="NP732" s="27" t="s">
        <v>7</v>
      </c>
      <c r="NQ732" s="27" t="s">
        <v>8</v>
      </c>
    </row>
    <row r="733" spans="1:382" x14ac:dyDescent="0.25">
      <c r="A733" s="7">
        <v>5.5510472338699497E-2</v>
      </c>
      <c r="B733"/>
      <c r="C733"/>
      <c r="D733"/>
      <c r="E733"/>
      <c r="F733" s="27" t="s">
        <v>7</v>
      </c>
      <c r="HC733" s="27" t="s">
        <v>8</v>
      </c>
      <c r="JD733" s="27" t="s">
        <v>7</v>
      </c>
      <c r="JE733" s="27" t="s">
        <v>8</v>
      </c>
      <c r="JP733" s="27" t="s">
        <v>7</v>
      </c>
      <c r="JQ733" s="27" t="s">
        <v>8</v>
      </c>
      <c r="JR733" s="27" t="s">
        <v>7</v>
      </c>
      <c r="JS733" s="27" t="s">
        <v>8</v>
      </c>
      <c r="JT733" s="27" t="s">
        <v>7</v>
      </c>
      <c r="JU733" s="27" t="s">
        <v>8</v>
      </c>
      <c r="JV733" s="27" t="s">
        <v>7</v>
      </c>
      <c r="JW733" s="27" t="s">
        <v>8</v>
      </c>
      <c r="JX733" s="27" t="s">
        <v>7</v>
      </c>
      <c r="JY733" s="27" t="s">
        <v>8</v>
      </c>
      <c r="JZ733" s="27" t="s">
        <v>7</v>
      </c>
      <c r="KE733" s="27" t="s">
        <v>8</v>
      </c>
      <c r="KF733" s="27" t="s">
        <v>7</v>
      </c>
      <c r="KG733" s="27" t="s">
        <v>8</v>
      </c>
      <c r="NN733" s="27" t="s">
        <v>7</v>
      </c>
      <c r="NO733" s="27" t="s">
        <v>8</v>
      </c>
      <c r="NP733" s="27" t="s">
        <v>7</v>
      </c>
    </row>
    <row r="734" spans="1:382" x14ac:dyDescent="0.25">
      <c r="A734" s="7">
        <v>5.4422031704607354E-2</v>
      </c>
      <c r="B734"/>
      <c r="C734"/>
      <c r="D734"/>
      <c r="E734"/>
      <c r="F734" s="27" t="s">
        <v>7</v>
      </c>
      <c r="HC734" s="27" t="s">
        <v>8</v>
      </c>
      <c r="JD734" s="27" t="s">
        <v>7</v>
      </c>
      <c r="JP734" s="27" t="s">
        <v>7</v>
      </c>
      <c r="JQ734" s="27" t="s">
        <v>8</v>
      </c>
      <c r="JR734" s="27" t="s">
        <v>7</v>
      </c>
      <c r="JS734" s="27" t="s">
        <v>8</v>
      </c>
      <c r="JT734" s="27" t="s">
        <v>7</v>
      </c>
      <c r="JU734" s="27" t="s">
        <v>8</v>
      </c>
      <c r="JV734" s="27" t="s">
        <v>7</v>
      </c>
      <c r="JW734" s="27" t="s">
        <v>8</v>
      </c>
      <c r="JX734" s="27" t="s">
        <v>7</v>
      </c>
      <c r="JY734" s="27" t="s">
        <v>8</v>
      </c>
      <c r="JZ734" s="27" t="s">
        <v>7</v>
      </c>
      <c r="KA734" s="27" t="s">
        <v>8</v>
      </c>
      <c r="KE734" s="27" t="s">
        <v>8</v>
      </c>
      <c r="KF734" s="27" t="s">
        <v>7</v>
      </c>
      <c r="KG734" s="27" t="s">
        <v>8</v>
      </c>
      <c r="NN734" s="27" t="s">
        <v>7</v>
      </c>
      <c r="NO734" s="27" t="s">
        <v>8</v>
      </c>
    </row>
    <row r="735" spans="1:382" x14ac:dyDescent="0.25">
      <c r="A735" s="7">
        <v>5.3354933043732705E-2</v>
      </c>
      <c r="B735"/>
      <c r="C735"/>
      <c r="D735"/>
      <c r="E735"/>
      <c r="F735" s="27" t="s">
        <v>7</v>
      </c>
      <c r="HA735" s="27" t="s">
        <v>8</v>
      </c>
      <c r="HC735" s="27" t="s">
        <v>8</v>
      </c>
      <c r="JP735" s="27" t="s">
        <v>7</v>
      </c>
      <c r="JQ735" s="27" t="s">
        <v>8</v>
      </c>
      <c r="JR735" s="27" t="s">
        <v>7</v>
      </c>
      <c r="JS735" s="27" t="s">
        <v>8</v>
      </c>
      <c r="JT735" s="27" t="s">
        <v>7</v>
      </c>
      <c r="JU735" s="27" t="s">
        <v>8</v>
      </c>
      <c r="JV735" s="27" t="s">
        <v>7</v>
      </c>
      <c r="JX735" s="27" t="s">
        <v>7</v>
      </c>
      <c r="JY735" s="27" t="s">
        <v>8</v>
      </c>
      <c r="JZ735" s="27" t="s">
        <v>7</v>
      </c>
      <c r="KA735" s="27" t="s">
        <v>8</v>
      </c>
      <c r="KB735" s="27" t="s">
        <v>7</v>
      </c>
      <c r="KE735" s="27" t="s">
        <v>8</v>
      </c>
      <c r="KF735" s="27" t="s">
        <v>7</v>
      </c>
      <c r="KG735" s="27" t="s">
        <v>8</v>
      </c>
      <c r="NN735" s="27" t="s">
        <v>7</v>
      </c>
      <c r="NO735" s="27" t="s">
        <v>8</v>
      </c>
    </row>
    <row r="736" spans="1:382" x14ac:dyDescent="0.25">
      <c r="A736" s="7">
        <v>5.2308757886012455E-2</v>
      </c>
      <c r="B736"/>
      <c r="C736"/>
      <c r="D736"/>
      <c r="E736"/>
      <c r="F736" s="27" t="s">
        <v>7</v>
      </c>
      <c r="HA736" s="27" t="s">
        <v>8</v>
      </c>
      <c r="HB736" s="27" t="s">
        <v>7</v>
      </c>
      <c r="HC736" s="27" t="s">
        <v>8</v>
      </c>
      <c r="JP736" s="27" t="s">
        <v>7</v>
      </c>
      <c r="JQ736" s="27" t="s">
        <v>8</v>
      </c>
      <c r="JR736" s="27" t="s">
        <v>7</v>
      </c>
      <c r="JS736" s="27" t="s">
        <v>8</v>
      </c>
      <c r="JT736" s="27" t="s">
        <v>7</v>
      </c>
      <c r="JX736" s="27" t="s">
        <v>7</v>
      </c>
      <c r="JZ736" s="27" t="s">
        <v>7</v>
      </c>
      <c r="KA736" s="27" t="s">
        <v>8</v>
      </c>
      <c r="KB736" s="27" t="s">
        <v>7</v>
      </c>
      <c r="KC736" s="27" t="s">
        <v>8</v>
      </c>
      <c r="KE736" s="27" t="s">
        <v>8</v>
      </c>
      <c r="KF736" s="18" t="s">
        <v>7</v>
      </c>
      <c r="KG736" s="27" t="s">
        <v>8</v>
      </c>
      <c r="NN736" s="27" t="s">
        <v>7</v>
      </c>
    </row>
    <row r="737" spans="1:293" x14ac:dyDescent="0.25">
      <c r="A737" s="7">
        <v>5.1283095966678877E-2</v>
      </c>
      <c r="B737"/>
      <c r="C737"/>
      <c r="D737"/>
      <c r="E737"/>
      <c r="F737" s="27" t="s">
        <v>7</v>
      </c>
      <c r="HA737" s="27" t="s">
        <v>8</v>
      </c>
      <c r="HB737" s="27" t="s">
        <v>7</v>
      </c>
      <c r="HC737" s="27" t="s">
        <v>8</v>
      </c>
      <c r="JP737" s="27" t="s">
        <v>7</v>
      </c>
      <c r="JQ737" s="27" t="s">
        <v>8</v>
      </c>
      <c r="JR737" s="27" t="s">
        <v>7</v>
      </c>
      <c r="JS737" s="27" t="s">
        <v>8</v>
      </c>
      <c r="JZ737" s="27" t="s">
        <v>7</v>
      </c>
      <c r="KB737" s="27" t="s">
        <v>7</v>
      </c>
      <c r="KC737" s="27" t="s">
        <v>8</v>
      </c>
      <c r="KD737" s="27" t="s">
        <v>7</v>
      </c>
      <c r="KE737" s="27" t="s">
        <v>8</v>
      </c>
      <c r="KF737" s="27" t="s">
        <v>7</v>
      </c>
      <c r="KG737" s="27" t="s">
        <v>8</v>
      </c>
    </row>
    <row r="738" spans="1:293" x14ac:dyDescent="0.25">
      <c r="A738" s="7">
        <v>5.0277545065371444E-2</v>
      </c>
      <c r="B738"/>
      <c r="C738"/>
      <c r="D738"/>
      <c r="E738"/>
      <c r="F738" s="27" t="s">
        <v>7</v>
      </c>
      <c r="HA738" s="27" t="s">
        <v>8</v>
      </c>
      <c r="HB738" s="27" t="s">
        <v>7</v>
      </c>
      <c r="HC738" s="27" t="s">
        <v>8</v>
      </c>
      <c r="JP738" s="27" t="s">
        <v>7</v>
      </c>
      <c r="JQ738" s="27" t="s">
        <v>8</v>
      </c>
      <c r="JR738" s="27" t="s">
        <v>7</v>
      </c>
      <c r="JS738" s="27" t="s">
        <v>8</v>
      </c>
      <c r="KB738" s="27" t="s">
        <v>7</v>
      </c>
      <c r="KC738" s="27" t="s">
        <v>8</v>
      </c>
      <c r="KD738" s="27" t="s">
        <v>7</v>
      </c>
      <c r="KE738" s="27" t="s">
        <v>8</v>
      </c>
      <c r="KF738" s="27" t="s">
        <v>7</v>
      </c>
      <c r="KG738" s="27" t="s">
        <v>8</v>
      </c>
    </row>
    <row r="739" spans="1:293" x14ac:dyDescent="0.25">
      <c r="A739" s="7">
        <v>4.9291710848403378E-2</v>
      </c>
      <c r="B739"/>
      <c r="C739"/>
      <c r="D739"/>
      <c r="E739"/>
      <c r="F739" s="27" t="s">
        <v>7</v>
      </c>
      <c r="HA739" s="27" t="s">
        <v>8</v>
      </c>
      <c r="HB739" s="27" t="s">
        <v>7</v>
      </c>
      <c r="HC739" s="27" t="s">
        <v>8</v>
      </c>
      <c r="JP739" s="27" t="s">
        <v>7</v>
      </c>
      <c r="JQ739" s="27" t="s">
        <v>8</v>
      </c>
      <c r="JR739" s="27" t="s">
        <v>7</v>
      </c>
      <c r="JS739" s="27" t="s">
        <v>8</v>
      </c>
      <c r="KB739" s="27" t="s">
        <v>7</v>
      </c>
      <c r="KC739" s="27" t="s">
        <v>8</v>
      </c>
      <c r="KD739" s="27" t="s">
        <v>7</v>
      </c>
      <c r="KE739" s="27" t="s">
        <v>8</v>
      </c>
      <c r="KF739" s="27" t="s">
        <v>7</v>
      </c>
      <c r="KG739" s="27" t="s">
        <v>8</v>
      </c>
    </row>
    <row r="740" spans="1:293" x14ac:dyDescent="0.25">
      <c r="A740" s="7">
        <v>4.8325206714120959E-2</v>
      </c>
      <c r="B740"/>
      <c r="C740"/>
      <c r="D740"/>
      <c r="E740"/>
      <c r="F740" s="27" t="s">
        <v>7</v>
      </c>
      <c r="HA740" s="27" t="s">
        <v>8</v>
      </c>
      <c r="HB740" s="27" t="s">
        <v>7</v>
      </c>
      <c r="HC740" s="27" t="s">
        <v>8</v>
      </c>
      <c r="JP740" s="27" t="s">
        <v>7</v>
      </c>
      <c r="JQ740" s="27" t="s">
        <v>8</v>
      </c>
      <c r="JR740" s="27" t="s">
        <v>7</v>
      </c>
      <c r="JS740" s="27" t="s">
        <v>8</v>
      </c>
      <c r="KB740" s="27" t="s">
        <v>7</v>
      </c>
      <c r="KD740" s="27" t="s">
        <v>7</v>
      </c>
      <c r="KE740" s="27" t="s">
        <v>8</v>
      </c>
      <c r="KF740" s="27" t="s">
        <v>7</v>
      </c>
    </row>
    <row r="741" spans="1:293" x14ac:dyDescent="0.25">
      <c r="A741" s="7">
        <v>4.7377653641295057E-2</v>
      </c>
      <c r="B741"/>
      <c r="C741"/>
      <c r="D741"/>
      <c r="E741"/>
      <c r="F741" s="27" t="s">
        <v>7</v>
      </c>
      <c r="HA741" s="27" t="s">
        <v>8</v>
      </c>
      <c r="HB741" s="27" t="s">
        <v>7</v>
      </c>
      <c r="HC741" s="27" t="s">
        <v>8</v>
      </c>
      <c r="JP741" s="27" t="s">
        <v>7</v>
      </c>
      <c r="JQ741" s="27" t="s">
        <v>8</v>
      </c>
      <c r="JR741" s="27" t="s">
        <v>7</v>
      </c>
      <c r="KD741" s="27" t="s">
        <v>7</v>
      </c>
    </row>
    <row r="742" spans="1:293" x14ac:dyDescent="0.25">
      <c r="A742" s="7">
        <v>4.644868004048535E-2</v>
      </c>
      <c r="B742"/>
      <c r="C742"/>
      <c r="D742"/>
      <c r="E742"/>
      <c r="F742" s="27" t="s">
        <v>7</v>
      </c>
      <c r="HA742" s="27" t="s">
        <v>8</v>
      </c>
      <c r="HB742" s="27" t="s">
        <v>7</v>
      </c>
      <c r="JP742" s="27" t="s">
        <v>7</v>
      </c>
      <c r="JQ742" s="27" t="s">
        <v>8</v>
      </c>
    </row>
    <row r="743" spans="1:293" x14ac:dyDescent="0.25">
      <c r="A743" s="7">
        <v>4.5537921608318974E-2</v>
      </c>
      <c r="B743"/>
      <c r="C743"/>
      <c r="D743"/>
      <c r="E743"/>
      <c r="F743" s="27" t="s">
        <v>7</v>
      </c>
      <c r="HA743" s="27" t="s">
        <v>8</v>
      </c>
      <c r="JP743" s="27" t="s">
        <v>7</v>
      </c>
      <c r="JQ743" s="27" t="s">
        <v>8</v>
      </c>
    </row>
    <row r="744" spans="1:293" x14ac:dyDescent="0.25">
      <c r="A744" s="7">
        <v>4.4645021184626446E-2</v>
      </c>
      <c r="B744"/>
      <c r="C744"/>
      <c r="D744"/>
      <c r="E744"/>
      <c r="F744" s="27" t="s">
        <v>7</v>
      </c>
      <c r="HA744" s="27" t="s">
        <v>8</v>
      </c>
      <c r="JP744" s="27" t="s">
        <v>7</v>
      </c>
      <c r="JQ744" s="27" t="s">
        <v>8</v>
      </c>
    </row>
    <row r="745" spans="1:293" x14ac:dyDescent="0.25">
      <c r="A745" s="7">
        <v>4.3769628612378868E-2</v>
      </c>
      <c r="B745"/>
      <c r="C745"/>
      <c r="D745"/>
      <c r="E745"/>
      <c r="F745" s="27" t="s">
        <v>7</v>
      </c>
      <c r="HA745" s="27" t="s">
        <v>8</v>
      </c>
      <c r="JP745" s="27" t="s">
        <v>7</v>
      </c>
      <c r="JQ745" s="27" t="s">
        <v>8</v>
      </c>
    </row>
    <row r="746" spans="1:293" x14ac:dyDescent="0.25">
      <c r="A746" s="7">
        <v>4.2911400600371442E-2</v>
      </c>
      <c r="B746"/>
      <c r="C746"/>
      <c r="D746"/>
      <c r="E746"/>
      <c r="F746" s="27" t="s">
        <v>7</v>
      </c>
      <c r="HA746" s="27" t="s">
        <v>8</v>
      </c>
      <c r="JP746" s="27" t="s">
        <v>7</v>
      </c>
      <c r="JQ746" s="27" t="s">
        <v>8</v>
      </c>
    </row>
    <row r="747" spans="1:293" x14ac:dyDescent="0.25">
      <c r="A747" s="7">
        <v>4.2070000588599457E-2</v>
      </c>
      <c r="B747"/>
      <c r="C747"/>
      <c r="D747"/>
      <c r="E747"/>
      <c r="F747" s="27" t="s">
        <v>7</v>
      </c>
      <c r="HA747" s="27" t="s">
        <v>8</v>
      </c>
      <c r="JP747" s="27" t="s">
        <v>7</v>
      </c>
      <c r="JQ747" s="27" t="s">
        <v>8</v>
      </c>
    </row>
    <row r="748" spans="1:293" x14ac:dyDescent="0.25">
      <c r="A748" s="7">
        <v>4.1245098616273977E-2</v>
      </c>
      <c r="B748"/>
      <c r="C748"/>
      <c r="D748"/>
      <c r="E748"/>
      <c r="F748" s="27" t="s">
        <v>7</v>
      </c>
      <c r="BK748" s="27" t="s">
        <v>8</v>
      </c>
      <c r="HA748" s="27" t="s">
        <v>8</v>
      </c>
      <c r="JP748" s="27" t="s">
        <v>7</v>
      </c>
    </row>
    <row r="749" spans="1:293" x14ac:dyDescent="0.25">
      <c r="A749" s="7">
        <v>4.043637119242547E-2</v>
      </c>
      <c r="B749"/>
      <c r="C749"/>
      <c r="D749"/>
      <c r="E749"/>
      <c r="F749" s="27" t="s">
        <v>7</v>
      </c>
      <c r="BK749" s="27" t="s">
        <v>8</v>
      </c>
      <c r="BL749" s="27" t="s">
        <v>7</v>
      </c>
      <c r="GU749" s="27" t="s">
        <v>8</v>
      </c>
      <c r="HA749" s="27" t="s">
        <v>8</v>
      </c>
    </row>
    <row r="750" spans="1:293" x14ac:dyDescent="0.25">
      <c r="A750" s="7">
        <v>3.9643501169044582E-2</v>
      </c>
      <c r="B750"/>
      <c r="C750"/>
      <c r="D750"/>
      <c r="E750"/>
      <c r="F750" s="27" t="s">
        <v>7</v>
      </c>
      <c r="BK750" s="27" t="s">
        <v>8</v>
      </c>
      <c r="BL750" s="27" t="s">
        <v>7</v>
      </c>
      <c r="GU750" s="27" t="s">
        <v>8</v>
      </c>
      <c r="GV750" s="27" t="s">
        <v>7</v>
      </c>
      <c r="HA750" s="27" t="s">
        <v>8</v>
      </c>
    </row>
    <row r="751" spans="1:293" x14ac:dyDescent="0.25">
      <c r="A751" s="7">
        <v>3.8866177616710372E-2</v>
      </c>
      <c r="B751"/>
      <c r="C751"/>
      <c r="D751"/>
      <c r="E751"/>
      <c r="F751" s="27" t="s">
        <v>7</v>
      </c>
      <c r="M751" s="27" t="s">
        <v>8</v>
      </c>
      <c r="O751" s="27" t="s">
        <v>8</v>
      </c>
      <c r="BK751" s="27" t="s">
        <v>8</v>
      </c>
      <c r="BL751" s="27" t="s">
        <v>7</v>
      </c>
      <c r="GU751" s="27" t="s">
        <v>8</v>
      </c>
      <c r="GV751" s="27" t="s">
        <v>7</v>
      </c>
      <c r="HA751" s="27" t="s">
        <v>8</v>
      </c>
    </row>
    <row r="752" spans="1:293" x14ac:dyDescent="0.25">
      <c r="A752" s="7">
        <v>3.8104095702657229E-2</v>
      </c>
      <c r="B752"/>
      <c r="C752"/>
      <c r="D752"/>
      <c r="E752"/>
      <c r="F752" s="27" t="s">
        <v>7</v>
      </c>
      <c r="M752" s="27" t="s">
        <v>8</v>
      </c>
      <c r="N752" s="27" t="s">
        <v>7</v>
      </c>
      <c r="O752" s="27" t="s">
        <v>8</v>
      </c>
      <c r="P752" s="27" t="s">
        <v>7</v>
      </c>
      <c r="BK752" s="27" t="s">
        <v>8</v>
      </c>
      <c r="BL752" s="27" t="s">
        <v>7</v>
      </c>
      <c r="GU752" s="27" t="s">
        <v>8</v>
      </c>
      <c r="GV752" s="27" t="s">
        <v>7</v>
      </c>
      <c r="HA752" s="27" t="s">
        <v>8</v>
      </c>
    </row>
    <row r="753" spans="1:209" x14ac:dyDescent="0.25">
      <c r="A753" s="7">
        <v>3.7356956571232579E-2</v>
      </c>
      <c r="B753"/>
      <c r="C753"/>
      <c r="D753"/>
      <c r="E753"/>
      <c r="F753" s="27" t="s">
        <v>7</v>
      </c>
      <c r="M753" s="27" t="s">
        <v>8</v>
      </c>
      <c r="N753" s="27" t="s">
        <v>7</v>
      </c>
      <c r="O753" s="27" t="s">
        <v>8</v>
      </c>
      <c r="P753" s="27" t="s">
        <v>7</v>
      </c>
      <c r="BG753" s="27" t="s">
        <v>8</v>
      </c>
      <c r="BK753" s="27" t="s">
        <v>8</v>
      </c>
      <c r="BL753" s="27" t="s">
        <v>7</v>
      </c>
      <c r="GU753" s="27" t="s">
        <v>8</v>
      </c>
      <c r="GV753" s="27" t="s">
        <v>7</v>
      </c>
      <c r="HA753" s="27" t="s">
        <v>8</v>
      </c>
    </row>
    <row r="754" spans="1:209" x14ac:dyDescent="0.25">
      <c r="A754" s="7">
        <v>3.6624467226698605E-2</v>
      </c>
      <c r="B754"/>
      <c r="C754"/>
      <c r="D754"/>
      <c r="E754"/>
      <c r="F754" s="27" t="s">
        <v>7</v>
      </c>
      <c r="M754" s="27" t="s">
        <v>8</v>
      </c>
      <c r="N754" s="27" t="s">
        <v>7</v>
      </c>
      <c r="O754" s="27" t="s">
        <v>8</v>
      </c>
      <c r="P754" s="27" t="s">
        <v>7</v>
      </c>
      <c r="BG754" s="27" t="s">
        <v>8</v>
      </c>
      <c r="BH754" s="27" t="s">
        <v>7</v>
      </c>
      <c r="BK754" s="27" t="s">
        <v>8</v>
      </c>
      <c r="BL754" s="27" t="s">
        <v>7</v>
      </c>
      <c r="GU754" s="27" t="s">
        <v>8</v>
      </c>
      <c r="GV754" s="27" t="s">
        <v>7</v>
      </c>
      <c r="HA754" s="27" t="s">
        <v>8</v>
      </c>
    </row>
    <row r="755" spans="1:209" x14ac:dyDescent="0.25">
      <c r="A755" s="7">
        <v>3.5906340418331961E-2</v>
      </c>
      <c r="B755"/>
      <c r="C755"/>
      <c r="D755"/>
      <c r="E755"/>
      <c r="F755" s="27" t="s">
        <v>7</v>
      </c>
      <c r="M755" s="27" t="s">
        <v>8</v>
      </c>
      <c r="N755" s="27" t="s">
        <v>7</v>
      </c>
      <c r="O755" s="27" t="s">
        <v>8</v>
      </c>
      <c r="P755" s="27" t="s">
        <v>7</v>
      </c>
      <c r="BG755" s="27" t="s">
        <v>8</v>
      </c>
      <c r="BH755" s="27" t="s">
        <v>7</v>
      </c>
      <c r="BI755" s="27" t="s">
        <v>8</v>
      </c>
      <c r="BK755" s="27" t="s">
        <v>8</v>
      </c>
      <c r="BL755" s="27" t="s">
        <v>7</v>
      </c>
      <c r="GU755" s="27" t="s">
        <v>8</v>
      </c>
      <c r="GV755" s="27" t="s">
        <v>7</v>
      </c>
      <c r="HA755" s="27" t="s">
        <v>8</v>
      </c>
    </row>
    <row r="756" spans="1:209" x14ac:dyDescent="0.25">
      <c r="A756" s="7">
        <v>3.5202294527776436E-2</v>
      </c>
      <c r="B756"/>
      <c r="C756"/>
      <c r="D756"/>
      <c r="E756"/>
      <c r="F756" s="27" t="s">
        <v>7</v>
      </c>
      <c r="M756" s="27" t="s">
        <v>8</v>
      </c>
      <c r="N756" s="27" t="s">
        <v>7</v>
      </c>
      <c r="O756" s="27" t="s">
        <v>8</v>
      </c>
      <c r="P756" s="27" t="s">
        <v>7</v>
      </c>
      <c r="BG756" s="27" t="s">
        <v>8</v>
      </c>
      <c r="BH756" s="27" t="s">
        <v>7</v>
      </c>
      <c r="BI756" s="27" t="s">
        <v>8</v>
      </c>
      <c r="BJ756" s="27" t="s">
        <v>7</v>
      </c>
      <c r="BK756" s="27" t="s">
        <v>8</v>
      </c>
      <c r="BL756" s="27" t="s">
        <v>7</v>
      </c>
      <c r="BM756" s="27" t="s">
        <v>8</v>
      </c>
      <c r="GU756" s="27" t="s">
        <v>8</v>
      </c>
      <c r="GV756" s="27" t="s">
        <v>7</v>
      </c>
      <c r="HA756" s="27" t="s">
        <v>8</v>
      </c>
    </row>
    <row r="757" spans="1:209" x14ac:dyDescent="0.25">
      <c r="A757" s="7">
        <v>3.451205345860435E-2</v>
      </c>
      <c r="B757"/>
      <c r="C757"/>
      <c r="D757"/>
      <c r="E757"/>
      <c r="F757" s="27" t="s">
        <v>7</v>
      </c>
      <c r="M757" s="27" t="s">
        <v>8</v>
      </c>
      <c r="N757" s="27" t="s">
        <v>7</v>
      </c>
      <c r="P757" s="27" t="s">
        <v>7</v>
      </c>
      <c r="BG757" s="27" t="s">
        <v>8</v>
      </c>
      <c r="BH757" s="27" t="s">
        <v>7</v>
      </c>
      <c r="BI757" s="27" t="s">
        <v>8</v>
      </c>
      <c r="BJ757" s="27" t="s">
        <v>7</v>
      </c>
      <c r="BK757" s="27" t="s">
        <v>8</v>
      </c>
      <c r="BL757" s="27" t="s">
        <v>7</v>
      </c>
      <c r="BM757" s="27" t="s">
        <v>8</v>
      </c>
      <c r="BN757" s="27" t="s">
        <v>7</v>
      </c>
      <c r="GU757" s="27" t="s">
        <v>8</v>
      </c>
      <c r="GV757" s="27" t="s">
        <v>7</v>
      </c>
      <c r="HA757" s="27" t="s">
        <v>8</v>
      </c>
    </row>
    <row r="758" spans="1:209" x14ac:dyDescent="0.25">
      <c r="A758" s="7">
        <v>3.3835346528043479E-2</v>
      </c>
      <c r="B758"/>
      <c r="C758"/>
      <c r="D758"/>
      <c r="E758"/>
      <c r="F758" s="27" t="s">
        <v>7</v>
      </c>
      <c r="M758" s="27" t="s">
        <v>8</v>
      </c>
      <c r="P758" s="27" t="s">
        <v>7</v>
      </c>
      <c r="AI758" s="27" t="s">
        <v>8</v>
      </c>
      <c r="BG758" s="27" t="s">
        <v>8</v>
      </c>
      <c r="BH758" s="27" t="s">
        <v>7</v>
      </c>
      <c r="BI758" s="27" t="s">
        <v>8</v>
      </c>
      <c r="BJ758" s="27" t="s">
        <v>7</v>
      </c>
      <c r="BK758" s="27" t="s">
        <v>8</v>
      </c>
      <c r="BL758" s="27" t="s">
        <v>7</v>
      </c>
      <c r="BM758" s="27" t="s">
        <v>8</v>
      </c>
      <c r="BN758" s="27" t="s">
        <v>7</v>
      </c>
      <c r="GU758" s="27" t="s">
        <v>8</v>
      </c>
      <c r="GV758" s="27" t="s">
        <v>7</v>
      </c>
      <c r="HA758" s="27" t="s">
        <v>8</v>
      </c>
    </row>
    <row r="759" spans="1:209" x14ac:dyDescent="0.25">
      <c r="A759" s="7">
        <v>3.3171908360826938E-2</v>
      </c>
      <c r="B759"/>
      <c r="C759"/>
      <c r="D759"/>
      <c r="E759"/>
      <c r="F759" s="27" t="s">
        <v>7</v>
      </c>
      <c r="M759" s="27" t="s">
        <v>8</v>
      </c>
      <c r="P759" s="27" t="s">
        <v>7</v>
      </c>
      <c r="Q759" s="27" t="s">
        <v>8</v>
      </c>
      <c r="AI759" s="27" t="s">
        <v>8</v>
      </c>
      <c r="AJ759" s="27" t="s">
        <v>7</v>
      </c>
      <c r="BG759" s="27" t="s">
        <v>8</v>
      </c>
      <c r="BH759" s="27" t="s">
        <v>7</v>
      </c>
      <c r="BI759" s="27" t="s">
        <v>8</v>
      </c>
      <c r="BJ759" s="27" t="s">
        <v>7</v>
      </c>
      <c r="BK759" s="27" t="s">
        <v>8</v>
      </c>
      <c r="BL759" s="27" t="s">
        <v>7</v>
      </c>
      <c r="BM759" s="27" t="s">
        <v>8</v>
      </c>
      <c r="BN759" s="27" t="s">
        <v>7</v>
      </c>
      <c r="GU759" s="27" t="s">
        <v>8</v>
      </c>
      <c r="GV759" s="27" t="s">
        <v>7</v>
      </c>
      <c r="GY759" s="27" t="s">
        <v>8</v>
      </c>
      <c r="HA759" s="27" t="s">
        <v>8</v>
      </c>
    </row>
    <row r="760" spans="1:209" x14ac:dyDescent="0.25">
      <c r="A760" s="7">
        <v>3.2521478785124451E-2</v>
      </c>
      <c r="B760"/>
      <c r="C760"/>
      <c r="D760"/>
      <c r="E760"/>
      <c r="F760" s="27" t="s">
        <v>7</v>
      </c>
      <c r="M760" s="27" t="s">
        <v>8</v>
      </c>
      <c r="P760" s="27" t="s">
        <v>7</v>
      </c>
      <c r="Q760" s="27" t="s">
        <v>8</v>
      </c>
      <c r="R760" s="27" t="s">
        <v>7</v>
      </c>
      <c r="AI760" s="27" t="s">
        <v>8</v>
      </c>
      <c r="AJ760" s="27" t="s">
        <v>7</v>
      </c>
      <c r="BE760" s="27" t="s">
        <v>8</v>
      </c>
      <c r="BG760" s="27" t="s">
        <v>8</v>
      </c>
      <c r="BH760" s="27" t="s">
        <v>7</v>
      </c>
      <c r="BJ760" s="27" t="s">
        <v>7</v>
      </c>
      <c r="BK760" s="27" t="s">
        <v>8</v>
      </c>
      <c r="BL760" s="27" t="s">
        <v>7</v>
      </c>
      <c r="BM760" s="27" t="s">
        <v>8</v>
      </c>
      <c r="BN760" s="27" t="s">
        <v>7</v>
      </c>
      <c r="GU760" s="27" t="s">
        <v>8</v>
      </c>
      <c r="GV760" s="27" t="s">
        <v>7</v>
      </c>
      <c r="GY760" s="27" t="s">
        <v>8</v>
      </c>
      <c r="GZ760" s="27" t="s">
        <v>7</v>
      </c>
      <c r="HA760" s="27" t="s">
        <v>8</v>
      </c>
    </row>
    <row r="761" spans="1:209" x14ac:dyDescent="0.25">
      <c r="A761" s="7">
        <v>3.1883802730514173E-2</v>
      </c>
      <c r="B761"/>
      <c r="C761"/>
      <c r="D761"/>
      <c r="E761"/>
      <c r="F761" s="27" t="s">
        <v>7</v>
      </c>
      <c r="G761" s="27" t="s">
        <v>8</v>
      </c>
      <c r="K761" s="27" t="s">
        <v>8</v>
      </c>
      <c r="M761" s="27" t="s">
        <v>8</v>
      </c>
      <c r="P761" s="27" t="s">
        <v>7</v>
      </c>
      <c r="Q761" s="27" t="s">
        <v>8</v>
      </c>
      <c r="R761" s="27" t="s">
        <v>7</v>
      </c>
      <c r="S761" s="27" t="s">
        <v>8</v>
      </c>
      <c r="AI761" s="27" t="s">
        <v>8</v>
      </c>
      <c r="AJ761" s="27" t="s">
        <v>7</v>
      </c>
      <c r="BE761" s="27" t="s">
        <v>8</v>
      </c>
      <c r="BF761" s="27" t="s">
        <v>7</v>
      </c>
      <c r="BG761" s="27" t="s">
        <v>8</v>
      </c>
      <c r="BJ761" s="27" t="s">
        <v>7</v>
      </c>
      <c r="BL761" s="27" t="s">
        <v>7</v>
      </c>
      <c r="BM761" s="27" t="s">
        <v>8</v>
      </c>
      <c r="BN761" s="27" t="s">
        <v>7</v>
      </c>
      <c r="BO761" s="27" t="s">
        <v>8</v>
      </c>
      <c r="BQ761" s="27" t="s">
        <v>8</v>
      </c>
      <c r="GU761" s="27" t="s">
        <v>8</v>
      </c>
      <c r="GV761" s="27" t="s">
        <v>7</v>
      </c>
      <c r="GY761" s="27" t="s">
        <v>8</v>
      </c>
      <c r="GZ761" s="27" t="s">
        <v>7</v>
      </c>
      <c r="HA761" s="27" t="s">
        <v>8</v>
      </c>
    </row>
    <row r="762" spans="1:209" x14ac:dyDescent="0.25">
      <c r="A762" s="7">
        <v>3.1258630127955073E-2</v>
      </c>
      <c r="B762"/>
      <c r="C762"/>
      <c r="D762"/>
      <c r="E762"/>
      <c r="F762" s="27" t="s">
        <v>7</v>
      </c>
      <c r="G762" s="27" t="s">
        <v>8</v>
      </c>
      <c r="H762" s="27" t="s">
        <v>7</v>
      </c>
      <c r="K762" s="27" t="s">
        <v>8</v>
      </c>
      <c r="L762" s="27" t="s">
        <v>7</v>
      </c>
      <c r="M762" s="27" t="s">
        <v>8</v>
      </c>
      <c r="P762" s="27" t="s">
        <v>7</v>
      </c>
      <c r="R762" s="27" t="s">
        <v>7</v>
      </c>
      <c r="S762" s="27" t="s">
        <v>8</v>
      </c>
      <c r="T762" s="27" t="s">
        <v>7</v>
      </c>
      <c r="U762" s="27" t="s">
        <v>8</v>
      </c>
      <c r="AI762" s="27" t="s">
        <v>8</v>
      </c>
      <c r="AJ762" s="27" t="s">
        <v>7</v>
      </c>
      <c r="BE762" s="27" t="s">
        <v>8</v>
      </c>
      <c r="BF762" s="27" t="s">
        <v>7</v>
      </c>
      <c r="BG762" s="27" t="s">
        <v>8</v>
      </c>
      <c r="BL762" s="27" t="s">
        <v>7</v>
      </c>
      <c r="BM762" s="27" t="s">
        <v>8</v>
      </c>
      <c r="BN762" s="27" t="s">
        <v>7</v>
      </c>
      <c r="BO762" s="27" t="s">
        <v>8</v>
      </c>
      <c r="BP762" s="27" t="s">
        <v>7</v>
      </c>
      <c r="BQ762" s="27" t="s">
        <v>8</v>
      </c>
      <c r="BR762" s="27" t="s">
        <v>7</v>
      </c>
      <c r="GU762" s="27" t="s">
        <v>8</v>
      </c>
      <c r="GV762" s="27" t="s">
        <v>7</v>
      </c>
      <c r="GY762" s="27" t="s">
        <v>8</v>
      </c>
      <c r="GZ762" s="27" t="s">
        <v>7</v>
      </c>
      <c r="HA762" s="27" t="s">
        <v>8</v>
      </c>
    </row>
    <row r="763" spans="1:209" x14ac:dyDescent="0.25">
      <c r="A763" s="7">
        <v>3.064571581172066E-2</v>
      </c>
      <c r="B763"/>
      <c r="C763"/>
      <c r="D763"/>
      <c r="E763"/>
      <c r="F763" s="27" t="s">
        <v>7</v>
      </c>
      <c r="G763" s="27" t="s">
        <v>8</v>
      </c>
      <c r="H763" s="27" t="s">
        <v>7</v>
      </c>
      <c r="I763" s="27" t="s">
        <v>8</v>
      </c>
      <c r="K763" s="27" t="s">
        <v>8</v>
      </c>
      <c r="L763" s="27" t="s">
        <v>7</v>
      </c>
      <c r="M763" s="27" t="s">
        <v>8</v>
      </c>
      <c r="R763" s="27" t="s">
        <v>7</v>
      </c>
      <c r="S763" s="27" t="s">
        <v>8</v>
      </c>
      <c r="T763" s="27" t="s">
        <v>7</v>
      </c>
      <c r="U763" s="27" t="s">
        <v>8</v>
      </c>
      <c r="V763" s="27" t="s">
        <v>7</v>
      </c>
      <c r="AI763" s="27" t="s">
        <v>8</v>
      </c>
      <c r="AJ763" s="27" t="s">
        <v>7</v>
      </c>
      <c r="BE763" s="27" t="s">
        <v>8</v>
      </c>
      <c r="BF763" s="27" t="s">
        <v>7</v>
      </c>
      <c r="BG763" s="27" t="s">
        <v>8</v>
      </c>
      <c r="BL763" s="27" t="s">
        <v>7</v>
      </c>
      <c r="BM763" s="27" t="s">
        <v>8</v>
      </c>
      <c r="BN763" s="27" t="s">
        <v>7</v>
      </c>
      <c r="BO763" s="27" t="s">
        <v>8</v>
      </c>
      <c r="BP763" s="27" t="s">
        <v>7</v>
      </c>
      <c r="BQ763" s="27" t="s">
        <v>8</v>
      </c>
      <c r="BR763" s="27" t="s">
        <v>7</v>
      </c>
      <c r="GU763" s="27" t="s">
        <v>8</v>
      </c>
      <c r="GV763" s="27" t="s">
        <v>7</v>
      </c>
      <c r="GY763" s="27" t="s">
        <v>8</v>
      </c>
      <c r="GZ763" s="27" t="s">
        <v>7</v>
      </c>
      <c r="HA763" s="27" t="s">
        <v>8</v>
      </c>
    </row>
    <row r="764" spans="1:209" x14ac:dyDescent="0.25">
      <c r="A764" s="7">
        <v>3.0044819423255549E-2</v>
      </c>
      <c r="B764"/>
      <c r="C764"/>
      <c r="D764"/>
      <c r="E764"/>
      <c r="F764" s="27" t="s">
        <v>7</v>
      </c>
      <c r="G764" s="27" t="s">
        <v>8</v>
      </c>
      <c r="H764" s="27" t="s">
        <v>7</v>
      </c>
      <c r="I764" s="27" t="s">
        <v>8</v>
      </c>
      <c r="J764" s="27" t="s">
        <v>7</v>
      </c>
      <c r="K764" s="27" t="s">
        <v>8</v>
      </c>
      <c r="L764" s="27" t="s">
        <v>7</v>
      </c>
      <c r="R764" s="27" t="s">
        <v>7</v>
      </c>
      <c r="S764" s="27" t="s">
        <v>8</v>
      </c>
      <c r="T764" s="27" t="s">
        <v>7</v>
      </c>
      <c r="U764" s="27" t="s">
        <v>8</v>
      </c>
      <c r="V764" s="27" t="s">
        <v>7</v>
      </c>
      <c r="W764" s="27" t="s">
        <v>8</v>
      </c>
      <c r="AI764" s="27" t="s">
        <v>8</v>
      </c>
      <c r="AJ764" s="27" t="s">
        <v>7</v>
      </c>
      <c r="BE764" s="27" t="s">
        <v>8</v>
      </c>
      <c r="BF764" s="27" t="s">
        <v>7</v>
      </c>
      <c r="BL764" s="27" t="s">
        <v>7</v>
      </c>
      <c r="BN764" s="27" t="s">
        <v>7</v>
      </c>
      <c r="BO764" s="27" t="s">
        <v>8</v>
      </c>
      <c r="BP764" s="27" t="s">
        <v>7</v>
      </c>
      <c r="BR764" s="27" t="s">
        <v>7</v>
      </c>
      <c r="GU764" s="27" t="s">
        <v>8</v>
      </c>
      <c r="GV764" s="27" t="s">
        <v>7</v>
      </c>
      <c r="GY764" s="27" t="s">
        <v>8</v>
      </c>
      <c r="GZ764" s="27" t="s">
        <v>7</v>
      </c>
      <c r="HA764" s="27" t="s">
        <v>8</v>
      </c>
    </row>
    <row r="765" spans="1:209" x14ac:dyDescent="0.25">
      <c r="A765" s="7">
        <v>2.9455705316917203E-2</v>
      </c>
      <c r="B765"/>
      <c r="C765"/>
      <c r="D765"/>
      <c r="E765"/>
      <c r="F765" s="27" t="s">
        <v>7</v>
      </c>
      <c r="G765" s="27" t="s">
        <v>8</v>
      </c>
      <c r="H765" s="27" t="s">
        <v>7</v>
      </c>
      <c r="I765" s="27" t="s">
        <v>8</v>
      </c>
      <c r="J765" s="27" t="s">
        <v>7</v>
      </c>
      <c r="K765" s="27" t="s">
        <v>8</v>
      </c>
      <c r="R765" s="27" t="s">
        <v>7</v>
      </c>
      <c r="S765" s="27" t="s">
        <v>8</v>
      </c>
      <c r="T765" s="27" t="s">
        <v>7</v>
      </c>
      <c r="U765" s="27" t="s">
        <v>8</v>
      </c>
      <c r="V765" s="27" t="s">
        <v>7</v>
      </c>
      <c r="W765" s="27" t="s">
        <v>8</v>
      </c>
      <c r="X765" s="27" t="s">
        <v>7</v>
      </c>
      <c r="Y765" s="27" t="s">
        <v>8</v>
      </c>
      <c r="AI765" s="27" t="s">
        <v>8</v>
      </c>
      <c r="AJ765" s="27" t="s">
        <v>7</v>
      </c>
      <c r="BE765" s="27" t="s">
        <v>8</v>
      </c>
      <c r="BN765" s="27" t="s">
        <v>7</v>
      </c>
      <c r="BR765" s="27" t="s">
        <v>7</v>
      </c>
      <c r="GU765" s="27" t="s">
        <v>8</v>
      </c>
      <c r="GV765" s="27" t="s">
        <v>7</v>
      </c>
      <c r="GY765" s="27" t="s">
        <v>8</v>
      </c>
      <c r="GZ765" s="27" t="s">
        <v>7</v>
      </c>
      <c r="HA765" s="27" t="s">
        <v>8</v>
      </c>
    </row>
    <row r="766" spans="1:209" x14ac:dyDescent="0.25">
      <c r="A766" s="7">
        <v>2.8878142467565884E-2</v>
      </c>
      <c r="B766"/>
      <c r="C766"/>
      <c r="D766"/>
      <c r="E766"/>
      <c r="F766" s="27" t="s">
        <v>7</v>
      </c>
      <c r="G766" s="27" t="s">
        <v>8</v>
      </c>
      <c r="H766" s="27" t="s">
        <v>7</v>
      </c>
      <c r="I766" s="27" t="s">
        <v>8</v>
      </c>
      <c r="J766" s="27" t="s">
        <v>7</v>
      </c>
      <c r="K766" s="27" t="s">
        <v>8</v>
      </c>
      <c r="R766" s="27" t="s">
        <v>7</v>
      </c>
      <c r="S766" s="27" t="s">
        <v>8</v>
      </c>
      <c r="T766" s="27" t="s">
        <v>7</v>
      </c>
      <c r="U766" s="27" t="s">
        <v>8</v>
      </c>
      <c r="V766" s="27" t="s">
        <v>7</v>
      </c>
      <c r="W766" s="27" t="s">
        <v>8</v>
      </c>
      <c r="X766" s="27" t="s">
        <v>7</v>
      </c>
      <c r="Y766" s="27" t="s">
        <v>8</v>
      </c>
      <c r="Z766" s="27" t="s">
        <v>7</v>
      </c>
      <c r="AI766" s="27" t="s">
        <v>8</v>
      </c>
      <c r="AJ766" s="27" t="s">
        <v>7</v>
      </c>
      <c r="BE766" s="27" t="s">
        <v>8</v>
      </c>
      <c r="BR766" s="27" t="s">
        <v>7</v>
      </c>
      <c r="BU766" s="27" t="s">
        <v>8</v>
      </c>
      <c r="GU766" s="27" t="s">
        <v>8</v>
      </c>
      <c r="GV766" s="27" t="s">
        <v>7</v>
      </c>
      <c r="GY766" s="27" t="s">
        <v>8</v>
      </c>
      <c r="GZ766" s="27" t="s">
        <v>7</v>
      </c>
      <c r="HA766" s="27" t="s">
        <v>8</v>
      </c>
    </row>
    <row r="767" spans="1:209" x14ac:dyDescent="0.25">
      <c r="A767" s="7">
        <v>2.8311904379966554E-2</v>
      </c>
      <c r="B767"/>
      <c r="C767"/>
      <c r="D767"/>
      <c r="E767"/>
      <c r="F767" s="27" t="s">
        <v>7</v>
      </c>
      <c r="G767" s="27" t="s">
        <v>8</v>
      </c>
      <c r="H767" s="27" t="s">
        <v>7</v>
      </c>
      <c r="I767" s="27" t="s">
        <v>8</v>
      </c>
      <c r="J767" s="27" t="s">
        <v>7</v>
      </c>
      <c r="R767" s="27" t="s">
        <v>7</v>
      </c>
      <c r="S767" s="27" t="s">
        <v>8</v>
      </c>
      <c r="T767" s="27" t="s">
        <v>7</v>
      </c>
      <c r="U767" s="27" t="s">
        <v>8</v>
      </c>
      <c r="V767" s="27" t="s">
        <v>7</v>
      </c>
      <c r="X767" s="27" t="s">
        <v>7</v>
      </c>
      <c r="Y767" s="27" t="s">
        <v>8</v>
      </c>
      <c r="Z767" s="27" t="s">
        <v>7</v>
      </c>
      <c r="AG767" s="27" t="s">
        <v>8</v>
      </c>
      <c r="AI767" s="27" t="s">
        <v>8</v>
      </c>
      <c r="AJ767" s="27" t="s">
        <v>7</v>
      </c>
      <c r="BA767" s="27" t="s">
        <v>8</v>
      </c>
      <c r="BE767" s="27" t="s">
        <v>8</v>
      </c>
      <c r="BR767" s="27" t="s">
        <v>7</v>
      </c>
      <c r="BU767" s="27" t="s">
        <v>8</v>
      </c>
      <c r="BV767" s="27" t="s">
        <v>7</v>
      </c>
      <c r="GU767" s="27" t="s">
        <v>8</v>
      </c>
      <c r="GV767" s="27" t="s">
        <v>7</v>
      </c>
      <c r="GY767" s="27" t="s">
        <v>8</v>
      </c>
      <c r="GZ767" s="27" t="s">
        <v>7</v>
      </c>
    </row>
    <row r="768" spans="1:209" x14ac:dyDescent="0.25">
      <c r="A768" s="7">
        <v>2.7756768999967207E-2</v>
      </c>
      <c r="B768"/>
      <c r="C768"/>
      <c r="D768"/>
      <c r="E768"/>
      <c r="F768" s="27" t="s">
        <v>7</v>
      </c>
      <c r="G768" s="27" t="s">
        <v>8</v>
      </c>
      <c r="H768" s="27" t="s">
        <v>7</v>
      </c>
      <c r="R768" s="27" t="s">
        <v>7</v>
      </c>
      <c r="S768" s="27" t="s">
        <v>8</v>
      </c>
      <c r="T768" s="27" t="s">
        <v>7</v>
      </c>
      <c r="X768" s="27" t="s">
        <v>7</v>
      </c>
      <c r="Z768" s="27" t="s">
        <v>7</v>
      </c>
      <c r="AG768" s="27" t="s">
        <v>8</v>
      </c>
      <c r="AH768" s="27" t="s">
        <v>7</v>
      </c>
      <c r="AI768" s="27" t="s">
        <v>8</v>
      </c>
      <c r="AJ768" s="27" t="s">
        <v>7</v>
      </c>
      <c r="BA768" s="27" t="s">
        <v>8</v>
      </c>
      <c r="BB768" s="27" t="s">
        <v>7</v>
      </c>
      <c r="BE768" s="27" t="s">
        <v>8</v>
      </c>
      <c r="BR768" s="27" t="s">
        <v>7</v>
      </c>
      <c r="BU768" s="27" t="s">
        <v>8</v>
      </c>
      <c r="BV768" s="27" t="s">
        <v>7</v>
      </c>
      <c r="GU768" s="27" t="s">
        <v>8</v>
      </c>
      <c r="GV768" s="27" t="s">
        <v>7</v>
      </c>
      <c r="GY768" s="27" t="s">
        <v>8</v>
      </c>
    </row>
    <row r="769" spans="1:207" x14ac:dyDescent="0.25">
      <c r="A769" s="7">
        <v>2.7212518627418834E-2</v>
      </c>
      <c r="B769"/>
      <c r="C769"/>
      <c r="D769"/>
      <c r="E769"/>
      <c r="F769" s="27" t="s">
        <v>7</v>
      </c>
      <c r="G769" s="27" t="s">
        <v>8</v>
      </c>
      <c r="R769" s="27" t="s">
        <v>7</v>
      </c>
      <c r="S769" s="27" t="s">
        <v>8</v>
      </c>
      <c r="Z769" s="27" t="s">
        <v>7</v>
      </c>
      <c r="AG769" s="27" t="s">
        <v>8</v>
      </c>
      <c r="AH769" s="27" t="s">
        <v>7</v>
      </c>
      <c r="AI769" s="27" t="s">
        <v>8</v>
      </c>
      <c r="AJ769" s="27" t="s">
        <v>7</v>
      </c>
      <c r="AY769" s="27" t="s">
        <v>8</v>
      </c>
      <c r="BA769" s="27" t="s">
        <v>8</v>
      </c>
      <c r="BB769" s="27" t="s">
        <v>7</v>
      </c>
      <c r="BE769" s="27" t="s">
        <v>8</v>
      </c>
      <c r="BR769" s="27" t="s">
        <v>7</v>
      </c>
      <c r="BS769" s="27" t="s">
        <v>8</v>
      </c>
      <c r="BU769" s="27" t="s">
        <v>8</v>
      </c>
      <c r="BV769" s="27" t="s">
        <v>7</v>
      </c>
      <c r="EK769" s="27" t="s">
        <v>8</v>
      </c>
      <c r="GU769" s="27" t="s">
        <v>8</v>
      </c>
      <c r="GV769" s="27" t="s">
        <v>7</v>
      </c>
      <c r="GY769" s="27" t="s">
        <v>8</v>
      </c>
    </row>
    <row r="770" spans="1:207" x14ac:dyDescent="0.25">
      <c r="A770" s="7">
        <v>2.6678939830802779E-2</v>
      </c>
      <c r="B770"/>
      <c r="C770"/>
      <c r="D770"/>
      <c r="E770"/>
      <c r="F770" s="27" t="s">
        <v>7</v>
      </c>
      <c r="G770" s="27" t="s">
        <v>8</v>
      </c>
      <c r="R770" s="27" t="s">
        <v>7</v>
      </c>
      <c r="Z770" s="27" t="s">
        <v>7</v>
      </c>
      <c r="AG770" s="27" t="s">
        <v>8</v>
      </c>
      <c r="AH770" s="27" t="s">
        <v>7</v>
      </c>
      <c r="AI770" s="27" t="s">
        <v>8</v>
      </c>
      <c r="AJ770" s="27" t="s">
        <v>7</v>
      </c>
      <c r="AK770" s="27" t="s">
        <v>8</v>
      </c>
      <c r="AY770" s="27" t="s">
        <v>8</v>
      </c>
      <c r="AZ770" s="27" t="s">
        <v>7</v>
      </c>
      <c r="BA770" s="27" t="s">
        <v>8</v>
      </c>
      <c r="BB770" s="27" t="s">
        <v>7</v>
      </c>
      <c r="BC770" s="27" t="s">
        <v>8</v>
      </c>
      <c r="BE770" s="27" t="s">
        <v>8</v>
      </c>
      <c r="BR770" s="27" t="s">
        <v>7</v>
      </c>
      <c r="BS770" s="27" t="s">
        <v>8</v>
      </c>
      <c r="BT770" s="27" t="s">
        <v>7</v>
      </c>
      <c r="BU770" s="27" t="s">
        <v>8</v>
      </c>
      <c r="BV770" s="27" t="s">
        <v>7</v>
      </c>
      <c r="EK770" s="27" t="s">
        <v>8</v>
      </c>
      <c r="EL770" s="27" t="s">
        <v>7</v>
      </c>
      <c r="EM770" s="27" t="s">
        <v>8</v>
      </c>
      <c r="GU770" s="27" t="s">
        <v>8</v>
      </c>
      <c r="GV770" s="27" t="s">
        <v>7</v>
      </c>
      <c r="GY770" s="27" t="s">
        <v>8</v>
      </c>
    </row>
    <row r="771" spans="1:207" x14ac:dyDescent="0.25">
      <c r="A771" s="7">
        <v>2.615582336353214E-2</v>
      </c>
      <c r="B771"/>
      <c r="C771"/>
      <c r="D771"/>
      <c r="E771"/>
      <c r="F771" s="27" t="s">
        <v>7</v>
      </c>
      <c r="G771" s="27" t="s">
        <v>8</v>
      </c>
      <c r="Z771" s="27" t="s">
        <v>7</v>
      </c>
      <c r="AG771" s="27" t="s">
        <v>8</v>
      </c>
      <c r="AH771" s="27" t="s">
        <v>7</v>
      </c>
      <c r="AI771" s="27" t="s">
        <v>8</v>
      </c>
      <c r="AJ771" s="27" t="s">
        <v>7</v>
      </c>
      <c r="AK771" s="27" t="s">
        <v>8</v>
      </c>
      <c r="AL771" s="27" t="s">
        <v>7</v>
      </c>
      <c r="AY771" s="27" t="s">
        <v>8</v>
      </c>
      <c r="AZ771" s="27" t="s">
        <v>7</v>
      </c>
      <c r="BA771" s="27" t="s">
        <v>8</v>
      </c>
      <c r="BB771" s="27" t="s">
        <v>7</v>
      </c>
      <c r="BC771" s="27" t="s">
        <v>8</v>
      </c>
      <c r="BD771" s="27" t="s">
        <v>7</v>
      </c>
      <c r="BE771" s="27" t="s">
        <v>8</v>
      </c>
      <c r="BR771" s="27" t="s">
        <v>7</v>
      </c>
      <c r="BS771" s="27" t="s">
        <v>8</v>
      </c>
      <c r="BT771" s="27" t="s">
        <v>7</v>
      </c>
      <c r="BU771" s="27" t="s">
        <v>8</v>
      </c>
      <c r="BV771" s="27" t="s">
        <v>7</v>
      </c>
      <c r="EK771" s="27" t="s">
        <v>8</v>
      </c>
      <c r="EL771" s="27" t="s">
        <v>7</v>
      </c>
      <c r="EM771" s="27" t="s">
        <v>8</v>
      </c>
      <c r="EN771" s="27" t="s">
        <v>7</v>
      </c>
      <c r="GU771" s="27" t="s">
        <v>8</v>
      </c>
      <c r="GV771" s="27" t="s">
        <v>7</v>
      </c>
      <c r="GW771" s="27" t="s">
        <v>8</v>
      </c>
      <c r="GY771" s="27" t="s">
        <v>8</v>
      </c>
    </row>
    <row r="772" spans="1:207" x14ac:dyDescent="0.25">
      <c r="A772" s="7">
        <v>2.5642964081894253E-2</v>
      </c>
      <c r="B772"/>
      <c r="C772"/>
      <c r="D772"/>
      <c r="E772"/>
      <c r="F772" s="27" t="s">
        <v>7</v>
      </c>
      <c r="G772" s="27" t="s">
        <v>8</v>
      </c>
      <c r="Z772" s="27" t="s">
        <v>7</v>
      </c>
      <c r="AG772" s="27" t="s">
        <v>8</v>
      </c>
      <c r="AH772" s="27" t="s">
        <v>7</v>
      </c>
      <c r="AI772" s="27" t="s">
        <v>8</v>
      </c>
      <c r="AJ772" s="27" t="s">
        <v>7</v>
      </c>
      <c r="AK772" s="27" t="s">
        <v>8</v>
      </c>
      <c r="AL772" s="27" t="s">
        <v>7</v>
      </c>
      <c r="AY772" s="27" t="s">
        <v>8</v>
      </c>
      <c r="AZ772" s="27" t="s">
        <v>7</v>
      </c>
      <c r="BA772" s="27" t="s">
        <v>8</v>
      </c>
      <c r="BB772" s="27" t="s">
        <v>7</v>
      </c>
      <c r="BC772" s="27" t="s">
        <v>8</v>
      </c>
      <c r="BD772" s="27" t="s">
        <v>7</v>
      </c>
      <c r="BE772" s="27" t="s">
        <v>8</v>
      </c>
      <c r="BR772" s="27" t="s">
        <v>7</v>
      </c>
      <c r="BS772" s="27" t="s">
        <v>8</v>
      </c>
      <c r="BT772" s="27" t="s">
        <v>7</v>
      </c>
      <c r="BU772" s="27" t="s">
        <v>8</v>
      </c>
      <c r="BV772" s="27" t="s">
        <v>7</v>
      </c>
      <c r="EK772" s="27" t="s">
        <v>8</v>
      </c>
      <c r="EL772" s="27" t="s">
        <v>7</v>
      </c>
      <c r="EM772" s="27" t="s">
        <v>8</v>
      </c>
      <c r="EN772" s="27" t="s">
        <v>7</v>
      </c>
      <c r="GU772" s="27" t="s">
        <v>8</v>
      </c>
      <c r="GV772" s="27" t="s">
        <v>7</v>
      </c>
      <c r="GW772" s="27" t="s">
        <v>8</v>
      </c>
      <c r="GX772" s="27" t="s">
        <v>7</v>
      </c>
      <c r="GY772" s="27" t="s">
        <v>8</v>
      </c>
    </row>
    <row r="773" spans="1:207" x14ac:dyDescent="0.25">
      <c r="A773" s="7">
        <v>2.5140160864602207E-2</v>
      </c>
      <c r="B773"/>
      <c r="C773"/>
      <c r="D773"/>
      <c r="E773"/>
      <c r="F773" s="27" t="s">
        <v>7</v>
      </c>
      <c r="Z773" s="27" t="s">
        <v>7</v>
      </c>
      <c r="AG773" s="27" t="s">
        <v>8</v>
      </c>
      <c r="AH773" s="27" t="s">
        <v>7</v>
      </c>
      <c r="AI773" s="27" t="s">
        <v>8</v>
      </c>
      <c r="AJ773" s="27" t="s">
        <v>7</v>
      </c>
      <c r="AK773" s="27" t="s">
        <v>8</v>
      </c>
      <c r="AL773" s="27" t="s">
        <v>7</v>
      </c>
      <c r="AY773" s="27" t="s">
        <v>8</v>
      </c>
      <c r="AZ773" s="27" t="s">
        <v>7</v>
      </c>
      <c r="BA773" s="27" t="s">
        <v>8</v>
      </c>
      <c r="BB773" s="27" t="s">
        <v>7</v>
      </c>
      <c r="BC773" s="27" t="s">
        <v>8</v>
      </c>
      <c r="BD773" s="27" t="s">
        <v>7</v>
      </c>
      <c r="BR773" s="27" t="s">
        <v>7</v>
      </c>
      <c r="BS773" s="27" t="s">
        <v>8</v>
      </c>
      <c r="BT773" s="27" t="s">
        <v>7</v>
      </c>
      <c r="BU773" s="27" t="s">
        <v>8</v>
      </c>
      <c r="BV773" s="27" t="s">
        <v>7</v>
      </c>
      <c r="EK773" s="27" t="s">
        <v>8</v>
      </c>
      <c r="EL773" s="27" t="s">
        <v>7</v>
      </c>
      <c r="EM773" s="27" t="s">
        <v>8</v>
      </c>
      <c r="EN773" s="27" t="s">
        <v>7</v>
      </c>
      <c r="EO773" s="27" t="s">
        <v>8</v>
      </c>
      <c r="GU773" s="27" t="s">
        <v>8</v>
      </c>
      <c r="GV773" s="27" t="s">
        <v>7</v>
      </c>
      <c r="GW773" s="27" t="s">
        <v>8</v>
      </c>
      <c r="GX773" s="27" t="s">
        <v>7</v>
      </c>
      <c r="GY773" s="27" t="s">
        <v>8</v>
      </c>
    </row>
    <row r="774" spans="1:207" x14ac:dyDescent="0.25">
      <c r="A774" s="7">
        <v>2.4647216533923735E-2</v>
      </c>
      <c r="B774"/>
      <c r="C774"/>
      <c r="D774"/>
      <c r="E774"/>
      <c r="Z774" s="27" t="s">
        <v>7</v>
      </c>
      <c r="AG774" s="27" t="s">
        <v>8</v>
      </c>
      <c r="AH774" s="27" t="s">
        <v>7</v>
      </c>
      <c r="AI774" s="27" t="s">
        <v>8</v>
      </c>
      <c r="AJ774" s="27" t="s">
        <v>7</v>
      </c>
      <c r="AK774" s="27" t="s">
        <v>8</v>
      </c>
      <c r="AL774" s="27" t="s">
        <v>7</v>
      </c>
      <c r="AM774" s="27" t="s">
        <v>8</v>
      </c>
      <c r="AW774" s="27" t="s">
        <v>8</v>
      </c>
      <c r="AY774" s="27" t="s">
        <v>8</v>
      </c>
      <c r="AZ774" s="27" t="s">
        <v>7</v>
      </c>
      <c r="BB774" s="27" t="s">
        <v>7</v>
      </c>
      <c r="BC774" s="27" t="s">
        <v>8</v>
      </c>
      <c r="BR774" s="27" t="s">
        <v>7</v>
      </c>
      <c r="BS774" s="27" t="s">
        <v>8</v>
      </c>
      <c r="BT774" s="27" t="s">
        <v>7</v>
      </c>
      <c r="BV774" s="27" t="s">
        <v>7</v>
      </c>
      <c r="EK774" s="27" t="s">
        <v>8</v>
      </c>
      <c r="EL774" s="27" t="s">
        <v>7</v>
      </c>
      <c r="EM774" s="27" t="s">
        <v>8</v>
      </c>
      <c r="EN774" s="27" t="s">
        <v>7</v>
      </c>
      <c r="EO774" s="27" t="s">
        <v>8</v>
      </c>
      <c r="EP774" s="27" t="s">
        <v>7</v>
      </c>
      <c r="GU774" s="27" t="s">
        <v>8</v>
      </c>
      <c r="GV774" s="27" t="s">
        <v>7</v>
      </c>
      <c r="GW774" s="27" t="s">
        <v>8</v>
      </c>
      <c r="GX774" s="27" t="s">
        <v>7</v>
      </c>
      <c r="GY774" s="27" t="s">
        <v>8</v>
      </c>
    </row>
    <row r="775" spans="1:207" x14ac:dyDescent="0.25">
      <c r="A775" s="7">
        <v>2.4163937778356601E-2</v>
      </c>
      <c r="B775"/>
      <c r="C775"/>
      <c r="D775"/>
      <c r="E775"/>
      <c r="Z775" s="27" t="s">
        <v>7</v>
      </c>
      <c r="AG775" s="27" t="s">
        <v>8</v>
      </c>
      <c r="AH775" s="27" t="s">
        <v>7</v>
      </c>
      <c r="AJ775" s="27" t="s">
        <v>7</v>
      </c>
      <c r="AK775" s="27" t="s">
        <v>8</v>
      </c>
      <c r="AL775" s="27" t="s">
        <v>7</v>
      </c>
      <c r="AM775" s="27" t="s">
        <v>8</v>
      </c>
      <c r="AN775" s="27" t="s">
        <v>7</v>
      </c>
      <c r="AO775" s="27" t="s">
        <v>8</v>
      </c>
      <c r="AQ775" s="27" t="s">
        <v>8</v>
      </c>
      <c r="AW775" s="27" t="s">
        <v>8</v>
      </c>
      <c r="AX775" s="27" t="s">
        <v>7</v>
      </c>
      <c r="AY775" s="27" t="s">
        <v>8</v>
      </c>
      <c r="BB775" s="27" t="s">
        <v>7</v>
      </c>
      <c r="BC775" s="27" t="s">
        <v>8</v>
      </c>
      <c r="BR775" s="27" t="s">
        <v>7</v>
      </c>
      <c r="BV775" s="27" t="s">
        <v>7</v>
      </c>
      <c r="BW775" s="27" t="s">
        <v>8</v>
      </c>
      <c r="DY775" s="27" t="s">
        <v>8</v>
      </c>
      <c r="EK775" s="27" t="s">
        <v>8</v>
      </c>
      <c r="EL775" s="27" t="s">
        <v>7</v>
      </c>
      <c r="EN775" s="27" t="s">
        <v>7</v>
      </c>
      <c r="EO775" s="27" t="s">
        <v>8</v>
      </c>
      <c r="EP775" s="27" t="s">
        <v>7</v>
      </c>
      <c r="EQ775" s="27" t="s">
        <v>8</v>
      </c>
      <c r="GU775" s="27" t="s">
        <v>8</v>
      </c>
      <c r="GV775" s="27" t="s">
        <v>7</v>
      </c>
      <c r="GW775" s="27" t="s">
        <v>8</v>
      </c>
      <c r="GX775" s="27" t="s">
        <v>7</v>
      </c>
      <c r="GY775" s="27" t="s">
        <v>8</v>
      </c>
    </row>
    <row r="776" spans="1:207" x14ac:dyDescent="0.25">
      <c r="A776" s="7">
        <v>2.3690135076820197E-2</v>
      </c>
      <c r="B776"/>
      <c r="C776"/>
      <c r="D776"/>
      <c r="E776"/>
      <c r="Z776" s="27" t="s">
        <v>7</v>
      </c>
      <c r="AG776" s="27" t="s">
        <v>8</v>
      </c>
      <c r="AJ776" s="27" t="s">
        <v>7</v>
      </c>
      <c r="AK776" s="27" t="s">
        <v>8</v>
      </c>
      <c r="AL776" s="27" t="s">
        <v>7</v>
      </c>
      <c r="AM776" s="27" t="s">
        <v>8</v>
      </c>
      <c r="AN776" s="27" t="s">
        <v>7</v>
      </c>
      <c r="AO776" s="27" t="s">
        <v>8</v>
      </c>
      <c r="AP776" s="27" t="s">
        <v>7</v>
      </c>
      <c r="AQ776" s="27" t="s">
        <v>8</v>
      </c>
      <c r="AR776" s="27" t="s">
        <v>7</v>
      </c>
      <c r="AS776" s="27" t="s">
        <v>8</v>
      </c>
      <c r="AW776" s="27" t="s">
        <v>8</v>
      </c>
      <c r="AX776" s="27" t="s">
        <v>7</v>
      </c>
      <c r="AY776" s="27" t="s">
        <v>8</v>
      </c>
      <c r="BB776" s="27" t="s">
        <v>7</v>
      </c>
      <c r="BC776" s="27" t="s">
        <v>8</v>
      </c>
      <c r="BV776" s="27" t="s">
        <v>7</v>
      </c>
      <c r="BW776" s="27" t="s">
        <v>8</v>
      </c>
      <c r="BX776" s="27" t="s">
        <v>7</v>
      </c>
      <c r="DY776" s="27" t="s">
        <v>8</v>
      </c>
      <c r="DZ776" s="27" t="s">
        <v>7</v>
      </c>
      <c r="EG776" s="27" t="s">
        <v>8</v>
      </c>
      <c r="EI776" s="27" t="s">
        <v>8</v>
      </c>
      <c r="EK776" s="27" t="s">
        <v>8</v>
      </c>
      <c r="EN776" s="27" t="s">
        <v>7</v>
      </c>
      <c r="EO776" s="27" t="s">
        <v>8</v>
      </c>
      <c r="EP776" s="27" t="s">
        <v>7</v>
      </c>
      <c r="EQ776" s="27" t="s">
        <v>8</v>
      </c>
      <c r="ER776" s="27" t="s">
        <v>7</v>
      </c>
      <c r="GU776" s="27" t="s">
        <v>8</v>
      </c>
      <c r="GV776" s="27" t="s">
        <v>7</v>
      </c>
      <c r="GW776" s="27" t="s">
        <v>8</v>
      </c>
      <c r="GX776" s="27" t="s">
        <v>7</v>
      </c>
    </row>
    <row r="777" spans="1:207" x14ac:dyDescent="0.25">
      <c r="A777" s="7">
        <v>2.3225622624333527E-2</v>
      </c>
      <c r="B777"/>
      <c r="C777"/>
      <c r="D777"/>
      <c r="E777"/>
      <c r="Z777" s="27" t="s">
        <v>7</v>
      </c>
      <c r="AA777" s="27" t="s">
        <v>8</v>
      </c>
      <c r="AE777" s="27" t="s">
        <v>8</v>
      </c>
      <c r="AG777" s="27" t="s">
        <v>8</v>
      </c>
      <c r="AJ777" s="27" t="s">
        <v>7</v>
      </c>
      <c r="AK777" s="27" t="s">
        <v>8</v>
      </c>
      <c r="AL777" s="27" t="s">
        <v>7</v>
      </c>
      <c r="AN777" s="27" t="s">
        <v>7</v>
      </c>
      <c r="AO777" s="27" t="s">
        <v>8</v>
      </c>
      <c r="AP777" s="27" t="s">
        <v>7</v>
      </c>
      <c r="AQ777" s="27" t="s">
        <v>8</v>
      </c>
      <c r="AR777" s="27" t="s">
        <v>7</v>
      </c>
      <c r="AS777" s="27" t="s">
        <v>8</v>
      </c>
      <c r="AT777" s="27" t="s">
        <v>7</v>
      </c>
      <c r="AU777" s="27" t="s">
        <v>8</v>
      </c>
      <c r="AW777" s="27" t="s">
        <v>8</v>
      </c>
      <c r="AX777" s="27" t="s">
        <v>7</v>
      </c>
      <c r="BB777" s="27" t="s">
        <v>7</v>
      </c>
      <c r="BC777" s="27" t="s">
        <v>8</v>
      </c>
      <c r="BV777" s="27" t="s">
        <v>7</v>
      </c>
      <c r="BW777" s="27" t="s">
        <v>8</v>
      </c>
      <c r="BX777" s="27" t="s">
        <v>7</v>
      </c>
      <c r="CY777" s="27" t="s">
        <v>8</v>
      </c>
      <c r="DQ777" s="27" t="s">
        <v>8</v>
      </c>
      <c r="DY777" s="27" t="s">
        <v>8</v>
      </c>
      <c r="DZ777" s="27" t="s">
        <v>7</v>
      </c>
      <c r="EG777" s="27" t="s">
        <v>8</v>
      </c>
      <c r="EH777" s="27" t="s">
        <v>7</v>
      </c>
      <c r="EI777" s="27" t="s">
        <v>8</v>
      </c>
      <c r="EJ777" s="27" t="s">
        <v>7</v>
      </c>
      <c r="EK777" s="27" t="s">
        <v>8</v>
      </c>
      <c r="EN777" s="27" t="s">
        <v>7</v>
      </c>
      <c r="EO777" s="27" t="s">
        <v>8</v>
      </c>
      <c r="EP777" s="27" t="s">
        <v>7</v>
      </c>
      <c r="EQ777" s="27" t="s">
        <v>8</v>
      </c>
      <c r="ER777" s="27" t="s">
        <v>7</v>
      </c>
      <c r="GU777" s="27" t="s">
        <v>8</v>
      </c>
      <c r="GV777" s="27" t="s">
        <v>7</v>
      </c>
      <c r="GW777" s="27" t="s">
        <v>8</v>
      </c>
    </row>
    <row r="778" spans="1:207" x14ac:dyDescent="0.25">
      <c r="A778" s="7">
        <v>2.2770218259150519E-2</v>
      </c>
      <c r="B778"/>
      <c r="C778"/>
      <c r="D778"/>
      <c r="E778"/>
      <c r="Z778" s="27" t="s">
        <v>7</v>
      </c>
      <c r="AA778" s="27" t="s">
        <v>8</v>
      </c>
      <c r="AB778" s="27" t="s">
        <v>7</v>
      </c>
      <c r="AC778" s="27" t="s">
        <v>8</v>
      </c>
      <c r="AE778" s="27" t="s">
        <v>8</v>
      </c>
      <c r="AF778" s="27" t="s">
        <v>7</v>
      </c>
      <c r="AG778" s="27" t="s">
        <v>8</v>
      </c>
      <c r="AJ778" s="27" t="s">
        <v>7</v>
      </c>
      <c r="AK778" s="27" t="s">
        <v>8</v>
      </c>
      <c r="AN778" s="27" t="s">
        <v>7</v>
      </c>
      <c r="AO778" s="27" t="s">
        <v>8</v>
      </c>
      <c r="AP778" s="27" t="s">
        <v>7</v>
      </c>
      <c r="AQ778" s="27" t="s">
        <v>8</v>
      </c>
      <c r="AR778" s="27" t="s">
        <v>7</v>
      </c>
      <c r="AS778" s="27" t="s">
        <v>8</v>
      </c>
      <c r="AT778" s="27" t="s">
        <v>7</v>
      </c>
      <c r="AU778" s="27" t="s">
        <v>8</v>
      </c>
      <c r="AV778" s="27" t="s">
        <v>7</v>
      </c>
      <c r="AW778" s="27" t="s">
        <v>8</v>
      </c>
      <c r="BB778" s="27" t="s">
        <v>7</v>
      </c>
      <c r="BC778" s="27" t="s">
        <v>8</v>
      </c>
      <c r="BV778" s="27" t="s">
        <v>7</v>
      </c>
      <c r="BW778" s="27" t="s">
        <v>8</v>
      </c>
      <c r="BX778" s="27" t="s">
        <v>7</v>
      </c>
      <c r="CY778" s="27" t="s">
        <v>8</v>
      </c>
      <c r="CZ778" s="27" t="s">
        <v>7</v>
      </c>
      <c r="DQ778" s="27" t="s">
        <v>8</v>
      </c>
      <c r="DR778" s="27" t="s">
        <v>7</v>
      </c>
      <c r="DY778" s="27" t="s">
        <v>8</v>
      </c>
      <c r="DZ778" s="27" t="s">
        <v>7</v>
      </c>
      <c r="EC778" s="27" t="s">
        <v>8</v>
      </c>
      <c r="EG778" s="27" t="s">
        <v>8</v>
      </c>
      <c r="EH778" s="27" t="s">
        <v>7</v>
      </c>
      <c r="EI778" s="27" t="s">
        <v>8</v>
      </c>
      <c r="EJ778" s="27" t="s">
        <v>7</v>
      </c>
      <c r="EK778" s="27" t="s">
        <v>8</v>
      </c>
      <c r="EN778" s="27" t="s">
        <v>7</v>
      </c>
      <c r="EO778" s="27" t="s">
        <v>8</v>
      </c>
      <c r="EP778" s="27" t="s">
        <v>7</v>
      </c>
      <c r="EQ778" s="27" t="s">
        <v>8</v>
      </c>
      <c r="ER778" s="27" t="s">
        <v>7</v>
      </c>
      <c r="ES778" s="27" t="s">
        <v>8</v>
      </c>
      <c r="GU778" s="27" t="s">
        <v>8</v>
      </c>
      <c r="GV778" s="27" t="s">
        <v>7</v>
      </c>
      <c r="GW778" s="27" t="s">
        <v>8</v>
      </c>
    </row>
    <row r="779" spans="1:207" x14ac:dyDescent="0.25">
      <c r="A779" s="7">
        <v>2.2323743391324039E-2</v>
      </c>
      <c r="B779"/>
      <c r="C779"/>
      <c r="D779"/>
      <c r="E779"/>
      <c r="Z779" s="27" t="s">
        <v>7</v>
      </c>
      <c r="AA779" s="27" t="s">
        <v>8</v>
      </c>
      <c r="AB779" s="27" t="s">
        <v>7</v>
      </c>
      <c r="AC779" s="27" t="s">
        <v>8</v>
      </c>
      <c r="AD779" s="27" t="s">
        <v>7</v>
      </c>
      <c r="AE779" s="27" t="s">
        <v>8</v>
      </c>
      <c r="AF779" s="27" t="s">
        <v>7</v>
      </c>
      <c r="AG779" s="27" t="s">
        <v>8</v>
      </c>
      <c r="AJ779" s="27" t="s">
        <v>7</v>
      </c>
      <c r="AK779" s="27" t="s">
        <v>8</v>
      </c>
      <c r="AN779" s="27" t="s">
        <v>7</v>
      </c>
      <c r="AO779" s="27" t="s">
        <v>8</v>
      </c>
      <c r="AP779" s="27" t="s">
        <v>7</v>
      </c>
      <c r="AQ779" s="27" t="s">
        <v>8</v>
      </c>
      <c r="AR779" s="27" t="s">
        <v>7</v>
      </c>
      <c r="AT779" s="27" t="s">
        <v>7</v>
      </c>
      <c r="AU779" s="27" t="s">
        <v>8</v>
      </c>
      <c r="AV779" s="27" t="s">
        <v>7</v>
      </c>
      <c r="AW779" s="27" t="s">
        <v>8</v>
      </c>
      <c r="BB779" s="27" t="s">
        <v>7</v>
      </c>
      <c r="BC779" s="27" t="s">
        <v>8</v>
      </c>
      <c r="BV779" s="27" t="s">
        <v>7</v>
      </c>
      <c r="BW779" s="27" t="s">
        <v>8</v>
      </c>
      <c r="BX779" s="27" t="s">
        <v>7</v>
      </c>
      <c r="CY779" s="27" t="s">
        <v>8</v>
      </c>
      <c r="CZ779" s="27" t="s">
        <v>7</v>
      </c>
      <c r="DA779" s="27" t="s">
        <v>8</v>
      </c>
      <c r="DQ779" s="27" t="s">
        <v>8</v>
      </c>
      <c r="DR779" s="27" t="s">
        <v>7</v>
      </c>
      <c r="DY779" s="27" t="s">
        <v>8</v>
      </c>
      <c r="DZ779" s="27" t="s">
        <v>7</v>
      </c>
      <c r="EC779" s="27" t="s">
        <v>8</v>
      </c>
      <c r="ED779" s="27" t="s">
        <v>7</v>
      </c>
      <c r="EG779" s="27" t="s">
        <v>8</v>
      </c>
      <c r="EH779" s="27" t="s">
        <v>7</v>
      </c>
      <c r="EI779" s="27" t="s">
        <v>8</v>
      </c>
      <c r="EJ779" s="27" t="s">
        <v>7</v>
      </c>
      <c r="EK779" s="27" t="s">
        <v>8</v>
      </c>
      <c r="EN779" s="27" t="s">
        <v>7</v>
      </c>
      <c r="EP779" s="27" t="s">
        <v>7</v>
      </c>
      <c r="ER779" s="27" t="s">
        <v>7</v>
      </c>
      <c r="ES779" s="27" t="s">
        <v>8</v>
      </c>
      <c r="ET779" s="27" t="s">
        <v>7</v>
      </c>
      <c r="GU779" s="27" t="s">
        <v>8</v>
      </c>
      <c r="GV779" s="27" t="s">
        <v>7</v>
      </c>
    </row>
    <row r="780" spans="1:207" x14ac:dyDescent="0.25">
      <c r="A780" s="7">
        <v>2.188602293267063E-2</v>
      </c>
      <c r="B780"/>
      <c r="C780"/>
      <c r="D780"/>
      <c r="E780"/>
      <c r="Z780" s="27" t="s">
        <v>7</v>
      </c>
      <c r="AA780" s="27" t="s">
        <v>8</v>
      </c>
      <c r="AB780" s="27" t="s">
        <v>7</v>
      </c>
      <c r="AC780" s="27" t="s">
        <v>8</v>
      </c>
      <c r="AD780" s="27" t="s">
        <v>7</v>
      </c>
      <c r="AE780" s="27" t="s">
        <v>8</v>
      </c>
      <c r="AF780" s="27" t="s">
        <v>7</v>
      </c>
      <c r="AJ780" s="27" t="s">
        <v>7</v>
      </c>
      <c r="AN780" s="27" t="s">
        <v>7</v>
      </c>
      <c r="AP780" s="27" t="s">
        <v>7</v>
      </c>
      <c r="AQ780" s="27" t="s">
        <v>8</v>
      </c>
      <c r="AT780" s="27" t="s">
        <v>7</v>
      </c>
      <c r="AV780" s="27" t="s">
        <v>7</v>
      </c>
      <c r="BB780" s="27" t="s">
        <v>7</v>
      </c>
      <c r="BC780" s="27" t="s">
        <v>8</v>
      </c>
      <c r="BV780" s="27" t="s">
        <v>7</v>
      </c>
      <c r="BX780" s="27" t="s">
        <v>7</v>
      </c>
      <c r="CW780" s="27" t="s">
        <v>8</v>
      </c>
      <c r="CY780" s="27" t="s">
        <v>8</v>
      </c>
      <c r="CZ780" s="27" t="s">
        <v>7</v>
      </c>
      <c r="DA780" s="27" t="s">
        <v>8</v>
      </c>
      <c r="DB780" s="27" t="s">
        <v>7</v>
      </c>
      <c r="DM780" s="27" t="s">
        <v>8</v>
      </c>
      <c r="DQ780" s="27" t="s">
        <v>8</v>
      </c>
      <c r="DR780" s="27" t="s">
        <v>7</v>
      </c>
      <c r="DY780" s="27" t="s">
        <v>8</v>
      </c>
      <c r="DZ780" s="27" t="s">
        <v>7</v>
      </c>
      <c r="EC780" s="27" t="s">
        <v>8</v>
      </c>
      <c r="ED780" s="27" t="s">
        <v>7</v>
      </c>
      <c r="EG780" s="27" t="s">
        <v>8</v>
      </c>
      <c r="EH780" s="27" t="s">
        <v>7</v>
      </c>
      <c r="EI780" s="27" t="s">
        <v>8</v>
      </c>
      <c r="EJ780" s="27" t="s">
        <v>7</v>
      </c>
      <c r="EK780" s="27" t="s">
        <v>8</v>
      </c>
      <c r="ER780" s="27" t="s">
        <v>7</v>
      </c>
      <c r="ES780" s="27" t="s">
        <v>8</v>
      </c>
      <c r="ET780" s="27" t="s">
        <v>7</v>
      </c>
      <c r="GU780" s="27" t="s">
        <v>8</v>
      </c>
    </row>
    <row r="781" spans="1:207" x14ac:dyDescent="0.25">
      <c r="A781" s="7">
        <v>2.1456885228108461E-2</v>
      </c>
      <c r="B781"/>
      <c r="C781"/>
      <c r="D781"/>
      <c r="E781"/>
      <c r="Z781" s="27" t="s">
        <v>7</v>
      </c>
      <c r="AA781" s="27" t="s">
        <v>8</v>
      </c>
      <c r="AB781" s="27" t="s">
        <v>7</v>
      </c>
      <c r="AC781" s="27" t="s">
        <v>8</v>
      </c>
      <c r="AD781" s="27" t="s">
        <v>7</v>
      </c>
      <c r="AE781" s="27" t="s">
        <v>8</v>
      </c>
      <c r="AP781" s="27" t="s">
        <v>7</v>
      </c>
      <c r="AQ781" s="27" t="s">
        <v>8</v>
      </c>
      <c r="BB781" s="27" t="s">
        <v>7</v>
      </c>
      <c r="BX781" s="27" t="s">
        <v>7</v>
      </c>
      <c r="CW781" s="27" t="s">
        <v>8</v>
      </c>
      <c r="CX781" s="27" t="s">
        <v>7</v>
      </c>
      <c r="CY781" s="27" t="s">
        <v>8</v>
      </c>
      <c r="CZ781" s="27" t="s">
        <v>7</v>
      </c>
      <c r="DA781" s="27" t="s">
        <v>8</v>
      </c>
      <c r="DB781" s="27" t="s">
        <v>7</v>
      </c>
      <c r="DI781" s="27" t="s">
        <v>8</v>
      </c>
      <c r="DM781" s="27" t="s">
        <v>8</v>
      </c>
      <c r="DN781" s="27" t="s">
        <v>7</v>
      </c>
      <c r="DQ781" s="27" t="s">
        <v>8</v>
      </c>
      <c r="DR781" s="27" t="s">
        <v>7</v>
      </c>
      <c r="DS781" s="27" t="s">
        <v>8</v>
      </c>
      <c r="DY781" s="27" t="s">
        <v>8</v>
      </c>
      <c r="DZ781" s="27" t="s">
        <v>7</v>
      </c>
      <c r="EC781" s="27" t="s">
        <v>8</v>
      </c>
      <c r="ED781" s="27" t="s">
        <v>7</v>
      </c>
      <c r="EE781" s="27" t="s">
        <v>8</v>
      </c>
      <c r="EG781" s="27" t="s">
        <v>8</v>
      </c>
      <c r="EH781" s="27" t="s">
        <v>7</v>
      </c>
      <c r="EJ781" s="27" t="s">
        <v>7</v>
      </c>
      <c r="ER781" s="27" t="s">
        <v>7</v>
      </c>
      <c r="ES781" s="27" t="s">
        <v>8</v>
      </c>
      <c r="ET781" s="27" t="s">
        <v>7</v>
      </c>
      <c r="GU781" s="27" t="s">
        <v>8</v>
      </c>
    </row>
    <row r="782" spans="1:207" x14ac:dyDescent="0.25">
      <c r="A782" s="7">
        <v>2.1036161988341632E-2</v>
      </c>
      <c r="B782"/>
      <c r="C782"/>
      <c r="D782"/>
      <c r="E782"/>
      <c r="Z782" s="27" t="s">
        <v>7</v>
      </c>
      <c r="AA782" s="27" t="s">
        <v>8</v>
      </c>
      <c r="AB782" s="27" t="s">
        <v>7</v>
      </c>
      <c r="AC782" s="27" t="s">
        <v>8</v>
      </c>
      <c r="AD782" s="27" t="s">
        <v>7</v>
      </c>
      <c r="AE782" s="27" t="s">
        <v>8</v>
      </c>
      <c r="AP782" s="27" t="s">
        <v>7</v>
      </c>
      <c r="AQ782" s="27" t="s">
        <v>8</v>
      </c>
      <c r="BX782" s="27" t="s">
        <v>7</v>
      </c>
      <c r="CW782" s="27" t="s">
        <v>8</v>
      </c>
      <c r="CX782" s="27" t="s">
        <v>7</v>
      </c>
      <c r="CY782" s="27" t="s">
        <v>8</v>
      </c>
      <c r="CZ782" s="27" t="s">
        <v>7</v>
      </c>
      <c r="DB782" s="27" t="s">
        <v>7</v>
      </c>
      <c r="DI782" s="27" t="s">
        <v>8</v>
      </c>
      <c r="DJ782" s="27" t="s">
        <v>7</v>
      </c>
      <c r="DM782" s="27" t="s">
        <v>8</v>
      </c>
      <c r="DN782" s="27" t="s">
        <v>7</v>
      </c>
      <c r="DQ782" s="27" t="s">
        <v>8</v>
      </c>
      <c r="DR782" s="27" t="s">
        <v>7</v>
      </c>
      <c r="DS782" s="27" t="s">
        <v>8</v>
      </c>
      <c r="DT782" s="27" t="s">
        <v>7</v>
      </c>
      <c r="DY782" s="27" t="s">
        <v>8</v>
      </c>
      <c r="DZ782" s="27" t="s">
        <v>7</v>
      </c>
      <c r="EA782" s="27" t="s">
        <v>8</v>
      </c>
      <c r="EC782" s="27" t="s">
        <v>8</v>
      </c>
      <c r="ED782" s="27" t="s">
        <v>7</v>
      </c>
      <c r="EE782" s="27" t="s">
        <v>8</v>
      </c>
      <c r="EF782" s="27" t="s">
        <v>7</v>
      </c>
      <c r="EG782" s="27" t="s">
        <v>8</v>
      </c>
      <c r="ER782" s="27" t="s">
        <v>7</v>
      </c>
      <c r="ET782" s="27" t="s">
        <v>7</v>
      </c>
      <c r="GU782" s="27" t="s">
        <v>8</v>
      </c>
    </row>
    <row r="783" spans="1:207" x14ac:dyDescent="0.25">
      <c r="A783" s="7">
        <v>2.0623688223864345E-2</v>
      </c>
      <c r="B783"/>
      <c r="C783"/>
      <c r="D783"/>
      <c r="E783"/>
      <c r="Z783" s="27" t="s">
        <v>7</v>
      </c>
      <c r="AA783" s="27" t="s">
        <v>8</v>
      </c>
      <c r="AB783" s="27" t="s">
        <v>7</v>
      </c>
      <c r="AC783" s="27" t="s">
        <v>8</v>
      </c>
      <c r="AD783" s="27" t="s">
        <v>7</v>
      </c>
      <c r="AP783" s="27" t="s">
        <v>7</v>
      </c>
      <c r="AQ783" s="27" t="s">
        <v>8</v>
      </c>
      <c r="BX783" s="27" t="s">
        <v>7</v>
      </c>
      <c r="CS783" s="27" t="s">
        <v>8</v>
      </c>
      <c r="CU783" s="27" t="s">
        <v>8</v>
      </c>
      <c r="CW783" s="27" t="s">
        <v>8</v>
      </c>
      <c r="CX783" s="27" t="s">
        <v>7</v>
      </c>
      <c r="CY783" s="27" t="s">
        <v>8</v>
      </c>
      <c r="DB783" s="27" t="s">
        <v>7</v>
      </c>
      <c r="DG783" s="27" t="s">
        <v>8</v>
      </c>
      <c r="DI783" s="27" t="s">
        <v>8</v>
      </c>
      <c r="DJ783" s="27" t="s">
        <v>7</v>
      </c>
      <c r="DK783" s="27" t="s">
        <v>8</v>
      </c>
      <c r="DM783" s="27" t="s">
        <v>8</v>
      </c>
      <c r="DN783" s="27" t="s">
        <v>7</v>
      </c>
      <c r="DO783" s="27" t="s">
        <v>8</v>
      </c>
      <c r="DQ783" s="27" t="s">
        <v>8</v>
      </c>
      <c r="DR783" s="27" t="s">
        <v>7</v>
      </c>
      <c r="DS783" s="27" t="s">
        <v>8</v>
      </c>
      <c r="DT783" s="27" t="s">
        <v>7</v>
      </c>
      <c r="DW783" s="27" t="s">
        <v>8</v>
      </c>
      <c r="DY783" s="27" t="s">
        <v>8</v>
      </c>
      <c r="DZ783" s="27" t="s">
        <v>7</v>
      </c>
      <c r="EA783" s="27" t="s">
        <v>8</v>
      </c>
      <c r="EB783" s="27" t="s">
        <v>7</v>
      </c>
      <c r="EC783" s="27" t="s">
        <v>8</v>
      </c>
      <c r="ED783" s="27" t="s">
        <v>7</v>
      </c>
      <c r="EE783" s="27" t="s">
        <v>8</v>
      </c>
      <c r="EF783" s="27" t="s">
        <v>7</v>
      </c>
      <c r="EG783" s="27" t="s">
        <v>8</v>
      </c>
      <c r="ET783" s="27" t="s">
        <v>7</v>
      </c>
      <c r="GU783" s="27" t="s">
        <v>8</v>
      </c>
    </row>
    <row r="784" spans="1:207" x14ac:dyDescent="0.25">
      <c r="A784" s="7">
        <v>2.021930218025916E-2</v>
      </c>
      <c r="B784"/>
      <c r="C784"/>
      <c r="D784"/>
      <c r="E784"/>
      <c r="Z784" s="27" t="s">
        <v>7</v>
      </c>
      <c r="AB784" s="27" t="s">
        <v>7</v>
      </c>
      <c r="AC784" s="27" t="s">
        <v>8</v>
      </c>
      <c r="AP784" s="27" t="s">
        <v>7</v>
      </c>
      <c r="AQ784" s="27" t="s">
        <v>8</v>
      </c>
      <c r="BX784" s="27" t="s">
        <v>7</v>
      </c>
      <c r="CS784" s="27" t="s">
        <v>8</v>
      </c>
      <c r="CT784" s="27" t="s">
        <v>7</v>
      </c>
      <c r="CU784" s="27" t="s">
        <v>8</v>
      </c>
      <c r="CV784" s="27" t="s">
        <v>7</v>
      </c>
      <c r="CW784" s="27" t="s">
        <v>8</v>
      </c>
      <c r="CX784" s="27" t="s">
        <v>7</v>
      </c>
      <c r="CY784" s="27" t="s">
        <v>8</v>
      </c>
      <c r="DB784" s="27" t="s">
        <v>7</v>
      </c>
      <c r="DG784" s="27" t="s">
        <v>8</v>
      </c>
      <c r="DH784" s="27" t="s">
        <v>7</v>
      </c>
      <c r="DI784" s="27" t="s">
        <v>8</v>
      </c>
      <c r="DJ784" s="27" t="s">
        <v>7</v>
      </c>
      <c r="DK784" s="27" t="s">
        <v>8</v>
      </c>
      <c r="DL784" s="27" t="s">
        <v>7</v>
      </c>
      <c r="DM784" s="27" t="s">
        <v>8</v>
      </c>
      <c r="DN784" s="27" t="s">
        <v>7</v>
      </c>
      <c r="DO784" s="27" t="s">
        <v>8</v>
      </c>
      <c r="DP784" s="27" t="s">
        <v>7</v>
      </c>
      <c r="DQ784" s="27" t="s">
        <v>8</v>
      </c>
      <c r="DR784" s="27" t="s">
        <v>7</v>
      </c>
      <c r="DT784" s="27" t="s">
        <v>7</v>
      </c>
      <c r="DW784" s="27" t="s">
        <v>8</v>
      </c>
      <c r="DX784" s="27" t="s">
        <v>7</v>
      </c>
      <c r="DY784" s="27" t="s">
        <v>8</v>
      </c>
      <c r="DZ784" s="27" t="s">
        <v>7</v>
      </c>
      <c r="EA784" s="27" t="s">
        <v>8</v>
      </c>
      <c r="EB784" s="27" t="s">
        <v>7</v>
      </c>
      <c r="EC784" s="27" t="s">
        <v>8</v>
      </c>
      <c r="ED784" s="27" t="s">
        <v>7</v>
      </c>
      <c r="EE784" s="27" t="s">
        <v>8</v>
      </c>
      <c r="EF784" s="27" t="s">
        <v>7</v>
      </c>
      <c r="ET784" s="27" t="s">
        <v>7</v>
      </c>
      <c r="GU784" s="27" t="s">
        <v>8</v>
      </c>
    </row>
    <row r="785" spans="1:203" x14ac:dyDescent="0.25">
      <c r="A785" s="7">
        <v>1.9822845274763884E-2</v>
      </c>
      <c r="B785"/>
      <c r="C785"/>
      <c r="D785"/>
      <c r="E785"/>
      <c r="AB785" s="27" t="s">
        <v>7</v>
      </c>
      <c r="AC785" s="27" t="s">
        <v>8</v>
      </c>
      <c r="AP785" s="27" t="s">
        <v>7</v>
      </c>
      <c r="BX785" s="27" t="s">
        <v>7</v>
      </c>
      <c r="CS785" s="27" t="s">
        <v>8</v>
      </c>
      <c r="CT785" s="27" t="s">
        <v>7</v>
      </c>
      <c r="CU785" s="27" t="s">
        <v>8</v>
      </c>
      <c r="CV785" s="27" t="s">
        <v>7</v>
      </c>
      <c r="CW785" s="27" t="s">
        <v>8</v>
      </c>
      <c r="CX785" s="27" t="s">
        <v>7</v>
      </c>
      <c r="CY785" s="27" t="s">
        <v>8</v>
      </c>
      <c r="DB785" s="27" t="s">
        <v>7</v>
      </c>
      <c r="DC785" s="27" t="s">
        <v>8</v>
      </c>
      <c r="DE785" s="27" t="s">
        <v>8</v>
      </c>
      <c r="DG785" s="27" t="s">
        <v>8</v>
      </c>
      <c r="DH785" s="27" t="s">
        <v>7</v>
      </c>
      <c r="DI785" s="27" t="s">
        <v>8</v>
      </c>
      <c r="DJ785" s="27" t="s">
        <v>7</v>
      </c>
      <c r="DK785" s="27" t="s">
        <v>8</v>
      </c>
      <c r="DL785" s="27" t="s">
        <v>7</v>
      </c>
      <c r="DM785" s="27" t="s">
        <v>8</v>
      </c>
      <c r="DN785" s="27" t="s">
        <v>7</v>
      </c>
      <c r="DO785" s="27" t="s">
        <v>8</v>
      </c>
      <c r="DP785" s="27" t="s">
        <v>7</v>
      </c>
      <c r="DQ785" s="27" t="s">
        <v>8</v>
      </c>
      <c r="DT785" s="27" t="s">
        <v>7</v>
      </c>
      <c r="DW785" s="27" t="s">
        <v>8</v>
      </c>
      <c r="DX785" s="27" t="s">
        <v>7</v>
      </c>
      <c r="DY785" s="27" t="s">
        <v>8</v>
      </c>
      <c r="DZ785" s="27" t="s">
        <v>7</v>
      </c>
      <c r="EA785" s="27" t="s">
        <v>8</v>
      </c>
      <c r="EB785" s="27" t="s">
        <v>7</v>
      </c>
      <c r="EC785" s="27" t="s">
        <v>8</v>
      </c>
      <c r="ED785" s="27" t="s">
        <v>7</v>
      </c>
      <c r="EE785" s="27" t="s">
        <v>8</v>
      </c>
      <c r="ET785" s="27" t="s">
        <v>7</v>
      </c>
      <c r="GU785" s="27" t="s">
        <v>8</v>
      </c>
    </row>
    <row r="786" spans="1:203" x14ac:dyDescent="0.25">
      <c r="A786" s="7">
        <v>1.9434162034082238E-2</v>
      </c>
      <c r="B786"/>
      <c r="C786"/>
      <c r="D786"/>
      <c r="E786"/>
      <c r="AB786" s="27" t="s">
        <v>7</v>
      </c>
      <c r="BX786" s="27" t="s">
        <v>7</v>
      </c>
      <c r="CS786" s="27" t="s">
        <v>8</v>
      </c>
      <c r="CT786" s="27" t="s">
        <v>7</v>
      </c>
      <c r="CU786" s="27" t="s">
        <v>8</v>
      </c>
      <c r="CV786" s="27" t="s">
        <v>7</v>
      </c>
      <c r="CW786" s="27" t="s">
        <v>8</v>
      </c>
      <c r="CX786" s="27" t="s">
        <v>7</v>
      </c>
      <c r="DB786" s="27" t="s">
        <v>7</v>
      </c>
      <c r="DC786" s="27" t="s">
        <v>8</v>
      </c>
      <c r="DD786" s="27" t="s">
        <v>7</v>
      </c>
      <c r="DE786" s="27" t="s">
        <v>8</v>
      </c>
      <c r="DF786" s="27" t="s">
        <v>7</v>
      </c>
      <c r="DG786" s="27" t="s">
        <v>8</v>
      </c>
      <c r="DH786" s="27" t="s">
        <v>7</v>
      </c>
      <c r="DI786" s="27" t="s">
        <v>8</v>
      </c>
      <c r="DJ786" s="27" t="s">
        <v>7</v>
      </c>
      <c r="DK786" s="27" t="s">
        <v>8</v>
      </c>
      <c r="DL786" s="27" t="s">
        <v>7</v>
      </c>
      <c r="DM786" s="27" t="s">
        <v>8</v>
      </c>
      <c r="DN786" s="27" t="s">
        <v>7</v>
      </c>
      <c r="DP786" s="27" t="s">
        <v>7</v>
      </c>
      <c r="DQ786" s="27" t="s">
        <v>8</v>
      </c>
      <c r="DT786" s="27" t="s">
        <v>7</v>
      </c>
      <c r="DW786" s="27" t="s">
        <v>8</v>
      </c>
      <c r="DX786" s="27" t="s">
        <v>7</v>
      </c>
      <c r="DZ786" s="27" t="s">
        <v>7</v>
      </c>
      <c r="EA786" s="27" t="s">
        <v>8</v>
      </c>
      <c r="EB786" s="27" t="s">
        <v>7</v>
      </c>
      <c r="EC786" s="27" t="s">
        <v>8</v>
      </c>
      <c r="ED786" s="27" t="s">
        <v>7</v>
      </c>
      <c r="ET786" s="27" t="s">
        <v>7</v>
      </c>
      <c r="GQ786" s="27" t="s">
        <v>8</v>
      </c>
      <c r="GU786" s="27" t="s">
        <v>8</v>
      </c>
    </row>
    <row r="787" spans="1:203" x14ac:dyDescent="0.25">
      <c r="A787" s="7">
        <v>1.9053100033413959E-2</v>
      </c>
      <c r="B787"/>
      <c r="C787"/>
      <c r="D787"/>
      <c r="E787"/>
      <c r="BX787" s="27" t="s">
        <v>7</v>
      </c>
      <c r="CK787" s="27" t="s">
        <v>8</v>
      </c>
      <c r="CS787" s="27" t="s">
        <v>8</v>
      </c>
      <c r="CT787" s="27" t="s">
        <v>7</v>
      </c>
      <c r="CU787" s="27" t="s">
        <v>8</v>
      </c>
      <c r="CV787" s="27" t="s">
        <v>7</v>
      </c>
      <c r="DB787" s="27" t="s">
        <v>7</v>
      </c>
      <c r="DC787" s="27" t="s">
        <v>8</v>
      </c>
      <c r="DD787" s="27" t="s">
        <v>7</v>
      </c>
      <c r="DE787" s="27" t="s">
        <v>8</v>
      </c>
      <c r="DF787" s="27" t="s">
        <v>7</v>
      </c>
      <c r="DG787" s="27" t="s">
        <v>8</v>
      </c>
      <c r="DH787" s="27" t="s">
        <v>7</v>
      </c>
      <c r="DI787" s="27" t="s">
        <v>8</v>
      </c>
      <c r="DJ787" s="27" t="s">
        <v>7</v>
      </c>
      <c r="DK787" s="27" t="s">
        <v>8</v>
      </c>
      <c r="DL787" s="27" t="s">
        <v>7</v>
      </c>
      <c r="DP787" s="27" t="s">
        <v>7</v>
      </c>
      <c r="DT787" s="27" t="s">
        <v>7</v>
      </c>
      <c r="DU787" s="27" t="s">
        <v>8</v>
      </c>
      <c r="DW787" s="27" t="s">
        <v>8</v>
      </c>
      <c r="DZ787" s="27" t="s">
        <v>7</v>
      </c>
      <c r="EB787" s="27" t="s">
        <v>7</v>
      </c>
      <c r="EC787" s="27" t="s">
        <v>8</v>
      </c>
      <c r="ET787" s="27" t="s">
        <v>7</v>
      </c>
      <c r="GQ787" s="27" t="s">
        <v>8</v>
      </c>
      <c r="GR787" s="27" t="s">
        <v>7</v>
      </c>
      <c r="GU787" s="27" t="s">
        <v>8</v>
      </c>
    </row>
    <row r="788" spans="1:203" x14ac:dyDescent="0.25">
      <c r="A788" s="7">
        <v>1.867950983668035E-2</v>
      </c>
      <c r="B788"/>
      <c r="C788"/>
      <c r="D788"/>
      <c r="E788"/>
      <c r="BX788" s="27" t="s">
        <v>7</v>
      </c>
      <c r="CK788" s="27" t="s">
        <v>8</v>
      </c>
      <c r="CL788" s="27" t="s">
        <v>7</v>
      </c>
      <c r="CS788" s="27" t="s">
        <v>8</v>
      </c>
      <c r="CT788" s="27" t="s">
        <v>7</v>
      </c>
      <c r="DB788" s="27" t="s">
        <v>7</v>
      </c>
      <c r="DC788" s="27" t="s">
        <v>8</v>
      </c>
      <c r="DD788" s="27" t="s">
        <v>7</v>
      </c>
      <c r="DE788" s="27" t="s">
        <v>8</v>
      </c>
      <c r="DF788" s="27" t="s">
        <v>7</v>
      </c>
      <c r="DG788" s="27" t="s">
        <v>8</v>
      </c>
      <c r="DH788" s="27" t="s">
        <v>7</v>
      </c>
      <c r="DJ788" s="27" t="s">
        <v>7</v>
      </c>
      <c r="DT788" s="27" t="s">
        <v>7</v>
      </c>
      <c r="DU788" s="27" t="s">
        <v>8</v>
      </c>
      <c r="DV788" s="27" t="s">
        <v>7</v>
      </c>
      <c r="DW788" s="27" t="s">
        <v>8</v>
      </c>
      <c r="EB788" s="27" t="s">
        <v>7</v>
      </c>
      <c r="ET788" s="27" t="s">
        <v>7</v>
      </c>
      <c r="GM788" s="27" t="s">
        <v>8</v>
      </c>
      <c r="GQ788" s="27" t="s">
        <v>8</v>
      </c>
      <c r="GR788" s="27" t="s">
        <v>7</v>
      </c>
      <c r="GU788" s="27" t="s">
        <v>8</v>
      </c>
    </row>
    <row r="789" spans="1:203" x14ac:dyDescent="0.25">
      <c r="A789" s="7">
        <v>1.8313244937921913E-2</v>
      </c>
      <c r="B789"/>
      <c r="C789"/>
      <c r="D789"/>
      <c r="E789"/>
      <c r="BX789" s="27" t="s">
        <v>7</v>
      </c>
      <c r="CK789" s="27" t="s">
        <v>8</v>
      </c>
      <c r="CL789" s="27" t="s">
        <v>7</v>
      </c>
      <c r="CS789" s="27" t="s">
        <v>8</v>
      </c>
      <c r="DB789" s="27" t="s">
        <v>7</v>
      </c>
      <c r="DC789" s="27" t="s">
        <v>8</v>
      </c>
      <c r="DD789" s="27" t="s">
        <v>7</v>
      </c>
      <c r="DF789" s="27" t="s">
        <v>7</v>
      </c>
      <c r="DG789" s="27" t="s">
        <v>8</v>
      </c>
      <c r="DT789" s="27" t="s">
        <v>7</v>
      </c>
      <c r="DU789" s="27" t="s">
        <v>8</v>
      </c>
      <c r="DV789" s="27" t="s">
        <v>7</v>
      </c>
      <c r="DW789" s="27" t="s">
        <v>8</v>
      </c>
      <c r="ET789" s="27" t="s">
        <v>7</v>
      </c>
      <c r="EY789" s="27" t="s">
        <v>8</v>
      </c>
      <c r="GM789" s="27" t="s">
        <v>8</v>
      </c>
      <c r="GN789" s="27" t="s">
        <v>7</v>
      </c>
      <c r="GQ789" s="27" t="s">
        <v>8</v>
      </c>
      <c r="GR789" s="27" t="s">
        <v>7</v>
      </c>
      <c r="GU789" s="27" t="s">
        <v>8</v>
      </c>
    </row>
    <row r="790" spans="1:203" x14ac:dyDescent="0.25">
      <c r="A790" s="7">
        <v>1.7954161703845013E-2</v>
      </c>
      <c r="B790"/>
      <c r="C790"/>
      <c r="D790"/>
      <c r="E790"/>
      <c r="BX790" s="27" t="s">
        <v>7</v>
      </c>
      <c r="CK790" s="27" t="s">
        <v>8</v>
      </c>
      <c r="CL790" s="27" t="s">
        <v>7</v>
      </c>
      <c r="CS790" s="27" t="s">
        <v>8</v>
      </c>
      <c r="DB790" s="27" t="s">
        <v>7</v>
      </c>
      <c r="DC790" s="27" t="s">
        <v>8</v>
      </c>
      <c r="DF790" s="27" t="s">
        <v>7</v>
      </c>
      <c r="DG790" s="27" t="s">
        <v>8</v>
      </c>
      <c r="DT790" s="27" t="s">
        <v>7</v>
      </c>
      <c r="DU790" s="27" t="s">
        <v>8</v>
      </c>
      <c r="DV790" s="27" t="s">
        <v>7</v>
      </c>
      <c r="ET790" s="27" t="s">
        <v>7</v>
      </c>
      <c r="EY790" s="27" t="s">
        <v>8</v>
      </c>
      <c r="EZ790" s="27" t="s">
        <v>7</v>
      </c>
      <c r="GM790" s="27" t="s">
        <v>8</v>
      </c>
      <c r="GN790" s="27" t="s">
        <v>7</v>
      </c>
      <c r="GQ790" s="27" t="s">
        <v>8</v>
      </c>
      <c r="GR790" s="27" t="s">
        <v>7</v>
      </c>
      <c r="GU790" s="27" t="s">
        <v>8</v>
      </c>
    </row>
    <row r="791" spans="1:203" x14ac:dyDescent="0.25">
      <c r="A791" s="7">
        <v>1.7602119317495109E-2</v>
      </c>
      <c r="B791"/>
      <c r="C791"/>
      <c r="D791"/>
      <c r="E791"/>
      <c r="BX791" s="27" t="s">
        <v>7</v>
      </c>
      <c r="CC791" s="27" t="s">
        <v>8</v>
      </c>
      <c r="CI791" s="27" t="s">
        <v>8</v>
      </c>
      <c r="CK791" s="27" t="s">
        <v>8</v>
      </c>
      <c r="CL791" s="27" t="s">
        <v>7</v>
      </c>
      <c r="CQ791" s="27" t="s">
        <v>8</v>
      </c>
      <c r="CS791" s="27" t="s">
        <v>8</v>
      </c>
      <c r="DB791" s="27" t="s">
        <v>7</v>
      </c>
      <c r="DC791" s="27" t="s">
        <v>8</v>
      </c>
      <c r="DF791" s="27" t="s">
        <v>7</v>
      </c>
      <c r="DT791" s="27" t="s">
        <v>7</v>
      </c>
      <c r="ET791" s="27" t="s">
        <v>7</v>
      </c>
      <c r="EY791" s="27" t="s">
        <v>8</v>
      </c>
      <c r="EZ791" s="27" t="s">
        <v>7</v>
      </c>
      <c r="GM791" s="27" t="s">
        <v>8</v>
      </c>
      <c r="GN791" s="27" t="s">
        <v>7</v>
      </c>
      <c r="GQ791" s="27" t="s">
        <v>8</v>
      </c>
      <c r="GR791" s="27" t="s">
        <v>7</v>
      </c>
      <c r="GS791" s="27" t="s">
        <v>8</v>
      </c>
      <c r="GU791" s="27" t="s">
        <v>8</v>
      </c>
    </row>
    <row r="792" spans="1:203" x14ac:dyDescent="0.25">
      <c r="A792" s="7">
        <v>1.7256979723034419E-2</v>
      </c>
      <c r="B792"/>
      <c r="C792"/>
      <c r="D792"/>
      <c r="E792"/>
      <c r="BX792" s="27" t="s">
        <v>7</v>
      </c>
      <c r="CC792" s="27" t="s">
        <v>8</v>
      </c>
      <c r="CD792" s="27" t="s">
        <v>7</v>
      </c>
      <c r="CI792" s="27" t="s">
        <v>8</v>
      </c>
      <c r="CJ792" s="27" t="s">
        <v>7</v>
      </c>
      <c r="CK792" s="27" t="s">
        <v>8</v>
      </c>
      <c r="CL792" s="27" t="s">
        <v>7</v>
      </c>
      <c r="CM792" s="27" t="s">
        <v>8</v>
      </c>
      <c r="CQ792" s="27" t="s">
        <v>8</v>
      </c>
      <c r="CR792" s="27" t="s">
        <v>7</v>
      </c>
      <c r="CS792" s="27" t="s">
        <v>8</v>
      </c>
      <c r="DB792" s="27" t="s">
        <v>7</v>
      </c>
      <c r="DC792" s="27" t="s">
        <v>8</v>
      </c>
      <c r="ET792" s="27" t="s">
        <v>7</v>
      </c>
      <c r="EU792" s="27" t="s">
        <v>8</v>
      </c>
      <c r="EW792" s="27" t="s">
        <v>8</v>
      </c>
      <c r="EY792" s="27" t="s">
        <v>8</v>
      </c>
      <c r="EZ792" s="27" t="s">
        <v>7</v>
      </c>
      <c r="FS792" s="27" t="s">
        <v>8</v>
      </c>
      <c r="GM792" s="27" t="s">
        <v>8</v>
      </c>
      <c r="GN792" s="27" t="s">
        <v>7</v>
      </c>
      <c r="GO792" s="27" t="s">
        <v>8</v>
      </c>
      <c r="GQ792" s="27" t="s">
        <v>8</v>
      </c>
      <c r="GR792" s="27" t="s">
        <v>7</v>
      </c>
      <c r="GS792" s="27" t="s">
        <v>8</v>
      </c>
      <c r="GT792" s="27" t="s">
        <v>7</v>
      </c>
      <c r="GU792" s="27" t="s">
        <v>8</v>
      </c>
    </row>
    <row r="793" spans="1:203" x14ac:dyDescent="0.25">
      <c r="A793" s="7">
        <v>1.6918607571602372E-2</v>
      </c>
      <c r="B793"/>
      <c r="C793"/>
      <c r="D793"/>
      <c r="E793"/>
      <c r="BX793" s="27" t="s">
        <v>7</v>
      </c>
      <c r="CC793" s="27" t="s">
        <v>8</v>
      </c>
      <c r="CD793" s="27" t="s">
        <v>7</v>
      </c>
      <c r="CI793" s="27" t="s">
        <v>8</v>
      </c>
      <c r="CJ793" s="27" t="s">
        <v>7</v>
      </c>
      <c r="CK793" s="27" t="s">
        <v>8</v>
      </c>
      <c r="CL793" s="27" t="s">
        <v>7</v>
      </c>
      <c r="CM793" s="27" t="s">
        <v>8</v>
      </c>
      <c r="CN793" s="27" t="s">
        <v>7</v>
      </c>
      <c r="CQ793" s="27" t="s">
        <v>8</v>
      </c>
      <c r="CR793" s="27" t="s">
        <v>7</v>
      </c>
      <c r="CS793" s="27" t="s">
        <v>8</v>
      </c>
      <c r="DB793" s="27" t="s">
        <v>7</v>
      </c>
      <c r="ET793" s="27" t="s">
        <v>7</v>
      </c>
      <c r="EU793" s="27" t="s">
        <v>8</v>
      </c>
      <c r="EV793" s="27" t="s">
        <v>7</v>
      </c>
      <c r="EW793" s="27" t="s">
        <v>8</v>
      </c>
      <c r="EX793" s="27" t="s">
        <v>7</v>
      </c>
      <c r="EY793" s="27" t="s">
        <v>8</v>
      </c>
      <c r="EZ793" s="27" t="s">
        <v>7</v>
      </c>
      <c r="FS793" s="27" t="s">
        <v>8</v>
      </c>
      <c r="FT793" s="27" t="s">
        <v>7</v>
      </c>
      <c r="GM793" s="27" t="s">
        <v>8</v>
      </c>
      <c r="GN793" s="27" t="s">
        <v>7</v>
      </c>
      <c r="GO793" s="27" t="s">
        <v>8</v>
      </c>
      <c r="GP793" s="27" t="s">
        <v>7</v>
      </c>
      <c r="GQ793" s="27" t="s">
        <v>8</v>
      </c>
      <c r="GR793" s="27" t="s">
        <v>7</v>
      </c>
      <c r="GS793" s="27" t="s">
        <v>8</v>
      </c>
      <c r="GT793" s="27" t="s">
        <v>7</v>
      </c>
      <c r="GU793" s="27" t="s">
        <v>8</v>
      </c>
    </row>
    <row r="794" spans="1:203" x14ac:dyDescent="0.25">
      <c r="A794" s="7">
        <v>1.6586870168237622E-2</v>
      </c>
      <c r="B794"/>
      <c r="C794"/>
      <c r="D794"/>
      <c r="E794"/>
      <c r="BX794" s="27" t="s">
        <v>7</v>
      </c>
      <c r="CC794" s="27" t="s">
        <v>8</v>
      </c>
      <c r="CD794" s="27" t="s">
        <v>7</v>
      </c>
      <c r="CI794" s="27" t="s">
        <v>8</v>
      </c>
      <c r="CJ794" s="27" t="s">
        <v>7</v>
      </c>
      <c r="CL794" s="27" t="s">
        <v>7</v>
      </c>
      <c r="CM794" s="27" t="s">
        <v>8</v>
      </c>
      <c r="CN794" s="27" t="s">
        <v>7</v>
      </c>
      <c r="CO794" s="27" t="s">
        <v>8</v>
      </c>
      <c r="CQ794" s="27" t="s">
        <v>8</v>
      </c>
      <c r="CR794" s="27" t="s">
        <v>7</v>
      </c>
      <c r="CS794" s="27" t="s">
        <v>8</v>
      </c>
      <c r="ET794" s="27" t="s">
        <v>7</v>
      </c>
      <c r="EU794" s="27" t="s">
        <v>8</v>
      </c>
      <c r="EV794" s="27" t="s">
        <v>7</v>
      </c>
      <c r="EW794" s="27" t="s">
        <v>8</v>
      </c>
      <c r="EX794" s="27" t="s">
        <v>7</v>
      </c>
      <c r="EY794" s="27" t="s">
        <v>8</v>
      </c>
      <c r="EZ794" s="27" t="s">
        <v>7</v>
      </c>
      <c r="FS794" s="27" t="s">
        <v>8</v>
      </c>
      <c r="FT794" s="27" t="s">
        <v>7</v>
      </c>
      <c r="GM794" s="27" t="s">
        <v>8</v>
      </c>
      <c r="GN794" s="27" t="s">
        <v>7</v>
      </c>
      <c r="GO794" s="27" t="s">
        <v>8</v>
      </c>
      <c r="GP794" s="27" t="s">
        <v>7</v>
      </c>
      <c r="GQ794" s="27" t="s">
        <v>8</v>
      </c>
      <c r="GR794" s="27" t="s">
        <v>7</v>
      </c>
      <c r="GS794" s="27" t="s">
        <v>8</v>
      </c>
      <c r="GT794" s="27" t="s">
        <v>7</v>
      </c>
      <c r="GU794" s="27" t="s">
        <v>8</v>
      </c>
    </row>
    <row r="795" spans="1:203" x14ac:dyDescent="0.25">
      <c r="A795" s="7">
        <v>1.6261637419840807E-2</v>
      </c>
      <c r="B795"/>
      <c r="C795"/>
      <c r="D795"/>
      <c r="E795"/>
      <c r="BX795" s="27" t="s">
        <v>7</v>
      </c>
      <c r="CC795" s="27" t="s">
        <v>8</v>
      </c>
      <c r="CD795" s="27" t="s">
        <v>7</v>
      </c>
      <c r="CG795" s="27" t="s">
        <v>8</v>
      </c>
      <c r="CI795" s="27" t="s">
        <v>8</v>
      </c>
      <c r="CL795" s="27" t="s">
        <v>7</v>
      </c>
      <c r="CM795" s="27" t="s">
        <v>8</v>
      </c>
      <c r="CN795" s="27" t="s">
        <v>7</v>
      </c>
      <c r="CO795" s="27" t="s">
        <v>8</v>
      </c>
      <c r="CP795" s="27" t="s">
        <v>7</v>
      </c>
      <c r="CQ795" s="27" t="s">
        <v>8</v>
      </c>
      <c r="CR795" s="27" t="s">
        <v>7</v>
      </c>
      <c r="CS795" s="27" t="s">
        <v>8</v>
      </c>
      <c r="ET795" s="27" t="s">
        <v>7</v>
      </c>
      <c r="EU795" s="27" t="s">
        <v>8</v>
      </c>
      <c r="EV795" s="27" t="s">
        <v>7</v>
      </c>
      <c r="EW795" s="27" t="s">
        <v>8</v>
      </c>
      <c r="EX795" s="27" t="s">
        <v>7</v>
      </c>
      <c r="EY795" s="27" t="s">
        <v>8</v>
      </c>
      <c r="EZ795" s="27" t="s">
        <v>7</v>
      </c>
      <c r="FS795" s="27" t="s">
        <v>8</v>
      </c>
      <c r="FT795" s="27" t="s">
        <v>7</v>
      </c>
      <c r="GM795" s="27" t="s">
        <v>8</v>
      </c>
      <c r="GN795" s="27" t="s">
        <v>7</v>
      </c>
      <c r="GO795" s="27" t="s">
        <v>8</v>
      </c>
      <c r="GP795" s="27" t="s">
        <v>7</v>
      </c>
      <c r="GQ795" s="27" t="s">
        <v>8</v>
      </c>
      <c r="GR795" s="27" t="s">
        <v>7</v>
      </c>
      <c r="GS795" s="27" t="s">
        <v>8</v>
      </c>
      <c r="GT795" s="27" t="s">
        <v>7</v>
      </c>
      <c r="GU795" s="27" t="s">
        <v>8</v>
      </c>
    </row>
    <row r="796" spans="1:203" x14ac:dyDescent="0.25">
      <c r="A796" s="7">
        <v>1.5942781784157655E-2</v>
      </c>
      <c r="B796"/>
      <c r="C796"/>
      <c r="D796"/>
      <c r="E796"/>
      <c r="BX796" s="27" t="s">
        <v>7</v>
      </c>
      <c r="CC796" s="27" t="s">
        <v>8</v>
      </c>
      <c r="CD796" s="27" t="s">
        <v>7</v>
      </c>
      <c r="CE796" s="27" t="s">
        <v>8</v>
      </c>
      <c r="CG796" s="27" t="s">
        <v>8</v>
      </c>
      <c r="CH796" s="27" t="s">
        <v>7</v>
      </c>
      <c r="CI796" s="27" t="s">
        <v>8</v>
      </c>
      <c r="CL796" s="27" t="s">
        <v>7</v>
      </c>
      <c r="CN796" s="27" t="s">
        <v>7</v>
      </c>
      <c r="CO796" s="27" t="s">
        <v>8</v>
      </c>
      <c r="CP796" s="27" t="s">
        <v>7</v>
      </c>
      <c r="CQ796" s="27" t="s">
        <v>8</v>
      </c>
      <c r="CR796" s="27" t="s">
        <v>7</v>
      </c>
      <c r="ET796" s="27" t="s">
        <v>7</v>
      </c>
      <c r="EU796" s="27" t="s">
        <v>8</v>
      </c>
      <c r="EV796" s="27" t="s">
        <v>7</v>
      </c>
      <c r="EW796" s="27" t="s">
        <v>8</v>
      </c>
      <c r="EX796" s="27" t="s">
        <v>7</v>
      </c>
      <c r="EZ796" s="27" t="s">
        <v>7</v>
      </c>
      <c r="FS796" s="27" t="s">
        <v>8</v>
      </c>
      <c r="FT796" s="27" t="s">
        <v>7</v>
      </c>
      <c r="GM796" s="27" t="s">
        <v>8</v>
      </c>
      <c r="GN796" s="27" t="s">
        <v>7</v>
      </c>
      <c r="GO796" s="27" t="s">
        <v>8</v>
      </c>
      <c r="GP796" s="27" t="s">
        <v>7</v>
      </c>
      <c r="GQ796" s="27" t="s">
        <v>8</v>
      </c>
      <c r="GR796" s="27" t="s">
        <v>7</v>
      </c>
      <c r="GS796" s="27" t="s">
        <v>8</v>
      </c>
      <c r="GT796" s="27" t="s">
        <v>7</v>
      </c>
      <c r="GU796" s="27" t="s">
        <v>8</v>
      </c>
    </row>
    <row r="797" spans="1:203" x14ac:dyDescent="0.25">
      <c r="A797" s="7">
        <v>1.5630178219762408E-2</v>
      </c>
      <c r="B797"/>
      <c r="C797"/>
      <c r="D797"/>
      <c r="E797"/>
      <c r="BX797" s="27" t="s">
        <v>7</v>
      </c>
      <c r="CC797" s="27" t="s">
        <v>8</v>
      </c>
      <c r="CD797" s="27" t="s">
        <v>7</v>
      </c>
      <c r="CE797" s="27" t="s">
        <v>8</v>
      </c>
      <c r="CF797" s="27" t="s">
        <v>7</v>
      </c>
      <c r="CG797" s="27" t="s">
        <v>8</v>
      </c>
      <c r="CH797" s="27" t="s">
        <v>7</v>
      </c>
      <c r="CI797" s="27" t="s">
        <v>8</v>
      </c>
      <c r="CN797" s="27" t="s">
        <v>7</v>
      </c>
      <c r="CP797" s="27" t="s">
        <v>7</v>
      </c>
      <c r="CQ797" s="27" t="s">
        <v>8</v>
      </c>
      <c r="ET797" s="27" t="s">
        <v>7</v>
      </c>
      <c r="EU797" s="27" t="s">
        <v>8</v>
      </c>
      <c r="EV797" s="27" t="s">
        <v>7</v>
      </c>
      <c r="EZ797" s="27" t="s">
        <v>7</v>
      </c>
      <c r="FS797" s="27" t="s">
        <v>8</v>
      </c>
      <c r="FT797" s="27" t="s">
        <v>7</v>
      </c>
      <c r="GE797" s="27" t="s">
        <v>8</v>
      </c>
      <c r="GM797" s="27" t="s">
        <v>8</v>
      </c>
      <c r="GN797" s="27" t="s">
        <v>7</v>
      </c>
      <c r="GO797" s="27" t="s">
        <v>8</v>
      </c>
      <c r="GP797" s="27" t="s">
        <v>7</v>
      </c>
      <c r="GR797" s="27" t="s">
        <v>7</v>
      </c>
      <c r="GS797" s="27" t="s">
        <v>8</v>
      </c>
      <c r="GT797" s="27" t="s">
        <v>7</v>
      </c>
      <c r="GU797" s="27" t="s">
        <v>8</v>
      </c>
    </row>
    <row r="798" spans="1:203" x14ac:dyDescent="0.25">
      <c r="A798" s="7">
        <v>1.5323704137021967E-2</v>
      </c>
      <c r="B798"/>
      <c r="C798"/>
      <c r="D798"/>
      <c r="E798"/>
      <c r="BX798" s="27" t="s">
        <v>7</v>
      </c>
      <c r="BY798" s="27" t="s">
        <v>8</v>
      </c>
      <c r="CC798" s="27" t="s">
        <v>8</v>
      </c>
      <c r="CD798" s="27" t="s">
        <v>7</v>
      </c>
      <c r="CE798" s="27" t="s">
        <v>8</v>
      </c>
      <c r="CF798" s="27" t="s">
        <v>7</v>
      </c>
      <c r="CG798" s="27" t="s">
        <v>8</v>
      </c>
      <c r="CH798" s="27" t="s">
        <v>7</v>
      </c>
      <c r="CP798" s="27" t="s">
        <v>7</v>
      </c>
      <c r="ET798" s="27" t="s">
        <v>7</v>
      </c>
      <c r="EU798" s="27" t="s">
        <v>8</v>
      </c>
      <c r="EZ798" s="27" t="s">
        <v>7</v>
      </c>
      <c r="FS798" s="27" t="s">
        <v>8</v>
      </c>
      <c r="FT798" s="27" t="s">
        <v>7</v>
      </c>
      <c r="FY798" s="27" t="s">
        <v>8</v>
      </c>
      <c r="GE798" s="27" t="s">
        <v>8</v>
      </c>
      <c r="GF798" s="27" t="s">
        <v>7</v>
      </c>
      <c r="GM798" s="27" t="s">
        <v>8</v>
      </c>
      <c r="GN798" s="27" t="s">
        <v>7</v>
      </c>
      <c r="GO798" s="27" t="s">
        <v>8</v>
      </c>
      <c r="GR798" s="27" t="s">
        <v>7</v>
      </c>
      <c r="GS798" s="27" t="s">
        <v>8</v>
      </c>
      <c r="GT798" s="27" t="s">
        <v>7</v>
      </c>
      <c r="GU798" s="27" t="s">
        <v>8</v>
      </c>
    </row>
    <row r="799" spans="1:203" x14ac:dyDescent="0.25">
      <c r="A799" s="7">
        <v>1.5023239350021535E-2</v>
      </c>
      <c r="B799"/>
      <c r="C799"/>
      <c r="D799"/>
      <c r="E799"/>
      <c r="BX799" s="27" t="s">
        <v>7</v>
      </c>
      <c r="BY799" s="27" t="s">
        <v>8</v>
      </c>
      <c r="BZ799" s="27" t="s">
        <v>7</v>
      </c>
      <c r="CC799" s="27" t="s">
        <v>8</v>
      </c>
      <c r="CD799" s="27" t="s">
        <v>7</v>
      </c>
      <c r="CE799" s="27" t="s">
        <v>8</v>
      </c>
      <c r="CF799" s="27" t="s">
        <v>7</v>
      </c>
      <c r="CG799" s="27" t="s">
        <v>8</v>
      </c>
      <c r="ET799" s="27" t="s">
        <v>7</v>
      </c>
      <c r="EZ799" s="27" t="s">
        <v>7</v>
      </c>
      <c r="FS799" s="27" t="s">
        <v>8</v>
      </c>
      <c r="FT799" s="27" t="s">
        <v>7</v>
      </c>
      <c r="FY799" s="27" t="s">
        <v>8</v>
      </c>
      <c r="FZ799" s="27" t="s">
        <v>7</v>
      </c>
      <c r="GA799" s="27" t="s">
        <v>8</v>
      </c>
      <c r="GE799" s="27" t="s">
        <v>8</v>
      </c>
      <c r="GF799" s="27" t="s">
        <v>7</v>
      </c>
      <c r="GM799" s="27" t="s">
        <v>8</v>
      </c>
      <c r="GN799" s="27" t="s">
        <v>7</v>
      </c>
      <c r="GO799" s="27" t="s">
        <v>8</v>
      </c>
      <c r="GR799" s="27" t="s">
        <v>7</v>
      </c>
      <c r="GT799" s="27" t="s">
        <v>7</v>
      </c>
      <c r="GU799" s="27" t="s">
        <v>8</v>
      </c>
    </row>
    <row r="800" spans="1:203" x14ac:dyDescent="0.25">
      <c r="A800" s="7">
        <v>1.4728666029432878E-2</v>
      </c>
      <c r="B800"/>
      <c r="C800"/>
      <c r="D800"/>
      <c r="E800"/>
      <c r="BX800" s="27" t="s">
        <v>7</v>
      </c>
      <c r="BY800" s="27" t="s">
        <v>8</v>
      </c>
      <c r="BZ800" s="27" t="s">
        <v>7</v>
      </c>
      <c r="CC800" s="27" t="s">
        <v>8</v>
      </c>
      <c r="CD800" s="27" t="s">
        <v>7</v>
      </c>
      <c r="CE800" s="27" t="s">
        <v>8</v>
      </c>
      <c r="CF800" s="27" t="s">
        <v>7</v>
      </c>
      <c r="CG800" s="27" t="s">
        <v>8</v>
      </c>
      <c r="EZ800" s="27" t="s">
        <v>7</v>
      </c>
      <c r="FC800" s="27" t="s">
        <v>8</v>
      </c>
      <c r="FS800" s="27" t="s">
        <v>8</v>
      </c>
      <c r="FT800" s="27" t="s">
        <v>7</v>
      </c>
      <c r="FU800" s="27" t="s">
        <v>8</v>
      </c>
      <c r="FW800" s="27" t="s">
        <v>8</v>
      </c>
      <c r="FY800" s="27" t="s">
        <v>8</v>
      </c>
      <c r="FZ800" s="27" t="s">
        <v>7</v>
      </c>
      <c r="GA800" s="27" t="s">
        <v>8</v>
      </c>
      <c r="GB800" s="27" t="s">
        <v>7</v>
      </c>
      <c r="GE800" s="27" t="s">
        <v>8</v>
      </c>
      <c r="GF800" s="27" t="s">
        <v>7</v>
      </c>
      <c r="GM800" s="27" t="s">
        <v>8</v>
      </c>
      <c r="GN800" s="27" t="s">
        <v>7</v>
      </c>
      <c r="GO800" s="27" t="s">
        <v>8</v>
      </c>
      <c r="GT800" s="27" t="s">
        <v>7</v>
      </c>
    </row>
    <row r="801" spans="1:197" x14ac:dyDescent="0.25">
      <c r="A801" s="7">
        <v>1.4439868656306743E-2</v>
      </c>
      <c r="B801"/>
      <c r="C801"/>
      <c r="D801"/>
      <c r="E801"/>
      <c r="BX801" s="27" t="s">
        <v>7</v>
      </c>
      <c r="BY801" s="27" t="s">
        <v>8</v>
      </c>
      <c r="BZ801" s="27" t="s">
        <v>7</v>
      </c>
      <c r="CC801" s="27" t="s">
        <v>8</v>
      </c>
      <c r="CD801" s="27" t="s">
        <v>7</v>
      </c>
      <c r="CE801" s="27" t="s">
        <v>8</v>
      </c>
      <c r="CF801" s="27" t="s">
        <v>7</v>
      </c>
      <c r="CG801" s="27" t="s">
        <v>8</v>
      </c>
      <c r="EZ801" s="27" t="s">
        <v>7</v>
      </c>
      <c r="FA801" s="27" t="s">
        <v>8</v>
      </c>
      <c r="FC801" s="27" t="s">
        <v>8</v>
      </c>
      <c r="FD801" s="27" t="s">
        <v>7</v>
      </c>
      <c r="FS801" s="27" t="s">
        <v>8</v>
      </c>
      <c r="FT801" s="27" t="s">
        <v>7</v>
      </c>
      <c r="FU801" s="27" t="s">
        <v>8</v>
      </c>
      <c r="FV801" s="27" t="s">
        <v>7</v>
      </c>
      <c r="FW801" s="27" t="s">
        <v>8</v>
      </c>
      <c r="FX801" s="27" t="s">
        <v>7</v>
      </c>
      <c r="FY801" s="27" t="s">
        <v>8</v>
      </c>
      <c r="FZ801" s="27" t="s">
        <v>7</v>
      </c>
      <c r="GA801" s="27" t="s">
        <v>8</v>
      </c>
      <c r="GB801" s="27" t="s">
        <v>7</v>
      </c>
      <c r="GC801" s="27" t="s">
        <v>8</v>
      </c>
      <c r="GE801" s="27" t="s">
        <v>8</v>
      </c>
      <c r="GF801" s="27" t="s">
        <v>7</v>
      </c>
      <c r="GK801" s="27" t="s">
        <v>8</v>
      </c>
      <c r="GM801" s="27" t="s">
        <v>8</v>
      </c>
      <c r="GN801" s="27" t="s">
        <v>7</v>
      </c>
      <c r="GO801" s="27" t="s">
        <v>8</v>
      </c>
    </row>
    <row r="802" spans="1:197" x14ac:dyDescent="0.25">
      <c r="A802" s="7">
        <v>1.4156733976771318E-2</v>
      </c>
      <c r="B802"/>
      <c r="C802"/>
      <c r="D802"/>
      <c r="E802"/>
      <c r="BX802" s="27" t="s">
        <v>7</v>
      </c>
      <c r="BY802" s="27" t="s">
        <v>8</v>
      </c>
      <c r="BZ802" s="27" t="s">
        <v>7</v>
      </c>
      <c r="CC802" s="27" t="s">
        <v>8</v>
      </c>
      <c r="CD802" s="27" t="s">
        <v>7</v>
      </c>
      <c r="CE802" s="27" t="s">
        <v>8</v>
      </c>
      <c r="CF802" s="27" t="s">
        <v>7</v>
      </c>
      <c r="CG802" s="27" t="s">
        <v>8</v>
      </c>
      <c r="EZ802" s="27" t="s">
        <v>7</v>
      </c>
      <c r="FA802" s="27" t="s">
        <v>8</v>
      </c>
      <c r="FB802" s="27" t="s">
        <v>7</v>
      </c>
      <c r="FC802" s="27" t="s">
        <v>8</v>
      </c>
      <c r="FD802" s="27" t="s">
        <v>7</v>
      </c>
      <c r="FG802" s="27" t="s">
        <v>8</v>
      </c>
      <c r="FS802" s="27" t="s">
        <v>8</v>
      </c>
      <c r="FT802" s="27" t="s">
        <v>7</v>
      </c>
      <c r="FU802" s="27" t="s">
        <v>8</v>
      </c>
      <c r="FV802" s="27" t="s">
        <v>7</v>
      </c>
      <c r="FW802" s="27" t="s">
        <v>8</v>
      </c>
      <c r="FX802" s="27" t="s">
        <v>7</v>
      </c>
      <c r="FY802" s="27" t="s">
        <v>8</v>
      </c>
      <c r="FZ802" s="27" t="s">
        <v>7</v>
      </c>
      <c r="GA802" s="27" t="s">
        <v>8</v>
      </c>
      <c r="GB802" s="27" t="s">
        <v>7</v>
      </c>
      <c r="GC802" s="27" t="s">
        <v>8</v>
      </c>
      <c r="GD802" s="27" t="s">
        <v>7</v>
      </c>
      <c r="GE802" s="27" t="s">
        <v>8</v>
      </c>
      <c r="GF802" s="27" t="s">
        <v>7</v>
      </c>
      <c r="GK802" s="27" t="s">
        <v>8</v>
      </c>
      <c r="GL802" s="27" t="s">
        <v>7</v>
      </c>
      <c r="GM802" s="27" t="s">
        <v>8</v>
      </c>
      <c r="GN802" s="27" t="s">
        <v>7</v>
      </c>
      <c r="GO802" s="27" t="s">
        <v>8</v>
      </c>
    </row>
    <row r="803" spans="1:197" x14ac:dyDescent="0.25">
      <c r="A803" s="7">
        <v>1.3879150957618939E-2</v>
      </c>
      <c r="B803"/>
      <c r="C803"/>
      <c r="D803"/>
      <c r="E803"/>
      <c r="BX803" s="27" t="s">
        <v>7</v>
      </c>
      <c r="BY803" s="27" t="s">
        <v>8</v>
      </c>
      <c r="BZ803" s="27" t="s">
        <v>7</v>
      </c>
      <c r="CC803" s="27" t="s">
        <v>8</v>
      </c>
      <c r="CD803" s="27" t="s">
        <v>7</v>
      </c>
      <c r="CE803" s="27" t="s">
        <v>8</v>
      </c>
      <c r="CF803" s="27" t="s">
        <v>7</v>
      </c>
      <c r="CG803" s="27" t="s">
        <v>8</v>
      </c>
      <c r="EZ803" s="27" t="s">
        <v>7</v>
      </c>
      <c r="FA803" s="27" t="s">
        <v>8</v>
      </c>
      <c r="FB803" s="27" t="s">
        <v>7</v>
      </c>
      <c r="FC803" s="27" t="s">
        <v>8</v>
      </c>
      <c r="FD803" s="27" t="s">
        <v>7</v>
      </c>
      <c r="FE803" s="27" t="s">
        <v>8</v>
      </c>
      <c r="FG803" s="27" t="s">
        <v>8</v>
      </c>
      <c r="FH803" s="27" t="s">
        <v>7</v>
      </c>
      <c r="FS803" s="27" t="s">
        <v>8</v>
      </c>
      <c r="FT803" s="27" t="s">
        <v>7</v>
      </c>
      <c r="FU803" s="27" t="s">
        <v>8</v>
      </c>
      <c r="FV803" s="27" t="s">
        <v>7</v>
      </c>
      <c r="FW803" s="27" t="s">
        <v>8</v>
      </c>
      <c r="FX803" s="27" t="s">
        <v>7</v>
      </c>
      <c r="FZ803" s="27" t="s">
        <v>7</v>
      </c>
      <c r="GB803" s="27" t="s">
        <v>7</v>
      </c>
      <c r="GC803" s="27" t="s">
        <v>8</v>
      </c>
      <c r="GD803" s="27" t="s">
        <v>7</v>
      </c>
      <c r="GE803" s="27" t="s">
        <v>8</v>
      </c>
      <c r="GF803" s="27" t="s">
        <v>7</v>
      </c>
      <c r="GG803" s="27" t="s">
        <v>8</v>
      </c>
      <c r="GK803" s="27" t="s">
        <v>8</v>
      </c>
      <c r="GL803" s="27" t="s">
        <v>7</v>
      </c>
      <c r="GM803" s="27" t="s">
        <v>8</v>
      </c>
      <c r="GN803" s="27" t="s">
        <v>7</v>
      </c>
      <c r="GO803" s="27" t="s">
        <v>8</v>
      </c>
    </row>
    <row r="804" spans="1:197" x14ac:dyDescent="0.25">
      <c r="A804" s="7">
        <v>1.3607010742763666E-2</v>
      </c>
      <c r="B804"/>
      <c r="C804"/>
      <c r="D804"/>
      <c r="E804"/>
      <c r="BX804" s="27" t="s">
        <v>7</v>
      </c>
      <c r="BY804" s="27" t="s">
        <v>8</v>
      </c>
      <c r="BZ804" s="27" t="s">
        <v>7</v>
      </c>
      <c r="CC804" s="27" t="s">
        <v>8</v>
      </c>
      <c r="CD804" s="27" t="s">
        <v>7</v>
      </c>
      <c r="CE804" s="27" t="s">
        <v>8</v>
      </c>
      <c r="CF804" s="27" t="s">
        <v>7</v>
      </c>
      <c r="EZ804" s="27" t="s">
        <v>7</v>
      </c>
      <c r="FA804" s="27" t="s">
        <v>8</v>
      </c>
      <c r="FB804" s="27" t="s">
        <v>7</v>
      </c>
      <c r="FC804" s="27" t="s">
        <v>8</v>
      </c>
      <c r="FD804" s="27" t="s">
        <v>7</v>
      </c>
      <c r="FE804" s="27" t="s">
        <v>8</v>
      </c>
      <c r="FF804" s="27" t="s">
        <v>7</v>
      </c>
      <c r="FG804" s="27" t="s">
        <v>8</v>
      </c>
      <c r="FH804" s="27" t="s">
        <v>7</v>
      </c>
      <c r="FQ804" s="27" t="s">
        <v>8</v>
      </c>
      <c r="FS804" s="27" t="s">
        <v>8</v>
      </c>
      <c r="FT804" s="27" t="s">
        <v>7</v>
      </c>
      <c r="FU804" s="27" t="s">
        <v>8</v>
      </c>
      <c r="FV804" s="27" t="s">
        <v>7</v>
      </c>
      <c r="GB804" s="27" t="s">
        <v>7</v>
      </c>
      <c r="GC804" s="27" t="s">
        <v>8</v>
      </c>
      <c r="GD804" s="27" t="s">
        <v>7</v>
      </c>
      <c r="GF804" s="27" t="s">
        <v>7</v>
      </c>
      <c r="GG804" s="27" t="s">
        <v>8</v>
      </c>
      <c r="GH804" s="27" t="s">
        <v>7</v>
      </c>
      <c r="GI804" s="27" t="s">
        <v>8</v>
      </c>
      <c r="GK804" s="27" t="s">
        <v>8</v>
      </c>
      <c r="GL804" s="27" t="s">
        <v>7</v>
      </c>
      <c r="GM804" s="27" t="s">
        <v>8</v>
      </c>
      <c r="GN804" s="27" t="s">
        <v>7</v>
      </c>
      <c r="GO804" s="27" t="s">
        <v>8</v>
      </c>
    </row>
    <row r="805" spans="1:197" x14ac:dyDescent="0.25">
      <c r="A805" s="7">
        <v>1.3340206610552614E-2</v>
      </c>
      <c r="B805"/>
      <c r="C805"/>
      <c r="D805"/>
      <c r="E805"/>
      <c r="BX805" s="27" t="s">
        <v>7</v>
      </c>
      <c r="BY805" s="27" t="s">
        <v>8</v>
      </c>
      <c r="BZ805" s="27" t="s">
        <v>7</v>
      </c>
      <c r="CA805" s="27" t="s">
        <v>8</v>
      </c>
      <c r="CC805" s="27" t="s">
        <v>8</v>
      </c>
      <c r="CD805" s="27" t="s">
        <v>7</v>
      </c>
      <c r="CE805" s="27" t="s">
        <v>8</v>
      </c>
      <c r="EZ805" s="27" t="s">
        <v>7</v>
      </c>
      <c r="FA805" s="27" t="s">
        <v>8</v>
      </c>
      <c r="FB805" s="27" t="s">
        <v>7</v>
      </c>
      <c r="FC805" s="27" t="s">
        <v>8</v>
      </c>
      <c r="FD805" s="27" t="s">
        <v>7</v>
      </c>
      <c r="FE805" s="27" t="s">
        <v>8</v>
      </c>
      <c r="FF805" s="27" t="s">
        <v>7</v>
      </c>
      <c r="FG805" s="27" t="s">
        <v>8</v>
      </c>
      <c r="FH805" s="27" t="s">
        <v>7</v>
      </c>
      <c r="FO805" s="27" t="s">
        <v>8</v>
      </c>
      <c r="FQ805" s="27" t="s">
        <v>8</v>
      </c>
      <c r="FR805" s="27" t="s">
        <v>7</v>
      </c>
      <c r="FS805" s="27" t="s">
        <v>8</v>
      </c>
      <c r="FT805" s="27" t="s">
        <v>7</v>
      </c>
      <c r="FU805" s="27" t="s">
        <v>8</v>
      </c>
      <c r="GB805" s="27" t="s">
        <v>7</v>
      </c>
      <c r="GC805" s="27" t="s">
        <v>8</v>
      </c>
      <c r="GF805" s="27" t="s">
        <v>7</v>
      </c>
      <c r="GG805" s="27" t="s">
        <v>8</v>
      </c>
      <c r="GH805" s="27" t="s">
        <v>7</v>
      </c>
      <c r="GI805" s="27" t="s">
        <v>8</v>
      </c>
      <c r="GJ805" s="27" t="s">
        <v>7</v>
      </c>
      <c r="GK805" s="27" t="s">
        <v>8</v>
      </c>
      <c r="GL805" s="27" t="s">
        <v>7</v>
      </c>
      <c r="GM805" s="27" t="s">
        <v>8</v>
      </c>
      <c r="GN805" s="27" t="s">
        <v>7</v>
      </c>
    </row>
    <row r="806" spans="1:197" x14ac:dyDescent="0.25">
      <c r="A806" s="7">
        <v>1.3078633931914328E-2</v>
      </c>
      <c r="B806"/>
      <c r="C806"/>
      <c r="D806"/>
      <c r="E806"/>
      <c r="BX806" s="27" t="s">
        <v>7</v>
      </c>
      <c r="BY806" s="27" t="s">
        <v>8</v>
      </c>
      <c r="BZ806" s="27" t="s">
        <v>7</v>
      </c>
      <c r="CA806" s="27" t="s">
        <v>8</v>
      </c>
      <c r="CB806" s="27" t="s">
        <v>7</v>
      </c>
      <c r="CC806" s="27" t="s">
        <v>8</v>
      </c>
      <c r="CD806" s="27" t="s">
        <v>7</v>
      </c>
      <c r="EZ806" s="27" t="s">
        <v>7</v>
      </c>
      <c r="FA806" s="27" t="s">
        <v>8</v>
      </c>
      <c r="FB806" s="27" t="s">
        <v>7</v>
      </c>
      <c r="FD806" s="27" t="s">
        <v>7</v>
      </c>
      <c r="FE806" s="27" t="s">
        <v>8</v>
      </c>
      <c r="FF806" s="27" t="s">
        <v>7</v>
      </c>
      <c r="FG806" s="27" t="s">
        <v>8</v>
      </c>
      <c r="FH806" s="27" t="s">
        <v>7</v>
      </c>
      <c r="FM806" s="27" t="s">
        <v>8</v>
      </c>
      <c r="FO806" s="27" t="s">
        <v>8</v>
      </c>
      <c r="FP806" s="27" t="s">
        <v>7</v>
      </c>
      <c r="FQ806" s="27" t="s">
        <v>8</v>
      </c>
      <c r="FR806" s="27" t="s">
        <v>7</v>
      </c>
      <c r="FS806" s="27" t="s">
        <v>8</v>
      </c>
      <c r="FT806" s="27" t="s">
        <v>7</v>
      </c>
      <c r="GB806" s="27" t="s">
        <v>7</v>
      </c>
      <c r="GF806" s="27" t="s">
        <v>7</v>
      </c>
      <c r="GG806" s="27" t="s">
        <v>8</v>
      </c>
      <c r="GH806" s="27" t="s">
        <v>7</v>
      </c>
      <c r="GI806" s="27" t="s">
        <v>8</v>
      </c>
      <c r="GJ806" s="27" t="s">
        <v>7</v>
      </c>
      <c r="GK806" s="27" t="s">
        <v>8</v>
      </c>
      <c r="GL806" s="27" t="s">
        <v>7</v>
      </c>
      <c r="GM806" s="27" t="s">
        <v>8</v>
      </c>
    </row>
    <row r="807" spans="1:197" x14ac:dyDescent="0.25">
      <c r="A807" s="7">
        <v>1.2822190129327771E-2</v>
      </c>
      <c r="B807"/>
      <c r="C807"/>
      <c r="D807"/>
      <c r="E807"/>
      <c r="BX807" s="27" t="s">
        <v>7</v>
      </c>
      <c r="BY807" s="27" t="s">
        <v>8</v>
      </c>
      <c r="BZ807" s="27" t="s">
        <v>7</v>
      </c>
      <c r="CA807" s="27" t="s">
        <v>8</v>
      </c>
      <c r="CB807" s="27" t="s">
        <v>7</v>
      </c>
      <c r="CC807" s="27" t="s">
        <v>8</v>
      </c>
      <c r="EZ807" s="27" t="s">
        <v>7</v>
      </c>
      <c r="FA807" s="27" t="s">
        <v>8</v>
      </c>
      <c r="FD807" s="27" t="s">
        <v>7</v>
      </c>
      <c r="FF807" s="27" t="s">
        <v>7</v>
      </c>
      <c r="FG807" s="27" t="s">
        <v>8</v>
      </c>
      <c r="FH807" s="27" t="s">
        <v>7</v>
      </c>
      <c r="FI807" s="27" t="s">
        <v>8</v>
      </c>
      <c r="FM807" s="27" t="s">
        <v>8</v>
      </c>
      <c r="FN807" s="27" t="s">
        <v>7</v>
      </c>
      <c r="FO807" s="27" t="s">
        <v>8</v>
      </c>
      <c r="FP807" s="27" t="s">
        <v>7</v>
      </c>
      <c r="FQ807" s="27" t="s">
        <v>8</v>
      </c>
      <c r="FR807" s="27" t="s">
        <v>7</v>
      </c>
      <c r="FS807" s="27" t="s">
        <v>8</v>
      </c>
      <c r="GF807" s="27" t="s">
        <v>7</v>
      </c>
      <c r="GG807" s="27" t="s">
        <v>8</v>
      </c>
      <c r="GH807" s="27" t="s">
        <v>7</v>
      </c>
      <c r="GJ807" s="27" t="s">
        <v>7</v>
      </c>
      <c r="GK807" s="27" t="s">
        <v>8</v>
      </c>
      <c r="GL807" s="27" t="s">
        <v>7</v>
      </c>
    </row>
    <row r="808" spans="1:197" x14ac:dyDescent="0.25">
      <c r="A808" s="7">
        <v>1.2570774636595854E-2</v>
      </c>
      <c r="B808"/>
      <c r="C808"/>
      <c r="D808"/>
      <c r="E808"/>
      <c r="BX808" s="27" t="s">
        <v>7</v>
      </c>
      <c r="BY808" s="27" t="s">
        <v>8</v>
      </c>
      <c r="BZ808" s="27" t="s">
        <v>7</v>
      </c>
      <c r="CA808" s="27" t="s">
        <v>8</v>
      </c>
      <c r="CB808" s="27" t="s">
        <v>7</v>
      </c>
      <c r="CC808" s="27" t="s">
        <v>8</v>
      </c>
      <c r="EZ808" s="27" t="s">
        <v>7</v>
      </c>
      <c r="FA808" s="27" t="s">
        <v>8</v>
      </c>
      <c r="FF808" s="27" t="s">
        <v>7</v>
      </c>
      <c r="FG808" s="27" t="s">
        <v>8</v>
      </c>
      <c r="FH808" s="27" t="s">
        <v>7</v>
      </c>
      <c r="FI808" s="27" t="s">
        <v>8</v>
      </c>
      <c r="FJ808" s="27" t="s">
        <v>7</v>
      </c>
      <c r="FM808" s="27" t="s">
        <v>8</v>
      </c>
      <c r="FN808" s="27" t="s">
        <v>7</v>
      </c>
      <c r="FO808" s="27" t="s">
        <v>8</v>
      </c>
      <c r="FP808" s="27" t="s">
        <v>7</v>
      </c>
      <c r="FR808" s="27" t="s">
        <v>7</v>
      </c>
      <c r="FS808" s="27" t="s">
        <v>8</v>
      </c>
      <c r="GF808" s="27" t="s">
        <v>7</v>
      </c>
      <c r="GG808" s="27" t="s">
        <v>8</v>
      </c>
      <c r="GJ808" s="27" t="s">
        <v>7</v>
      </c>
      <c r="GK808" s="27" t="s">
        <v>8</v>
      </c>
    </row>
    <row r="809" spans="1:197" x14ac:dyDescent="0.25">
      <c r="A809" s="7">
        <v>1.23242888594077E-2</v>
      </c>
      <c r="B809"/>
      <c r="C809"/>
      <c r="D809"/>
      <c r="E809"/>
      <c r="BX809" s="27" t="s">
        <v>7</v>
      </c>
      <c r="BY809" s="27" t="s">
        <v>8</v>
      </c>
      <c r="BZ809" s="27" t="s">
        <v>7</v>
      </c>
      <c r="CA809" s="27" t="s">
        <v>8</v>
      </c>
      <c r="CB809" s="27" t="s">
        <v>7</v>
      </c>
      <c r="CC809" s="27" t="s">
        <v>8</v>
      </c>
      <c r="EZ809" s="27" t="s">
        <v>7</v>
      </c>
      <c r="FA809" s="27" t="s">
        <v>8</v>
      </c>
      <c r="FF809" s="27" t="s">
        <v>7</v>
      </c>
      <c r="FG809" s="27" t="s">
        <v>8</v>
      </c>
      <c r="FH809" s="27" t="s">
        <v>7</v>
      </c>
      <c r="FI809" s="27" t="s">
        <v>8</v>
      </c>
      <c r="FJ809" s="27" t="s">
        <v>7</v>
      </c>
      <c r="FK809" s="27" t="s">
        <v>8</v>
      </c>
      <c r="FM809" s="27" t="s">
        <v>8</v>
      </c>
      <c r="FN809" s="27" t="s">
        <v>7</v>
      </c>
      <c r="FO809" s="27" t="s">
        <v>8</v>
      </c>
      <c r="FR809" s="27" t="s">
        <v>7</v>
      </c>
      <c r="GF809" s="27" t="s">
        <v>7</v>
      </c>
      <c r="GG809" s="27" t="s">
        <v>8</v>
      </c>
      <c r="GJ809" s="27" t="s">
        <v>7</v>
      </c>
    </row>
    <row r="810" spans="1:197" x14ac:dyDescent="0.25">
      <c r="A810" s="7">
        <v>1.2082636136674216E-2</v>
      </c>
      <c r="B810"/>
      <c r="C810"/>
      <c r="D810"/>
      <c r="E810"/>
      <c r="BX810" s="27" t="s">
        <v>7</v>
      </c>
      <c r="BY810" s="27" t="s">
        <v>8</v>
      </c>
      <c r="BZ810" s="27" t="s">
        <v>7</v>
      </c>
      <c r="CA810" s="27" t="s">
        <v>8</v>
      </c>
      <c r="CB810" s="27" t="s">
        <v>7</v>
      </c>
      <c r="EZ810" s="27" t="s">
        <v>7</v>
      </c>
      <c r="FF810" s="27" t="s">
        <v>7</v>
      </c>
      <c r="FH810" s="27" t="s">
        <v>7</v>
      </c>
      <c r="FJ810" s="27" t="s">
        <v>7</v>
      </c>
      <c r="FK810" s="27" t="s">
        <v>8</v>
      </c>
      <c r="FL810" s="27" t="s">
        <v>7</v>
      </c>
      <c r="FM810" s="27" t="s">
        <v>8</v>
      </c>
      <c r="FN810" s="27" t="s">
        <v>7</v>
      </c>
      <c r="FO810" s="27" t="s">
        <v>8</v>
      </c>
      <c r="GF810" s="27" t="s">
        <v>7</v>
      </c>
    </row>
    <row r="811" spans="1:197" x14ac:dyDescent="0.25">
      <c r="A811" s="7">
        <v>1.184572170262178E-2</v>
      </c>
      <c r="B811"/>
      <c r="C811"/>
      <c r="D811"/>
      <c r="E811"/>
      <c r="BX811" s="27" t="s">
        <v>7</v>
      </c>
      <c r="BY811" s="27" t="s">
        <v>8</v>
      </c>
      <c r="BZ811" s="27" t="s">
        <v>7</v>
      </c>
      <c r="CA811" s="27" t="s">
        <v>8</v>
      </c>
      <c r="FJ811" s="27" t="s">
        <v>7</v>
      </c>
      <c r="FK811" s="27" t="s">
        <v>8</v>
      </c>
      <c r="FL811" s="27" t="s">
        <v>7</v>
      </c>
      <c r="FM811" s="27" t="s">
        <v>8</v>
      </c>
      <c r="FN811" s="27" t="s">
        <v>7</v>
      </c>
    </row>
    <row r="812" spans="1:197" x14ac:dyDescent="0.25">
      <c r="A812" s="7">
        <v>1.1613452649629196E-2</v>
      </c>
      <c r="B812"/>
      <c r="C812"/>
      <c r="D812"/>
      <c r="E812"/>
      <c r="BX812" s="27" t="s">
        <v>7</v>
      </c>
      <c r="BY812" s="27" t="s">
        <v>8</v>
      </c>
      <c r="BZ812" s="27" t="s">
        <v>7</v>
      </c>
      <c r="CA812" s="27" t="s">
        <v>8</v>
      </c>
      <c r="FJ812" s="27" t="s">
        <v>7</v>
      </c>
      <c r="FK812" s="27" t="s">
        <v>8</v>
      </c>
      <c r="FL812" s="27" t="s">
        <v>7</v>
      </c>
      <c r="FM812" s="27" t="s">
        <v>8</v>
      </c>
    </row>
    <row r="813" spans="1:197" x14ac:dyDescent="0.25">
      <c r="A813" s="7">
        <v>1.138573789179333E-2</v>
      </c>
      <c r="B813"/>
      <c r="C813"/>
      <c r="D813"/>
      <c r="E813"/>
      <c r="BX813" s="27" t="s">
        <v>7</v>
      </c>
      <c r="BY813" s="27" t="s">
        <v>8</v>
      </c>
      <c r="BZ813" s="27" t="s">
        <v>7</v>
      </c>
      <c r="CA813" s="27" t="s">
        <v>8</v>
      </c>
      <c r="FJ813" s="27" t="s">
        <v>7</v>
      </c>
      <c r="FK813" s="27" t="s">
        <v>8</v>
      </c>
      <c r="FL813" s="27" t="s">
        <v>7</v>
      </c>
    </row>
    <row r="814" spans="1:197" x14ac:dyDescent="0.25">
      <c r="A814" s="7">
        <v>1.1162488129209149E-2</v>
      </c>
      <c r="B814"/>
      <c r="C814"/>
      <c r="D814"/>
      <c r="E814"/>
      <c r="BX814" s="27" t="s">
        <v>7</v>
      </c>
      <c r="BY814" s="27" t="s">
        <v>8</v>
      </c>
      <c r="BZ814" s="27" t="s">
        <v>7</v>
      </c>
      <c r="CA814" s="27" t="s">
        <v>8</v>
      </c>
      <c r="FJ814" s="27" t="s">
        <v>7</v>
      </c>
      <c r="FK814" s="27" t="s">
        <v>8</v>
      </c>
    </row>
    <row r="815" spans="1:197" x14ac:dyDescent="0.25">
      <c r="A815" s="7">
        <v>1.0943615812950145E-2</v>
      </c>
      <c r="B815"/>
      <c r="C815"/>
      <c r="D815"/>
      <c r="E815"/>
      <c r="BX815" s="27" t="s">
        <v>7</v>
      </c>
      <c r="BY815" s="27" t="s">
        <v>8</v>
      </c>
      <c r="BZ815" s="27" t="s">
        <v>7</v>
      </c>
      <c r="CA815" s="27" t="s">
        <v>8</v>
      </c>
      <c r="FJ815" s="27" t="s">
        <v>7</v>
      </c>
      <c r="FK815" s="27" t="s">
        <v>8</v>
      </c>
    </row>
    <row r="816" spans="1:197" x14ac:dyDescent="0.25">
      <c r="A816" s="7">
        <v>1.0729035110735436E-2</v>
      </c>
      <c r="B816"/>
      <c r="C816"/>
      <c r="D816"/>
      <c r="E816"/>
      <c r="BX816" s="27" t="s">
        <v>7</v>
      </c>
      <c r="BY816" s="27" t="s">
        <v>8</v>
      </c>
      <c r="BZ816" s="27" t="s">
        <v>7</v>
      </c>
      <c r="FJ816" s="27" t="s">
        <v>7</v>
      </c>
    </row>
    <row r="817" spans="1:77" x14ac:dyDescent="0.25">
      <c r="A817" s="7">
        <v>1.0518661873270036E-2</v>
      </c>
      <c r="B817"/>
      <c r="C817"/>
      <c r="D817"/>
      <c r="E817"/>
      <c r="BX817" s="27" t="s">
        <v>7</v>
      </c>
      <c r="BY817" s="27" t="s">
        <v>8</v>
      </c>
    </row>
    <row r="818" spans="1:77" x14ac:dyDescent="0.25">
      <c r="A818" s="7">
        <v>1.0312413601245135E-2</v>
      </c>
      <c r="B818"/>
      <c r="C818"/>
      <c r="D818"/>
      <c r="E818"/>
      <c r="BX818" s="27" t="s">
        <v>7</v>
      </c>
      <c r="BY818" s="27" t="s">
        <v>8</v>
      </c>
    </row>
    <row r="819" spans="1:77" x14ac:dyDescent="0.25">
      <c r="A819" s="7">
        <v>1.0110209412985426E-2</v>
      </c>
      <c r="B819"/>
      <c r="C819"/>
      <c r="D819"/>
      <c r="E819"/>
      <c r="BX819" s="27" t="s">
        <v>7</v>
      </c>
      <c r="BY819" s="27" t="s">
        <v>8</v>
      </c>
    </row>
    <row r="820" spans="1:77" x14ac:dyDescent="0.25">
      <c r="A820" s="7">
        <v>9.9119700127308103E-3</v>
      </c>
      <c r="B820"/>
      <c r="C820"/>
      <c r="D820"/>
      <c r="E820"/>
      <c r="BX820" s="27" t="s">
        <v>7</v>
      </c>
      <c r="BY820" s="27" t="s">
        <v>8</v>
      </c>
    </row>
    <row r="821" spans="1:77" x14ac:dyDescent="0.25">
      <c r="A821" s="7">
        <v>9.717617659540009E-3</v>
      </c>
      <c r="B821"/>
      <c r="C821"/>
      <c r="D821"/>
      <c r="E821"/>
      <c r="BX821" s="27" t="s">
        <v>7</v>
      </c>
      <c r="BY821" s="27" t="s">
        <v>8</v>
      </c>
    </row>
    <row r="822" spans="1:77" x14ac:dyDescent="0.25">
      <c r="A822" s="7">
        <v>9.5270761368039299E-3</v>
      </c>
      <c r="B822"/>
      <c r="C822"/>
      <c r="D822"/>
      <c r="E822"/>
      <c r="BX822" s="27" t="s">
        <v>7</v>
      </c>
      <c r="BY822" s="27" t="s">
        <v>8</v>
      </c>
    </row>
    <row r="823" spans="1:77" x14ac:dyDescent="0.25">
      <c r="A823" s="7">
        <v>9.3402707223567936E-3</v>
      </c>
      <c r="B823"/>
      <c r="C823"/>
      <c r="D823"/>
      <c r="E823"/>
      <c r="BX823" s="27" t="s">
        <v>7</v>
      </c>
      <c r="BY823" s="27" t="s">
        <v>8</v>
      </c>
    </row>
    <row r="824" spans="1:77" x14ac:dyDescent="0.25">
      <c r="A824" s="7">
        <v>9.1571281591733261E-3</v>
      </c>
      <c r="B824"/>
      <c r="C824"/>
      <c r="D824"/>
      <c r="E824"/>
      <c r="BX824" s="27" t="s">
        <v>7</v>
      </c>
      <c r="BY824" s="27" t="s">
        <v>8</v>
      </c>
    </row>
    <row r="825" spans="1:77" x14ac:dyDescent="0.25">
      <c r="A825" s="7">
        <v>8.9775766266405148E-3</v>
      </c>
      <c r="B825"/>
      <c r="C825"/>
      <c r="D825"/>
      <c r="E825"/>
      <c r="BX825" s="27" t="s">
        <v>7</v>
      </c>
      <c r="BY825" s="27" t="s">
        <v>8</v>
      </c>
    </row>
    <row r="826" spans="1:77" x14ac:dyDescent="0.25">
      <c r="A826" s="7">
        <v>8.8015457123926614E-3</v>
      </c>
      <c r="B826"/>
      <c r="C826"/>
      <c r="D826"/>
      <c r="E826"/>
      <c r="BX826" s="27" t="s">
        <v>7</v>
      </c>
      <c r="BY826" s="27" t="s">
        <v>8</v>
      </c>
    </row>
    <row r="827" spans="1:77" x14ac:dyDescent="0.25">
      <c r="A827" s="7">
        <v>8.6289663846986879E-3</v>
      </c>
      <c r="B827"/>
      <c r="C827"/>
      <c r="D827"/>
      <c r="E827"/>
      <c r="BX827" s="27" t="s">
        <v>7</v>
      </c>
      <c r="BY827" s="27" t="s">
        <v>8</v>
      </c>
    </row>
    <row r="828" spans="1:77" x14ac:dyDescent="0.25">
      <c r="A828" s="7">
        <v>8.4597709653908715E-3</v>
      </c>
      <c r="B828"/>
      <c r="C828"/>
      <c r="D828"/>
      <c r="E828"/>
      <c r="BX828" s="27" t="s">
        <v>7</v>
      </c>
      <c r="BY828" s="27" t="s">
        <v>8</v>
      </c>
    </row>
    <row r="829" spans="1:77" x14ac:dyDescent="0.25">
      <c r="A829" s="7">
        <v>8.2938931033243839E-3</v>
      </c>
      <c r="B829"/>
      <c r="C829"/>
      <c r="D829"/>
      <c r="E829"/>
      <c r="BX829" s="27" t="s">
        <v>7</v>
      </c>
      <c r="BY829" s="27" t="s">
        <v>8</v>
      </c>
    </row>
    <row r="830" spans="1:77" x14ac:dyDescent="0.25">
      <c r="A830" s="7">
        <v>8.1312677483572383E-3</v>
      </c>
      <c r="B830"/>
      <c r="C830"/>
      <c r="D830"/>
      <c r="E830"/>
      <c r="BX830" s="27" t="s">
        <v>7</v>
      </c>
      <c r="BY830" s="27" t="s">
        <v>8</v>
      </c>
    </row>
    <row r="831" spans="1:77" x14ac:dyDescent="0.25">
      <c r="A831" s="7">
        <v>7.9718311258404305E-3</v>
      </c>
      <c r="B831"/>
      <c r="C831"/>
      <c r="D831"/>
      <c r="E831"/>
      <c r="BX831" s="27" t="s">
        <v>7</v>
      </c>
      <c r="BY831" s="27" t="s">
        <v>8</v>
      </c>
    </row>
    <row r="832" spans="1:77" x14ac:dyDescent="0.25">
      <c r="A832" s="7">
        <v>7.8155207116082648E-3</v>
      </c>
      <c r="B832"/>
      <c r="C832"/>
      <c r="D832"/>
      <c r="E832"/>
      <c r="BX832" s="27" t="s">
        <v>7</v>
      </c>
      <c r="BY832" s="27" t="s">
        <v>8</v>
      </c>
    </row>
    <row r="833" spans="1:77" x14ac:dyDescent="0.25">
      <c r="A833" s="7">
        <v>7.6622752074590825E-3</v>
      </c>
      <c r="B833"/>
      <c r="C833"/>
      <c r="D833"/>
      <c r="E833"/>
      <c r="BX833" s="27" t="s">
        <v>7</v>
      </c>
      <c r="BY833" s="27" t="s">
        <v>8</v>
      </c>
    </row>
    <row r="834" spans="1:77" x14ac:dyDescent="0.25">
      <c r="A834" s="7">
        <v>7.5120345171167469E-3</v>
      </c>
      <c r="B834"/>
      <c r="C834"/>
      <c r="D834"/>
      <c r="E834"/>
      <c r="BX834" s="27" t="s">
        <v>7</v>
      </c>
      <c r="BY834" s="27" t="s">
        <v>8</v>
      </c>
    </row>
    <row r="835" spans="1:77" x14ac:dyDescent="0.25">
      <c r="A835" s="7">
        <v>7.3647397226634772E-3</v>
      </c>
      <c r="B835"/>
      <c r="C835"/>
      <c r="D835"/>
      <c r="E835"/>
      <c r="BX835" s="27" t="s">
        <v>7</v>
      </c>
      <c r="BY835" s="27" t="s">
        <v>8</v>
      </c>
    </row>
    <row r="836" spans="1:77" x14ac:dyDescent="0.25">
      <c r="A836" s="7">
        <v>7.2203330614347815E-3</v>
      </c>
      <c r="B836"/>
      <c r="C836"/>
      <c r="D836"/>
      <c r="E836"/>
      <c r="BX836" s="27" t="s">
        <v>7</v>
      </c>
    </row>
    <row r="837" spans="1:77" x14ac:dyDescent="0.25">
      <c r="A837" s="7">
        <v>7.0787579033674327E-3</v>
      </c>
      <c r="B837"/>
      <c r="C837"/>
      <c r="D837"/>
      <c r="E837"/>
    </row>
    <row r="838" spans="1:77" x14ac:dyDescent="0.25">
      <c r="A838" s="7">
        <v>6.9399587287916013E-3</v>
      </c>
      <c r="B838"/>
      <c r="C838"/>
      <c r="D838"/>
      <c r="E838"/>
    </row>
    <row r="839" spans="1:77" x14ac:dyDescent="0.25">
      <c r="A839" s="7">
        <v>6.8038811066584333E-3</v>
      </c>
      <c r="B839"/>
      <c r="C839"/>
      <c r="D839"/>
      <c r="E839"/>
    </row>
    <row r="840" spans="1:77" x14ac:dyDescent="0.25">
      <c r="A840" s="7">
        <v>6.6704716731945425E-3</v>
      </c>
      <c r="B840"/>
      <c r="C840"/>
      <c r="D840"/>
      <c r="E840"/>
    </row>
    <row r="841" spans="1:77" x14ac:dyDescent="0.25">
      <c r="A841" s="7">
        <v>6.5396781109750427E-3</v>
      </c>
      <c r="B841"/>
      <c r="C841"/>
      <c r="D841"/>
      <c r="E841"/>
    </row>
    <row r="842" spans="1:77" x14ac:dyDescent="0.25">
      <c r="A842" s="7">
        <v>6.4114491284069045E-3</v>
      </c>
      <c r="B842"/>
      <c r="C842"/>
      <c r="D842"/>
      <c r="E842"/>
    </row>
    <row r="843" spans="1:77" x14ac:dyDescent="0.25">
      <c r="A843" s="7">
        <v>6.2857344396146115E-3</v>
      </c>
      <c r="B843"/>
      <c r="C843"/>
      <c r="D843"/>
      <c r="E843"/>
    </row>
    <row r="844" spans="1:77" x14ac:dyDescent="0.25">
      <c r="A844" s="7">
        <v>6.1624847447202076E-3</v>
      </c>
      <c r="B844"/>
      <c r="C844"/>
      <c r="D844"/>
      <c r="E844"/>
    </row>
    <row r="845" spans="1:77" x14ac:dyDescent="0.25">
      <c r="A845" s="7">
        <v>6.0416517105100079E-3</v>
      </c>
      <c r="B845"/>
      <c r="C845"/>
      <c r="D845"/>
      <c r="E845"/>
    </row>
    <row r="846" spans="1:77" x14ac:dyDescent="0.25">
      <c r="A846" s="7">
        <v>5.9231879514803996E-3</v>
      </c>
      <c r="B846"/>
      <c r="C846"/>
      <c r="D846"/>
      <c r="E846"/>
    </row>
    <row r="847" spans="1:77" x14ac:dyDescent="0.25">
      <c r="A847" s="7">
        <v>5.8070470112552936E-3</v>
      </c>
      <c r="B847"/>
      <c r="C847"/>
      <c r="D847"/>
      <c r="E847"/>
    </row>
    <row r="848" spans="1:77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61" operator="equal">
      <formula>$U$1</formula>
    </cfRule>
    <cfRule type="cellIs" dxfId="89" priority="1262" operator="equal">
      <formula>$S$1</formula>
    </cfRule>
  </conditionalFormatting>
  <conditionalFormatting sqref="D27">
    <cfRule type="cellIs" dxfId="88" priority="1259" operator="equal">
      <formula>$S$1</formula>
    </cfRule>
    <cfRule type="cellIs" dxfId="87" priority="1260" operator="equal">
      <formula>$U$1</formula>
    </cfRule>
  </conditionalFormatting>
  <conditionalFormatting sqref="C164">
    <cfRule type="cellIs" dxfId="86" priority="1257" operator="equal">
      <formula>$U$1</formula>
    </cfRule>
    <cfRule type="cellIs" dxfId="85" priority="1258" operator="equal">
      <formula>$S$1</formula>
    </cfRule>
  </conditionalFormatting>
  <conditionalFormatting sqref="D164">
    <cfRule type="cellIs" dxfId="84" priority="1255" operator="equal">
      <formula>$S$1</formula>
    </cfRule>
    <cfRule type="cellIs" dxfId="83" priority="1256" operator="equal">
      <formula>$U$1</formula>
    </cfRule>
  </conditionalFormatting>
  <conditionalFormatting sqref="C55">
    <cfRule type="cellIs" dxfId="82" priority="1253" operator="equal">
      <formula>$U$1</formula>
    </cfRule>
    <cfRule type="cellIs" dxfId="81" priority="1254" operator="equal">
      <formula>$S$1</formula>
    </cfRule>
  </conditionalFormatting>
  <conditionalFormatting sqref="D55">
    <cfRule type="cellIs" dxfId="80" priority="1251" operator="equal">
      <formula>$S$1</formula>
    </cfRule>
    <cfRule type="cellIs" dxfId="79" priority="1252" operator="equal">
      <formula>$U$1</formula>
    </cfRule>
  </conditionalFormatting>
  <conditionalFormatting sqref="C89">
    <cfRule type="cellIs" dxfId="78" priority="1249" operator="equal">
      <formula>$U$1</formula>
    </cfRule>
    <cfRule type="cellIs" dxfId="77" priority="1250" operator="equal">
      <formula>$S$1</formula>
    </cfRule>
  </conditionalFormatting>
  <conditionalFormatting sqref="D89">
    <cfRule type="cellIs" dxfId="76" priority="1247" operator="equal">
      <formula>$S$1</formula>
    </cfRule>
    <cfRule type="cellIs" dxfId="75" priority="1248" operator="equal">
      <formula>$U$1</formula>
    </cfRule>
  </conditionalFormatting>
  <conditionalFormatting sqref="C136">
    <cfRule type="cellIs" dxfId="74" priority="1245" operator="equal">
      <formula>$U$1</formula>
    </cfRule>
    <cfRule type="cellIs" dxfId="73" priority="1246" operator="equal">
      <formula>$S$1</formula>
    </cfRule>
  </conditionalFormatting>
  <conditionalFormatting sqref="D136">
    <cfRule type="cellIs" dxfId="72" priority="1243" operator="equal">
      <formula>$S$1</formula>
    </cfRule>
    <cfRule type="cellIs" dxfId="71" priority="1244" operator="equal">
      <formula>$U$1</formula>
    </cfRule>
  </conditionalFormatting>
  <conditionalFormatting sqref="C1">
    <cfRule type="cellIs" dxfId="70" priority="124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70" zoomScale="90" zoomScaleNormal="90" workbookViewId="0">
      <pane xSplit="4" topLeftCell="CM1" activePane="topRight" state="frozen"/>
      <selection activeCell="A109" sqref="A109"/>
      <selection pane="topRight" activeCell="EU295" sqref="EU29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$A$294</v>
      </c>
      <c r="D111" s="1" t="str">
        <f>ADDRESS(C121-1,D121,1,1)</f>
        <v>$EU$294</v>
      </c>
      <c r="E111"/>
    </row>
    <row r="112" spans="1:5" x14ac:dyDescent="0.25">
      <c r="A112" s="30">
        <v>515.50191262726139</v>
      </c>
      <c r="C112" s="1" t="str">
        <f>ADDRESS(C121,1,1,1)</f>
        <v>$A$295</v>
      </c>
      <c r="D112" s="1" t="str">
        <f>ADDRESS(C121,D121-1,1,1)</f>
        <v>$ET$295</v>
      </c>
      <c r="E112"/>
    </row>
    <row r="113" spans="1:5" x14ac:dyDescent="0.25">
      <c r="A113" s="30">
        <v>490.95420250215363</v>
      </c>
      <c r="C113" s="1" t="str">
        <f>ADDRESS(C121+1,1,1,1)</f>
        <v>$A$296</v>
      </c>
      <c r="D113" s="1" t="str">
        <f>ADDRESS(C121-1,D121+1,1,1)</f>
        <v>$EV$294</v>
      </c>
    </row>
    <row r="114" spans="1:5" x14ac:dyDescent="0.25">
      <c r="A114" s="30">
        <v>467.57543095443202</v>
      </c>
      <c r="C114" s="1" t="str">
        <f>ADDRESS(C121,D121,1,1)</f>
        <v>$EU$295</v>
      </c>
      <c r="D114" s="1" t="str">
        <f>ADDRESS(C121+1,D121+1,1,1)</f>
        <v>$EV$296</v>
      </c>
    </row>
    <row r="115" spans="1:5" x14ac:dyDescent="0.25">
      <c r="A115" s="30">
        <v>445.30993424231622</v>
      </c>
      <c r="C115" s="1" t="str">
        <f>ADDRESS(C121+1,D121,1,1)</f>
        <v>$EU$296</v>
      </c>
    </row>
    <row r="116" spans="1:5" x14ac:dyDescent="0.25">
      <c r="A116" s="30">
        <v>424.10469927839637</v>
      </c>
      <c r="C116" s="1">
        <f>C117-1</f>
        <v>294</v>
      </c>
    </row>
    <row r="117" spans="1:5" x14ac:dyDescent="0.25">
      <c r="A117" s="30">
        <v>403.9092374079965</v>
      </c>
      <c r="C117" s="1">
        <f>C121</f>
        <v>295</v>
      </c>
      <c r="D117" s="1">
        <f>D121</f>
        <v>151</v>
      </c>
    </row>
    <row r="118" spans="1:5" x14ac:dyDescent="0.25">
      <c r="A118" s="30">
        <v>384.6754641980919</v>
      </c>
      <c r="C118" s="1">
        <f>C117+1</f>
        <v>296</v>
      </c>
      <c r="D118" s="1">
        <f>D117+1</f>
        <v>152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295</v>
      </c>
      <c r="D121" s="19">
        <v>151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R295</v>
      </c>
      <c r="D123" s="1" t="str">
        <f>"C"&amp;D121</f>
        <v>C151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6.8326401896430078E-2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90" x14ac:dyDescent="0.25">
      <c r="A257" s="30">
        <v>0.43629668761085438</v>
      </c>
      <c r="B257"/>
      <c r="C257"/>
      <c r="D257"/>
      <c r="E257"/>
      <c r="F257" s="27" t="s">
        <v>7</v>
      </c>
    </row>
    <row r="258" spans="1:90" x14ac:dyDescent="0.25">
      <c r="A258" s="30">
        <v>0.41552065486748019</v>
      </c>
      <c r="B258"/>
      <c r="C258"/>
      <c r="D258"/>
      <c r="E258"/>
      <c r="F258" s="27" t="s">
        <v>7</v>
      </c>
    </row>
    <row r="259" spans="1:90" x14ac:dyDescent="0.25">
      <c r="A259" s="30">
        <v>0.39573395701664765</v>
      </c>
      <c r="B259"/>
      <c r="C259"/>
      <c r="D259"/>
      <c r="E259"/>
      <c r="F259" s="27" t="s">
        <v>7</v>
      </c>
    </row>
    <row r="260" spans="1:90" x14ac:dyDescent="0.25">
      <c r="A260" s="30">
        <v>0.37688948287299762</v>
      </c>
      <c r="B260"/>
      <c r="C260"/>
      <c r="D260"/>
      <c r="E260"/>
      <c r="F260" s="27" t="s">
        <v>7</v>
      </c>
    </row>
    <row r="261" spans="1:90" x14ac:dyDescent="0.25">
      <c r="A261" s="30">
        <v>0.35894236464094997</v>
      </c>
      <c r="B261"/>
      <c r="C261"/>
      <c r="D261"/>
      <c r="E261"/>
      <c r="F261" s="27" t="s">
        <v>7</v>
      </c>
    </row>
    <row r="262" spans="1:90" x14ac:dyDescent="0.25">
      <c r="A262" s="30">
        <v>0.34184987108661891</v>
      </c>
      <c r="B262"/>
      <c r="C262"/>
      <c r="D262"/>
      <c r="E262"/>
      <c r="F262" s="27" t="s">
        <v>7</v>
      </c>
    </row>
    <row r="263" spans="1:90" x14ac:dyDescent="0.25">
      <c r="A263" s="30">
        <v>0.32557130579677979</v>
      </c>
      <c r="B263"/>
      <c r="C263"/>
      <c r="D263"/>
      <c r="E263"/>
      <c r="F263" s="27" t="s">
        <v>7</v>
      </c>
    </row>
    <row r="264" spans="1:90" x14ac:dyDescent="0.25">
      <c r="A264" s="30">
        <v>0.3100679102826473</v>
      </c>
      <c r="B264"/>
      <c r="C264"/>
      <c r="D264"/>
      <c r="E264"/>
      <c r="F264" s="27" t="s">
        <v>7</v>
      </c>
    </row>
    <row r="265" spans="1:90" x14ac:dyDescent="0.25">
      <c r="A265" s="30">
        <v>0.2953027716977592</v>
      </c>
      <c r="B265"/>
      <c r="C265"/>
      <c r="D265"/>
      <c r="E265"/>
      <c r="F265" s="27" t="s">
        <v>7</v>
      </c>
    </row>
    <row r="266" spans="1:90" x14ac:dyDescent="0.25">
      <c r="A266" s="30">
        <v>0.28124073495024676</v>
      </c>
      <c r="B266"/>
      <c r="C266"/>
      <c r="D266"/>
      <c r="E266"/>
      <c r="F266" s="27" t="s">
        <v>7</v>
      </c>
      <c r="BQ266" s="27" t="s">
        <v>8</v>
      </c>
    </row>
    <row r="267" spans="1:90" x14ac:dyDescent="0.25">
      <c r="A267" s="30">
        <v>0.26784831900023492</v>
      </c>
      <c r="B267"/>
      <c r="C267"/>
      <c r="D267"/>
      <c r="E267"/>
      <c r="F267" s="27" t="s">
        <v>7</v>
      </c>
      <c r="BQ267" s="27" t="s">
        <v>8</v>
      </c>
      <c r="BR267" s="27" t="s">
        <v>7</v>
      </c>
      <c r="BY267" s="27" t="s">
        <v>8</v>
      </c>
    </row>
    <row r="268" spans="1:90" x14ac:dyDescent="0.25">
      <c r="A268" s="30">
        <v>0.25509363714308075</v>
      </c>
      <c r="B268"/>
      <c r="C268"/>
      <c r="D268"/>
      <c r="E268"/>
      <c r="F268" s="27" t="s">
        <v>7</v>
      </c>
      <c r="BQ268" s="27" t="s">
        <v>8</v>
      </c>
      <c r="BR268" s="27" t="s">
        <v>7</v>
      </c>
      <c r="BY268" s="27" t="s">
        <v>8</v>
      </c>
      <c r="BZ268" s="27" t="s">
        <v>7</v>
      </c>
      <c r="CG268" s="27" t="s">
        <v>8</v>
      </c>
    </row>
    <row r="269" spans="1:90" x14ac:dyDescent="0.25">
      <c r="A269" s="30">
        <v>0.24294632108864825</v>
      </c>
      <c r="B269"/>
      <c r="C269"/>
      <c r="D269"/>
      <c r="E269"/>
      <c r="F269" s="27" t="s">
        <v>7</v>
      </c>
      <c r="BQ269" s="27" t="s">
        <v>8</v>
      </c>
      <c r="BR269" s="27" t="s">
        <v>7</v>
      </c>
      <c r="BY269" s="27" t="s">
        <v>8</v>
      </c>
      <c r="BZ269" s="27" t="s">
        <v>7</v>
      </c>
      <c r="CA269" s="27" t="s">
        <v>8</v>
      </c>
      <c r="CG269" s="27" t="s">
        <v>8</v>
      </c>
      <c r="CH269" s="27" t="s">
        <v>7</v>
      </c>
      <c r="CI269" s="33" t="s">
        <v>8</v>
      </c>
    </row>
    <row r="270" spans="1:90" x14ac:dyDescent="0.25">
      <c r="A270" s="30">
        <v>0.23137744865585538</v>
      </c>
      <c r="B270"/>
      <c r="C270"/>
      <c r="D270"/>
      <c r="E270"/>
      <c r="F270" s="27" t="s">
        <v>7</v>
      </c>
      <c r="BQ270" s="27" t="s">
        <v>8</v>
      </c>
      <c r="BR270" s="27" t="s">
        <v>7</v>
      </c>
      <c r="BY270" s="27" t="s">
        <v>8</v>
      </c>
      <c r="BZ270" s="27" t="s">
        <v>7</v>
      </c>
      <c r="CA270" s="27" t="s">
        <v>8</v>
      </c>
      <c r="CB270" s="27" t="s">
        <v>7</v>
      </c>
      <c r="CG270" s="27" t="s">
        <v>8</v>
      </c>
      <c r="CH270" s="27" t="s">
        <v>7</v>
      </c>
      <c r="CI270" s="27" t="s">
        <v>8</v>
      </c>
      <c r="CJ270" s="33" t="s">
        <v>7</v>
      </c>
    </row>
    <row r="271" spans="1:90" x14ac:dyDescent="0.25">
      <c r="A271" s="30">
        <v>0.22035947491033836</v>
      </c>
      <c r="B271"/>
      <c r="C271"/>
      <c r="D271"/>
      <c r="E271"/>
      <c r="F271" s="27" t="s">
        <v>7</v>
      </c>
      <c r="BQ271" s="27" t="s">
        <v>8</v>
      </c>
      <c r="BR271" s="27" t="s">
        <v>7</v>
      </c>
      <c r="BY271" s="27" t="s">
        <v>8</v>
      </c>
      <c r="BZ271" s="27" t="s">
        <v>7</v>
      </c>
      <c r="CA271" s="27" t="s">
        <v>8</v>
      </c>
      <c r="CB271" s="27" t="s">
        <v>7</v>
      </c>
      <c r="CC271" s="27" t="s">
        <v>8</v>
      </c>
      <c r="CG271" s="27" t="s">
        <v>8</v>
      </c>
      <c r="CH271" s="27" t="s">
        <v>7</v>
      </c>
      <c r="CI271" s="27" t="s">
        <v>8</v>
      </c>
      <c r="CJ271" s="27" t="s">
        <v>7</v>
      </c>
      <c r="CK271" s="33"/>
    </row>
    <row r="272" spans="1:90" x14ac:dyDescent="0.25">
      <c r="A272" s="30">
        <v>0.20986616658127455</v>
      </c>
      <c r="B272"/>
      <c r="C272"/>
      <c r="D272"/>
      <c r="E272"/>
      <c r="F272" s="27" t="s">
        <v>7</v>
      </c>
      <c r="BQ272" s="27" t="s">
        <v>8</v>
      </c>
      <c r="BR272" s="27" t="s">
        <v>7</v>
      </c>
      <c r="BY272" s="27" t="s">
        <v>8</v>
      </c>
      <c r="BZ272" s="27" t="s">
        <v>7</v>
      </c>
      <c r="CB272" s="27" t="s">
        <v>7</v>
      </c>
      <c r="CC272" s="27" t="s">
        <v>8</v>
      </c>
      <c r="CD272" s="27" t="s">
        <v>7</v>
      </c>
      <c r="CE272" s="27" t="s">
        <v>8</v>
      </c>
      <c r="CG272" s="27" t="s">
        <v>8</v>
      </c>
      <c r="CH272" s="27" t="s">
        <v>7</v>
      </c>
      <c r="CI272" s="27" t="s">
        <v>8</v>
      </c>
      <c r="CJ272" s="27" t="s">
        <v>7</v>
      </c>
      <c r="CL272" s="33"/>
    </row>
    <row r="273" spans="1:148" x14ac:dyDescent="0.25">
      <c r="A273" s="30">
        <v>0.19987253960121379</v>
      </c>
      <c r="B273"/>
      <c r="C273"/>
      <c r="D273"/>
      <c r="E273"/>
      <c r="F273" s="27" t="s">
        <v>7</v>
      </c>
      <c r="BQ273" s="27" t="s">
        <v>8</v>
      </c>
      <c r="BR273" s="27" t="s">
        <v>7</v>
      </c>
      <c r="BW273" s="27" t="s">
        <v>8</v>
      </c>
      <c r="BY273" s="27" t="s">
        <v>8</v>
      </c>
      <c r="CB273" s="27" t="s">
        <v>7</v>
      </c>
      <c r="CC273" s="27" t="s">
        <v>8</v>
      </c>
      <c r="CD273" s="27" t="s">
        <v>7</v>
      </c>
      <c r="CE273" s="27" t="s">
        <v>8</v>
      </c>
      <c r="CF273" s="27" t="s">
        <v>7</v>
      </c>
      <c r="CG273" s="27" t="s">
        <v>8</v>
      </c>
      <c r="CH273" s="27" t="s">
        <v>7</v>
      </c>
      <c r="CJ273" s="27" t="s">
        <v>7</v>
      </c>
      <c r="CM273" s="33"/>
      <c r="CO273" s="33" t="s">
        <v>8</v>
      </c>
    </row>
    <row r="274" spans="1:148" x14ac:dyDescent="0.25">
      <c r="A274" s="30">
        <v>0.19035479962020352</v>
      </c>
      <c r="B274"/>
      <c r="C274"/>
      <c r="D274"/>
      <c r="E274"/>
      <c r="F274" s="27" t="s">
        <v>7</v>
      </c>
      <c r="BQ274" s="27" t="s">
        <v>8</v>
      </c>
      <c r="BR274" s="27" t="s">
        <v>7</v>
      </c>
      <c r="BS274" s="27" t="s">
        <v>8</v>
      </c>
      <c r="BW274" s="27" t="s">
        <v>8</v>
      </c>
      <c r="BX274" s="27" t="s">
        <v>7</v>
      </c>
      <c r="BY274" s="27" t="s">
        <v>8</v>
      </c>
      <c r="CB274" s="27" t="s">
        <v>7</v>
      </c>
      <c r="CD274" s="27" t="s">
        <v>7</v>
      </c>
      <c r="CE274" s="27" t="s">
        <v>8</v>
      </c>
      <c r="CF274" s="27" t="s">
        <v>7</v>
      </c>
      <c r="CG274" s="27" t="s">
        <v>8</v>
      </c>
      <c r="CJ274" s="27" t="s">
        <v>7</v>
      </c>
      <c r="CK274" s="27" t="s">
        <v>8</v>
      </c>
      <c r="CN274" s="33"/>
      <c r="CO274" s="27" t="s">
        <v>8</v>
      </c>
      <c r="CP274" s="33" t="s">
        <v>7</v>
      </c>
    </row>
    <row r="275" spans="1:148" x14ac:dyDescent="0.25">
      <c r="A275" s="30">
        <v>0.18129028535257471</v>
      </c>
      <c r="B275"/>
      <c r="C275"/>
      <c r="D275"/>
      <c r="E275"/>
      <c r="F275" s="27" t="s">
        <v>7</v>
      </c>
      <c r="BQ275" s="27" t="s">
        <v>8</v>
      </c>
      <c r="BR275" s="27" t="s">
        <v>7</v>
      </c>
      <c r="BS275" s="27" t="s">
        <v>8</v>
      </c>
      <c r="BT275" s="27" t="s">
        <v>7</v>
      </c>
      <c r="BW275" s="27" t="s">
        <v>8</v>
      </c>
      <c r="BX275" s="27" t="s">
        <v>7</v>
      </c>
      <c r="BY275" s="27" t="s">
        <v>8</v>
      </c>
      <c r="CD275" s="27" t="s">
        <v>7</v>
      </c>
      <c r="CF275" s="27" t="s">
        <v>7</v>
      </c>
      <c r="CG275" s="27" t="s">
        <v>8</v>
      </c>
      <c r="CJ275" s="27" t="s">
        <v>7</v>
      </c>
      <c r="CK275" s="27" t="s">
        <v>8</v>
      </c>
      <c r="CL275" s="27" t="s">
        <v>7</v>
      </c>
      <c r="CO275" s="33" t="s">
        <v>8</v>
      </c>
      <c r="CP275" s="27" t="s">
        <v>7</v>
      </c>
      <c r="CQ275" s="33"/>
    </row>
    <row r="276" spans="1:148" x14ac:dyDescent="0.25">
      <c r="A276" s="30">
        <v>0.17265741462149967</v>
      </c>
      <c r="B276"/>
      <c r="C276"/>
      <c r="D276"/>
      <c r="E276"/>
      <c r="F276" s="27" t="s">
        <v>7</v>
      </c>
      <c r="BQ276" s="27" t="s">
        <v>8</v>
      </c>
      <c r="BR276" s="27" t="s">
        <v>7</v>
      </c>
      <c r="BS276" s="27" t="s">
        <v>8</v>
      </c>
      <c r="BT276" s="27" t="s">
        <v>7</v>
      </c>
      <c r="BU276" s="27" t="s">
        <v>8</v>
      </c>
      <c r="BW276" s="27" t="s">
        <v>8</v>
      </c>
      <c r="BX276" s="27" t="s">
        <v>7</v>
      </c>
      <c r="CF276" s="27" t="s">
        <v>7</v>
      </c>
      <c r="CJ276" s="27" t="s">
        <v>7</v>
      </c>
      <c r="CK276" s="27" t="s">
        <v>8</v>
      </c>
      <c r="CL276" s="27" t="s">
        <v>7</v>
      </c>
      <c r="CO276" s="27" t="s">
        <v>8</v>
      </c>
      <c r="CP276" s="27" t="s">
        <v>7</v>
      </c>
      <c r="CR276" s="33"/>
      <c r="DK276" s="27" t="s">
        <v>8</v>
      </c>
    </row>
    <row r="277" spans="1:148" x14ac:dyDescent="0.25">
      <c r="A277" s="30">
        <v>0.16443563297285677</v>
      </c>
      <c r="B277"/>
      <c r="C277"/>
      <c r="D277"/>
      <c r="E277"/>
      <c r="F277" s="27" t="s">
        <v>7</v>
      </c>
      <c r="BQ277" s="27" t="s">
        <v>8</v>
      </c>
      <c r="BR277" s="27" t="s">
        <v>7</v>
      </c>
      <c r="BS277" s="27" t="s">
        <v>8</v>
      </c>
      <c r="BT277" s="27" t="s">
        <v>7</v>
      </c>
      <c r="BU277" s="27" t="s">
        <v>8</v>
      </c>
      <c r="BV277" s="27" t="s">
        <v>7</v>
      </c>
      <c r="BW277" s="27" t="s">
        <v>8</v>
      </c>
      <c r="CJ277" s="27" t="s">
        <v>7</v>
      </c>
      <c r="CL277" s="27" t="s">
        <v>7</v>
      </c>
      <c r="CO277" s="27" t="s">
        <v>8</v>
      </c>
      <c r="CP277" s="27" t="s">
        <v>7</v>
      </c>
      <c r="CS277" s="33"/>
      <c r="DK277" s="27" t="s">
        <v>8</v>
      </c>
      <c r="DL277" s="27" t="s">
        <v>7</v>
      </c>
      <c r="DO277" s="27" t="s">
        <v>8</v>
      </c>
    </row>
    <row r="278" spans="1:148" x14ac:dyDescent="0.25">
      <c r="A278" s="30">
        <v>0.15660536473605399</v>
      </c>
      <c r="B278"/>
      <c r="C278"/>
      <c r="D278"/>
      <c r="E278"/>
      <c r="F278" s="27" t="s">
        <v>7</v>
      </c>
      <c r="BQ278" s="27" t="s">
        <v>8</v>
      </c>
      <c r="BR278" s="27" t="s">
        <v>7</v>
      </c>
      <c r="BS278" s="27" t="s">
        <v>8</v>
      </c>
      <c r="BT278" s="27" t="s">
        <v>7</v>
      </c>
      <c r="BU278" s="27" t="s">
        <v>8</v>
      </c>
      <c r="BV278" s="27" t="s">
        <v>7</v>
      </c>
      <c r="BW278" s="27" t="s">
        <v>8</v>
      </c>
      <c r="CL278" s="27" t="s">
        <v>7</v>
      </c>
      <c r="CO278" s="27" t="s">
        <v>8</v>
      </c>
      <c r="CP278" s="27" t="s">
        <v>7</v>
      </c>
      <c r="CQ278" s="27" t="s">
        <v>8</v>
      </c>
      <c r="CT278" s="33"/>
      <c r="DK278" s="27" t="s">
        <v>8</v>
      </c>
      <c r="DL278" s="27" t="s">
        <v>7</v>
      </c>
      <c r="DM278" s="27" t="s">
        <v>8</v>
      </c>
      <c r="DO278" s="27" t="s">
        <v>8</v>
      </c>
      <c r="DP278" s="27" t="s">
        <v>7</v>
      </c>
    </row>
    <row r="279" spans="1:148" x14ac:dyDescent="0.25">
      <c r="A279" s="30">
        <v>0.14914796641528946</v>
      </c>
      <c r="B279"/>
      <c r="C279"/>
      <c r="D279"/>
      <c r="E279"/>
      <c r="F279" s="27" t="s">
        <v>7</v>
      </c>
      <c r="BQ279" s="27" t="s">
        <v>8</v>
      </c>
      <c r="BR279" s="27" t="s">
        <v>7</v>
      </c>
      <c r="BS279" s="27" t="s">
        <v>8</v>
      </c>
      <c r="BT279" s="27" t="s">
        <v>7</v>
      </c>
      <c r="BU279" s="27" t="s">
        <v>8</v>
      </c>
      <c r="BV279" s="27" t="s">
        <v>7</v>
      </c>
      <c r="BW279" s="27" t="s">
        <v>8</v>
      </c>
      <c r="CL279" s="27" t="s">
        <v>7</v>
      </c>
      <c r="CO279" s="27" t="s">
        <v>8</v>
      </c>
      <c r="CP279" s="27" t="s">
        <v>7</v>
      </c>
      <c r="CQ279" s="27" t="s">
        <v>8</v>
      </c>
      <c r="CR279" s="27" t="s">
        <v>7</v>
      </c>
      <c r="CU279" s="33"/>
      <c r="DK279" s="27" t="s">
        <v>8</v>
      </c>
      <c r="DL279" s="27" t="s">
        <v>7</v>
      </c>
      <c r="DM279" s="27" t="s">
        <v>8</v>
      </c>
      <c r="DN279" s="27" t="s">
        <v>7</v>
      </c>
      <c r="DO279" s="27" t="s">
        <v>8</v>
      </c>
      <c r="DP279" s="27" t="s">
        <v>7</v>
      </c>
      <c r="EA279" s="27" t="s">
        <v>8</v>
      </c>
    </row>
    <row r="280" spans="1:148" x14ac:dyDescent="0.25">
      <c r="A280" s="30">
        <v>0.14204568230027562</v>
      </c>
      <c r="B280"/>
      <c r="C280"/>
      <c r="D280"/>
      <c r="E280"/>
      <c r="F280" s="27" t="s">
        <v>7</v>
      </c>
      <c r="BQ280" s="27" t="s">
        <v>8</v>
      </c>
      <c r="BR280" s="27" t="s">
        <v>7</v>
      </c>
      <c r="BT280" s="27" t="s">
        <v>7</v>
      </c>
      <c r="BU280" s="27" t="s">
        <v>8</v>
      </c>
      <c r="BV280" s="27" t="s">
        <v>7</v>
      </c>
      <c r="CL280" s="27" t="s">
        <v>7</v>
      </c>
      <c r="CM280" s="27" t="s">
        <v>8</v>
      </c>
      <c r="CO280" s="27" t="s">
        <v>8</v>
      </c>
      <c r="CP280" s="27" t="s">
        <v>7</v>
      </c>
      <c r="CQ280" s="27" t="s">
        <v>8</v>
      </c>
      <c r="CR280" s="27" t="s">
        <v>7</v>
      </c>
      <c r="CV280" s="33"/>
      <c r="DK280" s="27" t="s">
        <v>8</v>
      </c>
      <c r="DL280" s="27" t="s">
        <v>7</v>
      </c>
      <c r="DM280" s="27" t="s">
        <v>8</v>
      </c>
      <c r="DN280" s="27" t="s">
        <v>7</v>
      </c>
      <c r="DO280" s="27" t="s">
        <v>8</v>
      </c>
      <c r="DP280" s="27" t="s">
        <v>7</v>
      </c>
      <c r="EA280" s="27" t="s">
        <v>8</v>
      </c>
      <c r="EB280" s="27" t="s">
        <v>7</v>
      </c>
    </row>
    <row r="281" spans="1:148" x14ac:dyDescent="0.25">
      <c r="A281" s="30">
        <v>0.13528160219073862</v>
      </c>
      <c r="B281"/>
      <c r="C281"/>
      <c r="D281"/>
      <c r="E281"/>
      <c r="F281" s="27" t="s">
        <v>7</v>
      </c>
      <c r="BQ281" s="27" t="s">
        <v>8</v>
      </c>
      <c r="BT281" s="27" t="s">
        <v>7</v>
      </c>
      <c r="BU281" s="27" t="s">
        <v>8</v>
      </c>
      <c r="CL281" s="27" t="s">
        <v>7</v>
      </c>
      <c r="CM281" s="27" t="s">
        <v>8</v>
      </c>
      <c r="CN281" s="27" t="s">
        <v>7</v>
      </c>
      <c r="CO281" s="27" t="s">
        <v>8</v>
      </c>
      <c r="CP281" s="27" t="s">
        <v>7</v>
      </c>
      <c r="CQ281" s="27" t="s">
        <v>8</v>
      </c>
      <c r="CR281" s="27" t="s">
        <v>7</v>
      </c>
      <c r="CW281" s="33"/>
      <c r="DK281" s="27" t="s">
        <v>8</v>
      </c>
      <c r="DL281" s="27" t="s">
        <v>7</v>
      </c>
      <c r="DM281" s="27" t="s">
        <v>8</v>
      </c>
      <c r="DN281" s="27" t="s">
        <v>7</v>
      </c>
      <c r="DO281" s="27" t="s">
        <v>8</v>
      </c>
      <c r="DP281" s="27" t="s">
        <v>7</v>
      </c>
      <c r="EA281" s="27" t="s">
        <v>8</v>
      </c>
      <c r="EB281" s="27" t="s">
        <v>7</v>
      </c>
      <c r="EM281" s="27" t="s">
        <v>8</v>
      </c>
    </row>
    <row r="282" spans="1:148" x14ac:dyDescent="0.25">
      <c r="A282" s="30">
        <v>0.12883962113403674</v>
      </c>
      <c r="B282"/>
      <c r="C282"/>
      <c r="D282"/>
      <c r="E282"/>
      <c r="F282" s="27" t="s">
        <v>7</v>
      </c>
      <c r="BQ282" s="27" t="s">
        <v>8</v>
      </c>
      <c r="BT282" s="27" t="s">
        <v>7</v>
      </c>
      <c r="BU282" s="27" t="s">
        <v>8</v>
      </c>
      <c r="CL282" s="27" t="s">
        <v>7</v>
      </c>
      <c r="CM282" s="27" t="s">
        <v>8</v>
      </c>
      <c r="CN282" s="27" t="s">
        <v>7</v>
      </c>
      <c r="CO282" s="27" t="s">
        <v>8</v>
      </c>
      <c r="CP282" s="27" t="s">
        <v>7</v>
      </c>
      <c r="CQ282" s="27" t="s">
        <v>8</v>
      </c>
      <c r="CR282" s="27" t="s">
        <v>7</v>
      </c>
      <c r="CX282" s="33"/>
      <c r="DK282" s="27" t="s">
        <v>8</v>
      </c>
      <c r="DL282" s="27" t="s">
        <v>7</v>
      </c>
      <c r="DN282" s="27" t="s">
        <v>7</v>
      </c>
      <c r="DO282" s="27" t="s">
        <v>8</v>
      </c>
      <c r="DP282" s="27" t="s">
        <v>7</v>
      </c>
      <c r="DY282" s="27" t="s">
        <v>8</v>
      </c>
      <c r="EA282" s="27" t="s">
        <v>8</v>
      </c>
      <c r="EB282" s="27" t="s">
        <v>7</v>
      </c>
      <c r="EC282" s="27" t="s">
        <v>8</v>
      </c>
      <c r="EM282" s="27" t="s">
        <v>8</v>
      </c>
      <c r="EN282" s="27" t="s">
        <v>7</v>
      </c>
      <c r="EO282" s="27" t="s">
        <v>8</v>
      </c>
    </row>
    <row r="283" spans="1:148" x14ac:dyDescent="0.25">
      <c r="A283" s="30">
        <v>0.12270440108003494</v>
      </c>
      <c r="B283"/>
      <c r="C283"/>
      <c r="D283"/>
      <c r="E283"/>
      <c r="F283" s="27" t="s">
        <v>7</v>
      </c>
      <c r="BQ283" s="27" t="s">
        <v>8</v>
      </c>
      <c r="BT283" s="27" t="s">
        <v>7</v>
      </c>
      <c r="BU283" s="27" t="s">
        <v>8</v>
      </c>
      <c r="CL283" s="27" t="s">
        <v>7</v>
      </c>
      <c r="CM283" s="27" t="s">
        <v>8</v>
      </c>
      <c r="CN283" s="27" t="s">
        <v>7</v>
      </c>
      <c r="CP283" s="27" t="s">
        <v>7</v>
      </c>
      <c r="CR283" s="27" t="s">
        <v>7</v>
      </c>
      <c r="CY283" s="33"/>
      <c r="DK283" s="27" t="s">
        <v>8</v>
      </c>
      <c r="DN283" s="31" t="s">
        <v>7</v>
      </c>
      <c r="DP283" s="27" t="s">
        <v>7</v>
      </c>
      <c r="DQ283" s="27" t="s">
        <v>8</v>
      </c>
      <c r="DW283" s="27" t="s">
        <v>8</v>
      </c>
      <c r="DY283" s="27" t="s">
        <v>8</v>
      </c>
      <c r="DZ283" s="27" t="s">
        <v>7</v>
      </c>
      <c r="EA283" s="27" t="s">
        <v>8</v>
      </c>
      <c r="EB283" s="27" t="s">
        <v>7</v>
      </c>
      <c r="EC283" s="27" t="s">
        <v>8</v>
      </c>
      <c r="ED283" s="27" t="s">
        <v>7</v>
      </c>
      <c r="EE283" s="27" t="s">
        <v>8</v>
      </c>
      <c r="EM283" s="27" t="s">
        <v>8</v>
      </c>
      <c r="EN283" s="27" t="s">
        <v>7</v>
      </c>
      <c r="EO283" s="27" t="s">
        <v>8</v>
      </c>
      <c r="EP283" s="27" t="s">
        <v>7</v>
      </c>
    </row>
    <row r="284" spans="1:148" x14ac:dyDescent="0.25">
      <c r="A284" s="30">
        <v>0.11686133436193799</v>
      </c>
      <c r="B284"/>
      <c r="C284"/>
      <c r="D284"/>
      <c r="E284"/>
      <c r="F284" s="27" t="s">
        <v>7</v>
      </c>
      <c r="BQ284" s="27" t="s">
        <v>8</v>
      </c>
      <c r="BT284" s="27" t="s">
        <v>7</v>
      </c>
      <c r="CL284" s="27" t="s">
        <v>7</v>
      </c>
      <c r="CM284" s="27" t="s">
        <v>8</v>
      </c>
      <c r="CR284" s="31" t="s">
        <v>7</v>
      </c>
      <c r="CZ284" s="33"/>
      <c r="DK284" s="27" t="s">
        <v>8</v>
      </c>
      <c r="DP284" s="27" t="s">
        <v>7</v>
      </c>
      <c r="DQ284" s="27" t="s">
        <v>8</v>
      </c>
      <c r="DR284" s="27" t="s">
        <v>7</v>
      </c>
      <c r="DW284" s="27" t="s">
        <v>8</v>
      </c>
      <c r="DX284" s="27" t="s">
        <v>7</v>
      </c>
      <c r="DY284" s="27" t="s">
        <v>8</v>
      </c>
      <c r="DZ284" s="27" t="s">
        <v>7</v>
      </c>
      <c r="EA284" s="27" t="s">
        <v>8</v>
      </c>
      <c r="EB284" s="27" t="s">
        <v>7</v>
      </c>
      <c r="EC284" s="27" t="s">
        <v>8</v>
      </c>
      <c r="ED284" s="27" t="s">
        <v>7</v>
      </c>
      <c r="EE284" s="27" t="s">
        <v>8</v>
      </c>
      <c r="EF284" s="27" t="s">
        <v>7</v>
      </c>
      <c r="EG284" s="27" t="s">
        <v>8</v>
      </c>
      <c r="EK284" s="27" t="s">
        <v>8</v>
      </c>
      <c r="EM284" s="27" t="s">
        <v>8</v>
      </c>
      <c r="EN284" s="27" t="s">
        <v>7</v>
      </c>
      <c r="EO284" s="27" t="s">
        <v>8</v>
      </c>
      <c r="EP284" s="27" t="s">
        <v>7</v>
      </c>
    </row>
    <row r="285" spans="1:148" x14ac:dyDescent="0.25">
      <c r="A285" s="30">
        <v>0.11129650891613138</v>
      </c>
      <c r="B285"/>
      <c r="C285"/>
      <c r="D285"/>
      <c r="E285"/>
      <c r="F285" s="27" t="s">
        <v>7</v>
      </c>
      <c r="BQ285" s="27" t="s">
        <v>8</v>
      </c>
      <c r="CL285" s="27" t="s">
        <v>7</v>
      </c>
      <c r="CR285" s="27" t="s">
        <v>7</v>
      </c>
      <c r="DA285" s="33"/>
      <c r="DI285" s="27" t="s">
        <v>8</v>
      </c>
      <c r="DK285" s="27" t="s">
        <v>8</v>
      </c>
      <c r="DP285" s="27" t="s">
        <v>7</v>
      </c>
      <c r="DQ285" s="27" t="s">
        <v>8</v>
      </c>
      <c r="DR285" s="27" t="s">
        <v>7</v>
      </c>
      <c r="DW285" s="27" t="s">
        <v>8</v>
      </c>
      <c r="DX285" s="27" t="s">
        <v>7</v>
      </c>
      <c r="DY285" s="27" t="s">
        <v>8</v>
      </c>
      <c r="DZ285" s="27" t="s">
        <v>7</v>
      </c>
      <c r="EA285" s="27" t="s">
        <v>8</v>
      </c>
      <c r="EB285" s="27" t="s">
        <v>7</v>
      </c>
      <c r="ED285" s="27" t="s">
        <v>7</v>
      </c>
      <c r="EE285" s="27" t="s">
        <v>8</v>
      </c>
      <c r="EF285" s="27" t="s">
        <v>7</v>
      </c>
      <c r="EG285" s="27" t="s">
        <v>8</v>
      </c>
      <c r="EH285" s="27" t="s">
        <v>7</v>
      </c>
      <c r="EK285" s="27" t="s">
        <v>8</v>
      </c>
      <c r="EL285" s="27" t="s">
        <v>7</v>
      </c>
      <c r="EM285" s="27" t="s">
        <v>8</v>
      </c>
      <c r="EN285" s="27" t="s">
        <v>7</v>
      </c>
      <c r="EP285" s="27" t="s">
        <v>7</v>
      </c>
    </row>
    <row r="286" spans="1:148" x14ac:dyDescent="0.25">
      <c r="A286" s="30">
        <v>0.10599667515822032</v>
      </c>
      <c r="B286"/>
      <c r="C286"/>
      <c r="D286"/>
      <c r="E286"/>
      <c r="F286" s="27" t="s">
        <v>7</v>
      </c>
      <c r="BQ286" s="27" t="s">
        <v>8</v>
      </c>
      <c r="CR286" s="27" t="s">
        <v>7</v>
      </c>
      <c r="CS286" s="27" t="s">
        <v>8</v>
      </c>
      <c r="DB286" s="33"/>
      <c r="DI286" s="27" t="s">
        <v>8</v>
      </c>
      <c r="DJ286" s="27" t="s">
        <v>7</v>
      </c>
      <c r="DK286" s="27" t="s">
        <v>8</v>
      </c>
      <c r="DP286" s="27" t="s">
        <v>7</v>
      </c>
      <c r="DQ286" s="27" t="s">
        <v>8</v>
      </c>
      <c r="DR286" s="27" t="s">
        <v>7</v>
      </c>
      <c r="DS286" s="27" t="s">
        <v>8</v>
      </c>
      <c r="DU286" s="27" t="s">
        <v>8</v>
      </c>
      <c r="DW286" s="27" t="s">
        <v>8</v>
      </c>
      <c r="DX286" s="27" t="s">
        <v>7</v>
      </c>
      <c r="DY286" s="27" t="s">
        <v>8</v>
      </c>
      <c r="DZ286" s="27" t="s">
        <v>7</v>
      </c>
      <c r="EA286" s="27" t="s">
        <v>8</v>
      </c>
      <c r="ED286" s="27" t="s">
        <v>7</v>
      </c>
      <c r="EF286" s="27" t="s">
        <v>7</v>
      </c>
      <c r="EG286" s="27" t="s">
        <v>8</v>
      </c>
      <c r="EH286" s="27" t="s">
        <v>7</v>
      </c>
      <c r="EK286" s="27" t="s">
        <v>8</v>
      </c>
      <c r="EL286" s="27" t="s">
        <v>7</v>
      </c>
      <c r="EM286" s="27" t="s">
        <v>8</v>
      </c>
      <c r="EP286" s="27" t="s">
        <v>7</v>
      </c>
    </row>
    <row r="287" spans="1:148" x14ac:dyDescent="0.25">
      <c r="A287" s="30">
        <v>0.10094921443640027</v>
      </c>
      <c r="B287"/>
      <c r="C287"/>
      <c r="D287"/>
      <c r="E287"/>
      <c r="F287" s="27" t="s">
        <v>7</v>
      </c>
      <c r="BQ287" s="27" t="s">
        <v>8</v>
      </c>
      <c r="CR287" s="27" t="s">
        <v>7</v>
      </c>
      <c r="CS287" s="27" t="s">
        <v>8</v>
      </c>
      <c r="CT287" s="27" t="s">
        <v>7</v>
      </c>
      <c r="CW287" s="27" t="s">
        <v>8</v>
      </c>
      <c r="DC287" s="33"/>
      <c r="DI287" s="27" t="s">
        <v>8</v>
      </c>
      <c r="DJ287" s="27" t="s">
        <v>7</v>
      </c>
      <c r="DK287" s="27" t="s">
        <v>8</v>
      </c>
      <c r="DP287" s="27" t="s">
        <v>7</v>
      </c>
      <c r="DR287" s="27" t="s">
        <v>7</v>
      </c>
      <c r="DS287" s="27" t="s">
        <v>8</v>
      </c>
      <c r="DT287" s="27" t="s">
        <v>7</v>
      </c>
      <c r="DU287" s="27" t="s">
        <v>8</v>
      </c>
      <c r="DV287" s="27" t="s">
        <v>7</v>
      </c>
      <c r="DW287" s="27" t="s">
        <v>8</v>
      </c>
      <c r="DX287" s="27" t="s">
        <v>7</v>
      </c>
      <c r="DZ287" s="27" t="s">
        <v>7</v>
      </c>
      <c r="EF287" s="27" t="s">
        <v>7</v>
      </c>
      <c r="EH287" s="27" t="s">
        <v>7</v>
      </c>
      <c r="EK287" s="27" t="s">
        <v>8</v>
      </c>
      <c r="EL287" s="27" t="s">
        <v>7</v>
      </c>
      <c r="EM287" s="27" t="s">
        <v>8</v>
      </c>
      <c r="EP287" s="27" t="s">
        <v>7</v>
      </c>
      <c r="EQ287" s="27" t="s">
        <v>8</v>
      </c>
    </row>
    <row r="288" spans="1:148" x14ac:dyDescent="0.25">
      <c r="A288" s="30">
        <v>9.6142108987047836E-2</v>
      </c>
      <c r="B288"/>
      <c r="C288"/>
      <c r="D288"/>
      <c r="E288"/>
      <c r="F288" s="27" t="s">
        <v>7</v>
      </c>
      <c r="BQ288" s="27" t="s">
        <v>8</v>
      </c>
      <c r="CR288" s="27" t="s">
        <v>7</v>
      </c>
      <c r="CS288" s="27" t="s">
        <v>8</v>
      </c>
      <c r="CT288" s="27" t="s">
        <v>7</v>
      </c>
      <c r="CW288" s="27" t="s">
        <v>8</v>
      </c>
      <c r="CX288" s="27" t="s">
        <v>7</v>
      </c>
      <c r="DD288" s="33"/>
      <c r="DI288" s="27" t="s">
        <v>8</v>
      </c>
      <c r="DJ288" s="27" t="s">
        <v>7</v>
      </c>
      <c r="DK288" s="27" t="s">
        <v>8</v>
      </c>
      <c r="DR288" s="27" t="s">
        <v>7</v>
      </c>
      <c r="DS288" s="27" t="s">
        <v>8</v>
      </c>
      <c r="DT288" s="27" t="s">
        <v>7</v>
      </c>
      <c r="DU288" s="27" t="s">
        <v>8</v>
      </c>
      <c r="DV288" s="27" t="s">
        <v>7</v>
      </c>
      <c r="DW288" s="27" t="s">
        <v>8</v>
      </c>
      <c r="EH288" s="27" t="s">
        <v>7</v>
      </c>
      <c r="EI288" s="27" t="s">
        <v>8</v>
      </c>
      <c r="EK288" s="27" t="s">
        <v>8</v>
      </c>
      <c r="EL288" s="27" t="s">
        <v>7</v>
      </c>
      <c r="EM288" s="27" t="s">
        <v>8</v>
      </c>
      <c r="EP288" s="27" t="s">
        <v>7</v>
      </c>
      <c r="EQ288" s="27" t="s">
        <v>8</v>
      </c>
      <c r="ER288" s="27" t="s">
        <v>7</v>
      </c>
    </row>
    <row r="289" spans="1:151" x14ac:dyDescent="0.25">
      <c r="A289" s="30">
        <v>9.1563913320997906E-2</v>
      </c>
      <c r="B289"/>
      <c r="C289"/>
      <c r="D289"/>
      <c r="E289"/>
      <c r="F289" s="27" t="s">
        <v>7</v>
      </c>
      <c r="BQ289" s="27" t="s">
        <v>8</v>
      </c>
      <c r="CR289" s="27" t="s">
        <v>7</v>
      </c>
      <c r="CS289" s="27" t="s">
        <v>8</v>
      </c>
      <c r="CT289" s="27" t="s">
        <v>7</v>
      </c>
      <c r="CW289" s="27" t="s">
        <v>8</v>
      </c>
      <c r="CX289" s="27" t="s">
        <v>7</v>
      </c>
      <c r="CY289" s="27" t="s">
        <v>8</v>
      </c>
      <c r="DE289" s="33"/>
      <c r="DI289" s="27" t="s">
        <v>8</v>
      </c>
      <c r="DJ289" s="27" t="s">
        <v>7</v>
      </c>
      <c r="DR289" s="27" t="s">
        <v>7</v>
      </c>
      <c r="DT289" s="27" t="s">
        <v>7</v>
      </c>
      <c r="DV289" s="27" t="s">
        <v>7</v>
      </c>
      <c r="EH289" s="27" t="s">
        <v>7</v>
      </c>
      <c r="EI289" s="27" t="s">
        <v>8</v>
      </c>
      <c r="EJ289" s="27" t="s">
        <v>7</v>
      </c>
      <c r="EK289" s="27" t="s">
        <v>8</v>
      </c>
      <c r="EL289" s="27" t="s">
        <v>7</v>
      </c>
      <c r="EP289" s="27" t="s">
        <v>7</v>
      </c>
      <c r="EQ289" s="27" t="s">
        <v>8</v>
      </c>
      <c r="ER289" s="27" t="s">
        <v>7</v>
      </c>
    </row>
    <row r="290" spans="1:151" x14ac:dyDescent="0.25">
      <c r="A290" s="30">
        <v>8.7203726972378923E-2</v>
      </c>
      <c r="B290"/>
      <c r="C290"/>
      <c r="D290"/>
      <c r="E290"/>
      <c r="F290" s="27" t="s">
        <v>7</v>
      </c>
      <c r="BO290" s="27" t="s">
        <v>8</v>
      </c>
      <c r="BQ290" s="27" t="s">
        <v>8</v>
      </c>
      <c r="CR290" s="27" t="s">
        <v>7</v>
      </c>
      <c r="CS290" s="27" t="s">
        <v>8</v>
      </c>
      <c r="CT290" s="27" t="s">
        <v>7</v>
      </c>
      <c r="CW290" s="32" t="s">
        <v>8</v>
      </c>
      <c r="CX290" s="27" t="s">
        <v>7</v>
      </c>
      <c r="CY290" s="27" t="s">
        <v>8</v>
      </c>
      <c r="CZ290" s="27" t="s">
        <v>7</v>
      </c>
      <c r="DF290" s="33"/>
      <c r="DI290" s="27" t="s">
        <v>8</v>
      </c>
      <c r="EH290" s="27" t="s">
        <v>7</v>
      </c>
      <c r="EI290" s="27" t="s">
        <v>8</v>
      </c>
      <c r="EJ290" s="27" t="s">
        <v>7</v>
      </c>
      <c r="EK290" s="27" t="s">
        <v>8</v>
      </c>
      <c r="EP290" s="27" t="s">
        <v>7</v>
      </c>
      <c r="ER290" s="27" t="s">
        <v>7</v>
      </c>
    </row>
    <row r="291" spans="1:151" x14ac:dyDescent="0.25">
      <c r="A291" s="30">
        <v>8.3051168545122747E-2</v>
      </c>
      <c r="B291"/>
      <c r="C291"/>
      <c r="D291"/>
      <c r="E291"/>
      <c r="F291" s="27" t="s">
        <v>7</v>
      </c>
      <c r="BO291" s="27" t="s">
        <v>8</v>
      </c>
      <c r="BP291" s="27" t="s">
        <v>7</v>
      </c>
      <c r="BQ291" s="27" t="s">
        <v>8</v>
      </c>
      <c r="CR291" s="27" t="s">
        <v>7</v>
      </c>
      <c r="CS291" s="27" t="s">
        <v>8</v>
      </c>
      <c r="CT291" s="27" t="s">
        <v>7</v>
      </c>
      <c r="CU291" s="27" t="s">
        <v>8</v>
      </c>
      <c r="CW291" s="27" t="s">
        <v>8</v>
      </c>
      <c r="CX291" s="27" t="s">
        <v>7</v>
      </c>
      <c r="CY291" s="27" t="s">
        <v>8</v>
      </c>
      <c r="CZ291" s="27" t="s">
        <v>7</v>
      </c>
      <c r="DG291" s="33"/>
      <c r="DI291" s="27" t="s">
        <v>8</v>
      </c>
      <c r="EH291" s="27" t="s">
        <v>7</v>
      </c>
      <c r="EI291" s="27" t="s">
        <v>8</v>
      </c>
      <c r="EJ291" s="27" t="s">
        <v>7</v>
      </c>
      <c r="EK291" s="27" t="s">
        <v>8</v>
      </c>
      <c r="ER291" s="27" t="s">
        <v>7</v>
      </c>
    </row>
    <row r="292" spans="1:151" x14ac:dyDescent="0.25">
      <c r="A292" s="30">
        <v>7.9096350995354961E-2</v>
      </c>
      <c r="B292"/>
      <c r="C292"/>
      <c r="D292"/>
      <c r="E292"/>
      <c r="F292" s="27" t="s">
        <v>7</v>
      </c>
      <c r="BO292" s="27" t="s">
        <v>8</v>
      </c>
      <c r="BP292" s="27" t="s">
        <v>7</v>
      </c>
      <c r="BQ292" s="27" t="s">
        <v>8</v>
      </c>
      <c r="CR292" s="27" t="s">
        <v>7</v>
      </c>
      <c r="CS292" s="27" t="s">
        <v>8</v>
      </c>
      <c r="CT292" s="27" t="s">
        <v>7</v>
      </c>
      <c r="CU292" s="27" t="s">
        <v>8</v>
      </c>
      <c r="CV292" s="27" t="s">
        <v>7</v>
      </c>
      <c r="CW292" s="27" t="s">
        <v>8</v>
      </c>
      <c r="CX292" s="27" t="s">
        <v>7</v>
      </c>
      <c r="CY292" s="27" t="s">
        <v>8</v>
      </c>
      <c r="CZ292" s="27" t="s">
        <v>7</v>
      </c>
      <c r="DA292" s="27" t="s">
        <v>8</v>
      </c>
      <c r="DH292" s="33"/>
      <c r="DI292" s="27" t="s">
        <v>8</v>
      </c>
      <c r="EH292" s="27" t="s">
        <v>7</v>
      </c>
      <c r="EI292" s="27" t="s">
        <v>8</v>
      </c>
      <c r="EJ292" s="27" t="s">
        <v>7</v>
      </c>
      <c r="ER292" s="27" t="s">
        <v>7</v>
      </c>
    </row>
    <row r="293" spans="1:151" x14ac:dyDescent="0.25">
      <c r="A293" s="30">
        <v>7.5329858090814217E-2</v>
      </c>
      <c r="B293"/>
      <c r="C293"/>
      <c r="D293"/>
      <c r="E293"/>
      <c r="F293" s="27" t="s">
        <v>7</v>
      </c>
      <c r="BO293" s="27" t="s">
        <v>8</v>
      </c>
      <c r="BP293" s="27" t="s">
        <v>7</v>
      </c>
      <c r="BQ293" s="27" t="s">
        <v>8</v>
      </c>
      <c r="CR293" s="27" t="s">
        <v>7</v>
      </c>
      <c r="CS293" s="27" t="s">
        <v>8</v>
      </c>
      <c r="CT293" s="27" t="s">
        <v>7</v>
      </c>
      <c r="CU293" s="27" t="s">
        <v>8</v>
      </c>
      <c r="CV293" s="27" t="s">
        <v>7</v>
      </c>
      <c r="CW293" s="27" t="s">
        <v>8</v>
      </c>
      <c r="CX293" s="27" t="s">
        <v>7</v>
      </c>
      <c r="CY293" s="27" t="s">
        <v>8</v>
      </c>
      <c r="CZ293" s="27" t="s">
        <v>7</v>
      </c>
      <c r="DA293" s="27" t="s">
        <v>8</v>
      </c>
      <c r="DB293" s="27" t="s">
        <v>7</v>
      </c>
      <c r="DI293" s="33" t="s">
        <v>8</v>
      </c>
      <c r="EH293" s="27" t="s">
        <v>7</v>
      </c>
      <c r="EI293" s="27" t="s">
        <v>8</v>
      </c>
      <c r="ER293" s="27" t="s">
        <v>7</v>
      </c>
    </row>
    <row r="294" spans="1:151" x14ac:dyDescent="0.25">
      <c r="A294" s="30">
        <v>7.1742721991251604E-2</v>
      </c>
      <c r="B294"/>
      <c r="C294"/>
      <c r="D294"/>
      <c r="E294"/>
      <c r="F294" s="27" t="s">
        <v>7</v>
      </c>
      <c r="BO294" s="27" t="s">
        <v>8</v>
      </c>
      <c r="BP294" s="27" t="s">
        <v>7</v>
      </c>
      <c r="BQ294" s="27" t="s">
        <v>8</v>
      </c>
      <c r="CR294" s="27" t="s">
        <v>7</v>
      </c>
      <c r="CS294" s="27" t="s">
        <v>8</v>
      </c>
      <c r="CT294" s="27" t="s">
        <v>7</v>
      </c>
      <c r="CV294" s="27" t="s">
        <v>7</v>
      </c>
      <c r="CW294" s="27" t="s">
        <v>8</v>
      </c>
      <c r="CX294" s="27" t="s">
        <v>7</v>
      </c>
      <c r="CZ294" s="27" t="s">
        <v>7</v>
      </c>
      <c r="DA294" s="27" t="s">
        <v>8</v>
      </c>
      <c r="DB294" s="27" t="s">
        <v>7</v>
      </c>
      <c r="DI294" s="27" t="s">
        <v>8</v>
      </c>
      <c r="EH294" s="27" t="s">
        <v>7</v>
      </c>
      <c r="EI294" s="27" t="s">
        <v>8</v>
      </c>
      <c r="ER294" s="27" t="s">
        <v>7</v>
      </c>
    </row>
    <row r="295" spans="1:151" x14ac:dyDescent="0.25">
      <c r="A295" s="30">
        <v>6.8326401896430078E-2</v>
      </c>
      <c r="B295"/>
      <c r="C295"/>
      <c r="D295"/>
      <c r="E295"/>
      <c r="F295" s="27" t="s">
        <v>7</v>
      </c>
      <c r="BO295" s="27" t="s">
        <v>8</v>
      </c>
      <c r="BP295" s="27" t="s">
        <v>7</v>
      </c>
      <c r="BQ295" s="27" t="s">
        <v>8</v>
      </c>
      <c r="CR295" s="27" t="s">
        <v>7</v>
      </c>
      <c r="CS295" s="27" t="s">
        <v>8</v>
      </c>
      <c r="CV295" s="27" t="s">
        <v>7</v>
      </c>
      <c r="CW295" s="27" t="s">
        <v>8</v>
      </c>
      <c r="CZ295" s="31" t="s">
        <v>7</v>
      </c>
      <c r="DA295" s="27" t="s">
        <v>8</v>
      </c>
      <c r="DB295" s="27" t="s">
        <v>7</v>
      </c>
      <c r="DI295" s="27" t="s">
        <v>8</v>
      </c>
      <c r="EH295" s="27" t="s">
        <v>7</v>
      </c>
      <c r="EI295" s="27" t="s">
        <v>8</v>
      </c>
      <c r="ER295" s="27" t="s">
        <v>7</v>
      </c>
      <c r="EU295" s="27" t="s">
        <v>8</v>
      </c>
    </row>
    <row r="296" spans="1:151" x14ac:dyDescent="0.25">
      <c r="A296" s="30">
        <v>6.5072763710885759E-2</v>
      </c>
      <c r="B296"/>
      <c r="C296"/>
      <c r="D296"/>
      <c r="E296"/>
      <c r="F296" s="27" t="s">
        <v>7</v>
      </c>
      <c r="BO296" s="27" t="s">
        <v>8</v>
      </c>
      <c r="BP296" s="27" t="s">
        <v>7</v>
      </c>
      <c r="CR296" s="27" t="s">
        <v>7</v>
      </c>
      <c r="CS296" s="27" t="s">
        <v>8</v>
      </c>
      <c r="CV296" s="27" t="s">
        <v>7</v>
      </c>
      <c r="CW296" s="27" t="s">
        <v>8</v>
      </c>
      <c r="CZ296" s="27" t="s">
        <v>7</v>
      </c>
      <c r="DA296" s="27" t="s">
        <v>8</v>
      </c>
      <c r="DB296" s="27" t="s">
        <v>7</v>
      </c>
      <c r="DI296" s="27" t="s">
        <v>8</v>
      </c>
      <c r="EH296" s="27" t="s">
        <v>7</v>
      </c>
      <c r="ER296" s="27" t="s">
        <v>7</v>
      </c>
      <c r="ES296" s="27" t="s">
        <v>8</v>
      </c>
      <c r="EU296" s="27" t="s">
        <v>8</v>
      </c>
    </row>
    <row r="297" spans="1:151" x14ac:dyDescent="0.25">
      <c r="A297" s="30">
        <v>6.197406067703403E-2</v>
      </c>
      <c r="B297"/>
      <c r="C297"/>
      <c r="D297"/>
      <c r="E297"/>
      <c r="F297" s="27" t="s">
        <v>7</v>
      </c>
      <c r="BO297" s="27" t="s">
        <v>8</v>
      </c>
      <c r="CR297" s="27" t="s">
        <v>7</v>
      </c>
      <c r="CS297" s="27" t="s">
        <v>8</v>
      </c>
      <c r="CV297" s="27" t="s">
        <v>7</v>
      </c>
      <c r="CW297" s="27" t="s">
        <v>8</v>
      </c>
      <c r="CZ297" s="27" t="s">
        <v>7</v>
      </c>
      <c r="DB297" s="27" t="s">
        <v>7</v>
      </c>
      <c r="DG297" s="27" t="s">
        <v>8</v>
      </c>
      <c r="DI297" s="27" t="s">
        <v>8</v>
      </c>
      <c r="ER297" s="27" t="s">
        <v>7</v>
      </c>
      <c r="ES297" s="27" t="s">
        <v>8</v>
      </c>
      <c r="ET297" s="27" t="s">
        <v>7</v>
      </c>
      <c r="EU297" s="27" t="s">
        <v>8</v>
      </c>
    </row>
    <row r="298" spans="1:151" x14ac:dyDescent="0.25">
      <c r="A298" s="30">
        <v>5.9022914930508576E-2</v>
      </c>
      <c r="B298"/>
      <c r="C298"/>
      <c r="D298"/>
      <c r="E298"/>
      <c r="F298" s="27" t="s">
        <v>7</v>
      </c>
      <c r="BO298" s="27" t="s">
        <v>8</v>
      </c>
      <c r="CR298" s="27" t="s">
        <v>7</v>
      </c>
      <c r="CS298" s="27" t="s">
        <v>8</v>
      </c>
      <c r="CV298" s="27" t="s">
        <v>7</v>
      </c>
      <c r="CW298" s="27" t="s">
        <v>8</v>
      </c>
      <c r="DB298" s="27" t="s">
        <v>7</v>
      </c>
      <c r="DE298" s="32" t="s">
        <v>8</v>
      </c>
      <c r="DG298" s="27" t="s">
        <v>8</v>
      </c>
      <c r="DH298" s="27" t="s">
        <v>7</v>
      </c>
      <c r="DI298" s="27" t="s">
        <v>8</v>
      </c>
      <c r="ER298" s="27" t="s">
        <v>7</v>
      </c>
      <c r="ES298" s="27" t="s">
        <v>8</v>
      </c>
      <c r="ET298" s="27" t="s">
        <v>7</v>
      </c>
      <c r="EU298" s="27" t="s">
        <v>8</v>
      </c>
    </row>
    <row r="299" spans="1:151" x14ac:dyDescent="0.25">
      <c r="A299" s="30">
        <v>5.6212299933817669E-2</v>
      </c>
      <c r="B299"/>
      <c r="C299"/>
      <c r="D299"/>
      <c r="E299"/>
      <c r="F299" s="27" t="s">
        <v>7</v>
      </c>
      <c r="BO299" s="27" t="s">
        <v>8</v>
      </c>
      <c r="CR299" s="27" t="s">
        <v>7</v>
      </c>
      <c r="CV299" s="27" t="s">
        <v>7</v>
      </c>
      <c r="DB299" s="27" t="s">
        <v>7</v>
      </c>
      <c r="DC299" s="27" t="s">
        <v>8</v>
      </c>
      <c r="DE299" s="27" t="s">
        <v>8</v>
      </c>
      <c r="DF299" s="27" t="s">
        <v>7</v>
      </c>
      <c r="DG299" s="27" t="s">
        <v>8</v>
      </c>
      <c r="DH299" s="27" t="s">
        <v>7</v>
      </c>
      <c r="DI299" s="27" t="s">
        <v>8</v>
      </c>
      <c r="ER299" s="27" t="s">
        <v>7</v>
      </c>
      <c r="ES299" s="27" t="s">
        <v>8</v>
      </c>
      <c r="ET299" s="27" t="s">
        <v>7</v>
      </c>
    </row>
    <row r="300" spans="1:151" x14ac:dyDescent="0.25">
      <c r="A300" s="30">
        <v>5.3535523746492994E-2</v>
      </c>
      <c r="B300"/>
      <c r="C300"/>
      <c r="D300"/>
      <c r="E300"/>
      <c r="F300" s="27" t="s">
        <v>7</v>
      </c>
      <c r="BM300" s="27" t="s">
        <v>8</v>
      </c>
      <c r="BO300" s="27" t="s">
        <v>8</v>
      </c>
      <c r="DB300" s="27" t="s">
        <v>7</v>
      </c>
      <c r="DC300" s="27" t="s">
        <v>8</v>
      </c>
      <c r="DD300" s="27" t="s">
        <v>7</v>
      </c>
      <c r="DE300" s="27" t="s">
        <v>8</v>
      </c>
      <c r="DF300" s="27" t="s">
        <v>7</v>
      </c>
      <c r="DG300" s="27" t="s">
        <v>8</v>
      </c>
      <c r="DH300" s="18" t="s">
        <v>7</v>
      </c>
      <c r="DI300" s="27" t="s">
        <v>8</v>
      </c>
      <c r="ER300" s="27" t="s">
        <v>7</v>
      </c>
    </row>
    <row r="301" spans="1:151" x14ac:dyDescent="0.25">
      <c r="A301" s="30">
        <v>5.0986213091898068E-2</v>
      </c>
      <c r="B301"/>
      <c r="C301"/>
      <c r="D301"/>
      <c r="E301"/>
      <c r="F301" s="27" t="s">
        <v>7</v>
      </c>
      <c r="BM301" s="27" t="s">
        <v>8</v>
      </c>
      <c r="BN301" s="27" t="s">
        <v>7</v>
      </c>
      <c r="BO301" s="27" t="s">
        <v>8</v>
      </c>
      <c r="DB301" s="27" t="s">
        <v>7</v>
      </c>
      <c r="DC301" s="27" t="s">
        <v>8</v>
      </c>
      <c r="DD301" s="27" t="s">
        <v>7</v>
      </c>
      <c r="DE301" s="27" t="s">
        <v>8</v>
      </c>
      <c r="DF301" s="27" t="s">
        <v>7</v>
      </c>
      <c r="DG301" s="27" t="s">
        <v>8</v>
      </c>
      <c r="DH301" s="27" t="s">
        <v>7</v>
      </c>
      <c r="DI301" s="27" t="s">
        <v>8</v>
      </c>
    </row>
    <row r="302" spans="1:151" x14ac:dyDescent="0.25">
      <c r="A302" s="30">
        <v>4.8558298182760043E-2</v>
      </c>
      <c r="B302"/>
      <c r="C302"/>
      <c r="D302"/>
      <c r="E302"/>
      <c r="F302" s="27" t="s">
        <v>7</v>
      </c>
      <c r="BM302" s="27" t="s">
        <v>8</v>
      </c>
      <c r="BN302" s="27" t="s">
        <v>7</v>
      </c>
      <c r="BO302" s="27" t="s">
        <v>8</v>
      </c>
      <c r="DB302" s="27" t="s">
        <v>7</v>
      </c>
      <c r="DC302" s="27" t="s">
        <v>8</v>
      </c>
      <c r="DD302" s="34" t="s">
        <v>7</v>
      </c>
      <c r="DF302" s="34" t="s">
        <v>7</v>
      </c>
      <c r="DH302" s="34" t="s">
        <v>7</v>
      </c>
    </row>
    <row r="303" spans="1:151" x14ac:dyDescent="0.25">
      <c r="A303" s="30">
        <v>4.6245998269295263E-2</v>
      </c>
      <c r="B303"/>
      <c r="C303"/>
      <c r="D303"/>
      <c r="E303"/>
      <c r="F303" s="27" t="s">
        <v>7</v>
      </c>
      <c r="BM303" s="27" t="s">
        <v>8</v>
      </c>
      <c r="BN303" s="27" t="s">
        <v>7</v>
      </c>
      <c r="DB303" s="27" t="s">
        <v>7</v>
      </c>
      <c r="DC303" s="27" t="s">
        <v>8</v>
      </c>
    </row>
    <row r="304" spans="1:151" x14ac:dyDescent="0.25">
      <c r="A304" s="30">
        <v>4.4043807875519279E-2</v>
      </c>
      <c r="B304"/>
      <c r="C304"/>
      <c r="D304"/>
      <c r="E304"/>
      <c r="F304" s="27" t="s">
        <v>7</v>
      </c>
      <c r="BM304" s="27" t="s">
        <v>8</v>
      </c>
      <c r="DB304" s="27" t="s">
        <v>7</v>
      </c>
      <c r="DC304" s="27" t="s">
        <v>8</v>
      </c>
    </row>
    <row r="305" spans="1:106" x14ac:dyDescent="0.25">
      <c r="A305" s="30">
        <v>4.1946483690970725E-2</v>
      </c>
      <c r="B305"/>
      <c r="C305"/>
      <c r="D305"/>
      <c r="E305"/>
      <c r="F305" s="27" t="s">
        <v>7</v>
      </c>
      <c r="BM305" s="27" t="s">
        <v>8</v>
      </c>
      <c r="DB305" s="27" t="s">
        <v>7</v>
      </c>
    </row>
    <row r="306" spans="1:106" x14ac:dyDescent="0.25">
      <c r="A306" s="30">
        <v>3.9949032086638768E-2</v>
      </c>
      <c r="B306"/>
      <c r="C306"/>
      <c r="D306"/>
      <c r="E306"/>
      <c r="F306" s="27" t="s">
        <v>7</v>
      </c>
      <c r="U306" s="27" t="s">
        <v>8</v>
      </c>
      <c r="BI306" s="27" t="s">
        <v>8</v>
      </c>
      <c r="BM306" s="27" t="s">
        <v>8</v>
      </c>
    </row>
    <row r="307" spans="1:106" x14ac:dyDescent="0.25">
      <c r="A307" s="30">
        <v>3.8046697225370241E-2</v>
      </c>
      <c r="B307"/>
      <c r="C307"/>
      <c r="D307"/>
      <c r="E307"/>
      <c r="F307" s="27" t="s">
        <v>7</v>
      </c>
      <c r="G307" s="27" t="s">
        <v>8</v>
      </c>
      <c r="U307" s="27" t="s">
        <v>8</v>
      </c>
      <c r="V307" s="27" t="s">
        <v>7</v>
      </c>
      <c r="BI307" s="27" t="s">
        <v>8</v>
      </c>
      <c r="BJ307" s="27" t="s">
        <v>7</v>
      </c>
      <c r="BM307" s="27" t="s">
        <v>8</v>
      </c>
    </row>
    <row r="308" spans="1:106" x14ac:dyDescent="0.25">
      <c r="A308" s="30">
        <v>3.6234949738447833E-2</v>
      </c>
      <c r="B308"/>
      <c r="C308"/>
      <c r="D308"/>
      <c r="E308"/>
      <c r="F308" s="27" t="s">
        <v>7</v>
      </c>
      <c r="G308" s="27" t="s">
        <v>8</v>
      </c>
      <c r="H308" s="27" t="s">
        <v>7</v>
      </c>
      <c r="U308" s="27" t="s">
        <v>8</v>
      </c>
      <c r="V308" s="27" t="s">
        <v>7</v>
      </c>
      <c r="BI308" s="27" t="s">
        <v>8</v>
      </c>
      <c r="BJ308" s="27" t="s">
        <v>7</v>
      </c>
      <c r="BM308" s="27" t="s">
        <v>8</v>
      </c>
    </row>
    <row r="309" spans="1:106" x14ac:dyDescent="0.25">
      <c r="A309" s="30">
        <v>3.4509475941378875E-2</v>
      </c>
      <c r="B309"/>
      <c r="C309"/>
      <c r="D309"/>
      <c r="E309"/>
      <c r="F309" s="27" t="s">
        <v>7</v>
      </c>
      <c r="G309" s="27" t="s">
        <v>8</v>
      </c>
      <c r="H309" s="27" t="s">
        <v>7</v>
      </c>
      <c r="U309" s="27" t="s">
        <v>8</v>
      </c>
      <c r="V309" s="27" t="s">
        <v>7</v>
      </c>
      <c r="BI309" s="27" t="s">
        <v>8</v>
      </c>
      <c r="BJ309" s="27" t="s">
        <v>7</v>
      </c>
      <c r="BM309" s="27" t="s">
        <v>8</v>
      </c>
    </row>
    <row r="310" spans="1:106" x14ac:dyDescent="0.25">
      <c r="A310" s="30">
        <v>3.286616756321796E-2</v>
      </c>
      <c r="B310"/>
      <c r="C310"/>
      <c r="D310"/>
      <c r="E310"/>
      <c r="F310" s="27" t="s">
        <v>7</v>
      </c>
      <c r="G310" s="27" t="s">
        <v>8</v>
      </c>
      <c r="H310" s="27" t="s">
        <v>7</v>
      </c>
      <c r="O310" s="27" t="s">
        <v>8</v>
      </c>
      <c r="U310" s="27" t="s">
        <v>8</v>
      </c>
      <c r="V310" s="27" t="s">
        <v>7</v>
      </c>
      <c r="BI310" s="27" t="s">
        <v>8</v>
      </c>
      <c r="BJ310" s="27" t="s">
        <v>7</v>
      </c>
      <c r="BK310" s="27" t="s">
        <v>8</v>
      </c>
      <c r="BM310" s="27" t="s">
        <v>8</v>
      </c>
    </row>
    <row r="311" spans="1:106" x14ac:dyDescent="0.25">
      <c r="A311" s="30">
        <v>3.1301111964969472E-2</v>
      </c>
      <c r="B311"/>
      <c r="C311"/>
      <c r="D311"/>
      <c r="E311"/>
      <c r="F311" s="27" t="s">
        <v>7</v>
      </c>
      <c r="G311" s="27" t="s">
        <v>8</v>
      </c>
      <c r="H311" s="27" t="s">
        <v>7</v>
      </c>
      <c r="I311" s="27" t="s">
        <v>8</v>
      </c>
      <c r="O311" s="27" t="s">
        <v>8</v>
      </c>
      <c r="P311" s="27" t="s">
        <v>7</v>
      </c>
      <c r="U311" s="27" t="s">
        <v>8</v>
      </c>
      <c r="V311" s="27" t="s">
        <v>7</v>
      </c>
      <c r="BI311" s="27" t="s">
        <v>8</v>
      </c>
      <c r="BJ311" s="27" t="s">
        <v>7</v>
      </c>
      <c r="BK311" s="27" t="s">
        <v>8</v>
      </c>
      <c r="BL311" s="27" t="s">
        <v>7</v>
      </c>
      <c r="BM311" s="27" t="s">
        <v>8</v>
      </c>
    </row>
    <row r="312" spans="1:106" x14ac:dyDescent="0.25">
      <c r="A312" s="30">
        <v>2.9810582823780438E-2</v>
      </c>
      <c r="B312"/>
      <c r="C312"/>
      <c r="D312"/>
      <c r="E312"/>
      <c r="F312" s="27" t="s">
        <v>7</v>
      </c>
      <c r="G312" s="27" t="s">
        <v>8</v>
      </c>
      <c r="H312" s="27" t="s">
        <v>7</v>
      </c>
      <c r="I312" s="27" t="s">
        <v>8</v>
      </c>
      <c r="J312" s="27" t="s">
        <v>7</v>
      </c>
      <c r="O312" s="27" t="s">
        <v>8</v>
      </c>
      <c r="P312" s="27" t="s">
        <v>7</v>
      </c>
      <c r="U312" s="27" t="s">
        <v>8</v>
      </c>
      <c r="V312" s="27" t="s">
        <v>7</v>
      </c>
      <c r="BI312" s="27" t="s">
        <v>8</v>
      </c>
      <c r="BJ312" s="27" t="s">
        <v>7</v>
      </c>
      <c r="BK312" s="27" t="s">
        <v>8</v>
      </c>
      <c r="BL312" s="27" t="s">
        <v>7</v>
      </c>
      <c r="BM312" s="27" t="s">
        <v>8</v>
      </c>
    </row>
    <row r="313" spans="1:106" x14ac:dyDescent="0.25">
      <c r="A313" s="30">
        <v>2.8391031260743264E-2</v>
      </c>
      <c r="B313"/>
      <c r="C313"/>
      <c r="D313"/>
      <c r="E313"/>
      <c r="F313" s="27" t="s">
        <v>7</v>
      </c>
      <c r="G313" s="27" t="s">
        <v>8</v>
      </c>
      <c r="H313" s="27" t="s">
        <v>7</v>
      </c>
      <c r="I313" s="27" t="s">
        <v>8</v>
      </c>
      <c r="J313" s="27" t="s">
        <v>7</v>
      </c>
      <c r="M313" s="27" t="s">
        <v>8</v>
      </c>
      <c r="O313" s="27" t="s">
        <v>8</v>
      </c>
      <c r="P313" s="27" t="s">
        <v>7</v>
      </c>
      <c r="S313" s="27" t="s">
        <v>8</v>
      </c>
      <c r="U313" s="27" t="s">
        <v>8</v>
      </c>
      <c r="V313" s="27" t="s">
        <v>7</v>
      </c>
      <c r="W313" s="27" t="s">
        <v>8</v>
      </c>
      <c r="Y313" s="27" t="s">
        <v>8</v>
      </c>
      <c r="BI313" s="27" t="s">
        <v>8</v>
      </c>
      <c r="BJ313" s="27" t="s">
        <v>7</v>
      </c>
      <c r="BK313" s="27" t="s">
        <v>8</v>
      </c>
      <c r="BL313" s="27" t="s">
        <v>7</v>
      </c>
    </row>
    <row r="314" spans="1:106" x14ac:dyDescent="0.25">
      <c r="A314" s="30">
        <v>2.7039077391184052E-2</v>
      </c>
      <c r="B314"/>
      <c r="C314"/>
      <c r="D314"/>
      <c r="E314"/>
      <c r="F314" s="27" t="s">
        <v>7</v>
      </c>
      <c r="G314" s="27" t="s">
        <v>8</v>
      </c>
      <c r="H314" s="27" t="s">
        <v>7</v>
      </c>
      <c r="J314" s="27" t="s">
        <v>7</v>
      </c>
      <c r="M314" s="27" t="s">
        <v>8</v>
      </c>
      <c r="N314" s="27" t="s">
        <v>7</v>
      </c>
      <c r="O314" s="27" t="s">
        <v>8</v>
      </c>
      <c r="P314" s="27" t="s">
        <v>7</v>
      </c>
      <c r="S314" s="27" t="s">
        <v>8</v>
      </c>
      <c r="T314" s="27" t="s">
        <v>7</v>
      </c>
      <c r="U314" s="27" t="s">
        <v>8</v>
      </c>
      <c r="V314" s="27" t="s">
        <v>7</v>
      </c>
      <c r="W314" s="27" t="s">
        <v>8</v>
      </c>
      <c r="X314" s="27" t="s">
        <v>7</v>
      </c>
      <c r="Y314" s="27" t="s">
        <v>8</v>
      </c>
      <c r="Z314" s="27" t="s">
        <v>7</v>
      </c>
      <c r="AS314" s="27" t="s">
        <v>8</v>
      </c>
      <c r="BI314" s="27" t="s">
        <v>8</v>
      </c>
      <c r="BJ314" s="27" t="s">
        <v>7</v>
      </c>
      <c r="BK314" s="27" t="s">
        <v>8</v>
      </c>
    </row>
    <row r="315" spans="1:106" x14ac:dyDescent="0.25">
      <c r="A315" s="30">
        <v>2.5751502277318133E-2</v>
      </c>
      <c r="B315"/>
      <c r="C315"/>
      <c r="D315"/>
      <c r="E315"/>
      <c r="F315" s="27" t="s">
        <v>7</v>
      </c>
      <c r="J315" s="27" t="s">
        <v>7</v>
      </c>
      <c r="M315" s="27" t="s">
        <v>8</v>
      </c>
      <c r="N315" s="27" t="s">
        <v>7</v>
      </c>
      <c r="O315" s="27" t="s">
        <v>8</v>
      </c>
      <c r="P315" s="27" t="s">
        <v>7</v>
      </c>
      <c r="Q315" s="27" t="s">
        <v>8</v>
      </c>
      <c r="S315" s="27" t="s">
        <v>8</v>
      </c>
      <c r="T315" s="27" t="s">
        <v>7</v>
      </c>
      <c r="U315" s="27" t="s">
        <v>8</v>
      </c>
      <c r="V315" s="27" t="s">
        <v>7</v>
      </c>
      <c r="W315" s="27" t="s">
        <v>8</v>
      </c>
      <c r="X315" s="27" t="s">
        <v>7</v>
      </c>
      <c r="Y315" s="27" t="s">
        <v>8</v>
      </c>
      <c r="Z315" s="27" t="s">
        <v>7</v>
      </c>
      <c r="AS315" s="27" t="s">
        <v>8</v>
      </c>
      <c r="AT315" s="27" t="s">
        <v>7</v>
      </c>
      <c r="BI315" s="27" t="s">
        <v>8</v>
      </c>
      <c r="BJ315" s="27" t="s">
        <v>7</v>
      </c>
      <c r="BK315" s="27" t="s">
        <v>8</v>
      </c>
    </row>
    <row r="316" spans="1:106" x14ac:dyDescent="0.25">
      <c r="A316" s="30">
        <v>2.4525240264112496E-2</v>
      </c>
      <c r="B316"/>
      <c r="C316"/>
      <c r="D316"/>
      <c r="E316"/>
      <c r="J316" s="27" t="s">
        <v>7</v>
      </c>
      <c r="M316" s="27" t="s">
        <v>8</v>
      </c>
      <c r="N316" s="27" t="s">
        <v>7</v>
      </c>
      <c r="P316" s="27" t="s">
        <v>7</v>
      </c>
      <c r="Q316" s="27" t="s">
        <v>8</v>
      </c>
      <c r="R316" s="27" t="s">
        <v>7</v>
      </c>
      <c r="S316" s="27" t="s">
        <v>8</v>
      </c>
      <c r="T316" s="27" t="s">
        <v>7</v>
      </c>
      <c r="U316" s="27" t="s">
        <v>8</v>
      </c>
      <c r="V316" s="27" t="s">
        <v>7</v>
      </c>
      <c r="X316" s="27" t="s">
        <v>7</v>
      </c>
      <c r="Z316" s="27" t="s">
        <v>7</v>
      </c>
      <c r="AS316" s="27" t="s">
        <v>8</v>
      </c>
      <c r="AT316" s="27" t="s">
        <v>7</v>
      </c>
      <c r="BI316" s="27" t="s">
        <v>8</v>
      </c>
      <c r="BJ316" s="27" t="s">
        <v>7</v>
      </c>
      <c r="BK316" s="27" t="s">
        <v>8</v>
      </c>
    </row>
    <row r="317" spans="1:106" x14ac:dyDescent="0.25">
      <c r="A317" s="30">
        <v>2.3357371680107129E-2</v>
      </c>
      <c r="B317"/>
      <c r="C317"/>
      <c r="D317"/>
      <c r="E317"/>
      <c r="J317" s="27" t="s">
        <v>7</v>
      </c>
      <c r="K317" s="27" t="s">
        <v>8</v>
      </c>
      <c r="M317" s="27" t="s">
        <v>8</v>
      </c>
      <c r="P317" s="27" t="s">
        <v>7</v>
      </c>
      <c r="Q317" s="27" t="s">
        <v>8</v>
      </c>
      <c r="R317" s="27" t="s">
        <v>7</v>
      </c>
      <c r="S317" s="27" t="s">
        <v>8</v>
      </c>
      <c r="T317" s="27" t="s">
        <v>7</v>
      </c>
      <c r="U317" s="27" t="s">
        <v>8</v>
      </c>
      <c r="Z317" s="27" t="s">
        <v>7</v>
      </c>
      <c r="AK317" s="27" t="s">
        <v>8</v>
      </c>
      <c r="AO317" s="27" t="s">
        <v>8</v>
      </c>
      <c r="AS317" s="27" t="s">
        <v>8</v>
      </c>
      <c r="AT317" s="27" t="s">
        <v>7</v>
      </c>
      <c r="BI317" s="27" t="s">
        <v>8</v>
      </c>
      <c r="BJ317" s="27" t="s">
        <v>7</v>
      </c>
    </row>
    <row r="318" spans="1:106" x14ac:dyDescent="0.25">
      <c r="A318" s="30">
        <v>2.2245115885816305E-2</v>
      </c>
      <c r="B318"/>
      <c r="C318"/>
      <c r="D318"/>
      <c r="E318"/>
      <c r="J318" s="27" t="s">
        <v>7</v>
      </c>
      <c r="K318" s="27" t="s">
        <v>8</v>
      </c>
      <c r="L318" s="27" t="s">
        <v>7</v>
      </c>
      <c r="M318" s="27" t="s">
        <v>8</v>
      </c>
      <c r="P318" s="27" t="s">
        <v>7</v>
      </c>
      <c r="R318" s="27" t="s">
        <v>7</v>
      </c>
      <c r="S318" s="27" t="s">
        <v>8</v>
      </c>
      <c r="T318" s="27" t="s">
        <v>7</v>
      </c>
      <c r="U318" s="27" t="s">
        <v>8</v>
      </c>
      <c r="Z318" s="27" t="s">
        <v>7</v>
      </c>
      <c r="AI318" s="27" t="s">
        <v>8</v>
      </c>
      <c r="AK318" s="27" t="s">
        <v>8</v>
      </c>
      <c r="AL318" s="27" t="s">
        <v>7</v>
      </c>
      <c r="AM318" s="27" t="s">
        <v>8</v>
      </c>
      <c r="AO318" s="27" t="s">
        <v>8</v>
      </c>
      <c r="AP318" s="27" t="s">
        <v>7</v>
      </c>
      <c r="AQ318" s="27" t="s">
        <v>8</v>
      </c>
      <c r="AS318" s="27" t="s">
        <v>8</v>
      </c>
      <c r="AT318" s="27" t="s">
        <v>7</v>
      </c>
      <c r="BI318" s="27" t="s">
        <v>8</v>
      </c>
    </row>
    <row r="319" spans="1:106" x14ac:dyDescent="0.25">
      <c r="A319" s="30">
        <v>2.1185824653158377E-2</v>
      </c>
      <c r="B319"/>
      <c r="C319"/>
      <c r="D319"/>
      <c r="E319"/>
      <c r="J319" s="27" t="s">
        <v>7</v>
      </c>
      <c r="K319" s="27" t="s">
        <v>8</v>
      </c>
      <c r="L319" s="27" t="s">
        <v>7</v>
      </c>
      <c r="M319" s="27" t="s">
        <v>8</v>
      </c>
      <c r="R319" s="27" t="s">
        <v>7</v>
      </c>
      <c r="S319" s="27" t="s">
        <v>8</v>
      </c>
      <c r="T319" s="27" t="s">
        <v>7</v>
      </c>
      <c r="Z319" s="27" t="s">
        <v>7</v>
      </c>
      <c r="AI319" s="27" t="s">
        <v>8</v>
      </c>
      <c r="AJ319" s="27" t="s">
        <v>7</v>
      </c>
      <c r="AK319" s="27" t="s">
        <v>8</v>
      </c>
      <c r="AL319" s="27" t="s">
        <v>7</v>
      </c>
      <c r="AM319" s="27" t="s">
        <v>8</v>
      </c>
      <c r="AN319" s="27" t="s">
        <v>7</v>
      </c>
      <c r="AO319" s="27" t="s">
        <v>8</v>
      </c>
      <c r="AP319" s="27" t="s">
        <v>7</v>
      </c>
      <c r="AQ319" s="27" t="s">
        <v>8</v>
      </c>
      <c r="AR319" s="27" t="s">
        <v>7</v>
      </c>
      <c r="AS319" s="27" t="s">
        <v>8</v>
      </c>
      <c r="AT319" s="27" t="s">
        <v>7</v>
      </c>
      <c r="BI319" s="27" t="s">
        <v>8</v>
      </c>
    </row>
    <row r="320" spans="1:106" x14ac:dyDescent="0.25">
      <c r="A320" s="30">
        <v>2.0176975860150829E-2</v>
      </c>
      <c r="B320"/>
      <c r="C320"/>
      <c r="D320"/>
      <c r="E320"/>
      <c r="J320" s="27" t="s">
        <v>7</v>
      </c>
      <c r="L320" s="27" t="s">
        <v>7</v>
      </c>
      <c r="R320" s="27" t="s">
        <v>7</v>
      </c>
      <c r="Z320" s="27" t="s">
        <v>7</v>
      </c>
      <c r="AI320" s="27" t="s">
        <v>8</v>
      </c>
      <c r="AJ320" s="27" t="s">
        <v>7</v>
      </c>
      <c r="AK320" s="27" t="s">
        <v>8</v>
      </c>
      <c r="AL320" s="27" t="s">
        <v>7</v>
      </c>
      <c r="AM320" s="27" t="s">
        <v>8</v>
      </c>
      <c r="AN320" s="27" t="s">
        <v>7</v>
      </c>
      <c r="AO320" s="27" t="s">
        <v>8</v>
      </c>
      <c r="AP320" s="27" t="s">
        <v>7</v>
      </c>
      <c r="AQ320" s="27" t="s">
        <v>8</v>
      </c>
      <c r="AR320" s="27" t="s">
        <v>7</v>
      </c>
      <c r="AS320" s="27" t="s">
        <v>8</v>
      </c>
      <c r="AT320" s="27" t="s">
        <v>7</v>
      </c>
      <c r="BI320" s="27" t="s">
        <v>8</v>
      </c>
    </row>
    <row r="321" spans="1:61" x14ac:dyDescent="0.25">
      <c r="A321" s="30">
        <v>1.9216167485857926E-2</v>
      </c>
      <c r="B321"/>
      <c r="C321"/>
      <c r="D321"/>
      <c r="E321"/>
      <c r="Z321" s="27" t="s">
        <v>7</v>
      </c>
      <c r="AG321" s="27" t="s">
        <v>8</v>
      </c>
      <c r="AI321" s="27" t="s">
        <v>8</v>
      </c>
      <c r="AJ321" s="27" t="s">
        <v>7</v>
      </c>
      <c r="AL321" s="27" t="s">
        <v>7</v>
      </c>
      <c r="AM321" s="27" t="s">
        <v>8</v>
      </c>
      <c r="AN321" s="27" t="s">
        <v>7</v>
      </c>
      <c r="AO321" s="27" t="s">
        <v>8</v>
      </c>
      <c r="AP321" s="27" t="s">
        <v>7</v>
      </c>
      <c r="AR321" s="27" t="s">
        <v>7</v>
      </c>
      <c r="AT321" s="27" t="s">
        <v>7</v>
      </c>
      <c r="BE321" s="27" t="s">
        <v>8</v>
      </c>
      <c r="BI321" s="27" t="s">
        <v>8</v>
      </c>
    </row>
    <row r="322" spans="1:61" x14ac:dyDescent="0.25">
      <c r="A322" s="30">
        <v>1.8301111891293256E-2</v>
      </c>
      <c r="B322"/>
      <c r="C322"/>
      <c r="D322"/>
      <c r="E322"/>
      <c r="Z322" s="27" t="s">
        <v>7</v>
      </c>
      <c r="AG322" s="27" t="s">
        <v>8</v>
      </c>
      <c r="AH322" s="27" t="s">
        <v>7</v>
      </c>
      <c r="AI322" s="27" t="s">
        <v>8</v>
      </c>
      <c r="AL322" s="27" t="s">
        <v>7</v>
      </c>
      <c r="AM322" s="27" t="s">
        <v>8</v>
      </c>
      <c r="AN322" s="27" t="s">
        <v>7</v>
      </c>
      <c r="AO322" s="27" t="s">
        <v>8</v>
      </c>
      <c r="AT322" s="27" t="s">
        <v>7</v>
      </c>
      <c r="AU322" s="27" t="s">
        <v>8</v>
      </c>
      <c r="BC322" s="27" t="s">
        <v>8</v>
      </c>
      <c r="BE322" s="27" t="s">
        <v>8</v>
      </c>
      <c r="BF322" s="27" t="s">
        <v>7</v>
      </c>
      <c r="BI322" s="27" t="s">
        <v>8</v>
      </c>
    </row>
    <row r="323" spans="1:61" x14ac:dyDescent="0.25">
      <c r="A323" s="30">
        <v>1.7429630372660238E-2</v>
      </c>
      <c r="B323"/>
      <c r="C323"/>
      <c r="D323"/>
      <c r="E323"/>
      <c r="Z323" s="27" t="s">
        <v>7</v>
      </c>
      <c r="AC323" s="27" t="s">
        <v>8</v>
      </c>
      <c r="AG323" s="27" t="s">
        <v>8</v>
      </c>
      <c r="AH323" s="27" t="s">
        <v>7</v>
      </c>
      <c r="AI323" s="27" t="s">
        <v>8</v>
      </c>
      <c r="AL323" s="27" t="s">
        <v>7</v>
      </c>
      <c r="AN323" s="27" t="s">
        <v>7</v>
      </c>
      <c r="AT323" s="27" t="s">
        <v>7</v>
      </c>
      <c r="AU323" s="27" t="s">
        <v>8</v>
      </c>
      <c r="AV323" s="27" t="s">
        <v>7</v>
      </c>
      <c r="AY323" s="27" t="s">
        <v>8</v>
      </c>
      <c r="BC323" s="27" t="s">
        <v>8</v>
      </c>
      <c r="BD323" s="27" t="s">
        <v>7</v>
      </c>
      <c r="BE323" s="27" t="s">
        <v>8</v>
      </c>
      <c r="BF323" s="27" t="s">
        <v>7</v>
      </c>
      <c r="BG323" s="27" t="s">
        <v>8</v>
      </c>
      <c r="BI323" s="27" t="s">
        <v>8</v>
      </c>
    </row>
    <row r="324" spans="1:61" x14ac:dyDescent="0.25">
      <c r="A324" s="30">
        <v>1.6599647973962125E-2</v>
      </c>
      <c r="B324"/>
      <c r="C324"/>
      <c r="D324"/>
      <c r="E324"/>
      <c r="Z324" s="27" t="s">
        <v>7</v>
      </c>
      <c r="AC324" s="27" t="s">
        <v>8</v>
      </c>
      <c r="AD324" s="27" t="s">
        <v>7</v>
      </c>
      <c r="AG324" s="27" t="s">
        <v>8</v>
      </c>
      <c r="AH324" s="27" t="s">
        <v>7</v>
      </c>
      <c r="AI324" s="27" t="s">
        <v>8</v>
      </c>
      <c r="AT324" s="27" t="s">
        <v>7</v>
      </c>
      <c r="AU324" s="27" t="s">
        <v>8</v>
      </c>
      <c r="AV324" s="27" t="s">
        <v>7</v>
      </c>
      <c r="AY324" s="27" t="s">
        <v>8</v>
      </c>
      <c r="AZ324" s="27" t="s">
        <v>7</v>
      </c>
      <c r="BC324" s="27" t="s">
        <v>8</v>
      </c>
      <c r="BD324" s="27" t="s">
        <v>7</v>
      </c>
      <c r="BE324" s="27" t="s">
        <v>8</v>
      </c>
      <c r="BF324" s="27" t="s">
        <v>7</v>
      </c>
      <c r="BG324" s="27" t="s">
        <v>8</v>
      </c>
      <c r="BH324" s="27" t="s">
        <v>7</v>
      </c>
      <c r="BI324" s="27" t="s">
        <v>8</v>
      </c>
    </row>
    <row r="325" spans="1:61" x14ac:dyDescent="0.25">
      <c r="A325" s="30">
        <v>1.580918854663059E-2</v>
      </c>
      <c r="B325"/>
      <c r="C325"/>
      <c r="D325"/>
      <c r="E325"/>
      <c r="Z325" s="27" t="s">
        <v>7</v>
      </c>
      <c r="AC325" s="27" t="s">
        <v>8</v>
      </c>
      <c r="AD325" s="27" t="s">
        <v>7</v>
      </c>
      <c r="AE325" s="27" t="s">
        <v>8</v>
      </c>
      <c r="AG325" s="27" t="s">
        <v>8</v>
      </c>
      <c r="AH325" s="27" t="s">
        <v>7</v>
      </c>
      <c r="AT325" s="27" t="s">
        <v>7</v>
      </c>
      <c r="AU325" s="27" t="s">
        <v>8</v>
      </c>
      <c r="AV325" s="27" t="s">
        <v>7</v>
      </c>
      <c r="AY325" s="27" t="s">
        <v>8</v>
      </c>
      <c r="AZ325" s="27" t="s">
        <v>7</v>
      </c>
      <c r="BA325" s="27" t="s">
        <v>8</v>
      </c>
      <c r="BC325" s="27" t="s">
        <v>8</v>
      </c>
      <c r="BD325" s="27" t="s">
        <v>7</v>
      </c>
      <c r="BE325" s="27" t="s">
        <v>8</v>
      </c>
      <c r="BF325" s="27" t="s">
        <v>7</v>
      </c>
      <c r="BG325" s="27" t="s">
        <v>8</v>
      </c>
      <c r="BH325" s="27" t="s">
        <v>7</v>
      </c>
      <c r="BI325" s="27" t="s">
        <v>8</v>
      </c>
    </row>
    <row r="326" spans="1:61" x14ac:dyDescent="0.25">
      <c r="A326" s="30">
        <v>1.5056370044410079E-2</v>
      </c>
      <c r="B326"/>
      <c r="C326"/>
      <c r="D326"/>
      <c r="E326"/>
      <c r="Z326" s="27" t="s">
        <v>7</v>
      </c>
      <c r="AA326" s="27" t="s">
        <v>8</v>
      </c>
      <c r="AC326" s="27" t="s">
        <v>8</v>
      </c>
      <c r="AD326" s="27" t="s">
        <v>7</v>
      </c>
      <c r="AE326" s="27" t="s">
        <v>8</v>
      </c>
      <c r="AF326" s="27" t="s">
        <v>7</v>
      </c>
      <c r="AG326" s="27" t="s">
        <v>8</v>
      </c>
      <c r="AT326" s="27" t="s">
        <v>7</v>
      </c>
      <c r="AV326" s="27" t="s">
        <v>7</v>
      </c>
      <c r="AY326" s="27" t="s">
        <v>8</v>
      </c>
      <c r="AZ326" s="27" t="s">
        <v>7</v>
      </c>
      <c r="BA326" s="27" t="s">
        <v>8</v>
      </c>
      <c r="BB326" s="27" t="s">
        <v>7</v>
      </c>
      <c r="BC326" s="27" t="s">
        <v>8</v>
      </c>
      <c r="BD326" s="27" t="s">
        <v>7</v>
      </c>
      <c r="BE326" s="27" t="s">
        <v>8</v>
      </c>
      <c r="BF326" s="27" t="s">
        <v>7</v>
      </c>
      <c r="BH326" s="27" t="s">
        <v>7</v>
      </c>
    </row>
    <row r="327" spans="1:61" x14ac:dyDescent="0.25">
      <c r="A327" s="30">
        <v>1.4339400042295308E-2</v>
      </c>
      <c r="B327"/>
      <c r="C327"/>
      <c r="D327"/>
      <c r="E327"/>
      <c r="Z327" s="27" t="s">
        <v>7</v>
      </c>
      <c r="AA327" s="27" t="s">
        <v>8</v>
      </c>
      <c r="AB327" s="27" t="s">
        <v>7</v>
      </c>
      <c r="AC327" s="27" t="s">
        <v>8</v>
      </c>
      <c r="AD327" s="27" t="s">
        <v>7</v>
      </c>
      <c r="AE327" s="27" t="s">
        <v>8</v>
      </c>
      <c r="AF327" s="27" t="s">
        <v>7</v>
      </c>
      <c r="AG327" s="27" t="s">
        <v>8</v>
      </c>
      <c r="AV327" s="27" t="s">
        <v>7</v>
      </c>
      <c r="AW327" s="27" t="s">
        <v>8</v>
      </c>
      <c r="AY327" s="27" t="s">
        <v>8</v>
      </c>
      <c r="AZ327" s="27" t="s">
        <v>7</v>
      </c>
      <c r="BA327" s="27" t="s">
        <v>8</v>
      </c>
      <c r="BB327" s="27" t="s">
        <v>7</v>
      </c>
      <c r="BC327" s="27" t="s">
        <v>8</v>
      </c>
      <c r="BD327" s="27" t="s">
        <v>7</v>
      </c>
      <c r="BE327" s="27" t="s">
        <v>8</v>
      </c>
    </row>
    <row r="328" spans="1:61" x14ac:dyDescent="0.25">
      <c r="A328" s="30">
        <v>1.365657146885267E-2</v>
      </c>
      <c r="B328"/>
      <c r="C328"/>
      <c r="D328"/>
      <c r="E328"/>
      <c r="Z328" s="27" t="s">
        <v>7</v>
      </c>
      <c r="AA328" s="27" t="s">
        <v>8</v>
      </c>
      <c r="AB328" s="27" t="s">
        <v>7</v>
      </c>
      <c r="AC328" s="27" t="s">
        <v>8</v>
      </c>
      <c r="AD328" s="27" t="s">
        <v>7</v>
      </c>
      <c r="AF328" s="27" t="s">
        <v>7</v>
      </c>
      <c r="AV328" s="27" t="s">
        <v>7</v>
      </c>
      <c r="AW328" s="27" t="s">
        <v>8</v>
      </c>
      <c r="AX328" s="27" t="s">
        <v>7</v>
      </c>
      <c r="AY328" s="27" t="s">
        <v>8</v>
      </c>
      <c r="AZ328" s="27" t="s">
        <v>7</v>
      </c>
      <c r="BA328" s="27" t="s">
        <v>8</v>
      </c>
      <c r="BB328" s="27" t="s">
        <v>7</v>
      </c>
      <c r="BC328" s="27" t="s">
        <v>8</v>
      </c>
      <c r="BD328" s="27" t="s">
        <v>7</v>
      </c>
    </row>
    <row r="329" spans="1:61" x14ac:dyDescent="0.25">
      <c r="A329" s="30">
        <v>1.3006258541764442E-2</v>
      </c>
      <c r="B329"/>
      <c r="C329"/>
      <c r="D329"/>
      <c r="E329"/>
      <c r="Z329" s="27" t="s">
        <v>7</v>
      </c>
      <c r="AA329" s="27" t="s">
        <v>8</v>
      </c>
      <c r="AB329" s="27" t="s">
        <v>7</v>
      </c>
      <c r="AC329" s="27" t="s">
        <v>8</v>
      </c>
      <c r="AV329" s="27" t="s">
        <v>7</v>
      </c>
      <c r="AW329" s="27" t="s">
        <v>8</v>
      </c>
      <c r="AX329" s="27" t="s">
        <v>7</v>
      </c>
      <c r="AY329" s="27" t="s">
        <v>8</v>
      </c>
      <c r="AZ329" s="27" t="s">
        <v>7</v>
      </c>
      <c r="BB329" s="27" t="s">
        <v>7</v>
      </c>
      <c r="BC329" s="27" t="s">
        <v>8</v>
      </c>
    </row>
    <row r="330" spans="1:61" x14ac:dyDescent="0.25">
      <c r="A330" s="30">
        <v>1.2386912896918512E-2</v>
      </c>
      <c r="B330"/>
      <c r="C330"/>
      <c r="D330"/>
      <c r="E330"/>
      <c r="Z330" s="27" t="s">
        <v>7</v>
      </c>
      <c r="AA330" s="27" t="s">
        <v>8</v>
      </c>
      <c r="AB330" s="27" t="s">
        <v>7</v>
      </c>
      <c r="AC330" s="27" t="s">
        <v>8</v>
      </c>
      <c r="AV330" s="27" t="s">
        <v>7</v>
      </c>
      <c r="AX330" s="27" t="s">
        <v>7</v>
      </c>
      <c r="AY330" s="27" t="s">
        <v>8</v>
      </c>
      <c r="BB330" s="27" t="s">
        <v>7</v>
      </c>
    </row>
    <row r="331" spans="1:61" x14ac:dyDescent="0.25">
      <c r="A331" s="30">
        <v>1.179705990182715E-2</v>
      </c>
      <c r="B331"/>
      <c r="C331"/>
      <c r="D331"/>
      <c r="E331"/>
      <c r="Z331" s="27" t="s">
        <v>7</v>
      </c>
      <c r="AA331" s="27" t="s">
        <v>8</v>
      </c>
      <c r="AB331" s="27" t="s">
        <v>7</v>
      </c>
      <c r="AC331" s="27" t="s">
        <v>8</v>
      </c>
      <c r="AX331" s="27" t="s">
        <v>7</v>
      </c>
      <c r="AY331" s="27" t="s">
        <v>8</v>
      </c>
    </row>
    <row r="332" spans="1:61" x14ac:dyDescent="0.25">
      <c r="A332" s="30">
        <v>1.1235295144597281E-2</v>
      </c>
      <c r="B332"/>
      <c r="C332"/>
      <c r="D332"/>
      <c r="E332"/>
      <c r="Z332" s="27" t="s">
        <v>7</v>
      </c>
      <c r="AA332" s="27" t="s">
        <v>8</v>
      </c>
      <c r="AB332" s="27" t="s">
        <v>7</v>
      </c>
      <c r="AC332" s="27" t="s">
        <v>8</v>
      </c>
      <c r="AX332" s="27" t="s">
        <v>7</v>
      </c>
      <c r="AY332" s="27" t="s">
        <v>8</v>
      </c>
    </row>
    <row r="333" spans="1:61" x14ac:dyDescent="0.25">
      <c r="A333" s="30">
        <v>1.0700281090092644E-2</v>
      </c>
      <c r="B333"/>
      <c r="C333"/>
      <c r="D333"/>
      <c r="E333"/>
      <c r="Z333" s="27" t="s">
        <v>7</v>
      </c>
      <c r="AA333" s="27" t="s">
        <v>8</v>
      </c>
      <c r="AB333" s="27" t="s">
        <v>7</v>
      </c>
      <c r="AX333" s="27" t="s">
        <v>7</v>
      </c>
    </row>
    <row r="334" spans="1:61" x14ac:dyDescent="0.25">
      <c r="A334" s="30">
        <v>1.0190743895326324E-2</v>
      </c>
      <c r="B334"/>
      <c r="C334"/>
      <c r="D334"/>
      <c r="E334"/>
      <c r="Z334" s="27" t="s">
        <v>7</v>
      </c>
      <c r="AA334" s="27" t="s">
        <v>8</v>
      </c>
    </row>
    <row r="335" spans="1:61" x14ac:dyDescent="0.25">
      <c r="A335" s="30">
        <v>9.7054703765012563E-3</v>
      </c>
      <c r="B335"/>
      <c r="C335"/>
      <c r="D335"/>
      <c r="E335"/>
      <c r="Z335" s="27" t="s">
        <v>7</v>
      </c>
      <c r="AA335" s="27" t="s">
        <v>8</v>
      </c>
    </row>
    <row r="336" spans="1:61" x14ac:dyDescent="0.25">
      <c r="A336" s="30">
        <v>9.2433051204773835E-3</v>
      </c>
      <c r="B336"/>
      <c r="C336"/>
      <c r="D336"/>
      <c r="E336"/>
      <c r="Z336" s="27" t="s">
        <v>7</v>
      </c>
      <c r="AA336" s="27" t="s">
        <v>8</v>
      </c>
    </row>
    <row r="337" spans="1:27" x14ac:dyDescent="0.25">
      <c r="A337" s="30">
        <v>8.8031477337879808E-3</v>
      </c>
      <c r="B337"/>
      <c r="C337"/>
      <c r="D337"/>
      <c r="E337"/>
      <c r="Z337" s="27" t="s">
        <v>7</v>
      </c>
      <c r="AA337" s="27" t="s">
        <v>8</v>
      </c>
    </row>
    <row r="338" spans="1:27" x14ac:dyDescent="0.25">
      <c r="A338" s="30">
        <v>8.3839502226552166E-3</v>
      </c>
      <c r="B338"/>
      <c r="C338"/>
      <c r="D338"/>
      <c r="E338"/>
      <c r="Z338" s="27" t="s">
        <v>7</v>
      </c>
      <c r="AA338" s="27" t="s">
        <v>8</v>
      </c>
    </row>
    <row r="339" spans="1:27" x14ac:dyDescent="0.25">
      <c r="A339" s="30">
        <v>7.9847144977668698E-3</v>
      </c>
      <c r="B339"/>
      <c r="C339"/>
      <c r="D339"/>
      <c r="E339"/>
      <c r="Z339" s="27" t="s">
        <v>7</v>
      </c>
      <c r="AA339" s="27" t="s">
        <v>8</v>
      </c>
    </row>
    <row r="340" spans="1:27" x14ac:dyDescent="0.25">
      <c r="A340" s="30">
        <v>7.6044899978732058E-3</v>
      </c>
      <c r="B340"/>
      <c r="C340"/>
      <c r="D340"/>
      <c r="E340"/>
      <c r="Z340" s="27" t="s">
        <v>7</v>
      </c>
      <c r="AA340" s="27" t="s">
        <v>8</v>
      </c>
    </row>
    <row r="341" spans="1:27" x14ac:dyDescent="0.25">
      <c r="A341" s="30">
        <v>7.2423714265459072E-3</v>
      </c>
      <c r="B341"/>
      <c r="C341"/>
      <c r="D341"/>
      <c r="E341"/>
      <c r="Z341" s="27" t="s">
        <v>7</v>
      </c>
    </row>
    <row r="342" spans="1:27" x14ac:dyDescent="0.25">
      <c r="A342" s="30">
        <v>6.8974965967103846E-3</v>
      </c>
      <c r="B342"/>
      <c r="C342"/>
      <c r="D342"/>
      <c r="E342"/>
    </row>
    <row r="343" spans="1:27" x14ac:dyDescent="0.25">
      <c r="A343" s="30">
        <v>6.5690443778194116E-3</v>
      </c>
      <c r="B343"/>
      <c r="C343"/>
      <c r="D343"/>
      <c r="E343"/>
    </row>
    <row r="344" spans="1:27" x14ac:dyDescent="0.25">
      <c r="A344" s="30">
        <v>6.2562327407803897E-3</v>
      </c>
      <c r="B344"/>
      <c r="C344"/>
      <c r="D344"/>
      <c r="E344"/>
    </row>
    <row r="345" spans="1:27" x14ac:dyDescent="0.25">
      <c r="A345" s="30">
        <v>5.9583168959813212E-3</v>
      </c>
      <c r="B345"/>
      <c r="C345"/>
      <c r="D345"/>
      <c r="E345"/>
    </row>
    <row r="346" spans="1:27" x14ac:dyDescent="0.25">
      <c r="A346" s="30">
        <v>5.6745875199822084E-3</v>
      </c>
      <c r="B346"/>
      <c r="C346"/>
      <c r="D346"/>
      <c r="E346"/>
    </row>
    <row r="347" spans="1:27" x14ac:dyDescent="0.25">
      <c r="A347" s="30">
        <v>5.4043690666497205E-3</v>
      </c>
      <c r="B347"/>
      <c r="C347"/>
      <c r="D347"/>
      <c r="E347"/>
    </row>
    <row r="348" spans="1:27" x14ac:dyDescent="0.25">
      <c r="A348" s="30">
        <v>5.1470181587140174E-3</v>
      </c>
      <c r="B348"/>
      <c r="C348"/>
      <c r="D348"/>
      <c r="E348"/>
    </row>
    <row r="349" spans="1:27" x14ac:dyDescent="0.25">
      <c r="A349" s="30">
        <v>4.9019220559181099E-3</v>
      </c>
      <c r="B349"/>
      <c r="C349"/>
      <c r="D349"/>
      <c r="E349"/>
    </row>
    <row r="350" spans="1:27" x14ac:dyDescent="0.25">
      <c r="A350" s="30">
        <v>4.6684971961124836E-3</v>
      </c>
      <c r="B350"/>
      <c r="C350"/>
      <c r="D350"/>
      <c r="E350"/>
    </row>
    <row r="351" spans="1:27" x14ac:dyDescent="0.25">
      <c r="A351" s="30">
        <v>4.4461878058214112E-3</v>
      </c>
      <c r="B351"/>
      <c r="C351"/>
      <c r="D351"/>
      <c r="E351"/>
    </row>
    <row r="352" spans="1:27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276" operator="equal">
      <formula>$U$1</formula>
    </cfRule>
    <cfRule type="cellIs" dxfId="67" priority="1277" operator="equal">
      <formula>$S$1</formula>
    </cfRule>
  </conditionalFormatting>
  <conditionalFormatting sqref="D136">
    <cfRule type="cellIs" dxfId="66" priority="1274" operator="equal">
      <formula>$S$1</formula>
    </cfRule>
    <cfRule type="cellIs" dxfId="65" priority="1275" operator="equal">
      <formula>$U$1</formula>
    </cfRule>
  </conditionalFormatting>
  <conditionalFormatting sqref="C162">
    <cfRule type="cellIs" dxfId="64" priority="1272" operator="equal">
      <formula>$U$1</formula>
    </cfRule>
    <cfRule type="cellIs" dxfId="63" priority="1273" operator="equal">
      <formula>$S$1</formula>
    </cfRule>
  </conditionalFormatting>
  <conditionalFormatting sqref="D162">
    <cfRule type="cellIs" dxfId="62" priority="1270" operator="equal">
      <formula>$S$1</formula>
    </cfRule>
    <cfRule type="cellIs" dxfId="61" priority="1271" operator="equal">
      <formula>$U$1</formula>
    </cfRule>
  </conditionalFormatting>
  <conditionalFormatting sqref="C187">
    <cfRule type="cellIs" dxfId="60" priority="1268" operator="equal">
      <formula>$U$1</formula>
    </cfRule>
    <cfRule type="cellIs" dxfId="59" priority="1269" operator="equal">
      <formula>$S$1</formula>
    </cfRule>
  </conditionalFormatting>
  <conditionalFormatting sqref="D187">
    <cfRule type="cellIs" dxfId="58" priority="1266" operator="equal">
      <formula>$S$1</formula>
    </cfRule>
    <cfRule type="cellIs" dxfId="57" priority="1267" operator="equal">
      <formula>$U$1</formula>
    </cfRule>
  </conditionalFormatting>
  <conditionalFormatting sqref="C212">
    <cfRule type="cellIs" dxfId="56" priority="1264" operator="equal">
      <formula>$U$1</formula>
    </cfRule>
    <cfRule type="cellIs" dxfId="55" priority="1265" operator="equal">
      <formula>$S$1</formula>
    </cfRule>
  </conditionalFormatting>
  <conditionalFormatting sqref="D212">
    <cfRule type="cellIs" dxfId="54" priority="1262" operator="equal">
      <formula>$S$1</formula>
    </cfRule>
    <cfRule type="cellIs" dxfId="53" priority="1263" operator="equal">
      <formula>$U$1</formula>
    </cfRule>
  </conditionalFormatting>
  <conditionalFormatting sqref="C237">
    <cfRule type="cellIs" dxfId="52" priority="1260" operator="equal">
      <formula>$U$1</formula>
    </cfRule>
    <cfRule type="cellIs" dxfId="51" priority="1261" operator="equal">
      <formula>$S$1</formula>
    </cfRule>
  </conditionalFormatting>
  <conditionalFormatting sqref="D237">
    <cfRule type="cellIs" dxfId="50" priority="1258" operator="equal">
      <formula>$S$1</formula>
    </cfRule>
    <cfRule type="cellIs" dxfId="49" priority="1259" operator="equal">
      <formula>$U$1</formula>
    </cfRule>
  </conditionalFormatting>
  <conditionalFormatting sqref="C106">
    <cfRule type="cellIs" dxfId="48" priority="1256" operator="equal">
      <formula>$U$1</formula>
    </cfRule>
    <cfRule type="cellIs" dxfId="47" priority="1257" operator="equal">
      <formula>$S$1</formula>
    </cfRule>
  </conditionalFormatting>
  <conditionalFormatting sqref="D106">
    <cfRule type="cellIs" dxfId="46" priority="1254" operator="equal">
      <formula>$S$1</formula>
    </cfRule>
    <cfRule type="cellIs" dxfId="45" priority="1255" operator="equal">
      <formula>$U$1</formula>
    </cfRule>
  </conditionalFormatting>
  <conditionalFormatting sqref="C81">
    <cfRule type="cellIs" dxfId="44" priority="1252" operator="equal">
      <formula>$U$1</formula>
    </cfRule>
    <cfRule type="cellIs" dxfId="43" priority="1253" operator="equal">
      <formula>$S$1</formula>
    </cfRule>
  </conditionalFormatting>
  <conditionalFormatting sqref="D81">
    <cfRule type="cellIs" dxfId="42" priority="1250" operator="equal">
      <formula>$S$1</formula>
    </cfRule>
    <cfRule type="cellIs" dxfId="41" priority="1251" operator="equal">
      <formula>$U$1</formula>
    </cfRule>
  </conditionalFormatting>
  <conditionalFormatting sqref="C56">
    <cfRule type="cellIs" dxfId="40" priority="1248" operator="equal">
      <formula>$U$1</formula>
    </cfRule>
    <cfRule type="cellIs" dxfId="39" priority="1249" operator="equal">
      <formula>$S$1</formula>
    </cfRule>
  </conditionalFormatting>
  <conditionalFormatting sqref="D56">
    <cfRule type="cellIs" dxfId="38" priority="1246" operator="equal">
      <formula>$S$1</formula>
    </cfRule>
    <cfRule type="cellIs" dxfId="37" priority="1247" operator="equal">
      <formula>$U$1</formula>
    </cfRule>
  </conditionalFormatting>
  <conditionalFormatting sqref="C31">
    <cfRule type="cellIs" dxfId="36" priority="1244" operator="equal">
      <formula>$U$1</formula>
    </cfRule>
    <cfRule type="cellIs" dxfId="35" priority="1245" operator="equal">
      <formula>$S$1</formula>
    </cfRule>
  </conditionalFormatting>
  <conditionalFormatting sqref="D31">
    <cfRule type="cellIs" dxfId="34" priority="1242" operator="equal">
      <formula>$S$1</formula>
    </cfRule>
    <cfRule type="cellIs" dxfId="33" priority="124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7" zoomScale="90" zoomScaleNormal="90" workbookViewId="0">
      <pane xSplit="4" topLeftCell="G1" activePane="topRight" state="frozen"/>
      <selection activeCell="A109" sqref="A109"/>
      <selection pane="topRight" activeCell="AU149" sqref="AU14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$A$148</v>
      </c>
      <c r="D111" s="1" t="str">
        <f>ADDRESS(C121-1,D121,1,1)</f>
        <v>$AU$148</v>
      </c>
      <c r="E111"/>
    </row>
    <row r="112" spans="1:5" x14ac:dyDescent="0.25">
      <c r="A112" s="30">
        <v>2.3579476910000019</v>
      </c>
      <c r="C112" s="1" t="str">
        <f>ADDRESS(C121,1,1,1)</f>
        <v>$A$149</v>
      </c>
      <c r="D112" s="1" t="str">
        <f>ADDRESS(C121,D121-1,1,1)</f>
        <v>$AT$149</v>
      </c>
      <c r="E112"/>
    </row>
    <row r="113" spans="1:6" x14ac:dyDescent="0.25">
      <c r="A113" s="30">
        <v>2.1435888100000016</v>
      </c>
      <c r="C113" s="1" t="str">
        <f>ADDRESS(C121+1,1,1,1)</f>
        <v>$A$150</v>
      </c>
      <c r="D113" s="1" t="str">
        <f>ADDRESS(C121-1,D121+1,1,1)</f>
        <v>$AV$148</v>
      </c>
    </row>
    <row r="114" spans="1:6" x14ac:dyDescent="0.25">
      <c r="A114" s="30">
        <v>1.9487171000000014</v>
      </c>
      <c r="C114" s="1" t="str">
        <f>ADDRESS(C121,D121,1,1)</f>
        <v>$AU$149</v>
      </c>
      <c r="D114" s="1" t="str">
        <f>ADDRESS(C121+1,D121+1,1,1)</f>
        <v>$AV$150</v>
      </c>
    </row>
    <row r="115" spans="1:6" x14ac:dyDescent="0.25">
      <c r="A115" s="30">
        <v>1.7715610000000011</v>
      </c>
      <c r="C115" s="1" t="str">
        <f>ADDRESS(C121+1,D121,1,1)</f>
        <v>$AU$150</v>
      </c>
    </row>
    <row r="116" spans="1:6" x14ac:dyDescent="0.25">
      <c r="A116" s="30">
        <v>1.6105100000000008</v>
      </c>
      <c r="C116" s="1">
        <f>C117-1</f>
        <v>148</v>
      </c>
    </row>
    <row r="117" spans="1:6" x14ac:dyDescent="0.25">
      <c r="A117" s="30">
        <v>1.4641000000000006</v>
      </c>
      <c r="C117" s="1">
        <f>C121</f>
        <v>149</v>
      </c>
      <c r="D117" s="1">
        <f>D121</f>
        <v>47</v>
      </c>
    </row>
    <row r="118" spans="1:6" x14ac:dyDescent="0.25">
      <c r="A118" s="30">
        <v>1.3310000000000004</v>
      </c>
      <c r="C118" s="1">
        <f>C117+1</f>
        <v>150</v>
      </c>
      <c r="D118" s="1">
        <f>D117+1</f>
        <v>48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149</v>
      </c>
      <c r="D121" s="19">
        <v>47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X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R149</v>
      </c>
      <c r="D123" s="1" t="str">
        <f>"C"&amp;D121</f>
        <v>C47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6.9343349494413078E-2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4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46" x14ac:dyDescent="0.25">
      <c r="A130" s="30">
        <v>0.42409761837248428</v>
      </c>
      <c r="C130" s="6"/>
      <c r="D130" s="6"/>
      <c r="E130"/>
      <c r="F130" s="27" t="s">
        <v>7</v>
      </c>
    </row>
    <row r="131" spans="1:46" x14ac:dyDescent="0.25">
      <c r="A131" s="30">
        <v>0.38554328942953109</v>
      </c>
      <c r="E131"/>
      <c r="F131" s="27" t="s">
        <v>7</v>
      </c>
    </row>
    <row r="132" spans="1:46" x14ac:dyDescent="0.25">
      <c r="A132" s="30">
        <v>0.35049389948139187</v>
      </c>
      <c r="C132" s="1" t="s">
        <v>13</v>
      </c>
      <c r="E132"/>
      <c r="F132" s="27" t="s">
        <v>7</v>
      </c>
    </row>
    <row r="133" spans="1:46" x14ac:dyDescent="0.25">
      <c r="A133" s="30">
        <v>0.31863081771035617</v>
      </c>
      <c r="C133" s="1" t="str">
        <f>C122</f>
        <v>X</v>
      </c>
      <c r="E133"/>
      <c r="F133" s="27" t="s">
        <v>7</v>
      </c>
    </row>
    <row r="134" spans="1:46" x14ac:dyDescent="0.25">
      <c r="A134" s="30">
        <v>0.28966437973668741</v>
      </c>
      <c r="C134"/>
      <c r="D134"/>
      <c r="E134"/>
      <c r="F134" s="27" t="s">
        <v>7</v>
      </c>
      <c r="Y134" s="27" t="s">
        <v>8</v>
      </c>
    </row>
    <row r="135" spans="1:46" x14ac:dyDescent="0.25">
      <c r="A135" s="30">
        <v>0.2633312543060794</v>
      </c>
      <c r="C135" s="1" t="s">
        <v>14</v>
      </c>
      <c r="E135"/>
      <c r="F135" s="27" t="s">
        <v>7</v>
      </c>
      <c r="Y135" s="27" t="s">
        <v>8</v>
      </c>
      <c r="Z135" s="27" t="s">
        <v>7</v>
      </c>
      <c r="AC135" s="27" t="s">
        <v>8</v>
      </c>
      <c r="AE135" s="33" t="s">
        <v>8</v>
      </c>
    </row>
    <row r="136" spans="1:46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Y136" s="27" t="s">
        <v>8</v>
      </c>
      <c r="Z136" s="27" t="s">
        <v>7</v>
      </c>
      <c r="AC136" s="27" t="s">
        <v>8</v>
      </c>
      <c r="AD136" s="27" t="s">
        <v>7</v>
      </c>
      <c r="AE136" s="27" t="s">
        <v>8</v>
      </c>
      <c r="AF136" s="33" t="s">
        <v>7</v>
      </c>
    </row>
    <row r="137" spans="1:46" x14ac:dyDescent="0.25">
      <c r="A137" s="30">
        <v>0.2176291357901482</v>
      </c>
      <c r="E137"/>
      <c r="F137" s="27" t="s">
        <v>7</v>
      </c>
      <c r="Y137" s="27" t="s">
        <v>8</v>
      </c>
      <c r="Z137" s="27" t="s">
        <v>7</v>
      </c>
      <c r="AC137" s="27" t="s">
        <v>8</v>
      </c>
      <c r="AD137" s="27" t="s">
        <v>7</v>
      </c>
      <c r="AE137" s="27" t="s">
        <v>8</v>
      </c>
      <c r="AF137" s="27" t="s">
        <v>7</v>
      </c>
      <c r="AG137" s="33"/>
    </row>
    <row r="138" spans="1:46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Y138" s="27" t="s">
        <v>8</v>
      </c>
      <c r="Z138" s="27" t="s">
        <v>7</v>
      </c>
      <c r="AA138" s="27" t="s">
        <v>8</v>
      </c>
      <c r="AC138" s="27" t="s">
        <v>8</v>
      </c>
      <c r="AD138" s="27" t="s">
        <v>7</v>
      </c>
      <c r="AE138" s="27" t="s">
        <v>8</v>
      </c>
      <c r="AF138" s="27" t="s">
        <v>7</v>
      </c>
      <c r="AG138" s="27" t="s">
        <v>8</v>
      </c>
      <c r="AH138" s="33"/>
    </row>
    <row r="139" spans="1:46" x14ac:dyDescent="0.25">
      <c r="A139" s="30">
        <v>0.17985878990921333</v>
      </c>
      <c r="E139"/>
      <c r="F139" s="27" t="s">
        <v>7</v>
      </c>
      <c r="Y139" s="27" t="s">
        <v>8</v>
      </c>
      <c r="Z139" s="27" t="s">
        <v>7</v>
      </c>
      <c r="AA139" s="27" t="s">
        <v>8</v>
      </c>
      <c r="AB139" s="27" t="s">
        <v>7</v>
      </c>
      <c r="AC139" s="27" t="s">
        <v>8</v>
      </c>
      <c r="AD139" s="27" t="s">
        <v>7</v>
      </c>
      <c r="AF139" s="27" t="s">
        <v>7</v>
      </c>
      <c r="AG139" s="27" t="s">
        <v>8</v>
      </c>
      <c r="AH139" s="27" t="s">
        <v>7</v>
      </c>
      <c r="AI139" s="33"/>
    </row>
    <row r="140" spans="1:46" x14ac:dyDescent="0.25">
      <c r="A140" s="30">
        <v>0.16350799082655756</v>
      </c>
      <c r="C140" s="1">
        <v>0</v>
      </c>
      <c r="E140"/>
      <c r="F140" s="27" t="s">
        <v>7</v>
      </c>
      <c r="Y140" s="27" t="s">
        <v>8</v>
      </c>
      <c r="Z140" s="27" t="s">
        <v>7</v>
      </c>
      <c r="AA140" s="27" t="s">
        <v>8</v>
      </c>
      <c r="AB140" s="27" t="s">
        <v>7</v>
      </c>
      <c r="AC140" s="27" t="s">
        <v>8</v>
      </c>
      <c r="AF140" s="27" t="s">
        <v>7</v>
      </c>
      <c r="AG140" s="27" t="s">
        <v>8</v>
      </c>
      <c r="AH140" s="27" t="s">
        <v>7</v>
      </c>
      <c r="AJ140" s="33"/>
      <c r="AM140" s="27" t="s">
        <v>8</v>
      </c>
      <c r="AO140" s="27" t="s">
        <v>8</v>
      </c>
    </row>
    <row r="141" spans="1:46" x14ac:dyDescent="0.25">
      <c r="A141" s="30">
        <v>0.14864362802414322</v>
      </c>
      <c r="C141" s="1">
        <v>1</v>
      </c>
      <c r="E141"/>
      <c r="F141" s="27" t="s">
        <v>7</v>
      </c>
      <c r="Y141" s="27" t="s">
        <v>8</v>
      </c>
      <c r="Z141" s="27" t="s">
        <v>7</v>
      </c>
      <c r="AB141" s="27" t="s">
        <v>7</v>
      </c>
      <c r="AC141" s="27" t="s">
        <v>8</v>
      </c>
      <c r="AF141" s="27" t="s">
        <v>7</v>
      </c>
      <c r="AG141" s="27" t="s">
        <v>8</v>
      </c>
      <c r="AH141" s="27" t="s">
        <v>7</v>
      </c>
      <c r="AK141" s="33"/>
      <c r="AM141" s="27" t="s">
        <v>8</v>
      </c>
      <c r="AN141" s="27" t="s">
        <v>7</v>
      </c>
      <c r="AO141" s="27" t="s">
        <v>8</v>
      </c>
      <c r="AP141" s="27" t="s">
        <v>7</v>
      </c>
      <c r="AQ141" s="27" t="s">
        <v>8</v>
      </c>
    </row>
    <row r="142" spans="1:46" x14ac:dyDescent="0.25">
      <c r="A142" s="30">
        <v>0.13513057093103928</v>
      </c>
      <c r="C142" s="1">
        <v>2</v>
      </c>
      <c r="E142"/>
      <c r="F142" s="27" t="s">
        <v>7</v>
      </c>
      <c r="Y142" s="27" t="s">
        <v>8</v>
      </c>
      <c r="AB142" s="27" t="s">
        <v>7</v>
      </c>
      <c r="AC142" s="27" t="s">
        <v>8</v>
      </c>
      <c r="AF142" s="27" t="s">
        <v>7</v>
      </c>
      <c r="AG142" s="27" t="s">
        <v>8</v>
      </c>
      <c r="AH142" s="27" t="s">
        <v>7</v>
      </c>
      <c r="AL142" s="33"/>
      <c r="AM142" s="27" t="s">
        <v>8</v>
      </c>
      <c r="AN142" s="27" t="s">
        <v>7</v>
      </c>
      <c r="AO142" s="27" t="s">
        <v>8</v>
      </c>
      <c r="AP142" s="27" t="s">
        <v>7</v>
      </c>
      <c r="AQ142" s="27" t="s">
        <v>8</v>
      </c>
      <c r="AR142" s="27" t="s">
        <v>7</v>
      </c>
      <c r="AS142" s="27" t="s">
        <v>8</v>
      </c>
    </row>
    <row r="143" spans="1:46" x14ac:dyDescent="0.25">
      <c r="A143" s="30">
        <v>0.12284597357367205</v>
      </c>
      <c r="C143" s="1">
        <v>3</v>
      </c>
      <c r="E143"/>
      <c r="F143" s="27" t="s">
        <v>7</v>
      </c>
      <c r="Y143" s="27" t="s">
        <v>8</v>
      </c>
      <c r="AB143" s="27" t="s">
        <v>7</v>
      </c>
      <c r="AF143" s="27" t="s">
        <v>7</v>
      </c>
      <c r="AG143" s="27" t="s">
        <v>8</v>
      </c>
      <c r="AH143" s="27" t="s">
        <v>7</v>
      </c>
      <c r="AM143" s="33" t="s">
        <v>8</v>
      </c>
      <c r="AN143" s="27" t="s">
        <v>7</v>
      </c>
      <c r="AP143" s="27" t="s">
        <v>7</v>
      </c>
      <c r="AQ143" s="27" t="s">
        <v>8</v>
      </c>
      <c r="AR143" s="27" t="s">
        <v>7</v>
      </c>
      <c r="AS143" s="27" t="s">
        <v>8</v>
      </c>
      <c r="AT143" s="27" t="s">
        <v>7</v>
      </c>
    </row>
    <row r="144" spans="1:46" x14ac:dyDescent="0.25">
      <c r="A144" s="30">
        <v>0.11167815779424731</v>
      </c>
      <c r="C144" s="1">
        <v>4</v>
      </c>
      <c r="E144"/>
      <c r="F144" s="27" t="s">
        <v>7</v>
      </c>
      <c r="Y144" s="27" t="s">
        <v>8</v>
      </c>
      <c r="AF144" s="27" t="s">
        <v>7</v>
      </c>
      <c r="AH144" s="27" t="s">
        <v>7</v>
      </c>
      <c r="AM144" s="27" t="s">
        <v>8</v>
      </c>
      <c r="AP144" s="27" t="s">
        <v>7</v>
      </c>
      <c r="AQ144" s="27" t="s">
        <v>8</v>
      </c>
      <c r="AR144" s="27" t="s">
        <v>7</v>
      </c>
      <c r="AS144" s="27" t="s">
        <v>8</v>
      </c>
      <c r="AT144" s="27" t="s">
        <v>7</v>
      </c>
    </row>
    <row r="145" spans="1:47" x14ac:dyDescent="0.25">
      <c r="A145" s="30">
        <v>0.10152559799477026</v>
      </c>
      <c r="B145"/>
      <c r="C145"/>
      <c r="D145"/>
      <c r="E145"/>
      <c r="F145" s="27" t="s">
        <v>7</v>
      </c>
      <c r="Y145" s="27" t="s">
        <v>8</v>
      </c>
      <c r="AH145" s="27" t="s">
        <v>7</v>
      </c>
      <c r="AI145" s="27" t="s">
        <v>8</v>
      </c>
      <c r="AK145" s="27" t="s">
        <v>8</v>
      </c>
      <c r="AM145" s="27" t="s">
        <v>8</v>
      </c>
      <c r="AP145" s="27" t="s">
        <v>7</v>
      </c>
      <c r="AQ145" s="27" t="s">
        <v>8</v>
      </c>
      <c r="AR145" s="27" t="s">
        <v>7</v>
      </c>
      <c r="AS145" s="27" t="s">
        <v>8</v>
      </c>
      <c r="AT145" s="27" t="s">
        <v>7</v>
      </c>
    </row>
    <row r="146" spans="1:47" x14ac:dyDescent="0.25">
      <c r="A146" s="30">
        <v>9.2295998177063854E-2</v>
      </c>
      <c r="B146"/>
      <c r="C146"/>
      <c r="D146"/>
      <c r="E146"/>
      <c r="F146" s="27" t="s">
        <v>7</v>
      </c>
      <c r="Y146" s="27" t="s">
        <v>8</v>
      </c>
      <c r="AH146" s="27" t="s">
        <v>7</v>
      </c>
      <c r="AI146" s="27" t="s">
        <v>8</v>
      </c>
      <c r="AJ146" s="27" t="s">
        <v>7</v>
      </c>
      <c r="AK146" s="27" t="s">
        <v>8</v>
      </c>
      <c r="AL146" s="27" t="s">
        <v>7</v>
      </c>
      <c r="AM146" s="27" t="s">
        <v>8</v>
      </c>
      <c r="AP146" s="27" t="s">
        <v>7</v>
      </c>
      <c r="AR146" s="27" t="s">
        <v>7</v>
      </c>
      <c r="AS146" s="27" t="s">
        <v>8</v>
      </c>
      <c r="AT146" s="27" t="s">
        <v>7</v>
      </c>
    </row>
    <row r="147" spans="1:47" x14ac:dyDescent="0.25">
      <c r="A147" s="30">
        <v>8.3905452888239848E-2</v>
      </c>
      <c r="B147"/>
      <c r="C147"/>
      <c r="D147"/>
      <c r="E147"/>
      <c r="F147" s="27" t="s">
        <v>7</v>
      </c>
      <c r="W147" s="27" t="s">
        <v>8</v>
      </c>
      <c r="Y147" s="27" t="s">
        <v>8</v>
      </c>
      <c r="AH147" s="27" t="s">
        <v>7</v>
      </c>
      <c r="AI147" s="27" t="s">
        <v>8</v>
      </c>
      <c r="AJ147" s="27" t="s">
        <v>7</v>
      </c>
      <c r="AK147" s="27" t="s">
        <v>8</v>
      </c>
      <c r="AL147" s="27" t="s">
        <v>7</v>
      </c>
      <c r="AM147" s="27" t="s">
        <v>8</v>
      </c>
      <c r="AR147" s="27" t="s">
        <v>7</v>
      </c>
      <c r="AS147" s="27" t="s">
        <v>8</v>
      </c>
      <c r="AT147" s="27" t="s">
        <v>7</v>
      </c>
    </row>
    <row r="148" spans="1:47" x14ac:dyDescent="0.25">
      <c r="A148" s="30">
        <v>7.6277684443854396E-2</v>
      </c>
      <c r="B148"/>
      <c r="C148"/>
      <c r="D148"/>
      <c r="E148"/>
      <c r="F148" s="27" t="s">
        <v>7</v>
      </c>
      <c r="W148" s="27" t="s">
        <v>8</v>
      </c>
      <c r="X148" s="27" t="s">
        <v>7</v>
      </c>
      <c r="Y148" s="27" t="s">
        <v>8</v>
      </c>
      <c r="AH148" s="27" t="s">
        <v>7</v>
      </c>
      <c r="AI148" s="27" t="s">
        <v>8</v>
      </c>
      <c r="AJ148" s="27" t="s">
        <v>7</v>
      </c>
      <c r="AK148" s="27" t="s">
        <v>8</v>
      </c>
      <c r="AL148" s="27" t="s">
        <v>7</v>
      </c>
      <c r="AM148" s="27" t="s">
        <v>8</v>
      </c>
      <c r="AR148" s="27" t="s">
        <v>7</v>
      </c>
      <c r="AS148" s="27" t="s">
        <v>8</v>
      </c>
      <c r="AT148" s="27" t="s">
        <v>7</v>
      </c>
    </row>
    <row r="149" spans="1:47" x14ac:dyDescent="0.25">
      <c r="A149" s="30">
        <v>6.9343349494413078E-2</v>
      </c>
      <c r="B149"/>
      <c r="C149"/>
      <c r="D149"/>
      <c r="E149"/>
      <c r="F149" s="27" t="s">
        <v>7</v>
      </c>
      <c r="W149" s="27" t="s">
        <v>8</v>
      </c>
      <c r="X149" s="27" t="s">
        <v>7</v>
      </c>
      <c r="Y149" s="27" t="s">
        <v>8</v>
      </c>
      <c r="AH149" s="27" t="s">
        <v>7</v>
      </c>
      <c r="AI149" s="27" t="s">
        <v>8</v>
      </c>
      <c r="AJ149" s="27" t="s">
        <v>7</v>
      </c>
      <c r="AK149" s="27" t="s">
        <v>8</v>
      </c>
      <c r="AL149" s="27" t="s">
        <v>7</v>
      </c>
      <c r="AM149" s="27" t="s">
        <v>8</v>
      </c>
      <c r="AR149" s="27" t="s">
        <v>7</v>
      </c>
      <c r="AT149" s="27" t="s">
        <v>7</v>
      </c>
      <c r="AU149" s="27" t="s">
        <v>8</v>
      </c>
    </row>
    <row r="150" spans="1:47" x14ac:dyDescent="0.25">
      <c r="A150" s="30">
        <v>6.3039408631284613E-2</v>
      </c>
      <c r="B150"/>
      <c r="C150"/>
      <c r="D150"/>
      <c r="E150"/>
      <c r="F150" s="27" t="s">
        <v>7</v>
      </c>
      <c r="W150" s="27" t="s">
        <v>8</v>
      </c>
      <c r="X150" s="27" t="s">
        <v>7</v>
      </c>
      <c r="AH150" s="27" t="s">
        <v>7</v>
      </c>
      <c r="AI150" s="27" t="s">
        <v>8</v>
      </c>
      <c r="AJ150" s="27" t="s">
        <v>7</v>
      </c>
      <c r="AK150" s="27" t="s">
        <v>8</v>
      </c>
      <c r="AL150" s="27" t="s">
        <v>7</v>
      </c>
      <c r="AM150" s="18" t="s">
        <v>8</v>
      </c>
      <c r="AT150" s="27" t="s">
        <v>7</v>
      </c>
      <c r="AU150" s="27" t="s">
        <v>8</v>
      </c>
    </row>
    <row r="151" spans="1:47" x14ac:dyDescent="0.25">
      <c r="A151" s="30">
        <v>5.7308553301167818E-2</v>
      </c>
      <c r="B151"/>
      <c r="C151"/>
      <c r="D151"/>
      <c r="E151"/>
      <c r="F151" s="27" t="s">
        <v>7</v>
      </c>
      <c r="W151" s="27" t="s">
        <v>8</v>
      </c>
      <c r="AH151" s="27" t="s">
        <v>7</v>
      </c>
      <c r="AJ151" s="27" t="s">
        <v>7</v>
      </c>
      <c r="AL151" s="27" t="s">
        <v>7</v>
      </c>
      <c r="AM151" s="27" t="s">
        <v>8</v>
      </c>
      <c r="AT151" s="27" t="s">
        <v>7</v>
      </c>
      <c r="AU151" s="27" t="s">
        <v>8</v>
      </c>
    </row>
    <row r="152" spans="1:47" x14ac:dyDescent="0.25">
      <c r="A152" s="30">
        <v>5.2098684819243464E-2</v>
      </c>
      <c r="B152"/>
      <c r="C152"/>
      <c r="D152"/>
      <c r="E152"/>
      <c r="F152" s="27" t="s">
        <v>7</v>
      </c>
      <c r="W152" s="27" t="s">
        <v>8</v>
      </c>
      <c r="AL152" s="27" t="s">
        <v>7</v>
      </c>
      <c r="AM152" s="27" t="s">
        <v>8</v>
      </c>
      <c r="AT152" s="27" t="s">
        <v>7</v>
      </c>
    </row>
    <row r="153" spans="1:47" x14ac:dyDescent="0.25">
      <c r="A153" s="30">
        <v>4.7362440744766775E-2</v>
      </c>
      <c r="B153"/>
      <c r="C153"/>
      <c r="D153"/>
      <c r="E153"/>
      <c r="F153" s="27" t="s">
        <v>7</v>
      </c>
      <c r="W153" s="27" t="s">
        <v>8</v>
      </c>
      <c r="AL153" s="27" t="s">
        <v>7</v>
      </c>
      <c r="AM153" s="27" t="s">
        <v>8</v>
      </c>
    </row>
    <row r="154" spans="1:47" x14ac:dyDescent="0.25">
      <c r="A154" s="30">
        <v>4.3056764313424332E-2</v>
      </c>
      <c r="B154"/>
      <c r="C154"/>
      <c r="D154"/>
      <c r="E154"/>
      <c r="F154" s="27" t="s">
        <v>7</v>
      </c>
      <c r="W154" s="27" t="s">
        <v>8</v>
      </c>
      <c r="AL154" s="27" t="s">
        <v>7</v>
      </c>
    </row>
    <row r="155" spans="1:47" x14ac:dyDescent="0.25">
      <c r="A155" s="30">
        <v>3.9142513012203929E-2</v>
      </c>
      <c r="B155"/>
      <c r="C155"/>
      <c r="D155"/>
      <c r="E155"/>
      <c r="F155" s="27" t="s">
        <v>7</v>
      </c>
      <c r="K155" s="27" t="s">
        <v>8</v>
      </c>
      <c r="U155" s="27" t="s">
        <v>8</v>
      </c>
      <c r="W155" s="27" t="s">
        <v>8</v>
      </c>
    </row>
    <row r="156" spans="1:47" x14ac:dyDescent="0.25">
      <c r="A156" s="30">
        <v>3.55841027383672E-2</v>
      </c>
      <c r="B156"/>
      <c r="C156"/>
      <c r="D156"/>
      <c r="E156"/>
      <c r="F156" s="27" t="s">
        <v>7</v>
      </c>
      <c r="G156" s="27" t="s">
        <v>8</v>
      </c>
      <c r="K156" s="27" t="s">
        <v>8</v>
      </c>
      <c r="L156" s="27" t="s">
        <v>7</v>
      </c>
      <c r="U156" s="27" t="s">
        <v>8</v>
      </c>
      <c r="V156" s="27" t="s">
        <v>7</v>
      </c>
      <c r="W156" s="27" t="s">
        <v>8</v>
      </c>
    </row>
    <row r="157" spans="1:47" x14ac:dyDescent="0.25">
      <c r="A157" s="30">
        <v>3.2349184307606541E-2</v>
      </c>
      <c r="B157"/>
      <c r="C157"/>
      <c r="D157"/>
      <c r="E157"/>
      <c r="F157" s="27" t="s">
        <v>7</v>
      </c>
      <c r="G157" s="27" t="s">
        <v>8</v>
      </c>
      <c r="H157" s="27" t="s">
        <v>7</v>
      </c>
      <c r="I157" s="27" t="s">
        <v>8</v>
      </c>
      <c r="K157" s="27" t="s">
        <v>8</v>
      </c>
      <c r="L157" s="27" t="s">
        <v>7</v>
      </c>
      <c r="U157" s="27" t="s">
        <v>8</v>
      </c>
      <c r="V157" s="27" t="s">
        <v>7</v>
      </c>
      <c r="W157" s="27" t="s">
        <v>8</v>
      </c>
    </row>
    <row r="158" spans="1:47" x14ac:dyDescent="0.25">
      <c r="A158" s="30">
        <v>2.9408349370551395E-2</v>
      </c>
      <c r="B158"/>
      <c r="C158"/>
      <c r="D158"/>
      <c r="E158"/>
      <c r="F158" s="27" t="s">
        <v>7</v>
      </c>
      <c r="G158" s="27" t="s">
        <v>8</v>
      </c>
      <c r="H158" s="27" t="s">
        <v>7</v>
      </c>
      <c r="I158" s="27" t="s">
        <v>8</v>
      </c>
      <c r="J158" s="27" t="s">
        <v>7</v>
      </c>
      <c r="K158" s="27" t="s">
        <v>8</v>
      </c>
      <c r="L158" s="27" t="s">
        <v>7</v>
      </c>
      <c r="U158" s="27" t="s">
        <v>8</v>
      </c>
      <c r="V158" s="27" t="s">
        <v>7</v>
      </c>
      <c r="W158" s="27" t="s">
        <v>8</v>
      </c>
    </row>
    <row r="159" spans="1:47" x14ac:dyDescent="0.25">
      <c r="A159" s="30">
        <v>2.6734863064137627E-2</v>
      </c>
      <c r="B159"/>
      <c r="C159"/>
      <c r="D159"/>
      <c r="E159"/>
      <c r="F159" s="27" t="s">
        <v>7</v>
      </c>
      <c r="H159" s="27" t="s">
        <v>7</v>
      </c>
      <c r="I159" s="27" t="s">
        <v>8</v>
      </c>
      <c r="J159" s="27" t="s">
        <v>7</v>
      </c>
      <c r="K159" s="27" t="s">
        <v>8</v>
      </c>
      <c r="L159" s="27" t="s">
        <v>7</v>
      </c>
      <c r="O159" s="27" t="s">
        <v>8</v>
      </c>
      <c r="U159" s="27" t="s">
        <v>8</v>
      </c>
      <c r="V159" s="27" t="s">
        <v>7</v>
      </c>
      <c r="W159" s="27" t="s">
        <v>8</v>
      </c>
    </row>
    <row r="160" spans="1:47" x14ac:dyDescent="0.25">
      <c r="A160" s="30">
        <v>2.4304420967397839E-2</v>
      </c>
      <c r="B160"/>
      <c r="C160"/>
      <c r="D160"/>
      <c r="E160"/>
      <c r="H160" s="27" t="s">
        <v>7</v>
      </c>
      <c r="I160" s="27" t="s">
        <v>8</v>
      </c>
      <c r="J160" s="27" t="s">
        <v>7</v>
      </c>
      <c r="K160" s="27" t="s">
        <v>8</v>
      </c>
      <c r="L160" s="27" t="s">
        <v>7</v>
      </c>
      <c r="O160" s="27" t="s">
        <v>8</v>
      </c>
      <c r="P160" s="27" t="s">
        <v>7</v>
      </c>
      <c r="U160" s="27" t="s">
        <v>8</v>
      </c>
      <c r="V160" s="27" t="s">
        <v>7</v>
      </c>
    </row>
    <row r="161" spans="1:21" x14ac:dyDescent="0.25">
      <c r="A161" s="30">
        <v>2.2094928152179852E-2</v>
      </c>
      <c r="B161"/>
      <c r="C161"/>
      <c r="D161"/>
      <c r="E161"/>
      <c r="H161" s="27" t="s">
        <v>7</v>
      </c>
      <c r="I161" s="27" t="s">
        <v>8</v>
      </c>
      <c r="J161" s="27" t="s">
        <v>7</v>
      </c>
      <c r="K161" s="27" t="s">
        <v>8</v>
      </c>
      <c r="L161" s="27" t="s">
        <v>7</v>
      </c>
      <c r="O161" s="27" t="s">
        <v>8</v>
      </c>
      <c r="P161" s="27" t="s">
        <v>7</v>
      </c>
      <c r="U161" s="27" t="s">
        <v>8</v>
      </c>
    </row>
    <row r="162" spans="1:21" x14ac:dyDescent="0.25">
      <c r="A162" s="30">
        <v>2.0086298320163499E-2</v>
      </c>
      <c r="B162"/>
      <c r="C162"/>
      <c r="D162"/>
      <c r="E162"/>
      <c r="H162" s="27" t="s">
        <v>7</v>
      </c>
      <c r="J162" s="27" t="s">
        <v>7</v>
      </c>
      <c r="L162" s="27" t="s">
        <v>7</v>
      </c>
      <c r="O162" s="27" t="s">
        <v>8</v>
      </c>
      <c r="P162" s="27" t="s">
        <v>7</v>
      </c>
      <c r="U162" s="27" t="s">
        <v>8</v>
      </c>
    </row>
    <row r="163" spans="1:21" x14ac:dyDescent="0.25">
      <c r="A163" s="30">
        <v>1.8260271200148632E-2</v>
      </c>
      <c r="B163"/>
      <c r="C163"/>
      <c r="D163"/>
      <c r="E163"/>
      <c r="L163" s="27" t="s">
        <v>7</v>
      </c>
      <c r="O163" s="27" t="s">
        <v>8</v>
      </c>
      <c r="P163" s="27" t="s">
        <v>7</v>
      </c>
      <c r="S163" s="27" t="s">
        <v>8</v>
      </c>
      <c r="U163" s="27" t="s">
        <v>8</v>
      </c>
    </row>
    <row r="164" spans="1:21" x14ac:dyDescent="0.25">
      <c r="A164" s="30">
        <v>1.6600246545589663E-2</v>
      </c>
      <c r="B164"/>
      <c r="C164"/>
      <c r="D164"/>
      <c r="E164"/>
      <c r="L164" s="27" t="s">
        <v>7</v>
      </c>
      <c r="O164" s="27" t="s">
        <v>8</v>
      </c>
      <c r="P164" s="27" t="s">
        <v>7</v>
      </c>
      <c r="Q164" s="27" t="s">
        <v>8</v>
      </c>
      <c r="S164" s="27" t="s">
        <v>8</v>
      </c>
      <c r="T164" s="27" t="s">
        <v>7</v>
      </c>
      <c r="U164" s="27" t="s">
        <v>8</v>
      </c>
    </row>
    <row r="165" spans="1:21" x14ac:dyDescent="0.25">
      <c r="A165" s="30">
        <v>1.5091133223263328E-2</v>
      </c>
      <c r="B165"/>
      <c r="C165"/>
      <c r="D165"/>
      <c r="E165"/>
      <c r="L165" s="27" t="s">
        <v>7</v>
      </c>
      <c r="M165" s="27" t="s">
        <v>8</v>
      </c>
      <c r="O165" s="27" t="s">
        <v>8</v>
      </c>
      <c r="P165" s="27" t="s">
        <v>7</v>
      </c>
      <c r="Q165" s="27" t="s">
        <v>8</v>
      </c>
      <c r="R165" s="27" t="s">
        <v>7</v>
      </c>
      <c r="S165" s="27" t="s">
        <v>8</v>
      </c>
      <c r="T165" s="27" t="s">
        <v>7</v>
      </c>
      <c r="U165" s="27" t="s">
        <v>8</v>
      </c>
    </row>
    <row r="166" spans="1:21" x14ac:dyDescent="0.25">
      <c r="A166" s="30">
        <v>1.3719212021148477E-2</v>
      </c>
      <c r="B166"/>
      <c r="C166"/>
      <c r="D166"/>
      <c r="E166"/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S166" s="27" t="s">
        <v>8</v>
      </c>
      <c r="T166" s="27" t="s">
        <v>7</v>
      </c>
    </row>
    <row r="167" spans="1:21" x14ac:dyDescent="0.25">
      <c r="A167" s="30">
        <v>1.2472010928316795E-2</v>
      </c>
      <c r="B167"/>
      <c r="C167"/>
      <c r="D167"/>
      <c r="E167"/>
      <c r="L167" s="27" t="s">
        <v>7</v>
      </c>
      <c r="M167" s="27" t="s">
        <v>8</v>
      </c>
      <c r="N167" s="27" t="s">
        <v>7</v>
      </c>
      <c r="O167" s="27" t="s">
        <v>8</v>
      </c>
      <c r="P167" s="27" t="s">
        <v>7</v>
      </c>
      <c r="Q167" s="27" t="s">
        <v>8</v>
      </c>
      <c r="R167" s="27" t="s">
        <v>7</v>
      </c>
    </row>
    <row r="168" spans="1:21" x14ac:dyDescent="0.25">
      <c r="A168" s="30">
        <v>1.1338191753015267E-2</v>
      </c>
      <c r="B168"/>
      <c r="C168"/>
      <c r="D168"/>
      <c r="E168"/>
      <c r="L168" s="27" t="s">
        <v>7</v>
      </c>
      <c r="M168" s="27" t="s">
        <v>8</v>
      </c>
      <c r="N168" s="27" t="s">
        <v>7</v>
      </c>
      <c r="P168" s="27" t="s">
        <v>7</v>
      </c>
    </row>
    <row r="169" spans="1:21" x14ac:dyDescent="0.25">
      <c r="A169" s="30">
        <v>1.0307447048195697E-2</v>
      </c>
      <c r="B169"/>
      <c r="C169"/>
      <c r="D169"/>
      <c r="E169"/>
      <c r="L169" s="27" t="s">
        <v>7</v>
      </c>
      <c r="M169" s="27" t="s">
        <v>8</v>
      </c>
    </row>
    <row r="170" spans="1:21" x14ac:dyDescent="0.25">
      <c r="A170" s="30">
        <v>9.3704064074506318E-3</v>
      </c>
      <c r="B170"/>
      <c r="C170"/>
      <c r="D170"/>
      <c r="E170"/>
      <c r="L170" s="27" t="s">
        <v>7</v>
      </c>
      <c r="M170" s="27" t="s">
        <v>8</v>
      </c>
    </row>
    <row r="171" spans="1:21" x14ac:dyDescent="0.25">
      <c r="A171" s="30">
        <v>8.5185512795005747E-3</v>
      </c>
      <c r="L171" s="27" t="s">
        <v>7</v>
      </c>
      <c r="M171" s="27" t="s">
        <v>8</v>
      </c>
    </row>
    <row r="172" spans="1:21" x14ac:dyDescent="0.25">
      <c r="A172" s="30">
        <v>7.744137526818704E-3</v>
      </c>
      <c r="L172" s="27" t="s">
        <v>7</v>
      </c>
    </row>
    <row r="173" spans="1:21" x14ac:dyDescent="0.25">
      <c r="A173" s="30">
        <v>7.0401250243806394E-3</v>
      </c>
    </row>
    <row r="174" spans="1:21" x14ac:dyDescent="0.25">
      <c r="A174" s="30">
        <v>6.4001136585278536E-3</v>
      </c>
    </row>
    <row r="175" spans="1:21" x14ac:dyDescent="0.25">
      <c r="A175" s="30">
        <v>5.8182851441162305E-3</v>
      </c>
    </row>
    <row r="176" spans="1:21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60" operator="equal">
      <formula>$U$1</formula>
    </cfRule>
    <cfRule type="cellIs" dxfId="30" priority="1261" operator="equal">
      <formula>$S$1</formula>
    </cfRule>
  </conditionalFormatting>
  <conditionalFormatting sqref="D136">
    <cfRule type="cellIs" dxfId="29" priority="1258" operator="equal">
      <formula>$S$1</formula>
    </cfRule>
    <cfRule type="cellIs" dxfId="28" priority="1259" operator="equal">
      <formula>$U$1</formula>
    </cfRule>
  </conditionalFormatting>
  <conditionalFormatting sqref="C102">
    <cfRule type="cellIs" dxfId="27" priority="1256" operator="equal">
      <formula>$U$1</formula>
    </cfRule>
    <cfRule type="cellIs" dxfId="26" priority="1257" operator="equal">
      <formula>$S$1</formula>
    </cfRule>
  </conditionalFormatting>
  <conditionalFormatting sqref="D102">
    <cfRule type="cellIs" dxfId="25" priority="1254" operator="equal">
      <formula>$S$1</formula>
    </cfRule>
    <cfRule type="cellIs" dxfId="24" priority="1255" operator="equal">
      <formula>$U$1</formula>
    </cfRule>
  </conditionalFormatting>
  <conditionalFormatting sqref="C77">
    <cfRule type="cellIs" dxfId="23" priority="1252" operator="equal">
      <formula>$U$1</formula>
    </cfRule>
    <cfRule type="cellIs" dxfId="22" priority="1253" operator="equal">
      <formula>$S$1</formula>
    </cfRule>
  </conditionalFormatting>
  <conditionalFormatting sqref="D77">
    <cfRule type="cellIs" dxfId="21" priority="1250" operator="equal">
      <formula>$S$1</formula>
    </cfRule>
    <cfRule type="cellIs" dxfId="20" priority="1251" operator="equal">
      <formula>$U$1</formula>
    </cfRule>
  </conditionalFormatting>
  <conditionalFormatting sqref="C52">
    <cfRule type="cellIs" dxfId="19" priority="1248" operator="equal">
      <formula>$U$1</formula>
    </cfRule>
    <cfRule type="cellIs" dxfId="18" priority="1249" operator="equal">
      <formula>$S$1</formula>
    </cfRule>
  </conditionalFormatting>
  <conditionalFormatting sqref="D52">
    <cfRule type="cellIs" dxfId="17" priority="1246" operator="equal">
      <formula>$S$1</formula>
    </cfRule>
    <cfRule type="cellIs" dxfId="16" priority="1247" operator="equal">
      <formula>$U$1</formula>
    </cfRule>
  </conditionalFormatting>
  <conditionalFormatting sqref="C26">
    <cfRule type="cellIs" dxfId="15" priority="1244" operator="equal">
      <formula>$U$1</formula>
    </cfRule>
    <cfRule type="cellIs" dxfId="14" priority="1245" operator="equal">
      <formula>$S$1</formula>
    </cfRule>
  </conditionalFormatting>
  <conditionalFormatting sqref="D26">
    <cfRule type="cellIs" dxfId="13" priority="1242" operator="equal">
      <formula>$S$1</formula>
    </cfRule>
    <cfRule type="cellIs" dxfId="12" priority="124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4.1946483690970725E-2</v>
      </c>
      <c r="F3" s="30">
        <v>5.0986213091898068E-2</v>
      </c>
      <c r="G3" s="30">
        <v>5.9022914930508576E-2</v>
      </c>
      <c r="H3" s="25">
        <f>IF(G3="","",(3*(G3-F3))+E3)</f>
        <v>6.6056589206802241E-2</v>
      </c>
      <c r="I3" s="7"/>
      <c r="J3" s="7">
        <f>(E3+G3)/2</f>
        <v>5.048469931073965E-2</v>
      </c>
      <c r="K3" s="7">
        <f>H3/2</f>
        <v>3.302829460340112E-2</v>
      </c>
      <c r="M3" s="26">
        <f>IF(OR(J3="",H3=""),"",H3/J3)</f>
        <v>1.308447710071831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2022-01-28T01:21:03Z</dcterms:modified>
</cp:coreProperties>
</file>