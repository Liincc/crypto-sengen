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DD41429-6F96-41F6-82AF-5AA5AF6A37B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C136" i="5" s="1"/>
  <c r="C116" i="4"/>
  <c r="C122" i="4"/>
  <c r="C133" i="4" s="1"/>
  <c r="C136" i="4" s="1"/>
  <c r="D118" i="4"/>
  <c r="C116" i="3"/>
  <c r="C122" i="3"/>
  <c r="C133" i="3" s="1"/>
  <c r="C136" i="3" s="1"/>
  <c r="R765" i="1"/>
  <c r="D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<sst xmlns="http://schemas.openxmlformats.org/spreadsheetml/2006/main" count="4397" uniqueCount="34">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</sst>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3.54</c:v>
                </c:pt>
                <c:pt idx="1">
                  <c:v>3.65</c:v>
                </c:pt>
                <c:pt idx="2">
                  <c:v>3.58</c:v>
                </c:pt>
                <c:pt idx="3">
                  <c:v>3.52</c:v>
                </c:pt>
                <c:pt idx="4">
                  <c:v>3.66</c:v>
                </c:pt>
                <c:pt idx="5">
                  <c:v>3.5</c:v>
                </c:pt>
                <c:pt idx="6">
                  <c:v>3.86</c:v>
                </c:pt>
                <c:pt idx="7">
                  <c:v>4.5599999999999996</c:v>
                </c:pt>
                <c:pt idx="8">
                  <c:v>4.93</c:v>
                </c:pt>
                <c:pt idx="9">
                  <c:v>5.2</c:v>
                </c:pt>
                <c:pt idx="10">
                  <c:v>5.19</c:v>
                </c:pt>
                <c:pt idx="11">
                  <c:v>5.42</c:v>
                </c:pt>
                <c:pt idx="12">
                  <c:v>5.49</c:v>
                </c:pt>
                <c:pt idx="13">
                  <c:v>5.38</c:v>
                </c:pt>
                <c:pt idx="14">
                  <c:v>5.28</c:v>
                </c:pt>
                <c:pt idx="15">
                  <c:v>5.7</c:v>
                </c:pt>
                <c:pt idx="16">
                  <c:v>5.38</c:v>
                </c:pt>
                <c:pt idx="17">
                  <c:v>5.2</c:v>
                </c:pt>
                <c:pt idx="18">
                  <c:v>5.13</c:v>
                </c:pt>
                <c:pt idx="19">
                  <c:v>5.1100000000000003</c:v>
                </c:pt>
                <c:pt idx="20">
                  <c:v>5.3</c:v>
                </c:pt>
                <c:pt idx="21">
                  <c:v>5.68</c:v>
                </c:pt>
                <c:pt idx="22">
                  <c:v>5.62</c:v>
                </c:pt>
                <c:pt idx="23">
                  <c:v>6.05</c:v>
                </c:pt>
                <c:pt idx="24">
                  <c:v>6.21</c:v>
                </c:pt>
                <c:pt idx="25">
                  <c:v>6.36</c:v>
                </c:pt>
                <c:pt idx="26">
                  <c:v>6.43</c:v>
                </c:pt>
                <c:pt idx="27">
                  <c:v>6.25</c:v>
                </c:pt>
                <c:pt idx="28">
                  <c:v>6.32</c:v>
                </c:pt>
                <c:pt idx="29">
                  <c:v>6.27</c:v>
                </c:pt>
                <c:pt idx="30">
                  <c:v>6.32</c:v>
                </c:pt>
                <c:pt idx="31">
                  <c:v>7.15</c:v>
                </c:pt>
                <c:pt idx="32">
                  <c:v>7</c:v>
                </c:pt>
                <c:pt idx="33">
                  <c:v>7.1</c:v>
                </c:pt>
                <c:pt idx="34">
                  <c:v>6.75</c:v>
                </c:pt>
                <c:pt idx="35">
                  <c:v>6.58</c:v>
                </c:pt>
                <c:pt idx="36">
                  <c:v>6.18</c:v>
                </c:pt>
                <c:pt idx="37">
                  <c:v>6.17</c:v>
                </c:pt>
                <c:pt idx="38">
                  <c:v>6.04</c:v>
                </c:pt>
                <c:pt idx="39">
                  <c:v>6.08</c:v>
                </c:pt>
                <c:pt idx="40">
                  <c:v>6.27</c:v>
                </c:pt>
                <c:pt idx="41">
                  <c:v>5.89</c:v>
                </c:pt>
                <c:pt idx="42">
                  <c:v>5.97</c:v>
                </c:pt>
                <c:pt idx="43">
                  <c:v>5.93</c:v>
                </c:pt>
                <c:pt idx="44">
                  <c:v>5.69</c:v>
                </c:pt>
                <c:pt idx="45">
                  <c:v>5.64</c:v>
                </c:pt>
                <c:pt idx="46">
                  <c:v>6.4</c:v>
                </c:pt>
                <c:pt idx="47">
                  <c:v>6.1</c:v>
                </c:pt>
                <c:pt idx="48">
                  <c:v>6.03</c:v>
                </c:pt>
                <c:pt idx="49">
                  <c:v>6.22</c:v>
                </c:pt>
                <c:pt idx="50">
                  <c:v>6.85</c:v>
                </c:pt>
                <c:pt idx="51">
                  <c:v>6.89</c:v>
                </c:pt>
                <c:pt idx="52">
                  <c:v>6.85</c:v>
                </c:pt>
                <c:pt idx="53">
                  <c:v>6.39</c:v>
                </c:pt>
                <c:pt idx="54">
                  <c:v>7.1</c:v>
                </c:pt>
                <c:pt idx="55">
                  <c:v>8.9700000000000006</c:v>
                </c:pt>
                <c:pt idx="56">
                  <c:v>9.26</c:v>
                </c:pt>
                <c:pt idx="57">
                  <c:v>9.8699999999999992</c:v>
                </c:pt>
                <c:pt idx="58">
                  <c:v>9.8000000000000007</c:v>
                </c:pt>
                <c:pt idx="59">
                  <c:v>10.19</c:v>
                </c:pt>
                <c:pt idx="60">
                  <c:v>9.61</c:v>
                </c:pt>
                <c:pt idx="61">
                  <c:v>9.56</c:v>
                </c:pt>
                <c:pt idx="62">
                  <c:v>10.5</c:v>
                </c:pt>
                <c:pt idx="63">
                  <c:v>11.91</c:v>
                </c:pt>
                <c:pt idx="64">
                  <c:v>11.15</c:v>
                </c:pt>
                <c:pt idx="65">
                  <c:v>11.2</c:v>
                </c:pt>
                <c:pt idx="66">
                  <c:v>9.85</c:v>
                </c:pt>
                <c:pt idx="67">
                  <c:v>10.69</c:v>
                </c:pt>
                <c:pt idx="68">
                  <c:v>12.05</c:v>
                </c:pt>
                <c:pt idx="69">
                  <c:v>8.68</c:v>
                </c:pt>
                <c:pt idx="70">
                  <c:v>7.9</c:v>
                </c:pt>
                <c:pt idx="71">
                  <c:v>7.86</c:v>
                </c:pt>
                <c:pt idx="72">
                  <c:v>7.77</c:v>
                </c:pt>
                <c:pt idx="73">
                  <c:v>8.7200000000000006</c:v>
                </c:pt>
                <c:pt idx="74">
                  <c:v>8.77</c:v>
                </c:pt>
                <c:pt idx="75">
                  <c:v>9.1</c:v>
                </c:pt>
                <c:pt idx="76">
                  <c:v>9.0299999999999994</c:v>
                </c:pt>
                <c:pt idx="77">
                  <c:v>9.02</c:v>
                </c:pt>
                <c:pt idx="78">
                  <c:v>8.65</c:v>
                </c:pt>
                <c:pt idx="79">
                  <c:v>9.5299999999999994</c:v>
                </c:pt>
                <c:pt idx="80">
                  <c:v>10.08</c:v>
                </c:pt>
                <c:pt idx="81">
                  <c:v>10</c:v>
                </c:pt>
                <c:pt idx="82">
                  <c:v>9.2100000000000009</c:v>
                </c:pt>
                <c:pt idx="83">
                  <c:v>9.48</c:v>
                </c:pt>
                <c:pt idx="84">
                  <c:v>9.81</c:v>
                </c:pt>
                <c:pt idx="85">
                  <c:v>9.6</c:v>
                </c:pt>
                <c:pt idx="86">
                  <c:v>9.66</c:v>
                </c:pt>
                <c:pt idx="87">
                  <c:v>8.98</c:v>
                </c:pt>
                <c:pt idx="88">
                  <c:v>9.1999999999999993</c:v>
                </c:pt>
                <c:pt idx="89">
                  <c:v>9.69</c:v>
                </c:pt>
                <c:pt idx="90">
                  <c:v>8.4499999999999993</c:v>
                </c:pt>
                <c:pt idx="91">
                  <c:v>7.71</c:v>
                </c:pt>
                <c:pt idx="92">
                  <c:v>7.3</c:v>
                </c:pt>
                <c:pt idx="93">
                  <c:v>8.3699999999999992</c:v>
                </c:pt>
                <c:pt idx="94">
                  <c:v>8.49</c:v>
                </c:pt>
                <c:pt idx="95">
                  <c:v>8.3000000000000007</c:v>
                </c:pt>
                <c:pt idx="96">
                  <c:v>8.7100000000000009</c:v>
                </c:pt>
                <c:pt idx="97">
                  <c:v>8.58</c:v>
                </c:pt>
                <c:pt idx="98">
                  <c:v>8.19</c:v>
                </c:pt>
                <c:pt idx="99">
                  <c:v>8.4</c:v>
                </c:pt>
                <c:pt idx="100">
                  <c:v>8.26</c:v>
                </c:pt>
                <c:pt idx="101">
                  <c:v>8.5299999999999994</c:v>
                </c:pt>
                <c:pt idx="102">
                  <c:v>8.69</c:v>
                </c:pt>
                <c:pt idx="103">
                  <c:v>8.6999999999999993</c:v>
                </c:pt>
                <c:pt idx="104">
                  <c:v>8.09</c:v>
                </c:pt>
                <c:pt idx="105">
                  <c:v>8.31</c:v>
                </c:pt>
                <c:pt idx="106">
                  <c:v>7.57</c:v>
                </c:pt>
                <c:pt idx="107">
                  <c:v>7.52</c:v>
                </c:pt>
                <c:pt idx="108">
                  <c:v>7.69</c:v>
                </c:pt>
                <c:pt idx="109">
                  <c:v>7.6</c:v>
                </c:pt>
                <c:pt idx="110">
                  <c:v>8.07</c:v>
                </c:pt>
                <c:pt idx="111">
                  <c:v>8.08</c:v>
                </c:pt>
                <c:pt idx="112">
                  <c:v>8.15</c:v>
                </c:pt>
                <c:pt idx="113">
                  <c:v>8.11</c:v>
                </c:pt>
                <c:pt idx="114">
                  <c:v>8.0500000000000007</c:v>
                </c:pt>
                <c:pt idx="115">
                  <c:v>8.19</c:v>
                </c:pt>
                <c:pt idx="116">
                  <c:v>7.91</c:v>
                </c:pt>
                <c:pt idx="117">
                  <c:v>7.83</c:v>
                </c:pt>
                <c:pt idx="118">
                  <c:v>7.56</c:v>
                </c:pt>
                <c:pt idx="119">
                  <c:v>6.65</c:v>
                </c:pt>
                <c:pt idx="120">
                  <c:v>6.62</c:v>
                </c:pt>
                <c:pt idx="121">
                  <c:v>6.38</c:v>
                </c:pt>
                <c:pt idx="122">
                  <c:v>6.32</c:v>
                </c:pt>
                <c:pt idx="123">
                  <c:v>6.55</c:v>
                </c:pt>
                <c:pt idx="124">
                  <c:v>6.68</c:v>
                </c:pt>
                <c:pt idx="125">
                  <c:v>6.87</c:v>
                </c:pt>
                <c:pt idx="126">
                  <c:v>7.54</c:v>
                </c:pt>
                <c:pt idx="127">
                  <c:v>7.56</c:v>
                </c:pt>
                <c:pt idx="128">
                  <c:v>6.49</c:v>
                </c:pt>
                <c:pt idx="129">
                  <c:v>8.08</c:v>
                </c:pt>
                <c:pt idx="130">
                  <c:v>8.75</c:v>
                </c:pt>
                <c:pt idx="131">
                  <c:v>8.93</c:v>
                </c:pt>
                <c:pt idx="132">
                  <c:v>8.25</c:v>
                </c:pt>
                <c:pt idx="133">
                  <c:v>8.74</c:v>
                </c:pt>
                <c:pt idx="134">
                  <c:v>8.81</c:v>
                </c:pt>
                <c:pt idx="135">
                  <c:v>8.5</c:v>
                </c:pt>
                <c:pt idx="136">
                  <c:v>8.17</c:v>
                </c:pt>
                <c:pt idx="137">
                  <c:v>8.93</c:v>
                </c:pt>
                <c:pt idx="138">
                  <c:v>8.85</c:v>
                </c:pt>
                <c:pt idx="139">
                  <c:v>8.18</c:v>
                </c:pt>
                <c:pt idx="140">
                  <c:v>8.84</c:v>
                </c:pt>
                <c:pt idx="141">
                  <c:v>8.8800000000000008</c:v>
                </c:pt>
                <c:pt idx="142">
                  <c:v>9.14</c:v>
                </c:pt>
                <c:pt idx="143">
                  <c:v>11.68</c:v>
                </c:pt>
                <c:pt idx="144">
                  <c:v>11.16</c:v>
                </c:pt>
                <c:pt idx="145">
                  <c:v>11.19</c:v>
                </c:pt>
                <c:pt idx="146">
                  <c:v>10.91</c:v>
                </c:pt>
                <c:pt idx="147">
                  <c:v>11.03</c:v>
                </c:pt>
                <c:pt idx="148">
                  <c:v>11.24</c:v>
                </c:pt>
                <c:pt idx="149">
                  <c:v>11.17</c:v>
                </c:pt>
                <c:pt idx="150">
                  <c:v>11.37</c:v>
                </c:pt>
                <c:pt idx="151">
                  <c:v>13.09</c:v>
                </c:pt>
                <c:pt idx="152">
                  <c:v>11</c:v>
                </c:pt>
                <c:pt idx="153">
                  <c:v>11.02</c:v>
                </c:pt>
                <c:pt idx="154">
                  <c:v>10.14</c:v>
                </c:pt>
                <c:pt idx="155">
                  <c:v>11.214</c:v>
                </c:pt>
                <c:pt idx="156">
                  <c:v>9.8469999999999995</c:v>
                </c:pt>
                <c:pt idx="157">
                  <c:v>10.885999999999999</c:v>
                </c:pt>
                <c:pt idx="158">
                  <c:v>11.382999999999999</c:v>
                </c:pt>
                <c:pt idx="159">
                  <c:v>11.651999999999999</c:v>
                </c:pt>
                <c:pt idx="160">
                  <c:v>10.186</c:v>
                </c:pt>
                <c:pt idx="161">
                  <c:v>10.163</c:v>
                </c:pt>
                <c:pt idx="162">
                  <c:v>9.3040000000000003</c:v>
                </c:pt>
                <c:pt idx="163">
                  <c:v>9.4649999999999999</c:v>
                </c:pt>
                <c:pt idx="164">
                  <c:v>10.012</c:v>
                </c:pt>
                <c:pt idx="165">
                  <c:v>10.314</c:v>
                </c:pt>
                <c:pt idx="166">
                  <c:v>10.15</c:v>
                </c:pt>
                <c:pt idx="167">
                  <c:v>10.788</c:v>
                </c:pt>
                <c:pt idx="168">
                  <c:v>9.7870000000000008</c:v>
                </c:pt>
                <c:pt idx="169">
                  <c:v>10.3</c:v>
                </c:pt>
                <c:pt idx="170">
                  <c:v>10.742000000000001</c:v>
                </c:pt>
                <c:pt idx="171">
                  <c:v>10.41</c:v>
                </c:pt>
                <c:pt idx="172">
                  <c:v>10.92</c:v>
                </c:pt>
                <c:pt idx="173">
                  <c:v>11.529</c:v>
                </c:pt>
                <c:pt idx="174">
                  <c:v>11.401</c:v>
                </c:pt>
                <c:pt idx="175">
                  <c:v>11.17</c:v>
                </c:pt>
                <c:pt idx="176">
                  <c:v>11.073</c:v>
                </c:pt>
                <c:pt idx="177">
                  <c:v>11.287000000000001</c:v>
                </c:pt>
                <c:pt idx="178">
                  <c:v>9.7870000000000008</c:v>
                </c:pt>
                <c:pt idx="179">
                  <c:v>10.425000000000001</c:v>
                </c:pt>
                <c:pt idx="180">
                  <c:v>10.321999999999999</c:v>
                </c:pt>
                <c:pt idx="181">
                  <c:v>9.3569999999999993</c:v>
                </c:pt>
                <c:pt idx="182">
                  <c:v>9.4920000000000009</c:v>
                </c:pt>
                <c:pt idx="183">
                  <c:v>9.8149999999999995</c:v>
                </c:pt>
                <c:pt idx="184">
                  <c:v>10.62</c:v>
                </c:pt>
                <c:pt idx="185">
                  <c:v>8.3460000000000001</c:v>
                </c:pt>
                <c:pt idx="186">
                  <c:v>10.288</c:v>
                </c:pt>
                <c:pt idx="187">
                  <c:v>7.1459999999999999</c:v>
                </c:pt>
                <c:pt idx="188">
                  <c:v>6.4749999999999996</c:v>
                </c:pt>
                <c:pt idx="189">
                  <c:v>5.3730000000000002</c:v>
                </c:pt>
                <c:pt idx="190">
                  <c:v>5.1589999999999998</c:v>
                </c:pt>
                <c:pt idx="191">
                  <c:v>4.649</c:v>
                </c:pt>
                <c:pt idx="192">
                  <c:v>5.1100000000000003</c:v>
                </c:pt>
                <c:pt idx="193">
                  <c:v>5.5990000000000002</c:v>
                </c:pt>
                <c:pt idx="194">
                  <c:v>5.6920000000000002</c:v>
                </c:pt>
                <c:pt idx="195">
                  <c:v>5.774</c:v>
                </c:pt>
                <c:pt idx="196">
                  <c:v>7.0880000000000001</c:v>
                </c:pt>
                <c:pt idx="197">
                  <c:v>7.3559999999999999</c:v>
                </c:pt>
                <c:pt idx="198">
                  <c:v>6.524</c:v>
                </c:pt>
                <c:pt idx="199">
                  <c:v>6.0880000000000001</c:v>
                </c:pt>
                <c:pt idx="200">
                  <c:v>6.4089999999999998</c:v>
                </c:pt>
                <c:pt idx="201">
                  <c:v>5.89</c:v>
                </c:pt>
                <c:pt idx="202">
                  <c:v>5.4080000000000004</c:v>
                </c:pt>
                <c:pt idx="203">
                  <c:v>5.2220000000000004</c:v>
                </c:pt>
                <c:pt idx="204">
                  <c:v>5.8280000000000003</c:v>
                </c:pt>
                <c:pt idx="205">
                  <c:v>5.3339999999999996</c:v>
                </c:pt>
                <c:pt idx="206">
                  <c:v>4.8010000000000002</c:v>
                </c:pt>
                <c:pt idx="207">
                  <c:v>5.016</c:v>
                </c:pt>
                <c:pt idx="208">
                  <c:v>4.5919999999999996</c:v>
                </c:pt>
                <c:pt idx="209">
                  <c:v>4.3339999999999996</c:v>
                </c:pt>
                <c:pt idx="210">
                  <c:v>4.4089999999999998</c:v>
                </c:pt>
                <c:pt idx="211">
                  <c:v>4.5629999999999997</c:v>
                </c:pt>
                <c:pt idx="212">
                  <c:v>4.6840000000000002</c:v>
                </c:pt>
                <c:pt idx="213">
                  <c:v>4.5359999999999996</c:v>
                </c:pt>
                <c:pt idx="214">
                  <c:v>4.4630000000000001</c:v>
                </c:pt>
                <c:pt idx="215">
                  <c:v>4.1909999999999998</c:v>
                </c:pt>
                <c:pt idx="216">
                  <c:v>4.2830000000000004</c:v>
                </c:pt>
                <c:pt idx="217">
                  <c:v>4.8879999999999999</c:v>
                </c:pt>
                <c:pt idx="218">
                  <c:v>5.08</c:v>
                </c:pt>
                <c:pt idx="219">
                  <c:v>4.1420000000000003</c:v>
                </c:pt>
                <c:pt idx="220">
                  <c:v>4.415</c:v>
                </c:pt>
                <c:pt idx="221">
                  <c:v>5.7480000000000002</c:v>
                </c:pt>
                <c:pt idx="222">
                  <c:v>5.766</c:v>
                </c:pt>
                <c:pt idx="223">
                  <c:v>5.9240000000000004</c:v>
                </c:pt>
                <c:pt idx="224">
                  <c:v>6.4729999999999999</c:v>
                </c:pt>
                <c:pt idx="225">
                  <c:v>6.4020000000000001</c:v>
                </c:pt>
                <c:pt idx="226">
                  <c:v>6.7590000000000003</c:v>
                </c:pt>
                <c:pt idx="227">
                  <c:v>6.952</c:v>
                </c:pt>
                <c:pt idx="228">
                  <c:v>6.72</c:v>
                </c:pt>
                <c:pt idx="229">
                  <c:v>6.2290000000000001</c:v>
                </c:pt>
                <c:pt idx="230">
                  <c:v>6.8760000000000003</c:v>
                </c:pt>
                <c:pt idx="231">
                  <c:v>6.0940000000000003</c:v>
                </c:pt>
                <c:pt idx="232">
                  <c:v>6.673</c:v>
                </c:pt>
                <c:pt idx="233">
                  <c:v>6.1379999999999999</c:v>
                </c:pt>
                <c:pt idx="234">
                  <c:v>6.5309999999999997</c:v>
                </c:pt>
                <c:pt idx="235">
                  <c:v>7.2480000000000002</c:v>
                </c:pt>
                <c:pt idx="236">
                  <c:v>6.9790000000000001</c:v>
                </c:pt>
                <c:pt idx="237">
                  <c:v>7.3120000000000003</c:v>
                </c:pt>
                <c:pt idx="238">
                  <c:v>8.218</c:v>
                </c:pt>
                <c:pt idx="239">
                  <c:v>8.0329999999999995</c:v>
                </c:pt>
                <c:pt idx="240">
                  <c:v>8.1150000000000002</c:v>
                </c:pt>
                <c:pt idx="241">
                  <c:v>8.4060000000000006</c:v>
                </c:pt>
                <c:pt idx="242">
                  <c:v>8.2050000000000001</c:v>
                </c:pt>
                <c:pt idx="243">
                  <c:v>7.218</c:v>
                </c:pt>
                <c:pt idx="244">
                  <c:v>7.1289999999999996</c:v>
                </c:pt>
                <c:pt idx="245">
                  <c:v>8.3019999999999996</c:v>
                </c:pt>
                <c:pt idx="246">
                  <c:v>7.7560000000000002</c:v>
                </c:pt>
                <c:pt idx="247">
                  <c:v>6.4470000000000001</c:v>
                </c:pt>
                <c:pt idx="248">
                  <c:v>6.5810000000000004</c:v>
                </c:pt>
                <c:pt idx="249">
                  <c:v>4.9249999999999998</c:v>
                </c:pt>
                <c:pt idx="250">
                  <c:v>6.3259999999999996</c:v>
                </c:pt>
                <c:pt idx="251">
                  <c:v>6.87</c:v>
                </c:pt>
                <c:pt idx="252">
                  <c:v>8.4440000000000008</c:v>
                </c:pt>
                <c:pt idx="253">
                  <c:v>7.5010000000000003</c:v>
                </c:pt>
                <c:pt idx="254">
                  <c:v>11.651999999999999</c:v>
                </c:pt>
                <c:pt idx="255">
                  <c:v>12.262</c:v>
                </c:pt>
                <c:pt idx="256">
                  <c:v>12.143000000000001</c:v>
                </c:pt>
                <c:pt idx="257">
                  <c:v>10.347</c:v>
                </c:pt>
                <c:pt idx="258">
                  <c:v>11.228999999999999</c:v>
                </c:pt>
                <c:pt idx="259">
                  <c:v>10.513999999999999</c:v>
                </c:pt>
                <c:pt idx="260">
                  <c:v>10.644</c:v>
                </c:pt>
                <c:pt idx="261">
                  <c:v>13.378</c:v>
                </c:pt>
                <c:pt idx="262">
                  <c:v>12.590999999999999</c:v>
                </c:pt>
                <c:pt idx="263">
                  <c:v>14.161</c:v>
                </c:pt>
                <c:pt idx="264">
                  <c:v>14.683999999999999</c:v>
                </c:pt>
                <c:pt idx="265">
                  <c:v>14.72</c:v>
                </c:pt>
                <c:pt idx="266">
                  <c:v>15.259</c:v>
                </c:pt>
                <c:pt idx="267">
                  <c:v>15.708</c:v>
                </c:pt>
                <c:pt idx="268">
                  <c:v>14.295999999999999</c:v>
                </c:pt>
                <c:pt idx="269">
                  <c:v>16.835000000000001</c:v>
                </c:pt>
                <c:pt idx="270">
                  <c:v>18.239999999999998</c:v>
                </c:pt>
                <c:pt idx="271">
                  <c:v>16.940000000000001</c:v>
                </c:pt>
                <c:pt idx="272">
                  <c:v>15.538</c:v>
                </c:pt>
                <c:pt idx="273">
                  <c:v>15.162000000000001</c:v>
                </c:pt>
                <c:pt idx="274">
                  <c:v>16.359000000000002</c:v>
                </c:pt>
                <c:pt idx="275">
                  <c:v>14.863</c:v>
                </c:pt>
                <c:pt idx="276">
                  <c:v>10.996</c:v>
                </c:pt>
                <c:pt idx="277">
                  <c:v>10.193</c:v>
                </c:pt>
                <c:pt idx="278">
                  <c:v>11.65</c:v>
                </c:pt>
                <c:pt idx="279">
                  <c:v>9.8369999999999997</c:v>
                </c:pt>
                <c:pt idx="280">
                  <c:v>10.417</c:v>
                </c:pt>
                <c:pt idx="281">
                  <c:v>11.19</c:v>
                </c:pt>
                <c:pt idx="282">
                  <c:v>12.430999999999999</c:v>
                </c:pt>
                <c:pt idx="283">
                  <c:v>12.36</c:v>
                </c:pt>
                <c:pt idx="284">
                  <c:v>13.125</c:v>
                </c:pt>
                <c:pt idx="285">
                  <c:v>15.08</c:v>
                </c:pt>
                <c:pt idx="286">
                  <c:v>14.951000000000001</c:v>
                </c:pt>
                <c:pt idx="287">
                  <c:v>16.173999999999999</c:v>
                </c:pt>
                <c:pt idx="288">
                  <c:v>16.673999999999999</c:v>
                </c:pt>
                <c:pt idx="289">
                  <c:v>17.462</c:v>
                </c:pt>
                <c:pt idx="290">
                  <c:v>18.619</c:v>
                </c:pt>
                <c:pt idx="291">
                  <c:v>17.794</c:v>
                </c:pt>
                <c:pt idx="292">
                  <c:v>18.097999999999999</c:v>
                </c:pt>
                <c:pt idx="293">
                  <c:v>18.425000000000001</c:v>
                </c:pt>
                <c:pt idx="294">
                  <c:v>15.102</c:v>
                </c:pt>
                <c:pt idx="295">
                  <c:v>13.87</c:v>
                </c:pt>
                <c:pt idx="296">
                  <c:v>15.788</c:v>
                </c:pt>
                <c:pt idx="297">
                  <c:v>16.289000000000001</c:v>
                </c:pt>
                <c:pt idx="298">
                  <c:v>16.928000000000001</c:v>
                </c:pt>
                <c:pt idx="299">
                  <c:v>14.95</c:v>
                </c:pt>
                <c:pt idx="300">
                  <c:v>17.059999999999999</c:v>
                </c:pt>
                <c:pt idx="301">
                  <c:v>17.785</c:v>
                </c:pt>
                <c:pt idx="302">
                  <c:v>16.97</c:v>
                </c:pt>
                <c:pt idx="303">
                  <c:v>18.428000000000001</c:v>
                </c:pt>
                <c:pt idx="304">
                  <c:v>18.536999999999999</c:v>
                </c:pt>
                <c:pt idx="305">
                  <c:v>19.228999999999999</c:v>
                </c:pt>
                <c:pt idx="306">
                  <c:v>17.512</c:v>
                </c:pt>
                <c:pt idx="307">
                  <c:v>17.181000000000001</c:v>
                </c:pt>
                <c:pt idx="308">
                  <c:v>15.092000000000001</c:v>
                </c:pt>
                <c:pt idx="309">
                  <c:v>16.369</c:v>
                </c:pt>
                <c:pt idx="310">
                  <c:v>17.439</c:v>
                </c:pt>
                <c:pt idx="311">
                  <c:v>18.202000000000002</c:v>
                </c:pt>
                <c:pt idx="312">
                  <c:v>19.888999999999999</c:v>
                </c:pt>
                <c:pt idx="313">
                  <c:v>20.3</c:v>
                </c:pt>
                <c:pt idx="314">
                  <c:v>18.951000000000001</c:v>
                </c:pt>
                <c:pt idx="315">
                  <c:v>20.77</c:v>
                </c:pt>
                <c:pt idx="316">
                  <c:v>21.050999999999998</c:v>
                </c:pt>
                <c:pt idx="317">
                  <c:v>23.277000000000001</c:v>
                </c:pt>
                <c:pt idx="318">
                  <c:v>25.914000000000001</c:v>
                </c:pt>
                <c:pt idx="319">
                  <c:v>25.51</c:v>
                </c:pt>
                <c:pt idx="320">
                  <c:v>19.73</c:v>
                </c:pt>
                <c:pt idx="321">
                  <c:v>11.266999999999999</c:v>
                </c:pt>
                <c:pt idx="322">
                  <c:v>9.92</c:v>
                </c:pt>
                <c:pt idx="323">
                  <c:v>10.648999999999999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D-4452-B404-9279A61B907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-0.39587966101829936</c:v>
                </c:pt>
                <c:pt idx="1">
                  <c:v>-0.39578756687712291</c:v>
                </c:pt>
                <c:pt idx="2">
                  <c:v>-0.39243444658481524</c:v>
                </c:pt>
                <c:pt idx="3">
                  <c:v>-0.39337796559222266</c:v>
                </c:pt>
                <c:pt idx="4">
                  <c:v>-0.39564876097696838</c:v>
                </c:pt>
                <c:pt idx="5">
                  <c:v>-0.39633152570638014</c:v>
                </c:pt>
                <c:pt idx="6">
                  <c:v>-0.39545603451888017</c:v>
                </c:pt>
                <c:pt idx="7">
                  <c:v>-0.38741844685854127</c:v>
                </c:pt>
                <c:pt idx="8">
                  <c:v>-0.38300975045854119</c:v>
                </c:pt>
                <c:pt idx="9">
                  <c:v>-0.38160684451914728</c:v>
                </c:pt>
                <c:pt idx="10">
                  <c:v>-0.38257355909719609</c:v>
                </c:pt>
                <c:pt idx="11">
                  <c:v>-0.38157868114005328</c:v>
                </c:pt>
                <c:pt idx="12">
                  <c:v>-0.3769752966155635</c:v>
                </c:pt>
                <c:pt idx="13">
                  <c:v>-0.37780170496556348</c:v>
                </c:pt>
                <c:pt idx="14">
                  <c:v>-0.37824395695177043</c:v>
                </c:pt>
                <c:pt idx="15">
                  <c:v>-0.37623890138195909</c:v>
                </c:pt>
                <c:pt idx="16">
                  <c:v>-0.37811460666291147</c:v>
                </c:pt>
                <c:pt idx="17">
                  <c:v>-0.3787324125440435</c:v>
                </c:pt>
                <c:pt idx="18">
                  <c:v>-0.37981732564309612</c:v>
                </c:pt>
                <c:pt idx="19">
                  <c:v>-0.37968296546127794</c:v>
                </c:pt>
                <c:pt idx="20">
                  <c:v>-0.37817907060022532</c:v>
                </c:pt>
                <c:pt idx="21">
                  <c:v>-0.37721463088951107</c:v>
                </c:pt>
                <c:pt idx="22">
                  <c:v>-0.37789506434551107</c:v>
                </c:pt>
                <c:pt idx="23">
                  <c:v>-0.37681608931142019</c:v>
                </c:pt>
                <c:pt idx="24">
                  <c:v>-0.37472483967505654</c:v>
                </c:pt>
                <c:pt idx="25">
                  <c:v>-0.37425854535570174</c:v>
                </c:pt>
                <c:pt idx="26">
                  <c:v>-0.37311993430808271</c:v>
                </c:pt>
                <c:pt idx="27">
                  <c:v>-0.37415315809069138</c:v>
                </c:pt>
                <c:pt idx="28">
                  <c:v>-0.3735318080715424</c:v>
                </c:pt>
                <c:pt idx="29">
                  <c:v>-0.37487507568265344</c:v>
                </c:pt>
                <c:pt idx="30">
                  <c:v>-0.37287717705656653</c:v>
                </c:pt>
                <c:pt idx="31">
                  <c:v>-0.36386850374343521</c:v>
                </c:pt>
                <c:pt idx="32">
                  <c:v>-0.36630202439343518</c:v>
                </c:pt>
                <c:pt idx="33">
                  <c:v>-0.36770737890252608</c:v>
                </c:pt>
                <c:pt idx="34">
                  <c:v>-0.36643282237486652</c:v>
                </c:pt>
                <c:pt idx="35">
                  <c:v>-0.36613533240500351</c:v>
                </c:pt>
                <c:pt idx="36">
                  <c:v>-0.36976318571294003</c:v>
                </c:pt>
                <c:pt idx="37">
                  <c:v>-0.3676527789843686</c:v>
                </c:pt>
                <c:pt idx="38">
                  <c:v>-0.36842420098436862</c:v>
                </c:pt>
                <c:pt idx="39">
                  <c:v>-0.36892644769436866</c:v>
                </c:pt>
                <c:pt idx="40">
                  <c:v>-0.36500179192008297</c:v>
                </c:pt>
                <c:pt idx="41">
                  <c:v>-0.35570590206533431</c:v>
                </c:pt>
                <c:pt idx="42">
                  <c:v>-0.3560937671308515</c:v>
                </c:pt>
                <c:pt idx="43">
                  <c:v>-0.35526268153597973</c:v>
                </c:pt>
                <c:pt idx="44">
                  <c:v>-0.35874002247931308</c:v>
                </c:pt>
                <c:pt idx="45">
                  <c:v>-0.36047178250634015</c:v>
                </c:pt>
                <c:pt idx="46">
                  <c:v>-0.35700176868434008</c:v>
                </c:pt>
                <c:pt idx="47">
                  <c:v>-0.35858689184148296</c:v>
                </c:pt>
                <c:pt idx="48">
                  <c:v>-0.35873080916148298</c:v>
                </c:pt>
                <c:pt idx="49">
                  <c:v>-0.35443423978648297</c:v>
                </c:pt>
                <c:pt idx="50">
                  <c:v>-0.34873681113442812</c:v>
                </c:pt>
                <c:pt idx="51">
                  <c:v>-0.35106431290365891</c:v>
                </c:pt>
                <c:pt idx="52">
                  <c:v>-0.34369537645921444</c:v>
                </c:pt>
                <c:pt idx="53">
                  <c:v>-0.35262456054731789</c:v>
                </c:pt>
                <c:pt idx="54">
                  <c:v>-0.34116367451459062</c:v>
                </c:pt>
                <c:pt idx="55">
                  <c:v>-0.3305427672701462</c:v>
                </c:pt>
                <c:pt idx="56">
                  <c:v>-0.32621590425756347</c:v>
                </c:pt>
                <c:pt idx="57">
                  <c:v>-0.32191920181545824</c:v>
                </c:pt>
                <c:pt idx="58">
                  <c:v>-0.31685023842415388</c:v>
                </c:pt>
                <c:pt idx="59">
                  <c:v>-0.31347008477731847</c:v>
                </c:pt>
                <c:pt idx="60">
                  <c:v>-0.31558742432596704</c:v>
                </c:pt>
                <c:pt idx="61">
                  <c:v>-0.32365976575778521</c:v>
                </c:pt>
                <c:pt idx="62">
                  <c:v>-0.31079659075778521</c:v>
                </c:pt>
                <c:pt idx="63">
                  <c:v>-0.30020707876942543</c:v>
                </c:pt>
                <c:pt idx="64">
                  <c:v>-0.27899401366265858</c:v>
                </c:pt>
                <c:pt idx="65">
                  <c:v>-0.28037218733677621</c:v>
                </c:pt>
                <c:pt idx="66">
                  <c:v>-0.28367927993677622</c:v>
                </c:pt>
                <c:pt idx="67">
                  <c:v>-0.26857773506570182</c:v>
                </c:pt>
                <c:pt idx="68">
                  <c:v>-0.21983740417739239</c:v>
                </c:pt>
                <c:pt idx="69">
                  <c:v>-0.24545197310295297</c:v>
                </c:pt>
                <c:pt idx="70">
                  <c:v>-0.25167084170499371</c:v>
                </c:pt>
                <c:pt idx="71">
                  <c:v>-0.25226337147041428</c:v>
                </c:pt>
                <c:pt idx="72">
                  <c:v>-0.25378983980374759</c:v>
                </c:pt>
                <c:pt idx="73">
                  <c:v>-0.25076809048136994</c:v>
                </c:pt>
                <c:pt idx="74">
                  <c:v>-0.24698630265113744</c:v>
                </c:pt>
                <c:pt idx="75">
                  <c:v>-0.24641085407513746</c:v>
                </c:pt>
                <c:pt idx="76">
                  <c:v>-0.24733222950370889</c:v>
                </c:pt>
                <c:pt idx="77">
                  <c:v>-0.2446531991931826</c:v>
                </c:pt>
                <c:pt idx="78">
                  <c:v>-0.2459813054151338</c:v>
                </c:pt>
                <c:pt idx="79">
                  <c:v>-0.24290176999974919</c:v>
                </c:pt>
                <c:pt idx="80">
                  <c:v>-0.23993262499974918</c:v>
                </c:pt>
                <c:pt idx="81">
                  <c:v>-0.23834427172974917</c:v>
                </c:pt>
                <c:pt idx="82">
                  <c:v>-0.24095029307520371</c:v>
                </c:pt>
                <c:pt idx="83">
                  <c:v>-0.24105423956830715</c:v>
                </c:pt>
                <c:pt idx="84">
                  <c:v>-0.23729499608964053</c:v>
                </c:pt>
                <c:pt idx="85">
                  <c:v>-0.24299754467012835</c:v>
                </c:pt>
                <c:pt idx="86">
                  <c:v>-0.2379822057953252</c:v>
                </c:pt>
                <c:pt idx="87">
                  <c:v>-0.24213508361601485</c:v>
                </c:pt>
                <c:pt idx="88">
                  <c:v>-0.24172136258101487</c:v>
                </c:pt>
                <c:pt idx="89">
                  <c:v>-0.22252549335335528</c:v>
                </c:pt>
                <c:pt idx="90">
                  <c:v>-0.23912967660207321</c:v>
                </c:pt>
                <c:pt idx="91">
                  <c:v>-0.24054237299096209</c:v>
                </c:pt>
                <c:pt idx="92">
                  <c:v>-0.24102560052429542</c:v>
                </c:pt>
                <c:pt idx="93">
                  <c:v>-0.23544002806644418</c:v>
                </c:pt>
                <c:pt idx="94">
                  <c:v>-0.23177031781259802</c:v>
                </c:pt>
                <c:pt idx="95">
                  <c:v>-0.23263913803612743</c:v>
                </c:pt>
                <c:pt idx="96">
                  <c:v>-0.22884478187030463</c:v>
                </c:pt>
                <c:pt idx="97">
                  <c:v>-0.22587078773346259</c:v>
                </c:pt>
                <c:pt idx="98">
                  <c:v>-0.22625793346504153</c:v>
                </c:pt>
                <c:pt idx="99">
                  <c:v>-0.22351460136170814</c:v>
                </c:pt>
                <c:pt idx="100">
                  <c:v>-0.22344556981086072</c:v>
                </c:pt>
                <c:pt idx="101">
                  <c:v>-0.22178723245296597</c:v>
                </c:pt>
                <c:pt idx="102">
                  <c:v>-0.21856445452419884</c:v>
                </c:pt>
                <c:pt idx="103">
                  <c:v>-0.21721442858076448</c:v>
                </c:pt>
                <c:pt idx="104">
                  <c:v>-0.20844047633913765</c:v>
                </c:pt>
                <c:pt idx="105">
                  <c:v>-0.20867225470313763</c:v>
                </c:pt>
                <c:pt idx="106">
                  <c:v>-0.21159822585768312</c:v>
                </c:pt>
                <c:pt idx="107">
                  <c:v>-0.21085338888229851</c:v>
                </c:pt>
                <c:pt idx="108">
                  <c:v>-0.21196316146136829</c:v>
                </c:pt>
                <c:pt idx="109">
                  <c:v>-0.21249663688536827</c:v>
                </c:pt>
                <c:pt idx="110">
                  <c:v>-0.20879173682747354</c:v>
                </c:pt>
                <c:pt idx="111">
                  <c:v>-0.20357990924776337</c:v>
                </c:pt>
                <c:pt idx="112">
                  <c:v>-0.20186644434776341</c:v>
                </c:pt>
                <c:pt idx="113">
                  <c:v>-0.20321216598834316</c:v>
                </c:pt>
                <c:pt idx="114">
                  <c:v>-0.20864357971484915</c:v>
                </c:pt>
                <c:pt idx="115">
                  <c:v>-0.20890746142073149</c:v>
                </c:pt>
                <c:pt idx="116">
                  <c:v>-0.21257357125231041</c:v>
                </c:pt>
                <c:pt idx="117">
                  <c:v>-0.21176147250945329</c:v>
                </c:pt>
                <c:pt idx="118">
                  <c:v>-0.20559209097820333</c:v>
                </c:pt>
                <c:pt idx="119">
                  <c:v>-0.21361260141385549</c:v>
                </c:pt>
                <c:pt idx="120">
                  <c:v>-0.21594776537856139</c:v>
                </c:pt>
                <c:pt idx="121">
                  <c:v>-0.21234949643007656</c:v>
                </c:pt>
                <c:pt idx="122">
                  <c:v>-0.21046470643916745</c:v>
                </c:pt>
                <c:pt idx="123">
                  <c:v>-0.20553462241631029</c:v>
                </c:pt>
                <c:pt idx="124">
                  <c:v>-0.20773395778527584</c:v>
                </c:pt>
                <c:pt idx="125">
                  <c:v>-0.20393058677299516</c:v>
                </c:pt>
                <c:pt idx="126">
                  <c:v>-0.20258868429607207</c:v>
                </c:pt>
                <c:pt idx="127">
                  <c:v>-0.19738928552548388</c:v>
                </c:pt>
                <c:pt idx="128">
                  <c:v>-0.20853906172719325</c:v>
                </c:pt>
                <c:pt idx="129">
                  <c:v>-0.19636603082259699</c:v>
                </c:pt>
                <c:pt idx="130">
                  <c:v>-0.19114594967625556</c:v>
                </c:pt>
                <c:pt idx="131">
                  <c:v>-0.18533745057369144</c:v>
                </c:pt>
                <c:pt idx="132">
                  <c:v>-0.17798248245235812</c:v>
                </c:pt>
                <c:pt idx="133">
                  <c:v>-0.17439220725235813</c:v>
                </c:pt>
                <c:pt idx="134">
                  <c:v>-0.17453375349317446</c:v>
                </c:pt>
                <c:pt idx="135">
                  <c:v>-0.17610197321949028</c:v>
                </c:pt>
                <c:pt idx="136">
                  <c:v>-0.17858170052718259</c:v>
                </c:pt>
                <c:pt idx="137">
                  <c:v>-0.17434470736869204</c:v>
                </c:pt>
                <c:pt idx="138">
                  <c:v>-0.17560300992690103</c:v>
                </c:pt>
                <c:pt idx="139">
                  <c:v>-0.1784393057999169</c:v>
                </c:pt>
                <c:pt idx="140">
                  <c:v>-0.17374067925956604</c:v>
                </c:pt>
                <c:pt idx="141">
                  <c:v>-0.17172480021537995</c:v>
                </c:pt>
                <c:pt idx="142">
                  <c:v>-0.17764830658109426</c:v>
                </c:pt>
                <c:pt idx="143">
                  <c:v>-0.16935017146653988</c:v>
                </c:pt>
                <c:pt idx="144">
                  <c:v>-0.17482106517877008</c:v>
                </c:pt>
                <c:pt idx="145">
                  <c:v>-0.18252252195019866</c:v>
                </c:pt>
                <c:pt idx="146">
                  <c:v>-0.18901942181419862</c:v>
                </c:pt>
                <c:pt idx="147">
                  <c:v>-0.18534206641261131</c:v>
                </c:pt>
                <c:pt idx="148">
                  <c:v>-0.1779245594173732</c:v>
                </c:pt>
                <c:pt idx="149">
                  <c:v>-0.18416031593358939</c:v>
                </c:pt>
                <c:pt idx="150">
                  <c:v>-0.17371836206280286</c:v>
                </c:pt>
                <c:pt idx="151">
                  <c:v>-0.14934212560775698</c:v>
                </c:pt>
                <c:pt idx="152">
                  <c:v>-0.18287522313702012</c:v>
                </c:pt>
                <c:pt idx="153">
                  <c:v>-0.18040706588135347</c:v>
                </c:pt>
                <c:pt idx="154">
                  <c:v>-0.1938499965839082</c:v>
                </c:pt>
                <c:pt idx="155">
                  <c:v>-0.16934006626973713</c:v>
                </c:pt>
                <c:pt idx="156">
                  <c:v>-0.1941095083037486</c:v>
                </c:pt>
                <c:pt idx="157">
                  <c:v>-0.17617122343500888</c:v>
                </c:pt>
                <c:pt idx="158">
                  <c:v>-0.15946818914728556</c:v>
                </c:pt>
                <c:pt idx="159">
                  <c:v>-0.15542705656974859</c:v>
                </c:pt>
                <c:pt idx="160">
                  <c:v>-0.16529134810572157</c:v>
                </c:pt>
                <c:pt idx="161">
                  <c:v>-0.17121652946511179</c:v>
                </c:pt>
                <c:pt idx="162">
                  <c:v>-0.18115681484261706</c:v>
                </c:pt>
                <c:pt idx="163">
                  <c:v>-0.17915660682919185</c:v>
                </c:pt>
                <c:pt idx="164">
                  <c:v>-0.17153922246557629</c:v>
                </c:pt>
                <c:pt idx="165">
                  <c:v>-0.1607153554646194</c:v>
                </c:pt>
                <c:pt idx="166">
                  <c:v>-0.16411730128492583</c:v>
                </c:pt>
                <c:pt idx="167">
                  <c:v>-0.15677151816846116</c:v>
                </c:pt>
                <c:pt idx="168">
                  <c:v>-0.16450964762870246</c:v>
                </c:pt>
                <c:pt idx="169">
                  <c:v>-0.159286548505153</c:v>
                </c:pt>
                <c:pt idx="170">
                  <c:v>-0.13427608004697819</c:v>
                </c:pt>
                <c:pt idx="171">
                  <c:v>-0.13839927789106335</c:v>
                </c:pt>
                <c:pt idx="172">
                  <c:v>-0.10884995728673021</c:v>
                </c:pt>
                <c:pt idx="173">
                  <c:v>-0.10418145861190808</c:v>
                </c:pt>
                <c:pt idx="174">
                  <c:v>-0.10028005515309571</c:v>
                </c:pt>
                <c:pt idx="175">
                  <c:v>-9.6468233728855782E-2</c:v>
                </c:pt>
                <c:pt idx="176">
                  <c:v>-0.10165509726817082</c:v>
                </c:pt>
                <c:pt idx="177">
                  <c:v>-7.9587264788003403E-2</c:v>
                </c:pt>
                <c:pt idx="178">
                  <c:v>-9.6075776115552333E-2</c:v>
                </c:pt>
                <c:pt idx="179">
                  <c:v>-8.3906735584577188E-2</c:v>
                </c:pt>
                <c:pt idx="180">
                  <c:v>-6.6131699860513024E-2</c:v>
                </c:pt>
                <c:pt idx="181">
                  <c:v>-6.9969820990545786E-2</c:v>
                </c:pt>
                <c:pt idx="182">
                  <c:v>-8.2464399646026296E-2</c:v>
                </c:pt>
                <c:pt idx="183">
                  <c:v>-6.6959182685543225E-2</c:v>
                </c:pt>
                <c:pt idx="184">
                  <c:v>-3.9607217243591973E-2</c:v>
                </c:pt>
                <c:pt idx="185">
                  <c:v>-0.10077632601706134</c:v>
                </c:pt>
                <c:pt idx="186">
                  <c:v>-5.2644603896687715E-2</c:v>
                </c:pt>
                <c:pt idx="187">
                  <c:v>-0.13248676988308772</c:v>
                </c:pt>
                <c:pt idx="188">
                  <c:v>-0.16101025346911552</c:v>
                </c:pt>
                <c:pt idx="189">
                  <c:v>-0.17361443946384256</c:v>
                </c:pt>
                <c:pt idx="190">
                  <c:v>-0.17359860096319002</c:v>
                </c:pt>
                <c:pt idx="191">
                  <c:v>-0.17866987225408837</c:v>
                </c:pt>
                <c:pt idx="192">
                  <c:v>-0.1766412087113137</c:v>
                </c:pt>
                <c:pt idx="193">
                  <c:v>-0.1739342886958542</c:v>
                </c:pt>
                <c:pt idx="194">
                  <c:v>-0.16959560098053561</c:v>
                </c:pt>
                <c:pt idx="195">
                  <c:v>-0.16796370893985424</c:v>
                </c:pt>
                <c:pt idx="196">
                  <c:v>-0.15495808964602198</c:v>
                </c:pt>
                <c:pt idx="197">
                  <c:v>-0.1297851876821515</c:v>
                </c:pt>
                <c:pt idx="198">
                  <c:v>-0.14707523155599317</c:v>
                </c:pt>
                <c:pt idx="199">
                  <c:v>-0.15470696406325732</c:v>
                </c:pt>
                <c:pt idx="200">
                  <c:v>-0.14790309396469783</c:v>
                </c:pt>
                <c:pt idx="201">
                  <c:v>-0.14846074655688715</c:v>
                </c:pt>
                <c:pt idx="202">
                  <c:v>-0.15470407030894898</c:v>
                </c:pt>
                <c:pt idx="203">
                  <c:v>-0.15903743106284826</c:v>
                </c:pt>
                <c:pt idx="204">
                  <c:v>-0.14819383476227274</c:v>
                </c:pt>
                <c:pt idx="205">
                  <c:v>-0.14918312105223827</c:v>
                </c:pt>
                <c:pt idx="206">
                  <c:v>-0.15677667559801606</c:v>
                </c:pt>
                <c:pt idx="207">
                  <c:v>-0.15644605076653637</c:v>
                </c:pt>
                <c:pt idx="208">
                  <c:v>-0.15421800026169766</c:v>
                </c:pt>
                <c:pt idx="209">
                  <c:v>-0.15683674637608971</c:v>
                </c:pt>
                <c:pt idx="210">
                  <c:v>-0.1580828170509132</c:v>
                </c:pt>
                <c:pt idx="211">
                  <c:v>-0.15634139239176717</c:v>
                </c:pt>
                <c:pt idx="212">
                  <c:v>-0.15715169412566543</c:v>
                </c:pt>
                <c:pt idx="213">
                  <c:v>-0.1580111867402996</c:v>
                </c:pt>
                <c:pt idx="214">
                  <c:v>-0.15694967473893284</c:v>
                </c:pt>
                <c:pt idx="215">
                  <c:v>-0.15979350030531939</c:v>
                </c:pt>
                <c:pt idx="216">
                  <c:v>-0.16077685423399554</c:v>
                </c:pt>
                <c:pt idx="217">
                  <c:v>-0.15515265252222804</c:v>
                </c:pt>
                <c:pt idx="218">
                  <c:v>-0.15167883275277877</c:v>
                </c:pt>
                <c:pt idx="219">
                  <c:v>-0.15842864125904274</c:v>
                </c:pt>
                <c:pt idx="220">
                  <c:v>-0.15866462431018516</c:v>
                </c:pt>
                <c:pt idx="221">
                  <c:v>-0.15256391997511515</c:v>
                </c:pt>
                <c:pt idx="222">
                  <c:v>-0.15383172299941422</c:v>
                </c:pt>
                <c:pt idx="223">
                  <c:v>-0.15151256278555281</c:v>
                </c:pt>
                <c:pt idx="224">
                  <c:v>-0.14920158653333768</c:v>
                </c:pt>
                <c:pt idx="225">
                  <c:v>-0.1480629658808055</c:v>
                </c:pt>
                <c:pt idx="226">
                  <c:v>-0.14460597085580551</c:v>
                </c:pt>
                <c:pt idx="227">
                  <c:v>-0.14189409673034484</c:v>
                </c:pt>
                <c:pt idx="228">
                  <c:v>-0.1425320328189163</c:v>
                </c:pt>
                <c:pt idx="229">
                  <c:v>-0.14581915866943243</c:v>
                </c:pt>
                <c:pt idx="230">
                  <c:v>-0.14176979458524833</c:v>
                </c:pt>
                <c:pt idx="231">
                  <c:v>-0.14343768194726644</c:v>
                </c:pt>
                <c:pt idx="232">
                  <c:v>-0.14011680260135298</c:v>
                </c:pt>
                <c:pt idx="233">
                  <c:v>-0.14557294511810159</c:v>
                </c:pt>
                <c:pt idx="234">
                  <c:v>-0.14634141055559752</c:v>
                </c:pt>
                <c:pt idx="235">
                  <c:v>-0.14145057556695848</c:v>
                </c:pt>
                <c:pt idx="236">
                  <c:v>-0.14277785883691979</c:v>
                </c:pt>
                <c:pt idx="237">
                  <c:v>-0.13951755009060299</c:v>
                </c:pt>
                <c:pt idx="238">
                  <c:v>-0.1360095437395154</c:v>
                </c:pt>
                <c:pt idx="239">
                  <c:v>-0.13697775487593158</c:v>
                </c:pt>
                <c:pt idx="240">
                  <c:v>-0.13429384267722191</c:v>
                </c:pt>
                <c:pt idx="241">
                  <c:v>-0.13108343420579333</c:v>
                </c:pt>
                <c:pt idx="242">
                  <c:v>-0.13888952596826598</c:v>
                </c:pt>
                <c:pt idx="243">
                  <c:v>-0.14645358099574202</c:v>
                </c:pt>
                <c:pt idx="244">
                  <c:v>-0.15109451914682676</c:v>
                </c:pt>
                <c:pt idx="245">
                  <c:v>-0.1412213411990636</c:v>
                </c:pt>
                <c:pt idx="246">
                  <c:v>-0.14970056935267806</c:v>
                </c:pt>
                <c:pt idx="247">
                  <c:v>-0.16555173177749949</c:v>
                </c:pt>
                <c:pt idx="248">
                  <c:v>-0.16928933668466453</c:v>
                </c:pt>
                <c:pt idx="249">
                  <c:v>-0.18210865481578872</c:v>
                </c:pt>
                <c:pt idx="250">
                  <c:v>-0.17808744640063043</c:v>
                </c:pt>
                <c:pt idx="251">
                  <c:v>-0.17513831456203469</c:v>
                </c:pt>
                <c:pt idx="252">
                  <c:v>-0.16955622894313879</c:v>
                </c:pt>
                <c:pt idx="253">
                  <c:v>-0.17239897716877417</c:v>
                </c:pt>
                <c:pt idx="254">
                  <c:v>-0.16106337594043441</c:v>
                </c:pt>
                <c:pt idx="255">
                  <c:v>-0.15127248276828767</c:v>
                </c:pt>
                <c:pt idx="256">
                  <c:v>-0.16429661323120021</c:v>
                </c:pt>
                <c:pt idx="257">
                  <c:v>-0.16833155071305844</c:v>
                </c:pt>
                <c:pt idx="258">
                  <c:v>-0.15962383201890076</c:v>
                </c:pt>
                <c:pt idx="259">
                  <c:v>-0.16066432935745661</c:v>
                </c:pt>
                <c:pt idx="260">
                  <c:v>-0.15558176366988116</c:v>
                </c:pt>
                <c:pt idx="261">
                  <c:v>-0.14551649211221065</c:v>
                </c:pt>
                <c:pt idx="262">
                  <c:v>-0.15092485774212999</c:v>
                </c:pt>
                <c:pt idx="263">
                  <c:v>-0.1415660850069827</c:v>
                </c:pt>
                <c:pt idx="264">
                  <c:v>-0.13862206123102505</c:v>
                </c:pt>
                <c:pt idx="265">
                  <c:v>-0.13227351781280181</c:v>
                </c:pt>
                <c:pt idx="266">
                  <c:v>-0.12744767196591292</c:v>
                </c:pt>
                <c:pt idx="267">
                  <c:v>-0.1014356998140981</c:v>
                </c:pt>
                <c:pt idx="268">
                  <c:v>-0.10393364668662561</c:v>
                </c:pt>
                <c:pt idx="269">
                  <c:v>-8.8618506787121215E-2</c:v>
                </c:pt>
                <c:pt idx="270">
                  <c:v>-7.6089927205877123E-2</c:v>
                </c:pt>
                <c:pt idx="271">
                  <c:v>-9.0765378075201436E-2</c:v>
                </c:pt>
                <c:pt idx="272">
                  <c:v>-9.872830335899925E-2</c:v>
                </c:pt>
                <c:pt idx="273">
                  <c:v>-9.9313897595035089E-2</c:v>
                </c:pt>
                <c:pt idx="274">
                  <c:v>-7.1433864217510856E-2</c:v>
                </c:pt>
                <c:pt idx="275">
                  <c:v>-0.10132060221027928</c:v>
                </c:pt>
                <c:pt idx="276">
                  <c:v>-0.12571593597047095</c:v>
                </c:pt>
                <c:pt idx="277">
                  <c:v>-0.12903749693547095</c:v>
                </c:pt>
                <c:pt idx="278">
                  <c:v>-0.12307978441821138</c:v>
                </c:pt>
                <c:pt idx="279">
                  <c:v>-0.13230926850346356</c:v>
                </c:pt>
                <c:pt idx="280">
                  <c:v>-0.13299327735890373</c:v>
                </c:pt>
                <c:pt idx="281">
                  <c:v>-0.12683474822931573</c:v>
                </c:pt>
                <c:pt idx="282">
                  <c:v>-0.11988314382121686</c:v>
                </c:pt>
                <c:pt idx="283">
                  <c:v>-0.12738693733531628</c:v>
                </c:pt>
                <c:pt idx="284">
                  <c:v>-0.12022370682170878</c:v>
                </c:pt>
                <c:pt idx="285">
                  <c:v>-0.11718355376681783</c:v>
                </c:pt>
                <c:pt idx="286">
                  <c:v>-0.11325169840080511</c:v>
                </c:pt>
                <c:pt idx="287">
                  <c:v>-0.10892752626159263</c:v>
                </c:pt>
                <c:pt idx="288">
                  <c:v>-0.10869785275944728</c:v>
                </c:pt>
                <c:pt idx="289">
                  <c:v>-0.10856734214600729</c:v>
                </c:pt>
                <c:pt idx="290">
                  <c:v>-0.10032133290922839</c:v>
                </c:pt>
                <c:pt idx="291">
                  <c:v>-0.10519977587247163</c:v>
                </c:pt>
                <c:pt idx="292">
                  <c:v>-0.10476444730789992</c:v>
                </c:pt>
                <c:pt idx="293">
                  <c:v>-0.10640203640227514</c:v>
                </c:pt>
                <c:pt idx="294">
                  <c:v>-0.11888094691594182</c:v>
                </c:pt>
                <c:pt idx="295">
                  <c:v>-0.12013009827625248</c:v>
                </c:pt>
                <c:pt idx="296">
                  <c:v>-0.11653267505618493</c:v>
                </c:pt>
                <c:pt idx="297">
                  <c:v>-0.11389704792181334</c:v>
                </c:pt>
                <c:pt idx="298">
                  <c:v>-0.11029013144917421</c:v>
                </c:pt>
                <c:pt idx="299">
                  <c:v>-0.11631128928434885</c:v>
                </c:pt>
                <c:pt idx="300">
                  <c:v>-0.10904075453936432</c:v>
                </c:pt>
                <c:pt idx="301">
                  <c:v>-0.10736266518629764</c:v>
                </c:pt>
                <c:pt idx="302">
                  <c:v>-0.11101712533015479</c:v>
                </c:pt>
                <c:pt idx="303">
                  <c:v>-0.10516025772005377</c:v>
                </c:pt>
                <c:pt idx="304">
                  <c:v>-0.10658356651311601</c:v>
                </c:pt>
                <c:pt idx="305">
                  <c:v>-0.10068417444081204</c:v>
                </c:pt>
                <c:pt idx="306">
                  <c:v>-0.11195463105587229</c:v>
                </c:pt>
                <c:pt idx="307">
                  <c:v>-0.11568595655373755</c:v>
                </c:pt>
                <c:pt idx="308">
                  <c:v>-0.11745860155062858</c:v>
                </c:pt>
                <c:pt idx="309">
                  <c:v>-0.11170668571370407</c:v>
                </c:pt>
                <c:pt idx="310">
                  <c:v>-0.10309363944329047</c:v>
                </c:pt>
                <c:pt idx="311">
                  <c:v>-9.1059375466356576E-2</c:v>
                </c:pt>
                <c:pt idx="312">
                  <c:v>-7.8746501373965272E-2</c:v>
                </c:pt>
                <c:pt idx="313">
                  <c:v>-3.9659939102547143E-2</c:v>
                </c:pt>
                <c:pt idx="314">
                  <c:v>-2.2038956896394825E-2</c:v>
                </c:pt>
                <c:pt idx="315">
                  <c:v>-1.3198939664159286E-2</c:v>
                </c:pt>
                <c:pt idx="316">
                  <c:v>-4.6046863840363455E-4</c:v>
                </c:pt>
                <c:pt idx="317">
                  <c:v>1.4774700181105304E-2</c:v>
                </c:pt>
                <c:pt idx="318">
                  <c:v>4.0168594725093182E-2</c:v>
                </c:pt>
                <c:pt idx="319">
                  <c:v>3.5838820211221277E-2</c:v>
                </c:pt>
                <c:pt idx="320">
                  <c:v>7.07159046449925E-2</c:v>
                </c:pt>
                <c:pt idx="321">
                  <c:v>-7.6530200308357597E-4</c:v>
                </c:pt>
                <c:pt idx="322">
                  <c:v>-1.6103965939262322E-2</c:v>
                </c:pt>
                <c:pt idx="323">
                  <c:v>-2.5495945718281829E-2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D-4452-B404-9279A61B9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1276080"/>
        <c:axId val="1041275248"/>
      </c:lineChart>
      <c:dateAx>
        <c:axId val="1041276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275248"/>
        <c:crosses val="autoZero"/>
        <c:auto val="1"/>
        <c:lblOffset val="100"/>
        <c:baseTimeUnit val="days"/>
      </c:dateAx>
      <c:valAx>
        <c:axId val="104127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27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592178-A1CD-4FFD-BE12-9B54B1470A43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7736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822BF7-C411-41E5-B6BC-4DE93FBC5D9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34.700000000000003</v>
      </c>
      <c r="D2" s="4">
        <f>MIN(D3:D1912)</f>
        <v>3.06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3.63</v>
      </c>
      <c r="C5">
        <v>3.69</v>
      </c>
      <c r="D5">
        <v>3.52</v>
      </c>
      <c r="E5">
        <v>3.54</v>
      </c>
      <c r="F5">
        <v>12043.08</v>
      </c>
      <c r="G5">
        <v>3.54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-0.7647058823529409</v>
      </c>
      <c r="Q5">
        <f t="shared" ref="Q5" si="1">F5*P5</f>
        <v>-9209.4141176470548</v>
      </c>
      <c r="R5">
        <f t="shared" ref="R5" si="2">R6+Q5</f>
        <v>-39587966.101829939</v>
      </c>
      <c r="S5">
        <f t="shared" ref="S5" si="3">R5/100000</f>
        <v>-395.87966101829937</v>
      </c>
      <c r="T5">
        <f t="shared" ref="T5" si="4">S5/1000</f>
        <v>-0.39587966101829936</v>
      </c>
    </row>
    <row r="6" spans="1:20" x14ac:dyDescent="0.25">
      <c r="A6" s="5">
        <v>44587</v>
      </c>
      <c r="B6">
        <v>3.57</v>
      </c>
      <c r="C6">
        <v>4.05</v>
      </c>
      <c r="D6">
        <v>3.53</v>
      </c>
      <c r="E6">
        <v>3.65</v>
      </c>
      <c r="F6">
        <v>622722.34</v>
      </c>
      <c r="G6">
        <v>3.65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-0.5384615384615381</v>
      </c>
      <c r="Q6">
        <f t="shared" ref="Q6" si="6">F6*P6</f>
        <v>-335312.02923076897</v>
      </c>
      <c r="R6">
        <f t="shared" ref="R6" si="7">R7+Q6</f>
        <v>-39578756.687712289</v>
      </c>
      <c r="S6">
        <f t="shared" ref="S6" si="8">R6/100000</f>
        <v>-395.78756687712291</v>
      </c>
      <c r="T6">
        <f t="shared" ref="T6" si="9">S6/1000</f>
        <v>-0.39578756687712291</v>
      </c>
    </row>
    <row r="7" spans="1:20" x14ac:dyDescent="0.25">
      <c r="A7" s="5">
        <v>44586</v>
      </c>
      <c r="B7">
        <v>3.52</v>
      </c>
      <c r="C7">
        <v>3.65</v>
      </c>
      <c r="D7">
        <v>3.38</v>
      </c>
      <c r="E7">
        <v>3.58</v>
      </c>
      <c r="F7">
        <v>195961.64</v>
      </c>
      <c r="G7">
        <v>3.58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0.48148148148148268</v>
      </c>
      <c r="Q7">
        <f t="shared" ref="Q7" si="11">F7*P7</f>
        <v>94351.900740740981</v>
      </c>
      <c r="R7">
        <f t="shared" ref="R7" si="12">R8+Q7</f>
        <v>-39243444.658481523</v>
      </c>
      <c r="S7">
        <f t="shared" ref="S7" si="13">R7/100000</f>
        <v>-392.43444658481525</v>
      </c>
      <c r="T7">
        <f t="shared" ref="T7" si="14">S7/1000</f>
        <v>-0.39243444658481524</v>
      </c>
    </row>
    <row r="8" spans="1:20" x14ac:dyDescent="0.25">
      <c r="A8" s="5">
        <v>44585</v>
      </c>
      <c r="B8">
        <v>3.65</v>
      </c>
      <c r="C8">
        <v>3.65</v>
      </c>
      <c r="D8">
        <v>3.06</v>
      </c>
      <c r="E8">
        <v>3.52</v>
      </c>
      <c r="F8">
        <v>405990.69</v>
      </c>
      <c r="G8">
        <v>3.52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0.55932203389830537</v>
      </c>
      <c r="Q8">
        <f t="shared" ref="Q8" si="16">F8*P8</f>
        <v>227079.5384745764</v>
      </c>
      <c r="R8">
        <f t="shared" ref="R8" si="17">R9+Q8</f>
        <v>-39337796.559222266</v>
      </c>
      <c r="S8">
        <f t="shared" ref="S8" si="18">R8/100000</f>
        <v>-393.37796559222267</v>
      </c>
      <c r="T8">
        <f t="shared" ref="T8" si="19">S8/1000</f>
        <v>-0.39337796559222266</v>
      </c>
    </row>
    <row r="9" spans="1:20" x14ac:dyDescent="0.25">
      <c r="A9" s="5">
        <v>44584</v>
      </c>
      <c r="B9">
        <v>3.5</v>
      </c>
      <c r="C9">
        <v>3.79</v>
      </c>
      <c r="D9">
        <v>3.45</v>
      </c>
      <c r="E9">
        <v>3.66</v>
      </c>
      <c r="F9">
        <v>290175.01</v>
      </c>
      <c r="G9">
        <v>3.66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0.23529411764705913</v>
      </c>
      <c r="Q9">
        <f t="shared" ref="Q9" si="21">F9*P9</f>
        <v>68276.472941176558</v>
      </c>
      <c r="R9">
        <f t="shared" ref="R9" si="22">R10+Q9</f>
        <v>-39564876.097696841</v>
      </c>
      <c r="S9">
        <f t="shared" ref="S9" si="23">R9/100000</f>
        <v>-395.64876097696839</v>
      </c>
      <c r="T9">
        <f t="shared" ref="T9" si="24">S9/1000</f>
        <v>-0.39564876097696838</v>
      </c>
    </row>
    <row r="10" spans="1:20" x14ac:dyDescent="0.25">
      <c r="A10" s="5">
        <v>44583</v>
      </c>
      <c r="B10">
        <v>3.85</v>
      </c>
      <c r="C10">
        <v>4.04</v>
      </c>
      <c r="D10">
        <v>3.08</v>
      </c>
      <c r="E10">
        <v>3.5</v>
      </c>
      <c r="F10">
        <v>700392.95</v>
      </c>
      <c r="G10">
        <v>3.5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-0.12500000000000011</v>
      </c>
      <c r="Q10">
        <f t="shared" ref="Q10" si="26">F10*P10</f>
        <v>-87549.118750000067</v>
      </c>
      <c r="R10">
        <f t="shared" ref="R10" si="27">R11+Q10</f>
        <v>-39633152.570638016</v>
      </c>
      <c r="S10">
        <f t="shared" ref="S10" si="28">R10/100000</f>
        <v>-396.33152570638015</v>
      </c>
      <c r="T10">
        <f t="shared" ref="T10" si="29">S10/1000</f>
        <v>-0.39633152570638014</v>
      </c>
    </row>
    <row r="11" spans="1:20" x14ac:dyDescent="0.25">
      <c r="A11" s="5">
        <v>44582</v>
      </c>
      <c r="B11">
        <v>4.57</v>
      </c>
      <c r="C11">
        <v>4.99</v>
      </c>
      <c r="D11">
        <v>3.81</v>
      </c>
      <c r="E11">
        <v>3.86</v>
      </c>
      <c r="F11">
        <v>878180.87399999995</v>
      </c>
      <c r="G11">
        <v>3.86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-0.91525423728813593</v>
      </c>
      <c r="Q11">
        <f t="shared" ref="Q11" si="31">F11*P11</f>
        <v>-803758.76603389857</v>
      </c>
      <c r="R11">
        <f t="shared" ref="R11" si="32">R12+Q11</f>
        <v>-39545603.451888017</v>
      </c>
      <c r="S11">
        <f t="shared" ref="S11" si="33">R11/100000</f>
        <v>-395.45603451888019</v>
      </c>
      <c r="T11">
        <f t="shared" ref="T11" si="34">S11/1000</f>
        <v>-0.39545603451888017</v>
      </c>
    </row>
    <row r="12" spans="1:20" x14ac:dyDescent="0.25">
      <c r="A12" s="5">
        <v>44581</v>
      </c>
      <c r="B12">
        <v>4.93</v>
      </c>
      <c r="C12">
        <v>5.05</v>
      </c>
      <c r="D12">
        <v>4.5599999999999996</v>
      </c>
      <c r="E12">
        <v>4.5599999999999996</v>
      </c>
      <c r="F12">
        <v>440869.64</v>
      </c>
      <c r="G12">
        <v>4.5599999999999996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-1</v>
      </c>
      <c r="Q12">
        <f t="shared" ref="Q12" si="36">F12*P12</f>
        <v>-440869.64</v>
      </c>
      <c r="R12">
        <f t="shared" ref="R12" si="37">R13+Q12</f>
        <v>-38741844.685854122</v>
      </c>
      <c r="S12">
        <f t="shared" ref="S12" si="38">R12/100000</f>
        <v>-387.41844685854124</v>
      </c>
      <c r="T12">
        <f t="shared" ref="T12" si="39">S12/1000</f>
        <v>-0.38741844685854127</v>
      </c>
    </row>
    <row r="13" spans="1:20" x14ac:dyDescent="0.25">
      <c r="A13" s="5">
        <v>44580</v>
      </c>
      <c r="B13">
        <v>5.2</v>
      </c>
      <c r="C13">
        <v>5.25</v>
      </c>
      <c r="D13">
        <v>4.92</v>
      </c>
      <c r="E13">
        <v>4.93</v>
      </c>
      <c r="F13">
        <v>149341.6</v>
      </c>
      <c r="G13">
        <v>4.93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-0.93939393939394067</v>
      </c>
      <c r="Q13">
        <f t="shared" ref="Q13" si="41">F13*P13</f>
        <v>-140290.59393939414</v>
      </c>
      <c r="R13">
        <f t="shared" ref="R13" si="42">R14+Q13</f>
        <v>-38300975.045854121</v>
      </c>
      <c r="S13">
        <f t="shared" ref="S13" si="43">R13/100000</f>
        <v>-383.00975045854119</v>
      </c>
      <c r="T13">
        <f t="shared" ref="T13" si="44">S13/1000</f>
        <v>-0.38300975045854119</v>
      </c>
    </row>
    <row r="14" spans="1:20" x14ac:dyDescent="0.25">
      <c r="A14" s="5">
        <v>44579</v>
      </c>
      <c r="B14">
        <v>5.19</v>
      </c>
      <c r="C14">
        <v>5.31</v>
      </c>
      <c r="D14">
        <v>4.9000000000000004</v>
      </c>
      <c r="E14">
        <v>5.2</v>
      </c>
      <c r="F14">
        <v>208606.83</v>
      </c>
      <c r="G14">
        <v>5.2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0.46341463414634326</v>
      </c>
      <c r="Q14">
        <f t="shared" ref="Q14" si="46">F14*P14</f>
        <v>96671.457804878417</v>
      </c>
      <c r="R14">
        <f t="shared" ref="R14" si="47">R15+Q14</f>
        <v>-38160684.451914728</v>
      </c>
      <c r="S14">
        <f t="shared" ref="S14" si="48">R14/100000</f>
        <v>-381.60684451914727</v>
      </c>
      <c r="T14">
        <f t="shared" ref="T14" si="49">S14/1000</f>
        <v>-0.38160684451914728</v>
      </c>
    </row>
    <row r="15" spans="1:20" x14ac:dyDescent="0.25">
      <c r="A15" s="5">
        <v>44578</v>
      </c>
      <c r="B15">
        <v>5.43</v>
      </c>
      <c r="C15">
        <v>5.44</v>
      </c>
      <c r="D15">
        <v>5.09</v>
      </c>
      <c r="E15">
        <v>5.19</v>
      </c>
      <c r="F15">
        <v>232138.19</v>
      </c>
      <c r="G15">
        <v>5.19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-0.42857142857142638</v>
      </c>
      <c r="Q15">
        <f t="shared" ref="Q15" si="51">F15*P15</f>
        <v>-99487.79571428521</v>
      </c>
      <c r="R15">
        <f t="shared" ref="R15" si="52">R16+Q15</f>
        <v>-38257355.909719609</v>
      </c>
      <c r="S15">
        <f t="shared" ref="S15" si="53">R15/100000</f>
        <v>-382.5735590971961</v>
      </c>
      <c r="T15">
        <f t="shared" ref="T15" si="54">S15/1000</f>
        <v>-0.38257355909719609</v>
      </c>
    </row>
    <row r="16" spans="1:20" x14ac:dyDescent="0.25">
      <c r="A16" s="5">
        <v>44577</v>
      </c>
      <c r="B16">
        <v>5.49</v>
      </c>
      <c r="C16">
        <v>5.85</v>
      </c>
      <c r="D16">
        <v>5.36</v>
      </c>
      <c r="E16">
        <v>5.42</v>
      </c>
      <c r="F16">
        <v>609637.41</v>
      </c>
      <c r="G16">
        <v>5.42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-0.75510204081632781</v>
      </c>
      <c r="Q16">
        <f t="shared" ref="Q16" si="56">F16*P16</f>
        <v>-460338.45244898042</v>
      </c>
      <c r="R16">
        <f t="shared" ref="R16" si="57">R17+Q16</f>
        <v>-38157868.114005327</v>
      </c>
      <c r="S16">
        <f t="shared" ref="S16" si="58">R16/100000</f>
        <v>-381.57868114005328</v>
      </c>
      <c r="T16">
        <f t="shared" ref="T16" si="59">S16/1000</f>
        <v>-0.38157868114005328</v>
      </c>
    </row>
    <row r="17" spans="1:20" x14ac:dyDescent="0.25">
      <c r="A17" s="5">
        <v>44576</v>
      </c>
      <c r="B17">
        <v>5.38</v>
      </c>
      <c r="C17">
        <v>5.55</v>
      </c>
      <c r="D17">
        <v>5.31</v>
      </c>
      <c r="E17">
        <v>5.49</v>
      </c>
      <c r="F17">
        <v>165281.67000000001</v>
      </c>
      <c r="G17">
        <v>5.49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0.50000000000000366</v>
      </c>
      <c r="Q17">
        <f t="shared" ref="Q17" si="61">F17*P17</f>
        <v>82640.835000000618</v>
      </c>
      <c r="R17">
        <f t="shared" ref="R17" si="62">R18+Q17</f>
        <v>-37697529.661556348</v>
      </c>
      <c r="S17">
        <f t="shared" ref="S17" si="63">R17/100000</f>
        <v>-376.97529661556348</v>
      </c>
      <c r="T17">
        <f t="shared" ref="T17" si="64">S17/1000</f>
        <v>-0.3769752966155635</v>
      </c>
    </row>
    <row r="18" spans="1:20" x14ac:dyDescent="0.25">
      <c r="A18" s="5">
        <v>44575</v>
      </c>
      <c r="B18">
        <v>5.28</v>
      </c>
      <c r="C18">
        <v>5.49</v>
      </c>
      <c r="D18">
        <v>5.2</v>
      </c>
      <c r="E18">
        <v>5.38</v>
      </c>
      <c r="F18">
        <v>183218.68</v>
      </c>
      <c r="G18">
        <v>5.38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0.24137931034482549</v>
      </c>
      <c r="Q18">
        <f t="shared" ref="Q18" si="66">F18*P18</f>
        <v>44225.198620689269</v>
      </c>
      <c r="R18">
        <f t="shared" ref="R18" si="67">R19+Q18</f>
        <v>-37780170.496556349</v>
      </c>
      <c r="S18">
        <f t="shared" ref="S18" si="68">R18/100000</f>
        <v>-377.80170496556349</v>
      </c>
      <c r="T18">
        <f t="shared" ref="T18" si="69">S18/1000</f>
        <v>-0.37780170496556348</v>
      </c>
    </row>
    <row r="19" spans="1:20" x14ac:dyDescent="0.25">
      <c r="A19" s="5">
        <v>44574</v>
      </c>
      <c r="B19">
        <v>5.71</v>
      </c>
      <c r="C19">
        <v>5.8</v>
      </c>
      <c r="D19">
        <v>5.27</v>
      </c>
      <c r="E19">
        <v>5.28</v>
      </c>
      <c r="F19">
        <v>208368.52</v>
      </c>
      <c r="G19">
        <v>5.28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-0.96226415094339368</v>
      </c>
      <c r="Q19">
        <f t="shared" ref="Q19" si="71">F19*P19</f>
        <v>-200505.55698113152</v>
      </c>
      <c r="R19">
        <f t="shared" ref="R19" si="72">R20+Q19</f>
        <v>-37824395.695177041</v>
      </c>
      <c r="S19">
        <f t="shared" ref="S19" si="73">R19/100000</f>
        <v>-378.24395695177043</v>
      </c>
      <c r="T19">
        <f t="shared" ref="T19" si="74">S19/1000</f>
        <v>-0.37824395695177043</v>
      </c>
    </row>
    <row r="20" spans="1:20" x14ac:dyDescent="0.25">
      <c r="A20" s="5">
        <v>44573</v>
      </c>
      <c r="B20">
        <v>5.39</v>
      </c>
      <c r="C20">
        <v>5.74</v>
      </c>
      <c r="D20">
        <v>5.32</v>
      </c>
      <c r="E20">
        <v>5.7</v>
      </c>
      <c r="F20">
        <v>231704.77</v>
      </c>
      <c r="G20">
        <v>5.7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0.80952380952380931</v>
      </c>
      <c r="Q20">
        <f t="shared" ref="Q20" si="76">F20*P20</f>
        <v>187570.52809523803</v>
      </c>
      <c r="R20">
        <f t="shared" ref="R20" si="77">R21+Q20</f>
        <v>-37623890.13819591</v>
      </c>
      <c r="S20">
        <f t="shared" ref="S20" si="78">R20/100000</f>
        <v>-376.23890138195907</v>
      </c>
      <c r="T20">
        <f t="shared" ref="T20" si="79">S20/1000</f>
        <v>-0.37623890138195909</v>
      </c>
    </row>
    <row r="21" spans="1:20" x14ac:dyDescent="0.25">
      <c r="A21" s="5">
        <v>44572</v>
      </c>
      <c r="B21">
        <v>5.2</v>
      </c>
      <c r="C21">
        <v>5.61</v>
      </c>
      <c r="D21">
        <v>5.08</v>
      </c>
      <c r="E21">
        <v>5.38</v>
      </c>
      <c r="F21">
        <v>467767.31</v>
      </c>
      <c r="G21">
        <v>5.38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0.13207547169811201</v>
      </c>
      <c r="Q21">
        <f t="shared" ref="Q21" si="81">F21*P21</f>
        <v>61780.588113206984</v>
      </c>
      <c r="R21">
        <f t="shared" ref="R21" si="82">R22+Q21</f>
        <v>-37811460.666291147</v>
      </c>
      <c r="S21">
        <f t="shared" ref="S21" si="83">R21/100000</f>
        <v>-378.11460666291146</v>
      </c>
      <c r="T21">
        <f t="shared" ref="T21" si="84">S21/1000</f>
        <v>-0.37811460666291147</v>
      </c>
    </row>
    <row r="22" spans="1:20" x14ac:dyDescent="0.25">
      <c r="A22" s="5">
        <v>44571</v>
      </c>
      <c r="B22">
        <v>5.12</v>
      </c>
      <c r="C22">
        <v>5.54</v>
      </c>
      <c r="D22">
        <v>4.59</v>
      </c>
      <c r="E22">
        <v>5.2</v>
      </c>
      <c r="F22">
        <v>381728.68300000002</v>
      </c>
      <c r="G22">
        <v>5.2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0.28421052631578991</v>
      </c>
      <c r="Q22">
        <f t="shared" ref="Q22" si="86">F22*P22</f>
        <v>108491.30990526333</v>
      </c>
      <c r="R22">
        <f t="shared" ref="R22" si="87">R23+Q22</f>
        <v>-37873241.254404351</v>
      </c>
      <c r="S22">
        <f t="shared" ref="S22" si="88">R22/100000</f>
        <v>-378.73241254404348</v>
      </c>
      <c r="T22">
        <f t="shared" ref="T22" si="89">S22/1000</f>
        <v>-0.3787324125440435</v>
      </c>
    </row>
    <row r="23" spans="1:20" x14ac:dyDescent="0.25">
      <c r="A23" s="5">
        <v>44570</v>
      </c>
      <c r="B23">
        <v>5.1100000000000003</v>
      </c>
      <c r="C23">
        <v>5.25</v>
      </c>
      <c r="D23">
        <v>5.03</v>
      </c>
      <c r="E23">
        <v>5.13</v>
      </c>
      <c r="F23">
        <v>147796.20000000001</v>
      </c>
      <c r="G23">
        <v>5.13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-9.0909090909093104E-2</v>
      </c>
      <c r="Q23">
        <f t="shared" ref="Q23" si="91">F23*P23</f>
        <v>-13436.018181818506</v>
      </c>
      <c r="R23">
        <f t="shared" ref="R23" si="92">R24+Q23</f>
        <v>-37981732.564309612</v>
      </c>
      <c r="S23">
        <f t="shared" ref="S23" si="93">R23/100000</f>
        <v>-379.81732564309613</v>
      </c>
      <c r="T23">
        <f t="shared" ref="T23" si="94">S23/1000</f>
        <v>-0.37981732564309612</v>
      </c>
    </row>
    <row r="24" spans="1:20" x14ac:dyDescent="0.25">
      <c r="A24" s="5">
        <v>44569</v>
      </c>
      <c r="B24">
        <v>5.31</v>
      </c>
      <c r="C24">
        <v>5.85</v>
      </c>
      <c r="D24">
        <v>4.9000000000000004</v>
      </c>
      <c r="E24">
        <v>5.1100000000000003</v>
      </c>
      <c r="F24">
        <v>269566.06</v>
      </c>
      <c r="G24">
        <v>5.1100000000000003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-0.557894736842105</v>
      </c>
      <c r="Q24">
        <f t="shared" ref="Q24" si="96">F24*P24</f>
        <v>-150389.48610526309</v>
      </c>
      <c r="R24">
        <f t="shared" ref="R24" si="97">R25+Q24</f>
        <v>-37968296.546127796</v>
      </c>
      <c r="S24">
        <f t="shared" ref="S24" si="98">R24/100000</f>
        <v>-379.68296546127794</v>
      </c>
      <c r="T24">
        <f t="shared" ref="T24" si="99">S24/1000</f>
        <v>-0.37968296546127794</v>
      </c>
    </row>
    <row r="25" spans="1:20" x14ac:dyDescent="0.25">
      <c r="A25" s="5">
        <v>44568</v>
      </c>
      <c r="B25">
        <v>5.67</v>
      </c>
      <c r="C25">
        <v>5.67</v>
      </c>
      <c r="D25">
        <v>5.1100000000000003</v>
      </c>
      <c r="E25">
        <v>5.3</v>
      </c>
      <c r="F25">
        <v>300047.90999999997</v>
      </c>
      <c r="G25">
        <v>5.3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-0.32142857142857273</v>
      </c>
      <c r="Q25">
        <f t="shared" ref="Q25" si="101">F25*P25</f>
        <v>-96443.971071428954</v>
      </c>
      <c r="R25">
        <f t="shared" ref="R25" si="102">R26+Q25</f>
        <v>-37817907.060022533</v>
      </c>
      <c r="S25">
        <f t="shared" ref="S25" si="103">R25/100000</f>
        <v>-378.17907060022532</v>
      </c>
      <c r="T25">
        <f t="shared" ref="T25" si="104">S25/1000</f>
        <v>-0.37817907060022532</v>
      </c>
    </row>
    <row r="26" spans="1:20" x14ac:dyDescent="0.25">
      <c r="A26" s="5">
        <v>44567</v>
      </c>
      <c r="B26">
        <v>5.62</v>
      </c>
      <c r="C26">
        <v>5.87</v>
      </c>
      <c r="D26">
        <v>5.37</v>
      </c>
      <c r="E26">
        <v>5.68</v>
      </c>
      <c r="F26">
        <v>283513.94</v>
      </c>
      <c r="G26">
        <v>5.68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0.23999999999999844</v>
      </c>
      <c r="Q26">
        <f t="shared" ref="Q26" si="106">F26*P26</f>
        <v>68043.345599999564</v>
      </c>
      <c r="R26">
        <f t="shared" ref="R26" si="107">R27+Q26</f>
        <v>-37721463.088951103</v>
      </c>
      <c r="S26">
        <f t="shared" ref="S26" si="108">R26/100000</f>
        <v>-377.21463088951106</v>
      </c>
      <c r="T26">
        <f t="shared" ref="T26" si="109">S26/1000</f>
        <v>-0.37721463088951107</v>
      </c>
    </row>
    <row r="27" spans="1:20" x14ac:dyDescent="0.25">
      <c r="A27" s="5">
        <v>44566</v>
      </c>
      <c r="B27">
        <v>6.04</v>
      </c>
      <c r="C27">
        <v>6.19</v>
      </c>
      <c r="D27">
        <v>5.31</v>
      </c>
      <c r="E27">
        <v>5.62</v>
      </c>
      <c r="F27">
        <v>365191.55</v>
      </c>
      <c r="G27">
        <v>5.62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-0.29545454545454497</v>
      </c>
      <c r="Q27">
        <f t="shared" ref="Q27" si="111">F27*P27</f>
        <v>-107897.50340909073</v>
      </c>
      <c r="R27">
        <f t="shared" ref="R27" si="112">R28+Q27</f>
        <v>-37789506.434551105</v>
      </c>
      <c r="S27">
        <f t="shared" ref="S27" si="113">R27/100000</f>
        <v>-377.89506434551106</v>
      </c>
      <c r="T27">
        <f t="shared" ref="T27" si="114">S27/1000</f>
        <v>-0.37789506434551107</v>
      </c>
    </row>
    <row r="28" spans="1:20" x14ac:dyDescent="0.25">
      <c r="A28" s="5">
        <v>44565</v>
      </c>
      <c r="B28">
        <v>6.21</v>
      </c>
      <c r="C28">
        <v>6.37</v>
      </c>
      <c r="D28">
        <v>5.93</v>
      </c>
      <c r="E28">
        <v>6.05</v>
      </c>
      <c r="F28">
        <v>460074.92</v>
      </c>
      <c r="G28">
        <v>6.05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-0.45454545454545453</v>
      </c>
      <c r="Q28">
        <f t="shared" ref="Q28" si="116">F28*P28</f>
        <v>-209124.96363636362</v>
      </c>
      <c r="R28">
        <f t="shared" ref="R28" si="117">R29+Q28</f>
        <v>-37681608.931142017</v>
      </c>
      <c r="S28">
        <f t="shared" ref="S28" si="118">R28/100000</f>
        <v>-376.81608931142017</v>
      </c>
      <c r="T28">
        <f t="shared" ref="T28" si="119">S28/1000</f>
        <v>-0.37681608931142019</v>
      </c>
    </row>
    <row r="29" spans="1:20" x14ac:dyDescent="0.25">
      <c r="A29" s="5">
        <v>44564</v>
      </c>
      <c r="B29">
        <v>6.35</v>
      </c>
      <c r="C29">
        <v>6.4</v>
      </c>
      <c r="D29">
        <v>6.09</v>
      </c>
      <c r="E29">
        <v>6.21</v>
      </c>
      <c r="F29">
        <v>206501.77</v>
      </c>
      <c r="G29">
        <v>6.21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-0.22580645161290377</v>
      </c>
      <c r="Q29">
        <f t="shared" ref="Q29" si="121">F29*P29</f>
        <v>-46629.431935483983</v>
      </c>
      <c r="R29">
        <f t="shared" ref="R29" si="122">R30+Q29</f>
        <v>-37472483.967505656</v>
      </c>
      <c r="S29">
        <f t="shared" ref="S29" si="123">R29/100000</f>
        <v>-374.72483967505656</v>
      </c>
      <c r="T29">
        <f t="shared" ref="T29" si="124">S29/1000</f>
        <v>-0.37472483967505654</v>
      </c>
    </row>
    <row r="30" spans="1:20" x14ac:dyDescent="0.25">
      <c r="A30" s="5">
        <v>44563</v>
      </c>
      <c r="B30">
        <v>6.44</v>
      </c>
      <c r="C30">
        <v>6.52</v>
      </c>
      <c r="D30">
        <v>6.31</v>
      </c>
      <c r="E30">
        <v>6.36</v>
      </c>
      <c r="F30">
        <v>217371.2</v>
      </c>
      <c r="G30">
        <v>6.36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-0.52380952380951695</v>
      </c>
      <c r="Q30">
        <f t="shared" ref="Q30" si="126">F30*P30</f>
        <v>-113861.10476190328</v>
      </c>
      <c r="R30">
        <f t="shared" ref="R30" si="127">R31+Q30</f>
        <v>-37425854.535570174</v>
      </c>
      <c r="S30">
        <f t="shared" ref="S30" si="128">R30/100000</f>
        <v>-374.25854535570176</v>
      </c>
      <c r="T30">
        <f t="shared" ref="T30" si="129">S30/1000</f>
        <v>-0.37425854535570174</v>
      </c>
    </row>
    <row r="31" spans="1:20" x14ac:dyDescent="0.25">
      <c r="A31" s="5">
        <v>44562</v>
      </c>
      <c r="B31">
        <v>6.25</v>
      </c>
      <c r="C31">
        <v>6.46</v>
      </c>
      <c r="D31">
        <v>6.23</v>
      </c>
      <c r="E31">
        <v>6.43</v>
      </c>
      <c r="F31">
        <v>139789.1</v>
      </c>
      <c r="G31">
        <v>6.43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0.73913043478260598</v>
      </c>
      <c r="Q31">
        <f t="shared" ref="Q31" si="131">F31*P31</f>
        <v>103322.37826086918</v>
      </c>
      <c r="R31">
        <f t="shared" ref="R31" si="132">R32+Q31</f>
        <v>-37311993.430808268</v>
      </c>
      <c r="S31">
        <f t="shared" ref="S31" si="133">R31/100000</f>
        <v>-373.11993430808269</v>
      </c>
      <c r="T31">
        <f t="shared" ref="T31" si="134">S31/1000</f>
        <v>-0.37311993430808271</v>
      </c>
    </row>
    <row r="32" spans="1:20" x14ac:dyDescent="0.25">
      <c r="A32" s="5">
        <v>44561</v>
      </c>
      <c r="B32">
        <v>6.32</v>
      </c>
      <c r="C32">
        <v>6.55</v>
      </c>
      <c r="D32">
        <v>6.08</v>
      </c>
      <c r="E32">
        <v>6.25</v>
      </c>
      <c r="F32">
        <v>224641.93</v>
      </c>
      <c r="G32">
        <v>6.25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-0.27659574468085096</v>
      </c>
      <c r="Q32">
        <f t="shared" ref="Q32" si="136">F32*P32</f>
        <v>-62135.00191489359</v>
      </c>
      <c r="R32">
        <f t="shared" ref="R32" si="137">R33+Q32</f>
        <v>-37415315.809069134</v>
      </c>
      <c r="S32">
        <f t="shared" ref="S32" si="138">R32/100000</f>
        <v>-374.15315809069136</v>
      </c>
      <c r="T32">
        <f t="shared" ref="T32" si="139">S32/1000</f>
        <v>-0.37415315809069138</v>
      </c>
    </row>
    <row r="33" spans="1:20" x14ac:dyDescent="0.25">
      <c r="A33" s="5">
        <v>44560</v>
      </c>
      <c r="B33">
        <v>6.28</v>
      </c>
      <c r="C33">
        <v>6.38</v>
      </c>
      <c r="D33">
        <v>6.11</v>
      </c>
      <c r="E33">
        <v>6.32</v>
      </c>
      <c r="F33">
        <v>241788.17</v>
      </c>
      <c r="G33">
        <v>6.32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0.5555555555555578</v>
      </c>
      <c r="Q33">
        <f t="shared" ref="Q33" si="141">F33*P33</f>
        <v>134326.76111111167</v>
      </c>
      <c r="R33">
        <f t="shared" ref="R33" si="142">R34+Q33</f>
        <v>-37353180.807154238</v>
      </c>
      <c r="S33">
        <f t="shared" ref="S33" si="143">R33/100000</f>
        <v>-373.5318080715424</v>
      </c>
      <c r="T33">
        <f t="shared" ref="T33" si="144">S33/1000</f>
        <v>-0.3735318080715424</v>
      </c>
    </row>
    <row r="34" spans="1:20" x14ac:dyDescent="0.25">
      <c r="A34" s="5">
        <v>44559</v>
      </c>
      <c r="B34">
        <v>6.32</v>
      </c>
      <c r="C34">
        <v>6.62</v>
      </c>
      <c r="D34">
        <v>6.16</v>
      </c>
      <c r="E34">
        <v>6.27</v>
      </c>
      <c r="F34">
        <v>382930.57</v>
      </c>
      <c r="G34">
        <v>6.27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-0.52173913043478504</v>
      </c>
      <c r="Q34">
        <f t="shared" ref="Q34" si="146">F34*P34</f>
        <v>-199789.8626086966</v>
      </c>
      <c r="R34">
        <f t="shared" ref="R34" si="147">R35+Q34</f>
        <v>-37487507.568265349</v>
      </c>
      <c r="S34">
        <f t="shared" ref="S34" si="148">R34/100000</f>
        <v>-374.87507568265346</v>
      </c>
      <c r="T34">
        <f t="shared" ref="T34" si="149">S34/1000</f>
        <v>-0.37487507568265344</v>
      </c>
    </row>
    <row r="35" spans="1:20" x14ac:dyDescent="0.25">
      <c r="A35" s="5">
        <v>44558</v>
      </c>
      <c r="B35">
        <v>7.15</v>
      </c>
      <c r="C35">
        <v>7.24</v>
      </c>
      <c r="D35">
        <v>6.25</v>
      </c>
      <c r="E35">
        <v>6.32</v>
      </c>
      <c r="F35">
        <v>1049245.48</v>
      </c>
      <c r="G35">
        <v>6.32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-0.85858585858585801</v>
      </c>
      <c r="Q35">
        <f t="shared" ref="Q35" si="151">F35*P35</f>
        <v>-900867.33131313068</v>
      </c>
      <c r="R35">
        <f t="shared" ref="R35" si="152">R36+Q35</f>
        <v>-37287717.705656655</v>
      </c>
      <c r="S35">
        <f t="shared" ref="S35" si="153">R35/100000</f>
        <v>-372.87717705656655</v>
      </c>
      <c r="T35">
        <f t="shared" ref="T35" si="154">S35/1000</f>
        <v>-0.37287717705656653</v>
      </c>
    </row>
    <row r="36" spans="1:20" x14ac:dyDescent="0.25">
      <c r="A36" s="5">
        <v>44557</v>
      </c>
      <c r="B36">
        <v>7.01</v>
      </c>
      <c r="C36">
        <v>7.23</v>
      </c>
      <c r="D36">
        <v>6.91</v>
      </c>
      <c r="E36">
        <v>7.15</v>
      </c>
      <c r="F36">
        <v>486704.13</v>
      </c>
      <c r="G36">
        <v>7.15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0.5</v>
      </c>
      <c r="Q36">
        <f t="shared" ref="Q36" si="156">F36*P36</f>
        <v>243352.065</v>
      </c>
      <c r="R36">
        <f t="shared" ref="R36" si="157">R37+Q36</f>
        <v>-36386850.374343522</v>
      </c>
      <c r="S36">
        <f t="shared" ref="S36" si="158">R36/100000</f>
        <v>-363.86850374343521</v>
      </c>
      <c r="T36">
        <f t="shared" ref="T36" si="159">S36/1000</f>
        <v>-0.36386850374343521</v>
      </c>
    </row>
    <row r="37" spans="1:20" x14ac:dyDescent="0.25">
      <c r="A37" s="5">
        <v>44556</v>
      </c>
      <c r="B37">
        <v>7.1</v>
      </c>
      <c r="C37">
        <v>7.14</v>
      </c>
      <c r="D37">
        <v>6.7</v>
      </c>
      <c r="E37">
        <v>7</v>
      </c>
      <c r="F37">
        <v>386472.49</v>
      </c>
      <c r="G37">
        <v>7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0.36363636363636437</v>
      </c>
      <c r="Q37">
        <f t="shared" ref="Q37" si="161">F37*P37</f>
        <v>140535.45090909119</v>
      </c>
      <c r="R37">
        <f t="shared" ref="R37" si="162">R38+Q37</f>
        <v>-36630202.43934352</v>
      </c>
      <c r="S37">
        <f t="shared" ref="S37" si="163">R37/100000</f>
        <v>-366.3020243934352</v>
      </c>
      <c r="T37">
        <f t="shared" ref="T37" si="164">S37/1000</f>
        <v>-0.36630202439343518</v>
      </c>
    </row>
    <row r="38" spans="1:20" x14ac:dyDescent="0.25">
      <c r="A38" s="5">
        <v>44555</v>
      </c>
      <c r="B38">
        <v>6.75</v>
      </c>
      <c r="C38">
        <v>7.65</v>
      </c>
      <c r="D38">
        <v>6.71</v>
      </c>
      <c r="E38">
        <v>7.1</v>
      </c>
      <c r="F38">
        <v>748801.96</v>
      </c>
      <c r="G38">
        <v>7.1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-0.17021276595744783</v>
      </c>
      <c r="Q38">
        <f t="shared" ref="Q38" si="166">F38*P38</f>
        <v>-127455.65276595821</v>
      </c>
      <c r="R38">
        <f t="shared" ref="R38" si="167">R39+Q38</f>
        <v>-36770737.890252613</v>
      </c>
      <c r="S38">
        <f t="shared" ref="S38" si="168">R38/100000</f>
        <v>-367.7073789025261</v>
      </c>
      <c r="T38">
        <f t="shared" ref="T38" si="169">S38/1000</f>
        <v>-0.36770737890252608</v>
      </c>
    </row>
    <row r="39" spans="1:20" x14ac:dyDescent="0.25">
      <c r="A39" s="5">
        <v>44554</v>
      </c>
      <c r="B39">
        <v>6.58</v>
      </c>
      <c r="C39">
        <v>7.13</v>
      </c>
      <c r="D39">
        <v>6.4</v>
      </c>
      <c r="E39">
        <v>6.75</v>
      </c>
      <c r="F39">
        <v>723892.26</v>
      </c>
      <c r="G39">
        <v>6.75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-4.109589041095927E-2</v>
      </c>
      <c r="Q39">
        <f t="shared" ref="Q39" si="171">F39*P39</f>
        <v>-29748.996986301634</v>
      </c>
      <c r="R39">
        <f t="shared" ref="R39" si="172">R40+Q39</f>
        <v>-36643282.237486653</v>
      </c>
      <c r="S39">
        <f t="shared" ref="S39" si="173">R39/100000</f>
        <v>-366.43282237486653</v>
      </c>
      <c r="T39">
        <f t="shared" ref="T39" si="174">S39/1000</f>
        <v>-0.36643282237486652</v>
      </c>
    </row>
    <row r="40" spans="1:20" x14ac:dyDescent="0.25">
      <c r="A40" s="5">
        <v>44553</v>
      </c>
      <c r="B40">
        <v>6.18</v>
      </c>
      <c r="C40">
        <v>6.66</v>
      </c>
      <c r="D40">
        <v>6.03</v>
      </c>
      <c r="E40">
        <v>6.58</v>
      </c>
      <c r="F40">
        <v>486286.72</v>
      </c>
      <c r="G40">
        <v>6.58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0.74603174603174571</v>
      </c>
      <c r="Q40">
        <f t="shared" ref="Q40" si="176">F40*P40</f>
        <v>362785.33079365065</v>
      </c>
      <c r="R40">
        <f t="shared" ref="R40" si="177">R41+Q40</f>
        <v>-36613533.240500353</v>
      </c>
      <c r="S40">
        <f t="shared" ref="S40" si="178">R40/100000</f>
        <v>-366.13533240500351</v>
      </c>
      <c r="T40">
        <f t="shared" ref="T40" si="179">S40/1000</f>
        <v>-0.36613533240500351</v>
      </c>
    </row>
    <row r="41" spans="1:20" x14ac:dyDescent="0.25">
      <c r="A41" s="5">
        <v>44552</v>
      </c>
      <c r="B41">
        <v>6.17</v>
      </c>
      <c r="C41">
        <v>6.5</v>
      </c>
      <c r="D41">
        <v>6.08</v>
      </c>
      <c r="E41">
        <v>6.18</v>
      </c>
      <c r="F41">
        <v>402895.83</v>
      </c>
      <c r="G41">
        <v>6.18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-0.52380952380952539</v>
      </c>
      <c r="Q41">
        <f t="shared" ref="Q41" si="181">F41*P41</f>
        <v>-211040.67285714351</v>
      </c>
      <c r="R41">
        <f t="shared" ref="R41" si="182">R42+Q41</f>
        <v>-36976318.571294002</v>
      </c>
      <c r="S41">
        <f t="shared" ref="S41" si="183">R41/100000</f>
        <v>-369.76318571294001</v>
      </c>
      <c r="T41">
        <f t="shared" ref="T41" si="184">S41/1000</f>
        <v>-0.36976318571294003</v>
      </c>
    </row>
    <row r="42" spans="1:20" x14ac:dyDescent="0.25">
      <c r="A42" s="5">
        <v>44551</v>
      </c>
      <c r="B42">
        <v>6.05</v>
      </c>
      <c r="C42">
        <v>6.31</v>
      </c>
      <c r="D42">
        <v>5.95</v>
      </c>
      <c r="E42">
        <v>6.17</v>
      </c>
      <c r="F42">
        <v>347139.9</v>
      </c>
      <c r="G42">
        <v>6.17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0.22222222222222276</v>
      </c>
      <c r="Q42">
        <f t="shared" ref="Q42" si="186">F42*P42</f>
        <v>77142.200000000201</v>
      </c>
      <c r="R42">
        <f t="shared" ref="R42" si="187">R43+Q42</f>
        <v>-36765277.898436859</v>
      </c>
      <c r="S42">
        <f t="shared" ref="S42" si="188">R42/100000</f>
        <v>-367.65277898436858</v>
      </c>
      <c r="T42">
        <f t="shared" ref="T42" si="189">S42/1000</f>
        <v>-0.3676527789843686</v>
      </c>
    </row>
    <row r="43" spans="1:20" x14ac:dyDescent="0.25">
      <c r="A43" s="5">
        <v>44550</v>
      </c>
      <c r="B43">
        <v>6.07</v>
      </c>
      <c r="C43">
        <v>6.31</v>
      </c>
      <c r="D43">
        <v>5.71</v>
      </c>
      <c r="E43">
        <v>6.04</v>
      </c>
      <c r="F43">
        <v>502246.71</v>
      </c>
      <c r="G43">
        <v>6.04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0.10000000000000089</v>
      </c>
      <c r="Q43">
        <f t="shared" ref="Q43" si="191">F43*P43</f>
        <v>50224.671000000453</v>
      </c>
      <c r="R43">
        <f t="shared" ref="R43" si="192">R44+Q43</f>
        <v>-36842420.098436862</v>
      </c>
      <c r="S43">
        <f t="shared" ref="S43" si="193">R43/100000</f>
        <v>-368.42420098436861</v>
      </c>
      <c r="T43">
        <f t="shared" ref="T43" si="194">S43/1000</f>
        <v>-0.36842420098436862</v>
      </c>
    </row>
    <row r="44" spans="1:20" x14ac:dyDescent="0.25">
      <c r="A44" s="5">
        <v>44549</v>
      </c>
      <c r="B44">
        <v>6.26</v>
      </c>
      <c r="C44">
        <v>6.42</v>
      </c>
      <c r="D44">
        <v>6.07</v>
      </c>
      <c r="E44">
        <v>6.08</v>
      </c>
      <c r="F44">
        <v>416251.37</v>
      </c>
      <c r="G44">
        <v>6.08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-0.94285714285714406</v>
      </c>
      <c r="Q44">
        <f t="shared" ref="Q44" si="196">F44*P44</f>
        <v>-392465.57742857194</v>
      </c>
      <c r="R44">
        <f t="shared" ref="R44" si="197">R45+Q44</f>
        <v>-36892644.769436866</v>
      </c>
      <c r="S44">
        <f t="shared" ref="S44" si="198">R44/100000</f>
        <v>-368.92644769436868</v>
      </c>
      <c r="T44">
        <f t="shared" ref="T44" si="199">S44/1000</f>
        <v>-0.36892644769436866</v>
      </c>
    </row>
    <row r="45" spans="1:20" x14ac:dyDescent="0.25">
      <c r="A45" s="5">
        <v>44548</v>
      </c>
      <c r="B45">
        <v>5.88</v>
      </c>
      <c r="C45">
        <v>7.59</v>
      </c>
      <c r="D45">
        <v>5.8</v>
      </c>
      <c r="E45">
        <v>6.27</v>
      </c>
      <c r="F45">
        <v>1957605.04</v>
      </c>
      <c r="G45">
        <v>6.27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-0.474860335195531</v>
      </c>
      <c r="Q45">
        <f t="shared" ref="Q45" si="201">F45*P45</f>
        <v>-929588.98547486088</v>
      </c>
      <c r="R45">
        <f t="shared" ref="R45" si="202">R46+Q45</f>
        <v>-36500179.192008294</v>
      </c>
      <c r="S45">
        <f t="shared" ref="S45" si="203">R45/100000</f>
        <v>-365.00179192008295</v>
      </c>
      <c r="T45">
        <f t="shared" ref="T45" si="204">S45/1000</f>
        <v>-0.36500179192008297</v>
      </c>
    </row>
    <row r="46" spans="1:20" x14ac:dyDescent="0.25">
      <c r="A46" s="5">
        <v>44547</v>
      </c>
      <c r="B46">
        <v>5.96</v>
      </c>
      <c r="C46">
        <v>6.15</v>
      </c>
      <c r="D46">
        <v>5.57</v>
      </c>
      <c r="E46">
        <v>5.89</v>
      </c>
      <c r="F46">
        <v>374936.23</v>
      </c>
      <c r="G46">
        <v>5.89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0.10344827586206674</v>
      </c>
      <c r="Q46">
        <f t="shared" ref="Q46" si="206">F46*P46</f>
        <v>38786.506551723302</v>
      </c>
      <c r="R46">
        <f t="shared" ref="R46" si="207">R47+Q46</f>
        <v>-35570590.206533432</v>
      </c>
      <c r="S46">
        <f t="shared" ref="S46" si="208">R46/100000</f>
        <v>-355.70590206533433</v>
      </c>
      <c r="T46">
        <f t="shared" ref="T46" si="209">S46/1000</f>
        <v>-0.35570590206533431</v>
      </c>
    </row>
    <row r="47" spans="1:20" x14ac:dyDescent="0.25">
      <c r="A47" s="5">
        <v>44546</v>
      </c>
      <c r="B47">
        <v>5.94</v>
      </c>
      <c r="C47">
        <v>6.22</v>
      </c>
      <c r="D47">
        <v>5.83</v>
      </c>
      <c r="E47">
        <v>5.97</v>
      </c>
      <c r="F47">
        <v>294657.62</v>
      </c>
      <c r="G47">
        <v>5.97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-0.2820512820512831</v>
      </c>
      <c r="Q47">
        <f t="shared" ref="Q47" si="211">F47*P47</f>
        <v>-83108.559487179795</v>
      </c>
      <c r="R47">
        <f t="shared" ref="R47" si="212">R48+Q47</f>
        <v>-35609376.713085152</v>
      </c>
      <c r="S47">
        <f t="shared" ref="S47" si="213">R47/100000</f>
        <v>-356.09376713085152</v>
      </c>
      <c r="T47">
        <f t="shared" ref="T47" si="214">S47/1000</f>
        <v>-0.3560937671308515</v>
      </c>
    </row>
    <row r="48" spans="1:20" x14ac:dyDescent="0.25">
      <c r="A48" s="5">
        <v>44545</v>
      </c>
      <c r="B48">
        <v>5.68</v>
      </c>
      <c r="C48">
        <v>6</v>
      </c>
      <c r="D48">
        <v>5.4</v>
      </c>
      <c r="E48">
        <v>5.93</v>
      </c>
      <c r="F48">
        <v>453566.21</v>
      </c>
      <c r="G48">
        <v>5.93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0.76666666666666561</v>
      </c>
      <c r="Q48">
        <f t="shared" ref="Q48" si="216">F48*P48</f>
        <v>347734.09433333285</v>
      </c>
      <c r="R48">
        <f t="shared" ref="R48" si="217">R49+Q48</f>
        <v>-35526268.153597973</v>
      </c>
      <c r="S48">
        <f t="shared" ref="S48" si="218">R48/100000</f>
        <v>-355.26268153597971</v>
      </c>
      <c r="T48">
        <f t="shared" ref="T48" si="219">S48/1000</f>
        <v>-0.35526268153597973</v>
      </c>
    </row>
    <row r="49" spans="1:20" x14ac:dyDescent="0.25">
      <c r="A49" s="5">
        <v>44544</v>
      </c>
      <c r="B49">
        <v>5.64</v>
      </c>
      <c r="C49">
        <v>5.82</v>
      </c>
      <c r="D49">
        <v>5.45</v>
      </c>
      <c r="E49">
        <v>5.69</v>
      </c>
      <c r="F49">
        <v>582501.1</v>
      </c>
      <c r="G49">
        <v>5.69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0.29729729729729809</v>
      </c>
      <c r="Q49">
        <f t="shared" ref="Q49" si="221">F49*P49</f>
        <v>173176.00270270315</v>
      </c>
      <c r="R49">
        <f t="shared" ref="R49" si="222">R50+Q49</f>
        <v>-35874002.247931309</v>
      </c>
      <c r="S49">
        <f t="shared" ref="S49" si="223">R49/100000</f>
        <v>-358.7400224793131</v>
      </c>
      <c r="T49">
        <f t="shared" ref="T49" si="224">S49/1000</f>
        <v>-0.35874002247931308</v>
      </c>
    </row>
    <row r="50" spans="1:20" x14ac:dyDescent="0.25">
      <c r="A50" s="5">
        <v>44543</v>
      </c>
      <c r="B50">
        <v>6.4</v>
      </c>
      <c r="C50">
        <v>6.44</v>
      </c>
      <c r="D50">
        <v>5.44</v>
      </c>
      <c r="E50">
        <v>5.64</v>
      </c>
      <c r="F50">
        <v>578335.63699999999</v>
      </c>
      <c r="G50">
        <v>5.64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-0.60000000000000142</v>
      </c>
      <c r="Q50">
        <f t="shared" ref="Q50" si="226">F50*P50</f>
        <v>-347001.38220000081</v>
      </c>
      <c r="R50">
        <f t="shared" ref="R50" si="227">R51+Q50</f>
        <v>-36047178.250634015</v>
      </c>
      <c r="S50">
        <f t="shared" ref="S50" si="228">R50/100000</f>
        <v>-360.47178250634016</v>
      </c>
      <c r="T50">
        <f t="shared" ref="T50" si="229">S50/1000</f>
        <v>-0.36047178250634015</v>
      </c>
    </row>
    <row r="51" spans="1:20" x14ac:dyDescent="0.25">
      <c r="A51" s="5">
        <v>44542</v>
      </c>
      <c r="B51">
        <v>6.24</v>
      </c>
      <c r="C51">
        <v>6.5</v>
      </c>
      <c r="D51">
        <v>6.15</v>
      </c>
      <c r="E51">
        <v>6.4</v>
      </c>
      <c r="F51">
        <v>369862.07</v>
      </c>
      <c r="G51">
        <v>6.4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0.42857142857143005</v>
      </c>
      <c r="Q51">
        <f t="shared" ref="Q51" si="231">F51*P51</f>
        <v>158512.31571428626</v>
      </c>
      <c r="R51">
        <f t="shared" ref="R51" si="232">R52+Q51</f>
        <v>-35700176.868434012</v>
      </c>
      <c r="S51">
        <f t="shared" ref="S51" si="233">R51/100000</f>
        <v>-357.00176868434011</v>
      </c>
      <c r="T51">
        <f t="shared" ref="T51" si="234">S51/1000</f>
        <v>-0.35700176868434008</v>
      </c>
    </row>
    <row r="52" spans="1:20" x14ac:dyDescent="0.25">
      <c r="A52" s="5">
        <v>44541</v>
      </c>
      <c r="B52">
        <v>6.04</v>
      </c>
      <c r="C52">
        <v>6.15</v>
      </c>
      <c r="D52">
        <v>5.9</v>
      </c>
      <c r="E52">
        <v>6.1</v>
      </c>
      <c r="F52">
        <v>23986.22</v>
      </c>
      <c r="G52">
        <v>6.1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0.59999999999999432</v>
      </c>
      <c r="Q52">
        <f t="shared" ref="Q52" si="236">F52*P52</f>
        <v>14391.731999999864</v>
      </c>
      <c r="R52">
        <f t="shared" ref="R52" si="237">R53+Q52</f>
        <v>-35858689.184148297</v>
      </c>
      <c r="S52">
        <f t="shared" ref="S52" si="238">R52/100000</f>
        <v>-358.58689184148295</v>
      </c>
      <c r="T52">
        <f t="shared" ref="T52" si="239">S52/1000</f>
        <v>-0.35858689184148296</v>
      </c>
    </row>
    <row r="53" spans="1:20" x14ac:dyDescent="0.25">
      <c r="A53" s="5">
        <v>44540</v>
      </c>
      <c r="B53">
        <v>6.22</v>
      </c>
      <c r="C53">
        <v>6.56</v>
      </c>
      <c r="D53">
        <v>6</v>
      </c>
      <c r="E53">
        <v>6.03</v>
      </c>
      <c r="F53">
        <v>481215.77</v>
      </c>
      <c r="G53">
        <v>6.03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-0.89285714285714191</v>
      </c>
      <c r="Q53">
        <f t="shared" ref="Q53" si="241">F53*P53</f>
        <v>-429656.93749999953</v>
      </c>
      <c r="R53">
        <f t="shared" ref="R53" si="242">R54+Q53</f>
        <v>-35873080.916148297</v>
      </c>
      <c r="S53">
        <f t="shared" ref="S53" si="243">R53/100000</f>
        <v>-358.73080916148297</v>
      </c>
      <c r="T53">
        <f t="shared" ref="T53" si="244">S53/1000</f>
        <v>-0.35873080916148298</v>
      </c>
    </row>
    <row r="54" spans="1:20" x14ac:dyDescent="0.25">
      <c r="A54" s="5">
        <v>44539</v>
      </c>
      <c r="B54">
        <v>6.85</v>
      </c>
      <c r="C54">
        <v>6.94</v>
      </c>
      <c r="D54">
        <v>6.21</v>
      </c>
      <c r="E54">
        <v>6.22</v>
      </c>
      <c r="F54">
        <v>585791.96</v>
      </c>
      <c r="G54">
        <v>6.22</v>
      </c>
      <c r="L54" t="s">
        <v>8</v>
      </c>
      <c r="M54" t="s">
        <v>7</v>
      </c>
      <c r="N54" t="s">
        <v>7</v>
      </c>
      <c r="P54">
        <f t="shared" ref="P54" si="245">IF(C54=D54,0,((E54-D54)-(C54-E54))/(C54-D54))</f>
        <v>-0.97260273972602795</v>
      </c>
      <c r="Q54">
        <f t="shared" ref="Q54" si="246">F54*P54</f>
        <v>-569742.86520547979</v>
      </c>
      <c r="R54">
        <f t="shared" ref="R54" si="247">R55+Q54</f>
        <v>-35443423.978648297</v>
      </c>
      <c r="S54">
        <f t="shared" ref="S54" si="248">R54/100000</f>
        <v>-354.43423978648298</v>
      </c>
      <c r="T54">
        <f t="shared" ref="T54" si="249">S54/1000</f>
        <v>-0.35443423978648297</v>
      </c>
    </row>
    <row r="55" spans="1:20" x14ac:dyDescent="0.25">
      <c r="A55" s="5">
        <v>44538</v>
      </c>
      <c r="B55">
        <v>6.9</v>
      </c>
      <c r="C55">
        <v>7.17</v>
      </c>
      <c r="D55">
        <v>6.26</v>
      </c>
      <c r="E55">
        <v>6.85</v>
      </c>
      <c r="F55">
        <v>784454.3</v>
      </c>
      <c r="G55">
        <v>6.85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0.2967032967032962</v>
      </c>
      <c r="Q55">
        <f t="shared" ref="Q55" si="251">F55*P55</f>
        <v>232750.17692307653</v>
      </c>
      <c r="R55">
        <f t="shared" ref="R55" si="252">R56+Q55</f>
        <v>-34873681.113442816</v>
      </c>
      <c r="S55">
        <f t="shared" ref="S55" si="253">R55/100000</f>
        <v>-348.73681113442814</v>
      </c>
      <c r="T55">
        <f t="shared" ref="T55" si="254">S55/1000</f>
        <v>-0.34873681113442812</v>
      </c>
    </row>
    <row r="56" spans="1:20" x14ac:dyDescent="0.25">
      <c r="A56" s="5">
        <v>44537</v>
      </c>
      <c r="B56">
        <v>6.85</v>
      </c>
      <c r="C56">
        <v>7.89</v>
      </c>
      <c r="D56">
        <v>6.63</v>
      </c>
      <c r="E56">
        <v>6.89</v>
      </c>
      <c r="F56">
        <v>1254710.8</v>
      </c>
      <c r="G56">
        <v>6.89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-0.58730158730158755</v>
      </c>
      <c r="Q56">
        <f t="shared" ref="Q56" si="256">F56*P56</f>
        <v>-736893.6444444448</v>
      </c>
      <c r="R56">
        <f t="shared" ref="R56" si="257">R57+Q56</f>
        <v>-35106431.29036589</v>
      </c>
      <c r="S56">
        <f t="shared" ref="S56" si="258">R56/100000</f>
        <v>-351.0643129036589</v>
      </c>
      <c r="T56">
        <f t="shared" ref="T56" si="259">S56/1000</f>
        <v>-0.35106431290365891</v>
      </c>
    </row>
    <row r="57" spans="1:20" x14ac:dyDescent="0.25">
      <c r="A57" s="5">
        <v>44536</v>
      </c>
      <c r="B57">
        <v>6.4</v>
      </c>
      <c r="C57">
        <v>6.96</v>
      </c>
      <c r="D57">
        <v>5.8</v>
      </c>
      <c r="E57">
        <v>6.85</v>
      </c>
      <c r="F57">
        <v>1101899.3130000001</v>
      </c>
      <c r="G57">
        <v>6.85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0.81034482758620641</v>
      </c>
      <c r="Q57">
        <f t="shared" ref="Q57" si="261">F57*P57</f>
        <v>892918.40881034441</v>
      </c>
      <c r="R57">
        <f t="shared" ref="R57" si="262">R58+Q57</f>
        <v>-34369537.645921446</v>
      </c>
      <c r="S57">
        <f t="shared" ref="S57" si="263">R57/100000</f>
        <v>-343.69537645921446</v>
      </c>
      <c r="T57">
        <f t="shared" ref="T57" si="264">S57/1000</f>
        <v>-0.34369537645921444</v>
      </c>
    </row>
    <row r="58" spans="1:20" x14ac:dyDescent="0.25">
      <c r="A58" s="5">
        <v>44535</v>
      </c>
      <c r="B58">
        <v>7.09</v>
      </c>
      <c r="C58">
        <v>7.4</v>
      </c>
      <c r="D58">
        <v>6.3</v>
      </c>
      <c r="E58">
        <v>6.39</v>
      </c>
      <c r="F58">
        <v>1370323.33</v>
      </c>
      <c r="G58">
        <v>6.39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-0.83636363636363675</v>
      </c>
      <c r="Q58">
        <f t="shared" ref="Q58" si="266">F58*P58</f>
        <v>-1146088.6032727279</v>
      </c>
      <c r="R58">
        <f t="shared" ref="R58" si="267">R59+Q58</f>
        <v>-35262456.054731794</v>
      </c>
      <c r="S58">
        <f t="shared" ref="S58" si="268">R58/100000</f>
        <v>-352.62456054731791</v>
      </c>
      <c r="T58">
        <f t="shared" ref="T58" si="269">S58/1000</f>
        <v>-0.35262456054731789</v>
      </c>
    </row>
    <row r="59" spans="1:20" x14ac:dyDescent="0.25">
      <c r="A59" s="5">
        <v>44534</v>
      </c>
      <c r="B59">
        <v>9</v>
      </c>
      <c r="C59">
        <v>9</v>
      </c>
      <c r="D59">
        <v>6.3</v>
      </c>
      <c r="E59">
        <v>7.1</v>
      </c>
      <c r="F59">
        <v>2606949.96</v>
      </c>
      <c r="G59">
        <v>7.1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-0.40740740740740755</v>
      </c>
      <c r="Q59">
        <f t="shared" ref="Q59" si="271">F59*P59</f>
        <v>-1062090.7244444448</v>
      </c>
      <c r="R59">
        <f t="shared" ref="R59" si="272">R60+Q59</f>
        <v>-34116367.451459065</v>
      </c>
      <c r="S59">
        <f t="shared" ref="S59" si="273">R59/100000</f>
        <v>-341.16367451459064</v>
      </c>
      <c r="T59">
        <f t="shared" ref="T59" si="274">S59/1000</f>
        <v>-0.34116367451459062</v>
      </c>
    </row>
    <row r="60" spans="1:20" x14ac:dyDescent="0.25">
      <c r="A60" s="5">
        <v>44533</v>
      </c>
      <c r="B60">
        <v>9.24</v>
      </c>
      <c r="C60">
        <v>10.119999999999999</v>
      </c>
      <c r="D60">
        <v>8.61</v>
      </c>
      <c r="E60">
        <v>8.9700000000000006</v>
      </c>
      <c r="F60">
        <v>827033.31</v>
      </c>
      <c r="G60">
        <v>8.9700000000000006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-0.52317880794701821</v>
      </c>
      <c r="Q60">
        <f t="shared" ref="Q60" si="276">F60*P60</f>
        <v>-432686.3012582768</v>
      </c>
      <c r="R60">
        <f t="shared" ref="R60" si="277">R61+Q60</f>
        <v>-33054276.727014624</v>
      </c>
      <c r="S60">
        <f t="shared" ref="S60" si="278">R60/100000</f>
        <v>-330.54276727014621</v>
      </c>
      <c r="T60">
        <f t="shared" ref="T60" si="279">S60/1000</f>
        <v>-0.3305427672701462</v>
      </c>
    </row>
    <row r="61" spans="1:20" x14ac:dyDescent="0.25">
      <c r="A61" s="5">
        <v>44532</v>
      </c>
      <c r="B61">
        <v>9.86</v>
      </c>
      <c r="C61">
        <v>9.8800000000000008</v>
      </c>
      <c r="D61">
        <v>9.1199999999999992</v>
      </c>
      <c r="E61">
        <v>9.26</v>
      </c>
      <c r="F61">
        <v>680311.22</v>
      </c>
      <c r="G61">
        <v>9.26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-0.63157894736842035</v>
      </c>
      <c r="Q61">
        <f t="shared" ref="Q61" si="281">F61*P61</f>
        <v>-429670.24421052582</v>
      </c>
      <c r="R61">
        <f t="shared" ref="R61" si="282">R62+Q61</f>
        <v>-32621590.425756346</v>
      </c>
      <c r="S61">
        <f t="shared" ref="S61" si="283">R61/100000</f>
        <v>-326.21590425756347</v>
      </c>
      <c r="T61">
        <f t="shared" ref="T61" si="284">S61/1000</f>
        <v>-0.32621590425756347</v>
      </c>
    </row>
    <row r="62" spans="1:20" x14ac:dyDescent="0.25">
      <c r="A62" s="5">
        <v>44531</v>
      </c>
      <c r="B62">
        <v>9.7799999999999994</v>
      </c>
      <c r="C62">
        <v>10.77</v>
      </c>
      <c r="D62">
        <v>9.6199999999999992</v>
      </c>
      <c r="E62">
        <v>9.8699999999999992</v>
      </c>
      <c r="F62">
        <v>896816.6</v>
      </c>
      <c r="G62">
        <v>9.8699999999999992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-0.565217391304348</v>
      </c>
      <c r="Q62">
        <f t="shared" ref="Q62" si="286">F62*P62</f>
        <v>-506896.33913043491</v>
      </c>
      <c r="R62">
        <f t="shared" ref="R62" si="287">R63+Q62</f>
        <v>-32191920.18154582</v>
      </c>
      <c r="S62">
        <f t="shared" ref="S62" si="288">R62/100000</f>
        <v>-321.91920181545822</v>
      </c>
      <c r="T62">
        <f t="shared" ref="T62" si="289">S62/1000</f>
        <v>-0.32191920181545824</v>
      </c>
    </row>
    <row r="63" spans="1:20" x14ac:dyDescent="0.25">
      <c r="A63" s="5">
        <v>44530</v>
      </c>
      <c r="B63">
        <v>10.19</v>
      </c>
      <c r="C63">
        <v>10.39</v>
      </c>
      <c r="D63">
        <v>9.6</v>
      </c>
      <c r="E63">
        <v>9.8000000000000007</v>
      </c>
      <c r="F63">
        <v>684697.79</v>
      </c>
      <c r="G63">
        <v>9.8000000000000007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-0.49367088607594728</v>
      </c>
      <c r="Q63">
        <f t="shared" ref="Q63" si="291">F63*P63</f>
        <v>-338015.36468354287</v>
      </c>
      <c r="R63">
        <f t="shared" ref="R63" si="292">R64+Q63</f>
        <v>-31685023.842415385</v>
      </c>
      <c r="S63">
        <f t="shared" ref="S63" si="293">R63/100000</f>
        <v>-316.85023842415387</v>
      </c>
      <c r="T63">
        <f t="shared" ref="T63" si="294">S63/1000</f>
        <v>-0.31685023842415388</v>
      </c>
    </row>
    <row r="64" spans="1:20" x14ac:dyDescent="0.25">
      <c r="A64" s="5">
        <v>44529</v>
      </c>
      <c r="B64">
        <v>9.61</v>
      </c>
      <c r="C64">
        <v>10.79</v>
      </c>
      <c r="D64">
        <v>9.31</v>
      </c>
      <c r="E64">
        <v>10.19</v>
      </c>
      <c r="F64">
        <v>1119165.19</v>
      </c>
      <c r="G64">
        <v>10.19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0.18918918918918892</v>
      </c>
      <c r="Q64">
        <f t="shared" ref="Q64" si="296">F64*P64</f>
        <v>211733.95486486456</v>
      </c>
      <c r="R64">
        <f t="shared" ref="R64" si="297">R65+Q64</f>
        <v>-31347008.477731843</v>
      </c>
      <c r="S64">
        <f t="shared" ref="S64" si="298">R64/100000</f>
        <v>-313.47008477731845</v>
      </c>
      <c r="T64">
        <f t="shared" ref="T64" si="299">S64/1000</f>
        <v>-0.31347008477731847</v>
      </c>
    </row>
    <row r="65" spans="1:20" x14ac:dyDescent="0.25">
      <c r="A65" s="5">
        <v>44528</v>
      </c>
      <c r="B65">
        <v>9.59</v>
      </c>
      <c r="C65">
        <v>9.7100000000000009</v>
      </c>
      <c r="D65">
        <v>8.83</v>
      </c>
      <c r="E65">
        <v>9.61</v>
      </c>
      <c r="F65">
        <v>1044655.95</v>
      </c>
      <c r="G65">
        <v>9.61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0.77272727272726971</v>
      </c>
      <c r="Q65">
        <f t="shared" ref="Q65" si="301">F65*P65</f>
        <v>807234.14318181504</v>
      </c>
      <c r="R65">
        <f t="shared" ref="R65" si="302">R66+Q65</f>
        <v>-31558742.432596706</v>
      </c>
      <c r="S65">
        <f t="shared" ref="S65" si="303">R65/100000</f>
        <v>-315.58742432596705</v>
      </c>
      <c r="T65">
        <f t="shared" ref="T65" si="304">S65/1000</f>
        <v>-0.31558742432596704</v>
      </c>
    </row>
    <row r="66" spans="1:20" x14ac:dyDescent="0.25">
      <c r="A66" s="5">
        <v>44527</v>
      </c>
      <c r="B66">
        <v>10.5</v>
      </c>
      <c r="C66">
        <v>10.94</v>
      </c>
      <c r="D66">
        <v>9.3800000000000008</v>
      </c>
      <c r="E66">
        <v>9.56</v>
      </c>
      <c r="F66">
        <v>1672212.75</v>
      </c>
      <c r="G66">
        <v>9.56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-0.76923076923076938</v>
      </c>
      <c r="Q66">
        <f t="shared" ref="Q66" si="306">F66*P66</f>
        <v>-1286317.5000000002</v>
      </c>
      <c r="R66">
        <f t="shared" ref="R66" si="307">R67+Q66</f>
        <v>-32365976.575778522</v>
      </c>
      <c r="S66">
        <f t="shared" ref="S66" si="308">R66/100000</f>
        <v>-323.65976575778524</v>
      </c>
      <c r="T66">
        <f t="shared" ref="T66" si="309">S66/1000</f>
        <v>-0.32365976575778521</v>
      </c>
    </row>
    <row r="67" spans="1:20" x14ac:dyDescent="0.25">
      <c r="A67" s="5">
        <v>44526</v>
      </c>
      <c r="B67">
        <v>11.91</v>
      </c>
      <c r="C67">
        <v>12.26</v>
      </c>
      <c r="D67">
        <v>10.37</v>
      </c>
      <c r="E67">
        <v>10.5</v>
      </c>
      <c r="F67">
        <v>1227863.6599999999</v>
      </c>
      <c r="G67">
        <v>10.5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-0.86243386243386166</v>
      </c>
      <c r="Q67">
        <f t="shared" ref="Q67" si="311">F67*P67</f>
        <v>-1058951.1988359778</v>
      </c>
      <c r="R67">
        <f t="shared" ref="R67" si="312">R68+Q67</f>
        <v>-31079659.075778522</v>
      </c>
      <c r="S67">
        <f t="shared" ref="S67" si="313">R67/100000</f>
        <v>-310.79659075778522</v>
      </c>
      <c r="T67">
        <f t="shared" ref="T67" si="314">S67/1000</f>
        <v>-0.31079659075778521</v>
      </c>
    </row>
    <row r="68" spans="1:20" x14ac:dyDescent="0.25">
      <c r="A68" s="5">
        <v>44525</v>
      </c>
      <c r="B68">
        <v>12.61</v>
      </c>
      <c r="C68">
        <v>14.44</v>
      </c>
      <c r="D68">
        <v>11.78</v>
      </c>
      <c r="E68">
        <v>11.91</v>
      </c>
      <c r="F68">
        <v>2351114.716</v>
      </c>
      <c r="G68">
        <v>11.91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-0.90225563909774376</v>
      </c>
      <c r="Q68">
        <f t="shared" ref="Q68" si="316">F68*P68</f>
        <v>-2121306.5106766904</v>
      </c>
      <c r="R68">
        <f t="shared" ref="R68" si="317">R69+Q68</f>
        <v>-30020707.876942545</v>
      </c>
      <c r="S68">
        <f t="shared" ref="S68" si="318">R68/100000</f>
        <v>-300.20707876942544</v>
      </c>
      <c r="T68">
        <f t="shared" ref="T68" si="319">S68/1000</f>
        <v>-0.30020707876942543</v>
      </c>
    </row>
    <row r="69" spans="1:20" x14ac:dyDescent="0.25">
      <c r="A69" s="5">
        <v>44524</v>
      </c>
      <c r="B69">
        <v>11.2</v>
      </c>
      <c r="C69">
        <v>11.42</v>
      </c>
      <c r="D69">
        <v>10.57</v>
      </c>
      <c r="E69">
        <v>11.15</v>
      </c>
      <c r="F69">
        <v>377886.33</v>
      </c>
      <c r="G69">
        <v>11.15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0.36470588235294193</v>
      </c>
      <c r="Q69">
        <f t="shared" ref="Q69" si="321">F69*P69</f>
        <v>137817.36741176501</v>
      </c>
      <c r="R69">
        <f t="shared" ref="R69" si="322">R70+Q69</f>
        <v>-27899401.366265856</v>
      </c>
      <c r="S69">
        <f t="shared" ref="S69" si="323">R69/100000</f>
        <v>-278.99401366265857</v>
      </c>
      <c r="T69">
        <f t="shared" ref="T69" si="324">S69/1000</f>
        <v>-0.27899401366265858</v>
      </c>
    </row>
    <row r="70" spans="1:20" x14ac:dyDescent="0.25">
      <c r="A70" s="5">
        <v>44523</v>
      </c>
      <c r="B70">
        <v>9.85</v>
      </c>
      <c r="C70">
        <v>12.3</v>
      </c>
      <c r="D70">
        <v>9.6999999999999993</v>
      </c>
      <c r="E70">
        <v>11.2</v>
      </c>
      <c r="F70">
        <v>2149610.19</v>
      </c>
      <c r="G70">
        <v>11.2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0.15384615384615322</v>
      </c>
      <c r="Q70">
        <f t="shared" ref="Q70" si="326">F70*P70</f>
        <v>330709.25999999861</v>
      </c>
      <c r="R70">
        <f t="shared" ref="R70" si="327">R71+Q70</f>
        <v>-28037218.733677622</v>
      </c>
      <c r="S70">
        <f t="shared" ref="S70" si="328">R70/100000</f>
        <v>-280.37218733677622</v>
      </c>
      <c r="T70">
        <f t="shared" ref="T70" si="329">S70/1000</f>
        <v>-0.28037218733677621</v>
      </c>
    </row>
    <row r="71" spans="1:20" x14ac:dyDescent="0.25">
      <c r="A71" s="5">
        <v>44522</v>
      </c>
      <c r="B71">
        <v>10.71</v>
      </c>
      <c r="C71">
        <v>10.97</v>
      </c>
      <c r="D71">
        <v>9.76</v>
      </c>
      <c r="E71">
        <v>9.85</v>
      </c>
      <c r="F71">
        <v>1774064.98</v>
      </c>
      <c r="G71">
        <v>9.85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-0.85123966942148799</v>
      </c>
      <c r="Q71">
        <f t="shared" ref="Q71" si="331">F71*P71</f>
        <v>-1510154.4871074387</v>
      </c>
      <c r="R71">
        <f t="shared" ref="R71" si="332">R72+Q71</f>
        <v>-28367927.99367762</v>
      </c>
      <c r="S71">
        <f t="shared" ref="S71" si="333">R71/100000</f>
        <v>-283.6792799367762</v>
      </c>
      <c r="T71">
        <f t="shared" ref="T71" si="334">S71/1000</f>
        <v>-0.28367927993677622</v>
      </c>
    </row>
    <row r="72" spans="1:20" x14ac:dyDescent="0.25">
      <c r="A72" s="5">
        <v>44521</v>
      </c>
      <c r="B72">
        <v>12.05</v>
      </c>
      <c r="C72">
        <v>14</v>
      </c>
      <c r="D72">
        <v>10.51</v>
      </c>
      <c r="E72">
        <v>10.69</v>
      </c>
      <c r="F72">
        <v>5434624.7539999997</v>
      </c>
      <c r="G72">
        <v>10.69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-0.89684813753581683</v>
      </c>
      <c r="Q72">
        <f t="shared" ref="Q72" si="336">F72*P72</f>
        <v>-4874033.088830946</v>
      </c>
      <c r="R72">
        <f t="shared" ref="R72" si="337">R73+Q72</f>
        <v>-26857773.506570183</v>
      </c>
      <c r="S72">
        <f t="shared" ref="S72" si="338">R72/100000</f>
        <v>-268.5777350657018</v>
      </c>
      <c r="T72">
        <f t="shared" ref="T72" si="339">S72/1000</f>
        <v>-0.26857773506570182</v>
      </c>
    </row>
    <row r="73" spans="1:20" x14ac:dyDescent="0.25">
      <c r="A73" s="5">
        <v>44520</v>
      </c>
      <c r="B73">
        <v>8.68</v>
      </c>
      <c r="C73">
        <v>13</v>
      </c>
      <c r="D73">
        <v>8.5399999999999991</v>
      </c>
      <c r="E73">
        <v>12.05</v>
      </c>
      <c r="F73">
        <v>4462538.18</v>
      </c>
      <c r="G73">
        <v>12.05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0.57399103139013496</v>
      </c>
      <c r="Q73">
        <f t="shared" ref="Q73" si="341">F73*P73</f>
        <v>2561456.8925560554</v>
      </c>
      <c r="R73">
        <f t="shared" ref="R73" si="342">R74+Q73</f>
        <v>-21983740.417739239</v>
      </c>
      <c r="S73">
        <f t="shared" ref="S73" si="343">R73/100000</f>
        <v>-219.83740417739239</v>
      </c>
      <c r="T73">
        <f t="shared" ref="T73" si="344">S73/1000</f>
        <v>-0.21983740417739239</v>
      </c>
    </row>
    <row r="74" spans="1:20" x14ac:dyDescent="0.25">
      <c r="A74" s="5">
        <v>44519</v>
      </c>
      <c r="B74">
        <v>7.92</v>
      </c>
      <c r="C74">
        <v>8.8800000000000008</v>
      </c>
      <c r="D74">
        <v>7.9</v>
      </c>
      <c r="E74">
        <v>8.68</v>
      </c>
      <c r="F74">
        <v>1050774.3500000001</v>
      </c>
      <c r="G74">
        <v>8.68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0.59183673469387554</v>
      </c>
      <c r="Q74">
        <f t="shared" ref="Q74" si="346">F74*P74</f>
        <v>621886.86020407954</v>
      </c>
      <c r="R74">
        <f t="shared" ref="R74" si="347">R75+Q74</f>
        <v>-24545197.310295295</v>
      </c>
      <c r="S74">
        <f t="shared" ref="S74" si="348">R74/100000</f>
        <v>-245.45197310295296</v>
      </c>
      <c r="T74">
        <f t="shared" ref="T74" si="349">S74/1000</f>
        <v>-0.24545197310295297</v>
      </c>
    </row>
    <row r="75" spans="1:20" x14ac:dyDescent="0.25">
      <c r="A75" s="5">
        <v>44518</v>
      </c>
      <c r="B75">
        <v>7.87</v>
      </c>
      <c r="C75">
        <v>8.4</v>
      </c>
      <c r="D75">
        <v>7.33</v>
      </c>
      <c r="E75">
        <v>7.9</v>
      </c>
      <c r="F75">
        <v>905724.07</v>
      </c>
      <c r="G75">
        <v>7.9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6.5420560747663795E-2</v>
      </c>
      <c r="Q75">
        <f t="shared" ref="Q75" si="351">F75*P75</f>
        <v>59252.976542056291</v>
      </c>
      <c r="R75">
        <f t="shared" ref="R75" si="352">R76+Q75</f>
        <v>-25167084.170499373</v>
      </c>
      <c r="S75">
        <f t="shared" ref="S75" si="353">R75/100000</f>
        <v>-251.67084170499373</v>
      </c>
      <c r="T75">
        <f t="shared" ref="T75" si="354">S75/1000</f>
        <v>-0.25167084170499371</v>
      </c>
    </row>
    <row r="76" spans="1:20" x14ac:dyDescent="0.25">
      <c r="A76" s="5">
        <v>44517</v>
      </c>
      <c r="B76">
        <v>7.76</v>
      </c>
      <c r="C76">
        <v>8.06</v>
      </c>
      <c r="D76">
        <v>7.46</v>
      </c>
      <c r="E76">
        <v>7.86</v>
      </c>
      <c r="F76">
        <v>457940.5</v>
      </c>
      <c r="G76">
        <v>7.86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0.33333333333333331</v>
      </c>
      <c r="Q76">
        <f t="shared" ref="Q76" si="356">F76*P76</f>
        <v>152646.83333333331</v>
      </c>
      <c r="R76">
        <f t="shared" ref="R76" si="357">R77+Q76</f>
        <v>-25226337.147041429</v>
      </c>
      <c r="S76">
        <f t="shared" ref="S76" si="358">R76/100000</f>
        <v>-252.26337147041428</v>
      </c>
      <c r="T76">
        <f t="shared" ref="T76" si="359">S76/1000</f>
        <v>-0.25226337147041428</v>
      </c>
    </row>
    <row r="77" spans="1:20" x14ac:dyDescent="0.25">
      <c r="A77" s="5">
        <v>44516</v>
      </c>
      <c r="B77">
        <v>8.7100000000000009</v>
      </c>
      <c r="C77">
        <v>8.74</v>
      </c>
      <c r="D77">
        <v>7.31</v>
      </c>
      <c r="E77">
        <v>7.77</v>
      </c>
      <c r="F77">
        <v>847274.81</v>
      </c>
      <c r="G77">
        <v>7.77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-0.35664335664335695</v>
      </c>
      <c r="Q77">
        <f t="shared" ref="Q77" si="361">F77*P77</f>
        <v>-302174.93223776249</v>
      </c>
      <c r="R77">
        <f t="shared" ref="R77" si="362">R78+Q77</f>
        <v>-25378983.980374761</v>
      </c>
      <c r="S77">
        <f t="shared" ref="S77" si="363">R77/100000</f>
        <v>-253.78983980374761</v>
      </c>
      <c r="T77">
        <f t="shared" ref="T77" si="364">S77/1000</f>
        <v>-0.25378983980374759</v>
      </c>
    </row>
    <row r="78" spans="1:20" x14ac:dyDescent="0.25">
      <c r="A78" s="5">
        <v>44515</v>
      </c>
      <c r="B78">
        <v>8.7799999999999994</v>
      </c>
      <c r="C78">
        <v>9.09</v>
      </c>
      <c r="D78">
        <v>8.66</v>
      </c>
      <c r="E78">
        <v>8.7200000000000006</v>
      </c>
      <c r="F78">
        <v>524570.56999999995</v>
      </c>
      <c r="G78">
        <v>8.7200000000000006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-0.72093023255813704</v>
      </c>
      <c r="Q78">
        <f t="shared" ref="Q78" si="366">F78*P78</f>
        <v>-378178.78302325448</v>
      </c>
      <c r="R78">
        <f t="shared" ref="R78" si="367">R79+Q78</f>
        <v>-25076809.048136998</v>
      </c>
      <c r="S78">
        <f t="shared" ref="S78" si="368">R78/100000</f>
        <v>-250.76809048136997</v>
      </c>
      <c r="T78">
        <f t="shared" ref="T78" si="369">S78/1000</f>
        <v>-0.25076809048136994</v>
      </c>
    </row>
    <row r="79" spans="1:20" x14ac:dyDescent="0.25">
      <c r="A79" s="5">
        <v>44514</v>
      </c>
      <c r="B79">
        <v>9.09</v>
      </c>
      <c r="C79">
        <v>9.19</v>
      </c>
      <c r="D79">
        <v>8.44</v>
      </c>
      <c r="E79">
        <v>8.77</v>
      </c>
      <c r="F79">
        <v>479540.47999999998</v>
      </c>
      <c r="G79">
        <v>8.77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-0.11999999999999982</v>
      </c>
      <c r="Q79">
        <f t="shared" ref="Q79" si="371">F79*P79</f>
        <v>-57544.857599999908</v>
      </c>
      <c r="R79">
        <f t="shared" ref="R79" si="372">R80+Q79</f>
        <v>-24698630.265113745</v>
      </c>
      <c r="S79">
        <f t="shared" ref="S79" si="373">R79/100000</f>
        <v>-246.98630265113744</v>
      </c>
      <c r="T79">
        <f t="shared" ref="T79" si="374">S79/1000</f>
        <v>-0.24698630265113744</v>
      </c>
    </row>
    <row r="80" spans="1:20" x14ac:dyDescent="0.25">
      <c r="A80" s="5">
        <v>44513</v>
      </c>
      <c r="B80">
        <v>9.0299999999999994</v>
      </c>
      <c r="C80">
        <v>9.27</v>
      </c>
      <c r="D80">
        <v>8.85</v>
      </c>
      <c r="E80">
        <v>9.1</v>
      </c>
      <c r="F80">
        <v>483722.1</v>
      </c>
      <c r="G80">
        <v>9.1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0.19047619047619069</v>
      </c>
      <c r="Q80">
        <f t="shared" ref="Q80" si="376">F80*P80</f>
        <v>92137.542857142951</v>
      </c>
      <c r="R80">
        <f t="shared" ref="R80" si="377">R81+Q80</f>
        <v>-24641085.407513745</v>
      </c>
      <c r="S80">
        <f t="shared" ref="S80" si="378">R80/100000</f>
        <v>-246.41085407513745</v>
      </c>
      <c r="T80">
        <f t="shared" ref="T80" si="379">S80/1000</f>
        <v>-0.24641085407513746</v>
      </c>
    </row>
    <row r="81" spans="1:20" x14ac:dyDescent="0.25">
      <c r="A81" s="5">
        <v>44512</v>
      </c>
      <c r="B81">
        <v>9.01</v>
      </c>
      <c r="C81">
        <v>9.5500000000000007</v>
      </c>
      <c r="D81">
        <v>8.7899999999999991</v>
      </c>
      <c r="E81">
        <v>9.0299999999999994</v>
      </c>
      <c r="F81">
        <v>727165.37</v>
      </c>
      <c r="G81">
        <v>9.0299999999999994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-0.3684210526315797</v>
      </c>
      <c r="Q81">
        <f t="shared" ref="Q81" si="381">F81*P81</f>
        <v>-267903.03105263214</v>
      </c>
      <c r="R81">
        <f t="shared" ref="R81" si="382">R82+Q81</f>
        <v>-24733222.950370889</v>
      </c>
      <c r="S81">
        <f t="shared" ref="S81" si="383">R81/100000</f>
        <v>-247.3322295037089</v>
      </c>
      <c r="T81">
        <f t="shared" ref="T81" si="384">S81/1000</f>
        <v>-0.24733222950370889</v>
      </c>
    </row>
    <row r="82" spans="1:20" x14ac:dyDescent="0.25">
      <c r="A82" s="5">
        <v>44511</v>
      </c>
      <c r="B82">
        <v>8.66</v>
      </c>
      <c r="C82">
        <v>9.3000000000000007</v>
      </c>
      <c r="D82">
        <v>8.48</v>
      </c>
      <c r="E82">
        <v>9.02</v>
      </c>
      <c r="F82">
        <v>418864.27</v>
      </c>
      <c r="G82">
        <v>9.02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0.31707317073170477</v>
      </c>
      <c r="Q82">
        <f t="shared" ref="Q82" si="386">F82*P82</f>
        <v>132810.6221951209</v>
      </c>
      <c r="R82">
        <f t="shared" ref="R82" si="387">R83+Q82</f>
        <v>-24465319.919318259</v>
      </c>
      <c r="S82">
        <f t="shared" ref="S82" si="388">R82/100000</f>
        <v>-244.65319919318259</v>
      </c>
      <c r="T82">
        <f t="shared" ref="T82" si="389">S82/1000</f>
        <v>-0.2446531991931826</v>
      </c>
    </row>
    <row r="83" spans="1:20" x14ac:dyDescent="0.25">
      <c r="A83" s="5">
        <v>44510</v>
      </c>
      <c r="B83">
        <v>9.5299999999999994</v>
      </c>
      <c r="C83">
        <v>9.75</v>
      </c>
      <c r="D83">
        <v>8.32</v>
      </c>
      <c r="E83">
        <v>8.65</v>
      </c>
      <c r="F83">
        <v>571913.72</v>
      </c>
      <c r="G83">
        <v>8.65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-0.53846153846153832</v>
      </c>
      <c r="Q83">
        <f t="shared" ref="Q83" si="391">F83*P83</f>
        <v>-307953.54153846146</v>
      </c>
      <c r="R83">
        <f t="shared" ref="R83" si="392">R84+Q83</f>
        <v>-24598130.54151338</v>
      </c>
      <c r="S83">
        <f t="shared" ref="S83" si="393">R83/100000</f>
        <v>-245.98130541513379</v>
      </c>
      <c r="T83">
        <f t="shared" ref="T83" si="394">S83/1000</f>
        <v>-0.2459813054151338</v>
      </c>
    </row>
    <row r="84" spans="1:20" x14ac:dyDescent="0.25">
      <c r="A84" s="5">
        <v>44509</v>
      </c>
      <c r="B84">
        <v>10.06</v>
      </c>
      <c r="C84">
        <v>10.09</v>
      </c>
      <c r="D84">
        <v>9.4499999999999993</v>
      </c>
      <c r="E84">
        <v>9.5299999999999994</v>
      </c>
      <c r="F84">
        <v>395886</v>
      </c>
      <c r="G84">
        <v>9.5299999999999994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-0.75</v>
      </c>
      <c r="Q84">
        <f t="shared" ref="Q84" si="396">F84*P84</f>
        <v>-296914.5</v>
      </c>
      <c r="R84">
        <f t="shared" ref="R84" si="397">R85+Q84</f>
        <v>-24290176.999974918</v>
      </c>
      <c r="S84">
        <f t="shared" ref="S84" si="398">R84/100000</f>
        <v>-242.90176999974918</v>
      </c>
      <c r="T84">
        <f t="shared" ref="T84" si="399">S84/1000</f>
        <v>-0.24290176999974919</v>
      </c>
    </row>
    <row r="85" spans="1:20" x14ac:dyDescent="0.25">
      <c r="A85" s="5">
        <v>44508</v>
      </c>
      <c r="B85">
        <v>9.99</v>
      </c>
      <c r="C85">
        <v>10.47</v>
      </c>
      <c r="D85">
        <v>9.8699999999999992</v>
      </c>
      <c r="E85">
        <v>10.08</v>
      </c>
      <c r="F85">
        <v>529451.09</v>
      </c>
      <c r="G85">
        <v>10.08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-0.29999999999999882</v>
      </c>
      <c r="Q85">
        <f t="shared" ref="Q85" si="401">F85*P85</f>
        <v>-158835.32699999938</v>
      </c>
      <c r="R85">
        <f t="shared" ref="R85" si="402">R86+Q85</f>
        <v>-23993262.499974918</v>
      </c>
      <c r="S85">
        <f t="shared" ref="S85" si="403">R85/100000</f>
        <v>-239.93262499974918</v>
      </c>
      <c r="T85">
        <f t="shared" ref="T85" si="404">S85/1000</f>
        <v>-0.23993262499974918</v>
      </c>
    </row>
    <row r="86" spans="1:20" x14ac:dyDescent="0.25">
      <c r="A86" s="5">
        <v>44507</v>
      </c>
      <c r="B86">
        <v>9.2100000000000009</v>
      </c>
      <c r="C86">
        <v>10.48</v>
      </c>
      <c r="D86">
        <v>9.16</v>
      </c>
      <c r="E86">
        <v>10</v>
      </c>
      <c r="F86">
        <v>955541.16</v>
      </c>
      <c r="G86">
        <v>10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0.27272727272727226</v>
      </c>
      <c r="Q86">
        <f t="shared" ref="Q86" si="406">F86*P86</f>
        <v>260602.13454545412</v>
      </c>
      <c r="R86">
        <f t="shared" ref="R86" si="407">R87+Q86</f>
        <v>-23834427.172974918</v>
      </c>
      <c r="S86">
        <f t="shared" ref="S86" si="408">R86/100000</f>
        <v>-238.34427172974918</v>
      </c>
      <c r="T86">
        <f t="shared" ref="T86" si="409">S86/1000</f>
        <v>-0.23834427172974917</v>
      </c>
    </row>
    <row r="87" spans="1:20" x14ac:dyDescent="0.25">
      <c r="A87" s="5">
        <v>44506</v>
      </c>
      <c r="B87">
        <v>9.4700000000000006</v>
      </c>
      <c r="C87">
        <v>9.49</v>
      </c>
      <c r="D87">
        <v>8.91</v>
      </c>
      <c r="E87">
        <v>9.2100000000000009</v>
      </c>
      <c r="F87">
        <v>301444.83</v>
      </c>
      <c r="G87">
        <v>9.2100000000000009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3.4482758620691979E-2</v>
      </c>
      <c r="Q87">
        <f t="shared" ref="Q87" si="411">F87*P87</f>
        <v>10394.649310345529</v>
      </c>
      <c r="R87">
        <f t="shared" ref="R87" si="412">R88+Q87</f>
        <v>-24095029.307520371</v>
      </c>
      <c r="S87">
        <f t="shared" ref="S87" si="413">R87/100000</f>
        <v>-240.95029307520372</v>
      </c>
      <c r="T87">
        <f t="shared" ref="T87" si="414">S87/1000</f>
        <v>-0.24095029307520371</v>
      </c>
    </row>
    <row r="88" spans="1:20" x14ac:dyDescent="0.25">
      <c r="A88" s="5">
        <v>44505</v>
      </c>
      <c r="B88">
        <v>9.83</v>
      </c>
      <c r="C88">
        <v>10.1</v>
      </c>
      <c r="D88">
        <v>9.35</v>
      </c>
      <c r="E88">
        <v>9.48</v>
      </c>
      <c r="F88">
        <v>575394.41</v>
      </c>
      <c r="G88">
        <v>9.48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-0.65333333333333121</v>
      </c>
      <c r="Q88">
        <f t="shared" ref="Q88" si="416">F88*P88</f>
        <v>-375924.34786666546</v>
      </c>
      <c r="R88">
        <f t="shared" ref="R88" si="417">R89+Q88</f>
        <v>-24105423.956830718</v>
      </c>
      <c r="S88">
        <f t="shared" ref="S88" si="418">R88/100000</f>
        <v>-241.05423956830717</v>
      </c>
      <c r="T88">
        <f t="shared" ref="T88" si="419">S88/1000</f>
        <v>-0.24105423956830715</v>
      </c>
    </row>
    <row r="89" spans="1:20" x14ac:dyDescent="0.25">
      <c r="A89" s="5">
        <v>44504</v>
      </c>
      <c r="B89">
        <v>9.6</v>
      </c>
      <c r="C89">
        <v>9.89</v>
      </c>
      <c r="D89">
        <v>9.07</v>
      </c>
      <c r="E89">
        <v>9.81</v>
      </c>
      <c r="F89">
        <v>708498.46</v>
      </c>
      <c r="G89">
        <v>9.81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0.80487804878048774</v>
      </c>
      <c r="Q89">
        <f t="shared" ref="Q89" si="421">F89*P89</f>
        <v>570254.85804878036</v>
      </c>
      <c r="R89">
        <f t="shared" ref="R89" si="422">R90+Q89</f>
        <v>-23729499.608964052</v>
      </c>
      <c r="S89">
        <f t="shared" ref="S89" si="423">R89/100000</f>
        <v>-237.29499608964053</v>
      </c>
      <c r="T89">
        <f t="shared" ref="T89" si="424">S89/1000</f>
        <v>-0.23729499608964053</v>
      </c>
    </row>
    <row r="90" spans="1:20" x14ac:dyDescent="0.25">
      <c r="A90" s="5">
        <v>44503</v>
      </c>
      <c r="B90">
        <v>9.67</v>
      </c>
      <c r="C90">
        <v>10.54</v>
      </c>
      <c r="D90">
        <v>9.27</v>
      </c>
      <c r="E90">
        <v>9.6</v>
      </c>
      <c r="F90">
        <v>1044177.11</v>
      </c>
      <c r="G90">
        <v>9.6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-0.48031496062992096</v>
      </c>
      <c r="Q90">
        <f t="shared" ref="Q90" si="426">F90*P90</f>
        <v>-501533.88748031465</v>
      </c>
      <c r="R90">
        <f t="shared" ref="R90" si="427">R91+Q90</f>
        <v>-24299754.467012834</v>
      </c>
      <c r="S90">
        <f t="shared" ref="S90" si="428">R90/100000</f>
        <v>-242.99754467012835</v>
      </c>
      <c r="T90">
        <f t="shared" ref="T90" si="429">S90/1000</f>
        <v>-0.24299754467012835</v>
      </c>
    </row>
    <row r="91" spans="1:20" x14ac:dyDescent="0.25">
      <c r="A91" s="5">
        <v>44502</v>
      </c>
      <c r="B91">
        <v>8.98</v>
      </c>
      <c r="C91">
        <v>10</v>
      </c>
      <c r="D91">
        <v>8.84</v>
      </c>
      <c r="E91">
        <v>9.66</v>
      </c>
      <c r="F91">
        <v>1003612.14</v>
      </c>
      <c r="G91">
        <v>9.66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0.41379310344827619</v>
      </c>
      <c r="Q91">
        <f t="shared" ref="Q91" si="431">F91*P91</f>
        <v>415287.78206896584</v>
      </c>
      <c r="R91">
        <f t="shared" ref="R91" si="432">R92+Q91</f>
        <v>-23798220.579532519</v>
      </c>
      <c r="S91">
        <f t="shared" ref="S91" si="433">R91/100000</f>
        <v>-237.9822057953252</v>
      </c>
      <c r="T91">
        <f t="shared" ref="T91" si="434">S91/1000</f>
        <v>-0.2379822057953252</v>
      </c>
    </row>
    <row r="92" spans="1:20" x14ac:dyDescent="0.25">
      <c r="A92" s="5">
        <v>44501</v>
      </c>
      <c r="B92">
        <v>9.1999999999999993</v>
      </c>
      <c r="C92">
        <v>9.4</v>
      </c>
      <c r="D92">
        <v>8.6</v>
      </c>
      <c r="E92">
        <v>8.98</v>
      </c>
      <c r="F92">
        <v>827442.07</v>
      </c>
      <c r="G92">
        <v>8.98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-4.9999999999998893E-2</v>
      </c>
      <c r="Q92">
        <f t="shared" ref="Q92" si="436">F92*P92</f>
        <v>-41372.103499999081</v>
      </c>
      <c r="R92">
        <f t="shared" ref="R92" si="437">R93+Q92</f>
        <v>-24213508.361601483</v>
      </c>
      <c r="S92">
        <f t="shared" ref="S92" si="438">R92/100000</f>
        <v>-242.13508361601484</v>
      </c>
      <c r="T92">
        <f t="shared" ref="T92" si="439">S92/1000</f>
        <v>-0.24213508361601485</v>
      </c>
    </row>
    <row r="93" spans="1:20" x14ac:dyDescent="0.25">
      <c r="A93" s="5">
        <v>44500</v>
      </c>
      <c r="B93">
        <v>9.68</v>
      </c>
      <c r="C93">
        <v>10.85</v>
      </c>
      <c r="D93">
        <v>8.9700000000000006</v>
      </c>
      <c r="E93">
        <v>9.1999999999999993</v>
      </c>
      <c r="F93">
        <v>2541424.94</v>
      </c>
      <c r="G93">
        <v>9.1999999999999993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-0.75531914893617147</v>
      </c>
      <c r="Q93">
        <f t="shared" ref="Q93" si="441">F93*P93</f>
        <v>-1919586.9227659607</v>
      </c>
      <c r="R93">
        <f t="shared" ref="R93" si="442">R94+Q93</f>
        <v>-24172136.258101486</v>
      </c>
      <c r="S93">
        <f t="shared" ref="S93" si="443">R93/100000</f>
        <v>-241.72136258101486</v>
      </c>
      <c r="T93">
        <f t="shared" ref="T93" si="444">S93/1000</f>
        <v>-0.24172136258101487</v>
      </c>
    </row>
    <row r="94" spans="1:20" x14ac:dyDescent="0.25">
      <c r="A94" s="5">
        <v>44499</v>
      </c>
      <c r="B94">
        <v>8.4499999999999993</v>
      </c>
      <c r="C94">
        <v>9.76</v>
      </c>
      <c r="D94">
        <v>8.1999999999999993</v>
      </c>
      <c r="E94">
        <v>9.69</v>
      </c>
      <c r="F94">
        <v>1824121.54</v>
      </c>
      <c r="G94">
        <v>9.69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0.91025641025640991</v>
      </c>
      <c r="Q94">
        <f t="shared" ref="Q94" si="446">F94*P94</f>
        <v>1660418.3248717943</v>
      </c>
      <c r="R94">
        <f t="shared" ref="R94" si="447">R95+Q94</f>
        <v>-22252549.335335527</v>
      </c>
      <c r="S94">
        <f t="shared" ref="S94" si="448">R94/100000</f>
        <v>-222.52549335335527</v>
      </c>
      <c r="T94">
        <f t="shared" ref="T94" si="449">S94/1000</f>
        <v>-0.22252549335335528</v>
      </c>
    </row>
    <row r="95" spans="1:20" x14ac:dyDescent="0.25">
      <c r="A95" s="5">
        <v>44498</v>
      </c>
      <c r="B95">
        <v>7.73</v>
      </c>
      <c r="C95">
        <v>9.09</v>
      </c>
      <c r="D95">
        <v>7.65</v>
      </c>
      <c r="E95">
        <v>8.4499999999999993</v>
      </c>
      <c r="F95">
        <v>1271426.75</v>
      </c>
      <c r="G95">
        <v>8.4499999999999993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0.11111111111111001</v>
      </c>
      <c r="Q95">
        <f t="shared" ref="Q95" si="451">F95*P95</f>
        <v>141269.63888888748</v>
      </c>
      <c r="R95">
        <f t="shared" ref="R95" si="452">R96+Q95</f>
        <v>-23912967.66020732</v>
      </c>
      <c r="S95">
        <f t="shared" ref="S95" si="453">R95/100000</f>
        <v>-239.1296766020732</v>
      </c>
      <c r="T95">
        <f t="shared" ref="T95" si="454">S95/1000</f>
        <v>-0.23912967660207321</v>
      </c>
    </row>
    <row r="96" spans="1:20" x14ac:dyDescent="0.25">
      <c r="A96" s="5">
        <v>44497</v>
      </c>
      <c r="B96">
        <v>7.31</v>
      </c>
      <c r="C96">
        <v>8.0299999999999994</v>
      </c>
      <c r="D96">
        <v>7.31</v>
      </c>
      <c r="E96">
        <v>7.71</v>
      </c>
      <c r="F96">
        <v>434904.78</v>
      </c>
      <c r="G96">
        <v>7.71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0.11111111111111248</v>
      </c>
      <c r="Q96">
        <f t="shared" ref="Q96" si="456">F96*P96</f>
        <v>48322.753333333931</v>
      </c>
      <c r="R96">
        <f t="shared" ref="R96" si="457">R97+Q96</f>
        <v>-24054237.299096208</v>
      </c>
      <c r="S96">
        <f t="shared" ref="S96" si="458">R96/100000</f>
        <v>-240.54237299096209</v>
      </c>
      <c r="T96">
        <f t="shared" ref="T96" si="459">S96/1000</f>
        <v>-0.24054237299096209</v>
      </c>
    </row>
    <row r="97" spans="1:20" x14ac:dyDescent="0.25">
      <c r="A97" s="5">
        <v>44496</v>
      </c>
      <c r="B97">
        <v>8.3699999999999992</v>
      </c>
      <c r="C97">
        <v>8.49</v>
      </c>
      <c r="D97">
        <v>7.28</v>
      </c>
      <c r="E97">
        <v>7.3</v>
      </c>
      <c r="F97">
        <v>577653.22</v>
      </c>
      <c r="G97">
        <v>7.3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-0.96694214876033124</v>
      </c>
      <c r="Q97">
        <f t="shared" ref="Q97" si="461">F97*P97</f>
        <v>-558557.24578512437</v>
      </c>
      <c r="R97">
        <f t="shared" ref="R97" si="462">R98+Q97</f>
        <v>-24102560.052429542</v>
      </c>
      <c r="S97">
        <f t="shared" ref="S97" si="463">R97/100000</f>
        <v>-241.02560052429541</v>
      </c>
      <c r="T97">
        <f t="shared" ref="T97" si="464">S97/1000</f>
        <v>-0.24102560052429542</v>
      </c>
    </row>
    <row r="98" spans="1:20" x14ac:dyDescent="0.25">
      <c r="A98" s="5">
        <v>44495</v>
      </c>
      <c r="B98">
        <v>8.5</v>
      </c>
      <c r="C98">
        <v>8.85</v>
      </c>
      <c r="D98">
        <v>8.33</v>
      </c>
      <c r="E98">
        <v>8.3699999999999992</v>
      </c>
      <c r="F98">
        <v>433693.03</v>
      </c>
      <c r="G98">
        <v>8.3699999999999992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-0.84615384615384925</v>
      </c>
      <c r="Q98">
        <f t="shared" ref="Q98" si="466">F98*P98</f>
        <v>-366971.02538461675</v>
      </c>
      <c r="R98">
        <f t="shared" ref="R98" si="467">R99+Q98</f>
        <v>-23544002.806644417</v>
      </c>
      <c r="S98">
        <f t="shared" ref="S98" si="468">R98/100000</f>
        <v>-235.44002806644417</v>
      </c>
      <c r="T98">
        <f t="shared" ref="T98" si="469">S98/1000</f>
        <v>-0.23544002806644418</v>
      </c>
    </row>
    <row r="99" spans="1:20" x14ac:dyDescent="0.25">
      <c r="A99" s="5">
        <v>44494</v>
      </c>
      <c r="B99">
        <v>8.3000000000000007</v>
      </c>
      <c r="C99">
        <v>8.6</v>
      </c>
      <c r="D99">
        <v>8.26</v>
      </c>
      <c r="E99">
        <v>8.49</v>
      </c>
      <c r="F99">
        <v>246165.73</v>
      </c>
      <c r="G99">
        <v>8.49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0.35294117647059131</v>
      </c>
      <c r="Q99">
        <f t="shared" ref="Q99" si="471">F99*P99</f>
        <v>86882.022352941931</v>
      </c>
      <c r="R99">
        <f t="shared" ref="R99" si="472">R100+Q99</f>
        <v>-23177031.781259801</v>
      </c>
      <c r="S99">
        <f t="shared" ref="S99" si="473">R99/100000</f>
        <v>-231.77031781259802</v>
      </c>
      <c r="T99">
        <f t="shared" ref="T99" si="474">S99/1000</f>
        <v>-0.23177031781259802</v>
      </c>
    </row>
    <row r="100" spans="1:20" x14ac:dyDescent="0.25">
      <c r="A100" s="5">
        <v>44493</v>
      </c>
      <c r="B100">
        <v>8.69</v>
      </c>
      <c r="C100">
        <v>8.9499999999999993</v>
      </c>
      <c r="D100">
        <v>8.16</v>
      </c>
      <c r="E100">
        <v>8.3000000000000007</v>
      </c>
      <c r="F100">
        <v>587753.21</v>
      </c>
      <c r="G100">
        <v>8.3000000000000007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-0.64556962025316278</v>
      </c>
      <c r="Q100">
        <f t="shared" ref="Q100" si="476">F100*P100</f>
        <v>-379435.61658227741</v>
      </c>
      <c r="R100">
        <f t="shared" ref="R100" si="477">R101+Q100</f>
        <v>-23263913.803612743</v>
      </c>
      <c r="S100">
        <f t="shared" ref="S100" si="478">R100/100000</f>
        <v>-232.63913803612743</v>
      </c>
      <c r="T100">
        <f t="shared" ref="T100" si="479">S100/1000</f>
        <v>-0.23263913803612743</v>
      </c>
    </row>
    <row r="101" spans="1:20" x14ac:dyDescent="0.25">
      <c r="A101" s="5">
        <v>44492</v>
      </c>
      <c r="B101">
        <v>8.57</v>
      </c>
      <c r="C101">
        <v>9.2100000000000009</v>
      </c>
      <c r="D101">
        <v>8.4499999999999993</v>
      </c>
      <c r="E101">
        <v>8.7100000000000009</v>
      </c>
      <c r="F101">
        <v>941764.81</v>
      </c>
      <c r="G101">
        <v>8.7100000000000009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-0.31578947368420784</v>
      </c>
      <c r="Q101">
        <f t="shared" ref="Q101" si="481">F101*P101</f>
        <v>-297399.413684208</v>
      </c>
      <c r="R101">
        <f t="shared" ref="R101" si="482">R102+Q101</f>
        <v>-22884478.187030464</v>
      </c>
      <c r="S101">
        <f t="shared" ref="S101" si="483">R101/100000</f>
        <v>-228.84478187030464</v>
      </c>
      <c r="T101">
        <f t="shared" ref="T101" si="484">S101/1000</f>
        <v>-0.22884478187030463</v>
      </c>
    </row>
    <row r="102" spans="1:20" x14ac:dyDescent="0.25">
      <c r="A102" s="5">
        <v>44491</v>
      </c>
      <c r="B102">
        <v>8.18</v>
      </c>
      <c r="C102">
        <v>8.94</v>
      </c>
      <c r="D102">
        <v>8.18</v>
      </c>
      <c r="E102">
        <v>8.58</v>
      </c>
      <c r="F102">
        <v>735576.89</v>
      </c>
      <c r="G102">
        <v>8.58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5.2631578947369653E-2</v>
      </c>
      <c r="Q102">
        <f t="shared" ref="Q102" si="486">F102*P102</f>
        <v>38714.573157895647</v>
      </c>
      <c r="R102">
        <f t="shared" ref="R102" si="487">R103+Q102</f>
        <v>-22587078.773346256</v>
      </c>
      <c r="S102">
        <f t="shared" ref="S102" si="488">R102/100000</f>
        <v>-225.87078773346258</v>
      </c>
      <c r="T102">
        <f t="shared" ref="T102" si="489">S102/1000</f>
        <v>-0.22587078773346259</v>
      </c>
    </row>
    <row r="103" spans="1:20" x14ac:dyDescent="0.25">
      <c r="A103" s="5">
        <v>44490</v>
      </c>
      <c r="B103">
        <v>8.4</v>
      </c>
      <c r="C103">
        <v>8.66</v>
      </c>
      <c r="D103">
        <v>8.06</v>
      </c>
      <c r="E103">
        <v>8.19</v>
      </c>
      <c r="F103">
        <v>484117.43</v>
      </c>
      <c r="G103">
        <v>8.19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-0.56666666666666976</v>
      </c>
      <c r="Q103">
        <f t="shared" ref="Q103" si="491">F103*P103</f>
        <v>-274333.21033333481</v>
      </c>
      <c r="R103">
        <f t="shared" ref="R103" si="492">R104+Q103</f>
        <v>-22625793.346504152</v>
      </c>
      <c r="S103">
        <f t="shared" ref="S103" si="493">R103/100000</f>
        <v>-226.25793346504153</v>
      </c>
      <c r="T103">
        <f t="shared" ref="T103" si="494">S103/1000</f>
        <v>-0.22625793346504153</v>
      </c>
    </row>
    <row r="104" spans="1:20" x14ac:dyDescent="0.25">
      <c r="A104" s="5">
        <v>44489</v>
      </c>
      <c r="B104">
        <v>8.25</v>
      </c>
      <c r="C104">
        <v>8.6999999999999993</v>
      </c>
      <c r="D104">
        <v>8.11</v>
      </c>
      <c r="E104">
        <v>8.4</v>
      </c>
      <c r="F104">
        <v>407286.15</v>
      </c>
      <c r="G104">
        <v>8.4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-1.6949152542369512E-2</v>
      </c>
      <c r="Q104">
        <f t="shared" ref="Q104" si="496">F104*P104</f>
        <v>-6903.1550847443914</v>
      </c>
      <c r="R104">
        <f t="shared" ref="R104" si="497">R105+Q104</f>
        <v>-22351460.136170816</v>
      </c>
      <c r="S104">
        <f t="shared" ref="S104" si="498">R104/100000</f>
        <v>-223.51460136170815</v>
      </c>
      <c r="T104">
        <f t="shared" ref="T104" si="499">S104/1000</f>
        <v>-0.22351460136170814</v>
      </c>
    </row>
    <row r="105" spans="1:20" x14ac:dyDescent="0.25">
      <c r="A105" s="5">
        <v>44488</v>
      </c>
      <c r="B105">
        <v>8.5299999999999994</v>
      </c>
      <c r="C105">
        <v>8.65</v>
      </c>
      <c r="D105">
        <v>8.08</v>
      </c>
      <c r="E105">
        <v>8.26</v>
      </c>
      <c r="F105">
        <v>450120.14</v>
      </c>
      <c r="G105">
        <v>8.26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-0.36842105263158026</v>
      </c>
      <c r="Q105">
        <f t="shared" ref="Q105" si="501">F105*P105</f>
        <v>-165833.73578947427</v>
      </c>
      <c r="R105">
        <f t="shared" ref="R105" si="502">R106+Q105</f>
        <v>-22344556.981086072</v>
      </c>
      <c r="S105">
        <f t="shared" ref="S105" si="503">R105/100000</f>
        <v>-223.44556981086072</v>
      </c>
      <c r="T105">
        <f t="shared" ref="T105" si="504">S105/1000</f>
        <v>-0.22344556981086072</v>
      </c>
    </row>
    <row r="106" spans="1:20" x14ac:dyDescent="0.25">
      <c r="A106" s="5">
        <v>44487</v>
      </c>
      <c r="B106">
        <v>8.69</v>
      </c>
      <c r="C106">
        <v>9.1</v>
      </c>
      <c r="D106">
        <v>8.3699999999999992</v>
      </c>
      <c r="E106">
        <v>8.5299999999999994</v>
      </c>
      <c r="F106">
        <v>573811.68000000005</v>
      </c>
      <c r="G106">
        <v>8.5299999999999994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-0.56164383561643827</v>
      </c>
      <c r="Q106">
        <f t="shared" ref="Q106" si="506">F106*P106</f>
        <v>-322277.79287671228</v>
      </c>
      <c r="R106">
        <f t="shared" ref="R106" si="507">R107+Q106</f>
        <v>-22178723.245296597</v>
      </c>
      <c r="S106">
        <f t="shared" ref="S106" si="508">R106/100000</f>
        <v>-221.78723245296598</v>
      </c>
      <c r="T106">
        <f t="shared" ref="T106" si="509">S106/1000</f>
        <v>-0.22178723245296597</v>
      </c>
    </row>
    <row r="107" spans="1:20" x14ac:dyDescent="0.25">
      <c r="A107" s="5">
        <v>44486</v>
      </c>
      <c r="B107">
        <v>8.6999999999999993</v>
      </c>
      <c r="C107">
        <v>9.25</v>
      </c>
      <c r="D107">
        <v>8.26</v>
      </c>
      <c r="E107">
        <v>8.69</v>
      </c>
      <c r="F107">
        <v>1028096.68</v>
      </c>
      <c r="G107">
        <v>8.69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-0.13131313131313208</v>
      </c>
      <c r="Q107">
        <f t="shared" ref="Q107" si="511">F107*P107</f>
        <v>-135002.59434343514</v>
      </c>
      <c r="R107">
        <f t="shared" ref="R107" si="512">R108+Q107</f>
        <v>-21856445.452419885</v>
      </c>
      <c r="S107">
        <f t="shared" ref="S107" si="513">R107/100000</f>
        <v>-218.56445452419885</v>
      </c>
      <c r="T107">
        <f t="shared" ref="T107" si="514">S107/1000</f>
        <v>-0.21856445452419884</v>
      </c>
    </row>
    <row r="108" spans="1:20" x14ac:dyDescent="0.25">
      <c r="A108" s="5">
        <v>44485</v>
      </c>
      <c r="B108">
        <v>8.1</v>
      </c>
      <c r="C108">
        <v>10.14</v>
      </c>
      <c r="D108">
        <v>8.0500000000000007</v>
      </c>
      <c r="E108">
        <v>8.6999999999999993</v>
      </c>
      <c r="F108">
        <v>2321210.15</v>
      </c>
      <c r="G108">
        <v>8.6999999999999993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-0.37799043062201088</v>
      </c>
      <c r="Q108">
        <f t="shared" ref="Q108" si="516">F108*P108</f>
        <v>-877395.22416268243</v>
      </c>
      <c r="R108">
        <f t="shared" ref="R108" si="517">R109+Q108</f>
        <v>-21721442.858076449</v>
      </c>
      <c r="S108">
        <f t="shared" ref="S108" si="518">R108/100000</f>
        <v>-217.21442858076449</v>
      </c>
      <c r="T108">
        <f t="shared" ref="T108" si="519">S108/1000</f>
        <v>-0.21721442858076448</v>
      </c>
    </row>
    <row r="109" spans="1:20" x14ac:dyDescent="0.25">
      <c r="A109" s="5">
        <v>44484</v>
      </c>
      <c r="B109">
        <v>8.31</v>
      </c>
      <c r="C109">
        <v>8.33</v>
      </c>
      <c r="D109">
        <v>7.83</v>
      </c>
      <c r="E109">
        <v>8.09</v>
      </c>
      <c r="F109">
        <v>579445.91</v>
      </c>
      <c r="G109">
        <v>8.09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3.9999999999999147E-2</v>
      </c>
      <c r="Q109">
        <f t="shared" ref="Q109" si="521">F109*P109</f>
        <v>23177.836399999509</v>
      </c>
      <c r="R109">
        <f t="shared" ref="R109" si="522">R110+Q109</f>
        <v>-20844047.633913767</v>
      </c>
      <c r="S109">
        <f t="shared" ref="S109" si="523">R109/100000</f>
        <v>-208.44047633913766</v>
      </c>
      <c r="T109">
        <f t="shared" ref="T109" si="524">S109/1000</f>
        <v>-0.20844047633913765</v>
      </c>
    </row>
    <row r="110" spans="1:20" x14ac:dyDescent="0.25">
      <c r="A110" s="5">
        <v>44483</v>
      </c>
      <c r="B110">
        <v>7.59</v>
      </c>
      <c r="C110">
        <v>8.75</v>
      </c>
      <c r="D110">
        <v>7.54</v>
      </c>
      <c r="E110">
        <v>8.31</v>
      </c>
      <c r="F110">
        <v>1072856.0900000001</v>
      </c>
      <c r="G110">
        <v>8.31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0.27272727272727354</v>
      </c>
      <c r="Q110">
        <f t="shared" ref="Q110" si="526">F110*P110</f>
        <v>292597.11545454635</v>
      </c>
      <c r="R110">
        <f t="shared" ref="R110" si="527">R111+Q110</f>
        <v>-20867225.470313765</v>
      </c>
      <c r="S110">
        <f t="shared" ref="S110" si="528">R110/100000</f>
        <v>-208.67225470313764</v>
      </c>
      <c r="T110">
        <f t="shared" ref="T110" si="529">S110/1000</f>
        <v>-0.20867225470313763</v>
      </c>
    </row>
    <row r="111" spans="1:20" x14ac:dyDescent="0.25">
      <c r="A111" s="5">
        <v>44482</v>
      </c>
      <c r="B111">
        <v>7.51</v>
      </c>
      <c r="C111">
        <v>7.95</v>
      </c>
      <c r="D111">
        <v>7.3</v>
      </c>
      <c r="E111">
        <v>7.57</v>
      </c>
      <c r="F111">
        <v>440130.94</v>
      </c>
      <c r="G111">
        <v>7.57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-0.16923076923076827</v>
      </c>
      <c r="Q111">
        <f t="shared" ref="Q111" si="531">F111*P111</f>
        <v>-74483.697538461114</v>
      </c>
      <c r="R111">
        <f t="shared" ref="R111" si="532">R112+Q111</f>
        <v>-21159822.585768312</v>
      </c>
      <c r="S111">
        <f t="shared" ref="S111" si="533">R111/100000</f>
        <v>-211.59822585768313</v>
      </c>
      <c r="T111">
        <f t="shared" ref="T111" si="534">S111/1000</f>
        <v>-0.21159822585768312</v>
      </c>
    </row>
    <row r="112" spans="1:20" x14ac:dyDescent="0.25">
      <c r="A112" s="5">
        <v>44481</v>
      </c>
      <c r="B112">
        <v>7.67</v>
      </c>
      <c r="C112">
        <v>7.84</v>
      </c>
      <c r="D112">
        <v>6.98</v>
      </c>
      <c r="E112">
        <v>7.52</v>
      </c>
      <c r="F112">
        <v>433820.19</v>
      </c>
      <c r="G112">
        <v>7.52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0.25581395348837094</v>
      </c>
      <c r="Q112">
        <f t="shared" ref="Q112" si="536">F112*P112</f>
        <v>110977.25790697624</v>
      </c>
      <c r="R112">
        <f t="shared" ref="R112" si="537">R113+Q112</f>
        <v>-21085338.888229851</v>
      </c>
      <c r="S112">
        <f t="shared" ref="S112" si="538">R112/100000</f>
        <v>-210.8533888822985</v>
      </c>
      <c r="T112">
        <f t="shared" ref="T112" si="539">S112/1000</f>
        <v>-0.21085338888229851</v>
      </c>
    </row>
    <row r="113" spans="1:20" x14ac:dyDescent="0.25">
      <c r="A113" s="5">
        <v>44480</v>
      </c>
      <c r="B113">
        <v>7.6</v>
      </c>
      <c r="C113">
        <v>7.9</v>
      </c>
      <c r="D113">
        <v>7.4</v>
      </c>
      <c r="E113">
        <v>7.69</v>
      </c>
      <c r="F113">
        <v>333422.14</v>
      </c>
      <c r="G113">
        <v>7.69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0.16000000000000014</v>
      </c>
      <c r="Q113">
        <f t="shared" ref="Q113" si="541">F113*P113</f>
        <v>53347.542400000049</v>
      </c>
      <c r="R113">
        <f t="shared" ref="R113" si="542">R114+Q113</f>
        <v>-21196316.146136828</v>
      </c>
      <c r="S113">
        <f t="shared" ref="S113" si="543">R113/100000</f>
        <v>-211.96316146136829</v>
      </c>
      <c r="T113">
        <f t="shared" ref="T113" si="544">S113/1000</f>
        <v>-0.21196316146136829</v>
      </c>
    </row>
    <row r="114" spans="1:20" x14ac:dyDescent="0.25">
      <c r="A114" s="5">
        <v>44479</v>
      </c>
      <c r="B114">
        <v>8.1</v>
      </c>
      <c r="C114">
        <v>8.1300000000000008</v>
      </c>
      <c r="D114">
        <v>7.56</v>
      </c>
      <c r="E114">
        <v>7.6</v>
      </c>
      <c r="F114">
        <v>430978.17</v>
      </c>
      <c r="G114">
        <v>7.6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-0.85964912280701766</v>
      </c>
      <c r="Q114">
        <f t="shared" ref="Q114" si="546">F114*P114</f>
        <v>-370490.00578947371</v>
      </c>
      <c r="R114">
        <f t="shared" ref="R114" si="547">R115+Q114</f>
        <v>-21249663.688536827</v>
      </c>
      <c r="S114">
        <f t="shared" ref="S114" si="548">R114/100000</f>
        <v>-212.49663688536828</v>
      </c>
      <c r="T114">
        <f t="shared" ref="T114" si="549">S114/1000</f>
        <v>-0.21249663688536827</v>
      </c>
    </row>
    <row r="115" spans="1:20" x14ac:dyDescent="0.25">
      <c r="A115" s="5">
        <v>44478</v>
      </c>
      <c r="B115">
        <v>8.08</v>
      </c>
      <c r="C115">
        <v>8.69</v>
      </c>
      <c r="D115">
        <v>8</v>
      </c>
      <c r="E115">
        <v>8.07</v>
      </c>
      <c r="F115">
        <v>653847.46</v>
      </c>
      <c r="G115">
        <v>8.07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-0.79710144927536131</v>
      </c>
      <c r="Q115">
        <f t="shared" ref="Q115" si="551">F115*P115</f>
        <v>-521182.75797101378</v>
      </c>
      <c r="R115">
        <f t="shared" ref="R115" si="552">R116+Q115</f>
        <v>-20879173.682747353</v>
      </c>
      <c r="S115">
        <f t="shared" ref="S115" si="553">R115/100000</f>
        <v>-208.79173682747353</v>
      </c>
      <c r="T115">
        <f t="shared" ref="T115" si="554">S115/1000</f>
        <v>-0.20879173682747354</v>
      </c>
    </row>
    <row r="116" spans="1:20" x14ac:dyDescent="0.25">
      <c r="A116" s="5">
        <v>44477</v>
      </c>
      <c r="B116">
        <v>8.16</v>
      </c>
      <c r="C116">
        <v>8.35</v>
      </c>
      <c r="D116">
        <v>7.95</v>
      </c>
      <c r="E116">
        <v>8.08</v>
      </c>
      <c r="F116">
        <v>489561.4</v>
      </c>
      <c r="G116">
        <v>8.08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-0.34999999999999964</v>
      </c>
      <c r="Q116">
        <f t="shared" ref="Q116" si="556">F116*P116</f>
        <v>-171346.48999999985</v>
      </c>
      <c r="R116">
        <f t="shared" ref="R116" si="557">R117+Q116</f>
        <v>-20357990.924776338</v>
      </c>
      <c r="S116">
        <f t="shared" ref="S116" si="558">R116/100000</f>
        <v>-203.57990924776337</v>
      </c>
      <c r="T116">
        <f t="shared" ref="T116" si="559">S116/1000</f>
        <v>-0.20357990924776337</v>
      </c>
    </row>
    <row r="117" spans="1:20" x14ac:dyDescent="0.25">
      <c r="A117" s="5">
        <v>44476</v>
      </c>
      <c r="B117">
        <v>8.11</v>
      </c>
      <c r="C117">
        <v>8.43</v>
      </c>
      <c r="D117">
        <v>7.74</v>
      </c>
      <c r="E117">
        <v>8.15</v>
      </c>
      <c r="F117">
        <v>714267.64</v>
      </c>
      <c r="G117">
        <v>8.15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0.18840579710145056</v>
      </c>
      <c r="Q117">
        <f t="shared" ref="Q117" si="561">F117*P117</f>
        <v>134572.16405797194</v>
      </c>
      <c r="R117">
        <f t="shared" ref="R117" si="562">R118+Q117</f>
        <v>-20186644.43477634</v>
      </c>
      <c r="S117">
        <f t="shared" ref="S117" si="563">R117/100000</f>
        <v>-201.86644434776341</v>
      </c>
      <c r="T117">
        <f t="shared" ref="T117" si="564">S117/1000</f>
        <v>-0.20186644434776341</v>
      </c>
    </row>
    <row r="118" spans="1:20" x14ac:dyDescent="0.25">
      <c r="A118" s="5">
        <v>44475</v>
      </c>
      <c r="B118">
        <v>8.06</v>
      </c>
      <c r="C118">
        <v>8.18</v>
      </c>
      <c r="D118">
        <v>7.35</v>
      </c>
      <c r="E118">
        <v>8.11</v>
      </c>
      <c r="F118">
        <v>653343.97</v>
      </c>
      <c r="G118">
        <v>8.11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0.83132530120481862</v>
      </c>
      <c r="Q118">
        <f t="shared" ref="Q118" si="566">F118*P118</f>
        <v>543141.3726506019</v>
      </c>
      <c r="R118">
        <f t="shared" ref="R118" si="567">R119+Q118</f>
        <v>-20321216.598834313</v>
      </c>
      <c r="S118">
        <f t="shared" ref="S118" si="568">R118/100000</f>
        <v>-203.21216598834314</v>
      </c>
      <c r="T118">
        <f t="shared" ref="T118" si="569">S118/1000</f>
        <v>-0.20321216598834316</v>
      </c>
    </row>
    <row r="119" spans="1:20" x14ac:dyDescent="0.25">
      <c r="A119" s="5">
        <v>44474</v>
      </c>
      <c r="B119">
        <v>8.1300000000000008</v>
      </c>
      <c r="C119">
        <v>8.2899999999999991</v>
      </c>
      <c r="D119">
        <v>7.78</v>
      </c>
      <c r="E119">
        <v>8.0500000000000007</v>
      </c>
      <c r="F119">
        <v>448598.9</v>
      </c>
      <c r="G119">
        <v>8.0500000000000007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5.8823529411768806E-2</v>
      </c>
      <c r="Q119">
        <f t="shared" ref="Q119" si="571">F119*P119</f>
        <v>26388.170588237135</v>
      </c>
      <c r="R119">
        <f t="shared" ref="R119" si="572">R120+Q119</f>
        <v>-20864357.971484914</v>
      </c>
      <c r="S119">
        <f t="shared" ref="S119" si="573">R119/100000</f>
        <v>-208.64357971484915</v>
      </c>
      <c r="T119">
        <f t="shared" ref="T119" si="574">S119/1000</f>
        <v>-0.20864357971484915</v>
      </c>
    </row>
    <row r="120" spans="1:20" x14ac:dyDescent="0.25">
      <c r="A120" s="5">
        <v>44473</v>
      </c>
      <c r="B120">
        <v>7.92</v>
      </c>
      <c r="C120">
        <v>8.39</v>
      </c>
      <c r="D120">
        <v>7.63</v>
      </c>
      <c r="E120">
        <v>8.19</v>
      </c>
      <c r="F120">
        <v>773956.52</v>
      </c>
      <c r="G120">
        <v>8.19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0.47368421052631343</v>
      </c>
      <c r="Q120">
        <f t="shared" ref="Q120" si="576">F120*P120</f>
        <v>366610.98315789294</v>
      </c>
      <c r="R120">
        <f t="shared" ref="R120" si="577">R121+Q120</f>
        <v>-20890746.142073151</v>
      </c>
      <c r="S120">
        <f t="shared" ref="S120" si="578">R120/100000</f>
        <v>-208.90746142073149</v>
      </c>
      <c r="T120">
        <f t="shared" ref="T120" si="579">S120/1000</f>
        <v>-0.20890746142073149</v>
      </c>
    </row>
    <row r="121" spans="1:20" x14ac:dyDescent="0.25">
      <c r="A121" s="5">
        <v>44472</v>
      </c>
      <c r="B121">
        <v>7.84</v>
      </c>
      <c r="C121">
        <v>8.19</v>
      </c>
      <c r="D121">
        <v>7.7</v>
      </c>
      <c r="E121">
        <v>7.91</v>
      </c>
      <c r="F121">
        <v>568469.12</v>
      </c>
      <c r="G121">
        <v>7.91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-0.14285714285714182</v>
      </c>
      <c r="Q121">
        <f t="shared" ref="Q121" si="581">F121*P121</f>
        <v>-81209.874285713697</v>
      </c>
      <c r="R121">
        <f t="shared" ref="R121" si="582">R122+Q121</f>
        <v>-21257357.125231043</v>
      </c>
      <c r="S121">
        <f t="shared" ref="S121" si="583">R121/100000</f>
        <v>-212.57357125231042</v>
      </c>
      <c r="T121">
        <f t="shared" ref="T121" si="584">S121/1000</f>
        <v>-0.21257357125231041</v>
      </c>
    </row>
    <row r="122" spans="1:20" x14ac:dyDescent="0.25">
      <c r="A122" s="5">
        <v>44471</v>
      </c>
      <c r="B122">
        <v>7.57</v>
      </c>
      <c r="C122">
        <v>8.8800000000000008</v>
      </c>
      <c r="D122">
        <v>7.28</v>
      </c>
      <c r="E122">
        <v>7.83</v>
      </c>
      <c r="F122">
        <v>1974202.09</v>
      </c>
      <c r="G122">
        <v>7.83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-0.31250000000000044</v>
      </c>
      <c r="Q122">
        <f t="shared" ref="Q122" si="586">F122*P122</f>
        <v>-616938.15312500088</v>
      </c>
      <c r="R122">
        <f t="shared" ref="R122" si="587">R123+Q122</f>
        <v>-21176147.25094533</v>
      </c>
      <c r="S122">
        <f t="shared" ref="S122" si="588">R122/100000</f>
        <v>-211.76147250945328</v>
      </c>
      <c r="T122">
        <f t="shared" ref="T122" si="589">S122/1000</f>
        <v>-0.21176147250945329</v>
      </c>
    </row>
    <row r="123" spans="1:20" x14ac:dyDescent="0.25">
      <c r="A123" s="5">
        <v>44470</v>
      </c>
      <c r="B123">
        <v>6.65</v>
      </c>
      <c r="C123">
        <v>7.69</v>
      </c>
      <c r="D123">
        <v>6.54</v>
      </c>
      <c r="E123">
        <v>7.56</v>
      </c>
      <c r="F123">
        <v>1036358.09</v>
      </c>
      <c r="G123">
        <v>7.56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0.77391304347825962</v>
      </c>
      <c r="Q123">
        <f t="shared" ref="Q123" si="591">F123*P123</f>
        <v>802051.04356521612</v>
      </c>
      <c r="R123">
        <f t="shared" ref="R123" si="592">R124+Q123</f>
        <v>-20559209.09782033</v>
      </c>
      <c r="S123">
        <f t="shared" ref="S123" si="593">R123/100000</f>
        <v>-205.59209097820332</v>
      </c>
      <c r="T123">
        <f t="shared" ref="T123" si="594">S123/1000</f>
        <v>-0.20559209097820333</v>
      </c>
    </row>
    <row r="124" spans="1:20" x14ac:dyDescent="0.25">
      <c r="A124" s="5">
        <v>44469</v>
      </c>
      <c r="B124">
        <v>6.61</v>
      </c>
      <c r="C124">
        <v>6.76</v>
      </c>
      <c r="D124">
        <v>6.42</v>
      </c>
      <c r="E124">
        <v>6.65</v>
      </c>
      <c r="F124">
        <v>661629.79</v>
      </c>
      <c r="G124">
        <v>6.65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0.35294117647059131</v>
      </c>
      <c r="Q124">
        <f t="shared" ref="Q124" si="596">F124*P124</f>
        <v>233516.39647059029</v>
      </c>
      <c r="R124">
        <f t="shared" ref="R124" si="597">R125+Q124</f>
        <v>-21361260.141385548</v>
      </c>
      <c r="S124">
        <f t="shared" ref="S124" si="598">R124/100000</f>
        <v>-213.61260141385549</v>
      </c>
      <c r="T124">
        <f t="shared" ref="T124" si="599">S124/1000</f>
        <v>-0.21361260141385549</v>
      </c>
    </row>
    <row r="125" spans="1:20" x14ac:dyDescent="0.25">
      <c r="A125" s="5">
        <v>44468</v>
      </c>
      <c r="B125">
        <v>6.4</v>
      </c>
      <c r="C125">
        <v>7.3</v>
      </c>
      <c r="D125">
        <v>6.31</v>
      </c>
      <c r="E125">
        <v>6.62</v>
      </c>
      <c r="F125">
        <v>962780.07</v>
      </c>
      <c r="G125">
        <v>6.62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-0.37373737373737287</v>
      </c>
      <c r="Q125">
        <f t="shared" ref="Q125" si="601">F125*P125</f>
        <v>-359826.89484848402</v>
      </c>
      <c r="R125">
        <f t="shared" ref="R125" si="602">R126+Q125</f>
        <v>-21594776.537856139</v>
      </c>
      <c r="S125">
        <f t="shared" ref="S125" si="603">R125/100000</f>
        <v>-215.9477653785614</v>
      </c>
      <c r="T125">
        <f t="shared" ref="T125" si="604">S125/1000</f>
        <v>-0.21594776537856139</v>
      </c>
    </row>
    <row r="126" spans="1:20" x14ac:dyDescent="0.25">
      <c r="A126" s="5">
        <v>44467</v>
      </c>
      <c r="B126">
        <v>6.31</v>
      </c>
      <c r="C126">
        <v>6.95</v>
      </c>
      <c r="D126">
        <v>6.07</v>
      </c>
      <c r="E126">
        <v>6.38</v>
      </c>
      <c r="F126">
        <v>637928.92000000004</v>
      </c>
      <c r="G126">
        <v>6.38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-0.29545454545454625</v>
      </c>
      <c r="Q126">
        <f t="shared" ref="Q126" si="606">F126*P126</f>
        <v>-188478.99909090961</v>
      </c>
      <c r="R126">
        <f t="shared" ref="R126" si="607">R127+Q126</f>
        <v>-21234949.643007655</v>
      </c>
      <c r="S126">
        <f t="shared" ref="S126" si="608">R126/100000</f>
        <v>-212.34949643007656</v>
      </c>
      <c r="T126">
        <f t="shared" ref="T126" si="609">S126/1000</f>
        <v>-0.21234949643007656</v>
      </c>
    </row>
    <row r="127" spans="1:20" x14ac:dyDescent="0.25">
      <c r="A127" s="5">
        <v>44466</v>
      </c>
      <c r="B127">
        <v>6.53</v>
      </c>
      <c r="C127">
        <v>6.99</v>
      </c>
      <c r="D127">
        <v>6.29</v>
      </c>
      <c r="E127">
        <v>6.32</v>
      </c>
      <c r="F127">
        <v>539227.93999999994</v>
      </c>
      <c r="G127">
        <v>6.32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-0.91428571428571359</v>
      </c>
      <c r="Q127">
        <f t="shared" ref="Q127" si="611">F127*P127</f>
        <v>-493008.40228571388</v>
      </c>
      <c r="R127">
        <f t="shared" ref="R127" si="612">R128+Q127</f>
        <v>-21046470.643916745</v>
      </c>
      <c r="S127">
        <f t="shared" ref="S127" si="613">R127/100000</f>
        <v>-210.46470643916746</v>
      </c>
      <c r="T127">
        <f t="shared" ref="T127" si="614">S127/1000</f>
        <v>-0.21046470643916745</v>
      </c>
    </row>
    <row r="128" spans="1:20" x14ac:dyDescent="0.25">
      <c r="A128" s="5">
        <v>44465</v>
      </c>
      <c r="B128">
        <v>6.68</v>
      </c>
      <c r="C128">
        <v>6.85</v>
      </c>
      <c r="D128">
        <v>5.98</v>
      </c>
      <c r="E128">
        <v>6.55</v>
      </c>
      <c r="F128">
        <v>708674.73</v>
      </c>
      <c r="G128">
        <v>6.55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0.31034482758620668</v>
      </c>
      <c r="Q128">
        <f t="shared" ref="Q128" si="616">F128*P128</f>
        <v>219933.53689655158</v>
      </c>
      <c r="R128">
        <f t="shared" ref="R128" si="617">R129+Q128</f>
        <v>-20553462.241631031</v>
      </c>
      <c r="S128">
        <f t="shared" ref="S128" si="618">R128/100000</f>
        <v>-205.5346224163103</v>
      </c>
      <c r="T128">
        <f t="shared" ref="T128" si="619">S128/1000</f>
        <v>-0.20553462241631029</v>
      </c>
    </row>
    <row r="129" spans="1:20" x14ac:dyDescent="0.25">
      <c r="A129" s="5">
        <v>44464</v>
      </c>
      <c r="B129">
        <v>6.87</v>
      </c>
      <c r="C129">
        <v>7.11</v>
      </c>
      <c r="D129">
        <v>6.54</v>
      </c>
      <c r="E129">
        <v>6.68</v>
      </c>
      <c r="F129">
        <v>747559.13</v>
      </c>
      <c r="G129">
        <v>6.68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-0.50877192982456276</v>
      </c>
      <c r="Q129">
        <f t="shared" ref="Q129" si="621">F129*P129</f>
        <v>-380337.1012280712</v>
      </c>
      <c r="R129">
        <f t="shared" ref="R129" si="622">R130+Q129</f>
        <v>-20773395.778527584</v>
      </c>
      <c r="S129">
        <f t="shared" ref="S129" si="623">R129/100000</f>
        <v>-207.73395778527583</v>
      </c>
      <c r="T129">
        <f t="shared" ref="T129" si="624">S129/1000</f>
        <v>-0.20773395778527584</v>
      </c>
    </row>
    <row r="130" spans="1:20" x14ac:dyDescent="0.25">
      <c r="A130" s="5">
        <v>44463</v>
      </c>
      <c r="B130">
        <v>7.54</v>
      </c>
      <c r="C130">
        <v>7.55</v>
      </c>
      <c r="D130">
        <v>6.38</v>
      </c>
      <c r="E130">
        <v>6.87</v>
      </c>
      <c r="F130">
        <v>826329.42</v>
      </c>
      <c r="G130">
        <v>6.87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-0.16239316239316198</v>
      </c>
      <c r="Q130">
        <f t="shared" ref="Q130" si="626">F130*P130</f>
        <v>-134190.24769230737</v>
      </c>
      <c r="R130">
        <f t="shared" ref="R130" si="627">R131+Q130</f>
        <v>-20393058.677299514</v>
      </c>
      <c r="S130">
        <f t="shared" ref="S130" si="628">R130/100000</f>
        <v>-203.93058677299516</v>
      </c>
      <c r="T130">
        <f t="shared" ref="T130" si="629">S130/1000</f>
        <v>-0.20393058677299516</v>
      </c>
    </row>
    <row r="131" spans="1:20" x14ac:dyDescent="0.25">
      <c r="A131" s="5">
        <v>44462</v>
      </c>
      <c r="B131">
        <v>7.56</v>
      </c>
      <c r="C131">
        <v>8.02</v>
      </c>
      <c r="D131">
        <v>7.34</v>
      </c>
      <c r="E131">
        <v>7.54</v>
      </c>
      <c r="F131">
        <v>1262711.1299999999</v>
      </c>
      <c r="G131">
        <v>7.54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-0.4117647058823522</v>
      </c>
      <c r="Q131">
        <f t="shared" ref="Q131" si="631">F131*P131</f>
        <v>-519939.87705882255</v>
      </c>
      <c r="R131">
        <f t="shared" ref="R131" si="632">R132+Q131</f>
        <v>-20258868.429607209</v>
      </c>
      <c r="S131">
        <f t="shared" ref="S131" si="633">R131/100000</f>
        <v>-202.58868429607207</v>
      </c>
      <c r="T131">
        <f t="shared" ref="T131" si="634">S131/1000</f>
        <v>-0.20258868429607207</v>
      </c>
    </row>
    <row r="132" spans="1:20" x14ac:dyDescent="0.25">
      <c r="A132" s="5">
        <v>44461</v>
      </c>
      <c r="B132">
        <v>6.49</v>
      </c>
      <c r="C132">
        <v>7.6</v>
      </c>
      <c r="D132">
        <v>6.43</v>
      </c>
      <c r="E132">
        <v>7.56</v>
      </c>
      <c r="F132">
        <v>1196810.8400000001</v>
      </c>
      <c r="G132">
        <v>7.56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0.93162393162393153</v>
      </c>
      <c r="Q132">
        <f t="shared" ref="Q132" si="636">F132*P132</f>
        <v>1114977.6201709402</v>
      </c>
      <c r="R132">
        <f t="shared" ref="R132" si="637">R133+Q132</f>
        <v>-19738928.552548386</v>
      </c>
      <c r="S132">
        <f t="shared" ref="S132" si="638">R132/100000</f>
        <v>-197.38928552548387</v>
      </c>
      <c r="T132">
        <f t="shared" ref="T132" si="639">S132/1000</f>
        <v>-0.19738928552548388</v>
      </c>
    </row>
    <row r="133" spans="1:20" x14ac:dyDescent="0.25">
      <c r="A133" s="5">
        <v>44460</v>
      </c>
      <c r="B133">
        <v>7.56</v>
      </c>
      <c r="C133">
        <v>7.91</v>
      </c>
      <c r="D133">
        <v>6.3</v>
      </c>
      <c r="E133">
        <v>6.49</v>
      </c>
      <c r="F133">
        <v>1593380.4680000001</v>
      </c>
      <c r="G133">
        <v>6.49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-0.76397515527950266</v>
      </c>
      <c r="Q133">
        <f t="shared" ref="Q133" si="641">F133*P133</f>
        <v>-1217303.0904596266</v>
      </c>
      <c r="R133">
        <f t="shared" ref="R133" si="642">R134+Q133</f>
        <v>-20853906.172719326</v>
      </c>
      <c r="S133">
        <f t="shared" ref="S133" si="643">R133/100000</f>
        <v>-208.53906172719326</v>
      </c>
      <c r="T133">
        <f t="shared" ref="T133" si="644">S133/1000</f>
        <v>-0.20853906172719325</v>
      </c>
    </row>
    <row r="134" spans="1:20" x14ac:dyDescent="0.25">
      <c r="A134" s="5">
        <v>44459</v>
      </c>
      <c r="B134">
        <v>8.77</v>
      </c>
      <c r="C134">
        <v>8.7899999999999991</v>
      </c>
      <c r="D134">
        <v>7.97</v>
      </c>
      <c r="E134">
        <v>8.08</v>
      </c>
      <c r="F134">
        <v>713411.09</v>
      </c>
      <c r="G134">
        <v>8.08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-0.73170731707316972</v>
      </c>
      <c r="Q134">
        <f t="shared" ref="Q134" si="646">F134*P134</f>
        <v>-522008.11463414558</v>
      </c>
      <c r="R134">
        <f t="shared" ref="R134" si="647">R135+Q134</f>
        <v>-19636603.0822597</v>
      </c>
      <c r="S134">
        <f t="shared" ref="S134" si="648">R134/100000</f>
        <v>-196.366030822597</v>
      </c>
      <c r="T134">
        <f t="shared" ref="T134" si="649">S134/1000</f>
        <v>-0.19636603082259699</v>
      </c>
    </row>
    <row r="135" spans="1:20" x14ac:dyDescent="0.25">
      <c r="A135" s="5">
        <v>44458</v>
      </c>
      <c r="B135">
        <v>8.93</v>
      </c>
      <c r="C135">
        <v>9.39</v>
      </c>
      <c r="D135">
        <v>8.61</v>
      </c>
      <c r="E135">
        <v>8.75</v>
      </c>
      <c r="F135">
        <v>906125.86</v>
      </c>
      <c r="G135">
        <v>8.75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-0.64102564102564008</v>
      </c>
      <c r="Q135">
        <f t="shared" ref="Q135" si="651">F135*P135</f>
        <v>-580849.91025640944</v>
      </c>
      <c r="R135">
        <f t="shared" ref="R135" si="652">R136+Q135</f>
        <v>-19114594.967625555</v>
      </c>
      <c r="S135">
        <f t="shared" ref="S135" si="653">R135/100000</f>
        <v>-191.14594967625555</v>
      </c>
      <c r="T135">
        <f t="shared" ref="T135" si="654">S135/1000</f>
        <v>-0.19114594967625556</v>
      </c>
    </row>
    <row r="136" spans="1:20" x14ac:dyDescent="0.25">
      <c r="A136" s="5">
        <v>44457</v>
      </c>
      <c r="B136">
        <v>8.26</v>
      </c>
      <c r="C136">
        <v>10.4</v>
      </c>
      <c r="D136">
        <v>8.15</v>
      </c>
      <c r="E136">
        <v>8.93</v>
      </c>
      <c r="F136">
        <v>2398359.17</v>
      </c>
      <c r="G136">
        <v>8.93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-0.30666666666666725</v>
      </c>
      <c r="Q136">
        <f t="shared" ref="Q136" si="656">F136*P136</f>
        <v>-735496.81213333469</v>
      </c>
      <c r="R136">
        <f t="shared" ref="R136" si="657">R137+Q136</f>
        <v>-18533745.057369146</v>
      </c>
      <c r="S136">
        <f t="shared" ref="S136" si="658">R136/100000</f>
        <v>-185.33745057369146</v>
      </c>
      <c r="T136">
        <f t="shared" ref="T136" si="659">S136/1000</f>
        <v>-0.18533745057369144</v>
      </c>
    </row>
    <row r="137" spans="1:20" x14ac:dyDescent="0.25">
      <c r="A137" s="5">
        <v>44456</v>
      </c>
      <c r="B137">
        <v>8.74</v>
      </c>
      <c r="C137">
        <v>8.9700000000000006</v>
      </c>
      <c r="D137">
        <v>8.07</v>
      </c>
      <c r="E137">
        <v>8.25</v>
      </c>
      <c r="F137">
        <v>598379.19999999995</v>
      </c>
      <c r="G137">
        <v>8.25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-0.60000000000000075</v>
      </c>
      <c r="Q137">
        <f t="shared" ref="Q137" si="661">F137*P137</f>
        <v>-359027.52000000043</v>
      </c>
      <c r="R137">
        <f t="shared" ref="R137" si="662">R138+Q137</f>
        <v>-17798248.245235812</v>
      </c>
      <c r="S137">
        <f t="shared" ref="S137" si="663">R137/100000</f>
        <v>-177.98248245235811</v>
      </c>
      <c r="T137">
        <f t="shared" ref="T137" si="664">S137/1000</f>
        <v>-0.17798248245235812</v>
      </c>
    </row>
    <row r="138" spans="1:20" x14ac:dyDescent="0.25">
      <c r="A138" s="5">
        <v>44455</v>
      </c>
      <c r="B138">
        <v>8.81</v>
      </c>
      <c r="C138">
        <v>8.98</v>
      </c>
      <c r="D138">
        <v>8.49</v>
      </c>
      <c r="E138">
        <v>8.74</v>
      </c>
      <c r="F138">
        <v>693576.58</v>
      </c>
      <c r="G138">
        <v>8.74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2.040816326530568E-2</v>
      </c>
      <c r="Q138">
        <f t="shared" ref="Q138" si="666">F138*P138</f>
        <v>14154.624081632346</v>
      </c>
      <c r="R138">
        <f t="shared" ref="R138" si="667">R139+Q138</f>
        <v>-17439220.725235812</v>
      </c>
      <c r="S138">
        <f t="shared" ref="S138" si="668">R138/100000</f>
        <v>-174.39220725235813</v>
      </c>
      <c r="T138">
        <f t="shared" ref="T138" si="669">S138/1000</f>
        <v>-0.17439220725235813</v>
      </c>
    </row>
    <row r="139" spans="1:20" x14ac:dyDescent="0.25">
      <c r="A139" s="5">
        <v>44454</v>
      </c>
      <c r="B139">
        <v>8.5</v>
      </c>
      <c r="C139">
        <v>8.99</v>
      </c>
      <c r="D139">
        <v>8.42</v>
      </c>
      <c r="E139">
        <v>8.81</v>
      </c>
      <c r="F139">
        <v>425659.64</v>
      </c>
      <c r="G139">
        <v>8.81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0.36842105263158026</v>
      </c>
      <c r="Q139">
        <f t="shared" ref="Q139" si="671">F139*P139</f>
        <v>156821.9726315795</v>
      </c>
      <c r="R139">
        <f t="shared" ref="R139" si="672">R140+Q139</f>
        <v>-17453375.349317446</v>
      </c>
      <c r="S139">
        <f t="shared" ref="S139" si="673">R139/100000</f>
        <v>-174.53375349317446</v>
      </c>
      <c r="T139">
        <f t="shared" ref="T139" si="674">S139/1000</f>
        <v>-0.17453375349317446</v>
      </c>
    </row>
    <row r="140" spans="1:20" x14ac:dyDescent="0.25">
      <c r="A140" s="5">
        <v>44453</v>
      </c>
      <c r="B140">
        <v>8.15</v>
      </c>
      <c r="C140">
        <v>8.61</v>
      </c>
      <c r="D140">
        <v>8.09</v>
      </c>
      <c r="E140">
        <v>8.5</v>
      </c>
      <c r="F140">
        <v>429819.4</v>
      </c>
      <c r="G140">
        <v>8.5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0.57692307692307876</v>
      </c>
      <c r="Q140">
        <f t="shared" ref="Q140" si="676">F140*P140</f>
        <v>247972.73076923157</v>
      </c>
      <c r="R140">
        <f t="shared" ref="R140" si="677">R141+Q140</f>
        <v>-17610197.321949027</v>
      </c>
      <c r="S140">
        <f t="shared" ref="S140" si="678">R140/100000</f>
        <v>-176.10197321949028</v>
      </c>
      <c r="T140">
        <f t="shared" ref="T140" si="679">S140/1000</f>
        <v>-0.17610197321949028</v>
      </c>
    </row>
    <row r="141" spans="1:20" x14ac:dyDescent="0.25">
      <c r="A141" s="5">
        <v>44452</v>
      </c>
      <c r="B141">
        <v>8.94</v>
      </c>
      <c r="C141">
        <v>9.0299999999999994</v>
      </c>
      <c r="D141">
        <v>7.97</v>
      </c>
      <c r="E141">
        <v>8.17</v>
      </c>
      <c r="F141">
        <v>680486.78</v>
      </c>
      <c r="G141">
        <v>8.17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-0.62264150943396179</v>
      </c>
      <c r="Q141">
        <f t="shared" ref="Q141" si="681">F141*P141</f>
        <v>-423699.31584905629</v>
      </c>
      <c r="R141">
        <f t="shared" ref="R141" si="682">R142+Q141</f>
        <v>-17858170.052718259</v>
      </c>
      <c r="S141">
        <f t="shared" ref="S141" si="683">R141/100000</f>
        <v>-178.58170052718259</v>
      </c>
      <c r="T141">
        <f t="shared" ref="T141" si="684">S141/1000</f>
        <v>-0.17858170052718259</v>
      </c>
    </row>
    <row r="142" spans="1:20" x14ac:dyDescent="0.25">
      <c r="A142" s="5">
        <v>44451</v>
      </c>
      <c r="B142">
        <v>8.84</v>
      </c>
      <c r="C142">
        <v>9.1999999999999993</v>
      </c>
      <c r="D142">
        <v>8.5299999999999994</v>
      </c>
      <c r="E142">
        <v>8.93</v>
      </c>
      <c r="F142">
        <v>648509.78</v>
      </c>
      <c r="G142">
        <v>8.93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0.19402985074626986</v>
      </c>
      <c r="Q142">
        <f t="shared" ref="Q142" si="686">F142*P142</f>
        <v>125830.2558208963</v>
      </c>
      <c r="R142">
        <f t="shared" ref="R142" si="687">R143+Q142</f>
        <v>-17434470.736869205</v>
      </c>
      <c r="S142">
        <f t="shared" ref="S142" si="688">R142/100000</f>
        <v>-174.34470736869204</v>
      </c>
      <c r="T142">
        <f t="shared" ref="T142" si="689">S142/1000</f>
        <v>-0.17434470736869204</v>
      </c>
    </row>
    <row r="143" spans="1:20" x14ac:dyDescent="0.25">
      <c r="A143" s="5">
        <v>44450</v>
      </c>
      <c r="B143">
        <v>8.1999999999999993</v>
      </c>
      <c r="C143">
        <v>9.2899999999999991</v>
      </c>
      <c r="D143">
        <v>8.0299999999999994</v>
      </c>
      <c r="E143">
        <v>8.85</v>
      </c>
      <c r="F143">
        <v>940456</v>
      </c>
      <c r="G143">
        <v>8.85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0.30158730158730224</v>
      </c>
      <c r="Q143">
        <f t="shared" ref="Q143" si="691">F143*P143</f>
        <v>283629.58730158792</v>
      </c>
      <c r="R143">
        <f t="shared" ref="R143" si="692">R144+Q143</f>
        <v>-17560300.992690101</v>
      </c>
      <c r="S143">
        <f t="shared" ref="S143" si="693">R143/100000</f>
        <v>-175.60300992690102</v>
      </c>
      <c r="T143">
        <f t="shared" ref="T143" si="694">S143/1000</f>
        <v>-0.17560300992690103</v>
      </c>
    </row>
    <row r="144" spans="1:20" x14ac:dyDescent="0.25">
      <c r="A144" s="5">
        <v>44449</v>
      </c>
      <c r="B144">
        <v>8.84</v>
      </c>
      <c r="C144">
        <v>9.09</v>
      </c>
      <c r="D144">
        <v>7.95</v>
      </c>
      <c r="E144">
        <v>8.18</v>
      </c>
      <c r="F144">
        <v>787710.92</v>
      </c>
      <c r="G144">
        <v>8.18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-0.59649122807017618</v>
      </c>
      <c r="Q144">
        <f t="shared" ref="Q144" si="696">F144*P144</f>
        <v>-469862.65403508832</v>
      </c>
      <c r="R144">
        <f t="shared" ref="R144" si="697">R145+Q144</f>
        <v>-17843930.579991691</v>
      </c>
      <c r="S144">
        <f t="shared" ref="S144" si="698">R144/100000</f>
        <v>-178.43930579991689</v>
      </c>
      <c r="T144">
        <f t="shared" ref="T144" si="699">S144/1000</f>
        <v>-0.1784393057999169</v>
      </c>
    </row>
    <row r="145" spans="1:20" x14ac:dyDescent="0.25">
      <c r="A145" s="5">
        <v>44448</v>
      </c>
      <c r="B145">
        <v>8.9</v>
      </c>
      <c r="C145">
        <v>9.36</v>
      </c>
      <c r="D145">
        <v>8.5</v>
      </c>
      <c r="E145">
        <v>8.84</v>
      </c>
      <c r="F145">
        <v>963142.21</v>
      </c>
      <c r="G145">
        <v>8.84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-0.20930232558139517</v>
      </c>
      <c r="Q145">
        <f t="shared" ref="Q145" si="701">F145*P145</f>
        <v>-201587.90441860448</v>
      </c>
      <c r="R145">
        <f t="shared" ref="R145" si="702">R146+Q145</f>
        <v>-17374067.925956603</v>
      </c>
      <c r="S145">
        <f t="shared" ref="S145" si="703">R145/100000</f>
        <v>-173.74067925956604</v>
      </c>
      <c r="T145">
        <f t="shared" ref="T145" si="704">S145/1000</f>
        <v>-0.17374067925956604</v>
      </c>
    </row>
    <row r="146" spans="1:20" x14ac:dyDescent="0.25">
      <c r="A146" s="5">
        <v>44447</v>
      </c>
      <c r="B146">
        <v>9.15</v>
      </c>
      <c r="C146">
        <v>9.4</v>
      </c>
      <c r="D146">
        <v>7.72</v>
      </c>
      <c r="E146">
        <v>8.8800000000000008</v>
      </c>
      <c r="F146">
        <v>1554920.4210000001</v>
      </c>
      <c r="G146">
        <v>8.8800000000000008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0.38095238095238171</v>
      </c>
      <c r="Q146">
        <f t="shared" ref="Q146" si="706">F146*P146</f>
        <v>592350.63657142979</v>
      </c>
      <c r="R146">
        <f t="shared" ref="R146" si="707">R147+Q146</f>
        <v>-17172480.021537997</v>
      </c>
      <c r="S146">
        <f t="shared" ref="S146" si="708">R146/100000</f>
        <v>-171.72480021537996</v>
      </c>
      <c r="T146">
        <f t="shared" ref="T146" si="709">S146/1000</f>
        <v>-0.17172480021537995</v>
      </c>
    </row>
    <row r="147" spans="1:20" x14ac:dyDescent="0.25">
      <c r="A147" s="5">
        <v>44446</v>
      </c>
      <c r="B147">
        <v>11.67</v>
      </c>
      <c r="C147">
        <v>12</v>
      </c>
      <c r="D147">
        <v>7.9379999999999997</v>
      </c>
      <c r="E147">
        <v>9.14</v>
      </c>
      <c r="F147">
        <v>2032993.054</v>
      </c>
      <c r="G147">
        <v>9.14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-0.40817331363860132</v>
      </c>
      <c r="Q147">
        <f t="shared" ref="Q147" si="711">F147*P147</f>
        <v>-829813.51145543996</v>
      </c>
      <c r="R147">
        <f t="shared" ref="R147" si="712">R148+Q147</f>
        <v>-17764830.658109426</v>
      </c>
      <c r="S147">
        <f t="shared" ref="S147" si="713">R147/100000</f>
        <v>-177.64830658109426</v>
      </c>
      <c r="T147">
        <f t="shared" ref="T147" si="714">S147/1000</f>
        <v>-0.17764830658109426</v>
      </c>
    </row>
    <row r="148" spans="1:20" x14ac:dyDescent="0.25">
      <c r="A148" s="5">
        <v>44445</v>
      </c>
      <c r="B148">
        <v>11.15</v>
      </c>
      <c r="C148">
        <v>12.2</v>
      </c>
      <c r="D148">
        <v>10.81</v>
      </c>
      <c r="E148">
        <v>11.68</v>
      </c>
      <c r="F148">
        <v>2172726.36</v>
      </c>
      <c r="G148">
        <v>11.68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0.25179856115107913</v>
      </c>
      <c r="Q148">
        <f t="shared" ref="Q148" si="716">F148*P148</f>
        <v>547089.37122302153</v>
      </c>
      <c r="R148">
        <f t="shared" ref="R148" si="717">R149+Q148</f>
        <v>-16935017.146653987</v>
      </c>
      <c r="S148">
        <f t="shared" ref="S148" si="718">R148/100000</f>
        <v>-169.35017146653988</v>
      </c>
      <c r="T148">
        <f t="shared" ref="T148" si="719">S148/1000</f>
        <v>-0.16935017146653988</v>
      </c>
    </row>
    <row r="149" spans="1:20" x14ac:dyDescent="0.25">
      <c r="A149" s="5">
        <v>44444</v>
      </c>
      <c r="B149">
        <v>11.18</v>
      </c>
      <c r="C149">
        <v>11.19</v>
      </c>
      <c r="D149">
        <v>10.77</v>
      </c>
      <c r="E149">
        <v>11.16</v>
      </c>
      <c r="F149">
        <v>898503.29</v>
      </c>
      <c r="G149">
        <v>11.16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0.8571428571428602</v>
      </c>
      <c r="Q149">
        <f t="shared" ref="Q149" si="721">F149*P149</f>
        <v>770145.6771428599</v>
      </c>
      <c r="R149">
        <f t="shared" ref="R149" si="722">R150+Q149</f>
        <v>-17482106.517877009</v>
      </c>
      <c r="S149">
        <f t="shared" ref="S149" si="723">R149/100000</f>
        <v>-174.82106517877008</v>
      </c>
      <c r="T149">
        <f t="shared" ref="T149" si="724">S149/1000</f>
        <v>-0.17482106517877008</v>
      </c>
    </row>
    <row r="150" spans="1:20" x14ac:dyDescent="0.25">
      <c r="A150" s="5">
        <v>44443</v>
      </c>
      <c r="B150">
        <v>10.91</v>
      </c>
      <c r="C150">
        <v>11.3</v>
      </c>
      <c r="D150">
        <v>10.8</v>
      </c>
      <c r="E150">
        <v>11.19</v>
      </c>
      <c r="F150">
        <v>1160160.69</v>
      </c>
      <c r="G150">
        <v>11.19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0.55999999999999517</v>
      </c>
      <c r="Q150">
        <f t="shared" ref="Q150" si="726">F150*P150</f>
        <v>649689.98639999435</v>
      </c>
      <c r="R150">
        <f t="shared" ref="R150" si="727">R151+Q150</f>
        <v>-18252252.195019867</v>
      </c>
      <c r="S150">
        <f t="shared" ref="S150" si="728">R150/100000</f>
        <v>-182.52252195019867</v>
      </c>
      <c r="T150">
        <f t="shared" ref="T150" si="729">S150/1000</f>
        <v>-0.18252252195019866</v>
      </c>
    </row>
    <row r="151" spans="1:20" x14ac:dyDescent="0.25">
      <c r="A151" s="5">
        <v>44442</v>
      </c>
      <c r="B151">
        <v>11.03</v>
      </c>
      <c r="C151">
        <v>11.34</v>
      </c>
      <c r="D151">
        <v>10.71</v>
      </c>
      <c r="E151">
        <v>10.91</v>
      </c>
      <c r="F151">
        <v>1007275.61</v>
      </c>
      <c r="G151">
        <v>10.91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-0.36507936507936634</v>
      </c>
      <c r="Q151">
        <f t="shared" ref="Q151" si="731">F151*P151</f>
        <v>-367735.5401587314</v>
      </c>
      <c r="R151">
        <f t="shared" ref="R151" si="732">R152+Q151</f>
        <v>-18901942.181419861</v>
      </c>
      <c r="S151">
        <f t="shared" ref="S151" si="733">R151/100000</f>
        <v>-189.01942181419861</v>
      </c>
      <c r="T151">
        <f t="shared" ref="T151" si="734">S151/1000</f>
        <v>-0.18901942181419862</v>
      </c>
    </row>
    <row r="152" spans="1:20" x14ac:dyDescent="0.25">
      <c r="A152" s="5">
        <v>44441</v>
      </c>
      <c r="B152">
        <v>11.23</v>
      </c>
      <c r="C152">
        <v>11.55</v>
      </c>
      <c r="D152">
        <v>10.92</v>
      </c>
      <c r="E152">
        <v>11.03</v>
      </c>
      <c r="F152">
        <v>1139763.27</v>
      </c>
      <c r="G152">
        <v>11.03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-0.65079365079365303</v>
      </c>
      <c r="Q152">
        <f t="shared" ref="Q152" si="736">F152*P152</f>
        <v>-741750.69952381204</v>
      </c>
      <c r="R152">
        <f t="shared" ref="R152" si="737">R153+Q152</f>
        <v>-18534206.641261131</v>
      </c>
      <c r="S152">
        <f t="shared" ref="S152" si="738">R152/100000</f>
        <v>-185.3420664126113</v>
      </c>
      <c r="T152">
        <f t="shared" ref="T152" si="739">S152/1000</f>
        <v>-0.18534206641261131</v>
      </c>
    </row>
    <row r="153" spans="1:20" x14ac:dyDescent="0.25">
      <c r="A153" s="5">
        <v>44440</v>
      </c>
      <c r="B153">
        <v>11.17</v>
      </c>
      <c r="C153">
        <v>11.4</v>
      </c>
      <c r="D153">
        <v>10.66</v>
      </c>
      <c r="E153">
        <v>11.24</v>
      </c>
      <c r="F153">
        <v>1098680.9099999999</v>
      </c>
      <c r="G153">
        <v>11.24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0.56756756756756732</v>
      </c>
      <c r="Q153">
        <f t="shared" ref="Q153" si="741">F153*P153</f>
        <v>623575.65162162133</v>
      </c>
      <c r="R153">
        <f t="shared" ref="R153" si="742">R154+Q153</f>
        <v>-17792455.94173732</v>
      </c>
      <c r="S153">
        <f t="shared" ref="S153" si="743">R153/100000</f>
        <v>-177.92455941737319</v>
      </c>
      <c r="T153">
        <f t="shared" ref="T153" si="744">S153/1000</f>
        <v>-0.1779245594173732</v>
      </c>
    </row>
    <row r="154" spans="1:20" x14ac:dyDescent="0.25">
      <c r="A154" s="5">
        <v>44439</v>
      </c>
      <c r="B154">
        <v>11.36</v>
      </c>
      <c r="C154">
        <v>11.89</v>
      </c>
      <c r="D154">
        <v>11</v>
      </c>
      <c r="E154">
        <v>11.17</v>
      </c>
      <c r="F154">
        <v>1689697.99</v>
      </c>
      <c r="G154">
        <v>11.17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-0.61797752808988804</v>
      </c>
      <c r="Q154">
        <f t="shared" ref="Q154" si="746">F154*P154</f>
        <v>-1044195.3870786524</v>
      </c>
      <c r="R154">
        <f t="shared" ref="R154" si="747">R155+Q154</f>
        <v>-18416031.593358941</v>
      </c>
      <c r="S154">
        <f t="shared" ref="S154" si="748">R154/100000</f>
        <v>-184.1603159335894</v>
      </c>
      <c r="T154">
        <f t="shared" ref="T154" si="749">S154/1000</f>
        <v>-0.18416031593358939</v>
      </c>
    </row>
    <row r="155" spans="1:20" x14ac:dyDescent="0.25">
      <c r="A155" s="5">
        <v>44438</v>
      </c>
      <c r="B155">
        <v>13.1</v>
      </c>
      <c r="C155">
        <v>13.35</v>
      </c>
      <c r="D155">
        <v>11.17</v>
      </c>
      <c r="E155">
        <v>11.37</v>
      </c>
      <c r="F155">
        <v>2985404.24</v>
      </c>
      <c r="G155">
        <v>11.37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-0.81651376146789056</v>
      </c>
      <c r="Q155">
        <f t="shared" ref="Q155" si="751">F155*P155</f>
        <v>-2437623.6455045892</v>
      </c>
      <c r="R155">
        <f t="shared" ref="R155" si="752">R156+Q155</f>
        <v>-17371836.206280287</v>
      </c>
      <c r="S155">
        <f t="shared" ref="S155" si="753">R155/100000</f>
        <v>-173.71836206280287</v>
      </c>
      <c r="T155">
        <f t="shared" ref="T155" si="754">S155/1000</f>
        <v>-0.17371836206280286</v>
      </c>
    </row>
    <row r="156" spans="1:20" x14ac:dyDescent="0.25">
      <c r="A156" s="5">
        <v>44437</v>
      </c>
      <c r="B156">
        <v>11</v>
      </c>
      <c r="C156">
        <v>13.6</v>
      </c>
      <c r="D156">
        <v>10.75</v>
      </c>
      <c r="E156">
        <v>13.09</v>
      </c>
      <c r="F156">
        <v>5222367.648</v>
      </c>
      <c r="G156">
        <v>13.09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0.64210526315789485</v>
      </c>
      <c r="Q156">
        <f t="shared" ref="Q156" si="756">F156*P156</f>
        <v>3353309.7529263166</v>
      </c>
      <c r="R156">
        <f t="shared" ref="R156" si="757">R157+Q156</f>
        <v>-14934212.560775697</v>
      </c>
      <c r="S156">
        <f t="shared" ref="S156" si="758">R156/100000</f>
        <v>-149.34212560775697</v>
      </c>
      <c r="T156">
        <f t="shared" ref="T156" si="759">S156/1000</f>
        <v>-0.14934212560775698</v>
      </c>
    </row>
    <row r="157" spans="1:20" x14ac:dyDescent="0.25">
      <c r="A157" s="5">
        <v>44436</v>
      </c>
      <c r="B157">
        <v>11</v>
      </c>
      <c r="C157">
        <v>11.67</v>
      </c>
      <c r="D157">
        <v>10.47</v>
      </c>
      <c r="E157">
        <v>11</v>
      </c>
      <c r="F157">
        <v>2115563.3620000002</v>
      </c>
      <c r="G157">
        <v>11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-0.11666666666666721</v>
      </c>
      <c r="Q157">
        <f t="shared" ref="Q157" si="761">F157*P157</f>
        <v>-246815.72556666782</v>
      </c>
      <c r="R157">
        <f t="shared" ref="R157" si="762">R158+Q157</f>
        <v>-18287522.313702013</v>
      </c>
      <c r="S157">
        <f t="shared" ref="S157" si="763">R157/100000</f>
        <v>-182.87522313702013</v>
      </c>
      <c r="T157">
        <f t="shared" ref="T157" si="764">S157/1000</f>
        <v>-0.18287522313702012</v>
      </c>
    </row>
    <row r="158" spans="1:20" x14ac:dyDescent="0.25">
      <c r="A158" s="5">
        <v>44435</v>
      </c>
      <c r="B158">
        <v>10.15</v>
      </c>
      <c r="C158">
        <v>11.08</v>
      </c>
      <c r="D158">
        <v>9.7100000000000009</v>
      </c>
      <c r="E158">
        <v>11.02</v>
      </c>
      <c r="F158">
        <v>1473345.2050000001</v>
      </c>
      <c r="G158">
        <v>11.02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0.91240875912408681</v>
      </c>
      <c r="Q158">
        <f t="shared" ref="Q158" si="766">F158*P158</f>
        <v>1344293.0702554733</v>
      </c>
      <c r="R158">
        <f t="shared" ref="R158" si="767">R159+Q158</f>
        <v>-18040706.588135347</v>
      </c>
      <c r="S158">
        <f t="shared" ref="S158" si="768">R158/100000</f>
        <v>-180.40706588135347</v>
      </c>
      <c r="T158">
        <f t="shared" ref="T158" si="769">S158/1000</f>
        <v>-0.18040706588135347</v>
      </c>
    </row>
    <row r="159" spans="1:20" x14ac:dyDescent="0.25">
      <c r="A159" s="5">
        <v>44434</v>
      </c>
      <c r="B159">
        <v>11.214</v>
      </c>
      <c r="C159">
        <v>11.95</v>
      </c>
      <c r="D159">
        <v>10.08</v>
      </c>
      <c r="E159">
        <v>10.14</v>
      </c>
      <c r="F159">
        <v>2619061.125</v>
      </c>
      <c r="G159">
        <v>10.14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-0.935828877005347</v>
      </c>
      <c r="Q159">
        <f t="shared" ref="Q159" si="771">F159*P159</f>
        <v>-2450993.0314171109</v>
      </c>
      <c r="R159">
        <f t="shared" ref="R159" si="772">R160+Q159</f>
        <v>-19384999.65839082</v>
      </c>
      <c r="S159">
        <f t="shared" ref="S159" si="773">R159/100000</f>
        <v>-193.84999658390819</v>
      </c>
      <c r="T159">
        <f t="shared" ref="T159" si="774">S159/1000</f>
        <v>-0.1938499965839082</v>
      </c>
    </row>
    <row r="160" spans="1:20" x14ac:dyDescent="0.25">
      <c r="A160" s="5">
        <v>44433</v>
      </c>
      <c r="B160">
        <v>9.85</v>
      </c>
      <c r="C160">
        <v>11.768000000000001</v>
      </c>
      <c r="D160">
        <v>9.3350000000000009</v>
      </c>
      <c r="E160">
        <v>11.214</v>
      </c>
      <c r="F160">
        <v>4548230.375</v>
      </c>
      <c r="G160">
        <v>11.214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0.54459515002055048</v>
      </c>
      <c r="Q160">
        <f t="shared" ref="Q160" si="776">F160*P160</f>
        <v>2476944.2034011497</v>
      </c>
      <c r="R160">
        <f t="shared" ref="R160" si="777">R161+Q160</f>
        <v>-16934006.626973711</v>
      </c>
      <c r="S160">
        <f t="shared" ref="S160" si="778">R160/100000</f>
        <v>-169.34006626973712</v>
      </c>
      <c r="T160">
        <f t="shared" ref="T160" si="779">S160/1000</f>
        <v>-0.16934006626973713</v>
      </c>
    </row>
    <row r="161" spans="1:20" x14ac:dyDescent="0.25">
      <c r="A161" s="5">
        <v>44432</v>
      </c>
      <c r="B161">
        <v>10.885999999999999</v>
      </c>
      <c r="C161">
        <v>11.131</v>
      </c>
      <c r="D161">
        <v>9.6709999999999994</v>
      </c>
      <c r="E161">
        <v>9.8469999999999995</v>
      </c>
      <c r="F161">
        <v>2363709.017</v>
      </c>
      <c r="G161">
        <v>9.8469999999999995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-0.75890410958904098</v>
      </c>
      <c r="Q161">
        <f t="shared" ref="Q161" si="781">F161*P161</f>
        <v>-1793828.4868739722</v>
      </c>
      <c r="R161">
        <f t="shared" ref="R161" si="782">R162+Q161</f>
        <v>-19410950.830374859</v>
      </c>
      <c r="S161">
        <f t="shared" ref="S161" si="783">R161/100000</f>
        <v>-194.10950830374858</v>
      </c>
      <c r="T161">
        <f t="shared" ref="T161" si="784">S161/1000</f>
        <v>-0.1941095083037486</v>
      </c>
    </row>
    <row r="162" spans="1:20" x14ac:dyDescent="0.25">
      <c r="A162" s="5">
        <v>44431</v>
      </c>
      <c r="B162">
        <v>11.07</v>
      </c>
      <c r="C162">
        <v>11.73</v>
      </c>
      <c r="D162">
        <v>10.711</v>
      </c>
      <c r="E162">
        <v>10.885999999999999</v>
      </c>
      <c r="F162">
        <v>2544154.2510000002</v>
      </c>
      <c r="G162">
        <v>10.885999999999999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-0.65652600588812771</v>
      </c>
      <c r="Q162">
        <f t="shared" ref="Q162" si="786">F162*P162</f>
        <v>-1670303.4287723312</v>
      </c>
      <c r="R162">
        <f t="shared" ref="R162" si="787">R163+Q162</f>
        <v>-17617122.343500886</v>
      </c>
      <c r="S162">
        <f t="shared" ref="S162" si="788">R162/100000</f>
        <v>-176.17122343500887</v>
      </c>
      <c r="T162">
        <f t="shared" ref="T162" si="789">S162/1000</f>
        <v>-0.17617122343500888</v>
      </c>
    </row>
    <row r="163" spans="1:20" x14ac:dyDescent="0.25">
      <c r="A163" s="5">
        <v>44430</v>
      </c>
      <c r="B163">
        <v>11.651</v>
      </c>
      <c r="C163">
        <v>12.005000000000001</v>
      </c>
      <c r="D163">
        <v>11.193</v>
      </c>
      <c r="E163">
        <v>11.382999999999999</v>
      </c>
      <c r="F163">
        <v>759583.25300000003</v>
      </c>
      <c r="G163">
        <v>11.382999999999999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-0.53201970443349944</v>
      </c>
      <c r="Q163">
        <f t="shared" ref="Q163" si="791">F163*P163</f>
        <v>-404113.25775369606</v>
      </c>
      <c r="R163">
        <f t="shared" ref="R163" si="792">R164+Q163</f>
        <v>-15946818.914728556</v>
      </c>
      <c r="S163">
        <f t="shared" ref="S163" si="793">R163/100000</f>
        <v>-159.46818914728556</v>
      </c>
      <c r="T163">
        <f t="shared" ref="T163" si="794">S163/1000</f>
        <v>-0.15946818914728556</v>
      </c>
    </row>
    <row r="164" spans="1:20" x14ac:dyDescent="0.25">
      <c r="A164" s="5">
        <v>44429</v>
      </c>
      <c r="B164">
        <v>10.179</v>
      </c>
      <c r="C164">
        <v>12.823</v>
      </c>
      <c r="D164">
        <v>10.007</v>
      </c>
      <c r="E164">
        <v>11.651999999999999</v>
      </c>
      <c r="F164">
        <v>5860304.8449999997</v>
      </c>
      <c r="G164">
        <v>11.651999999999999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0.16832386363636304</v>
      </c>
      <c r="Q164">
        <f t="shared" ref="Q164" si="796">F164*P164</f>
        <v>986429.15359729761</v>
      </c>
      <c r="R164">
        <f t="shared" ref="R164" si="797">R165+Q164</f>
        <v>-15542705.65697486</v>
      </c>
      <c r="S164">
        <f t="shared" ref="S164" si="798">R164/100000</f>
        <v>-155.4270565697486</v>
      </c>
      <c r="T164">
        <f t="shared" ref="T164" si="799">S164/1000</f>
        <v>-0.15542705656974859</v>
      </c>
    </row>
    <row r="165" spans="1:20" x14ac:dyDescent="0.25">
      <c r="A165" s="5">
        <v>44428</v>
      </c>
      <c r="B165">
        <v>10.162000000000001</v>
      </c>
      <c r="C165">
        <v>10.339</v>
      </c>
      <c r="D165">
        <v>9.8469999999999995</v>
      </c>
      <c r="E165">
        <v>10.186</v>
      </c>
      <c r="F165">
        <v>1567306.037</v>
      </c>
      <c r="G165">
        <v>10.186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0.3780487804878041</v>
      </c>
      <c r="Q165">
        <f t="shared" ref="Q165" si="801">F165*P165</f>
        <v>592518.13593902322</v>
      </c>
      <c r="R165">
        <f t="shared" ref="R165" si="802">R166+Q165</f>
        <v>-16529134.810572157</v>
      </c>
      <c r="S165">
        <f t="shared" ref="S165" si="803">R165/100000</f>
        <v>-165.29134810572157</v>
      </c>
      <c r="T165">
        <f t="shared" ref="T165" si="804">S165/1000</f>
        <v>-0.16529134810572157</v>
      </c>
    </row>
    <row r="166" spans="1:20" x14ac:dyDescent="0.25">
      <c r="A166" s="5">
        <v>44427</v>
      </c>
      <c r="B166">
        <v>9.3040000000000003</v>
      </c>
      <c r="C166">
        <v>10.49</v>
      </c>
      <c r="D166">
        <v>9.0630000000000006</v>
      </c>
      <c r="E166">
        <v>10.163</v>
      </c>
      <c r="F166">
        <v>1835030.69</v>
      </c>
      <c r="G166">
        <v>10.163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0.54169586545199711</v>
      </c>
      <c r="Q166">
        <f t="shared" ref="Q166" si="806">F166*P166</f>
        <v>994028.5377505254</v>
      </c>
      <c r="R166">
        <f t="shared" ref="R166" si="807">R167+Q166</f>
        <v>-17121652.946511179</v>
      </c>
      <c r="S166">
        <f t="shared" ref="S166" si="808">R166/100000</f>
        <v>-171.21652946511179</v>
      </c>
      <c r="T166">
        <f t="shared" ref="T166" si="809">S166/1000</f>
        <v>-0.17121652946511179</v>
      </c>
    </row>
    <row r="167" spans="1:20" x14ac:dyDescent="0.25">
      <c r="A167" s="5">
        <v>44426</v>
      </c>
      <c r="B167">
        <v>9.4670000000000005</v>
      </c>
      <c r="C167">
        <v>9.8740000000000006</v>
      </c>
      <c r="D167">
        <v>8.9309999999999992</v>
      </c>
      <c r="E167">
        <v>9.3040000000000003</v>
      </c>
      <c r="F167">
        <v>957459.978</v>
      </c>
      <c r="G167">
        <v>9.3040000000000003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-0.20890774125132439</v>
      </c>
      <c r="Q167">
        <f t="shared" ref="Q167" si="811">F167*P167</f>
        <v>-200020.80134252273</v>
      </c>
      <c r="R167">
        <f t="shared" ref="R167" si="812">R168+Q167</f>
        <v>-18115681.484261706</v>
      </c>
      <c r="S167">
        <f t="shared" ref="S167" si="813">R167/100000</f>
        <v>-181.15681484261705</v>
      </c>
      <c r="T167">
        <f t="shared" ref="T167" si="814">S167/1000</f>
        <v>-0.18115681484261706</v>
      </c>
    </row>
    <row r="168" spans="1:20" x14ac:dyDescent="0.25">
      <c r="A168" s="5">
        <v>44425</v>
      </c>
      <c r="B168">
        <v>10.016999999999999</v>
      </c>
      <c r="C168">
        <v>10.351000000000001</v>
      </c>
      <c r="D168">
        <v>9.2170000000000005</v>
      </c>
      <c r="E168">
        <v>9.4649999999999999</v>
      </c>
      <c r="F168">
        <v>1353936.3430000001</v>
      </c>
      <c r="G168">
        <v>9.4649999999999999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-0.5626102292768973</v>
      </c>
      <c r="Q168">
        <f t="shared" ref="Q168" si="816">F168*P168</f>
        <v>-761738.43636155396</v>
      </c>
      <c r="R168">
        <f t="shared" ref="R168" si="817">R169+Q168</f>
        <v>-17915660.682919186</v>
      </c>
      <c r="S168">
        <f t="shared" ref="S168" si="818">R168/100000</f>
        <v>-179.15660682919184</v>
      </c>
      <c r="T168">
        <f t="shared" ref="T168" si="819">S168/1000</f>
        <v>-0.17915660682919185</v>
      </c>
    </row>
    <row r="169" spans="1:20" x14ac:dyDescent="0.25">
      <c r="A169" s="5">
        <v>44424</v>
      </c>
      <c r="B169">
        <v>10.314</v>
      </c>
      <c r="C169">
        <v>10.75</v>
      </c>
      <c r="D169">
        <v>9.9139999999999997</v>
      </c>
      <c r="E169">
        <v>10.012</v>
      </c>
      <c r="F169">
        <v>1413867.6270000001</v>
      </c>
      <c r="G169">
        <v>10.012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-0.76555023923444809</v>
      </c>
      <c r="Q169">
        <f t="shared" ref="Q169" si="821">F169*P169</f>
        <v>-1082386.7000956915</v>
      </c>
      <c r="R169">
        <f t="shared" ref="R169" si="822">R170+Q169</f>
        <v>-17153922.246557631</v>
      </c>
      <c r="S169">
        <f t="shared" ref="S169" si="823">R169/100000</f>
        <v>-171.5392224655763</v>
      </c>
      <c r="T169">
        <f t="shared" ref="T169" si="824">S169/1000</f>
        <v>-0.17153922246557629</v>
      </c>
    </row>
    <row r="170" spans="1:20" x14ac:dyDescent="0.25">
      <c r="A170" s="5">
        <v>44423</v>
      </c>
      <c r="B170">
        <v>10.15</v>
      </c>
      <c r="C170">
        <v>10.679</v>
      </c>
      <c r="D170">
        <v>9.6999999999999993</v>
      </c>
      <c r="E170">
        <v>10.314</v>
      </c>
      <c r="F170">
        <v>1337552.192</v>
      </c>
      <c r="G170">
        <v>10.314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0.25434116445352434</v>
      </c>
      <c r="Q170">
        <f t="shared" ref="Q170" si="826">F170*P170</f>
        <v>340194.58203064394</v>
      </c>
      <c r="R170">
        <f t="shared" ref="R170" si="827">R171+Q170</f>
        <v>-16071535.546461938</v>
      </c>
      <c r="S170">
        <f t="shared" ref="S170" si="828">R170/100000</f>
        <v>-160.71535546461939</v>
      </c>
      <c r="T170">
        <f t="shared" ref="T170" si="829">S170/1000</f>
        <v>-0.1607153554646194</v>
      </c>
    </row>
    <row r="171" spans="1:20" x14ac:dyDescent="0.25">
      <c r="A171" s="5">
        <v>44422</v>
      </c>
      <c r="B171">
        <v>10.798999999999999</v>
      </c>
      <c r="C171">
        <v>10.95</v>
      </c>
      <c r="D171">
        <v>9.9600000000000009</v>
      </c>
      <c r="E171">
        <v>10.15</v>
      </c>
      <c r="F171">
        <v>1192184.473</v>
      </c>
      <c r="G171">
        <v>10.15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-0.61616161616161658</v>
      </c>
      <c r="Q171">
        <f t="shared" ref="Q171" si="831">F171*P171</f>
        <v>-734578.3116464651</v>
      </c>
      <c r="R171">
        <f t="shared" ref="R171" si="832">R172+Q171</f>
        <v>-16411730.128492583</v>
      </c>
      <c r="S171">
        <f t="shared" ref="S171" si="833">R171/100000</f>
        <v>-164.11730128492582</v>
      </c>
      <c r="T171">
        <f t="shared" ref="T171" si="834">S171/1000</f>
        <v>-0.16411730128492583</v>
      </c>
    </row>
    <row r="172" spans="1:20" x14ac:dyDescent="0.25">
      <c r="A172" s="5">
        <v>44421</v>
      </c>
      <c r="B172">
        <v>9.7829999999999995</v>
      </c>
      <c r="C172">
        <v>11.272</v>
      </c>
      <c r="D172">
        <v>9.7799999999999994</v>
      </c>
      <c r="E172">
        <v>10.788</v>
      </c>
      <c r="F172">
        <v>2203299.4569999999</v>
      </c>
      <c r="G172">
        <v>10.788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0.35120643431635429</v>
      </c>
      <c r="Q172">
        <f t="shared" ref="Q172" si="836">F172*P172</f>
        <v>773812.94602412952</v>
      </c>
      <c r="R172">
        <f t="shared" ref="R172" si="837">R173+Q172</f>
        <v>-15677151.816846117</v>
      </c>
      <c r="S172">
        <f t="shared" ref="S172" si="838">R172/100000</f>
        <v>-156.77151816846117</v>
      </c>
      <c r="T172">
        <f t="shared" ref="T172" si="839">S172/1000</f>
        <v>-0.15677151816846116</v>
      </c>
    </row>
    <row r="173" spans="1:20" x14ac:dyDescent="0.25">
      <c r="A173" s="5">
        <v>44420</v>
      </c>
      <c r="B173">
        <v>10.305999999999999</v>
      </c>
      <c r="C173">
        <v>10.542999999999999</v>
      </c>
      <c r="D173">
        <v>9.3710000000000004</v>
      </c>
      <c r="E173">
        <v>9.7870000000000008</v>
      </c>
      <c r="F173">
        <v>1800432.9920000001</v>
      </c>
      <c r="G173">
        <v>9.7870000000000008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-0.29010238907849695</v>
      </c>
      <c r="Q173">
        <f t="shared" ref="Q173" si="841">F173*P173</f>
        <v>-522309.91235494643</v>
      </c>
      <c r="R173">
        <f t="shared" ref="R173" si="842">R174+Q173</f>
        <v>-16450964.762870247</v>
      </c>
      <c r="S173">
        <f t="shared" ref="S173" si="843">R173/100000</f>
        <v>-164.50964762870245</v>
      </c>
      <c r="T173">
        <f t="shared" ref="T173" si="844">S173/1000</f>
        <v>-0.16450964762870246</v>
      </c>
    </row>
    <row r="174" spans="1:20" x14ac:dyDescent="0.25">
      <c r="A174" s="5">
        <v>44419</v>
      </c>
      <c r="B174">
        <v>10.741</v>
      </c>
      <c r="C174">
        <v>11.071999999999999</v>
      </c>
      <c r="D174">
        <v>10.282999999999999</v>
      </c>
      <c r="E174">
        <v>10.3</v>
      </c>
      <c r="F174">
        <v>2613676.77</v>
      </c>
      <c r="G174">
        <v>10.3</v>
      </c>
      <c r="L174" t="s">
        <v>7</v>
      </c>
      <c r="M174" t="s">
        <v>7</v>
      </c>
      <c r="N174" t="s">
        <v>8</v>
      </c>
      <c r="P174">
        <f t="shared" ref="P174" si="845">IF(C174=D174,0,((E174-D174)-(C174-E174))/(C174-D174))</f>
        <v>-0.95690747782002217</v>
      </c>
      <c r="Q174">
        <f t="shared" ref="Q174" si="846">F174*P174</f>
        <v>-2501046.8458174821</v>
      </c>
      <c r="R174">
        <f t="shared" ref="R174" si="847">R175+Q174</f>
        <v>-15928654.8505153</v>
      </c>
      <c r="S174">
        <f t="shared" ref="S174" si="848">R174/100000</f>
        <v>-159.28654850515301</v>
      </c>
      <c r="T174">
        <f t="shared" ref="T174" si="849">S174/1000</f>
        <v>-0.159286548505153</v>
      </c>
    </row>
    <row r="175" spans="1:20" x14ac:dyDescent="0.25">
      <c r="A175" s="5">
        <v>44418</v>
      </c>
      <c r="B175">
        <v>10.416</v>
      </c>
      <c r="C175">
        <v>11.14</v>
      </c>
      <c r="D175">
        <v>10.199999999999999</v>
      </c>
      <c r="E175">
        <v>10.742000000000001</v>
      </c>
      <c r="F175">
        <v>2691531.926</v>
      </c>
      <c r="G175">
        <v>10.742000000000001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0.15319148936170396</v>
      </c>
      <c r="Q175">
        <f t="shared" ref="Q175" si="851">F175*P175</f>
        <v>412319.78440851555</v>
      </c>
      <c r="R175">
        <f t="shared" ref="R175" si="852">R176+Q175</f>
        <v>-13427608.004697818</v>
      </c>
      <c r="S175">
        <f t="shared" ref="S175" si="853">R175/100000</f>
        <v>-134.27608004697819</v>
      </c>
      <c r="T175">
        <f t="shared" ref="T175" si="854">S175/1000</f>
        <v>-0.13427608004697819</v>
      </c>
    </row>
    <row r="176" spans="1:20" x14ac:dyDescent="0.25">
      <c r="A176" s="5">
        <v>44417</v>
      </c>
      <c r="B176">
        <v>10.939</v>
      </c>
      <c r="C176">
        <v>12.099</v>
      </c>
      <c r="D176">
        <v>10.292</v>
      </c>
      <c r="E176">
        <v>10.41</v>
      </c>
      <c r="F176">
        <v>3398830.193</v>
      </c>
      <c r="G176">
        <v>10.41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-0.86939679026009931</v>
      </c>
      <c r="Q176">
        <f t="shared" ref="Q176" si="856">F176*P176</f>
        <v>-2954932.0604333137</v>
      </c>
      <c r="R176">
        <f t="shared" ref="R176" si="857">R177+Q176</f>
        <v>-13839927.789106334</v>
      </c>
      <c r="S176">
        <f t="shared" ref="S176" si="858">R176/100000</f>
        <v>-138.39927789106335</v>
      </c>
      <c r="T176">
        <f t="shared" ref="T176" si="859">S176/1000</f>
        <v>-0.13839927789106335</v>
      </c>
    </row>
    <row r="177" spans="1:20" x14ac:dyDescent="0.25">
      <c r="A177" s="5">
        <v>44416</v>
      </c>
      <c r="B177">
        <v>11.54</v>
      </c>
      <c r="C177">
        <v>11.6</v>
      </c>
      <c r="D177">
        <v>10.587999999999999</v>
      </c>
      <c r="E177">
        <v>10.92</v>
      </c>
      <c r="F177">
        <v>1357620.879</v>
      </c>
      <c r="G177">
        <v>10.92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-0.34387351778656011</v>
      </c>
      <c r="Q177">
        <f t="shared" ref="Q177" si="861">F177*P177</f>
        <v>-466849.86748221185</v>
      </c>
      <c r="R177">
        <f t="shared" ref="R177" si="862">R178+Q177</f>
        <v>-10884995.72867302</v>
      </c>
      <c r="S177">
        <f t="shared" ref="S177" si="863">R177/100000</f>
        <v>-108.8499572867302</v>
      </c>
      <c r="T177">
        <f t="shared" ref="T177" si="864">S177/1000</f>
        <v>-0.10884995728673021</v>
      </c>
    </row>
    <row r="178" spans="1:20" x14ac:dyDescent="0.25">
      <c r="A178" s="5">
        <v>44415</v>
      </c>
      <c r="B178">
        <v>11.425000000000001</v>
      </c>
      <c r="C178">
        <v>12.294</v>
      </c>
      <c r="D178">
        <v>11.031000000000001</v>
      </c>
      <c r="E178">
        <v>11.529</v>
      </c>
      <c r="F178">
        <v>1845495.344</v>
      </c>
      <c r="G178">
        <v>11.529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-0.21140142517814825</v>
      </c>
      <c r="Q178">
        <f t="shared" ref="Q178" si="866">F178*P178</f>
        <v>-390140.34588123695</v>
      </c>
      <c r="R178">
        <f t="shared" ref="R178" si="867">R179+Q178</f>
        <v>-10418145.861190809</v>
      </c>
      <c r="S178">
        <f t="shared" ref="S178" si="868">R178/100000</f>
        <v>-104.18145861190808</v>
      </c>
      <c r="T178">
        <f t="shared" ref="T178" si="869">S178/1000</f>
        <v>-0.10418145861190808</v>
      </c>
    </row>
    <row r="179" spans="1:20" x14ac:dyDescent="0.25">
      <c r="A179" s="5">
        <v>44414</v>
      </c>
      <c r="B179">
        <v>11.16</v>
      </c>
      <c r="C179">
        <v>12.14</v>
      </c>
      <c r="D179">
        <v>10.923</v>
      </c>
      <c r="E179">
        <v>11.401</v>
      </c>
      <c r="F179">
        <v>1777389.53</v>
      </c>
      <c r="G179">
        <v>11.401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-0.21446179129005827</v>
      </c>
      <c r="Q179">
        <f t="shared" ref="Q179" si="871">F179*P179</f>
        <v>-381182.14242399478</v>
      </c>
      <c r="R179">
        <f t="shared" ref="R179" si="872">R180+Q179</f>
        <v>-10028005.515309572</v>
      </c>
      <c r="S179">
        <f t="shared" ref="S179" si="873">R179/100000</f>
        <v>-100.28005515309572</v>
      </c>
      <c r="T179">
        <f t="shared" ref="T179" si="874">S179/1000</f>
        <v>-0.10028005515309571</v>
      </c>
    </row>
    <row r="180" spans="1:20" x14ac:dyDescent="0.25">
      <c r="A180" s="5">
        <v>44413</v>
      </c>
      <c r="B180">
        <v>11.067</v>
      </c>
      <c r="C180">
        <v>11.595000000000001</v>
      </c>
      <c r="D180">
        <v>10.5</v>
      </c>
      <c r="E180">
        <v>11.17</v>
      </c>
      <c r="F180">
        <v>2318210.4389999998</v>
      </c>
      <c r="G180">
        <v>11.17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0.22374429223744208</v>
      </c>
      <c r="Q180">
        <f t="shared" ref="Q180" si="876">F180*P180</f>
        <v>518686.35393150483</v>
      </c>
      <c r="R180">
        <f t="shared" ref="R180" si="877">R181+Q180</f>
        <v>-9646823.3728855774</v>
      </c>
      <c r="S180">
        <f t="shared" ref="S180" si="878">R180/100000</f>
        <v>-96.468233728855779</v>
      </c>
      <c r="T180">
        <f t="shared" ref="T180" si="879">S180/1000</f>
        <v>-9.6468233728855782E-2</v>
      </c>
    </row>
    <row r="181" spans="1:20" x14ac:dyDescent="0.25">
      <c r="A181" s="5">
        <v>44412</v>
      </c>
      <c r="B181">
        <v>11.295</v>
      </c>
      <c r="C181">
        <v>12.298999999999999</v>
      </c>
      <c r="D181">
        <v>10.746</v>
      </c>
      <c r="E181">
        <v>11.073</v>
      </c>
      <c r="F181">
        <v>3812162.83</v>
      </c>
      <c r="G181">
        <v>11.073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-0.57887958789439775</v>
      </c>
      <c r="Q181">
        <f t="shared" ref="Q181" si="881">F181*P181</f>
        <v>-2206783.2480167411</v>
      </c>
      <c r="R181">
        <f t="shared" ref="R181" si="882">R182+Q181</f>
        <v>-10165509.726817083</v>
      </c>
      <c r="S181">
        <f t="shared" ref="S181" si="883">R181/100000</f>
        <v>-101.65509726817082</v>
      </c>
      <c r="T181">
        <f t="shared" ref="T181" si="884">S181/1000</f>
        <v>-0.10165509726817082</v>
      </c>
    </row>
    <row r="182" spans="1:20" x14ac:dyDescent="0.25">
      <c r="A182" s="5">
        <v>44411</v>
      </c>
      <c r="B182">
        <v>9.7970000000000006</v>
      </c>
      <c r="C182">
        <v>12.398</v>
      </c>
      <c r="D182">
        <v>9.33</v>
      </c>
      <c r="E182">
        <v>11.287000000000001</v>
      </c>
      <c r="F182">
        <v>5979521.602</v>
      </c>
      <c r="G182">
        <v>11.287000000000001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0.27574967405475942</v>
      </c>
      <c r="Q182">
        <f t="shared" ref="Q182" si="886">F182*P182</f>
        <v>1648851.1327548928</v>
      </c>
      <c r="R182">
        <f t="shared" ref="R182" si="887">R183+Q182</f>
        <v>-7958726.4788003406</v>
      </c>
      <c r="S182">
        <f t="shared" ref="S182" si="888">R182/100000</f>
        <v>-79.587264788003409</v>
      </c>
      <c r="T182">
        <f t="shared" ref="T182" si="889">S182/1000</f>
        <v>-7.9587264788003403E-2</v>
      </c>
    </row>
    <row r="183" spans="1:20" x14ac:dyDescent="0.25">
      <c r="A183" s="5">
        <v>44410</v>
      </c>
      <c r="B183">
        <v>10.414</v>
      </c>
      <c r="C183">
        <v>10.66</v>
      </c>
      <c r="D183">
        <v>9.4499999999999993</v>
      </c>
      <c r="E183">
        <v>9.7870000000000008</v>
      </c>
      <c r="F183">
        <v>2747115.4929999998</v>
      </c>
      <c r="G183">
        <v>9.7870000000000008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-0.44297520661156814</v>
      </c>
      <c r="Q183">
        <f t="shared" ref="Q183" si="891">F183*P183</f>
        <v>-1216904.0530975147</v>
      </c>
      <c r="R183">
        <f t="shared" ref="R183" si="892">R184+Q183</f>
        <v>-9607577.6115552336</v>
      </c>
      <c r="S183">
        <f t="shared" ref="S183" si="893">R183/100000</f>
        <v>-96.07577611555233</v>
      </c>
      <c r="T183">
        <f t="shared" ref="T183" si="894">S183/1000</f>
        <v>-9.6075776115552333E-2</v>
      </c>
    </row>
    <row r="184" spans="1:20" x14ac:dyDescent="0.25">
      <c r="A184" s="5">
        <v>44409</v>
      </c>
      <c r="B184">
        <v>10.34</v>
      </c>
      <c r="C184">
        <v>11.651</v>
      </c>
      <c r="D184">
        <v>9.69</v>
      </c>
      <c r="E184">
        <v>10.425000000000001</v>
      </c>
      <c r="F184">
        <v>7099153.7790000001</v>
      </c>
      <c r="G184">
        <v>10.425000000000001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-0.2503824579296266</v>
      </c>
      <c r="Q184">
        <f t="shared" ref="Q184" si="896">F184*P184</f>
        <v>-1777503.5724064172</v>
      </c>
      <c r="R184">
        <f t="shared" ref="R184" si="897">R185+Q184</f>
        <v>-8390673.5584577192</v>
      </c>
      <c r="S184">
        <f t="shared" ref="S184" si="898">R184/100000</f>
        <v>-83.906735584577191</v>
      </c>
      <c r="T184">
        <f t="shared" ref="T184" si="899">S184/1000</f>
        <v>-8.3906735584577188E-2</v>
      </c>
    </row>
    <row r="185" spans="1:20" x14ac:dyDescent="0.25">
      <c r="A185" s="5">
        <v>44408</v>
      </c>
      <c r="B185">
        <v>9.359</v>
      </c>
      <c r="C185">
        <v>11.738</v>
      </c>
      <c r="D185">
        <v>8.6880000000000006</v>
      </c>
      <c r="E185">
        <v>10.321999999999999</v>
      </c>
      <c r="F185">
        <v>5369848.3700000001</v>
      </c>
      <c r="G185">
        <v>10.321999999999999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7.1475409836065013E-2</v>
      </c>
      <c r="Q185">
        <f t="shared" ref="Q185" si="901">F185*P185</f>
        <v>383812.11300327571</v>
      </c>
      <c r="R185">
        <f t="shared" ref="R185" si="902">R186+Q185</f>
        <v>-6613169.9860513024</v>
      </c>
      <c r="S185">
        <f t="shared" ref="S185" si="903">R185/100000</f>
        <v>-66.131699860513024</v>
      </c>
      <c r="T185">
        <f t="shared" ref="T185" si="904">S185/1000</f>
        <v>-6.6131699860513024E-2</v>
      </c>
    </row>
    <row r="186" spans="1:20" x14ac:dyDescent="0.25">
      <c r="A186" s="5">
        <v>44407</v>
      </c>
      <c r="B186">
        <v>9.4830000000000005</v>
      </c>
      <c r="C186">
        <v>9.6989999999999998</v>
      </c>
      <c r="D186">
        <v>8.44</v>
      </c>
      <c r="E186">
        <v>9.3569999999999993</v>
      </c>
      <c r="F186">
        <v>2735769.483</v>
      </c>
      <c r="G186">
        <v>9.3569999999999993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0.45671167593327971</v>
      </c>
      <c r="Q186">
        <f t="shared" ref="Q186" si="906">F186*P186</f>
        <v>1249457.8655480521</v>
      </c>
      <c r="R186">
        <f t="shared" ref="R186" si="907">R187+Q186</f>
        <v>-6996982.0990545778</v>
      </c>
      <c r="S186">
        <f t="shared" ref="S186" si="908">R186/100000</f>
        <v>-69.969820990545784</v>
      </c>
      <c r="T186">
        <f t="shared" ref="T186" si="909">S186/1000</f>
        <v>-6.9969820990545786E-2</v>
      </c>
    </row>
    <row r="187" spans="1:20" x14ac:dyDescent="0.25">
      <c r="A187" s="5">
        <v>44406</v>
      </c>
      <c r="B187">
        <v>9.8109999999999999</v>
      </c>
      <c r="C187">
        <v>10.382999999999999</v>
      </c>
      <c r="D187">
        <v>9.2859999999999996</v>
      </c>
      <c r="E187">
        <v>9.4920000000000009</v>
      </c>
      <c r="F187">
        <v>2483098.2489999998</v>
      </c>
      <c r="G187">
        <v>9.4920000000000009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-0.62443026435733573</v>
      </c>
      <c r="Q187">
        <f t="shared" ref="Q187" si="911">F187*P187</f>
        <v>-1550521.6960483075</v>
      </c>
      <c r="R187">
        <f t="shared" ref="R187" si="912">R188+Q187</f>
        <v>-8246439.9646026297</v>
      </c>
      <c r="S187">
        <f t="shared" ref="S187" si="913">R187/100000</f>
        <v>-82.464399646026294</v>
      </c>
      <c r="T187">
        <f t="shared" ref="T187" si="914">S187/1000</f>
        <v>-8.2464399646026296E-2</v>
      </c>
    </row>
    <row r="188" spans="1:20" x14ac:dyDescent="0.25">
      <c r="A188" s="5">
        <v>44405</v>
      </c>
      <c r="B188">
        <v>10.583</v>
      </c>
      <c r="C188">
        <v>11.45</v>
      </c>
      <c r="D188">
        <v>9.4</v>
      </c>
      <c r="E188">
        <v>9.8149999999999995</v>
      </c>
      <c r="F188">
        <v>4596026.9800000004</v>
      </c>
      <c r="G188">
        <v>9.8149999999999995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-0.59512195121951283</v>
      </c>
      <c r="Q188">
        <f t="shared" ref="Q188" si="916">F188*P188</f>
        <v>-2735196.5441951253</v>
      </c>
      <c r="R188">
        <f t="shared" ref="R188" si="917">R189+Q188</f>
        <v>-6695918.2685543224</v>
      </c>
      <c r="S188">
        <f t="shared" ref="S188" si="918">R188/100000</f>
        <v>-66.959182685543226</v>
      </c>
      <c r="T188">
        <f t="shared" ref="T188" si="919">S188/1000</f>
        <v>-6.6959182685543225E-2</v>
      </c>
    </row>
    <row r="189" spans="1:20" x14ac:dyDescent="0.25">
      <c r="A189" s="5">
        <v>44404</v>
      </c>
      <c r="B189">
        <v>8.36</v>
      </c>
      <c r="C189">
        <v>11.27</v>
      </c>
      <c r="D189">
        <v>7.5949999999999998</v>
      </c>
      <c r="E189">
        <v>10.62</v>
      </c>
      <c r="F189">
        <v>9465114.7259999998</v>
      </c>
      <c r="G189">
        <v>10.62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0.64625850340136037</v>
      </c>
      <c r="Q189">
        <f t="shared" ref="Q189" si="921">F189*P189</f>
        <v>6116910.8773469366</v>
      </c>
      <c r="R189">
        <f t="shared" ref="R189" si="922">R190+Q189</f>
        <v>-3960721.7243591975</v>
      </c>
      <c r="S189">
        <f t="shared" ref="S189" si="923">R189/100000</f>
        <v>-39.607217243591975</v>
      </c>
      <c r="T189">
        <f t="shared" ref="T189" si="924">S189/1000</f>
        <v>-3.9607217243591973E-2</v>
      </c>
    </row>
    <row r="190" spans="1:20" x14ac:dyDescent="0.25">
      <c r="A190" s="5">
        <v>44403</v>
      </c>
      <c r="B190">
        <v>10.282</v>
      </c>
      <c r="C190">
        <v>10.368</v>
      </c>
      <c r="D190">
        <v>8.1199999999999992</v>
      </c>
      <c r="E190">
        <v>8.3460000000000001</v>
      </c>
      <c r="F190">
        <v>6024505.085</v>
      </c>
      <c r="G190">
        <v>8.3460000000000001</v>
      </c>
      <c r="L190" t="s">
        <v>7</v>
      </c>
      <c r="M190" t="s">
        <v>7</v>
      </c>
      <c r="N190" t="s">
        <v>7</v>
      </c>
      <c r="P190">
        <f t="shared" ref="P190" si="925">IF(C190=D190,0,((E190-D190)-(C190-E190))/(C190-D190))</f>
        <v>-0.79893238434163638</v>
      </c>
      <c r="Q190">
        <f t="shared" ref="Q190" si="926">F190*P190</f>
        <v>-4813172.2120373631</v>
      </c>
      <c r="R190">
        <f t="shared" ref="R190" si="927">R191+Q190</f>
        <v>-10077632.601706134</v>
      </c>
      <c r="S190">
        <f t="shared" ref="S190" si="928">R190/100000</f>
        <v>-100.77632601706134</v>
      </c>
      <c r="T190">
        <f t="shared" ref="T190" si="929">S190/1000</f>
        <v>-0.10077632601706134</v>
      </c>
    </row>
    <row r="191" spans="1:20" x14ac:dyDescent="0.25">
      <c r="A191" s="5">
        <v>44402</v>
      </c>
      <c r="B191">
        <v>7.1459999999999999</v>
      </c>
      <c r="C191">
        <v>10.981</v>
      </c>
      <c r="D191">
        <v>6.7809999999999997</v>
      </c>
      <c r="E191">
        <v>10.288</v>
      </c>
      <c r="F191">
        <v>11916741.192</v>
      </c>
      <c r="G191">
        <v>10.288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0.67000000000000015</v>
      </c>
      <c r="Q191">
        <f t="shared" ref="Q191" si="931">F191*P191</f>
        <v>7984216.5986400014</v>
      </c>
      <c r="R191">
        <f t="shared" ref="R191" si="932">R192+Q191</f>
        <v>-5264460.3896687711</v>
      </c>
      <c r="S191">
        <f t="shared" ref="S191" si="933">R191/100000</f>
        <v>-52.644603896687713</v>
      </c>
      <c r="T191">
        <f t="shared" ref="T191:T197" si="934">S191/1000</f>
        <v>-5.2644603896687715E-2</v>
      </c>
    </row>
    <row r="192" spans="1:20" x14ac:dyDescent="0.25">
      <c r="A192" s="5">
        <v>44401</v>
      </c>
      <c r="B192">
        <v>6.4770000000000003</v>
      </c>
      <c r="C192">
        <v>7.37</v>
      </c>
      <c r="D192">
        <v>6.0759999999999996</v>
      </c>
      <c r="E192">
        <v>7.1459999999999999</v>
      </c>
      <c r="F192">
        <v>4362811.7920000004</v>
      </c>
      <c r="G192">
        <v>7.1459999999999999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0.65378670788253457</v>
      </c>
      <c r="Q192">
        <f t="shared" ref="Q192" si="936">F192*P192</f>
        <v>2852348.3586027813</v>
      </c>
      <c r="R192">
        <f t="shared" ref="R192" si="937">R193+Q192</f>
        <v>-13248676.988308772</v>
      </c>
      <c r="S192">
        <f t="shared" ref="S192" si="938">R192/100000</f>
        <v>-132.48676988308773</v>
      </c>
      <c r="T192">
        <f t="shared" si="934"/>
        <v>-0.13248676988308772</v>
      </c>
    </row>
    <row r="193" spans="1:20" x14ac:dyDescent="0.25">
      <c r="A193" s="5">
        <v>44400</v>
      </c>
      <c r="B193">
        <v>5.3730000000000002</v>
      </c>
      <c r="C193">
        <v>6.6</v>
      </c>
      <c r="D193">
        <v>5.1529999999999996</v>
      </c>
      <c r="E193">
        <v>6.4749999999999996</v>
      </c>
      <c r="F193">
        <v>1523663.9210000001</v>
      </c>
      <c r="G193">
        <v>6.4749999999999996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0.82722874913614375</v>
      </c>
      <c r="Q193">
        <f t="shared" ref="Q193" si="940">F193*P193</f>
        <v>1260418.5994727022</v>
      </c>
      <c r="R193">
        <f t="shared" ref="R193" si="941">R194+Q193</f>
        <v>-16101025.346911553</v>
      </c>
      <c r="S193">
        <f t="shared" ref="S193" si="942">R193/100000</f>
        <v>-161.01025346911553</v>
      </c>
      <c r="T193">
        <f t="shared" si="934"/>
        <v>-0.16101025346911552</v>
      </c>
    </row>
    <row r="194" spans="1:20" x14ac:dyDescent="0.25">
      <c r="A194" s="5">
        <v>44399</v>
      </c>
      <c r="B194">
        <v>5.16</v>
      </c>
      <c r="C194">
        <v>5.68</v>
      </c>
      <c r="D194">
        <v>5.0670000000000002</v>
      </c>
      <c r="E194">
        <v>5.3730000000000002</v>
      </c>
      <c r="F194">
        <v>970900.09</v>
      </c>
      <c r="G194">
        <v>5.3730000000000002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-1.6313213703090482E-3</v>
      </c>
      <c r="Q194">
        <f t="shared" ref="Q194" si="944">F194*P194</f>
        <v>-1583.8500652519781</v>
      </c>
      <c r="R194">
        <f t="shared" ref="R194" si="945">R195+Q194</f>
        <v>-17361443.946384255</v>
      </c>
      <c r="S194">
        <f t="shared" ref="S194" si="946">R194/100000</f>
        <v>-173.61443946384256</v>
      </c>
      <c r="T194">
        <f t="shared" si="934"/>
        <v>-0.17361443946384256</v>
      </c>
    </row>
    <row r="195" spans="1:20" x14ac:dyDescent="0.25">
      <c r="A195" s="5">
        <v>44398</v>
      </c>
      <c r="B195">
        <v>4.6639999999999997</v>
      </c>
      <c r="C195">
        <v>5.3529999999999998</v>
      </c>
      <c r="D195">
        <v>4.5069999999999997</v>
      </c>
      <c r="E195">
        <v>5.1589999999999998</v>
      </c>
      <c r="F195">
        <v>936745.745</v>
      </c>
      <c r="G195">
        <v>5.1589999999999998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0.5413711583924351</v>
      </c>
      <c r="Q195">
        <f t="shared" ref="Q195" si="948">F195*P195</f>
        <v>507127.12908983463</v>
      </c>
      <c r="R195">
        <f t="shared" ref="R195" si="949">R196+Q195</f>
        <v>-17359860.096319001</v>
      </c>
      <c r="S195">
        <f t="shared" ref="S195" si="950">R195/100000</f>
        <v>-173.59860096319002</v>
      </c>
      <c r="T195">
        <f t="shared" si="934"/>
        <v>-0.17359860096319002</v>
      </c>
    </row>
    <row r="196" spans="1:20" x14ac:dyDescent="0.25">
      <c r="A196" s="5">
        <v>44397</v>
      </c>
      <c r="B196">
        <v>5.1130000000000004</v>
      </c>
      <c r="C196">
        <v>5.2220000000000004</v>
      </c>
      <c r="D196">
        <v>4.3390000000000004</v>
      </c>
      <c r="E196">
        <v>4.649</v>
      </c>
      <c r="F196">
        <v>681106.429</v>
      </c>
      <c r="G196">
        <v>4.649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-0.29784824462061243</v>
      </c>
      <c r="Q196">
        <f t="shared" ref="Q196" si="952">F196*P196</f>
        <v>-202866.3542774638</v>
      </c>
      <c r="R196">
        <f t="shared" ref="R196" si="953">R197+Q196</f>
        <v>-17866987.225408837</v>
      </c>
      <c r="S196">
        <f t="shared" ref="S196" si="954">R196/100000</f>
        <v>-178.66987225408838</v>
      </c>
      <c r="T196">
        <f t="shared" si="934"/>
        <v>-0.17866987225408837</v>
      </c>
    </row>
    <row r="197" spans="1:20" x14ac:dyDescent="0.25">
      <c r="A197" s="5">
        <v>44396</v>
      </c>
      <c r="B197">
        <v>5.6050000000000004</v>
      </c>
      <c r="C197">
        <v>5.6509999999999998</v>
      </c>
      <c r="D197">
        <v>4.9219999999999997</v>
      </c>
      <c r="E197">
        <v>5.1100000000000003</v>
      </c>
      <c r="F197">
        <v>559021.15899999999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-0.48422496570644558</v>
      </c>
      <c r="Q197">
        <f t="shared" ref="Q197" si="956">F197*P197</f>
        <v>-270692.00154595246</v>
      </c>
      <c r="R197">
        <f t="shared" ref="R197" si="957">R198+Q197</f>
        <v>-17664120.871131372</v>
      </c>
      <c r="S197">
        <f t="shared" ref="S197" si="958">R197/100000</f>
        <v>-176.64120871131371</v>
      </c>
      <c r="T197">
        <f t="shared" si="934"/>
        <v>-0.1766412087113137</v>
      </c>
    </row>
    <row r="198" spans="1:20" x14ac:dyDescent="0.25">
      <c r="A198" s="5">
        <v>44395</v>
      </c>
      <c r="B198">
        <v>5.681</v>
      </c>
      <c r="C198">
        <v>6.2119999999999997</v>
      </c>
      <c r="D198">
        <v>5.3959999999999999</v>
      </c>
      <c r="E198">
        <v>5.5990000000000002</v>
      </c>
      <c r="F198">
        <v>863504.67700000003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-0.50245098039215608</v>
      </c>
      <c r="Q198">
        <f t="shared" ref="Q198:Q261" si="960">F198*P198</f>
        <v>-433868.77153186209</v>
      </c>
      <c r="R198">
        <f t="shared" ref="R198:R261" si="961">R199+Q198</f>
        <v>-17393428.869585421</v>
      </c>
      <c r="S198">
        <f t="shared" ref="S198:S261" si="962">R198/100000</f>
        <v>-173.93428869585421</v>
      </c>
      <c r="T198">
        <f t="shared" ref="T198:T261" si="963">S198/1000</f>
        <v>-0.1739342886958542</v>
      </c>
    </row>
    <row r="199" spans="1:20" x14ac:dyDescent="0.25">
      <c r="A199" s="5">
        <v>44394</v>
      </c>
      <c r="B199">
        <v>5.77</v>
      </c>
      <c r="C199">
        <v>5.9989999999999997</v>
      </c>
      <c r="D199">
        <v>5.5</v>
      </c>
      <c r="E199">
        <v>5.6920000000000002</v>
      </c>
      <c r="F199">
        <v>708099.24199999997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-0.23046092184368619</v>
      </c>
      <c r="Q199">
        <f t="shared" si="960"/>
        <v>-163189.20406813541</v>
      </c>
      <c r="R199">
        <f t="shared" si="961"/>
        <v>-16959560.09805356</v>
      </c>
      <c r="S199">
        <f t="shared" si="962"/>
        <v>-169.59560098053561</v>
      </c>
      <c r="T199">
        <f t="shared" si="963"/>
        <v>-0.16959560098053561</v>
      </c>
    </row>
    <row r="200" spans="1:20" x14ac:dyDescent="0.25">
      <c r="A200" s="5">
        <v>44393</v>
      </c>
      <c r="B200">
        <v>7.0890000000000004</v>
      </c>
      <c r="C200">
        <v>7.2270000000000003</v>
      </c>
      <c r="D200">
        <v>5.6769999999999996</v>
      </c>
      <c r="E200">
        <v>5.774</v>
      </c>
      <c r="F200">
        <v>1486630.524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-0.87483870967741884</v>
      </c>
      <c r="Q200">
        <f t="shared" si="960"/>
        <v>-1300561.929383225</v>
      </c>
      <c r="R200">
        <f t="shared" si="961"/>
        <v>-16796370.893985424</v>
      </c>
      <c r="S200">
        <f t="shared" si="962"/>
        <v>-167.96370893985423</v>
      </c>
      <c r="T200">
        <f t="shared" si="963"/>
        <v>-0.16796370893985424</v>
      </c>
    </row>
    <row r="201" spans="1:20" x14ac:dyDescent="0.25">
      <c r="A201" s="5">
        <v>44392</v>
      </c>
      <c r="B201">
        <v>7.3449999999999998</v>
      </c>
      <c r="C201">
        <v>8.3000000000000007</v>
      </c>
      <c r="D201">
        <v>6.91</v>
      </c>
      <c r="E201">
        <v>7.0880000000000001</v>
      </c>
      <c r="F201">
        <v>3383978.1170000001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-0.74388489208633113</v>
      </c>
      <c r="Q201">
        <f t="shared" si="960"/>
        <v>-2517290.1963870511</v>
      </c>
      <c r="R201">
        <f t="shared" si="961"/>
        <v>-15495808.9646022</v>
      </c>
      <c r="S201">
        <f t="shared" si="962"/>
        <v>-154.95808964602199</v>
      </c>
      <c r="T201">
        <f t="shared" si="963"/>
        <v>-0.15495808964602198</v>
      </c>
    </row>
    <row r="202" spans="1:20" x14ac:dyDescent="0.25">
      <c r="A202" s="5">
        <v>44391</v>
      </c>
      <c r="B202">
        <v>6.524</v>
      </c>
      <c r="C202">
        <v>7.8</v>
      </c>
      <c r="D202">
        <v>6.0949999999999998</v>
      </c>
      <c r="E202">
        <v>7.3559999999999999</v>
      </c>
      <c r="F202">
        <v>3608264.97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0.4791788856304986</v>
      </c>
      <c r="Q202">
        <f t="shared" si="960"/>
        <v>1729004.3873841646</v>
      </c>
      <c r="R202">
        <f t="shared" si="961"/>
        <v>-12978518.76821515</v>
      </c>
      <c r="S202">
        <f t="shared" si="962"/>
        <v>-129.7851876821515</v>
      </c>
      <c r="T202">
        <f t="shared" si="963"/>
        <v>-0.1297851876821515</v>
      </c>
    </row>
    <row r="203" spans="1:20" x14ac:dyDescent="0.25">
      <c r="A203" s="5">
        <v>44390</v>
      </c>
      <c r="B203">
        <v>6.0880000000000001</v>
      </c>
      <c r="C203">
        <v>6.8289999999999997</v>
      </c>
      <c r="D203">
        <v>5.9809999999999999</v>
      </c>
      <c r="E203">
        <v>6.524</v>
      </c>
      <c r="F203">
        <v>2719205.5320000001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0.28066037735849114</v>
      </c>
      <c r="Q203">
        <f t="shared" si="960"/>
        <v>763173.25072641671</v>
      </c>
      <c r="R203">
        <f t="shared" si="961"/>
        <v>-14707523.155599315</v>
      </c>
      <c r="S203">
        <f t="shared" si="962"/>
        <v>-147.07523155599316</v>
      </c>
      <c r="T203">
        <f t="shared" si="963"/>
        <v>-0.14707523155599317</v>
      </c>
    </row>
    <row r="204" spans="1:20" x14ac:dyDescent="0.25">
      <c r="A204" s="5">
        <v>44389</v>
      </c>
      <c r="B204">
        <v>6.4109999999999996</v>
      </c>
      <c r="C204">
        <v>6.798</v>
      </c>
      <c r="D204">
        <v>5.84</v>
      </c>
      <c r="E204">
        <v>6.0880000000000001</v>
      </c>
      <c r="F204">
        <v>1410845.791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-0.48225469728601217</v>
      </c>
      <c r="Q204">
        <f t="shared" si="960"/>
        <v>-680387.00985594932</v>
      </c>
      <c r="R204">
        <f t="shared" si="961"/>
        <v>-15470696.406325731</v>
      </c>
      <c r="S204">
        <f t="shared" si="962"/>
        <v>-154.70696406325732</v>
      </c>
      <c r="T204">
        <f t="shared" si="963"/>
        <v>-0.15470696406325732</v>
      </c>
    </row>
    <row r="205" spans="1:20" x14ac:dyDescent="0.25">
      <c r="A205" s="5">
        <v>44388</v>
      </c>
      <c r="B205">
        <v>5.9009999999999998</v>
      </c>
      <c r="C205">
        <v>7.0730000000000004</v>
      </c>
      <c r="D205">
        <v>5.7210000000000001</v>
      </c>
      <c r="E205">
        <v>6.4089999999999998</v>
      </c>
      <c r="F205">
        <v>3141442.9360000002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1.7751479289940184E-2</v>
      </c>
      <c r="Q205">
        <f t="shared" si="960"/>
        <v>55765.259218932886</v>
      </c>
      <c r="R205">
        <f t="shared" si="961"/>
        <v>-14790309.396469783</v>
      </c>
      <c r="S205">
        <f t="shared" si="962"/>
        <v>-147.90309396469783</v>
      </c>
      <c r="T205">
        <f t="shared" si="963"/>
        <v>-0.14790309396469783</v>
      </c>
    </row>
    <row r="206" spans="1:20" x14ac:dyDescent="0.25">
      <c r="A206" s="5">
        <v>44387</v>
      </c>
      <c r="B206">
        <v>5.4080000000000004</v>
      </c>
      <c r="C206">
        <v>6.1440000000000001</v>
      </c>
      <c r="D206">
        <v>5.3680000000000003</v>
      </c>
      <c r="E206">
        <v>5.89</v>
      </c>
      <c r="F206">
        <v>1807768.37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0.3453608247422667</v>
      </c>
      <c r="Q206">
        <f t="shared" si="960"/>
        <v>624332.37520618318</v>
      </c>
      <c r="R206">
        <f t="shared" si="961"/>
        <v>-14846074.655688716</v>
      </c>
      <c r="S206">
        <f t="shared" si="962"/>
        <v>-148.46074655688716</v>
      </c>
      <c r="T206">
        <f t="shared" si="963"/>
        <v>-0.14846074655688715</v>
      </c>
    </row>
    <row r="207" spans="1:20" x14ac:dyDescent="0.25">
      <c r="A207" s="5">
        <v>44386</v>
      </c>
      <c r="B207">
        <v>5.2270000000000003</v>
      </c>
      <c r="C207">
        <v>5.5970000000000004</v>
      </c>
      <c r="D207">
        <v>4.9020000000000001</v>
      </c>
      <c r="E207">
        <v>5.4080000000000004</v>
      </c>
      <c r="F207">
        <v>950058.58799999999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0.4561151079136691</v>
      </c>
      <c r="Q207">
        <f t="shared" si="960"/>
        <v>433336.07538992807</v>
      </c>
      <c r="R207">
        <f t="shared" si="961"/>
        <v>-15470407.0308949</v>
      </c>
      <c r="S207">
        <f t="shared" si="962"/>
        <v>-154.70407030894899</v>
      </c>
      <c r="T207">
        <f t="shared" si="963"/>
        <v>-0.15470407030894898</v>
      </c>
    </row>
    <row r="208" spans="1:20" x14ac:dyDescent="0.25">
      <c r="A208" s="5">
        <v>44385</v>
      </c>
      <c r="B208">
        <v>5.8289999999999997</v>
      </c>
      <c r="C208">
        <v>6.23</v>
      </c>
      <c r="D208">
        <v>5.1180000000000003</v>
      </c>
      <c r="E208">
        <v>5.2220000000000004</v>
      </c>
      <c r="F208">
        <v>1333858.3060000001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-0.81294964028776961</v>
      </c>
      <c r="Q208">
        <f t="shared" si="960"/>
        <v>-1084359.6300575538</v>
      </c>
      <c r="R208">
        <f t="shared" si="961"/>
        <v>-15903743.106284827</v>
      </c>
      <c r="S208">
        <f t="shared" si="962"/>
        <v>-159.03743106284827</v>
      </c>
      <c r="T208">
        <f t="shared" si="963"/>
        <v>-0.15903743106284826</v>
      </c>
    </row>
    <row r="209" spans="1:20" x14ac:dyDescent="0.25">
      <c r="A209" s="5">
        <v>44384</v>
      </c>
      <c r="B209">
        <v>5.335</v>
      </c>
      <c r="C209">
        <v>6.3810000000000002</v>
      </c>
      <c r="D209">
        <v>5.22</v>
      </c>
      <c r="E209">
        <v>5.8280000000000003</v>
      </c>
      <c r="F209">
        <v>2088293.423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4.7372954349699035E-2</v>
      </c>
      <c r="Q209">
        <f t="shared" si="960"/>
        <v>98928.628996555737</v>
      </c>
      <c r="R209">
        <f t="shared" si="961"/>
        <v>-14819383.476227272</v>
      </c>
      <c r="S209">
        <f t="shared" si="962"/>
        <v>-148.19383476227273</v>
      </c>
      <c r="T209">
        <f t="shared" si="963"/>
        <v>-0.14819383476227274</v>
      </c>
    </row>
    <row r="210" spans="1:20" x14ac:dyDescent="0.25">
      <c r="A210" s="5">
        <v>44383</v>
      </c>
      <c r="B210">
        <v>4.8040000000000003</v>
      </c>
      <c r="C210">
        <v>5.4320000000000004</v>
      </c>
      <c r="D210">
        <v>4.8019999999999996</v>
      </c>
      <c r="E210">
        <v>5.3339999999999996</v>
      </c>
      <c r="F210">
        <v>1102290.176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0.68888888888888689</v>
      </c>
      <c r="Q210">
        <f t="shared" si="960"/>
        <v>759355.45457777556</v>
      </c>
      <c r="R210">
        <f t="shared" si="961"/>
        <v>-14918312.105223829</v>
      </c>
      <c r="S210">
        <f t="shared" si="962"/>
        <v>-149.18312105223828</v>
      </c>
      <c r="T210">
        <f t="shared" si="963"/>
        <v>-0.14918312105223827</v>
      </c>
    </row>
    <row r="211" spans="1:20" x14ac:dyDescent="0.25">
      <c r="A211" s="5">
        <v>44382</v>
      </c>
      <c r="B211">
        <v>5.0129999999999999</v>
      </c>
      <c r="C211">
        <v>5.0190000000000001</v>
      </c>
      <c r="D211">
        <v>4.5999999999999996</v>
      </c>
      <c r="E211">
        <v>4.8010000000000002</v>
      </c>
      <c r="F211">
        <v>814892.96699999995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-4.057279236276716E-2</v>
      </c>
      <c r="Q211">
        <f t="shared" si="960"/>
        <v>-33062.48314797027</v>
      </c>
      <c r="R211">
        <f t="shared" si="961"/>
        <v>-15677667.559801605</v>
      </c>
      <c r="S211">
        <f t="shared" si="962"/>
        <v>-156.77667559801606</v>
      </c>
      <c r="T211">
        <f t="shared" si="963"/>
        <v>-0.15677667559801606</v>
      </c>
    </row>
    <row r="212" spans="1:20" x14ac:dyDescent="0.25">
      <c r="A212" s="5">
        <v>44381</v>
      </c>
      <c r="B212">
        <v>4.5919999999999996</v>
      </c>
      <c r="C212">
        <v>5.56</v>
      </c>
      <c r="D212">
        <v>4.5679999999999996</v>
      </c>
      <c r="E212">
        <v>5.016</v>
      </c>
      <c r="F212">
        <v>2302318.855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-9.6774193548386289E-2</v>
      </c>
      <c r="Q212">
        <f t="shared" si="960"/>
        <v>-222805.0504838691</v>
      </c>
      <c r="R212">
        <f t="shared" si="961"/>
        <v>-15644605.076653635</v>
      </c>
      <c r="S212">
        <f t="shared" si="962"/>
        <v>-156.44605076653636</v>
      </c>
      <c r="T212">
        <f t="shared" si="963"/>
        <v>-0.15644605076653637</v>
      </c>
    </row>
    <row r="213" spans="1:20" x14ac:dyDescent="0.25">
      <c r="A213" s="5">
        <v>44380</v>
      </c>
      <c r="B213">
        <v>4.3449999999999998</v>
      </c>
      <c r="C213">
        <v>4.6660000000000004</v>
      </c>
      <c r="D213">
        <v>4.2629999999999999</v>
      </c>
      <c r="E213">
        <v>4.5919999999999996</v>
      </c>
      <c r="F213">
        <v>413864.58199999999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0.63275434243175854</v>
      </c>
      <c r="Q213">
        <f t="shared" si="960"/>
        <v>261874.6114392046</v>
      </c>
      <c r="R213">
        <f t="shared" si="961"/>
        <v>-15421800.026169766</v>
      </c>
      <c r="S213">
        <f t="shared" si="962"/>
        <v>-154.21800026169765</v>
      </c>
      <c r="T213">
        <f t="shared" si="963"/>
        <v>-0.15421800026169766</v>
      </c>
    </row>
    <row r="214" spans="1:20" x14ac:dyDescent="0.25">
      <c r="A214" s="5">
        <v>44379</v>
      </c>
      <c r="B214">
        <v>4.4009999999999998</v>
      </c>
      <c r="C214">
        <v>4.4400000000000004</v>
      </c>
      <c r="D214">
        <v>4.0999999999999996</v>
      </c>
      <c r="E214">
        <v>4.3339999999999996</v>
      </c>
      <c r="F214">
        <v>330987.52299999999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0.376470588235291</v>
      </c>
      <c r="Q214">
        <f t="shared" si="960"/>
        <v>124607.06748235191</v>
      </c>
      <c r="R214">
        <f t="shared" si="961"/>
        <v>-15683674.63760897</v>
      </c>
      <c r="S214">
        <f t="shared" si="962"/>
        <v>-156.83674637608971</v>
      </c>
      <c r="T214">
        <f t="shared" si="963"/>
        <v>-0.15683674637608971</v>
      </c>
    </row>
    <row r="215" spans="1:20" x14ac:dyDescent="0.25">
      <c r="A215" s="5">
        <v>44378</v>
      </c>
      <c r="B215">
        <v>4.5629999999999997</v>
      </c>
      <c r="C215">
        <v>4.7</v>
      </c>
      <c r="D215">
        <v>4.2549999999999999</v>
      </c>
      <c r="E215">
        <v>4.4089999999999998</v>
      </c>
      <c r="F215">
        <v>565645.23600000003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-0.30786516853932666</v>
      </c>
      <c r="Q215">
        <f t="shared" si="960"/>
        <v>-174142.46591460722</v>
      </c>
      <c r="R215">
        <f t="shared" si="961"/>
        <v>-15808281.705091322</v>
      </c>
      <c r="S215">
        <f t="shared" si="962"/>
        <v>-158.08281705091321</v>
      </c>
      <c r="T215">
        <f t="shared" si="963"/>
        <v>-0.1580828170509132</v>
      </c>
    </row>
    <row r="216" spans="1:20" x14ac:dyDescent="0.25">
      <c r="A216" s="5">
        <v>44377</v>
      </c>
      <c r="B216">
        <v>4.6790000000000003</v>
      </c>
      <c r="C216">
        <v>4.7709999999999999</v>
      </c>
      <c r="D216">
        <v>4.24</v>
      </c>
      <c r="E216">
        <v>4.5629999999999997</v>
      </c>
      <c r="F216">
        <v>374148.01799999998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0.21657250470809677</v>
      </c>
      <c r="Q216">
        <f t="shared" si="960"/>
        <v>81030.173389830074</v>
      </c>
      <c r="R216">
        <f t="shared" si="961"/>
        <v>-15634139.239176715</v>
      </c>
      <c r="S216">
        <f t="shared" si="962"/>
        <v>-156.34139239176716</v>
      </c>
      <c r="T216">
        <f t="shared" si="963"/>
        <v>-0.15634139239176717</v>
      </c>
    </row>
    <row r="217" spans="1:20" x14ac:dyDescent="0.25">
      <c r="A217" s="5">
        <v>44376</v>
      </c>
      <c r="B217">
        <v>4.5590000000000002</v>
      </c>
      <c r="C217">
        <v>4.8280000000000003</v>
      </c>
      <c r="D217">
        <v>4.5</v>
      </c>
      <c r="E217">
        <v>4.6840000000000002</v>
      </c>
      <c r="F217">
        <v>704783.94400000002</v>
      </c>
      <c r="G217">
        <v>0</v>
      </c>
      <c r="L217" t="s">
        <v>7</v>
      </c>
      <c r="M217" t="s">
        <v>8</v>
      </c>
      <c r="N217" t="s">
        <v>8</v>
      </c>
      <c r="P217">
        <f t="shared" si="959"/>
        <v>0.12195121951219512</v>
      </c>
      <c r="Q217">
        <f t="shared" si="960"/>
        <v>85949.26146341463</v>
      </c>
      <c r="R217">
        <f t="shared" si="961"/>
        <v>-15715169.412566544</v>
      </c>
      <c r="S217">
        <f t="shared" si="962"/>
        <v>-157.15169412566544</v>
      </c>
      <c r="T217">
        <f t="shared" si="963"/>
        <v>-0.15715169412566543</v>
      </c>
    </row>
    <row r="218" spans="1:20" x14ac:dyDescent="0.25">
      <c r="A218" s="5">
        <v>44375</v>
      </c>
      <c r="B218">
        <v>4.4649999999999999</v>
      </c>
      <c r="C218">
        <v>4.8</v>
      </c>
      <c r="D218">
        <v>4.3609999999999998</v>
      </c>
      <c r="E218">
        <v>4.5359999999999996</v>
      </c>
      <c r="F218">
        <v>523599.74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-0.20273348519362278</v>
      </c>
      <c r="Q218">
        <f t="shared" si="960"/>
        <v>-106151.20013667473</v>
      </c>
      <c r="R218">
        <f t="shared" si="961"/>
        <v>-15801118.674029959</v>
      </c>
      <c r="S218">
        <f t="shared" si="962"/>
        <v>-158.01118674029959</v>
      </c>
      <c r="T218">
        <f t="shared" si="963"/>
        <v>-0.1580111867402996</v>
      </c>
    </row>
    <row r="219" spans="1:20" x14ac:dyDescent="0.25">
      <c r="A219" s="5">
        <v>44374</v>
      </c>
      <c r="B219">
        <v>4.1900000000000004</v>
      </c>
      <c r="C219">
        <v>4.5810000000000004</v>
      </c>
      <c r="D219">
        <v>4.1050000000000004</v>
      </c>
      <c r="E219">
        <v>4.4630000000000001</v>
      </c>
      <c r="F219">
        <v>564025.40399999998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0.50420168067226756</v>
      </c>
      <c r="Q219">
        <f t="shared" si="960"/>
        <v>284382.55663865467</v>
      </c>
      <c r="R219">
        <f t="shared" si="961"/>
        <v>-15694967.473893285</v>
      </c>
      <c r="S219">
        <f t="shared" si="962"/>
        <v>-156.94967473893286</v>
      </c>
      <c r="T219">
        <f t="shared" si="963"/>
        <v>-0.15694967473893284</v>
      </c>
    </row>
    <row r="220" spans="1:20" x14ac:dyDescent="0.25">
      <c r="A220" s="5">
        <v>44373</v>
      </c>
      <c r="B220">
        <v>4.274</v>
      </c>
      <c r="C220">
        <v>4.391</v>
      </c>
      <c r="D220">
        <v>3.9</v>
      </c>
      <c r="E220">
        <v>4.1909999999999998</v>
      </c>
      <c r="F220">
        <v>530578.87800000003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0.18533604887983651</v>
      </c>
      <c r="Q220">
        <f t="shared" si="960"/>
        <v>98335.392867616814</v>
      </c>
      <c r="R220">
        <f t="shared" si="961"/>
        <v>-15979350.030531939</v>
      </c>
      <c r="S220">
        <f t="shared" si="962"/>
        <v>-159.79350030531938</v>
      </c>
      <c r="T220">
        <f t="shared" si="963"/>
        <v>-0.15979350030531939</v>
      </c>
    </row>
    <row r="221" spans="1:20" x14ac:dyDescent="0.25">
      <c r="A221" s="5">
        <v>44372</v>
      </c>
      <c r="B221">
        <v>4.8899999999999997</v>
      </c>
      <c r="C221">
        <v>5.0119999999999996</v>
      </c>
      <c r="D221">
        <v>4.1859999999999999</v>
      </c>
      <c r="E221">
        <v>4.2830000000000004</v>
      </c>
      <c r="F221">
        <v>735061.80599999998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-0.76513317191283181</v>
      </c>
      <c r="Q221">
        <f t="shared" si="960"/>
        <v>-562420.17117675464</v>
      </c>
      <c r="R221">
        <f t="shared" si="961"/>
        <v>-16077685.423399556</v>
      </c>
      <c r="S221">
        <f t="shared" si="962"/>
        <v>-160.77685423399555</v>
      </c>
      <c r="T221">
        <f t="shared" si="963"/>
        <v>-0.16077685423399554</v>
      </c>
    </row>
    <row r="222" spans="1:20" x14ac:dyDescent="0.25">
      <c r="A222" s="5">
        <v>44371</v>
      </c>
      <c r="B222">
        <v>5.0810000000000004</v>
      </c>
      <c r="C222">
        <v>5.391</v>
      </c>
      <c r="D222">
        <v>4.7009999999999996</v>
      </c>
      <c r="E222">
        <v>4.8879999999999999</v>
      </c>
      <c r="F222">
        <v>758523.93700000003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-0.45797101449275313</v>
      </c>
      <c r="Q222">
        <f t="shared" si="960"/>
        <v>-347381.97694492718</v>
      </c>
      <c r="R222">
        <f t="shared" si="961"/>
        <v>-15515265.252222802</v>
      </c>
      <c r="S222">
        <f t="shared" si="962"/>
        <v>-155.15265252222804</v>
      </c>
      <c r="T222">
        <f t="shared" si="963"/>
        <v>-0.15515265252222804</v>
      </c>
    </row>
    <row r="223" spans="1:20" x14ac:dyDescent="0.25">
      <c r="A223" s="5">
        <v>44370</v>
      </c>
      <c r="B223">
        <v>4.1589999999999998</v>
      </c>
      <c r="C223">
        <v>5.3079999999999998</v>
      </c>
      <c r="D223">
        <v>3.9670000000000001</v>
      </c>
      <c r="E223">
        <v>5.08</v>
      </c>
      <c r="F223">
        <v>1022767.594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0.65995525727069382</v>
      </c>
      <c r="Q223">
        <f t="shared" si="960"/>
        <v>674980.85062639858</v>
      </c>
      <c r="R223">
        <f t="shared" si="961"/>
        <v>-15167883.275277875</v>
      </c>
      <c r="S223">
        <f t="shared" si="962"/>
        <v>-151.67883275277876</v>
      </c>
      <c r="T223">
        <f t="shared" si="963"/>
        <v>-0.15167883275277877</v>
      </c>
    </row>
    <row r="224" spans="1:20" x14ac:dyDescent="0.25">
      <c r="A224" s="5">
        <v>44369</v>
      </c>
      <c r="B224">
        <v>4.4119999999999999</v>
      </c>
      <c r="C224">
        <v>4.7990000000000004</v>
      </c>
      <c r="D224">
        <v>3.4510000000000001</v>
      </c>
      <c r="E224">
        <v>4.1420000000000003</v>
      </c>
      <c r="F224">
        <v>935603.39099999995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2.5222551928783563E-2</v>
      </c>
      <c r="Q224">
        <f t="shared" si="960"/>
        <v>23598.305114243492</v>
      </c>
      <c r="R224">
        <f t="shared" si="961"/>
        <v>-15842864.125904273</v>
      </c>
      <c r="S224">
        <f t="shared" si="962"/>
        <v>-158.42864125904273</v>
      </c>
      <c r="T224">
        <f t="shared" si="963"/>
        <v>-0.15842864125904274</v>
      </c>
    </row>
    <row r="225" spans="1:20" x14ac:dyDescent="0.25">
      <c r="A225" s="5">
        <v>44368</v>
      </c>
      <c r="B225">
        <v>5.758</v>
      </c>
      <c r="C225">
        <v>5.8179999999999996</v>
      </c>
      <c r="D225">
        <v>4.3899999999999997</v>
      </c>
      <c r="E225">
        <v>4.415</v>
      </c>
      <c r="F225">
        <v>632206.51599999995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-0.96498599439775856</v>
      </c>
      <c r="Q225">
        <f t="shared" si="960"/>
        <v>-610070.43350700242</v>
      </c>
      <c r="R225">
        <f t="shared" si="961"/>
        <v>-15866462.431018516</v>
      </c>
      <c r="S225">
        <f t="shared" si="962"/>
        <v>-158.66462431018516</v>
      </c>
      <c r="T225">
        <f t="shared" si="963"/>
        <v>-0.15866462431018516</v>
      </c>
    </row>
    <row r="226" spans="1:20" x14ac:dyDescent="0.25">
      <c r="A226" s="5">
        <v>44367</v>
      </c>
      <c r="B226">
        <v>5.7590000000000003</v>
      </c>
      <c r="C226">
        <v>6</v>
      </c>
      <c r="D226">
        <v>5.2510000000000003</v>
      </c>
      <c r="E226">
        <v>5.7480000000000002</v>
      </c>
      <c r="F226">
        <v>387585.49599999998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0.32710280373831807</v>
      </c>
      <c r="Q226">
        <f t="shared" si="960"/>
        <v>126780.30242990666</v>
      </c>
      <c r="R226">
        <f t="shared" si="961"/>
        <v>-15256391.997511514</v>
      </c>
      <c r="S226">
        <f t="shared" si="962"/>
        <v>-152.56391997511514</v>
      </c>
      <c r="T226">
        <f t="shared" si="963"/>
        <v>-0.15256391997511515</v>
      </c>
    </row>
    <row r="227" spans="1:20" x14ac:dyDescent="0.25">
      <c r="A227" s="5">
        <v>44366</v>
      </c>
      <c r="B227">
        <v>5.9429999999999996</v>
      </c>
      <c r="C227">
        <v>6.0259999999999998</v>
      </c>
      <c r="D227">
        <v>5.7229999999999999</v>
      </c>
      <c r="E227">
        <v>5.766</v>
      </c>
      <c r="F227">
        <v>323827.44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-0.71617161716171518</v>
      </c>
      <c r="Q227">
        <f t="shared" si="960"/>
        <v>-231916.02138613828</v>
      </c>
      <c r="R227">
        <f t="shared" si="961"/>
        <v>-15383172.299941421</v>
      </c>
      <c r="S227">
        <f t="shared" si="962"/>
        <v>-153.83172299941421</v>
      </c>
      <c r="T227">
        <f t="shared" si="963"/>
        <v>-0.15383172299941422</v>
      </c>
    </row>
    <row r="228" spans="1:20" x14ac:dyDescent="0.25">
      <c r="A228" s="5">
        <v>44365</v>
      </c>
      <c r="B228">
        <v>6.4729999999999999</v>
      </c>
      <c r="C228">
        <v>6.64</v>
      </c>
      <c r="D228">
        <v>5.7009999999999996</v>
      </c>
      <c r="E228">
        <v>5.9240000000000004</v>
      </c>
      <c r="F228">
        <v>440163.63099999999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-0.52502662406815603</v>
      </c>
      <c r="Q228">
        <f t="shared" si="960"/>
        <v>-231097.62522151155</v>
      </c>
      <c r="R228">
        <f t="shared" si="961"/>
        <v>-15151256.278555281</v>
      </c>
      <c r="S228">
        <f t="shared" si="962"/>
        <v>-151.5125627855528</v>
      </c>
      <c r="T228">
        <f t="shared" si="963"/>
        <v>-0.15151256278555281</v>
      </c>
    </row>
    <row r="229" spans="1:20" x14ac:dyDescent="0.25">
      <c r="A229" s="5">
        <v>44364</v>
      </c>
      <c r="B229">
        <v>6.4020000000000001</v>
      </c>
      <c r="C229">
        <v>6.8</v>
      </c>
      <c r="D229">
        <v>6.3339999999999996</v>
      </c>
      <c r="E229">
        <v>6.4729999999999999</v>
      </c>
      <c r="F229">
        <v>282232.56599999999</v>
      </c>
      <c r="G229">
        <v>0</v>
      </c>
      <c r="L229" t="s">
        <v>7</v>
      </c>
      <c r="M229" t="s">
        <v>8</v>
      </c>
      <c r="N229" t="s">
        <v>8</v>
      </c>
      <c r="P229">
        <f t="shared" si="959"/>
        <v>-0.403433476394849</v>
      </c>
      <c r="Q229">
        <f t="shared" si="960"/>
        <v>-113862.06525321867</v>
      </c>
      <c r="R229">
        <f t="shared" si="961"/>
        <v>-14920158.65333377</v>
      </c>
      <c r="S229">
        <f t="shared" si="962"/>
        <v>-149.20158653333769</v>
      </c>
      <c r="T229">
        <f t="shared" si="963"/>
        <v>-0.14920158653333768</v>
      </c>
    </row>
    <row r="230" spans="1:20" x14ac:dyDescent="0.25">
      <c r="A230" s="5">
        <v>44363</v>
      </c>
      <c r="B230">
        <v>6.7560000000000002</v>
      </c>
      <c r="C230">
        <v>6.9960000000000004</v>
      </c>
      <c r="D230">
        <v>6.3319999999999999</v>
      </c>
      <c r="E230">
        <v>6.4020000000000001</v>
      </c>
      <c r="F230">
        <v>438061.96500000003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-0.78915662650602347</v>
      </c>
      <c r="Q230">
        <f t="shared" si="960"/>
        <v>-345699.50249999977</v>
      </c>
      <c r="R230">
        <f t="shared" si="961"/>
        <v>-14806296.588080551</v>
      </c>
      <c r="S230">
        <f t="shared" si="962"/>
        <v>-148.06296588080551</v>
      </c>
      <c r="T230">
        <f t="shared" si="963"/>
        <v>-0.1480629658808055</v>
      </c>
    </row>
    <row r="231" spans="1:20" x14ac:dyDescent="0.25">
      <c r="A231" s="5">
        <v>44362</v>
      </c>
      <c r="B231">
        <v>6.952</v>
      </c>
      <c r="C231">
        <v>7.0730000000000004</v>
      </c>
      <c r="D231">
        <v>6.6280000000000001</v>
      </c>
      <c r="E231">
        <v>6.7590000000000003</v>
      </c>
      <c r="F231">
        <v>659444.80099999998</v>
      </c>
      <c r="G231">
        <v>0</v>
      </c>
      <c r="L231" t="s">
        <v>7</v>
      </c>
      <c r="M231" t="s">
        <v>8</v>
      </c>
      <c r="N231" t="s">
        <v>8</v>
      </c>
      <c r="P231">
        <f t="shared" si="959"/>
        <v>-0.4112359550561791</v>
      </c>
      <c r="Q231">
        <f t="shared" si="960"/>
        <v>-271187.41254606697</v>
      </c>
      <c r="R231">
        <f t="shared" si="961"/>
        <v>-14460597.085580552</v>
      </c>
      <c r="S231">
        <f t="shared" si="962"/>
        <v>-144.60597085580551</v>
      </c>
      <c r="T231">
        <f t="shared" si="963"/>
        <v>-0.14460597085580551</v>
      </c>
    </row>
    <row r="232" spans="1:20" x14ac:dyDescent="0.25">
      <c r="A232" s="5">
        <v>44361</v>
      </c>
      <c r="B232">
        <v>6.718</v>
      </c>
      <c r="C232">
        <v>7.2919999999999998</v>
      </c>
      <c r="D232">
        <v>6.5919999999999996</v>
      </c>
      <c r="E232">
        <v>6.952</v>
      </c>
      <c r="F232">
        <v>2232776.31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2.8571428571429223E-2</v>
      </c>
      <c r="Q232">
        <f t="shared" si="960"/>
        <v>63793.608857144311</v>
      </c>
      <c r="R232">
        <f t="shared" si="961"/>
        <v>-14189409.673034485</v>
      </c>
      <c r="S232">
        <f t="shared" si="962"/>
        <v>-141.89409673034484</v>
      </c>
      <c r="T232">
        <f t="shared" si="963"/>
        <v>-0.14189409673034484</v>
      </c>
    </row>
    <row r="233" spans="1:20" x14ac:dyDescent="0.25">
      <c r="A233" s="5">
        <v>44360</v>
      </c>
      <c r="B233">
        <v>6.2350000000000003</v>
      </c>
      <c r="C233">
        <v>6.86</v>
      </c>
      <c r="D233">
        <v>6.085</v>
      </c>
      <c r="E233">
        <v>6.72</v>
      </c>
      <c r="F233">
        <v>514651.01699999999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0.63870967741935358</v>
      </c>
      <c r="Q233">
        <f t="shared" si="960"/>
        <v>328712.58505161223</v>
      </c>
      <c r="R233">
        <f t="shared" si="961"/>
        <v>-14253203.281891629</v>
      </c>
      <c r="S233">
        <f t="shared" si="962"/>
        <v>-142.53203281891629</v>
      </c>
      <c r="T233">
        <f t="shared" si="963"/>
        <v>-0.1425320328189163</v>
      </c>
    </row>
    <row r="234" spans="1:20" x14ac:dyDescent="0.25">
      <c r="A234" s="5">
        <v>44359</v>
      </c>
      <c r="B234">
        <v>6.87</v>
      </c>
      <c r="C234">
        <v>6.8979999999999997</v>
      </c>
      <c r="D234">
        <v>5.9420000000000002</v>
      </c>
      <c r="E234">
        <v>6.2290000000000001</v>
      </c>
      <c r="F234">
        <v>1013401.064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-0.39958158995815884</v>
      </c>
      <c r="Q234">
        <f t="shared" si="960"/>
        <v>-404936.40841840988</v>
      </c>
      <c r="R234">
        <f t="shared" si="961"/>
        <v>-14581915.866943242</v>
      </c>
      <c r="S234">
        <f t="shared" si="962"/>
        <v>-145.81915866943243</v>
      </c>
      <c r="T234">
        <f t="shared" si="963"/>
        <v>-0.14581915866943243</v>
      </c>
    </row>
    <row r="235" spans="1:20" x14ac:dyDescent="0.25">
      <c r="A235" s="5">
        <v>44358</v>
      </c>
      <c r="B235">
        <v>6.0940000000000003</v>
      </c>
      <c r="C235">
        <v>7.82</v>
      </c>
      <c r="D235">
        <v>5.8330000000000002</v>
      </c>
      <c r="E235">
        <v>6.8760000000000003</v>
      </c>
      <c r="F235">
        <v>3347567.8670000001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4.9823855057876294E-2</v>
      </c>
      <c r="Q235">
        <f t="shared" si="960"/>
        <v>166788.73620181211</v>
      </c>
      <c r="R235">
        <f t="shared" si="961"/>
        <v>-14176979.458524833</v>
      </c>
      <c r="S235">
        <f t="shared" si="962"/>
        <v>-141.76979458524832</v>
      </c>
      <c r="T235">
        <f t="shared" si="963"/>
        <v>-0.14176979458524833</v>
      </c>
    </row>
    <row r="236" spans="1:20" x14ac:dyDescent="0.25">
      <c r="A236" s="5">
        <v>44357</v>
      </c>
      <c r="B236">
        <v>6.68</v>
      </c>
      <c r="C236">
        <v>6.7080000000000002</v>
      </c>
      <c r="D236">
        <v>5.8760000000000003</v>
      </c>
      <c r="E236">
        <v>6.0940000000000003</v>
      </c>
      <c r="F236">
        <v>697720.10499999998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-0.47596153846153844</v>
      </c>
      <c r="Q236">
        <f t="shared" si="960"/>
        <v>-332087.93459134613</v>
      </c>
      <c r="R236">
        <f t="shared" si="961"/>
        <v>-14343768.194726644</v>
      </c>
      <c r="S236">
        <f t="shared" si="962"/>
        <v>-143.43768194726644</v>
      </c>
      <c r="T236">
        <f t="shared" si="963"/>
        <v>-0.14343768194726644</v>
      </c>
    </row>
    <row r="237" spans="1:20" x14ac:dyDescent="0.25">
      <c r="A237" s="5">
        <v>44356</v>
      </c>
      <c r="B237">
        <v>6.1360000000000001</v>
      </c>
      <c r="C237">
        <v>6.8659999999999997</v>
      </c>
      <c r="D237">
        <v>5.8079999999999998</v>
      </c>
      <c r="E237">
        <v>6.673</v>
      </c>
      <c r="F237">
        <v>859017.67599999998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0.63516068052930119</v>
      </c>
      <c r="Q237">
        <f t="shared" si="960"/>
        <v>545614.25167485874</v>
      </c>
      <c r="R237">
        <f t="shared" si="961"/>
        <v>-14011680.260135299</v>
      </c>
      <c r="S237">
        <f t="shared" si="962"/>
        <v>-140.11680260135299</v>
      </c>
      <c r="T237">
        <f t="shared" si="963"/>
        <v>-0.14011680260135298</v>
      </c>
    </row>
    <row r="238" spans="1:20" x14ac:dyDescent="0.25">
      <c r="A238" s="5">
        <v>44355</v>
      </c>
      <c r="B238">
        <v>6.53</v>
      </c>
      <c r="C238">
        <v>6.694</v>
      </c>
      <c r="D238">
        <v>5.4560000000000004</v>
      </c>
      <c r="E238">
        <v>6.1379999999999999</v>
      </c>
      <c r="F238">
        <v>755047.78700000001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0.10177705977382835</v>
      </c>
      <c r="Q238">
        <f t="shared" si="960"/>
        <v>76846.543749595818</v>
      </c>
      <c r="R238">
        <f t="shared" si="961"/>
        <v>-14557294.511810157</v>
      </c>
      <c r="S238">
        <f t="shared" si="962"/>
        <v>-145.57294511810159</v>
      </c>
      <c r="T238">
        <f t="shared" si="963"/>
        <v>-0.14557294511810159</v>
      </c>
    </row>
    <row r="239" spans="1:20" x14ac:dyDescent="0.25">
      <c r="A239" s="5">
        <v>44354</v>
      </c>
      <c r="B239">
        <v>7.2530000000000001</v>
      </c>
      <c r="C239">
        <v>7.444</v>
      </c>
      <c r="D239">
        <v>6.43</v>
      </c>
      <c r="E239">
        <v>6.5309999999999997</v>
      </c>
      <c r="F239">
        <v>610752.054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-0.80078895463510857</v>
      </c>
      <c r="Q239">
        <f t="shared" si="960"/>
        <v>-489083.49886390538</v>
      </c>
      <c r="R239">
        <f t="shared" si="961"/>
        <v>-14634141.055559753</v>
      </c>
      <c r="S239">
        <f t="shared" si="962"/>
        <v>-146.34141055559752</v>
      </c>
      <c r="T239">
        <f t="shared" si="963"/>
        <v>-0.14634141055559752</v>
      </c>
    </row>
    <row r="240" spans="1:20" x14ac:dyDescent="0.25">
      <c r="A240" s="5">
        <v>44353</v>
      </c>
      <c r="B240">
        <v>6.9790000000000001</v>
      </c>
      <c r="C240">
        <v>7.4249999999999998</v>
      </c>
      <c r="D240">
        <v>6.9080000000000004</v>
      </c>
      <c r="E240">
        <v>7.2480000000000002</v>
      </c>
      <c r="F240">
        <v>420984.93900000001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0.31528046421663525</v>
      </c>
      <c r="Q240">
        <f t="shared" si="960"/>
        <v>132728.32699613189</v>
      </c>
      <c r="R240">
        <f t="shared" si="961"/>
        <v>-14145057.556695847</v>
      </c>
      <c r="S240">
        <f t="shared" si="962"/>
        <v>-141.45057556695846</v>
      </c>
      <c r="T240">
        <f t="shared" si="963"/>
        <v>-0.14145057556695848</v>
      </c>
    </row>
    <row r="241" spans="1:20" x14ac:dyDescent="0.25">
      <c r="A241" s="5">
        <v>44352</v>
      </c>
      <c r="B241">
        <v>7.33</v>
      </c>
      <c r="C241">
        <v>7.7249999999999996</v>
      </c>
      <c r="D241">
        <v>6.7149999999999999</v>
      </c>
      <c r="E241">
        <v>6.9790000000000001</v>
      </c>
      <c r="F241">
        <v>683176.72900000005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-0.47722772277227665</v>
      </c>
      <c r="Q241">
        <f t="shared" si="960"/>
        <v>-326030.87463168282</v>
      </c>
      <c r="R241">
        <f t="shared" si="961"/>
        <v>-14277785.88369198</v>
      </c>
      <c r="S241">
        <f t="shared" si="962"/>
        <v>-142.77785883691979</v>
      </c>
      <c r="T241">
        <f t="shared" si="963"/>
        <v>-0.14277785883691979</v>
      </c>
    </row>
    <row r="242" spans="1:20" x14ac:dyDescent="0.25">
      <c r="A242" s="5">
        <v>44351</v>
      </c>
      <c r="B242">
        <v>8.2309999999999999</v>
      </c>
      <c r="C242">
        <v>8.2469999999999999</v>
      </c>
      <c r="D242">
        <v>6.8310000000000004</v>
      </c>
      <c r="E242">
        <v>7.3120000000000003</v>
      </c>
      <c r="F242">
        <v>1094127.091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-0.32062146892655358</v>
      </c>
      <c r="Q242">
        <f t="shared" si="960"/>
        <v>-350800.63510875695</v>
      </c>
      <c r="R242">
        <f t="shared" si="961"/>
        <v>-13951755.009060297</v>
      </c>
      <c r="S242">
        <f t="shared" si="962"/>
        <v>-139.51755009060298</v>
      </c>
      <c r="T242">
        <f t="shared" si="963"/>
        <v>-0.13951755009060299</v>
      </c>
    </row>
    <row r="243" spans="1:20" x14ac:dyDescent="0.25">
      <c r="A243" s="5">
        <v>44350</v>
      </c>
      <c r="B243">
        <v>8.0190000000000001</v>
      </c>
      <c r="C243">
        <v>8.4499999999999993</v>
      </c>
      <c r="D243">
        <v>7.931</v>
      </c>
      <c r="E243">
        <v>8.218</v>
      </c>
      <c r="F243">
        <v>913639.23600000003</v>
      </c>
      <c r="G243">
        <v>0</v>
      </c>
      <c r="L243" t="s">
        <v>7</v>
      </c>
      <c r="M243" t="s">
        <v>8</v>
      </c>
      <c r="N243" t="s">
        <v>7</v>
      </c>
      <c r="P243">
        <f t="shared" si="959"/>
        <v>0.10597302504817088</v>
      </c>
      <c r="Q243">
        <f t="shared" si="960"/>
        <v>96821.113641619711</v>
      </c>
      <c r="R243">
        <f t="shared" si="961"/>
        <v>-13600954.373951539</v>
      </c>
      <c r="S243">
        <f t="shared" si="962"/>
        <v>-136.00954373951541</v>
      </c>
      <c r="T243">
        <f t="shared" si="963"/>
        <v>-0.1360095437395154</v>
      </c>
    </row>
    <row r="244" spans="1:20" x14ac:dyDescent="0.25">
      <c r="A244" s="5">
        <v>44349</v>
      </c>
      <c r="B244">
        <v>8.1210000000000004</v>
      </c>
      <c r="C244">
        <v>8.4290000000000003</v>
      </c>
      <c r="D244">
        <v>7.8710000000000004</v>
      </c>
      <c r="E244">
        <v>8.0329999999999995</v>
      </c>
      <c r="F244">
        <v>640009.83200000005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-0.41935483870968071</v>
      </c>
      <c r="Q244">
        <f t="shared" si="960"/>
        <v>-268391.21987096989</v>
      </c>
      <c r="R244">
        <f t="shared" si="961"/>
        <v>-13697775.487593159</v>
      </c>
      <c r="S244">
        <f t="shared" si="962"/>
        <v>-136.97775487593159</v>
      </c>
      <c r="T244">
        <f t="shared" si="963"/>
        <v>-0.13697775487593158</v>
      </c>
    </row>
    <row r="245" spans="1:20" x14ac:dyDescent="0.25">
      <c r="A245" s="5">
        <v>44348</v>
      </c>
      <c r="B245">
        <v>8.4060000000000006</v>
      </c>
      <c r="C245">
        <v>8.75</v>
      </c>
      <c r="D245">
        <v>7.8609999999999998</v>
      </c>
      <c r="E245">
        <v>8.1150000000000002</v>
      </c>
      <c r="F245">
        <v>749095.31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-0.42857142857142771</v>
      </c>
      <c r="Q245">
        <f t="shared" si="960"/>
        <v>-321040.84714285651</v>
      </c>
      <c r="R245">
        <f t="shared" si="961"/>
        <v>-13429384.267722189</v>
      </c>
      <c r="S245">
        <f t="shared" si="962"/>
        <v>-134.2938426772219</v>
      </c>
      <c r="T245">
        <f t="shared" si="963"/>
        <v>-0.13429384267722191</v>
      </c>
    </row>
    <row r="246" spans="1:20" x14ac:dyDescent="0.25">
      <c r="A246" s="5">
        <v>44347</v>
      </c>
      <c r="B246">
        <v>8.2080000000000002</v>
      </c>
      <c r="C246">
        <v>8.6579999999999995</v>
      </c>
      <c r="D246">
        <v>7.2869999999999999</v>
      </c>
      <c r="E246">
        <v>8.4060000000000006</v>
      </c>
      <c r="F246">
        <v>1234388.905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0.63238512035011085</v>
      </c>
      <c r="Q246">
        <f t="shared" si="960"/>
        <v>780609.17624726659</v>
      </c>
      <c r="R246">
        <f t="shared" si="961"/>
        <v>-13108343.420579333</v>
      </c>
      <c r="S246">
        <f t="shared" si="962"/>
        <v>-131.08343420579334</v>
      </c>
      <c r="T246">
        <f t="shared" si="963"/>
        <v>-0.13108343420579333</v>
      </c>
    </row>
    <row r="247" spans="1:20" x14ac:dyDescent="0.25">
      <c r="A247" s="5">
        <v>44346</v>
      </c>
      <c r="B247">
        <v>7.202</v>
      </c>
      <c r="C247">
        <v>8.8800000000000008</v>
      </c>
      <c r="D247">
        <v>6.6890000000000001</v>
      </c>
      <c r="E247">
        <v>8.2050000000000001</v>
      </c>
      <c r="F247">
        <v>1970611.72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0.3838429940666358</v>
      </c>
      <c r="Q247">
        <f t="shared" si="960"/>
        <v>756405.50274760299</v>
      </c>
      <c r="R247">
        <f t="shared" si="961"/>
        <v>-13888952.5968266</v>
      </c>
      <c r="S247">
        <f t="shared" si="962"/>
        <v>-138.88952596826599</v>
      </c>
      <c r="T247">
        <f t="shared" si="963"/>
        <v>-0.13888952596826598</v>
      </c>
    </row>
    <row r="248" spans="1:20" x14ac:dyDescent="0.25">
      <c r="A248" s="5">
        <v>44345</v>
      </c>
      <c r="B248">
        <v>7.1349999999999998</v>
      </c>
      <c r="C248">
        <v>7.7</v>
      </c>
      <c r="D248">
        <v>6.2249999999999996</v>
      </c>
      <c r="E248">
        <v>7.218</v>
      </c>
      <c r="F248">
        <v>1339605.4350000001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0.34644067796610167</v>
      </c>
      <c r="Q248">
        <f t="shared" si="960"/>
        <v>464093.81510847458</v>
      </c>
      <c r="R248">
        <f t="shared" si="961"/>
        <v>-14645358.099574203</v>
      </c>
      <c r="S248">
        <f t="shared" si="962"/>
        <v>-146.45358099574202</v>
      </c>
      <c r="T248">
        <f t="shared" si="963"/>
        <v>-0.14645358099574202</v>
      </c>
    </row>
    <row r="249" spans="1:20" x14ac:dyDescent="0.25">
      <c r="A249" s="5">
        <v>44344</v>
      </c>
      <c r="B249">
        <v>8.3290000000000006</v>
      </c>
      <c r="C249">
        <v>8.6259999999999994</v>
      </c>
      <c r="D249">
        <v>6.65</v>
      </c>
      <c r="E249">
        <v>7.1289999999999996</v>
      </c>
      <c r="F249">
        <v>1916443.9709999999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-0.51518218623481837</v>
      </c>
      <c r="Q249">
        <f t="shared" si="960"/>
        <v>-987317.79477631685</v>
      </c>
      <c r="R249">
        <f t="shared" si="961"/>
        <v>-15109451.914682677</v>
      </c>
      <c r="S249">
        <f t="shared" si="962"/>
        <v>-151.09451914682677</v>
      </c>
      <c r="T249">
        <f t="shared" si="963"/>
        <v>-0.15109451914682676</v>
      </c>
    </row>
    <row r="250" spans="1:20" x14ac:dyDescent="0.25">
      <c r="A250" s="5">
        <v>44343</v>
      </c>
      <c r="B250">
        <v>7.7469999999999999</v>
      </c>
      <c r="C250">
        <v>9.1999999999999993</v>
      </c>
      <c r="D250">
        <v>6.5439999999999996</v>
      </c>
      <c r="E250">
        <v>8.3019999999999996</v>
      </c>
      <c r="F250">
        <v>2618701.16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0.32379518072289171</v>
      </c>
      <c r="Q250">
        <f t="shared" si="960"/>
        <v>847922.81536144624</v>
      </c>
      <c r="R250">
        <f t="shared" si="961"/>
        <v>-14122134.11990636</v>
      </c>
      <c r="S250">
        <f t="shared" si="962"/>
        <v>-141.2213411990636</v>
      </c>
      <c r="T250">
        <f t="shared" si="963"/>
        <v>-0.1412213411990636</v>
      </c>
    </row>
    <row r="251" spans="1:20" x14ac:dyDescent="0.25">
      <c r="A251" s="5">
        <v>44342</v>
      </c>
      <c r="B251">
        <v>6.4470000000000001</v>
      </c>
      <c r="C251">
        <v>7.899</v>
      </c>
      <c r="D251">
        <v>6.2190000000000003</v>
      </c>
      <c r="E251">
        <v>7.7560000000000002</v>
      </c>
      <c r="F251">
        <v>1910326.605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0.82976190476190503</v>
      </c>
      <c r="Q251">
        <f t="shared" si="960"/>
        <v>1585116.2424821435</v>
      </c>
      <c r="R251">
        <f t="shared" si="961"/>
        <v>-14970056.935267806</v>
      </c>
      <c r="S251">
        <f t="shared" si="962"/>
        <v>-149.70056935267806</v>
      </c>
      <c r="T251">
        <f t="shared" si="963"/>
        <v>-0.14970056935267806</v>
      </c>
    </row>
    <row r="252" spans="1:20" x14ac:dyDescent="0.25">
      <c r="A252" s="5">
        <v>44341</v>
      </c>
      <c r="B252">
        <v>6.5810000000000004</v>
      </c>
      <c r="C252">
        <v>6.9180000000000001</v>
      </c>
      <c r="D252">
        <v>5.5</v>
      </c>
      <c r="E252">
        <v>6.4470000000000001</v>
      </c>
      <c r="F252">
        <v>1113429.361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0.33568406205923829</v>
      </c>
      <c r="Q252">
        <f t="shared" si="960"/>
        <v>373760.49071650201</v>
      </c>
      <c r="R252">
        <f t="shared" si="961"/>
        <v>-16555173.17774995</v>
      </c>
      <c r="S252">
        <f t="shared" si="962"/>
        <v>-165.5517317774995</v>
      </c>
      <c r="T252">
        <f t="shared" si="963"/>
        <v>-0.16555173177749949</v>
      </c>
    </row>
    <row r="253" spans="1:20" x14ac:dyDescent="0.25">
      <c r="A253" s="5">
        <v>44340</v>
      </c>
      <c r="B253">
        <v>4.9249999999999998</v>
      </c>
      <c r="C253">
        <v>6.5949999999999998</v>
      </c>
      <c r="D253">
        <v>4.8959999999999999</v>
      </c>
      <c r="E253">
        <v>6.5810000000000004</v>
      </c>
      <c r="F253">
        <v>1303412.4180000001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0.98351971748087186</v>
      </c>
      <c r="Q253">
        <f t="shared" si="960"/>
        <v>1281931.81311242</v>
      </c>
      <c r="R253">
        <f t="shared" si="961"/>
        <v>-16928933.668466453</v>
      </c>
      <c r="S253">
        <f t="shared" si="962"/>
        <v>-169.28933668466453</v>
      </c>
      <c r="T253">
        <f t="shared" si="963"/>
        <v>-0.16928933668466453</v>
      </c>
    </row>
    <row r="254" spans="1:20" x14ac:dyDescent="0.25">
      <c r="A254" s="5">
        <v>44339</v>
      </c>
      <c r="B254">
        <v>6.3</v>
      </c>
      <c r="C254">
        <v>6.569</v>
      </c>
      <c r="D254">
        <v>4.01</v>
      </c>
      <c r="E254">
        <v>4.9249999999999998</v>
      </c>
      <c r="F254">
        <v>1411559.9909999999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-0.28487690504103169</v>
      </c>
      <c r="Q254">
        <f t="shared" si="960"/>
        <v>-402120.84151582653</v>
      </c>
      <c r="R254">
        <f t="shared" si="961"/>
        <v>-18210865.481578872</v>
      </c>
      <c r="S254">
        <f t="shared" si="962"/>
        <v>-182.10865481578873</v>
      </c>
      <c r="T254">
        <f t="shared" si="963"/>
        <v>-0.18210865481578872</v>
      </c>
    </row>
    <row r="255" spans="1:20" x14ac:dyDescent="0.25">
      <c r="A255" s="5">
        <v>44338</v>
      </c>
      <c r="B255">
        <v>6.9119999999999999</v>
      </c>
      <c r="C255">
        <v>7.2519999999999998</v>
      </c>
      <c r="D255">
        <v>5.8419999999999996</v>
      </c>
      <c r="E255">
        <v>6.3259999999999996</v>
      </c>
      <c r="F255">
        <v>940786.40099999995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-0.3134751773049646</v>
      </c>
      <c r="Q255">
        <f t="shared" si="960"/>
        <v>-294913.18385957449</v>
      </c>
      <c r="R255">
        <f t="shared" si="961"/>
        <v>-17808744.640063044</v>
      </c>
      <c r="S255">
        <f t="shared" si="962"/>
        <v>-178.08744640063043</v>
      </c>
      <c r="T255">
        <f t="shared" si="963"/>
        <v>-0.17808744640063043</v>
      </c>
    </row>
    <row r="256" spans="1:20" x14ac:dyDescent="0.25">
      <c r="A256" s="5">
        <v>44337</v>
      </c>
      <c r="B256">
        <v>8.4390000000000001</v>
      </c>
      <c r="C256">
        <v>9</v>
      </c>
      <c r="D256">
        <v>5.83</v>
      </c>
      <c r="E256">
        <v>6.87</v>
      </c>
      <c r="F256">
        <v>1623413.8910000001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-0.34384858044164035</v>
      </c>
      <c r="Q256">
        <f t="shared" si="960"/>
        <v>-558208.56188958988</v>
      </c>
      <c r="R256">
        <f t="shared" si="961"/>
        <v>-17513831.456203468</v>
      </c>
      <c r="S256">
        <f t="shared" si="962"/>
        <v>-175.13831456203468</v>
      </c>
      <c r="T256">
        <f t="shared" si="963"/>
        <v>-0.17513831456203469</v>
      </c>
    </row>
    <row r="257" spans="1:20" x14ac:dyDescent="0.25">
      <c r="A257" s="5">
        <v>44336</v>
      </c>
      <c r="B257">
        <v>7.5010000000000003</v>
      </c>
      <c r="C257">
        <v>9.66</v>
      </c>
      <c r="D257">
        <v>6.7640000000000002</v>
      </c>
      <c r="E257">
        <v>8.4440000000000008</v>
      </c>
      <c r="F257">
        <v>1774266.996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0.16022099447513857</v>
      </c>
      <c r="Q257">
        <f t="shared" si="960"/>
        <v>284274.8225635367</v>
      </c>
      <c r="R257">
        <f t="shared" si="961"/>
        <v>-16955622.894313879</v>
      </c>
      <c r="S257">
        <f t="shared" si="962"/>
        <v>-169.55622894313879</v>
      </c>
      <c r="T257">
        <f t="shared" si="963"/>
        <v>-0.16955622894313879</v>
      </c>
    </row>
    <row r="258" spans="1:20" x14ac:dyDescent="0.25">
      <c r="A258" s="5">
        <v>44335</v>
      </c>
      <c r="B258">
        <v>11.624000000000001</v>
      </c>
      <c r="C258">
        <v>11.938000000000001</v>
      </c>
      <c r="D258">
        <v>5.9630000000000001</v>
      </c>
      <c r="E258">
        <v>7.5010000000000003</v>
      </c>
      <c r="F258">
        <v>2336330.3670000001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-0.48518828451882839</v>
      </c>
      <c r="Q258">
        <f t="shared" si="960"/>
        <v>-1133560.1228339749</v>
      </c>
      <c r="R258">
        <f t="shared" si="961"/>
        <v>-17239897.716877416</v>
      </c>
      <c r="S258">
        <f t="shared" si="962"/>
        <v>-172.39897716877417</v>
      </c>
      <c r="T258">
        <f t="shared" si="963"/>
        <v>-0.17239897716877417</v>
      </c>
    </row>
    <row r="259" spans="1:20" x14ac:dyDescent="0.25">
      <c r="A259" s="5">
        <v>44334</v>
      </c>
      <c r="B259">
        <v>12.263</v>
      </c>
      <c r="C259">
        <v>13.2</v>
      </c>
      <c r="D259">
        <v>11.183</v>
      </c>
      <c r="E259">
        <v>11.651999999999999</v>
      </c>
      <c r="F259">
        <v>1830234.618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-0.53495290034705056</v>
      </c>
      <c r="Q259">
        <f t="shared" si="960"/>
        <v>-979089.31721467618</v>
      </c>
      <c r="R259">
        <f t="shared" si="961"/>
        <v>-16106337.594043441</v>
      </c>
      <c r="S259">
        <f t="shared" si="962"/>
        <v>-161.06337594043441</v>
      </c>
      <c r="T259">
        <f t="shared" si="963"/>
        <v>-0.16106337594043441</v>
      </c>
    </row>
    <row r="260" spans="1:20" x14ac:dyDescent="0.25">
      <c r="A260" s="5">
        <v>44333</v>
      </c>
      <c r="B260">
        <v>12.156000000000001</v>
      </c>
      <c r="C260">
        <v>12.93</v>
      </c>
      <c r="D260">
        <v>10.3</v>
      </c>
      <c r="E260">
        <v>12.262</v>
      </c>
      <c r="F260">
        <v>2647099.159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0.49201520912547564</v>
      </c>
      <c r="Q260">
        <f t="shared" si="960"/>
        <v>1302413.0462912556</v>
      </c>
      <c r="R260">
        <f t="shared" si="961"/>
        <v>-15127248.276828766</v>
      </c>
      <c r="S260">
        <f t="shared" si="962"/>
        <v>-151.27248276828766</v>
      </c>
      <c r="T260">
        <f t="shared" si="963"/>
        <v>-0.15127248276828767</v>
      </c>
    </row>
    <row r="261" spans="1:20" x14ac:dyDescent="0.25">
      <c r="A261" s="5">
        <v>44332</v>
      </c>
      <c r="B261">
        <v>10.343</v>
      </c>
      <c r="C261">
        <v>13.5</v>
      </c>
      <c r="D261">
        <v>10.185</v>
      </c>
      <c r="E261">
        <v>12.143000000000001</v>
      </c>
      <c r="F261">
        <v>2225593.6359999999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0.18129713423831101</v>
      </c>
      <c r="Q261">
        <f t="shared" si="960"/>
        <v>403493.74818582268</v>
      </c>
      <c r="R261">
        <f t="shared" si="961"/>
        <v>-16429661.323120022</v>
      </c>
      <c r="S261">
        <f t="shared" si="962"/>
        <v>-164.29661323120021</v>
      </c>
      <c r="T261">
        <f t="shared" si="963"/>
        <v>-0.16429661323120021</v>
      </c>
    </row>
    <row r="262" spans="1:20" x14ac:dyDescent="0.25">
      <c r="A262" s="5">
        <v>44331</v>
      </c>
      <c r="B262">
        <v>11.234</v>
      </c>
      <c r="C262">
        <v>12.3</v>
      </c>
      <c r="D262">
        <v>10.169</v>
      </c>
      <c r="E262">
        <v>10.347</v>
      </c>
      <c r="F262">
        <v>1045416.819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-0.83294228061942843</v>
      </c>
      <c r="Q262">
        <f t="shared" ref="Q262:Q325" si="965">F262*P262</f>
        <v>-870771.86941576819</v>
      </c>
      <c r="R262">
        <f t="shared" ref="R262:R325" si="966">R263+Q262</f>
        <v>-16833155.071305845</v>
      </c>
      <c r="S262">
        <f t="shared" ref="S262:S325" si="967">R262/100000</f>
        <v>-168.33155071305845</v>
      </c>
      <c r="T262">
        <f t="shared" ref="T262:T325" si="968">S262/1000</f>
        <v>-0.16833155071305844</v>
      </c>
    </row>
    <row r="263" spans="1:20" x14ac:dyDescent="0.25">
      <c r="A263" s="5">
        <v>44330</v>
      </c>
      <c r="B263">
        <v>10.521000000000001</v>
      </c>
      <c r="C263">
        <v>11.898</v>
      </c>
      <c r="D263">
        <v>10.43</v>
      </c>
      <c r="E263">
        <v>11.228999999999999</v>
      </c>
      <c r="F263">
        <v>1174961.6100000001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8.8555858310626026E-2</v>
      </c>
      <c r="Q263">
        <f t="shared" si="965"/>
        <v>104049.73385558504</v>
      </c>
      <c r="R263">
        <f t="shared" si="966"/>
        <v>-15962383.201890077</v>
      </c>
      <c r="S263">
        <f t="shared" si="967"/>
        <v>-159.62383201890077</v>
      </c>
      <c r="T263">
        <f t="shared" si="968"/>
        <v>-0.15962383201890076</v>
      </c>
    </row>
    <row r="264" spans="1:20" x14ac:dyDescent="0.25">
      <c r="A264" s="5">
        <v>44329</v>
      </c>
      <c r="B264">
        <v>10.65</v>
      </c>
      <c r="C264">
        <v>11.885999999999999</v>
      </c>
      <c r="D264">
        <v>9.6999999999999993</v>
      </c>
      <c r="E264">
        <v>10.513999999999999</v>
      </c>
      <c r="F264">
        <v>1991126.9879999999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-0.25526075022872818</v>
      </c>
      <c r="Q264">
        <f t="shared" si="965"/>
        <v>-508256.56875754782</v>
      </c>
      <c r="R264">
        <f t="shared" si="966"/>
        <v>-16066432.935745662</v>
      </c>
      <c r="S264">
        <f t="shared" si="967"/>
        <v>-160.66432935745661</v>
      </c>
      <c r="T264">
        <f t="shared" si="968"/>
        <v>-0.16066432935745661</v>
      </c>
    </row>
    <row r="265" spans="1:20" x14ac:dyDescent="0.25">
      <c r="A265" s="5">
        <v>44328</v>
      </c>
      <c r="B265">
        <v>13.343</v>
      </c>
      <c r="C265">
        <v>13.930999999999999</v>
      </c>
      <c r="D265">
        <v>10.544</v>
      </c>
      <c r="E265">
        <v>10.644</v>
      </c>
      <c r="F265">
        <v>1069691.709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-0.94095069382934771</v>
      </c>
      <c r="Q265">
        <f t="shared" si="965"/>
        <v>-1006527.1557670507</v>
      </c>
      <c r="R265">
        <f t="shared" si="966"/>
        <v>-15558176.366988115</v>
      </c>
      <c r="S265">
        <f t="shared" si="967"/>
        <v>-155.58176366988116</v>
      </c>
      <c r="T265">
        <f t="shared" si="968"/>
        <v>-0.15558176366988116</v>
      </c>
    </row>
    <row r="266" spans="1:20" x14ac:dyDescent="0.25">
      <c r="A266" s="5">
        <v>44327</v>
      </c>
      <c r="B266">
        <v>12.644</v>
      </c>
      <c r="C266">
        <v>13.7</v>
      </c>
      <c r="D266">
        <v>12.212</v>
      </c>
      <c r="E266">
        <v>13.378</v>
      </c>
      <c r="F266">
        <v>953512.80299999996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0.56720430107526976</v>
      </c>
      <c r="Q266">
        <f t="shared" si="965"/>
        <v>540836.56299193634</v>
      </c>
      <c r="R266">
        <f t="shared" si="966"/>
        <v>-14551649.211221064</v>
      </c>
      <c r="S266">
        <f t="shared" si="967"/>
        <v>-145.51649211221064</v>
      </c>
      <c r="T266">
        <f t="shared" si="968"/>
        <v>-0.14551649211221065</v>
      </c>
    </row>
    <row r="267" spans="1:20" x14ac:dyDescent="0.25">
      <c r="A267" s="5">
        <v>44326</v>
      </c>
      <c r="B267">
        <v>14.182</v>
      </c>
      <c r="C267">
        <v>15.154999999999999</v>
      </c>
      <c r="D267">
        <v>12.27</v>
      </c>
      <c r="E267">
        <v>12.590999999999999</v>
      </c>
      <c r="F267">
        <v>1203747.6299999999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-0.77746967071057205</v>
      </c>
      <c r="Q267">
        <f t="shared" si="965"/>
        <v>-935877.27351473144</v>
      </c>
      <c r="R267">
        <f t="shared" si="966"/>
        <v>-15092485.774212999</v>
      </c>
      <c r="S267">
        <f t="shared" si="967"/>
        <v>-150.92485774213</v>
      </c>
      <c r="T267">
        <f t="shared" si="968"/>
        <v>-0.15092485774212999</v>
      </c>
    </row>
    <row r="268" spans="1:20" x14ac:dyDescent="0.25">
      <c r="A268" s="5">
        <v>44325</v>
      </c>
      <c r="B268">
        <v>14.683999999999999</v>
      </c>
      <c r="C268">
        <v>14.933999999999999</v>
      </c>
      <c r="D268">
        <v>13.801</v>
      </c>
      <c r="E268">
        <v>14.161</v>
      </c>
      <c r="F268">
        <v>807646.23199999996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-0.36451897616946211</v>
      </c>
      <c r="Q268">
        <f t="shared" si="965"/>
        <v>-294402.37759576383</v>
      </c>
      <c r="R268">
        <f t="shared" si="966"/>
        <v>-14156608.500698268</v>
      </c>
      <c r="S268">
        <f t="shared" si="967"/>
        <v>-141.56608500698269</v>
      </c>
      <c r="T268">
        <f t="shared" si="968"/>
        <v>-0.1415660850069827</v>
      </c>
    </row>
    <row r="269" spans="1:20" x14ac:dyDescent="0.25">
      <c r="A269" s="5">
        <v>44324</v>
      </c>
      <c r="B269">
        <v>14.723000000000001</v>
      </c>
      <c r="C269">
        <v>15.468</v>
      </c>
      <c r="D269">
        <v>14.59</v>
      </c>
      <c r="E269">
        <v>14.683999999999999</v>
      </c>
      <c r="F269">
        <v>807829.14800000004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-0.78587699316628834</v>
      </c>
      <c r="Q269">
        <f t="shared" si="965"/>
        <v>-634854.34182232455</v>
      </c>
      <c r="R269">
        <f t="shared" si="966"/>
        <v>-13862206.123102505</v>
      </c>
      <c r="S269">
        <f t="shared" si="967"/>
        <v>-138.62206123102504</v>
      </c>
      <c r="T269">
        <f t="shared" si="968"/>
        <v>-0.13862206123102505</v>
      </c>
    </row>
    <row r="270" spans="1:20" x14ac:dyDescent="0.25">
      <c r="A270" s="5">
        <v>44323</v>
      </c>
      <c r="B270">
        <v>15.295999999999999</v>
      </c>
      <c r="C270">
        <v>15.65</v>
      </c>
      <c r="D270">
        <v>14.3</v>
      </c>
      <c r="E270">
        <v>14.72</v>
      </c>
      <c r="F270">
        <v>1277429.7830000001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-0.37777777777777771</v>
      </c>
      <c r="Q270">
        <f t="shared" si="965"/>
        <v>-482584.5846888888</v>
      </c>
      <c r="R270">
        <f t="shared" si="966"/>
        <v>-13227351.78128018</v>
      </c>
      <c r="S270">
        <f t="shared" si="967"/>
        <v>-132.2735178128018</v>
      </c>
      <c r="T270">
        <f t="shared" si="968"/>
        <v>-0.13227351781280181</v>
      </c>
    </row>
    <row r="271" spans="1:20" x14ac:dyDescent="0.25">
      <c r="A271" s="5">
        <v>44322</v>
      </c>
      <c r="B271">
        <v>15.708</v>
      </c>
      <c r="C271">
        <v>18.600000000000001</v>
      </c>
      <c r="D271">
        <v>14.82</v>
      </c>
      <c r="E271">
        <v>15.259</v>
      </c>
      <c r="F271">
        <v>3388189.3429999999</v>
      </c>
      <c r="G271">
        <v>0</v>
      </c>
      <c r="L271" t="s">
        <v>8</v>
      </c>
      <c r="M271" t="s">
        <v>8</v>
      </c>
      <c r="N271" t="s">
        <v>7</v>
      </c>
      <c r="P271">
        <f t="shared" si="964"/>
        <v>-0.76772486772486781</v>
      </c>
      <c r="Q271">
        <f t="shared" si="965"/>
        <v>-2601197.2151814816</v>
      </c>
      <c r="R271">
        <f t="shared" si="966"/>
        <v>-12744767.196591292</v>
      </c>
      <c r="S271">
        <f t="shared" si="967"/>
        <v>-127.44767196591292</v>
      </c>
      <c r="T271">
        <f t="shared" si="968"/>
        <v>-0.12744767196591292</v>
      </c>
    </row>
    <row r="272" spans="1:20" x14ac:dyDescent="0.25">
      <c r="A272" s="5">
        <v>44321</v>
      </c>
      <c r="B272">
        <v>14.272</v>
      </c>
      <c r="C272">
        <v>16.8</v>
      </c>
      <c r="D272">
        <v>14.164999999999999</v>
      </c>
      <c r="E272">
        <v>15.708</v>
      </c>
      <c r="F272">
        <v>1459443.4609999999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0.17115749525616708</v>
      </c>
      <c r="Q272">
        <f t="shared" si="965"/>
        <v>249794.68725275155</v>
      </c>
      <c r="R272">
        <f t="shared" si="966"/>
        <v>-10143569.98140981</v>
      </c>
      <c r="S272">
        <f t="shared" si="967"/>
        <v>-101.4356998140981</v>
      </c>
      <c r="T272">
        <f t="shared" si="968"/>
        <v>-0.1014356998140981</v>
      </c>
    </row>
    <row r="273" spans="1:20" x14ac:dyDescent="0.25">
      <c r="A273" s="5">
        <v>44320</v>
      </c>
      <c r="B273">
        <v>16.835000000000001</v>
      </c>
      <c r="C273">
        <v>16.885000000000002</v>
      </c>
      <c r="D273">
        <v>14.141</v>
      </c>
      <c r="E273">
        <v>14.295999999999999</v>
      </c>
      <c r="F273">
        <v>1726571.236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-0.88702623906705591</v>
      </c>
      <c r="Q273">
        <f t="shared" si="965"/>
        <v>-1531513.9899504383</v>
      </c>
      <c r="R273">
        <f t="shared" si="966"/>
        <v>-10393364.668662561</v>
      </c>
      <c r="S273">
        <f t="shared" si="967"/>
        <v>-103.93364668662561</v>
      </c>
      <c r="T273">
        <f t="shared" si="968"/>
        <v>-0.10393364668662561</v>
      </c>
    </row>
    <row r="274" spans="1:20" x14ac:dyDescent="0.25">
      <c r="A274" s="5">
        <v>44319</v>
      </c>
      <c r="B274">
        <v>18.260999999999999</v>
      </c>
      <c r="C274">
        <v>19.5</v>
      </c>
      <c r="D274">
        <v>16.091999999999999</v>
      </c>
      <c r="E274">
        <v>16.835000000000001</v>
      </c>
      <c r="F274">
        <v>2221508.804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-0.56396713615023364</v>
      </c>
      <c r="Q274">
        <f t="shared" si="965"/>
        <v>-1252857.9581244106</v>
      </c>
      <c r="R274">
        <f t="shared" si="966"/>
        <v>-8861850.6787121221</v>
      </c>
      <c r="S274">
        <f t="shared" si="967"/>
        <v>-88.61850678712122</v>
      </c>
      <c r="T274">
        <f t="shared" si="968"/>
        <v>-8.8618506787121215E-2</v>
      </c>
    </row>
    <row r="275" spans="1:20" x14ac:dyDescent="0.25">
      <c r="A275" s="5">
        <v>44318</v>
      </c>
      <c r="B275">
        <v>16.939</v>
      </c>
      <c r="C275">
        <v>18.899999999999999</v>
      </c>
      <c r="D275">
        <v>15.94</v>
      </c>
      <c r="E275">
        <v>18.239999999999998</v>
      </c>
      <c r="F275">
        <v>2648739.9130000002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0.55405405405405384</v>
      </c>
      <c r="Q275">
        <f t="shared" si="965"/>
        <v>1467545.0869324319</v>
      </c>
      <c r="R275">
        <f t="shared" si="966"/>
        <v>-7608992.7205877118</v>
      </c>
      <c r="S275">
        <f t="shared" si="967"/>
        <v>-76.089927205877117</v>
      </c>
      <c r="T275">
        <f t="shared" si="968"/>
        <v>-7.6089927205877123E-2</v>
      </c>
    </row>
    <row r="276" spans="1:20" x14ac:dyDescent="0.25">
      <c r="A276" s="5">
        <v>44317</v>
      </c>
      <c r="B276">
        <v>15.535</v>
      </c>
      <c r="C276">
        <v>18</v>
      </c>
      <c r="D276">
        <v>14.914</v>
      </c>
      <c r="E276">
        <v>16.940000000000001</v>
      </c>
      <c r="F276">
        <v>2543849.63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0.31302657161374037</v>
      </c>
      <c r="Q276">
        <f t="shared" si="965"/>
        <v>796292.52837978187</v>
      </c>
      <c r="R276">
        <f t="shared" si="966"/>
        <v>-9076537.8075201437</v>
      </c>
      <c r="S276">
        <f t="shared" si="967"/>
        <v>-90.76537807520144</v>
      </c>
      <c r="T276">
        <f t="shared" si="968"/>
        <v>-9.0765378075201436E-2</v>
      </c>
    </row>
    <row r="277" spans="1:20" x14ac:dyDescent="0.25">
      <c r="A277" s="5">
        <v>44316</v>
      </c>
      <c r="B277">
        <v>15.162000000000001</v>
      </c>
      <c r="C277">
        <v>16.355</v>
      </c>
      <c r="D277">
        <v>14.68</v>
      </c>
      <c r="E277">
        <v>15.538</v>
      </c>
      <c r="F277">
        <v>2392366.696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2.4477611940298717E-2</v>
      </c>
      <c r="Q277">
        <f t="shared" si="965"/>
        <v>58559.423603582589</v>
      </c>
      <c r="R277">
        <f t="shared" si="966"/>
        <v>-9872830.3358999249</v>
      </c>
      <c r="S277">
        <f t="shared" si="967"/>
        <v>-98.728303358999256</v>
      </c>
      <c r="T277">
        <f t="shared" si="968"/>
        <v>-9.872830335899925E-2</v>
      </c>
    </row>
    <row r="278" spans="1:20" x14ac:dyDescent="0.25">
      <c r="A278" s="5">
        <v>44315</v>
      </c>
      <c r="B278">
        <v>16.361000000000001</v>
      </c>
      <c r="C278">
        <v>18.3</v>
      </c>
      <c r="D278">
        <v>14.483000000000001</v>
      </c>
      <c r="E278">
        <v>15.162000000000001</v>
      </c>
      <c r="F278">
        <v>4327697.7390000001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-0.64422321194655474</v>
      </c>
      <c r="Q278">
        <f t="shared" si="965"/>
        <v>-2788003.3377524228</v>
      </c>
      <c r="R278">
        <f t="shared" si="966"/>
        <v>-9931389.759503508</v>
      </c>
      <c r="S278">
        <f t="shared" si="967"/>
        <v>-99.313897595035087</v>
      </c>
      <c r="T278">
        <f t="shared" si="968"/>
        <v>-9.9313897595035089E-2</v>
      </c>
    </row>
    <row r="279" spans="1:20" x14ac:dyDescent="0.25">
      <c r="A279" s="5">
        <v>44314</v>
      </c>
      <c r="B279">
        <v>14.906000000000001</v>
      </c>
      <c r="C279">
        <v>17.298999999999999</v>
      </c>
      <c r="D279">
        <v>13.051</v>
      </c>
      <c r="E279">
        <v>16.359000000000002</v>
      </c>
      <c r="F279">
        <v>5361438.4709999999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0.55743879472693136</v>
      </c>
      <c r="Q279">
        <f t="shared" si="965"/>
        <v>2988673.7992768418</v>
      </c>
      <c r="R279">
        <f t="shared" si="966"/>
        <v>-7143386.4217510857</v>
      </c>
      <c r="S279">
        <f t="shared" si="967"/>
        <v>-71.433864217510859</v>
      </c>
      <c r="T279">
        <f t="shared" si="968"/>
        <v>-7.1433864217510856E-2</v>
      </c>
    </row>
    <row r="280" spans="1:20" x14ac:dyDescent="0.25">
      <c r="A280" s="5">
        <v>44313</v>
      </c>
      <c r="B280">
        <v>10.99</v>
      </c>
      <c r="C280">
        <v>15.95</v>
      </c>
      <c r="D280">
        <v>10.680999999999999</v>
      </c>
      <c r="E280">
        <v>14.863</v>
      </c>
      <c r="F280">
        <v>4153118.3709999998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0.58739798823306144</v>
      </c>
      <c r="Q280">
        <f t="shared" si="965"/>
        <v>2439533.3760191691</v>
      </c>
      <c r="R280">
        <f t="shared" si="966"/>
        <v>-10132060.221027927</v>
      </c>
      <c r="S280">
        <f t="shared" si="967"/>
        <v>-101.32060221027928</v>
      </c>
      <c r="T280">
        <f t="shared" si="968"/>
        <v>-0.10132060221027928</v>
      </c>
    </row>
    <row r="281" spans="1:20" x14ac:dyDescent="0.25">
      <c r="A281" s="5">
        <v>44312</v>
      </c>
      <c r="B281">
        <v>10.208</v>
      </c>
      <c r="C281">
        <v>11.532999999999999</v>
      </c>
      <c r="D281">
        <v>10.101000000000001</v>
      </c>
      <c r="E281">
        <v>10.996</v>
      </c>
      <c r="F281">
        <v>1328624.3859999999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0.25000000000000061</v>
      </c>
      <c r="Q281">
        <f t="shared" si="965"/>
        <v>332156.0965000008</v>
      </c>
      <c r="R281">
        <f t="shared" si="966"/>
        <v>-12571593.597047096</v>
      </c>
      <c r="S281">
        <f t="shared" si="967"/>
        <v>-125.71593597047097</v>
      </c>
      <c r="T281">
        <f t="shared" si="968"/>
        <v>-0.12571593597047095</v>
      </c>
    </row>
    <row r="282" spans="1:20" x14ac:dyDescent="0.25">
      <c r="A282" s="5">
        <v>44311</v>
      </c>
      <c r="B282">
        <v>11.65</v>
      </c>
      <c r="C282">
        <v>12.201000000000001</v>
      </c>
      <c r="D282">
        <v>9.0190000000000001</v>
      </c>
      <c r="E282">
        <v>10.193</v>
      </c>
      <c r="F282">
        <v>2273074.4879999999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-0.26209930861093694</v>
      </c>
      <c r="Q282">
        <f t="shared" si="965"/>
        <v>-595771.25172595948</v>
      </c>
      <c r="R282">
        <f t="shared" si="966"/>
        <v>-12903749.693547096</v>
      </c>
      <c r="S282">
        <f t="shared" si="967"/>
        <v>-129.03749693547095</v>
      </c>
      <c r="T282">
        <f t="shared" si="968"/>
        <v>-0.12903749693547095</v>
      </c>
    </row>
    <row r="283" spans="1:20" x14ac:dyDescent="0.25">
      <c r="A283" s="5">
        <v>44310</v>
      </c>
      <c r="B283">
        <v>9.8390000000000004</v>
      </c>
      <c r="C283">
        <v>12.593999999999999</v>
      </c>
      <c r="D283">
        <v>8.6679999999999993</v>
      </c>
      <c r="E283">
        <v>11.65</v>
      </c>
      <c r="F283">
        <v>1777966.365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0.51910341314314878</v>
      </c>
      <c r="Q283">
        <f t="shared" si="965"/>
        <v>922948.40852521744</v>
      </c>
      <c r="R283">
        <f t="shared" si="966"/>
        <v>-12307978.441821137</v>
      </c>
      <c r="S283">
        <f t="shared" si="967"/>
        <v>-123.07978441821137</v>
      </c>
      <c r="T283">
        <f t="shared" si="968"/>
        <v>-0.12307978441821138</v>
      </c>
    </row>
    <row r="284" spans="1:20" x14ac:dyDescent="0.25">
      <c r="A284" s="5">
        <v>44309</v>
      </c>
      <c r="B284">
        <v>10.423999999999999</v>
      </c>
      <c r="C284">
        <v>11.016999999999999</v>
      </c>
      <c r="D284">
        <v>8.484</v>
      </c>
      <c r="E284">
        <v>9.8369999999999997</v>
      </c>
      <c r="F284">
        <v>1001499.671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6.8298460323726842E-2</v>
      </c>
      <c r="Q284">
        <f t="shared" si="965"/>
        <v>68400.88554401898</v>
      </c>
      <c r="R284">
        <f t="shared" si="966"/>
        <v>-13230926.850346355</v>
      </c>
      <c r="S284">
        <f t="shared" si="967"/>
        <v>-132.30926850346356</v>
      </c>
      <c r="T284">
        <f t="shared" si="968"/>
        <v>-0.13230926850346356</v>
      </c>
    </row>
    <row r="285" spans="1:20" x14ac:dyDescent="0.25">
      <c r="A285" s="5">
        <v>44308</v>
      </c>
      <c r="B285">
        <v>11.175000000000001</v>
      </c>
      <c r="C285">
        <v>12.51</v>
      </c>
      <c r="D285">
        <v>9.84</v>
      </c>
      <c r="E285">
        <v>10.417</v>
      </c>
      <c r="F285">
        <v>1084648.6000000001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-0.56779026217228468</v>
      </c>
      <c r="Q285">
        <f t="shared" si="965"/>
        <v>-615852.91295880161</v>
      </c>
      <c r="R285">
        <f t="shared" si="966"/>
        <v>-13299327.735890374</v>
      </c>
      <c r="S285">
        <f t="shared" si="967"/>
        <v>-132.99327735890373</v>
      </c>
      <c r="T285">
        <f t="shared" si="968"/>
        <v>-0.13299327735890373</v>
      </c>
    </row>
    <row r="286" spans="1:20" x14ac:dyDescent="0.25">
      <c r="A286" s="5">
        <v>44307</v>
      </c>
      <c r="B286">
        <v>12.42</v>
      </c>
      <c r="C286">
        <v>12.445</v>
      </c>
      <c r="D286">
        <v>11.13</v>
      </c>
      <c r="E286">
        <v>11.19</v>
      </c>
      <c r="F286">
        <v>764967.34699999995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-0.90874524714829086</v>
      </c>
      <c r="Q286">
        <f t="shared" si="965"/>
        <v>-695160.44080988737</v>
      </c>
      <c r="R286">
        <f t="shared" si="966"/>
        <v>-12683474.822931573</v>
      </c>
      <c r="S286">
        <f t="shared" si="967"/>
        <v>-126.83474822931572</v>
      </c>
      <c r="T286">
        <f t="shared" si="968"/>
        <v>-0.12683474822931573</v>
      </c>
    </row>
    <row r="287" spans="1:20" x14ac:dyDescent="0.25">
      <c r="A287" s="5">
        <v>44306</v>
      </c>
      <c r="B287">
        <v>12.363</v>
      </c>
      <c r="C287">
        <v>12.449</v>
      </c>
      <c r="D287">
        <v>10.9</v>
      </c>
      <c r="E287">
        <v>12.430999999999999</v>
      </c>
      <c r="F287">
        <v>768233.71799999999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0.97675919948353684</v>
      </c>
      <c r="Q287">
        <f t="shared" si="965"/>
        <v>750379.35140994121</v>
      </c>
      <c r="R287">
        <f t="shared" si="966"/>
        <v>-11988314.382121686</v>
      </c>
      <c r="S287">
        <f t="shared" si="967"/>
        <v>-119.88314382121686</v>
      </c>
      <c r="T287">
        <f t="shared" si="968"/>
        <v>-0.11988314382121686</v>
      </c>
    </row>
    <row r="288" spans="1:20" x14ac:dyDescent="0.25">
      <c r="A288" s="5">
        <v>44305</v>
      </c>
      <c r="B288">
        <v>13.125</v>
      </c>
      <c r="C288">
        <v>14.599</v>
      </c>
      <c r="D288">
        <v>12.082000000000001</v>
      </c>
      <c r="E288">
        <v>12.36</v>
      </c>
      <c r="F288">
        <v>919421.27500000002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-0.77910210568136773</v>
      </c>
      <c r="Q288">
        <f t="shared" si="965"/>
        <v>-716323.05136074789</v>
      </c>
      <c r="R288">
        <f t="shared" si="966"/>
        <v>-12738693.733531628</v>
      </c>
      <c r="S288">
        <f t="shared" si="967"/>
        <v>-127.38693733531628</v>
      </c>
      <c r="T288">
        <f t="shared" si="968"/>
        <v>-0.12738693733531628</v>
      </c>
    </row>
    <row r="289" spans="1:20" x14ac:dyDescent="0.25">
      <c r="A289" s="5">
        <v>44304</v>
      </c>
      <c r="B289">
        <v>15.079000000000001</v>
      </c>
      <c r="C289">
        <v>15.234999999999999</v>
      </c>
      <c r="D289">
        <v>12.025</v>
      </c>
      <c r="E289">
        <v>13.125</v>
      </c>
      <c r="F289">
        <v>966226.86199999996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-0.31464174454828664</v>
      </c>
      <c r="Q289">
        <f t="shared" si="965"/>
        <v>-304015.30548909662</v>
      </c>
      <c r="R289">
        <f t="shared" si="966"/>
        <v>-12022370.682170879</v>
      </c>
      <c r="S289">
        <f t="shared" si="967"/>
        <v>-120.22370682170879</v>
      </c>
      <c r="T289">
        <f t="shared" si="968"/>
        <v>-0.12022370682170878</v>
      </c>
    </row>
    <row r="290" spans="1:20" x14ac:dyDescent="0.25">
      <c r="A290" s="5">
        <v>44303</v>
      </c>
      <c r="B290">
        <v>14.946999999999999</v>
      </c>
      <c r="C290">
        <v>15.968999999999999</v>
      </c>
      <c r="D290">
        <v>14.71</v>
      </c>
      <c r="E290">
        <v>15.08</v>
      </c>
      <c r="F290">
        <v>953796.89899999998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-0.41223193010325715</v>
      </c>
      <c r="Q290">
        <f t="shared" si="965"/>
        <v>-393185.53660127142</v>
      </c>
      <c r="R290">
        <f t="shared" si="966"/>
        <v>-11718355.376681782</v>
      </c>
      <c r="S290">
        <f t="shared" si="967"/>
        <v>-117.18355376681782</v>
      </c>
      <c r="T290">
        <f t="shared" si="968"/>
        <v>-0.11718355376681783</v>
      </c>
    </row>
    <row r="291" spans="1:20" x14ac:dyDescent="0.25">
      <c r="A291" s="5">
        <v>44302</v>
      </c>
      <c r="B291">
        <v>16.193000000000001</v>
      </c>
      <c r="C291">
        <v>16.209</v>
      </c>
      <c r="D291">
        <v>14.444000000000001</v>
      </c>
      <c r="E291">
        <v>14.951000000000001</v>
      </c>
      <c r="F291">
        <v>1016266.821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-0.42549575070821527</v>
      </c>
      <c r="Q291">
        <f t="shared" si="965"/>
        <v>-432417.21392124641</v>
      </c>
      <c r="R291">
        <f t="shared" si="966"/>
        <v>-11325169.840080511</v>
      </c>
      <c r="S291">
        <f t="shared" si="967"/>
        <v>-113.25169840080511</v>
      </c>
      <c r="T291">
        <f t="shared" si="968"/>
        <v>-0.11325169840080511</v>
      </c>
    </row>
    <row r="292" spans="1:20" x14ac:dyDescent="0.25">
      <c r="A292" s="5">
        <v>44301</v>
      </c>
      <c r="B292">
        <v>16.690999999999999</v>
      </c>
      <c r="C292">
        <v>17.2</v>
      </c>
      <c r="D292">
        <v>15.191000000000001</v>
      </c>
      <c r="E292">
        <v>16.173999999999999</v>
      </c>
      <c r="F292">
        <v>1073055.9669999999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-2.140368342458988E-2</v>
      </c>
      <c r="Q292">
        <f t="shared" si="965"/>
        <v>-22967.350214535163</v>
      </c>
      <c r="R292">
        <f t="shared" si="966"/>
        <v>-10892752.626159264</v>
      </c>
      <c r="S292">
        <f t="shared" si="967"/>
        <v>-108.92752626159263</v>
      </c>
      <c r="T292">
        <f t="shared" si="968"/>
        <v>-0.10892752626159263</v>
      </c>
    </row>
    <row r="293" spans="1:20" x14ac:dyDescent="0.25">
      <c r="A293" s="5">
        <v>44300</v>
      </c>
      <c r="B293">
        <v>17.460999999999999</v>
      </c>
      <c r="C293">
        <v>17.817</v>
      </c>
      <c r="D293">
        <v>15.567</v>
      </c>
      <c r="E293">
        <v>16.673999999999999</v>
      </c>
      <c r="F293">
        <v>815691.33400000003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-1.6000000000000607E-2</v>
      </c>
      <c r="Q293">
        <f t="shared" si="965"/>
        <v>-13051.061344000496</v>
      </c>
      <c r="R293">
        <f t="shared" si="966"/>
        <v>-10869785.275944728</v>
      </c>
      <c r="S293">
        <f t="shared" si="967"/>
        <v>-108.69785275944729</v>
      </c>
      <c r="T293">
        <f t="shared" si="968"/>
        <v>-0.10869785275944728</v>
      </c>
    </row>
    <row r="294" spans="1:20" x14ac:dyDescent="0.25">
      <c r="A294" s="5">
        <v>44299</v>
      </c>
      <c r="B294">
        <v>18.62</v>
      </c>
      <c r="C294">
        <v>20.489000000000001</v>
      </c>
      <c r="D294">
        <v>16.568000000000001</v>
      </c>
      <c r="E294">
        <v>17.462</v>
      </c>
      <c r="F294">
        <v>1515827.577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-0.5439938791124721</v>
      </c>
      <c r="Q294">
        <f t="shared" si="965"/>
        <v>-824600.92367788951</v>
      </c>
      <c r="R294">
        <f t="shared" si="966"/>
        <v>-10856734.214600729</v>
      </c>
      <c r="S294">
        <f t="shared" si="967"/>
        <v>-108.56734214600729</v>
      </c>
      <c r="T294">
        <f t="shared" si="968"/>
        <v>-0.10856734214600729</v>
      </c>
    </row>
    <row r="295" spans="1:20" x14ac:dyDescent="0.25">
      <c r="A295" s="5">
        <v>44298</v>
      </c>
      <c r="B295">
        <v>17.821999999999999</v>
      </c>
      <c r="C295">
        <v>19.177</v>
      </c>
      <c r="D295">
        <v>17.068000000000001</v>
      </c>
      <c r="E295">
        <v>18.619</v>
      </c>
      <c r="F295">
        <v>1036116.436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0.47083926031294426</v>
      </c>
      <c r="Q295">
        <f t="shared" si="965"/>
        <v>487844.29632432404</v>
      </c>
      <c r="R295">
        <f t="shared" si="966"/>
        <v>-10032133.290922839</v>
      </c>
      <c r="S295">
        <f t="shared" si="967"/>
        <v>-100.32133290922839</v>
      </c>
      <c r="T295">
        <f t="shared" si="968"/>
        <v>-0.10032133290922839</v>
      </c>
    </row>
    <row r="296" spans="1:20" x14ac:dyDescent="0.25">
      <c r="A296" s="5">
        <v>44297</v>
      </c>
      <c r="B296">
        <v>18.126000000000001</v>
      </c>
      <c r="C296">
        <v>18.88</v>
      </c>
      <c r="D296">
        <v>16.802</v>
      </c>
      <c r="E296">
        <v>17.794</v>
      </c>
      <c r="F296">
        <v>962353.99699999997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-4.5235803657361726E-2</v>
      </c>
      <c r="Q296">
        <f t="shared" si="965"/>
        <v>-43532.856457169277</v>
      </c>
      <c r="R296">
        <f t="shared" si="966"/>
        <v>-10519977.587247163</v>
      </c>
      <c r="S296">
        <f t="shared" si="967"/>
        <v>-105.19977587247163</v>
      </c>
      <c r="T296">
        <f t="shared" si="968"/>
        <v>-0.10519977587247163</v>
      </c>
    </row>
    <row r="297" spans="1:20" x14ac:dyDescent="0.25">
      <c r="A297" s="5">
        <v>44296</v>
      </c>
      <c r="B297">
        <v>18.434999999999999</v>
      </c>
      <c r="C297">
        <v>19.488</v>
      </c>
      <c r="D297">
        <v>16.454999999999998</v>
      </c>
      <c r="E297">
        <v>18.097999999999999</v>
      </c>
      <c r="F297">
        <v>1963165.108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8.3415759973623479E-2</v>
      </c>
      <c r="Q297">
        <f t="shared" si="965"/>
        <v>163758.9094375206</v>
      </c>
      <c r="R297">
        <f t="shared" si="966"/>
        <v>-10476444.730789993</v>
      </c>
      <c r="S297">
        <f t="shared" si="967"/>
        <v>-104.76444730789993</v>
      </c>
      <c r="T297">
        <f t="shared" si="968"/>
        <v>-0.10476444730789992</v>
      </c>
    </row>
    <row r="298" spans="1:20" x14ac:dyDescent="0.25">
      <c r="A298" s="5">
        <v>44295</v>
      </c>
      <c r="B298">
        <v>15.114000000000001</v>
      </c>
      <c r="C298">
        <v>19.5</v>
      </c>
      <c r="D298">
        <v>15</v>
      </c>
      <c r="E298">
        <v>18.425000000000001</v>
      </c>
      <c r="F298">
        <v>2389578.6090000002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0.52222222222222259</v>
      </c>
      <c r="Q298">
        <f t="shared" si="965"/>
        <v>1247891.0513666677</v>
      </c>
      <c r="R298">
        <f t="shared" si="966"/>
        <v>-10640203.640227513</v>
      </c>
      <c r="S298">
        <f t="shared" si="967"/>
        <v>-106.40203640227513</v>
      </c>
      <c r="T298">
        <f t="shared" si="968"/>
        <v>-0.10640203640227514</v>
      </c>
    </row>
    <row r="299" spans="1:20" x14ac:dyDescent="0.25">
      <c r="A299" s="5">
        <v>44294</v>
      </c>
      <c r="B299">
        <v>13.96</v>
      </c>
      <c r="C299">
        <v>16</v>
      </c>
      <c r="D299">
        <v>13.779</v>
      </c>
      <c r="E299">
        <v>15.102</v>
      </c>
      <c r="F299">
        <v>652791.80500000005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0.19135524538496204</v>
      </c>
      <c r="Q299">
        <f t="shared" si="965"/>
        <v>124915.1360310673</v>
      </c>
      <c r="R299">
        <f t="shared" si="966"/>
        <v>-11888094.691594182</v>
      </c>
      <c r="S299">
        <f t="shared" si="967"/>
        <v>-118.88094691594182</v>
      </c>
      <c r="T299">
        <f t="shared" si="968"/>
        <v>-0.11888094691594182</v>
      </c>
    </row>
    <row r="300" spans="1:20" x14ac:dyDescent="0.25">
      <c r="A300" s="5">
        <v>44293</v>
      </c>
      <c r="B300">
        <v>15.776</v>
      </c>
      <c r="C300">
        <v>15.96</v>
      </c>
      <c r="D300">
        <v>13</v>
      </c>
      <c r="E300">
        <v>13.87</v>
      </c>
      <c r="F300">
        <v>872817.43700000003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-0.41216216216216284</v>
      </c>
      <c r="Q300">
        <f t="shared" si="965"/>
        <v>-359742.32200675737</v>
      </c>
      <c r="R300">
        <f t="shared" si="966"/>
        <v>-12013009.827625249</v>
      </c>
      <c r="S300">
        <f t="shared" si="967"/>
        <v>-120.13009827625248</v>
      </c>
      <c r="T300">
        <f t="shared" si="968"/>
        <v>-0.12013009827625248</v>
      </c>
    </row>
    <row r="301" spans="1:20" x14ac:dyDescent="0.25">
      <c r="A301" s="5">
        <v>44292</v>
      </c>
      <c r="B301">
        <v>16.286999999999999</v>
      </c>
      <c r="C301">
        <v>16.858000000000001</v>
      </c>
      <c r="D301">
        <v>15.394</v>
      </c>
      <c r="E301">
        <v>15.788</v>
      </c>
      <c r="F301">
        <v>570792.62199999997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-0.46174863387978138</v>
      </c>
      <c r="Q301">
        <f t="shared" si="965"/>
        <v>-263562.71343715844</v>
      </c>
      <c r="R301">
        <f t="shared" si="966"/>
        <v>-11653267.505618492</v>
      </c>
      <c r="S301">
        <f t="shared" si="967"/>
        <v>-116.53267505618493</v>
      </c>
      <c r="T301">
        <f t="shared" si="968"/>
        <v>-0.11653267505618493</v>
      </c>
    </row>
    <row r="302" spans="1:20" x14ac:dyDescent="0.25">
      <c r="A302" s="5">
        <v>44291</v>
      </c>
      <c r="B302">
        <v>16.928999999999998</v>
      </c>
      <c r="C302">
        <v>17.8</v>
      </c>
      <c r="D302">
        <v>15.571999999999999</v>
      </c>
      <c r="E302">
        <v>16.289000000000001</v>
      </c>
      <c r="F302">
        <v>1012117.116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-0.35637342908437897</v>
      </c>
      <c r="Q302">
        <f t="shared" si="965"/>
        <v>-360691.64726391219</v>
      </c>
      <c r="R302">
        <f t="shared" si="966"/>
        <v>-11389704.792181334</v>
      </c>
      <c r="S302">
        <f t="shared" si="967"/>
        <v>-113.89704792181334</v>
      </c>
      <c r="T302">
        <f t="shared" si="968"/>
        <v>-0.11389704792181334</v>
      </c>
    </row>
    <row r="303" spans="1:20" x14ac:dyDescent="0.25">
      <c r="A303" s="5">
        <v>44290</v>
      </c>
      <c r="B303">
        <v>14.951000000000001</v>
      </c>
      <c r="C303">
        <v>17.5</v>
      </c>
      <c r="D303">
        <v>14.694000000000001</v>
      </c>
      <c r="E303">
        <v>16.928000000000001</v>
      </c>
      <c r="F303">
        <v>1016568.525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0.59230220955096269</v>
      </c>
      <c r="Q303">
        <f t="shared" si="965"/>
        <v>602115.78351746302</v>
      </c>
      <c r="R303">
        <f t="shared" si="966"/>
        <v>-11029013.144917421</v>
      </c>
      <c r="S303">
        <f t="shared" si="967"/>
        <v>-110.29013144917421</v>
      </c>
      <c r="T303">
        <f t="shared" si="968"/>
        <v>-0.11029013144917421</v>
      </c>
    </row>
    <row r="304" spans="1:20" x14ac:dyDescent="0.25">
      <c r="A304" s="5">
        <v>44289</v>
      </c>
      <c r="B304">
        <v>17.077999999999999</v>
      </c>
      <c r="C304">
        <v>17.190000000000001</v>
      </c>
      <c r="D304">
        <v>14.929</v>
      </c>
      <c r="E304">
        <v>14.95</v>
      </c>
      <c r="F304">
        <v>740814.73899999994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-0.98142414860681204</v>
      </c>
      <c r="Q304">
        <f t="shared" si="965"/>
        <v>-727053.47449845262</v>
      </c>
      <c r="R304">
        <f t="shared" si="966"/>
        <v>-11631128.928434884</v>
      </c>
      <c r="S304">
        <f t="shared" si="967"/>
        <v>-116.31128928434885</v>
      </c>
      <c r="T304">
        <f t="shared" si="968"/>
        <v>-0.11631128928434885</v>
      </c>
    </row>
    <row r="305" spans="1:20" x14ac:dyDescent="0.25">
      <c r="A305" s="5">
        <v>44288</v>
      </c>
      <c r="B305">
        <v>17.762</v>
      </c>
      <c r="C305">
        <v>18</v>
      </c>
      <c r="D305">
        <v>16.5</v>
      </c>
      <c r="E305">
        <v>17.059999999999999</v>
      </c>
      <c r="F305">
        <v>662403.69200000004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-0.25333333333333502</v>
      </c>
      <c r="Q305">
        <f t="shared" si="965"/>
        <v>-167808.93530666779</v>
      </c>
      <c r="R305">
        <f t="shared" si="966"/>
        <v>-10904075.453936432</v>
      </c>
      <c r="S305">
        <f t="shared" si="967"/>
        <v>-109.04075453936431</v>
      </c>
      <c r="T305">
        <f t="shared" si="968"/>
        <v>-0.10904075453936432</v>
      </c>
    </row>
    <row r="306" spans="1:20" x14ac:dyDescent="0.25">
      <c r="A306" s="5">
        <v>44287</v>
      </c>
      <c r="B306">
        <v>16.971</v>
      </c>
      <c r="C306">
        <v>18.2</v>
      </c>
      <c r="D306">
        <v>16.8</v>
      </c>
      <c r="E306">
        <v>17.785</v>
      </c>
      <c r="F306">
        <v>897586.70200000005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0.40714285714285775</v>
      </c>
      <c r="Q306">
        <f t="shared" si="965"/>
        <v>365446.01438571484</v>
      </c>
      <c r="R306">
        <f t="shared" si="966"/>
        <v>-10736266.518629763</v>
      </c>
      <c r="S306">
        <f t="shared" si="967"/>
        <v>-107.36266518629763</v>
      </c>
      <c r="T306">
        <f t="shared" si="968"/>
        <v>-0.10736266518629764</v>
      </c>
    </row>
    <row r="307" spans="1:20" x14ac:dyDescent="0.25">
      <c r="A307" s="5">
        <v>44286</v>
      </c>
      <c r="B307">
        <v>18.501999999999999</v>
      </c>
      <c r="C307">
        <v>18.7</v>
      </c>
      <c r="D307">
        <v>16.72</v>
      </c>
      <c r="E307">
        <v>16.97</v>
      </c>
      <c r="F307">
        <v>783553.91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-0.74747474747474751</v>
      </c>
      <c r="Q307">
        <f t="shared" si="965"/>
        <v>-585686.76101010107</v>
      </c>
      <c r="R307">
        <f t="shared" si="966"/>
        <v>-11101712.533015478</v>
      </c>
      <c r="S307">
        <f t="shared" si="967"/>
        <v>-111.01712533015478</v>
      </c>
      <c r="T307">
        <f t="shared" si="968"/>
        <v>-0.11101712533015479</v>
      </c>
    </row>
    <row r="308" spans="1:20" x14ac:dyDescent="0.25">
      <c r="A308" s="5">
        <v>44285</v>
      </c>
      <c r="B308">
        <v>18.571999999999999</v>
      </c>
      <c r="C308">
        <v>19.123000000000001</v>
      </c>
      <c r="D308">
        <v>17.5</v>
      </c>
      <c r="E308">
        <v>18.428000000000001</v>
      </c>
      <c r="F308">
        <v>991429.25800000003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0.14356130622304397</v>
      </c>
      <c r="Q308">
        <f t="shared" si="965"/>
        <v>142330.87930622327</v>
      </c>
      <c r="R308">
        <f t="shared" si="966"/>
        <v>-10516025.772005377</v>
      </c>
      <c r="S308">
        <f t="shared" si="967"/>
        <v>-105.16025772005378</v>
      </c>
      <c r="T308">
        <f t="shared" si="968"/>
        <v>-0.10516025772005377</v>
      </c>
    </row>
    <row r="309" spans="1:20" x14ac:dyDescent="0.25">
      <c r="A309" s="5">
        <v>44284</v>
      </c>
      <c r="B309">
        <v>19.228999999999999</v>
      </c>
      <c r="C309">
        <v>20.2</v>
      </c>
      <c r="D309">
        <v>17.943000000000001</v>
      </c>
      <c r="E309">
        <v>18.536999999999999</v>
      </c>
      <c r="F309">
        <v>1245549.851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-0.47363757199822931</v>
      </c>
      <c r="Q309">
        <f t="shared" si="965"/>
        <v>-589939.20723039634</v>
      </c>
      <c r="R309">
        <f t="shared" si="966"/>
        <v>-10658356.651311601</v>
      </c>
      <c r="S309">
        <f t="shared" si="967"/>
        <v>-106.58356651311601</v>
      </c>
      <c r="T309">
        <f t="shared" si="968"/>
        <v>-0.10658356651311601</v>
      </c>
    </row>
    <row r="310" spans="1:20" x14ac:dyDescent="0.25">
      <c r="A310" s="5">
        <v>44283</v>
      </c>
      <c r="B310">
        <v>17.513000000000002</v>
      </c>
      <c r="C310">
        <v>19.940999999999999</v>
      </c>
      <c r="D310">
        <v>17.119</v>
      </c>
      <c r="E310">
        <v>19.228999999999999</v>
      </c>
      <c r="F310">
        <v>2275052.1150000002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0.49539333805811486</v>
      </c>
      <c r="Q310">
        <f t="shared" si="965"/>
        <v>1127045.6615060244</v>
      </c>
      <c r="R310">
        <f t="shared" si="966"/>
        <v>-10068417.444081204</v>
      </c>
      <c r="S310">
        <f t="shared" si="967"/>
        <v>-100.68417444081204</v>
      </c>
      <c r="T310">
        <f t="shared" si="968"/>
        <v>-0.10068417444081204</v>
      </c>
    </row>
    <row r="311" spans="1:20" x14ac:dyDescent="0.25">
      <c r="A311" s="5">
        <v>44282</v>
      </c>
      <c r="B311">
        <v>17.184000000000001</v>
      </c>
      <c r="C311">
        <v>18.295999999999999</v>
      </c>
      <c r="D311">
        <v>16.010000000000002</v>
      </c>
      <c r="E311">
        <v>17.512</v>
      </c>
      <c r="F311">
        <v>1187995.834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0.31408573928258998</v>
      </c>
      <c r="Q311">
        <f t="shared" si="965"/>
        <v>373132.54978652706</v>
      </c>
      <c r="R311">
        <f t="shared" si="966"/>
        <v>-11195463.105587229</v>
      </c>
      <c r="S311">
        <f t="shared" si="967"/>
        <v>-111.9546310558723</v>
      </c>
      <c r="T311">
        <f t="shared" si="968"/>
        <v>-0.11195463105587229</v>
      </c>
    </row>
    <row r="312" spans="1:20" x14ac:dyDescent="0.25">
      <c r="A312" s="5">
        <v>44281</v>
      </c>
      <c r="B312">
        <v>15.058</v>
      </c>
      <c r="C312">
        <v>18.888999999999999</v>
      </c>
      <c r="D312">
        <v>15.026</v>
      </c>
      <c r="E312">
        <v>17.181000000000001</v>
      </c>
      <c r="F312">
        <v>1531930.1170000001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0.1157131762878599</v>
      </c>
      <c r="Q312">
        <f t="shared" si="965"/>
        <v>177264.49968910287</v>
      </c>
      <c r="R312">
        <f t="shared" si="966"/>
        <v>-11568595.655373756</v>
      </c>
      <c r="S312">
        <f t="shared" si="967"/>
        <v>-115.68595655373755</v>
      </c>
      <c r="T312">
        <f t="shared" si="968"/>
        <v>-0.11568595655373755</v>
      </c>
    </row>
    <row r="313" spans="1:20" x14ac:dyDescent="0.25">
      <c r="A313" s="5">
        <v>44280</v>
      </c>
      <c r="B313">
        <v>16.434000000000001</v>
      </c>
      <c r="C313">
        <v>17.498999999999999</v>
      </c>
      <c r="D313">
        <v>14.305999999999999</v>
      </c>
      <c r="E313">
        <v>15.092000000000001</v>
      </c>
      <c r="F313">
        <v>1132996.1299999999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-0.50767303476354431</v>
      </c>
      <c r="Q313">
        <f t="shared" si="965"/>
        <v>-575191.58369245112</v>
      </c>
      <c r="R313">
        <f t="shared" si="966"/>
        <v>-11745860.155062858</v>
      </c>
      <c r="S313">
        <f t="shared" si="967"/>
        <v>-117.45860155062859</v>
      </c>
      <c r="T313">
        <f t="shared" si="968"/>
        <v>-0.11745860155062858</v>
      </c>
    </row>
    <row r="314" spans="1:20" x14ac:dyDescent="0.25">
      <c r="A314" s="5">
        <v>44279</v>
      </c>
      <c r="B314">
        <v>17.440999999999999</v>
      </c>
      <c r="C314">
        <v>19.100000000000001</v>
      </c>
      <c r="D314">
        <v>15.86</v>
      </c>
      <c r="E314">
        <v>16.369</v>
      </c>
      <c r="F314">
        <v>1255907.737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-0.68580246913580245</v>
      </c>
      <c r="Q314">
        <f t="shared" si="965"/>
        <v>-861304.62704135804</v>
      </c>
      <c r="R314">
        <f t="shared" si="966"/>
        <v>-11170668.571370406</v>
      </c>
      <c r="S314">
        <f t="shared" si="967"/>
        <v>-111.70668571370406</v>
      </c>
      <c r="T314">
        <f t="shared" si="968"/>
        <v>-0.11170668571370407</v>
      </c>
    </row>
    <row r="315" spans="1:20" x14ac:dyDescent="0.25">
      <c r="A315" s="5">
        <v>44278</v>
      </c>
      <c r="B315">
        <v>18.231999999999999</v>
      </c>
      <c r="C315">
        <v>19.957000000000001</v>
      </c>
      <c r="D315">
        <v>17.113</v>
      </c>
      <c r="E315">
        <v>17.439</v>
      </c>
      <c r="F315">
        <v>1561379.87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-0.7707454289732768</v>
      </c>
      <c r="Q315">
        <f t="shared" si="965"/>
        <v>-1203426.3976933893</v>
      </c>
      <c r="R315">
        <f t="shared" si="966"/>
        <v>-10309363.944329048</v>
      </c>
      <c r="S315">
        <f t="shared" si="967"/>
        <v>-103.09363944329047</v>
      </c>
      <c r="T315">
        <f t="shared" si="968"/>
        <v>-0.10309363944329047</v>
      </c>
    </row>
    <row r="316" spans="1:20" x14ac:dyDescent="0.25">
      <c r="A316" s="5">
        <v>44277</v>
      </c>
      <c r="B316">
        <v>19.887</v>
      </c>
      <c r="C316">
        <v>20.888000000000002</v>
      </c>
      <c r="D316">
        <v>17.760000000000002</v>
      </c>
      <c r="E316">
        <v>18.202000000000002</v>
      </c>
      <c r="F316">
        <v>1716340.0249999999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-0.71739130434782594</v>
      </c>
      <c r="Q316">
        <f t="shared" si="965"/>
        <v>-1231287.4092391301</v>
      </c>
      <c r="R316">
        <f t="shared" si="966"/>
        <v>-9105937.5466356575</v>
      </c>
      <c r="S316">
        <f t="shared" si="967"/>
        <v>-91.05937546635657</v>
      </c>
      <c r="T316">
        <f t="shared" si="968"/>
        <v>-9.1059375466356576E-2</v>
      </c>
    </row>
    <row r="317" spans="1:20" x14ac:dyDescent="0.25">
      <c r="A317" s="5">
        <v>44276</v>
      </c>
      <c r="B317">
        <v>20.3</v>
      </c>
      <c r="C317">
        <v>24.981000000000002</v>
      </c>
      <c r="D317">
        <v>19.501999999999999</v>
      </c>
      <c r="E317">
        <v>19.888999999999999</v>
      </c>
      <c r="F317">
        <v>4551653.0219999999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-0.85873334550100378</v>
      </c>
      <c r="Q317">
        <f t="shared" si="965"/>
        <v>-3908656.2271418138</v>
      </c>
      <c r="R317">
        <f t="shared" si="966"/>
        <v>-7874650.1373965275</v>
      </c>
      <c r="S317">
        <f t="shared" si="967"/>
        <v>-78.746501373965273</v>
      </c>
      <c r="T317">
        <f t="shared" si="968"/>
        <v>-7.8746501373965272E-2</v>
      </c>
    </row>
    <row r="318" spans="1:20" x14ac:dyDescent="0.25">
      <c r="A318" s="5">
        <v>44275</v>
      </c>
      <c r="B318">
        <v>18.952000000000002</v>
      </c>
      <c r="C318">
        <v>26.841000000000001</v>
      </c>
      <c r="D318">
        <v>16.835000000000001</v>
      </c>
      <c r="E318">
        <v>20.3</v>
      </c>
      <c r="F318">
        <v>5731974.9009999996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-0.3074155506695983</v>
      </c>
      <c r="Q318">
        <f t="shared" si="965"/>
        <v>-1762098.2206152312</v>
      </c>
      <c r="R318">
        <f t="shared" si="966"/>
        <v>-3965993.9102547141</v>
      </c>
      <c r="S318">
        <f t="shared" si="967"/>
        <v>-39.659939102547142</v>
      </c>
      <c r="T318">
        <f t="shared" si="968"/>
        <v>-3.9659939102547143E-2</v>
      </c>
    </row>
    <row r="319" spans="1:20" x14ac:dyDescent="0.25">
      <c r="A319" s="5">
        <v>44274</v>
      </c>
      <c r="B319">
        <v>20.77</v>
      </c>
      <c r="C319">
        <v>20.95</v>
      </c>
      <c r="D319">
        <v>18.114000000000001</v>
      </c>
      <c r="E319">
        <v>18.951000000000001</v>
      </c>
      <c r="F319">
        <v>2157511.9509999999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-0.40973201692524669</v>
      </c>
      <c r="Q319">
        <f t="shared" si="965"/>
        <v>-884001.72322355397</v>
      </c>
      <c r="R319">
        <f t="shared" si="966"/>
        <v>-2203895.6896394826</v>
      </c>
      <c r="S319">
        <f t="shared" si="967"/>
        <v>-22.038956896394826</v>
      </c>
      <c r="T319">
        <f t="shared" si="968"/>
        <v>-2.2038956896394825E-2</v>
      </c>
    </row>
    <row r="320" spans="1:20" x14ac:dyDescent="0.25">
      <c r="A320" s="5">
        <v>44273</v>
      </c>
      <c r="B320">
        <v>21.052</v>
      </c>
      <c r="C320">
        <v>23</v>
      </c>
      <c r="D320">
        <v>20.306999999999999</v>
      </c>
      <c r="E320">
        <v>20.77</v>
      </c>
      <c r="F320">
        <v>1941409.308</v>
      </c>
      <c r="G320">
        <v>0</v>
      </c>
      <c r="L320" t="s">
        <v>8</v>
      </c>
      <c r="M320" t="s">
        <v>7</v>
      </c>
      <c r="N320" t="s">
        <v>7</v>
      </c>
      <c r="P320">
        <f t="shared" si="964"/>
        <v>-0.65614556256962442</v>
      </c>
      <c r="Q320">
        <f t="shared" si="965"/>
        <v>-1273847.1025755652</v>
      </c>
      <c r="R320">
        <f t="shared" si="966"/>
        <v>-1319893.9664159287</v>
      </c>
      <c r="S320">
        <f t="shared" si="967"/>
        <v>-13.198939664159287</v>
      </c>
      <c r="T320">
        <f t="shared" si="968"/>
        <v>-1.3198939664159286E-2</v>
      </c>
    </row>
    <row r="321" spans="1:20" x14ac:dyDescent="0.25">
      <c r="A321" s="5">
        <v>44272</v>
      </c>
      <c r="B321">
        <v>23.192</v>
      </c>
      <c r="C321">
        <v>24.765000000000001</v>
      </c>
      <c r="D321">
        <v>20</v>
      </c>
      <c r="E321">
        <v>21.050999999999998</v>
      </c>
      <c r="F321">
        <v>2726082.5920000002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-0.5588667366211969</v>
      </c>
      <c r="Q321">
        <f t="shared" si="965"/>
        <v>-1523516.8819508939</v>
      </c>
      <c r="R321">
        <f t="shared" si="966"/>
        <v>-46046.863840363454</v>
      </c>
      <c r="S321">
        <f t="shared" si="967"/>
        <v>-0.46046863840363456</v>
      </c>
      <c r="T321">
        <f t="shared" si="968"/>
        <v>-4.6046863840363455E-4</v>
      </c>
    </row>
    <row r="322" spans="1:20" x14ac:dyDescent="0.25">
      <c r="A322" s="5">
        <v>44271</v>
      </c>
      <c r="B322">
        <v>25.986000000000001</v>
      </c>
      <c r="C322">
        <v>30</v>
      </c>
      <c r="D322">
        <v>21.74</v>
      </c>
      <c r="E322">
        <v>23.277000000000001</v>
      </c>
      <c r="F322">
        <v>4044611.8190000001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-0.62784503631961208</v>
      </c>
      <c r="Q322">
        <f t="shared" si="965"/>
        <v>-2539389.4543987876</v>
      </c>
      <c r="R322">
        <f t="shared" si="966"/>
        <v>1477470.0181105305</v>
      </c>
      <c r="S322">
        <f t="shared" si="967"/>
        <v>14.774700181105304</v>
      </c>
      <c r="T322">
        <f t="shared" si="968"/>
        <v>1.4774700181105304E-2</v>
      </c>
    </row>
    <row r="323" spans="1:20" x14ac:dyDescent="0.25">
      <c r="A323" s="5">
        <v>44270</v>
      </c>
      <c r="B323">
        <v>25.585999999999999</v>
      </c>
      <c r="C323">
        <v>31.95</v>
      </c>
      <c r="D323">
        <v>19.212</v>
      </c>
      <c r="E323">
        <v>25.914000000000001</v>
      </c>
      <c r="F323">
        <v>8281181.3449999997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5.2284503061705442E-2</v>
      </c>
      <c r="Q323">
        <f t="shared" si="965"/>
        <v>432977.45138719049</v>
      </c>
      <c r="R323">
        <f t="shared" si="966"/>
        <v>4016859.472509318</v>
      </c>
      <c r="S323">
        <f t="shared" si="967"/>
        <v>40.168594725093179</v>
      </c>
      <c r="T323">
        <f t="shared" si="968"/>
        <v>4.0168594725093182E-2</v>
      </c>
    </row>
    <row r="324" spans="1:20" x14ac:dyDescent="0.25">
      <c r="A324" s="5">
        <v>44269</v>
      </c>
      <c r="B324">
        <v>19.724</v>
      </c>
      <c r="C324">
        <v>34.700000000000003</v>
      </c>
      <c r="D324">
        <v>19.689</v>
      </c>
      <c r="E324">
        <v>25.51</v>
      </c>
      <c r="F324">
        <v>15539920.286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-0.22443541402971148</v>
      </c>
      <c r="Q324">
        <f t="shared" si="965"/>
        <v>-3487708.4433771227</v>
      </c>
      <c r="R324">
        <f t="shared" si="966"/>
        <v>3583882.0211221273</v>
      </c>
      <c r="S324">
        <f t="shared" si="967"/>
        <v>35.838820211221275</v>
      </c>
      <c r="T324">
        <f t="shared" si="968"/>
        <v>3.5838820211221277E-2</v>
      </c>
    </row>
    <row r="325" spans="1:20" x14ac:dyDescent="0.25">
      <c r="A325" s="5">
        <v>44268</v>
      </c>
      <c r="B325">
        <v>11.343999999999999</v>
      </c>
      <c r="C325">
        <v>21.609000000000002</v>
      </c>
      <c r="D325">
        <v>10.465</v>
      </c>
      <c r="E325">
        <v>19.73</v>
      </c>
      <c r="F325">
        <v>10785087.556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0.6627781765972719</v>
      </c>
      <c r="Q325">
        <f t="shared" si="965"/>
        <v>7148120.6648076074</v>
      </c>
      <c r="R325">
        <f t="shared" si="966"/>
        <v>7071590.4644992501</v>
      </c>
      <c r="S325">
        <f t="shared" si="967"/>
        <v>70.715904644992506</v>
      </c>
      <c r="T325">
        <f t="shared" si="968"/>
        <v>7.07159046449925E-2</v>
      </c>
    </row>
    <row r="326" spans="1:20" x14ac:dyDescent="0.25">
      <c r="A326" s="5">
        <v>44267</v>
      </c>
      <c r="B326">
        <v>9.9450000000000003</v>
      </c>
      <c r="C326">
        <v>11.538</v>
      </c>
      <c r="D326">
        <v>8.4499999999999993</v>
      </c>
      <c r="E326">
        <v>11.266999999999999</v>
      </c>
      <c r="F326">
        <v>1860400.402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0.82448186528497358</v>
      </c>
      <c r="Q326">
        <f t="shared" ref="Q326:Q389" si="970">F326*P326</f>
        <v>1533866.3936178747</v>
      </c>
      <c r="R326">
        <f t="shared" ref="R326:R389" si="971">R327+Q326</f>
        <v>-76530.200308357598</v>
      </c>
      <c r="S326">
        <f t="shared" ref="S326:S389" si="972">R326/100000</f>
        <v>-0.76530200308357599</v>
      </c>
      <c r="T326">
        <f t="shared" ref="T326:T389" si="973">S326/1000</f>
        <v>-7.6530200308357597E-4</v>
      </c>
    </row>
    <row r="327" spans="1:20" x14ac:dyDescent="0.25">
      <c r="A327" s="5">
        <v>44266</v>
      </c>
      <c r="B327">
        <v>10.673999999999999</v>
      </c>
      <c r="C327">
        <v>10.726000000000001</v>
      </c>
      <c r="D327">
        <v>8.3190000000000008</v>
      </c>
      <c r="E327">
        <v>9.92</v>
      </c>
      <c r="F327">
        <v>2843584.318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0.33028666389696643</v>
      </c>
      <c r="Q327">
        <f t="shared" si="970"/>
        <v>939197.97790195048</v>
      </c>
      <c r="R327">
        <f t="shared" si="971"/>
        <v>-1610396.5939262323</v>
      </c>
      <c r="S327">
        <f t="shared" si="972"/>
        <v>-16.103965939262324</v>
      </c>
      <c r="T327">
        <f t="shared" si="973"/>
        <v>-1.6103965939262322E-2</v>
      </c>
    </row>
    <row r="328" spans="1:20" x14ac:dyDescent="0.25">
      <c r="A328" s="5">
        <v>44265</v>
      </c>
      <c r="B328">
        <v>7.25</v>
      </c>
      <c r="C328">
        <v>16.888000000000002</v>
      </c>
      <c r="D328">
        <v>7.25</v>
      </c>
      <c r="E328">
        <v>10.648999999999999</v>
      </c>
      <c r="F328">
        <v>8652462.1420000009</v>
      </c>
      <c r="G328">
        <v>0</v>
      </c>
      <c r="P328">
        <f t="shared" si="969"/>
        <v>-0.29466694334924287</v>
      </c>
      <c r="Q328">
        <f t="shared" si="970"/>
        <v>-2549594.5718281828</v>
      </c>
      <c r="R328">
        <f t="shared" si="971"/>
        <v>-2549594.5718281828</v>
      </c>
      <c r="S328">
        <f t="shared" si="972"/>
        <v>-25.495945718281828</v>
      </c>
      <c r="T328">
        <f t="shared" si="973"/>
        <v>-2.5495945718281829E-2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B523" sqref="GB52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$A$522</v>
      </c>
      <c r="D111" s="1" t="str">
        <f>ADDRESS(C121-1,D121,1,1)</f>
        <v>$GB$522</v>
      </c>
      <c r="E111"/>
    </row>
    <row r="112" spans="1:5" x14ac:dyDescent="0.25">
      <c r="A112" s="7">
        <v>12164.144957890772</v>
      </c>
      <c r="C112" s="1" t="str">
        <f>ADDRESS(C121,1,1,1)</f>
        <v>$A$523</v>
      </c>
      <c r="D112" s="1" t="str">
        <f>ADDRESS(C121,D121-1,1,1)</f>
        <v>$GA$523</v>
      </c>
      <c r="E112"/>
    </row>
    <row r="113" spans="1:5" x14ac:dyDescent="0.25">
      <c r="A113" s="7">
        <v>11925.63231165762</v>
      </c>
      <c r="C113" s="1" t="str">
        <f>ADDRESS(C121+1,1,1,1)</f>
        <v>$A$524</v>
      </c>
      <c r="D113" s="1" t="str">
        <f>ADDRESS(C121-1,D121+1,1,1)</f>
        <v>$GC$522</v>
      </c>
    </row>
    <row r="114" spans="1:5" x14ac:dyDescent="0.25">
      <c r="A114" s="7">
        <v>11691.796383978059</v>
      </c>
      <c r="C114" s="1" t="str">
        <f>ADDRESS(C121,D121,1,1)</f>
        <v>$GB$523</v>
      </c>
      <c r="D114" s="1" t="str">
        <f>ADDRESS(C121+1,D121+1,1,1)</f>
        <v>$GC$524</v>
      </c>
    </row>
    <row r="115" spans="1:5" x14ac:dyDescent="0.25">
      <c r="A115" s="7">
        <v>11462.545474488292</v>
      </c>
      <c r="C115" s="1" t="str">
        <f>ADDRESS(C121+1,D121,1,1)</f>
        <v>$GB$524</v>
      </c>
    </row>
    <row r="116" spans="1:5" x14ac:dyDescent="0.25">
      <c r="A116" s="7">
        <v>11237.789680870874</v>
      </c>
      <c r="C116" s="1">
        <f>C117-1</f>
        <v>522</v>
      </c>
    </row>
    <row r="117" spans="1:5" x14ac:dyDescent="0.25">
      <c r="A117" s="7">
        <v>11017.440863598895</v>
      </c>
      <c r="C117" s="1">
        <f>C121</f>
        <v>523</v>
      </c>
      <c r="D117" s="1">
        <f>D121</f>
        <v>184</v>
      </c>
    </row>
    <row r="118" spans="1:5" x14ac:dyDescent="0.25">
      <c r="A118" s="7">
        <v>10801.412611371465</v>
      </c>
      <c r="C118" s="1">
        <f>C117+1</f>
        <v>524</v>
      </c>
      <c r="D118" s="1">
        <f>D117+1</f>
        <v>185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523</v>
      </c>
      <c r="D121" s="19">
        <v>184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R523</v>
      </c>
      <c r="D123" s="1" t="str">
        <f>"C"&amp;D121</f>
        <v>C184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3.5514932432768775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7" x14ac:dyDescent="0.25">
      <c r="A401" s="7">
        <v>39.776992891402749</v>
      </c>
      <c r="B401"/>
      <c r="C401"/>
      <c r="D401"/>
      <c r="E401"/>
    </row>
    <row r="402" spans="1:7" x14ac:dyDescent="0.25">
      <c r="A402" s="7">
        <v>38.997051854316418</v>
      </c>
      <c r="B402"/>
      <c r="C402"/>
      <c r="D402"/>
      <c r="E402"/>
    </row>
    <row r="403" spans="1:7" x14ac:dyDescent="0.25">
      <c r="A403" s="7">
        <v>38.232403778741585</v>
      </c>
      <c r="B403"/>
      <c r="C403"/>
      <c r="D403"/>
      <c r="E403"/>
    </row>
    <row r="404" spans="1:7" x14ac:dyDescent="0.25">
      <c r="A404" s="7">
        <v>37.48274880268783</v>
      </c>
      <c r="B404"/>
      <c r="C404"/>
      <c r="D404"/>
      <c r="E404"/>
    </row>
    <row r="405" spans="1:7" x14ac:dyDescent="0.25">
      <c r="A405" s="7">
        <v>36.747792943811596</v>
      </c>
      <c r="B405"/>
      <c r="C405"/>
      <c r="D405"/>
      <c r="E405"/>
    </row>
    <row r="406" spans="1:7" x14ac:dyDescent="0.25">
      <c r="A406" s="7">
        <v>36.027247984129012</v>
      </c>
      <c r="B406"/>
      <c r="C406"/>
      <c r="D406"/>
      <c r="E406"/>
    </row>
    <row r="407" spans="1:7" x14ac:dyDescent="0.25">
      <c r="A407" s="7">
        <v>35.320831356989224</v>
      </c>
      <c r="B407"/>
      <c r="C407"/>
      <c r="D407"/>
      <c r="E407"/>
    </row>
    <row r="408" spans="1:7" x14ac:dyDescent="0.25">
      <c r="A408" s="7">
        <v>34.628266036263945</v>
      </c>
      <c r="B408"/>
      <c r="C408"/>
      <c r="D408"/>
      <c r="E408" t="s">
        <v>8</v>
      </c>
    </row>
    <row r="409" spans="1:7" x14ac:dyDescent="0.25">
      <c r="A409" s="7">
        <v>33.949280427709752</v>
      </c>
      <c r="B409"/>
      <c r="C409"/>
      <c r="D409"/>
      <c r="E409" t="s">
        <v>8</v>
      </c>
      <c r="F409" s="27" t="s">
        <v>7</v>
      </c>
    </row>
    <row r="410" spans="1:7" x14ac:dyDescent="0.25">
      <c r="A410" s="7">
        <v>33.28360826246054</v>
      </c>
      <c r="B410"/>
      <c r="C410"/>
      <c r="D410"/>
      <c r="E410" t="s">
        <v>8</v>
      </c>
      <c r="F410" s="27" t="s">
        <v>7</v>
      </c>
    </row>
    <row r="411" spans="1:7" x14ac:dyDescent="0.25">
      <c r="A411" s="7">
        <v>32.630988492608374</v>
      </c>
      <c r="B411"/>
      <c r="C411"/>
      <c r="D411"/>
      <c r="E411" t="s">
        <v>8</v>
      </c>
      <c r="F411" s="27" t="s">
        <v>7</v>
      </c>
    </row>
    <row r="412" spans="1:7" x14ac:dyDescent="0.25">
      <c r="A412" s="7">
        <v>31.99116518883174</v>
      </c>
      <c r="B412"/>
      <c r="C412"/>
      <c r="D412"/>
      <c r="E412" t="s">
        <v>8</v>
      </c>
      <c r="F412" s="27" t="s">
        <v>7</v>
      </c>
    </row>
    <row r="413" spans="1:7" x14ac:dyDescent="0.25">
      <c r="A413" s="7">
        <v>31.363887440031117</v>
      </c>
      <c r="B413"/>
      <c r="C413"/>
      <c r="D413"/>
      <c r="E413" t="s">
        <v>8</v>
      </c>
      <c r="F413" s="27" t="s">
        <v>7</v>
      </c>
    </row>
    <row r="414" spans="1:7" x14ac:dyDescent="0.25">
      <c r="A414" s="7">
        <v>30.748909254932467</v>
      </c>
      <c r="B414"/>
      <c r="C414"/>
      <c r="D414"/>
      <c r="E414" t="s">
        <v>8</v>
      </c>
      <c r="F414" s="27" t="s">
        <v>7</v>
      </c>
    </row>
    <row r="415" spans="1:7" x14ac:dyDescent="0.25">
      <c r="A415" s="7">
        <v>30.145989465620065</v>
      </c>
      <c r="B415"/>
      <c r="C415"/>
      <c r="D415"/>
      <c r="E415" t="s">
        <v>8</v>
      </c>
      <c r="F415" s="27" t="s">
        <v>7</v>
      </c>
    </row>
    <row r="416" spans="1:7" x14ac:dyDescent="0.25">
      <c r="A416" s="7">
        <v>29.55489163296085</v>
      </c>
      <c r="B416"/>
      <c r="C416"/>
      <c r="D416"/>
      <c r="E416" t="s">
        <v>8</v>
      </c>
      <c r="F416" s="27" t="s">
        <v>7</v>
      </c>
      <c r="G416" s="27" t="s">
        <v>8</v>
      </c>
    </row>
    <row r="417" spans="1:12" x14ac:dyDescent="0.25">
      <c r="A417" s="7">
        <v>28.975383953883185</v>
      </c>
      <c r="B417"/>
      <c r="C417"/>
      <c r="D417"/>
      <c r="E417" t="s">
        <v>8</v>
      </c>
      <c r="F417" s="27" t="s">
        <v>7</v>
      </c>
      <c r="G417" s="27" t="s">
        <v>8</v>
      </c>
      <c r="H417" s="27" t="s">
        <v>7</v>
      </c>
    </row>
    <row r="418" spans="1:12" x14ac:dyDescent="0.25">
      <c r="A418" s="7">
        <v>28.407239170473709</v>
      </c>
      <c r="B418"/>
      <c r="C418"/>
      <c r="D418"/>
      <c r="E418" t="s">
        <v>8</v>
      </c>
      <c r="F418" s="27" t="s">
        <v>7</v>
      </c>
      <c r="G418" s="27" t="s">
        <v>8</v>
      </c>
      <c r="H418" s="27" t="s">
        <v>7</v>
      </c>
    </row>
    <row r="419" spans="1:12" x14ac:dyDescent="0.25">
      <c r="A419" s="7">
        <v>27.850234480856578</v>
      </c>
      <c r="B419"/>
      <c r="C419"/>
      <c r="D419"/>
      <c r="E419" t="s">
        <v>8</v>
      </c>
      <c r="F419" s="27" t="s">
        <v>7</v>
      </c>
      <c r="G419" s="27" t="s">
        <v>8</v>
      </c>
      <c r="H419" s="27" t="s">
        <v>7</v>
      </c>
    </row>
    <row r="420" spans="1:12" x14ac:dyDescent="0.25">
      <c r="A420" s="7">
        <v>27.304151451820175</v>
      </c>
      <c r="B420"/>
      <c r="C420"/>
      <c r="D420"/>
      <c r="E420" t="s">
        <v>8</v>
      </c>
      <c r="F420" s="27" t="s">
        <v>7</v>
      </c>
      <c r="G420" s="27" t="s">
        <v>8</v>
      </c>
      <c r="H420" s="27" t="s">
        <v>7</v>
      </c>
    </row>
    <row r="421" spans="1:12" x14ac:dyDescent="0.25">
      <c r="A421" s="7">
        <v>26.768775933157034</v>
      </c>
      <c r="B421"/>
      <c r="C421"/>
      <c r="D421"/>
      <c r="E421" t="s">
        <v>8</v>
      </c>
      <c r="F421" s="27" t="s">
        <v>7</v>
      </c>
      <c r="G421" s="27" t="s">
        <v>8</v>
      </c>
      <c r="H421" s="27" t="s">
        <v>7</v>
      </c>
    </row>
    <row r="422" spans="1:12" x14ac:dyDescent="0.25">
      <c r="A422" s="7">
        <v>26.243897973683367</v>
      </c>
      <c r="B422"/>
      <c r="C422"/>
      <c r="D422"/>
      <c r="E422" t="s">
        <v>8</v>
      </c>
      <c r="F422" s="27" t="s">
        <v>7</v>
      </c>
      <c r="G422" s="27" t="s">
        <v>8</v>
      </c>
      <c r="H422" s="27" t="s">
        <v>7</v>
      </c>
    </row>
    <row r="423" spans="1:12" x14ac:dyDescent="0.25">
      <c r="A423" s="7">
        <v>25.729311738905263</v>
      </c>
      <c r="B423"/>
      <c r="C423"/>
      <c r="D423"/>
      <c r="E423" t="s">
        <v>8</v>
      </c>
      <c r="F423" s="27" t="s">
        <v>7</v>
      </c>
      <c r="G423" s="27" t="s">
        <v>8</v>
      </c>
      <c r="H423" s="27" t="s">
        <v>7</v>
      </c>
    </row>
    <row r="424" spans="1:12" x14ac:dyDescent="0.25">
      <c r="A424" s="7">
        <v>25.224815430299277</v>
      </c>
      <c r="B424"/>
      <c r="C424"/>
      <c r="D424"/>
      <c r="E424" t="s">
        <v>8</v>
      </c>
      <c r="F424" s="27" t="s">
        <v>7</v>
      </c>
      <c r="G424" s="27" t="s">
        <v>8</v>
      </c>
      <c r="H424" s="27" t="s">
        <v>7</v>
      </c>
    </row>
    <row r="425" spans="1:12" x14ac:dyDescent="0.25">
      <c r="A425" s="7">
        <v>24.73021120617576</v>
      </c>
      <c r="B425"/>
      <c r="C425"/>
      <c r="D425"/>
      <c r="E425" t="s">
        <v>8</v>
      </c>
      <c r="F425" s="27" t="s">
        <v>7</v>
      </c>
      <c r="G425" s="27" t="s">
        <v>8</v>
      </c>
      <c r="H425" s="27" t="s">
        <v>7</v>
      </c>
      <c r="K425" s="27" t="s">
        <v>8</v>
      </c>
    </row>
    <row r="426" spans="1:12" x14ac:dyDescent="0.25">
      <c r="A426" s="7">
        <v>24.24530510409388</v>
      </c>
      <c r="B426"/>
      <c r="C426"/>
      <c r="D426"/>
      <c r="E426" t="s">
        <v>8</v>
      </c>
      <c r="F426" s="27" t="s">
        <v>7</v>
      </c>
      <c r="G426" s="27" t="s">
        <v>8</v>
      </c>
      <c r="H426" s="27" t="s">
        <v>7</v>
      </c>
      <c r="K426" s="27" t="s">
        <v>8</v>
      </c>
      <c r="L426" s="27" t="s">
        <v>7</v>
      </c>
    </row>
    <row r="427" spans="1:12" x14ac:dyDescent="0.25">
      <c r="A427" s="7">
        <v>23.769906964797922</v>
      </c>
      <c r="B427"/>
      <c r="C427"/>
      <c r="D427"/>
      <c r="E427" t="s">
        <v>8</v>
      </c>
      <c r="F427" s="27" t="s">
        <v>7</v>
      </c>
      <c r="G427" s="27" t="s">
        <v>8</v>
      </c>
      <c r="H427" s="27" t="s">
        <v>7</v>
      </c>
      <c r="K427" s="27" t="s">
        <v>8</v>
      </c>
      <c r="L427" s="27" t="s">
        <v>7</v>
      </c>
    </row>
    <row r="428" spans="1:12" x14ac:dyDescent="0.25">
      <c r="A428" s="7">
        <v>23.303830357645023</v>
      </c>
      <c r="B428"/>
      <c r="C428"/>
      <c r="D428"/>
      <c r="E428" t="s">
        <v>8</v>
      </c>
      <c r="F428" s="27" t="s">
        <v>7</v>
      </c>
      <c r="G428" s="27" t="s">
        <v>8</v>
      </c>
      <c r="H428" s="27" t="s">
        <v>7</v>
      </c>
      <c r="K428" s="27" t="s">
        <v>8</v>
      </c>
      <c r="L428" s="27" t="s">
        <v>7</v>
      </c>
    </row>
    <row r="429" spans="1:12" x14ac:dyDescent="0.25">
      <c r="A429" s="7">
        <v>22.84689250749512</v>
      </c>
      <c r="B429"/>
      <c r="C429"/>
      <c r="D429"/>
      <c r="E429" t="s">
        <v>8</v>
      </c>
      <c r="F429" s="27" t="s">
        <v>7</v>
      </c>
      <c r="G429" s="27" t="s">
        <v>8</v>
      </c>
      <c r="H429" s="27" t="s">
        <v>7</v>
      </c>
      <c r="I429" s="27" t="s">
        <v>8</v>
      </c>
      <c r="K429" s="27" t="s">
        <v>8</v>
      </c>
      <c r="L429" s="27" t="s">
        <v>7</v>
      </c>
    </row>
    <row r="430" spans="1:12" x14ac:dyDescent="0.25">
      <c r="A430" s="7">
        <v>22.398914223034431</v>
      </c>
      <c r="B430"/>
      <c r="C430"/>
      <c r="D430"/>
      <c r="E430" t="s">
        <v>8</v>
      </c>
      <c r="F430" s="27" t="s">
        <v>7</v>
      </c>
      <c r="G430" s="27" t="s">
        <v>8</v>
      </c>
      <c r="H430" s="27" t="s">
        <v>7</v>
      </c>
      <c r="I430" s="27" t="s">
        <v>8</v>
      </c>
      <c r="J430" s="27" t="s">
        <v>7</v>
      </c>
      <c r="K430" s="27" t="s">
        <v>8</v>
      </c>
      <c r="L430" s="27" t="s">
        <v>7</v>
      </c>
    </row>
    <row r="431" spans="1:12" x14ac:dyDescent="0.25">
      <c r="A431" s="7">
        <v>21.959719826504344</v>
      </c>
      <c r="B431"/>
      <c r="C431"/>
      <c r="D431"/>
      <c r="E431" t="s">
        <v>8</v>
      </c>
      <c r="F431" s="27" t="s">
        <v>7</v>
      </c>
      <c r="G431" s="27" t="s">
        <v>8</v>
      </c>
      <c r="H431" s="27" t="s">
        <v>7</v>
      </c>
      <c r="I431" s="27" t="s">
        <v>8</v>
      </c>
      <c r="J431" s="27" t="s">
        <v>7</v>
      </c>
      <c r="K431" s="27" t="s">
        <v>8</v>
      </c>
      <c r="L431" s="27" t="s">
        <v>7</v>
      </c>
    </row>
    <row r="432" spans="1:12" x14ac:dyDescent="0.25">
      <c r="A432" s="7">
        <v>21.52913708480818</v>
      </c>
      <c r="B432"/>
      <c r="C432"/>
      <c r="D432"/>
      <c r="E432" t="s">
        <v>8</v>
      </c>
      <c r="F432" s="27" t="s">
        <v>7</v>
      </c>
      <c r="G432" s="27" t="s">
        <v>8</v>
      </c>
      <c r="H432" s="27" t="s">
        <v>7</v>
      </c>
      <c r="I432" s="27" t="s">
        <v>8</v>
      </c>
      <c r="J432" s="27" t="s">
        <v>7</v>
      </c>
      <c r="K432" s="27" t="s">
        <v>8</v>
      </c>
      <c r="L432" s="27" t="s">
        <v>7</v>
      </c>
    </row>
    <row r="433" spans="1:38" x14ac:dyDescent="0.25">
      <c r="A433" s="7">
        <v>21.106997141968804</v>
      </c>
      <c r="B433"/>
      <c r="C433"/>
      <c r="D433"/>
      <c r="E433" t="s">
        <v>8</v>
      </c>
      <c r="F433" s="27" t="s">
        <v>7</v>
      </c>
      <c r="G433" s="27" t="s">
        <v>8</v>
      </c>
      <c r="H433" s="27" t="s">
        <v>7</v>
      </c>
      <c r="I433" s="27" t="s">
        <v>8</v>
      </c>
      <c r="J433" s="27" t="s">
        <v>7</v>
      </c>
      <c r="K433" s="27" t="s">
        <v>8</v>
      </c>
      <c r="L433" s="27" t="s">
        <v>7</v>
      </c>
    </row>
    <row r="434" spans="1:38" x14ac:dyDescent="0.25">
      <c r="A434" s="7">
        <v>20.693134452910591</v>
      </c>
      <c r="B434"/>
      <c r="C434"/>
      <c r="D434"/>
      <c r="E434" t="s">
        <v>8</v>
      </c>
      <c r="F434" s="27" t="s">
        <v>7</v>
      </c>
      <c r="G434" s="27" t="s">
        <v>8</v>
      </c>
      <c r="H434" s="27" t="s">
        <v>7</v>
      </c>
      <c r="I434" s="27" t="s">
        <v>8</v>
      </c>
      <c r="J434" s="27" t="s">
        <v>7</v>
      </c>
      <c r="K434" s="27" t="s">
        <v>8</v>
      </c>
      <c r="L434" s="27" t="s">
        <v>7</v>
      </c>
    </row>
    <row r="435" spans="1:38" x14ac:dyDescent="0.25">
      <c r="A435" s="7">
        <v>20.287386718539796</v>
      </c>
      <c r="B435"/>
      <c r="C435"/>
      <c r="D435"/>
      <c r="E435" t="s">
        <v>8</v>
      </c>
      <c r="F435" s="27" t="s">
        <v>7</v>
      </c>
      <c r="G435" s="27" t="s">
        <v>8</v>
      </c>
      <c r="H435" s="27" t="s">
        <v>7</v>
      </c>
      <c r="J435" s="27" t="s">
        <v>7</v>
      </c>
      <c r="K435" s="27" t="s">
        <v>8</v>
      </c>
      <c r="L435" s="27" t="s">
        <v>7</v>
      </c>
      <c r="W435" s="27" t="s">
        <v>8</v>
      </c>
    </row>
    <row r="436" spans="1:38" x14ac:dyDescent="0.25">
      <c r="A436" s="7">
        <v>19.889594822097838</v>
      </c>
      <c r="B436"/>
      <c r="C436"/>
      <c r="D436"/>
      <c r="E436" t="s">
        <v>8</v>
      </c>
      <c r="F436" s="27" t="s">
        <v>7</v>
      </c>
      <c r="G436" s="27" t="s">
        <v>8</v>
      </c>
      <c r="J436" s="27" t="s">
        <v>7</v>
      </c>
      <c r="K436" s="27" t="s">
        <v>8</v>
      </c>
      <c r="L436" s="27" t="s">
        <v>7</v>
      </c>
      <c r="O436" s="27" t="s">
        <v>8</v>
      </c>
      <c r="W436" s="27" t="s">
        <v>8</v>
      </c>
      <c r="X436" s="27" t="s">
        <v>7</v>
      </c>
    </row>
    <row r="437" spans="1:38" x14ac:dyDescent="0.25">
      <c r="A437" s="7">
        <v>19.499602766762585</v>
      </c>
      <c r="B437"/>
      <c r="C437"/>
      <c r="D437"/>
      <c r="E437" t="s">
        <v>8</v>
      </c>
      <c r="F437" s="27" t="s">
        <v>7</v>
      </c>
      <c r="J437" s="27" t="s">
        <v>7</v>
      </c>
      <c r="K437" s="27" t="s">
        <v>8</v>
      </c>
      <c r="L437" s="27" t="s">
        <v>7</v>
      </c>
      <c r="O437" s="27" t="s">
        <v>8</v>
      </c>
      <c r="P437" s="27" t="s">
        <v>7</v>
      </c>
      <c r="U437" s="27" t="s">
        <v>8</v>
      </c>
      <c r="W437" s="27" t="s">
        <v>8</v>
      </c>
      <c r="X437" s="27" t="s">
        <v>7</v>
      </c>
      <c r="AI437" s="27" t="s">
        <v>8</v>
      </c>
    </row>
    <row r="438" spans="1:38" x14ac:dyDescent="0.25">
      <c r="A438" s="7">
        <v>19.117257614473122</v>
      </c>
      <c r="B438"/>
      <c r="C438"/>
      <c r="D438"/>
      <c r="E438" t="s">
        <v>8</v>
      </c>
      <c r="J438" s="27" t="s">
        <v>7</v>
      </c>
      <c r="K438" s="27" t="s">
        <v>8</v>
      </c>
      <c r="L438" s="27" t="s">
        <v>7</v>
      </c>
      <c r="O438" s="27" t="s">
        <v>8</v>
      </c>
      <c r="P438" s="27" t="s">
        <v>7</v>
      </c>
      <c r="U438" s="27" t="s">
        <v>8</v>
      </c>
      <c r="V438" s="27" t="s">
        <v>7</v>
      </c>
      <c r="W438" s="27" t="s">
        <v>8</v>
      </c>
      <c r="X438" s="27" t="s">
        <v>7</v>
      </c>
      <c r="AI438" s="27" t="s">
        <v>8</v>
      </c>
      <c r="AJ438" s="27" t="s">
        <v>7</v>
      </c>
    </row>
    <row r="439" spans="1:38" x14ac:dyDescent="0.25">
      <c r="A439" s="7">
        <v>18.74240942595404</v>
      </c>
      <c r="B439"/>
      <c r="C439"/>
      <c r="D439"/>
      <c r="E439" t="s">
        <v>8</v>
      </c>
      <c r="J439" s="27" t="s">
        <v>7</v>
      </c>
      <c r="K439" s="27" t="s">
        <v>8</v>
      </c>
      <c r="L439" s="27" t="s">
        <v>7</v>
      </c>
      <c r="M439" s="27" t="s">
        <v>8</v>
      </c>
      <c r="O439" s="27" t="s">
        <v>8</v>
      </c>
      <c r="P439" s="27" t="s">
        <v>7</v>
      </c>
      <c r="U439" s="27" t="s">
        <v>8</v>
      </c>
      <c r="V439" s="27" t="s">
        <v>7</v>
      </c>
      <c r="W439" s="27" t="s">
        <v>8</v>
      </c>
      <c r="X439" s="27" t="s">
        <v>7</v>
      </c>
      <c r="AI439" s="27" t="s">
        <v>8</v>
      </c>
      <c r="AJ439" s="27" t="s">
        <v>7</v>
      </c>
    </row>
    <row r="440" spans="1:38" x14ac:dyDescent="0.25">
      <c r="A440" s="7">
        <v>18.374911201915726</v>
      </c>
      <c r="B440"/>
      <c r="C440"/>
      <c r="D440"/>
      <c r="E440" t="s">
        <v>8</v>
      </c>
      <c r="J440" s="27" t="s">
        <v>7</v>
      </c>
      <c r="K440" s="27" t="s">
        <v>8</v>
      </c>
      <c r="L440" s="27" t="s">
        <v>7</v>
      </c>
      <c r="M440" s="27" t="s">
        <v>8</v>
      </c>
      <c r="N440" s="27" t="s">
        <v>7</v>
      </c>
      <c r="O440" s="27" t="s">
        <v>8</v>
      </c>
      <c r="P440" s="27" t="s">
        <v>7</v>
      </c>
      <c r="U440" s="27" t="s">
        <v>8</v>
      </c>
      <c r="V440" s="27" t="s">
        <v>7</v>
      </c>
      <c r="W440" s="27" t="s">
        <v>8</v>
      </c>
      <c r="X440" s="27" t="s">
        <v>7</v>
      </c>
      <c r="AI440" s="27" t="s">
        <v>8</v>
      </c>
      <c r="AJ440" s="27" t="s">
        <v>7</v>
      </c>
      <c r="AK440" s="27" t="s">
        <v>8</v>
      </c>
    </row>
    <row r="441" spans="1:38" x14ac:dyDescent="0.25">
      <c r="A441" s="7">
        <v>18.014618825407574</v>
      </c>
      <c r="B441"/>
      <c r="C441"/>
      <c r="D441"/>
      <c r="E441" t="s">
        <v>8</v>
      </c>
      <c r="J441" s="27" t="s">
        <v>7</v>
      </c>
      <c r="K441" s="27" t="s">
        <v>8</v>
      </c>
      <c r="L441" s="27" t="s">
        <v>7</v>
      </c>
      <c r="M441" s="27" t="s">
        <v>8</v>
      </c>
      <c r="N441" s="27" t="s">
        <v>7</v>
      </c>
      <c r="O441" s="27" t="s">
        <v>8</v>
      </c>
      <c r="P441" s="27" t="s">
        <v>7</v>
      </c>
      <c r="Q441" s="27" t="s">
        <v>8</v>
      </c>
      <c r="U441" s="27" t="s">
        <v>8</v>
      </c>
      <c r="V441" s="27" t="s">
        <v>7</v>
      </c>
      <c r="W441" s="27" t="s">
        <v>8</v>
      </c>
      <c r="X441" s="27" t="s">
        <v>7</v>
      </c>
      <c r="AG441" s="27" t="s">
        <v>8</v>
      </c>
      <c r="AI441" s="27" t="s">
        <v>8</v>
      </c>
      <c r="AJ441" s="27" t="s">
        <v>7</v>
      </c>
      <c r="AK441" s="27" t="s">
        <v>8</v>
      </c>
      <c r="AL441" s="27" t="s">
        <v>7</v>
      </c>
    </row>
    <row r="442" spans="1:38" x14ac:dyDescent="0.25">
      <c r="A442" s="7">
        <v>17.661391005301542</v>
      </c>
      <c r="B442"/>
      <c r="C442"/>
      <c r="D442"/>
      <c r="E442" t="s">
        <v>8</v>
      </c>
      <c r="J442" s="27" t="s">
        <v>7</v>
      </c>
      <c r="K442" s="27" t="s">
        <v>8</v>
      </c>
      <c r="L442" s="27" t="s">
        <v>7</v>
      </c>
      <c r="M442" s="27" t="s">
        <v>8</v>
      </c>
      <c r="N442" s="27" t="s">
        <v>7</v>
      </c>
      <c r="O442" s="27" t="s">
        <v>8</v>
      </c>
      <c r="P442" s="27" t="s">
        <v>7</v>
      </c>
      <c r="Q442" s="27" t="s">
        <v>8</v>
      </c>
      <c r="R442" s="27" t="s">
        <v>7</v>
      </c>
      <c r="S442" s="27" t="s">
        <v>8</v>
      </c>
      <c r="U442" s="27" t="s">
        <v>8</v>
      </c>
      <c r="V442" s="27" t="s">
        <v>7</v>
      </c>
      <c r="W442" s="27" t="s">
        <v>8</v>
      </c>
      <c r="X442" s="27" t="s">
        <v>7</v>
      </c>
      <c r="AG442" s="27" t="s">
        <v>8</v>
      </c>
      <c r="AH442" s="27" t="s">
        <v>7</v>
      </c>
      <c r="AI442" s="27" t="s">
        <v>8</v>
      </c>
      <c r="AJ442" s="27" t="s">
        <v>7</v>
      </c>
      <c r="AK442" s="27" t="s">
        <v>8</v>
      </c>
      <c r="AL442" s="27" t="s">
        <v>7</v>
      </c>
    </row>
    <row r="443" spans="1:38" x14ac:dyDescent="0.25">
      <c r="A443" s="7">
        <v>17.315089220883866</v>
      </c>
      <c r="B443"/>
      <c r="C443"/>
      <c r="D443"/>
      <c r="E443" t="s">
        <v>8</v>
      </c>
      <c r="J443" s="27" t="s">
        <v>7</v>
      </c>
      <c r="K443" s="27" t="s">
        <v>8</v>
      </c>
      <c r="L443" s="27" t="s">
        <v>7</v>
      </c>
      <c r="M443" s="27" t="s">
        <v>8</v>
      </c>
      <c r="N443" s="27" t="s">
        <v>7</v>
      </c>
      <c r="O443" s="27" t="s">
        <v>8</v>
      </c>
      <c r="P443" s="27" t="s">
        <v>7</v>
      </c>
      <c r="Q443" s="27" t="s">
        <v>8</v>
      </c>
      <c r="R443" s="27" t="s">
        <v>7</v>
      </c>
      <c r="S443" s="27" t="s">
        <v>8</v>
      </c>
      <c r="T443" s="27" t="s">
        <v>7</v>
      </c>
      <c r="U443" s="27" t="s">
        <v>8</v>
      </c>
      <c r="V443" s="27" t="s">
        <v>7</v>
      </c>
      <c r="W443" s="27" t="s">
        <v>8</v>
      </c>
      <c r="X443" s="27" t="s">
        <v>7</v>
      </c>
      <c r="AG443" s="27" t="s">
        <v>8</v>
      </c>
      <c r="AH443" s="27" t="s">
        <v>7</v>
      </c>
      <c r="AI443" s="27" t="s">
        <v>8</v>
      </c>
      <c r="AJ443" s="27" t="s">
        <v>7</v>
      </c>
      <c r="AK443" s="27" t="s">
        <v>8</v>
      </c>
      <c r="AL443" s="27" t="s">
        <v>7</v>
      </c>
    </row>
    <row r="444" spans="1:38" x14ac:dyDescent="0.25">
      <c r="A444" s="7">
        <v>16.975577667533202</v>
      </c>
      <c r="B444"/>
      <c r="C444"/>
      <c r="D444"/>
      <c r="E444" t="s">
        <v>8</v>
      </c>
      <c r="J444" s="27" t="s">
        <v>7</v>
      </c>
      <c r="L444" s="27" t="s">
        <v>7</v>
      </c>
      <c r="M444" s="27" t="s">
        <v>8</v>
      </c>
      <c r="N444" s="27" t="s">
        <v>7</v>
      </c>
      <c r="O444" s="27" t="s">
        <v>8</v>
      </c>
      <c r="P444" s="27" t="s">
        <v>7</v>
      </c>
      <c r="R444" s="27" t="s">
        <v>7</v>
      </c>
      <c r="S444" s="27" t="s">
        <v>8</v>
      </c>
      <c r="T444" s="27" t="s">
        <v>7</v>
      </c>
      <c r="U444" s="27" t="s">
        <v>8</v>
      </c>
      <c r="V444" s="27" t="s">
        <v>7</v>
      </c>
      <c r="W444" s="27" t="s">
        <v>8</v>
      </c>
      <c r="X444" s="27" t="s">
        <v>7</v>
      </c>
      <c r="AG444" s="27" t="s">
        <v>8</v>
      </c>
      <c r="AH444" s="27" t="s">
        <v>7</v>
      </c>
      <c r="AI444" s="27" t="s">
        <v>8</v>
      </c>
      <c r="AJ444" s="27" t="s">
        <v>7</v>
      </c>
      <c r="AK444" s="27" t="s">
        <v>8</v>
      </c>
      <c r="AL444" s="27" t="s">
        <v>7</v>
      </c>
    </row>
    <row r="445" spans="1:38" x14ac:dyDescent="0.25">
      <c r="A445" s="7">
        <v>16.642723203463923</v>
      </c>
      <c r="B445"/>
      <c r="C445"/>
      <c r="D445"/>
      <c r="E445" t="s">
        <v>8</v>
      </c>
      <c r="L445" s="27" t="s">
        <v>7</v>
      </c>
      <c r="M445" s="27" t="s">
        <v>8</v>
      </c>
      <c r="N445" s="27" t="s">
        <v>7</v>
      </c>
      <c r="O445" s="27" t="s">
        <v>8</v>
      </c>
      <c r="R445" s="27" t="s">
        <v>7</v>
      </c>
      <c r="S445" s="27" t="s">
        <v>8</v>
      </c>
      <c r="T445" s="27" t="s">
        <v>7</v>
      </c>
      <c r="U445" s="27" t="s">
        <v>8</v>
      </c>
      <c r="V445" s="27" t="s">
        <v>7</v>
      </c>
      <c r="X445" s="27" t="s">
        <v>7</v>
      </c>
      <c r="AG445" s="27" t="s">
        <v>8</v>
      </c>
      <c r="AH445" s="27" t="s">
        <v>7</v>
      </c>
      <c r="AI445" s="27" t="s">
        <v>8</v>
      </c>
      <c r="AJ445" s="27" t="s">
        <v>7</v>
      </c>
      <c r="AK445" s="27" t="s">
        <v>8</v>
      </c>
      <c r="AL445" s="27" t="s">
        <v>7</v>
      </c>
    </row>
    <row r="446" spans="1:38" x14ac:dyDescent="0.25">
      <c r="A446" s="7">
        <v>16.316395297513651</v>
      </c>
      <c r="B446"/>
      <c r="C446"/>
      <c r="D446"/>
      <c r="E446" t="s">
        <v>8</v>
      </c>
      <c r="L446" s="27" t="s">
        <v>7</v>
      </c>
      <c r="M446" s="27" t="s">
        <v>8</v>
      </c>
      <c r="N446" s="27" t="s">
        <v>7</v>
      </c>
      <c r="R446" s="27" t="s">
        <v>7</v>
      </c>
      <c r="S446" s="27" t="s">
        <v>8</v>
      </c>
      <c r="T446" s="27" t="s">
        <v>7</v>
      </c>
      <c r="U446" s="27" t="s">
        <v>8</v>
      </c>
      <c r="X446" s="27" t="s">
        <v>7</v>
      </c>
      <c r="AG446" s="27" t="s">
        <v>8</v>
      </c>
      <c r="AH446" s="27" t="s">
        <v>7</v>
      </c>
      <c r="AI446" s="27" t="s">
        <v>8</v>
      </c>
      <c r="AJ446" s="27" t="s">
        <v>7</v>
      </c>
      <c r="AK446" s="27" t="s">
        <v>8</v>
      </c>
      <c r="AL446" s="27" t="s">
        <v>7</v>
      </c>
    </row>
    <row r="447" spans="1:38" x14ac:dyDescent="0.25">
      <c r="A447" s="7">
        <v>15.996465977954561</v>
      </c>
      <c r="B447"/>
      <c r="C447"/>
      <c r="D447"/>
      <c r="E447" t="s">
        <v>8</v>
      </c>
      <c r="L447" s="27" t="s">
        <v>7</v>
      </c>
      <c r="M447" s="27" t="s">
        <v>8</v>
      </c>
      <c r="R447" s="27" t="s">
        <v>7</v>
      </c>
      <c r="S447" s="27" t="s">
        <v>8</v>
      </c>
      <c r="T447" s="27" t="s">
        <v>7</v>
      </c>
      <c r="U447" s="27" t="s">
        <v>8</v>
      </c>
      <c r="X447" s="27" t="s">
        <v>7</v>
      </c>
      <c r="AG447" s="27" t="s">
        <v>8</v>
      </c>
      <c r="AH447" s="27" t="s">
        <v>7</v>
      </c>
      <c r="AI447" s="27" t="s">
        <v>8</v>
      </c>
      <c r="AJ447" s="27" t="s">
        <v>7</v>
      </c>
      <c r="AK447" s="27" t="s">
        <v>8</v>
      </c>
      <c r="AL447" s="27" t="s">
        <v>7</v>
      </c>
    </row>
    <row r="448" spans="1:38" x14ac:dyDescent="0.25">
      <c r="A448" s="7">
        <v>15.682809782308393</v>
      </c>
      <c r="B448"/>
      <c r="C448"/>
      <c r="D448"/>
      <c r="E448" t="s">
        <v>8</v>
      </c>
      <c r="L448" s="27" t="s">
        <v>7</v>
      </c>
      <c r="M448" s="27" t="s">
        <v>8</v>
      </c>
      <c r="R448" s="27" t="s">
        <v>7</v>
      </c>
      <c r="S448" s="27" t="s">
        <v>8</v>
      </c>
      <c r="T448" s="27" t="s">
        <v>7</v>
      </c>
      <c r="U448" s="27" t="s">
        <v>8</v>
      </c>
      <c r="X448" s="27" t="s">
        <v>7</v>
      </c>
      <c r="Y448" s="27" t="s">
        <v>8</v>
      </c>
      <c r="AG448" s="27" t="s">
        <v>8</v>
      </c>
      <c r="AH448" s="27" t="s">
        <v>7</v>
      </c>
      <c r="AI448" s="27" t="s">
        <v>8</v>
      </c>
      <c r="AJ448" s="27" t="s">
        <v>7</v>
      </c>
      <c r="AK448" s="27" t="s">
        <v>8</v>
      </c>
      <c r="AL448" s="27" t="s">
        <v>7</v>
      </c>
    </row>
    <row r="449" spans="1:156" x14ac:dyDescent="0.25">
      <c r="A449" s="7">
        <v>15.375303708145482</v>
      </c>
      <c r="B449"/>
      <c r="C449"/>
      <c r="D449"/>
      <c r="E449" t="s">
        <v>8</v>
      </c>
      <c r="L449" s="27" t="s">
        <v>7</v>
      </c>
      <c r="M449" s="27" t="s">
        <v>8</v>
      </c>
      <c r="R449" s="27" t="s">
        <v>7</v>
      </c>
      <c r="S449" s="27" t="s">
        <v>8</v>
      </c>
      <c r="T449" s="27" t="s">
        <v>7</v>
      </c>
      <c r="U449" s="27" t="s">
        <v>8</v>
      </c>
      <c r="X449" s="27" t="s">
        <v>7</v>
      </c>
      <c r="Y449" s="27" t="s">
        <v>8</v>
      </c>
      <c r="Z449" s="27" t="s">
        <v>7</v>
      </c>
      <c r="AG449" s="27" t="s">
        <v>8</v>
      </c>
      <c r="AH449" s="27" t="s">
        <v>7</v>
      </c>
      <c r="AI449" s="27" t="s">
        <v>8</v>
      </c>
      <c r="AJ449" s="27" t="s">
        <v>7</v>
      </c>
      <c r="AK449" s="27" t="s">
        <v>8</v>
      </c>
      <c r="AL449" s="27" t="s">
        <v>7</v>
      </c>
      <c r="AM449" s="27" t="s">
        <v>8</v>
      </c>
    </row>
    <row r="450" spans="1:156" x14ac:dyDescent="0.25">
      <c r="A450" s="7">
        <v>15.073827164848511</v>
      </c>
      <c r="B450"/>
      <c r="C450"/>
      <c r="D450"/>
      <c r="E450" t="s">
        <v>8</v>
      </c>
      <c r="L450" s="27" t="s">
        <v>7</v>
      </c>
      <c r="M450" s="27" t="s">
        <v>8</v>
      </c>
      <c r="R450" s="27" t="s">
        <v>7</v>
      </c>
      <c r="S450" s="27" t="s">
        <v>8</v>
      </c>
      <c r="T450" s="27" t="s">
        <v>7</v>
      </c>
      <c r="U450" s="27" t="s">
        <v>8</v>
      </c>
      <c r="X450" s="27" t="s">
        <v>7</v>
      </c>
      <c r="Y450" s="27" t="s">
        <v>8</v>
      </c>
      <c r="Z450" s="27" t="s">
        <v>7</v>
      </c>
      <c r="AG450" s="27" t="s">
        <v>8</v>
      </c>
      <c r="AH450" s="27" t="s">
        <v>7</v>
      </c>
      <c r="AI450" s="27" t="s">
        <v>8</v>
      </c>
      <c r="AJ450" s="27" t="s">
        <v>7</v>
      </c>
      <c r="AK450" s="27" t="s">
        <v>8</v>
      </c>
      <c r="AL450" s="27" t="s">
        <v>7</v>
      </c>
      <c r="AM450" s="27" t="s">
        <v>8</v>
      </c>
      <c r="AN450" s="27" t="s">
        <v>7</v>
      </c>
    </row>
    <row r="451" spans="1:156" x14ac:dyDescent="0.25">
      <c r="A451" s="7">
        <v>14.77826192632207</v>
      </c>
      <c r="B451"/>
      <c r="C451"/>
      <c r="D451"/>
      <c r="E451" t="s">
        <v>8</v>
      </c>
      <c r="L451" s="27" t="s">
        <v>7</v>
      </c>
      <c r="M451" s="27" t="s">
        <v>8</v>
      </c>
      <c r="R451" s="27" t="s">
        <v>7</v>
      </c>
      <c r="T451" s="27" t="s">
        <v>7</v>
      </c>
      <c r="U451" s="27" t="s">
        <v>8</v>
      </c>
      <c r="X451" s="27" t="s">
        <v>7</v>
      </c>
      <c r="Y451" s="27" t="s">
        <v>8</v>
      </c>
      <c r="Z451" s="27" t="s">
        <v>7</v>
      </c>
      <c r="AG451" s="27" t="s">
        <v>8</v>
      </c>
      <c r="AH451" s="27" t="s">
        <v>7</v>
      </c>
      <c r="AJ451" s="27" t="s">
        <v>7</v>
      </c>
      <c r="AK451" s="27" t="s">
        <v>8</v>
      </c>
      <c r="AL451" s="27" t="s">
        <v>7</v>
      </c>
      <c r="AM451" s="27" t="s">
        <v>8</v>
      </c>
      <c r="AN451" s="27" t="s">
        <v>7</v>
      </c>
    </row>
    <row r="452" spans="1:156" x14ac:dyDescent="0.25">
      <c r="A452" s="7">
        <v>14.488492084629481</v>
      </c>
      <c r="B452"/>
      <c r="C452"/>
      <c r="D452"/>
      <c r="E452" t="s">
        <v>8</v>
      </c>
      <c r="L452" s="27" t="s">
        <v>7</v>
      </c>
      <c r="T452" s="27" t="s">
        <v>7</v>
      </c>
      <c r="U452" s="27" t="s">
        <v>8</v>
      </c>
      <c r="X452" s="27" t="s">
        <v>7</v>
      </c>
      <c r="Z452" s="27" t="s">
        <v>7</v>
      </c>
      <c r="AA452" s="27" t="s">
        <v>8</v>
      </c>
      <c r="AG452" s="27" t="s">
        <v>8</v>
      </c>
      <c r="AJ452" s="27" t="s">
        <v>7</v>
      </c>
      <c r="AK452" s="27" t="s">
        <v>8</v>
      </c>
      <c r="AL452" s="27" t="s">
        <v>7</v>
      </c>
      <c r="AN452" s="27" t="s">
        <v>7</v>
      </c>
    </row>
    <row r="453" spans="1:156" x14ac:dyDescent="0.25">
      <c r="A453" s="7">
        <v>14.204404004538707</v>
      </c>
      <c r="B453"/>
      <c r="C453"/>
      <c r="D453"/>
      <c r="E453" t="s">
        <v>8</v>
      </c>
      <c r="T453" s="27" t="s">
        <v>7</v>
      </c>
      <c r="U453" s="27" t="s">
        <v>8</v>
      </c>
      <c r="Z453" s="27" t="s">
        <v>7</v>
      </c>
      <c r="AA453" s="27" t="s">
        <v>8</v>
      </c>
      <c r="AB453" s="27" t="s">
        <v>7</v>
      </c>
      <c r="AG453" s="27" t="s">
        <v>8</v>
      </c>
      <c r="AJ453" s="27" t="s">
        <v>7</v>
      </c>
      <c r="AN453" s="27" t="s">
        <v>7</v>
      </c>
      <c r="EY453" s="27" t="s">
        <v>8</v>
      </c>
    </row>
    <row r="454" spans="1:156" x14ac:dyDescent="0.25">
      <c r="A454" s="7">
        <v>13.925886278959517</v>
      </c>
      <c r="B454"/>
      <c r="C454"/>
      <c r="D454"/>
      <c r="E454" t="s">
        <v>8</v>
      </c>
      <c r="T454" s="27" t="s">
        <v>7</v>
      </c>
      <c r="U454" s="27" t="s">
        <v>8</v>
      </c>
      <c r="Z454" s="27" t="s">
        <v>7</v>
      </c>
      <c r="AA454" s="27" t="s">
        <v>8</v>
      </c>
      <c r="AB454" s="27" t="s">
        <v>7</v>
      </c>
      <c r="AG454" s="27" t="s">
        <v>8</v>
      </c>
      <c r="AN454" s="27" t="s">
        <v>7</v>
      </c>
      <c r="AO454" s="27" t="s">
        <v>8</v>
      </c>
      <c r="EW454" s="27" t="s">
        <v>8</v>
      </c>
      <c r="EY454" s="27" t="s">
        <v>8</v>
      </c>
      <c r="EZ454" s="27" t="s">
        <v>7</v>
      </c>
    </row>
    <row r="455" spans="1:156" x14ac:dyDescent="0.25">
      <c r="A455" s="7">
        <v>13.652829685254428</v>
      </c>
      <c r="B455"/>
      <c r="C455"/>
      <c r="D455"/>
      <c r="E455" t="s">
        <v>8</v>
      </c>
      <c r="T455" s="27" t="s">
        <v>7</v>
      </c>
      <c r="U455" s="27" t="s">
        <v>8</v>
      </c>
      <c r="Z455" s="27" t="s">
        <v>7</v>
      </c>
      <c r="AA455" s="27" t="s">
        <v>8</v>
      </c>
      <c r="AB455" s="27" t="s">
        <v>7</v>
      </c>
      <c r="AG455" s="27" t="s">
        <v>8</v>
      </c>
      <c r="AN455" s="27" t="s">
        <v>7</v>
      </c>
      <c r="AO455" s="27" t="s">
        <v>8</v>
      </c>
      <c r="AP455" s="27" t="s">
        <v>7</v>
      </c>
      <c r="EW455" s="27" t="s">
        <v>8</v>
      </c>
      <c r="EX455" s="27" t="s">
        <v>7</v>
      </c>
      <c r="EY455" s="27" t="s">
        <v>8</v>
      </c>
      <c r="EZ455" s="27" t="s">
        <v>7</v>
      </c>
    </row>
    <row r="456" spans="1:156" x14ac:dyDescent="0.25">
      <c r="A456" s="7">
        <v>13.385127142406303</v>
      </c>
      <c r="B456"/>
      <c r="C456"/>
      <c r="D456"/>
      <c r="E456" t="s">
        <v>8</v>
      </c>
      <c r="T456" s="27" t="s">
        <v>7</v>
      </c>
      <c r="U456" s="27" t="s">
        <v>8</v>
      </c>
      <c r="Z456" s="27" t="s">
        <v>7</v>
      </c>
      <c r="AA456" s="27" t="s">
        <v>8</v>
      </c>
      <c r="AB456" s="27" t="s">
        <v>7</v>
      </c>
      <c r="AG456" s="27" t="s">
        <v>8</v>
      </c>
      <c r="AN456" s="27" t="s">
        <v>7</v>
      </c>
      <c r="AO456" s="27" t="s">
        <v>8</v>
      </c>
      <c r="AP456" s="27" t="s">
        <v>7</v>
      </c>
      <c r="AQ456" s="27" t="s">
        <v>8</v>
      </c>
      <c r="CU456" s="27" t="s">
        <v>8</v>
      </c>
      <c r="EW456" s="27" t="s">
        <v>8</v>
      </c>
      <c r="EX456" s="27" t="s">
        <v>7</v>
      </c>
      <c r="EY456" s="27" t="s">
        <v>8</v>
      </c>
      <c r="EZ456" s="27" t="s">
        <v>7</v>
      </c>
    </row>
    <row r="457" spans="1:156" x14ac:dyDescent="0.25">
      <c r="A457" s="7">
        <v>13.122673669025787</v>
      </c>
      <c r="B457"/>
      <c r="C457"/>
      <c r="D457"/>
      <c r="E457" t="s">
        <v>8</v>
      </c>
      <c r="T457" s="27" t="s">
        <v>7</v>
      </c>
      <c r="Z457" s="27" t="s">
        <v>7</v>
      </c>
      <c r="AA457" s="27" t="s">
        <v>8</v>
      </c>
      <c r="AB457" s="27" t="s">
        <v>7</v>
      </c>
      <c r="AG457" s="27" t="s">
        <v>8</v>
      </c>
      <c r="AN457" s="27" t="s">
        <v>7</v>
      </c>
      <c r="AO457" s="27" t="s">
        <v>8</v>
      </c>
      <c r="AP457" s="27" t="s">
        <v>7</v>
      </c>
      <c r="AQ457" s="27" t="s">
        <v>8</v>
      </c>
      <c r="AR457" s="27" t="s">
        <v>7</v>
      </c>
      <c r="AS457" s="27" t="s">
        <v>8</v>
      </c>
      <c r="CU457" s="27" t="s">
        <v>8</v>
      </c>
      <c r="CV457" s="27" t="s">
        <v>7</v>
      </c>
      <c r="EW457" s="27" t="s">
        <v>8</v>
      </c>
      <c r="EX457" s="27" t="s">
        <v>7</v>
      </c>
      <c r="EY457" s="27" t="s">
        <v>8</v>
      </c>
      <c r="EZ457" s="27" t="s">
        <v>7</v>
      </c>
    </row>
    <row r="458" spans="1:156" x14ac:dyDescent="0.25">
      <c r="A458" s="7">
        <v>12.865366342182144</v>
      </c>
      <c r="B458"/>
      <c r="C458"/>
      <c r="D458"/>
      <c r="E458" t="s">
        <v>8</v>
      </c>
      <c r="Z458" s="27" t="s">
        <v>7</v>
      </c>
      <c r="AA458" s="27" t="s">
        <v>8</v>
      </c>
      <c r="AB458" s="27" t="s">
        <v>7</v>
      </c>
      <c r="AG458" s="27" t="s">
        <v>8</v>
      </c>
      <c r="AN458" s="27" t="s">
        <v>7</v>
      </c>
      <c r="AO458" s="27" t="s">
        <v>8</v>
      </c>
      <c r="AP458" s="27" t="s">
        <v>7</v>
      </c>
      <c r="AQ458" s="27" t="s">
        <v>8</v>
      </c>
      <c r="AR458" s="27" t="s">
        <v>7</v>
      </c>
      <c r="AS458" s="27" t="s">
        <v>8</v>
      </c>
      <c r="AT458" s="27" t="s">
        <v>7</v>
      </c>
      <c r="CU458" s="27" t="s">
        <v>8</v>
      </c>
      <c r="CV458" s="27" t="s">
        <v>7</v>
      </c>
      <c r="EW458" s="27" t="s">
        <v>8</v>
      </c>
      <c r="EX458" s="27" t="s">
        <v>7</v>
      </c>
      <c r="EY458" s="27" t="s">
        <v>8</v>
      </c>
      <c r="EZ458" s="27" t="s">
        <v>7</v>
      </c>
    </row>
    <row r="459" spans="1:156" x14ac:dyDescent="0.25">
      <c r="A459" s="7">
        <v>12.613104257041318</v>
      </c>
      <c r="B459"/>
      <c r="C459"/>
      <c r="D459"/>
      <c r="E459" t="s">
        <v>8</v>
      </c>
      <c r="Z459" s="27" t="s">
        <v>7</v>
      </c>
      <c r="AA459" s="27" t="s">
        <v>8</v>
      </c>
      <c r="AB459" s="27" t="s">
        <v>7</v>
      </c>
      <c r="AG459" s="27" t="s">
        <v>8</v>
      </c>
      <c r="AN459" s="27" t="s">
        <v>7</v>
      </c>
      <c r="AO459" s="27" t="s">
        <v>8</v>
      </c>
      <c r="AP459" s="27" t="s">
        <v>7</v>
      </c>
      <c r="AQ459" s="27" t="s">
        <v>8</v>
      </c>
      <c r="AR459" s="27" t="s">
        <v>7</v>
      </c>
      <c r="AS459" s="27" t="s">
        <v>8</v>
      </c>
      <c r="AT459" s="27" t="s">
        <v>7</v>
      </c>
      <c r="CQ459" s="27" t="s">
        <v>8</v>
      </c>
      <c r="CU459" s="27" t="s">
        <v>8</v>
      </c>
      <c r="CV459" s="27" t="s">
        <v>7</v>
      </c>
      <c r="EW459" s="27" t="s">
        <v>8</v>
      </c>
      <c r="EX459" s="27" t="s">
        <v>7</v>
      </c>
      <c r="EY459" s="27" t="s">
        <v>8</v>
      </c>
      <c r="EZ459" s="27" t="s">
        <v>7</v>
      </c>
    </row>
    <row r="460" spans="1:156" x14ac:dyDescent="0.25">
      <c r="A460" s="7">
        <v>12.36578848729541</v>
      </c>
      <c r="B460"/>
      <c r="C460"/>
      <c r="D460"/>
      <c r="E460" t="s">
        <v>8</v>
      </c>
      <c r="Z460" s="27" t="s">
        <v>7</v>
      </c>
      <c r="AA460" s="27" t="s">
        <v>8</v>
      </c>
      <c r="AB460" s="27" t="s">
        <v>7</v>
      </c>
      <c r="AC460" s="27" t="s">
        <v>8</v>
      </c>
      <c r="AE460" s="27" t="s">
        <v>8</v>
      </c>
      <c r="AG460" s="27" t="s">
        <v>8</v>
      </c>
      <c r="AN460" s="27" t="s">
        <v>7</v>
      </c>
      <c r="AP460" s="27" t="s">
        <v>7</v>
      </c>
      <c r="AQ460" s="27" t="s">
        <v>8</v>
      </c>
      <c r="AR460" s="27" t="s">
        <v>7</v>
      </c>
      <c r="AS460" s="27" t="s">
        <v>8</v>
      </c>
      <c r="AT460" s="27" t="s">
        <v>7</v>
      </c>
      <c r="CQ460" s="27" t="s">
        <v>8</v>
      </c>
      <c r="CR460" s="27" t="s">
        <v>7</v>
      </c>
      <c r="CU460" s="27" t="s">
        <v>8</v>
      </c>
      <c r="CV460" s="27" t="s">
        <v>7</v>
      </c>
      <c r="EW460" s="27" t="s">
        <v>8</v>
      </c>
      <c r="EX460" s="27" t="s">
        <v>7</v>
      </c>
      <c r="EY460" s="27" t="s">
        <v>8</v>
      </c>
      <c r="EZ460" s="27" t="s">
        <v>7</v>
      </c>
    </row>
    <row r="461" spans="1:156" x14ac:dyDescent="0.25">
      <c r="A461" s="7">
        <v>12.123322046368049</v>
      </c>
      <c r="B461"/>
      <c r="C461"/>
      <c r="D461"/>
      <c r="E461" t="s">
        <v>8</v>
      </c>
      <c r="Z461" s="27" t="s">
        <v>7</v>
      </c>
      <c r="AB461" s="27" t="s">
        <v>7</v>
      </c>
      <c r="AC461" s="27" t="s">
        <v>8</v>
      </c>
      <c r="AD461" s="27" t="s">
        <v>7</v>
      </c>
      <c r="AE461" s="27" t="s">
        <v>8</v>
      </c>
      <c r="AF461" s="27" t="s">
        <v>7</v>
      </c>
      <c r="AG461" s="27" t="s">
        <v>8</v>
      </c>
      <c r="AP461" s="27" t="s">
        <v>7</v>
      </c>
      <c r="AQ461" s="27" t="s">
        <v>8</v>
      </c>
      <c r="AR461" s="27" t="s">
        <v>7</v>
      </c>
      <c r="AS461" s="27" t="s">
        <v>8</v>
      </c>
      <c r="AT461" s="27" t="s">
        <v>7</v>
      </c>
      <c r="CG461" s="27" t="s">
        <v>8</v>
      </c>
      <c r="CI461" s="27" t="s">
        <v>8</v>
      </c>
      <c r="CQ461" s="27" t="s">
        <v>8</v>
      </c>
      <c r="CR461" s="27" t="s">
        <v>7</v>
      </c>
      <c r="CU461" s="27" t="s">
        <v>8</v>
      </c>
      <c r="CV461" s="27" t="s">
        <v>7</v>
      </c>
      <c r="DA461" s="27" t="s">
        <v>8</v>
      </c>
      <c r="EW461" s="27" t="s">
        <v>8</v>
      </c>
      <c r="EX461" s="27" t="s">
        <v>7</v>
      </c>
      <c r="EY461" s="27" t="s">
        <v>8</v>
      </c>
      <c r="EZ461" s="27" t="s">
        <v>7</v>
      </c>
    </row>
    <row r="462" spans="1:156" x14ac:dyDescent="0.25">
      <c r="A462" s="7">
        <v>11.88560984938044</v>
      </c>
      <c r="B462"/>
      <c r="C462"/>
      <c r="D462"/>
      <c r="E462" t="s">
        <v>8</v>
      </c>
      <c r="AB462" s="27" t="s">
        <v>7</v>
      </c>
      <c r="AC462" s="27" t="s">
        <v>8</v>
      </c>
      <c r="AD462" s="27" t="s">
        <v>7</v>
      </c>
      <c r="AE462" s="27" t="s">
        <v>8</v>
      </c>
      <c r="AF462" s="27" t="s">
        <v>7</v>
      </c>
      <c r="AG462" s="27" t="s">
        <v>8</v>
      </c>
      <c r="AP462" s="27" t="s">
        <v>7</v>
      </c>
      <c r="AQ462" s="27" t="s">
        <v>8</v>
      </c>
      <c r="AR462" s="27" t="s">
        <v>7</v>
      </c>
      <c r="AS462" s="27" t="s">
        <v>8</v>
      </c>
      <c r="AT462" s="27" t="s">
        <v>7</v>
      </c>
      <c r="CG462" s="27" t="s">
        <v>8</v>
      </c>
      <c r="CH462" s="27" t="s">
        <v>7</v>
      </c>
      <c r="CI462" s="27" t="s">
        <v>8</v>
      </c>
      <c r="CJ462" s="27" t="s">
        <v>7</v>
      </c>
      <c r="CQ462" s="27" t="s">
        <v>8</v>
      </c>
      <c r="CR462" s="27" t="s">
        <v>7</v>
      </c>
      <c r="CS462" s="27" t="s">
        <v>8</v>
      </c>
      <c r="CU462" s="27" t="s">
        <v>8</v>
      </c>
      <c r="CV462" s="27" t="s">
        <v>7</v>
      </c>
      <c r="CW462" s="27" t="s">
        <v>8</v>
      </c>
      <c r="DA462" s="27" t="s">
        <v>8</v>
      </c>
      <c r="DB462" s="27" t="s">
        <v>7</v>
      </c>
      <c r="EW462" s="27" t="s">
        <v>8</v>
      </c>
      <c r="EX462" s="27" t="s">
        <v>7</v>
      </c>
      <c r="EY462" s="27" t="s">
        <v>8</v>
      </c>
      <c r="EZ462" s="27" t="s">
        <v>7</v>
      </c>
    </row>
    <row r="463" spans="1:156" x14ac:dyDescent="0.25">
      <c r="A463" s="7">
        <v>11.652558675863176</v>
      </c>
      <c r="B463"/>
      <c r="C463"/>
      <c r="D463"/>
      <c r="E463" t="s">
        <v>8</v>
      </c>
      <c r="AB463" s="27" t="s">
        <v>7</v>
      </c>
      <c r="AC463" s="27" t="s">
        <v>8</v>
      </c>
      <c r="AD463" s="27" t="s">
        <v>7</v>
      </c>
      <c r="AE463" s="27" t="s">
        <v>8</v>
      </c>
      <c r="AF463" s="27" t="s">
        <v>7</v>
      </c>
      <c r="AG463" s="27" t="s">
        <v>8</v>
      </c>
      <c r="AP463" s="27" t="s">
        <v>7</v>
      </c>
      <c r="AQ463" s="27" t="s">
        <v>8</v>
      </c>
      <c r="AR463" s="27" t="s">
        <v>7</v>
      </c>
      <c r="AS463" s="27" t="s">
        <v>8</v>
      </c>
      <c r="AT463" s="27" t="s">
        <v>7</v>
      </c>
      <c r="CE463" s="27" t="s">
        <v>8</v>
      </c>
      <c r="CG463" s="27" t="s">
        <v>8</v>
      </c>
      <c r="CH463" s="27" t="s">
        <v>7</v>
      </c>
      <c r="CI463" s="27" t="s">
        <v>8</v>
      </c>
      <c r="CJ463" s="27" t="s">
        <v>7</v>
      </c>
      <c r="CQ463" s="27" t="s">
        <v>8</v>
      </c>
      <c r="CR463" s="27" t="s">
        <v>7</v>
      </c>
      <c r="CS463" s="27" t="s">
        <v>8</v>
      </c>
      <c r="CT463" s="27" t="s">
        <v>7</v>
      </c>
      <c r="CU463" s="27" t="s">
        <v>8</v>
      </c>
      <c r="CV463" s="27" t="s">
        <v>7</v>
      </c>
      <c r="CW463" s="27" t="s">
        <v>8</v>
      </c>
      <c r="CX463" s="27" t="s">
        <v>7</v>
      </c>
      <c r="DA463" s="27" t="s">
        <v>8</v>
      </c>
      <c r="DB463" s="27" t="s">
        <v>7</v>
      </c>
      <c r="EW463" s="27" t="s">
        <v>8</v>
      </c>
      <c r="EX463" s="27" t="s">
        <v>7</v>
      </c>
      <c r="EY463" s="27" t="s">
        <v>8</v>
      </c>
      <c r="EZ463" s="27" t="s">
        <v>7</v>
      </c>
    </row>
    <row r="464" spans="1:156" x14ac:dyDescent="0.25">
      <c r="A464" s="7">
        <v>11.424077133199193</v>
      </c>
      <c r="B464"/>
      <c r="C464"/>
      <c r="D464"/>
      <c r="E464" t="s">
        <v>8</v>
      </c>
      <c r="AB464" s="27" t="s">
        <v>7</v>
      </c>
      <c r="AC464" s="27" t="s">
        <v>8</v>
      </c>
      <c r="AD464" s="27" t="s">
        <v>7</v>
      </c>
      <c r="AE464" s="27" t="s">
        <v>8</v>
      </c>
      <c r="AF464" s="27" t="s">
        <v>7</v>
      </c>
      <c r="AG464" s="27" t="s">
        <v>8</v>
      </c>
      <c r="AP464" s="27" t="s">
        <v>7</v>
      </c>
      <c r="AQ464" s="27" t="s">
        <v>8</v>
      </c>
      <c r="AR464" s="27" t="s">
        <v>7</v>
      </c>
      <c r="AS464" s="27" t="s">
        <v>8</v>
      </c>
      <c r="AT464" s="27" t="s">
        <v>7</v>
      </c>
      <c r="CC464" s="27" t="s">
        <v>8</v>
      </c>
      <c r="CE464" s="27" t="s">
        <v>8</v>
      </c>
      <c r="CF464" s="27" t="s">
        <v>7</v>
      </c>
      <c r="CG464" s="27" t="s">
        <v>8</v>
      </c>
      <c r="CH464" s="27" t="s">
        <v>7</v>
      </c>
      <c r="CI464" s="27" t="s">
        <v>8</v>
      </c>
      <c r="CJ464" s="27" t="s">
        <v>7</v>
      </c>
      <c r="CQ464" s="27" t="s">
        <v>8</v>
      </c>
      <c r="CR464" s="27" t="s">
        <v>7</v>
      </c>
      <c r="CS464" s="27" t="s">
        <v>8</v>
      </c>
      <c r="CT464" s="27" t="s">
        <v>7</v>
      </c>
      <c r="CU464" s="27" t="s">
        <v>8</v>
      </c>
      <c r="CV464" s="27" t="s">
        <v>7</v>
      </c>
      <c r="CW464" s="27" t="s">
        <v>8</v>
      </c>
      <c r="CX464" s="27" t="s">
        <v>7</v>
      </c>
      <c r="CY464" s="27" t="s">
        <v>8</v>
      </c>
      <c r="DA464" s="27" t="s">
        <v>8</v>
      </c>
      <c r="DB464" s="27" t="s">
        <v>7</v>
      </c>
      <c r="EW464" s="27" t="s">
        <v>8</v>
      </c>
      <c r="EX464" s="27" t="s">
        <v>7</v>
      </c>
      <c r="EY464" s="27" t="s">
        <v>8</v>
      </c>
      <c r="EZ464" s="27" t="s">
        <v>7</v>
      </c>
    </row>
    <row r="465" spans="1:160" x14ac:dyDescent="0.25">
      <c r="A465" s="7">
        <v>11.200075620783522</v>
      </c>
      <c r="B465"/>
      <c r="C465"/>
      <c r="D465"/>
      <c r="E465" t="s">
        <v>8</v>
      </c>
      <c r="AB465" s="27" t="s">
        <v>7</v>
      </c>
      <c r="AC465" s="27" t="s">
        <v>8</v>
      </c>
      <c r="AD465" s="27" t="s">
        <v>7</v>
      </c>
      <c r="AE465" s="27" t="s">
        <v>8</v>
      </c>
      <c r="AF465" s="27" t="s">
        <v>7</v>
      </c>
      <c r="AG465" s="27" t="s">
        <v>8</v>
      </c>
      <c r="AP465" s="27" t="s">
        <v>7</v>
      </c>
      <c r="AQ465" s="27" t="s">
        <v>8</v>
      </c>
      <c r="AR465" s="27" t="s">
        <v>7</v>
      </c>
      <c r="AS465" s="27" t="s">
        <v>8</v>
      </c>
      <c r="AT465" s="27" t="s">
        <v>7</v>
      </c>
      <c r="CC465" s="27" t="s">
        <v>8</v>
      </c>
      <c r="CD465" s="27" t="s">
        <v>7</v>
      </c>
      <c r="CE465" s="27" t="s">
        <v>8</v>
      </c>
      <c r="CF465" s="27" t="s">
        <v>7</v>
      </c>
      <c r="CG465" s="27" t="s">
        <v>8</v>
      </c>
      <c r="CH465" s="27" t="s">
        <v>7</v>
      </c>
      <c r="CI465" s="27" t="s">
        <v>8</v>
      </c>
      <c r="CJ465" s="27" t="s">
        <v>7</v>
      </c>
      <c r="CM465" s="27" t="s">
        <v>8</v>
      </c>
      <c r="CQ465" s="27" t="s">
        <v>8</v>
      </c>
      <c r="CR465" s="27" t="s">
        <v>7</v>
      </c>
      <c r="CS465" s="27" t="s">
        <v>8</v>
      </c>
      <c r="CT465" s="27" t="s">
        <v>7</v>
      </c>
      <c r="CU465" s="27" t="s">
        <v>8</v>
      </c>
      <c r="CV465" s="27" t="s">
        <v>7</v>
      </c>
      <c r="CX465" s="27" t="s">
        <v>7</v>
      </c>
      <c r="CY465" s="27" t="s">
        <v>8</v>
      </c>
      <c r="CZ465" s="27" t="s">
        <v>7</v>
      </c>
      <c r="DA465" s="27" t="s">
        <v>8</v>
      </c>
      <c r="DB465" s="27" t="s">
        <v>7</v>
      </c>
      <c r="EW465" s="27" t="s">
        <v>8</v>
      </c>
      <c r="EX465" s="27" t="s">
        <v>7</v>
      </c>
      <c r="EY465" s="27" t="s">
        <v>8</v>
      </c>
      <c r="EZ465" s="27" t="s">
        <v>7</v>
      </c>
    </row>
    <row r="466" spans="1:160" x14ac:dyDescent="0.25">
      <c r="A466" s="7">
        <v>10.980466294885806</v>
      </c>
      <c r="B466"/>
      <c r="C466"/>
      <c r="D466"/>
      <c r="E466" t="s">
        <v>8</v>
      </c>
      <c r="AB466" s="27" t="s">
        <v>7</v>
      </c>
      <c r="AD466" s="27" t="s">
        <v>7</v>
      </c>
      <c r="AE466" s="27" t="s">
        <v>8</v>
      </c>
      <c r="AF466" s="27" t="s">
        <v>7</v>
      </c>
      <c r="AG466" s="27" t="s">
        <v>8</v>
      </c>
      <c r="AP466" s="27" t="s">
        <v>7</v>
      </c>
      <c r="AQ466" s="27" t="s">
        <v>8</v>
      </c>
      <c r="AR466" s="27" t="s">
        <v>7</v>
      </c>
      <c r="AS466" s="27" t="s">
        <v>8</v>
      </c>
      <c r="AT466" s="27" t="s">
        <v>7</v>
      </c>
      <c r="CA466" s="27" t="s">
        <v>8</v>
      </c>
      <c r="CC466" s="27" t="s">
        <v>8</v>
      </c>
      <c r="CD466" s="27" t="s">
        <v>7</v>
      </c>
      <c r="CE466" s="27" t="s">
        <v>8</v>
      </c>
      <c r="CF466" s="27" t="s">
        <v>7</v>
      </c>
      <c r="CG466" s="27" t="s">
        <v>8</v>
      </c>
      <c r="CH466" s="27" t="s">
        <v>7</v>
      </c>
      <c r="CI466" s="27" t="s">
        <v>8</v>
      </c>
      <c r="CJ466" s="27" t="s">
        <v>7</v>
      </c>
      <c r="CK466" s="27" t="s">
        <v>8</v>
      </c>
      <c r="CM466" s="27" t="s">
        <v>8</v>
      </c>
      <c r="CN466" s="27" t="s">
        <v>7</v>
      </c>
      <c r="CQ466" s="27" t="s">
        <v>8</v>
      </c>
      <c r="CR466" s="27" t="s">
        <v>7</v>
      </c>
      <c r="CS466" s="27" t="s">
        <v>8</v>
      </c>
      <c r="CT466" s="27" t="s">
        <v>7</v>
      </c>
      <c r="CU466" s="27" t="s">
        <v>8</v>
      </c>
      <c r="CX466" s="27" t="s">
        <v>7</v>
      </c>
      <c r="CY466" s="27" t="s">
        <v>8</v>
      </c>
      <c r="CZ466" s="27" t="s">
        <v>7</v>
      </c>
      <c r="DA466" s="27" t="s">
        <v>8</v>
      </c>
      <c r="DB466" s="27" t="s">
        <v>7</v>
      </c>
      <c r="EW466" s="27" t="s">
        <v>8</v>
      </c>
      <c r="EX466" s="27" t="s">
        <v>7</v>
      </c>
      <c r="EY466" s="27" t="s">
        <v>8</v>
      </c>
      <c r="EZ466" s="27" t="s">
        <v>7</v>
      </c>
    </row>
    <row r="467" spans="1:160" x14ac:dyDescent="0.25">
      <c r="A467" s="7">
        <v>10.765163034201771</v>
      </c>
      <c r="B467"/>
      <c r="C467"/>
      <c r="D467"/>
      <c r="E467" t="s">
        <v>8</v>
      </c>
      <c r="AD467" s="27" t="s">
        <v>7</v>
      </c>
      <c r="AE467" s="27" t="s">
        <v>8</v>
      </c>
      <c r="AF467" s="27" t="s">
        <v>7</v>
      </c>
      <c r="AG467" s="27" t="s">
        <v>8</v>
      </c>
      <c r="AP467" s="27" t="s">
        <v>7</v>
      </c>
      <c r="AQ467" s="27" t="s">
        <v>8</v>
      </c>
      <c r="AR467" s="27" t="s">
        <v>7</v>
      </c>
      <c r="AS467" s="27" t="s">
        <v>8</v>
      </c>
      <c r="AT467" s="27" t="s">
        <v>7</v>
      </c>
      <c r="CA467" s="27" t="s">
        <v>8</v>
      </c>
      <c r="CB467" s="27" t="s">
        <v>7</v>
      </c>
      <c r="CC467" s="27" t="s">
        <v>8</v>
      </c>
      <c r="CD467" s="27" t="s">
        <v>7</v>
      </c>
      <c r="CE467" s="27" t="s">
        <v>8</v>
      </c>
      <c r="CF467" s="27" t="s">
        <v>7</v>
      </c>
      <c r="CG467" s="27" t="s">
        <v>8</v>
      </c>
      <c r="CH467" s="27" t="s">
        <v>7</v>
      </c>
      <c r="CI467" s="27" t="s">
        <v>8</v>
      </c>
      <c r="CJ467" s="27" t="s">
        <v>7</v>
      </c>
      <c r="CK467" s="27" t="s">
        <v>8</v>
      </c>
      <c r="CL467" s="27" t="s">
        <v>7</v>
      </c>
      <c r="CM467" s="27" t="s">
        <v>8</v>
      </c>
      <c r="CN467" s="27" t="s">
        <v>7</v>
      </c>
      <c r="CQ467" s="27" t="s">
        <v>8</v>
      </c>
      <c r="CR467" s="27" t="s">
        <v>7</v>
      </c>
      <c r="CS467" s="27" t="s">
        <v>8</v>
      </c>
      <c r="CT467" s="27" t="s">
        <v>7</v>
      </c>
      <c r="CU467" s="27" t="s">
        <v>8</v>
      </c>
      <c r="CX467" s="27" t="s">
        <v>7</v>
      </c>
      <c r="CZ467" s="27" t="s">
        <v>7</v>
      </c>
      <c r="DB467" s="27" t="s">
        <v>7</v>
      </c>
      <c r="EK467" s="27" t="s">
        <v>8</v>
      </c>
      <c r="EW467" s="27" t="s">
        <v>8</v>
      </c>
      <c r="EX467" s="27" t="s">
        <v>7</v>
      </c>
      <c r="EY467" s="27" t="s">
        <v>8</v>
      </c>
      <c r="EZ467" s="27" t="s">
        <v>7</v>
      </c>
      <c r="FA467" s="27" t="s">
        <v>8</v>
      </c>
      <c r="FC467" s="27" t="s">
        <v>8</v>
      </c>
    </row>
    <row r="468" spans="1:160" x14ac:dyDescent="0.25">
      <c r="A468" s="7">
        <v>10.554081406080169</v>
      </c>
      <c r="B468"/>
      <c r="C468"/>
      <c r="D468"/>
      <c r="E468" t="s">
        <v>8</v>
      </c>
      <c r="AD468" s="27" t="s">
        <v>7</v>
      </c>
      <c r="AE468" s="27" t="s">
        <v>8</v>
      </c>
      <c r="AF468" s="27" t="s">
        <v>7</v>
      </c>
      <c r="AG468" s="27" t="s">
        <v>8</v>
      </c>
      <c r="AP468" s="27" t="s">
        <v>7</v>
      </c>
      <c r="AQ468" s="27" t="s">
        <v>8</v>
      </c>
      <c r="AR468" s="27" t="s">
        <v>7</v>
      </c>
      <c r="AS468" s="27" t="s">
        <v>8</v>
      </c>
      <c r="AT468" s="27" t="s">
        <v>7</v>
      </c>
      <c r="CA468" s="27" t="s">
        <v>8</v>
      </c>
      <c r="CB468" s="27" t="s">
        <v>7</v>
      </c>
      <c r="CC468" s="27" t="s">
        <v>8</v>
      </c>
      <c r="CD468" s="27" t="s">
        <v>7</v>
      </c>
      <c r="CE468" s="27" t="s">
        <v>8</v>
      </c>
      <c r="CF468" s="27" t="s">
        <v>7</v>
      </c>
      <c r="CG468" s="27" t="s">
        <v>8</v>
      </c>
      <c r="CH468" s="27" t="s">
        <v>7</v>
      </c>
      <c r="CJ468" s="27" t="s">
        <v>7</v>
      </c>
      <c r="CK468" s="27" t="s">
        <v>8</v>
      </c>
      <c r="CL468" s="27" t="s">
        <v>7</v>
      </c>
      <c r="CM468" s="27" t="s">
        <v>8</v>
      </c>
      <c r="CN468" s="27" t="s">
        <v>7</v>
      </c>
      <c r="CO468" s="27" t="s">
        <v>8</v>
      </c>
      <c r="CQ468" s="27" t="s">
        <v>8</v>
      </c>
      <c r="CR468" s="27" t="s">
        <v>7</v>
      </c>
      <c r="CS468" s="27" t="s">
        <v>8</v>
      </c>
      <c r="CT468" s="27" t="s">
        <v>7</v>
      </c>
      <c r="CU468" s="27" t="s">
        <v>8</v>
      </c>
      <c r="DB468" s="27" t="s">
        <v>7</v>
      </c>
      <c r="EK468" s="27" t="s">
        <v>8</v>
      </c>
      <c r="EL468" s="27" t="s">
        <v>7</v>
      </c>
      <c r="EW468" s="27" t="s">
        <v>8</v>
      </c>
      <c r="EX468" s="27" t="s">
        <v>7</v>
      </c>
      <c r="EY468" s="27" t="s">
        <v>8</v>
      </c>
      <c r="EZ468" s="27" t="s">
        <v>7</v>
      </c>
      <c r="FA468" s="27" t="s">
        <v>8</v>
      </c>
      <c r="FB468" s="27" t="s">
        <v>7</v>
      </c>
      <c r="FC468" s="27" t="s">
        <v>8</v>
      </c>
      <c r="FD468" s="27" t="s">
        <v>7</v>
      </c>
    </row>
    <row r="469" spans="1:160" x14ac:dyDescent="0.25">
      <c r="A469" s="7">
        <v>10.34713863341193</v>
      </c>
      <c r="B469"/>
      <c r="C469"/>
      <c r="D469"/>
      <c r="E469" t="s">
        <v>8</v>
      </c>
      <c r="AD469" s="27" t="s">
        <v>7</v>
      </c>
      <c r="AE469" s="27" t="s">
        <v>8</v>
      </c>
      <c r="AF469" s="27" t="s">
        <v>7</v>
      </c>
      <c r="AG469" s="27" t="s">
        <v>8</v>
      </c>
      <c r="AP469" s="27" t="s">
        <v>7</v>
      </c>
      <c r="AQ469" s="27" t="s">
        <v>8</v>
      </c>
      <c r="AR469" s="27" t="s">
        <v>7</v>
      </c>
      <c r="AT469" s="27" t="s">
        <v>7</v>
      </c>
      <c r="CA469" s="27" t="s">
        <v>8</v>
      </c>
      <c r="CB469" s="27" t="s">
        <v>7</v>
      </c>
      <c r="CC469" s="27" t="s">
        <v>8</v>
      </c>
      <c r="CD469" s="27" t="s">
        <v>7</v>
      </c>
      <c r="CE469" s="27" t="s">
        <v>8</v>
      </c>
      <c r="CF469" s="27" t="s">
        <v>7</v>
      </c>
      <c r="CG469" s="27" t="s">
        <v>8</v>
      </c>
      <c r="CJ469" s="27" t="s">
        <v>7</v>
      </c>
      <c r="CL469" s="27" t="s">
        <v>7</v>
      </c>
      <c r="CM469" s="27" t="s">
        <v>8</v>
      </c>
      <c r="CN469" s="27" t="s">
        <v>7</v>
      </c>
      <c r="CO469" s="27" t="s">
        <v>8</v>
      </c>
      <c r="CP469" s="27" t="s">
        <v>7</v>
      </c>
      <c r="CQ469" s="27" t="s">
        <v>8</v>
      </c>
      <c r="CR469" s="27" t="s">
        <v>7</v>
      </c>
      <c r="CS469" s="27" t="s">
        <v>8</v>
      </c>
      <c r="CT469" s="27" t="s">
        <v>7</v>
      </c>
      <c r="CU469" s="27" t="s">
        <v>8</v>
      </c>
      <c r="DB469" s="27" t="s">
        <v>7</v>
      </c>
      <c r="DI469" s="27" t="s">
        <v>8</v>
      </c>
      <c r="EK469" s="27" t="s">
        <v>8</v>
      </c>
      <c r="EL469" s="27" t="s">
        <v>7</v>
      </c>
      <c r="EM469" s="27" t="s">
        <v>8</v>
      </c>
      <c r="EQ469" s="27" t="s">
        <v>8</v>
      </c>
      <c r="EW469" s="27" t="s">
        <v>8</v>
      </c>
      <c r="EX469" s="27" t="s">
        <v>7</v>
      </c>
      <c r="EY469" s="27" t="s">
        <v>8</v>
      </c>
      <c r="EZ469" s="27" t="s">
        <v>7</v>
      </c>
      <c r="FA469" s="27" t="s">
        <v>8</v>
      </c>
      <c r="FB469" s="27" t="s">
        <v>7</v>
      </c>
      <c r="FC469" s="27" t="s">
        <v>8</v>
      </c>
      <c r="FD469" s="27" t="s">
        <v>7</v>
      </c>
    </row>
    <row r="470" spans="1:160" x14ac:dyDescent="0.25">
      <c r="A470" s="7">
        <v>10.14425356216856</v>
      </c>
      <c r="B470"/>
      <c r="C470"/>
      <c r="D470"/>
      <c r="E470" t="s">
        <v>8</v>
      </c>
      <c r="AD470" s="27" t="s">
        <v>7</v>
      </c>
      <c r="AE470" s="27" t="s">
        <v>8</v>
      </c>
      <c r="AF470" s="27" t="s">
        <v>7</v>
      </c>
      <c r="AG470" s="27" t="s">
        <v>8</v>
      </c>
      <c r="AP470" s="27" t="s">
        <v>7</v>
      </c>
      <c r="AQ470" s="27" t="s">
        <v>8</v>
      </c>
      <c r="AT470" s="27" t="s">
        <v>7</v>
      </c>
      <c r="CA470" s="27" t="s">
        <v>8</v>
      </c>
      <c r="CB470" s="27" t="s">
        <v>7</v>
      </c>
      <c r="CC470" s="27" t="s">
        <v>8</v>
      </c>
      <c r="CD470" s="27" t="s">
        <v>7</v>
      </c>
      <c r="CE470" s="27" t="s">
        <v>8</v>
      </c>
      <c r="CF470" s="27" t="s">
        <v>7</v>
      </c>
      <c r="CG470" s="27" t="s">
        <v>8</v>
      </c>
      <c r="CL470" s="27" t="s">
        <v>7</v>
      </c>
      <c r="CM470" s="27" t="s">
        <v>8</v>
      </c>
      <c r="CN470" s="27" t="s">
        <v>7</v>
      </c>
      <c r="CO470" s="27" t="s">
        <v>8</v>
      </c>
      <c r="CP470" s="27" t="s">
        <v>7</v>
      </c>
      <c r="CQ470" s="27" t="s">
        <v>8</v>
      </c>
      <c r="CR470" s="27" t="s">
        <v>7</v>
      </c>
      <c r="CS470" s="27" t="s">
        <v>8</v>
      </c>
      <c r="CT470" s="27" t="s">
        <v>7</v>
      </c>
      <c r="CU470" s="27" t="s">
        <v>8</v>
      </c>
      <c r="DB470" s="27" t="s">
        <v>7</v>
      </c>
      <c r="DI470" s="27" t="s">
        <v>8</v>
      </c>
      <c r="DJ470" s="27" t="s">
        <v>7</v>
      </c>
      <c r="EK470" s="27" t="s">
        <v>8</v>
      </c>
      <c r="EL470" s="27" t="s">
        <v>7</v>
      </c>
      <c r="EM470" s="27" t="s">
        <v>8</v>
      </c>
      <c r="EN470" s="27" t="s">
        <v>7</v>
      </c>
      <c r="EQ470" s="27" t="s">
        <v>8</v>
      </c>
      <c r="ER470" s="27" t="s">
        <v>7</v>
      </c>
      <c r="EW470" s="27" t="s">
        <v>8</v>
      </c>
      <c r="EX470" s="27" t="s">
        <v>7</v>
      </c>
      <c r="EY470" s="27" t="s">
        <v>8</v>
      </c>
      <c r="EZ470" s="27" t="s">
        <v>7</v>
      </c>
      <c r="FA470" s="27" t="s">
        <v>8</v>
      </c>
      <c r="FB470" s="27" t="s">
        <v>7</v>
      </c>
      <c r="FC470" s="27" t="s">
        <v>8</v>
      </c>
      <c r="FD470" s="27" t="s">
        <v>7</v>
      </c>
    </row>
    <row r="471" spans="1:160" x14ac:dyDescent="0.25">
      <c r="A471" s="7">
        <v>9.9453466295770188</v>
      </c>
      <c r="B471"/>
      <c r="C471"/>
      <c r="D471"/>
      <c r="E471" t="s">
        <v>8</v>
      </c>
      <c r="AD471" s="27" t="s">
        <v>7</v>
      </c>
      <c r="AE471" s="27" t="s">
        <v>8</v>
      </c>
      <c r="AF471" s="27" t="s">
        <v>7</v>
      </c>
      <c r="AG471" s="27" t="s">
        <v>8</v>
      </c>
      <c r="AP471" s="27" t="s">
        <v>7</v>
      </c>
      <c r="AQ471" s="27" t="s">
        <v>8</v>
      </c>
      <c r="AT471" s="27" t="s">
        <v>7</v>
      </c>
      <c r="CA471" s="27" t="s">
        <v>8</v>
      </c>
      <c r="CB471" s="27" t="s">
        <v>7</v>
      </c>
      <c r="CC471" s="27" t="s">
        <v>8</v>
      </c>
      <c r="CD471" s="27" t="s">
        <v>7</v>
      </c>
      <c r="CE471" s="27" t="s">
        <v>8</v>
      </c>
      <c r="CF471" s="27" t="s">
        <v>7</v>
      </c>
      <c r="CG471" s="27" t="s">
        <v>8</v>
      </c>
      <c r="CL471" s="27" t="s">
        <v>7</v>
      </c>
      <c r="CM471" s="27" t="s">
        <v>8</v>
      </c>
      <c r="CN471" s="27" t="s">
        <v>7</v>
      </c>
      <c r="CO471" s="27" t="s">
        <v>8</v>
      </c>
      <c r="CP471" s="27" t="s">
        <v>7</v>
      </c>
      <c r="CQ471" s="27" t="s">
        <v>8</v>
      </c>
      <c r="CR471" s="27" t="s">
        <v>7</v>
      </c>
      <c r="CS471" s="27" t="s">
        <v>8</v>
      </c>
      <c r="CT471" s="27" t="s">
        <v>7</v>
      </c>
      <c r="CU471" s="27" t="s">
        <v>8</v>
      </c>
      <c r="DB471" s="27" t="s">
        <v>7</v>
      </c>
      <c r="DI471" s="27" t="s">
        <v>8</v>
      </c>
      <c r="DJ471" s="27" t="s">
        <v>7</v>
      </c>
      <c r="EA471" s="27" t="s">
        <v>8</v>
      </c>
      <c r="EK471" s="27" t="s">
        <v>8</v>
      </c>
      <c r="EL471" s="27" t="s">
        <v>7</v>
      </c>
      <c r="EM471" s="27" t="s">
        <v>8</v>
      </c>
      <c r="EN471" s="27" t="s">
        <v>7</v>
      </c>
      <c r="EO471" s="27" t="s">
        <v>8</v>
      </c>
      <c r="EQ471" s="27" t="s">
        <v>8</v>
      </c>
      <c r="ER471" s="27" t="s">
        <v>7</v>
      </c>
      <c r="EW471" s="27" t="s">
        <v>8</v>
      </c>
      <c r="EX471" s="27" t="s">
        <v>7</v>
      </c>
      <c r="EY471" s="27" t="s">
        <v>8</v>
      </c>
      <c r="EZ471" s="27" t="s">
        <v>7</v>
      </c>
      <c r="FA471" s="27" t="s">
        <v>8</v>
      </c>
      <c r="FB471" s="27" t="s">
        <v>7</v>
      </c>
      <c r="FC471" s="27" t="s">
        <v>8</v>
      </c>
      <c r="FD471" s="27" t="s">
        <v>7</v>
      </c>
    </row>
    <row r="472" spans="1:160" x14ac:dyDescent="0.25">
      <c r="A472" s="7">
        <v>9.7503398329186464</v>
      </c>
      <c r="B472"/>
      <c r="C472"/>
      <c r="D472"/>
      <c r="E472" t="s">
        <v>8</v>
      </c>
      <c r="AD472" s="27" t="s">
        <v>7</v>
      </c>
      <c r="AE472" s="27" t="s">
        <v>8</v>
      </c>
      <c r="AF472" s="27" t="s">
        <v>7</v>
      </c>
      <c r="AG472" s="27" t="s">
        <v>8</v>
      </c>
      <c r="AP472" s="27" t="s">
        <v>7</v>
      </c>
      <c r="AT472" s="27" t="s">
        <v>7</v>
      </c>
      <c r="CA472" s="27" t="s">
        <v>8</v>
      </c>
      <c r="CB472" s="27" t="s">
        <v>7</v>
      </c>
      <c r="CC472" s="27" t="s">
        <v>8</v>
      </c>
      <c r="CD472" s="27" t="s">
        <v>7</v>
      </c>
      <c r="CE472" s="27" t="s">
        <v>8</v>
      </c>
      <c r="CF472" s="27" t="s">
        <v>7</v>
      </c>
      <c r="CG472" s="27" t="s">
        <v>8</v>
      </c>
      <c r="CL472" s="27" t="s">
        <v>7</v>
      </c>
      <c r="CM472" s="27" t="s">
        <v>8</v>
      </c>
      <c r="CN472" s="27" t="s">
        <v>7</v>
      </c>
      <c r="CP472" s="27" t="s">
        <v>7</v>
      </c>
      <c r="CQ472" s="27" t="s">
        <v>8</v>
      </c>
      <c r="CR472" s="27" t="s">
        <v>7</v>
      </c>
      <c r="CS472" s="27" t="s">
        <v>8</v>
      </c>
      <c r="CT472" s="27" t="s">
        <v>7</v>
      </c>
      <c r="DB472" s="27" t="s">
        <v>7</v>
      </c>
      <c r="DI472" s="27" t="s">
        <v>8</v>
      </c>
      <c r="DJ472" s="27" t="s">
        <v>7</v>
      </c>
      <c r="EA472" s="27" t="s">
        <v>8</v>
      </c>
      <c r="EB472" s="27" t="s">
        <v>7</v>
      </c>
      <c r="EK472" s="27" t="s">
        <v>8</v>
      </c>
      <c r="EL472" s="27" t="s">
        <v>7</v>
      </c>
      <c r="EM472" s="27" t="s">
        <v>8</v>
      </c>
      <c r="EN472" s="27" t="s">
        <v>7</v>
      </c>
      <c r="EO472" s="27" t="s">
        <v>8</v>
      </c>
      <c r="EP472" s="27" t="s">
        <v>7</v>
      </c>
      <c r="EQ472" s="27" t="s">
        <v>8</v>
      </c>
      <c r="ER472" s="27" t="s">
        <v>7</v>
      </c>
      <c r="EW472" s="27" t="s">
        <v>8</v>
      </c>
      <c r="EX472" s="27" t="s">
        <v>7</v>
      </c>
      <c r="EZ472" s="27" t="s">
        <v>7</v>
      </c>
      <c r="FA472" s="27" t="s">
        <v>8</v>
      </c>
      <c r="FB472" s="27" t="s">
        <v>7</v>
      </c>
      <c r="FD472" s="27" t="s">
        <v>7</v>
      </c>
    </row>
    <row r="473" spans="1:160" x14ac:dyDescent="0.25">
      <c r="A473" s="7">
        <v>9.5591566989398498</v>
      </c>
      <c r="B473"/>
      <c r="C473"/>
      <c r="D473"/>
      <c r="E473" t="s">
        <v>8</v>
      </c>
      <c r="AD473" s="27" t="s">
        <v>7</v>
      </c>
      <c r="AE473" s="27" t="s">
        <v>8</v>
      </c>
      <c r="AF473" s="27" t="s">
        <v>7</v>
      </c>
      <c r="AG473" s="27" t="s">
        <v>8</v>
      </c>
      <c r="AT473" s="27" t="s">
        <v>7</v>
      </c>
      <c r="AU473" s="27" t="s">
        <v>8</v>
      </c>
      <c r="CA473" s="27" t="s">
        <v>8</v>
      </c>
      <c r="CB473" s="27" t="s">
        <v>7</v>
      </c>
      <c r="CC473" s="27" t="s">
        <v>8</v>
      </c>
      <c r="CD473" s="27" t="s">
        <v>7</v>
      </c>
      <c r="CE473" s="27" t="s">
        <v>8</v>
      </c>
      <c r="CF473" s="27" t="s">
        <v>7</v>
      </c>
      <c r="CG473" s="27" t="s">
        <v>8</v>
      </c>
      <c r="CL473" s="27" t="s">
        <v>7</v>
      </c>
      <c r="CM473" s="27" t="s">
        <v>8</v>
      </c>
      <c r="CP473" s="27" t="s">
        <v>7</v>
      </c>
      <c r="CQ473" s="27" t="s">
        <v>8</v>
      </c>
      <c r="CR473" s="27" t="s">
        <v>7</v>
      </c>
      <c r="CS473" s="27" t="s">
        <v>8</v>
      </c>
      <c r="DB473" s="27" t="s">
        <v>7</v>
      </c>
      <c r="DI473" s="27" t="s">
        <v>8</v>
      </c>
      <c r="DJ473" s="27" t="s">
        <v>7</v>
      </c>
      <c r="EA473" s="27" t="s">
        <v>8</v>
      </c>
      <c r="EB473" s="27" t="s">
        <v>7</v>
      </c>
      <c r="EK473" s="27" t="s">
        <v>8</v>
      </c>
      <c r="EL473" s="27" t="s">
        <v>7</v>
      </c>
      <c r="EM473" s="27" t="s">
        <v>8</v>
      </c>
      <c r="EN473" s="27" t="s">
        <v>7</v>
      </c>
      <c r="EO473" s="27" t="s">
        <v>8</v>
      </c>
      <c r="EP473" s="27" t="s">
        <v>7</v>
      </c>
      <c r="EQ473" s="27" t="s">
        <v>8</v>
      </c>
      <c r="ER473" s="27" t="s">
        <v>7</v>
      </c>
      <c r="EW473" s="27" t="s">
        <v>8</v>
      </c>
      <c r="EZ473" s="27" t="s">
        <v>7</v>
      </c>
      <c r="FA473" s="27" t="s">
        <v>8</v>
      </c>
      <c r="FD473" s="27" t="s">
        <v>7</v>
      </c>
    </row>
    <row r="474" spans="1:160" x14ac:dyDescent="0.25">
      <c r="A474" s="7">
        <v>9.3717222538625968</v>
      </c>
      <c r="B474"/>
      <c r="C474"/>
      <c r="D474"/>
      <c r="E474" t="s">
        <v>8</v>
      </c>
      <c r="AD474" s="27" t="s">
        <v>7</v>
      </c>
      <c r="AE474" s="27" t="s">
        <v>8</v>
      </c>
      <c r="AF474" s="27" t="s">
        <v>7</v>
      </c>
      <c r="AG474" s="27" t="s">
        <v>8</v>
      </c>
      <c r="AT474" s="27" t="s">
        <v>7</v>
      </c>
      <c r="AU474" s="27" t="s">
        <v>8</v>
      </c>
      <c r="AV474" s="27" t="s">
        <v>7</v>
      </c>
      <c r="CA474" s="27" t="s">
        <v>8</v>
      </c>
      <c r="CB474" s="27" t="s">
        <v>7</v>
      </c>
      <c r="CC474" s="27" t="s">
        <v>8</v>
      </c>
      <c r="CD474" s="27" t="s">
        <v>7</v>
      </c>
      <c r="CE474" s="27" t="s">
        <v>8</v>
      </c>
      <c r="CF474" s="27" t="s">
        <v>7</v>
      </c>
      <c r="CL474" s="27" t="s">
        <v>7</v>
      </c>
      <c r="CP474" s="27" t="s">
        <v>7</v>
      </c>
      <c r="CQ474" s="27" t="s">
        <v>8</v>
      </c>
      <c r="CR474" s="27" t="s">
        <v>7</v>
      </c>
      <c r="DB474" s="27" t="s">
        <v>7</v>
      </c>
      <c r="DI474" s="27" t="s">
        <v>8</v>
      </c>
      <c r="DJ474" s="27" t="s">
        <v>7</v>
      </c>
      <c r="EA474" s="27" t="s">
        <v>8</v>
      </c>
      <c r="EB474" s="27" t="s">
        <v>7</v>
      </c>
      <c r="EK474" s="27" t="s">
        <v>8</v>
      </c>
      <c r="EL474" s="27" t="s">
        <v>7</v>
      </c>
      <c r="EM474" s="27" t="s">
        <v>8</v>
      </c>
      <c r="EN474" s="27" t="s">
        <v>7</v>
      </c>
      <c r="EO474" s="27" t="s">
        <v>8</v>
      </c>
      <c r="EP474" s="27" t="s">
        <v>7</v>
      </c>
      <c r="EQ474" s="27" t="s">
        <v>8</v>
      </c>
      <c r="ER474" s="27" t="s">
        <v>7</v>
      </c>
      <c r="ES474" s="27" t="s">
        <v>8</v>
      </c>
      <c r="EW474" s="27" t="s">
        <v>8</v>
      </c>
      <c r="EZ474" s="27" t="s">
        <v>7</v>
      </c>
      <c r="FA474" s="27" t="s">
        <v>8</v>
      </c>
      <c r="FD474" s="27" t="s">
        <v>7</v>
      </c>
    </row>
    <row r="475" spans="1:160" x14ac:dyDescent="0.25">
      <c r="A475" s="7">
        <v>9.1879629939829375</v>
      </c>
      <c r="B475"/>
      <c r="C475"/>
      <c r="D475"/>
      <c r="E475" t="s">
        <v>8</v>
      </c>
      <c r="AD475" s="27" t="s">
        <v>7</v>
      </c>
      <c r="AE475" s="27" t="s">
        <v>8</v>
      </c>
      <c r="AF475" s="27" t="s">
        <v>7</v>
      </c>
      <c r="AT475" s="27" t="s">
        <v>7</v>
      </c>
      <c r="AU475" s="27" t="s">
        <v>8</v>
      </c>
      <c r="AV475" s="27" t="s">
        <v>7</v>
      </c>
      <c r="AY475" s="27" t="s">
        <v>8</v>
      </c>
      <c r="CA475" s="27" t="s">
        <v>8</v>
      </c>
      <c r="CB475" s="27" t="s">
        <v>7</v>
      </c>
      <c r="CC475" s="27" t="s">
        <v>8</v>
      </c>
      <c r="CD475" s="27" t="s">
        <v>7</v>
      </c>
      <c r="CE475" s="27" t="s">
        <v>8</v>
      </c>
      <c r="CP475" s="27" t="s">
        <v>7</v>
      </c>
      <c r="CQ475" s="27" t="s">
        <v>8</v>
      </c>
      <c r="DB475" s="27" t="s">
        <v>7</v>
      </c>
      <c r="DC475" s="27" t="s">
        <v>8</v>
      </c>
      <c r="DE475" s="27" t="s">
        <v>8</v>
      </c>
      <c r="DI475" s="27" t="s">
        <v>8</v>
      </c>
      <c r="DJ475" s="27" t="s">
        <v>7</v>
      </c>
      <c r="EA475" s="27" t="s">
        <v>8</v>
      </c>
      <c r="EB475" s="27" t="s">
        <v>7</v>
      </c>
      <c r="EG475" s="27" t="s">
        <v>8</v>
      </c>
      <c r="EK475" s="27" t="s">
        <v>8</v>
      </c>
      <c r="EL475" s="27" t="s">
        <v>7</v>
      </c>
      <c r="EM475" s="27" t="s">
        <v>8</v>
      </c>
      <c r="EN475" s="27" t="s">
        <v>7</v>
      </c>
      <c r="EP475" s="27" t="s">
        <v>7</v>
      </c>
      <c r="EQ475" s="27" t="s">
        <v>8</v>
      </c>
      <c r="ER475" s="27" t="s">
        <v>7</v>
      </c>
      <c r="ES475" s="27" t="s">
        <v>8</v>
      </c>
      <c r="ET475" s="27" t="s">
        <v>7</v>
      </c>
      <c r="EW475" s="27" t="s">
        <v>8</v>
      </c>
      <c r="EZ475" s="27" t="s">
        <v>7</v>
      </c>
      <c r="FA475" s="27" t="s">
        <v>8</v>
      </c>
      <c r="FD475" s="27" t="s">
        <v>7</v>
      </c>
    </row>
    <row r="476" spans="1:160" x14ac:dyDescent="0.25">
      <c r="A476" s="7">
        <v>9.0078068568460168</v>
      </c>
      <c r="B476"/>
      <c r="C476"/>
      <c r="D476"/>
      <c r="E476" t="s">
        <v>8</v>
      </c>
      <c r="AD476" s="27" t="s">
        <v>7</v>
      </c>
      <c r="AE476" s="27" t="s">
        <v>8</v>
      </c>
      <c r="AT476" s="27" t="s">
        <v>7</v>
      </c>
      <c r="AU476" s="27" t="s">
        <v>8</v>
      </c>
      <c r="AV476" s="27" t="s">
        <v>7</v>
      </c>
      <c r="AY476" s="27" t="s">
        <v>8</v>
      </c>
      <c r="AZ476" s="27" t="s">
        <v>7</v>
      </c>
      <c r="CA476" s="27" t="s">
        <v>8</v>
      </c>
      <c r="CB476" s="27" t="s">
        <v>7</v>
      </c>
      <c r="CC476" s="27" t="s">
        <v>8</v>
      </c>
      <c r="CD476" s="27" t="s">
        <v>7</v>
      </c>
      <c r="CE476" s="27" t="s">
        <v>8</v>
      </c>
      <c r="CP476" s="27" t="s">
        <v>7</v>
      </c>
      <c r="DB476" s="27" t="s">
        <v>7</v>
      </c>
      <c r="DC476" s="27" t="s">
        <v>8</v>
      </c>
      <c r="DD476" s="27" t="s">
        <v>7</v>
      </c>
      <c r="DE476" s="27" t="s">
        <v>8</v>
      </c>
      <c r="DF476" s="27" t="s">
        <v>7</v>
      </c>
      <c r="DI476" s="27" t="s">
        <v>8</v>
      </c>
      <c r="DJ476" s="27" t="s">
        <v>7</v>
      </c>
      <c r="EA476" s="27" t="s">
        <v>8</v>
      </c>
      <c r="EB476" s="27" t="s">
        <v>7</v>
      </c>
      <c r="EC476" s="27" t="s">
        <v>8</v>
      </c>
      <c r="EG476" s="27" t="s">
        <v>8</v>
      </c>
      <c r="EH476" s="27" t="s">
        <v>7</v>
      </c>
      <c r="EK476" s="27" t="s">
        <v>8</v>
      </c>
      <c r="EL476" s="27" t="s">
        <v>7</v>
      </c>
      <c r="EM476" s="27" t="s">
        <v>8</v>
      </c>
      <c r="EP476" s="27" t="s">
        <v>7</v>
      </c>
      <c r="ER476" s="27" t="s">
        <v>7</v>
      </c>
      <c r="ES476" s="27" t="s">
        <v>8</v>
      </c>
      <c r="ET476" s="27" t="s">
        <v>7</v>
      </c>
      <c r="EU476" s="27" t="s">
        <v>8</v>
      </c>
      <c r="EW476" s="27" t="s">
        <v>8</v>
      </c>
      <c r="EZ476" s="27" t="s">
        <v>7</v>
      </c>
      <c r="FA476" s="27" t="s">
        <v>8</v>
      </c>
      <c r="FD476" s="27" t="s">
        <v>7</v>
      </c>
    </row>
    <row r="477" spans="1:160" x14ac:dyDescent="0.25">
      <c r="A477" s="7">
        <v>8.8311831929862912</v>
      </c>
      <c r="B477"/>
      <c r="C477"/>
      <c r="D477"/>
      <c r="E477" t="s">
        <v>8</v>
      </c>
      <c r="AD477" s="27" t="s">
        <v>7</v>
      </c>
      <c r="AE477" s="27" t="s">
        <v>8</v>
      </c>
      <c r="AT477" s="27" t="s">
        <v>7</v>
      </c>
      <c r="AU477" s="27" t="s">
        <v>8</v>
      </c>
      <c r="AV477" s="27" t="s">
        <v>7</v>
      </c>
      <c r="AY477" s="27" t="s">
        <v>8</v>
      </c>
      <c r="AZ477" s="27" t="s">
        <v>7</v>
      </c>
      <c r="BA477" s="27" t="s">
        <v>8</v>
      </c>
      <c r="CA477" s="27" t="s">
        <v>8</v>
      </c>
      <c r="CB477" s="27" t="s">
        <v>7</v>
      </c>
      <c r="CC477" s="27" t="s">
        <v>8</v>
      </c>
      <c r="CD477" s="27" t="s">
        <v>7</v>
      </c>
      <c r="CE477" s="27" t="s">
        <v>8</v>
      </c>
      <c r="DB477" s="27" t="s">
        <v>7</v>
      </c>
      <c r="DC477" s="27" t="s">
        <v>8</v>
      </c>
      <c r="DD477" s="27" t="s">
        <v>7</v>
      </c>
      <c r="DE477" s="27" t="s">
        <v>8</v>
      </c>
      <c r="DF477" s="27" t="s">
        <v>7</v>
      </c>
      <c r="DG477" s="27" t="s">
        <v>8</v>
      </c>
      <c r="DI477" s="27" t="s">
        <v>8</v>
      </c>
      <c r="DJ477" s="27" t="s">
        <v>7</v>
      </c>
      <c r="DS477" s="27" t="s">
        <v>8</v>
      </c>
      <c r="EA477" s="27" t="s">
        <v>8</v>
      </c>
      <c r="EB477" s="27" t="s">
        <v>7</v>
      </c>
      <c r="EC477" s="27" t="s">
        <v>8</v>
      </c>
      <c r="ED477" s="27" t="s">
        <v>7</v>
      </c>
      <c r="EG477" s="27" t="s">
        <v>8</v>
      </c>
      <c r="EH477" s="27" t="s">
        <v>7</v>
      </c>
      <c r="EI477" s="27" t="s">
        <v>8</v>
      </c>
      <c r="EK477" s="27" t="s">
        <v>8</v>
      </c>
      <c r="EL477" s="27" t="s">
        <v>7</v>
      </c>
      <c r="EM477" s="27" t="s">
        <v>8</v>
      </c>
      <c r="ER477" s="27" t="s">
        <v>7</v>
      </c>
      <c r="ES477" s="27" t="s">
        <v>8</v>
      </c>
      <c r="ET477" s="27" t="s">
        <v>7</v>
      </c>
      <c r="EU477" s="27" t="s">
        <v>8</v>
      </c>
      <c r="EV477" s="27" t="s">
        <v>7</v>
      </c>
      <c r="EW477" s="27" t="s">
        <v>8</v>
      </c>
      <c r="EZ477" s="27" t="s">
        <v>7</v>
      </c>
      <c r="FD477" s="27" t="s">
        <v>7</v>
      </c>
    </row>
    <row r="478" spans="1:160" x14ac:dyDescent="0.25">
      <c r="A478" s="7">
        <v>8.6580227382218542</v>
      </c>
      <c r="B478"/>
      <c r="C478"/>
      <c r="D478"/>
      <c r="E478" t="s">
        <v>8</v>
      </c>
      <c r="AD478" s="27" t="s">
        <v>7</v>
      </c>
      <c r="AE478" s="27" t="s">
        <v>8</v>
      </c>
      <c r="AT478" s="27" t="s">
        <v>7</v>
      </c>
      <c r="AU478" s="27" t="s">
        <v>8</v>
      </c>
      <c r="AV478" s="27" t="s">
        <v>7</v>
      </c>
      <c r="AY478" s="27" t="s">
        <v>8</v>
      </c>
      <c r="AZ478" s="27" t="s">
        <v>7</v>
      </c>
      <c r="BA478" s="27" t="s">
        <v>8</v>
      </c>
      <c r="BB478" s="27" t="s">
        <v>7</v>
      </c>
      <c r="BC478" s="27" t="s">
        <v>8</v>
      </c>
      <c r="CA478" s="27" t="s">
        <v>8</v>
      </c>
      <c r="CB478" s="27" t="s">
        <v>7</v>
      </c>
      <c r="CC478" s="27" t="s">
        <v>8</v>
      </c>
      <c r="CD478" s="27" t="s">
        <v>7</v>
      </c>
      <c r="CE478" s="27" t="s">
        <v>8</v>
      </c>
      <c r="DB478" s="27" t="s">
        <v>7</v>
      </c>
      <c r="DC478" s="27" t="s">
        <v>8</v>
      </c>
      <c r="DD478" s="27" t="s">
        <v>7</v>
      </c>
      <c r="DE478" s="27" t="s">
        <v>8</v>
      </c>
      <c r="DF478" s="27" t="s">
        <v>7</v>
      </c>
      <c r="DG478" s="27" t="s">
        <v>8</v>
      </c>
      <c r="DH478" s="27" t="s">
        <v>7</v>
      </c>
      <c r="DI478" s="27" t="s">
        <v>8</v>
      </c>
      <c r="DJ478" s="27" t="s">
        <v>7</v>
      </c>
      <c r="DS478" s="27" t="s">
        <v>8</v>
      </c>
      <c r="DT478" s="27" t="s">
        <v>7</v>
      </c>
      <c r="DW478" s="27" t="s">
        <v>8</v>
      </c>
      <c r="DY478" s="27" t="s">
        <v>8</v>
      </c>
      <c r="EA478" s="27" t="s">
        <v>8</v>
      </c>
      <c r="EB478" s="27" t="s">
        <v>7</v>
      </c>
      <c r="EC478" s="27" t="s">
        <v>8</v>
      </c>
      <c r="ED478" s="27" t="s">
        <v>7</v>
      </c>
      <c r="EE478" s="27" t="s">
        <v>8</v>
      </c>
      <c r="EG478" s="27" t="s">
        <v>8</v>
      </c>
      <c r="EH478" s="27" t="s">
        <v>7</v>
      </c>
      <c r="EI478" s="27" t="s">
        <v>8</v>
      </c>
      <c r="EJ478" s="27" t="s">
        <v>7</v>
      </c>
      <c r="EK478" s="27" t="s">
        <v>8</v>
      </c>
      <c r="EL478" s="27" t="s">
        <v>7</v>
      </c>
      <c r="ER478" s="27" t="s">
        <v>7</v>
      </c>
      <c r="ES478" s="27" t="s">
        <v>8</v>
      </c>
      <c r="ET478" s="27" t="s">
        <v>7</v>
      </c>
      <c r="EU478" s="27" t="s">
        <v>8</v>
      </c>
      <c r="EV478" s="27" t="s">
        <v>7</v>
      </c>
      <c r="EW478" s="27" t="s">
        <v>8</v>
      </c>
      <c r="FD478" s="27" t="s">
        <v>7</v>
      </c>
    </row>
    <row r="479" spans="1:160" x14ac:dyDescent="0.25">
      <c r="A479" s="7">
        <v>8.4882575864920131</v>
      </c>
      <c r="B479"/>
      <c r="C479"/>
      <c r="D479"/>
      <c r="E479" t="s">
        <v>8</v>
      </c>
      <c r="AD479" s="27" t="s">
        <v>7</v>
      </c>
      <c r="AT479" s="27" t="s">
        <v>7</v>
      </c>
      <c r="AU479" s="27" t="s">
        <v>8</v>
      </c>
      <c r="AV479" s="27" t="s">
        <v>7</v>
      </c>
      <c r="AY479" s="27" t="s">
        <v>8</v>
      </c>
      <c r="AZ479" s="27" t="s">
        <v>7</v>
      </c>
      <c r="BA479" s="27" t="s">
        <v>8</v>
      </c>
      <c r="BB479" s="27" t="s">
        <v>7</v>
      </c>
      <c r="BC479" s="27" t="s">
        <v>8</v>
      </c>
      <c r="BD479" s="27" t="s">
        <v>7</v>
      </c>
      <c r="CA479" s="27" t="s">
        <v>8</v>
      </c>
      <c r="CB479" s="27" t="s">
        <v>7</v>
      </c>
      <c r="CC479" s="27" t="s">
        <v>8</v>
      </c>
      <c r="CD479" s="27" t="s">
        <v>7</v>
      </c>
      <c r="DB479" s="27" t="s">
        <v>7</v>
      </c>
      <c r="DC479" s="27" t="s">
        <v>8</v>
      </c>
      <c r="DD479" s="27" t="s">
        <v>7</v>
      </c>
      <c r="DE479" s="27" t="s">
        <v>8</v>
      </c>
      <c r="DF479" s="27" t="s">
        <v>7</v>
      </c>
      <c r="DG479" s="27" t="s">
        <v>8</v>
      </c>
      <c r="DH479" s="27" t="s">
        <v>7</v>
      </c>
      <c r="DI479" s="27" t="s">
        <v>8</v>
      </c>
      <c r="DJ479" s="27" t="s">
        <v>7</v>
      </c>
      <c r="DS479" s="27" t="s">
        <v>8</v>
      </c>
      <c r="DT479" s="27" t="s">
        <v>7</v>
      </c>
      <c r="DW479" s="27" t="s">
        <v>8</v>
      </c>
      <c r="DX479" s="27" t="s">
        <v>7</v>
      </c>
      <c r="DY479" s="27" t="s">
        <v>8</v>
      </c>
      <c r="DZ479" s="27" t="s">
        <v>7</v>
      </c>
      <c r="EA479" s="27" t="s">
        <v>8</v>
      </c>
      <c r="EB479" s="27" t="s">
        <v>7</v>
      </c>
      <c r="EC479" s="27" t="s">
        <v>8</v>
      </c>
      <c r="ED479" s="27" t="s">
        <v>7</v>
      </c>
      <c r="EE479" s="27" t="s">
        <v>8</v>
      </c>
      <c r="EF479" s="27" t="s">
        <v>7</v>
      </c>
      <c r="EG479" s="27" t="s">
        <v>8</v>
      </c>
      <c r="EH479" s="27" t="s">
        <v>7</v>
      </c>
      <c r="EI479" s="27" t="s">
        <v>8</v>
      </c>
      <c r="EJ479" s="27" t="s">
        <v>7</v>
      </c>
      <c r="EK479" s="27" t="s">
        <v>8</v>
      </c>
      <c r="ER479" s="27" t="s">
        <v>7</v>
      </c>
      <c r="ES479" s="27" t="s">
        <v>8</v>
      </c>
      <c r="ET479" s="27" t="s">
        <v>7</v>
      </c>
      <c r="EV479" s="27" t="s">
        <v>7</v>
      </c>
      <c r="EW479" s="27" t="s">
        <v>8</v>
      </c>
      <c r="FD479" s="27" t="s">
        <v>7</v>
      </c>
    </row>
    <row r="480" spans="1:160" x14ac:dyDescent="0.25">
      <c r="A480" s="7">
        <v>8.3218211632274635</v>
      </c>
      <c r="B480"/>
      <c r="C480"/>
      <c r="D480"/>
      <c r="E480" t="s">
        <v>8</v>
      </c>
      <c r="AT480" s="27" t="s">
        <v>7</v>
      </c>
      <c r="AU480" s="27" t="s">
        <v>8</v>
      </c>
      <c r="AV480" s="27" t="s">
        <v>7</v>
      </c>
      <c r="AY480" s="27" t="s">
        <v>8</v>
      </c>
      <c r="AZ480" s="27" t="s">
        <v>7</v>
      </c>
      <c r="BA480" s="27" t="s">
        <v>8</v>
      </c>
      <c r="BB480" s="27" t="s">
        <v>7</v>
      </c>
      <c r="BC480" s="27" t="s">
        <v>8</v>
      </c>
      <c r="BD480" s="27" t="s">
        <v>7</v>
      </c>
      <c r="CA480" s="27" t="s">
        <v>8</v>
      </c>
      <c r="CB480" s="27" t="s">
        <v>7</v>
      </c>
      <c r="CC480" s="27" t="s">
        <v>8</v>
      </c>
      <c r="DB480" s="27" t="s">
        <v>7</v>
      </c>
      <c r="DC480" s="27" t="s">
        <v>8</v>
      </c>
      <c r="DD480" s="27" t="s">
        <v>7</v>
      </c>
      <c r="DE480" s="27" t="s">
        <v>8</v>
      </c>
      <c r="DF480" s="27" t="s">
        <v>7</v>
      </c>
      <c r="DG480" s="27" t="s">
        <v>8</v>
      </c>
      <c r="DH480" s="27" t="s">
        <v>7</v>
      </c>
      <c r="DI480" s="27" t="s">
        <v>8</v>
      </c>
      <c r="DJ480" s="27" t="s">
        <v>7</v>
      </c>
      <c r="DS480" s="27" t="s">
        <v>8</v>
      </c>
      <c r="DT480" s="27" t="s">
        <v>7</v>
      </c>
      <c r="DW480" s="27" t="s">
        <v>8</v>
      </c>
      <c r="DX480" s="27" t="s">
        <v>7</v>
      </c>
      <c r="DY480" s="27" t="s">
        <v>8</v>
      </c>
      <c r="DZ480" s="27" t="s">
        <v>7</v>
      </c>
      <c r="EA480" s="27" t="s">
        <v>8</v>
      </c>
      <c r="EB480" s="27" t="s">
        <v>7</v>
      </c>
      <c r="ED480" s="27" t="s">
        <v>7</v>
      </c>
      <c r="EE480" s="27" t="s">
        <v>8</v>
      </c>
      <c r="EF480" s="27" t="s">
        <v>7</v>
      </c>
      <c r="EG480" s="27" t="s">
        <v>8</v>
      </c>
      <c r="EH480" s="27" t="s">
        <v>7</v>
      </c>
      <c r="EJ480" s="27" t="s">
        <v>7</v>
      </c>
      <c r="EK480" s="27" t="s">
        <v>8</v>
      </c>
      <c r="ER480" s="27" t="s">
        <v>7</v>
      </c>
      <c r="EV480" s="27" t="s">
        <v>7</v>
      </c>
      <c r="EW480" s="27" t="s">
        <v>8</v>
      </c>
      <c r="FD480" s="27" t="s">
        <v>7</v>
      </c>
    </row>
    <row r="481" spans="1:174" x14ac:dyDescent="0.25">
      <c r="A481" s="7">
        <v>8.1586481992426112</v>
      </c>
      <c r="B481"/>
      <c r="C481"/>
      <c r="D481"/>
      <c r="E481" t="s">
        <v>8</v>
      </c>
      <c r="AT481" s="27" t="s">
        <v>7</v>
      </c>
      <c r="AU481" s="27" t="s">
        <v>8</v>
      </c>
      <c r="AV481" s="27" t="s">
        <v>7</v>
      </c>
      <c r="AY481" s="27" t="s">
        <v>8</v>
      </c>
      <c r="AZ481" s="27" t="s">
        <v>7</v>
      </c>
      <c r="BA481" s="27" t="s">
        <v>8</v>
      </c>
      <c r="BB481" s="27" t="s">
        <v>7</v>
      </c>
      <c r="BC481" s="27" t="s">
        <v>8</v>
      </c>
      <c r="BD481" s="27" t="s">
        <v>7</v>
      </c>
      <c r="BY481" s="27" t="s">
        <v>8</v>
      </c>
      <c r="CA481" s="27" t="s">
        <v>8</v>
      </c>
      <c r="CB481" s="27" t="s">
        <v>7</v>
      </c>
      <c r="CC481" s="27" t="s">
        <v>8</v>
      </c>
      <c r="DB481" s="27" t="s">
        <v>7</v>
      </c>
      <c r="DC481" s="27" t="s">
        <v>8</v>
      </c>
      <c r="DD481" s="27" t="s">
        <v>7</v>
      </c>
      <c r="DE481" s="27" t="s">
        <v>8</v>
      </c>
      <c r="DF481" s="27" t="s">
        <v>7</v>
      </c>
      <c r="DG481" s="27" t="s">
        <v>8</v>
      </c>
      <c r="DH481" s="27" t="s">
        <v>7</v>
      </c>
      <c r="DJ481" s="27" t="s">
        <v>7</v>
      </c>
      <c r="DS481" s="27" t="s">
        <v>8</v>
      </c>
      <c r="DT481" s="27" t="s">
        <v>7</v>
      </c>
      <c r="DU481" s="27" t="s">
        <v>8</v>
      </c>
      <c r="DW481" s="27" t="s">
        <v>8</v>
      </c>
      <c r="DX481" s="27" t="s">
        <v>7</v>
      </c>
      <c r="DY481" s="27" t="s">
        <v>8</v>
      </c>
      <c r="DZ481" s="27" t="s">
        <v>7</v>
      </c>
      <c r="EA481" s="27" t="s">
        <v>8</v>
      </c>
      <c r="ED481" s="27" t="s">
        <v>7</v>
      </c>
      <c r="EF481" s="27" t="s">
        <v>7</v>
      </c>
      <c r="EJ481" s="27" t="s">
        <v>7</v>
      </c>
      <c r="EK481" s="27" t="s">
        <v>8</v>
      </c>
      <c r="EV481" s="27" t="s">
        <v>7</v>
      </c>
      <c r="EW481" s="27" t="s">
        <v>8</v>
      </c>
      <c r="FD481" s="27" t="s">
        <v>7</v>
      </c>
    </row>
    <row r="482" spans="1:174" x14ac:dyDescent="0.25">
      <c r="A482" s="7">
        <v>7.9986747051398144</v>
      </c>
      <c r="B482"/>
      <c r="C482"/>
      <c r="D482"/>
      <c r="E482" t="s">
        <v>8</v>
      </c>
      <c r="AT482" s="27" t="s">
        <v>7</v>
      </c>
      <c r="AU482" s="27" t="s">
        <v>8</v>
      </c>
      <c r="AV482" s="27" t="s">
        <v>7</v>
      </c>
      <c r="AY482" s="27" t="s">
        <v>8</v>
      </c>
      <c r="AZ482" s="27" t="s">
        <v>7</v>
      </c>
      <c r="BA482" s="27" t="s">
        <v>8</v>
      </c>
      <c r="BB482" s="27" t="s">
        <v>7</v>
      </c>
      <c r="BC482" s="27" t="s">
        <v>8</v>
      </c>
      <c r="BD482" s="27" t="s">
        <v>7</v>
      </c>
      <c r="BY482" s="27" t="s">
        <v>8</v>
      </c>
      <c r="BZ482" s="27" t="s">
        <v>7</v>
      </c>
      <c r="CA482" s="27" t="s">
        <v>8</v>
      </c>
      <c r="CB482" s="27" t="s">
        <v>7</v>
      </c>
      <c r="CC482" s="27" t="s">
        <v>8</v>
      </c>
      <c r="DB482" s="27" t="s">
        <v>7</v>
      </c>
      <c r="DC482" s="27" t="s">
        <v>8</v>
      </c>
      <c r="DD482" s="27" t="s">
        <v>7</v>
      </c>
      <c r="DF482" s="27" t="s">
        <v>7</v>
      </c>
      <c r="DJ482" s="27" t="s">
        <v>7</v>
      </c>
      <c r="DK482" s="27" t="s">
        <v>8</v>
      </c>
      <c r="DS482" s="27" t="s">
        <v>8</v>
      </c>
      <c r="DT482" s="27" t="s">
        <v>7</v>
      </c>
      <c r="DU482" s="27" t="s">
        <v>8</v>
      </c>
      <c r="DV482" s="27" t="s">
        <v>7</v>
      </c>
      <c r="DW482" s="27" t="s">
        <v>8</v>
      </c>
      <c r="DX482" s="27" t="s">
        <v>7</v>
      </c>
      <c r="DY482" s="27" t="s">
        <v>8</v>
      </c>
      <c r="DZ482" s="27" t="s">
        <v>7</v>
      </c>
      <c r="EA482" s="27" t="s">
        <v>8</v>
      </c>
      <c r="EJ482" s="27" t="s">
        <v>7</v>
      </c>
      <c r="EK482" s="27" t="s">
        <v>8</v>
      </c>
      <c r="EV482" s="27" t="s">
        <v>7</v>
      </c>
      <c r="EW482" s="27" t="s">
        <v>8</v>
      </c>
      <c r="FD482" s="27" t="s">
        <v>7</v>
      </c>
    </row>
    <row r="483" spans="1:174" x14ac:dyDescent="0.25">
      <c r="A483" s="7">
        <v>7.8418379462155041</v>
      </c>
      <c r="B483"/>
      <c r="C483"/>
      <c r="D483"/>
      <c r="E483" t="s">
        <v>8</v>
      </c>
      <c r="AT483" s="27" t="s">
        <v>7</v>
      </c>
      <c r="AU483" s="27" t="s">
        <v>8</v>
      </c>
      <c r="AV483" s="27" t="s">
        <v>7</v>
      </c>
      <c r="AY483" s="27" t="s">
        <v>8</v>
      </c>
      <c r="AZ483" s="27" t="s">
        <v>7</v>
      </c>
      <c r="BA483" s="27" t="s">
        <v>8</v>
      </c>
      <c r="BB483" s="27" t="s">
        <v>7</v>
      </c>
      <c r="BC483" s="27" t="s">
        <v>8</v>
      </c>
      <c r="BD483" s="27" t="s">
        <v>7</v>
      </c>
      <c r="BY483" s="27" t="s">
        <v>8</v>
      </c>
      <c r="BZ483" s="27" t="s">
        <v>7</v>
      </c>
      <c r="CA483" s="27" t="s">
        <v>8</v>
      </c>
      <c r="CB483" s="27" t="s">
        <v>7</v>
      </c>
      <c r="CC483" s="27" t="s">
        <v>8</v>
      </c>
      <c r="DB483" s="27" t="s">
        <v>7</v>
      </c>
      <c r="DJ483" s="27" t="s">
        <v>7</v>
      </c>
      <c r="DK483" s="27" t="s">
        <v>8</v>
      </c>
      <c r="DL483" s="27" t="s">
        <v>7</v>
      </c>
      <c r="DS483" s="27" t="s">
        <v>8</v>
      </c>
      <c r="DT483" s="27" t="s">
        <v>7</v>
      </c>
      <c r="DU483" s="27" t="s">
        <v>8</v>
      </c>
      <c r="DV483" s="27" t="s">
        <v>7</v>
      </c>
      <c r="DW483" s="27" t="s">
        <v>8</v>
      </c>
      <c r="DX483" s="27" t="s">
        <v>7</v>
      </c>
      <c r="DY483" s="27" t="s">
        <v>8</v>
      </c>
      <c r="DZ483" s="27" t="s">
        <v>7</v>
      </c>
      <c r="EJ483" s="27" t="s">
        <v>7</v>
      </c>
      <c r="EK483" s="27" t="s">
        <v>8</v>
      </c>
      <c r="EV483" s="27" t="s">
        <v>7</v>
      </c>
      <c r="EW483" s="27" t="s">
        <v>8</v>
      </c>
      <c r="FD483" s="27" t="s">
        <v>7</v>
      </c>
      <c r="FG483" s="27" t="s">
        <v>8</v>
      </c>
    </row>
    <row r="484" spans="1:174" x14ac:dyDescent="0.25">
      <c r="A484" s="7">
        <v>7.688076417858337</v>
      </c>
      <c r="B484"/>
      <c r="C484"/>
      <c r="D484"/>
      <c r="E484" t="s">
        <v>8</v>
      </c>
      <c r="AT484" s="27" t="s">
        <v>7</v>
      </c>
      <c r="AU484" s="27" t="s">
        <v>8</v>
      </c>
      <c r="AV484" s="27" t="s">
        <v>7</v>
      </c>
      <c r="AY484" s="27" t="s">
        <v>8</v>
      </c>
      <c r="AZ484" s="27" t="s">
        <v>7</v>
      </c>
      <c r="BA484" s="27" t="s">
        <v>8</v>
      </c>
      <c r="BB484" s="27" t="s">
        <v>7</v>
      </c>
      <c r="BC484" s="27" t="s">
        <v>8</v>
      </c>
      <c r="BD484" s="27" t="s">
        <v>7</v>
      </c>
      <c r="BI484" s="27" t="s">
        <v>8</v>
      </c>
      <c r="BY484" s="27" t="s">
        <v>8</v>
      </c>
      <c r="BZ484" s="27" t="s">
        <v>7</v>
      </c>
      <c r="CA484" s="27" t="s">
        <v>8</v>
      </c>
      <c r="CB484" s="27" t="s">
        <v>7</v>
      </c>
      <c r="DJ484" s="27" t="s">
        <v>7</v>
      </c>
      <c r="DK484" s="27" t="s">
        <v>8</v>
      </c>
      <c r="DL484" s="27" t="s">
        <v>7</v>
      </c>
      <c r="DS484" s="27" t="s">
        <v>8</v>
      </c>
      <c r="DT484" s="27" t="s">
        <v>7</v>
      </c>
      <c r="DV484" s="27" t="s">
        <v>7</v>
      </c>
      <c r="DW484" s="27" t="s">
        <v>8</v>
      </c>
      <c r="DX484" s="27" t="s">
        <v>7</v>
      </c>
      <c r="DY484" s="27" t="s">
        <v>8</v>
      </c>
      <c r="EJ484" s="27" t="s">
        <v>7</v>
      </c>
      <c r="EK484" s="27" t="s">
        <v>8</v>
      </c>
      <c r="EV484" s="27" t="s">
        <v>7</v>
      </c>
      <c r="EW484" s="27" t="s">
        <v>8</v>
      </c>
      <c r="FD484" s="27" t="s">
        <v>7</v>
      </c>
      <c r="FG484" s="27" t="s">
        <v>8</v>
      </c>
      <c r="FH484" s="27" t="s">
        <v>7</v>
      </c>
    </row>
    <row r="485" spans="1:174" x14ac:dyDescent="0.25">
      <c r="A485" s="7">
        <v>7.5373298214297417</v>
      </c>
      <c r="B485"/>
      <c r="C485"/>
      <c r="D485"/>
      <c r="E485" t="s">
        <v>8</v>
      </c>
      <c r="AT485" s="27" t="s">
        <v>7</v>
      </c>
      <c r="AU485" s="27" t="s">
        <v>8</v>
      </c>
      <c r="AV485" s="27" t="s">
        <v>7</v>
      </c>
      <c r="AY485" s="27" t="s">
        <v>8</v>
      </c>
      <c r="AZ485" s="27" t="s">
        <v>7</v>
      </c>
      <c r="BA485" s="27" t="s">
        <v>8</v>
      </c>
      <c r="BB485" s="27" t="s">
        <v>7</v>
      </c>
      <c r="BC485" s="27" t="s">
        <v>8</v>
      </c>
      <c r="BD485" s="27" t="s">
        <v>7</v>
      </c>
      <c r="BI485" s="27" t="s">
        <v>8</v>
      </c>
      <c r="BJ485" s="27" t="s">
        <v>7</v>
      </c>
      <c r="BY485" s="27" t="s">
        <v>8</v>
      </c>
      <c r="BZ485" s="27" t="s">
        <v>7</v>
      </c>
      <c r="CA485" s="27" t="s">
        <v>8</v>
      </c>
      <c r="DJ485" s="27" t="s">
        <v>7</v>
      </c>
      <c r="DK485" s="27" t="s">
        <v>8</v>
      </c>
      <c r="DL485" s="27" t="s">
        <v>7</v>
      </c>
      <c r="DS485" s="27" t="s">
        <v>8</v>
      </c>
      <c r="DV485" s="27" t="s">
        <v>7</v>
      </c>
      <c r="DW485" s="27" t="s">
        <v>8</v>
      </c>
      <c r="DX485" s="27" t="s">
        <v>7</v>
      </c>
      <c r="DY485" s="27" t="s">
        <v>8</v>
      </c>
      <c r="EJ485" s="27" t="s">
        <v>7</v>
      </c>
      <c r="EK485" s="27" t="s">
        <v>8</v>
      </c>
      <c r="EV485" s="27" t="s">
        <v>7</v>
      </c>
      <c r="EW485" s="27" t="s">
        <v>8</v>
      </c>
      <c r="FD485" s="27" t="s">
        <v>7</v>
      </c>
      <c r="FG485" s="27" t="s">
        <v>8</v>
      </c>
      <c r="FH485" s="27" t="s">
        <v>7</v>
      </c>
      <c r="FO485" s="27" t="s">
        <v>8</v>
      </c>
      <c r="FQ485" s="27" t="s">
        <v>8</v>
      </c>
    </row>
    <row r="486" spans="1:174" x14ac:dyDescent="0.25">
      <c r="A486" s="7">
        <v>7.389539040617394</v>
      </c>
      <c r="B486"/>
      <c r="C486"/>
      <c r="D486"/>
      <c r="E486" t="s">
        <v>8</v>
      </c>
      <c r="AT486" s="27" t="s">
        <v>7</v>
      </c>
      <c r="AU486" s="27" t="s">
        <v>8</v>
      </c>
      <c r="AV486" s="27" t="s">
        <v>7</v>
      </c>
      <c r="AY486" s="27" t="s">
        <v>8</v>
      </c>
      <c r="AZ486" s="27" t="s">
        <v>7</v>
      </c>
      <c r="BA486" s="27" t="s">
        <v>8</v>
      </c>
      <c r="BB486" s="27" t="s">
        <v>7</v>
      </c>
      <c r="BD486" s="27" t="s">
        <v>7</v>
      </c>
      <c r="BE486" s="27" t="s">
        <v>8</v>
      </c>
      <c r="BI486" s="27" t="s">
        <v>8</v>
      </c>
      <c r="BJ486" s="27" t="s">
        <v>7</v>
      </c>
      <c r="BY486" s="27" t="s">
        <v>8</v>
      </c>
      <c r="BZ486" s="27" t="s">
        <v>7</v>
      </c>
      <c r="CA486" s="27" t="s">
        <v>8</v>
      </c>
      <c r="DJ486" s="27" t="s">
        <v>7</v>
      </c>
      <c r="DK486" s="27" t="s">
        <v>8</v>
      </c>
      <c r="DL486" s="27" t="s">
        <v>7</v>
      </c>
      <c r="DS486" s="27" t="s">
        <v>8</v>
      </c>
      <c r="DV486" s="27" t="s">
        <v>7</v>
      </c>
      <c r="DX486" s="27" t="s">
        <v>7</v>
      </c>
      <c r="DY486" s="27" t="s">
        <v>8</v>
      </c>
      <c r="EJ486" s="27" t="s">
        <v>7</v>
      </c>
      <c r="EV486" s="27" t="s">
        <v>7</v>
      </c>
      <c r="FD486" s="27" t="s">
        <v>7</v>
      </c>
      <c r="FE486" s="27" t="s">
        <v>8</v>
      </c>
      <c r="FG486" s="27" t="s">
        <v>8</v>
      </c>
      <c r="FH486" s="27" t="s">
        <v>7</v>
      </c>
      <c r="FO486" s="27" t="s">
        <v>8</v>
      </c>
      <c r="FP486" s="27" t="s">
        <v>7</v>
      </c>
      <c r="FQ486" s="27" t="s">
        <v>8</v>
      </c>
      <c r="FR486" s="27" t="s">
        <v>7</v>
      </c>
    </row>
    <row r="487" spans="1:174" x14ac:dyDescent="0.25">
      <c r="A487" s="7">
        <v>7.2446461182523469</v>
      </c>
      <c r="B487"/>
      <c r="C487"/>
      <c r="D487"/>
      <c r="E487" t="s">
        <v>8</v>
      </c>
      <c r="AT487" s="27" t="s">
        <v>7</v>
      </c>
      <c r="AU487" s="27" t="s">
        <v>8</v>
      </c>
      <c r="AV487" s="27" t="s">
        <v>7</v>
      </c>
      <c r="AW487" s="27" t="s">
        <v>8</v>
      </c>
      <c r="AY487" s="27" t="s">
        <v>8</v>
      </c>
      <c r="AZ487" s="27" t="s">
        <v>7</v>
      </c>
      <c r="BA487" s="27" t="s">
        <v>8</v>
      </c>
      <c r="BD487" s="27" t="s">
        <v>7</v>
      </c>
      <c r="BE487" s="27" t="s">
        <v>8</v>
      </c>
      <c r="BF487" s="27" t="s">
        <v>7</v>
      </c>
      <c r="BI487" s="27" t="s">
        <v>8</v>
      </c>
      <c r="BJ487" s="27" t="s">
        <v>7</v>
      </c>
      <c r="BK487" s="27" t="s">
        <v>8</v>
      </c>
      <c r="BY487" s="27" t="s">
        <v>8</v>
      </c>
      <c r="BZ487" s="27" t="s">
        <v>7</v>
      </c>
      <c r="CA487" s="27" t="s">
        <v>8</v>
      </c>
      <c r="DJ487" s="27" t="s">
        <v>7</v>
      </c>
      <c r="DK487" s="27" t="s">
        <v>8</v>
      </c>
      <c r="DL487" s="27" t="s">
        <v>7</v>
      </c>
      <c r="DQ487" s="27" t="s">
        <v>8</v>
      </c>
      <c r="DS487" s="27" t="s">
        <v>8</v>
      </c>
      <c r="DX487" s="27" t="s">
        <v>7</v>
      </c>
      <c r="DY487" s="27" t="s">
        <v>8</v>
      </c>
      <c r="FD487" s="27" t="s">
        <v>7</v>
      </c>
      <c r="FE487" s="27" t="s">
        <v>8</v>
      </c>
      <c r="FF487" s="27" t="s">
        <v>7</v>
      </c>
      <c r="FG487" s="27" t="s">
        <v>8</v>
      </c>
      <c r="FH487" s="27" t="s">
        <v>7</v>
      </c>
      <c r="FO487" s="27" t="s">
        <v>8</v>
      </c>
      <c r="FP487" s="27" t="s">
        <v>7</v>
      </c>
      <c r="FQ487" s="27" t="s">
        <v>8</v>
      </c>
      <c r="FR487" s="27" t="s">
        <v>7</v>
      </c>
    </row>
    <row r="488" spans="1:174" x14ac:dyDescent="0.25">
      <c r="A488" s="7">
        <v>7.1025942335807324</v>
      </c>
      <c r="B488"/>
      <c r="C488"/>
      <c r="D488"/>
      <c r="E488" t="s">
        <v>8</v>
      </c>
      <c r="AT488" s="27" t="s">
        <v>7</v>
      </c>
      <c r="AU488" s="27" t="s">
        <v>8</v>
      </c>
      <c r="AV488" s="27" t="s">
        <v>7</v>
      </c>
      <c r="AW488" s="27" t="s">
        <v>8</v>
      </c>
      <c r="AX488" s="27" t="s">
        <v>7</v>
      </c>
      <c r="AY488" s="27" t="s">
        <v>8</v>
      </c>
      <c r="AZ488" s="27" t="s">
        <v>7</v>
      </c>
      <c r="BA488" s="27" t="s">
        <v>8</v>
      </c>
      <c r="BD488" s="27" t="s">
        <v>7</v>
      </c>
      <c r="BE488" s="27" t="s">
        <v>8</v>
      </c>
      <c r="BF488" s="27" t="s">
        <v>7</v>
      </c>
      <c r="BI488" s="27" t="s">
        <v>8</v>
      </c>
      <c r="BJ488" s="27" t="s">
        <v>7</v>
      </c>
      <c r="BK488" s="27" t="s">
        <v>8</v>
      </c>
      <c r="BL488" s="27" t="s">
        <v>7</v>
      </c>
      <c r="BY488" s="27" t="s">
        <v>8</v>
      </c>
      <c r="BZ488" s="27" t="s">
        <v>7</v>
      </c>
      <c r="CA488" s="27" t="s">
        <v>8</v>
      </c>
      <c r="DJ488" s="27" t="s">
        <v>7</v>
      </c>
      <c r="DK488" s="27" t="s">
        <v>8</v>
      </c>
      <c r="DL488" s="27" t="s">
        <v>7</v>
      </c>
      <c r="DM488" s="27" t="s">
        <v>8</v>
      </c>
      <c r="DQ488" s="27" t="s">
        <v>8</v>
      </c>
      <c r="DR488" s="27" t="s">
        <v>7</v>
      </c>
      <c r="DS488" s="27" t="s">
        <v>8</v>
      </c>
      <c r="DX488" s="27" t="s">
        <v>7</v>
      </c>
      <c r="FD488" s="27" t="s">
        <v>7</v>
      </c>
      <c r="FE488" s="27" t="s">
        <v>8</v>
      </c>
      <c r="FF488" s="27" t="s">
        <v>7</v>
      </c>
      <c r="FG488" s="27" t="s">
        <v>8</v>
      </c>
      <c r="FH488" s="27" t="s">
        <v>7</v>
      </c>
      <c r="FO488" s="27" t="s">
        <v>8</v>
      </c>
      <c r="FP488" s="27" t="s">
        <v>7</v>
      </c>
      <c r="FQ488" s="27" t="s">
        <v>8</v>
      </c>
      <c r="FR488" s="27" t="s">
        <v>7</v>
      </c>
    </row>
    <row r="489" spans="1:174" x14ac:dyDescent="0.25">
      <c r="A489" s="7">
        <v>6.9633276799811101</v>
      </c>
      <c r="B489"/>
      <c r="C489"/>
      <c r="D489"/>
      <c r="E489" t="s">
        <v>8</v>
      </c>
      <c r="AT489" s="27" t="s">
        <v>7</v>
      </c>
      <c r="AU489" s="27" t="s">
        <v>8</v>
      </c>
      <c r="AV489" s="27" t="s">
        <v>7</v>
      </c>
      <c r="AW489" s="27" t="s">
        <v>8</v>
      </c>
      <c r="AX489" s="27" t="s">
        <v>7</v>
      </c>
      <c r="AY489" s="27" t="s">
        <v>8</v>
      </c>
      <c r="AZ489" s="27" t="s">
        <v>7</v>
      </c>
      <c r="BA489" s="27" t="s">
        <v>8</v>
      </c>
      <c r="BD489" s="27" t="s">
        <v>7</v>
      </c>
      <c r="BE489" s="27" t="s">
        <v>8</v>
      </c>
      <c r="BF489" s="27" t="s">
        <v>7</v>
      </c>
      <c r="BI489" s="27" t="s">
        <v>8</v>
      </c>
      <c r="BJ489" s="27" t="s">
        <v>7</v>
      </c>
      <c r="BK489" s="27" t="s">
        <v>8</v>
      </c>
      <c r="BL489" s="27" t="s">
        <v>7</v>
      </c>
      <c r="BW489" s="27" t="s">
        <v>8</v>
      </c>
      <c r="BY489" s="27" t="s">
        <v>8</v>
      </c>
      <c r="BZ489" s="27" t="s">
        <v>7</v>
      </c>
      <c r="CA489" s="27" t="s">
        <v>8</v>
      </c>
      <c r="DJ489" s="27" t="s">
        <v>7</v>
      </c>
      <c r="DK489" s="27" t="s">
        <v>8</v>
      </c>
      <c r="DL489" s="27" t="s">
        <v>7</v>
      </c>
      <c r="DM489" s="27" t="s">
        <v>8</v>
      </c>
      <c r="DN489" s="27" t="s">
        <v>7</v>
      </c>
      <c r="DO489" s="27" t="s">
        <v>8</v>
      </c>
      <c r="DQ489" s="27" t="s">
        <v>8</v>
      </c>
      <c r="DR489" s="27" t="s">
        <v>7</v>
      </c>
      <c r="DS489" s="27" t="s">
        <v>8</v>
      </c>
      <c r="FD489" s="27" t="s">
        <v>7</v>
      </c>
      <c r="FE489" s="27" t="s">
        <v>8</v>
      </c>
      <c r="FF489" s="27" t="s">
        <v>7</v>
      </c>
      <c r="FG489" s="27" t="s">
        <v>8</v>
      </c>
      <c r="FH489" s="27" t="s">
        <v>7</v>
      </c>
      <c r="FO489" s="27" t="s">
        <v>8</v>
      </c>
      <c r="FP489" s="27" t="s">
        <v>7</v>
      </c>
      <c r="FQ489" s="27" t="s">
        <v>8</v>
      </c>
      <c r="FR489" s="27" t="s">
        <v>7</v>
      </c>
    </row>
    <row r="490" spans="1:174" x14ac:dyDescent="0.25">
      <c r="A490" s="7">
        <v>6.8267918431187349</v>
      </c>
      <c r="B490"/>
      <c r="C490"/>
      <c r="D490"/>
      <c r="E490" t="s">
        <v>8</v>
      </c>
      <c r="AT490" s="27" t="s">
        <v>7</v>
      </c>
      <c r="AU490" s="27" t="s">
        <v>8</v>
      </c>
      <c r="AV490" s="27" t="s">
        <v>7</v>
      </c>
      <c r="AW490" s="27" t="s">
        <v>8</v>
      </c>
      <c r="AX490" s="27" t="s">
        <v>7</v>
      </c>
      <c r="AY490" s="27" t="s">
        <v>8</v>
      </c>
      <c r="AZ490" s="27" t="s">
        <v>7</v>
      </c>
      <c r="BA490" s="27" t="s">
        <v>8</v>
      </c>
      <c r="BD490" s="27" t="s">
        <v>7</v>
      </c>
      <c r="BF490" s="27" t="s">
        <v>7</v>
      </c>
      <c r="BG490" s="27" t="s">
        <v>8</v>
      </c>
      <c r="BI490" s="27" t="s">
        <v>8</v>
      </c>
      <c r="BJ490" s="27" t="s">
        <v>7</v>
      </c>
      <c r="BK490" s="27" t="s">
        <v>8</v>
      </c>
      <c r="BL490" s="27" t="s">
        <v>7</v>
      </c>
      <c r="BW490" s="27" t="s">
        <v>8</v>
      </c>
      <c r="BX490" s="27" t="s">
        <v>7</v>
      </c>
      <c r="BY490" s="27" t="s">
        <v>8</v>
      </c>
      <c r="BZ490" s="27" t="s">
        <v>7</v>
      </c>
      <c r="CA490" s="27" t="s">
        <v>8</v>
      </c>
      <c r="DJ490" s="27" t="s">
        <v>7</v>
      </c>
      <c r="DK490" s="27" t="s">
        <v>8</v>
      </c>
      <c r="DL490" s="27" t="s">
        <v>7</v>
      </c>
      <c r="DM490" s="27" t="s">
        <v>8</v>
      </c>
      <c r="DN490" s="27" t="s">
        <v>7</v>
      </c>
      <c r="DO490" s="27" t="s">
        <v>8</v>
      </c>
      <c r="DP490" s="27" t="s">
        <v>7</v>
      </c>
      <c r="DQ490" s="27" t="s">
        <v>8</v>
      </c>
      <c r="DR490" s="27" t="s">
        <v>7</v>
      </c>
      <c r="DS490" s="27" t="s">
        <v>8</v>
      </c>
      <c r="FD490" s="27" t="s">
        <v>7</v>
      </c>
      <c r="FE490" s="27" t="s">
        <v>8</v>
      </c>
      <c r="FF490" s="27" t="s">
        <v>7</v>
      </c>
      <c r="FG490" s="27" t="s">
        <v>8</v>
      </c>
      <c r="FH490" s="27" t="s">
        <v>7</v>
      </c>
      <c r="FI490" s="27" t="s">
        <v>8</v>
      </c>
      <c r="FO490" s="27" t="s">
        <v>8</v>
      </c>
      <c r="FP490" s="27" t="s">
        <v>7</v>
      </c>
      <c r="FQ490" s="27" t="s">
        <v>8</v>
      </c>
      <c r="FR490" s="27" t="s">
        <v>7</v>
      </c>
    </row>
    <row r="491" spans="1:174" x14ac:dyDescent="0.25">
      <c r="A491" s="7">
        <v>6.692933179528171</v>
      </c>
      <c r="B491"/>
      <c r="C491"/>
      <c r="D491"/>
      <c r="E491" t="s">
        <v>8</v>
      </c>
      <c r="AT491" s="27" t="s">
        <v>7</v>
      </c>
      <c r="AU491" s="27" t="s">
        <v>8</v>
      </c>
      <c r="AV491" s="27" t="s">
        <v>7</v>
      </c>
      <c r="AW491" s="27" t="s">
        <v>8</v>
      </c>
      <c r="AX491" s="27" t="s">
        <v>7</v>
      </c>
      <c r="AY491" s="27" t="s">
        <v>8</v>
      </c>
      <c r="AZ491" s="27" t="s">
        <v>7</v>
      </c>
      <c r="BA491" s="27" t="s">
        <v>8</v>
      </c>
      <c r="BF491" s="27" t="s">
        <v>7</v>
      </c>
      <c r="BG491" s="27" t="s">
        <v>8</v>
      </c>
      <c r="BH491" s="27" t="s">
        <v>7</v>
      </c>
      <c r="BI491" s="27" t="s">
        <v>8</v>
      </c>
      <c r="BJ491" s="27" t="s">
        <v>7</v>
      </c>
      <c r="BK491" s="27" t="s">
        <v>8</v>
      </c>
      <c r="BL491" s="27" t="s">
        <v>7</v>
      </c>
      <c r="BW491" s="27" t="s">
        <v>8</v>
      </c>
      <c r="BX491" s="27" t="s">
        <v>7</v>
      </c>
      <c r="BY491" s="27" t="s">
        <v>8</v>
      </c>
      <c r="BZ491" s="27" t="s">
        <v>7</v>
      </c>
      <c r="CA491" s="27" t="s">
        <v>8</v>
      </c>
      <c r="DJ491" s="27" t="s">
        <v>7</v>
      </c>
      <c r="DK491" s="27" t="s">
        <v>8</v>
      </c>
      <c r="DL491" s="27" t="s">
        <v>7</v>
      </c>
      <c r="DM491" s="27" t="s">
        <v>8</v>
      </c>
      <c r="DN491" s="27" t="s">
        <v>7</v>
      </c>
      <c r="DO491" s="27" t="s">
        <v>8</v>
      </c>
      <c r="DP491" s="27" t="s">
        <v>7</v>
      </c>
      <c r="DQ491" s="27" t="s">
        <v>8</v>
      </c>
      <c r="DR491" s="27" t="s">
        <v>7</v>
      </c>
      <c r="DS491" s="27" t="s">
        <v>8</v>
      </c>
      <c r="FD491" s="27" t="s">
        <v>7</v>
      </c>
      <c r="FE491" s="27" t="s">
        <v>8</v>
      </c>
      <c r="FF491" s="27" t="s">
        <v>7</v>
      </c>
      <c r="FG491" s="27" t="s">
        <v>8</v>
      </c>
      <c r="FH491" s="27" t="s">
        <v>7</v>
      </c>
      <c r="FI491" s="27" t="s">
        <v>8</v>
      </c>
      <c r="FJ491" s="27" t="s">
        <v>7</v>
      </c>
      <c r="FO491" s="27" t="s">
        <v>8</v>
      </c>
      <c r="FP491" s="27" t="s">
        <v>7</v>
      </c>
      <c r="FQ491" s="27" t="s">
        <v>8</v>
      </c>
      <c r="FR491" s="27" t="s">
        <v>7</v>
      </c>
    </row>
    <row r="492" spans="1:174" x14ac:dyDescent="0.25">
      <c r="A492" s="7">
        <v>6.5616991956158541</v>
      </c>
      <c r="B492"/>
      <c r="C492"/>
      <c r="D492"/>
      <c r="E492" t="s">
        <v>8</v>
      </c>
      <c r="AT492" s="27" t="s">
        <v>7</v>
      </c>
      <c r="AU492" s="27" t="s">
        <v>8</v>
      </c>
      <c r="AV492" s="27" t="s">
        <v>7</v>
      </c>
      <c r="AW492" s="27" t="s">
        <v>8</v>
      </c>
      <c r="AX492" s="27" t="s">
        <v>7</v>
      </c>
      <c r="AY492" s="27" t="s">
        <v>8</v>
      </c>
      <c r="AZ492" s="27" t="s">
        <v>7</v>
      </c>
      <c r="BA492" s="27" t="s">
        <v>8</v>
      </c>
      <c r="BF492" s="27" t="s">
        <v>7</v>
      </c>
      <c r="BG492" s="27" t="s">
        <v>8</v>
      </c>
      <c r="BH492" s="27" t="s">
        <v>7</v>
      </c>
      <c r="BI492" s="27" t="s">
        <v>8</v>
      </c>
      <c r="BJ492" s="27" t="s">
        <v>7</v>
      </c>
      <c r="BK492" s="27" t="s">
        <v>8</v>
      </c>
      <c r="BL492" s="27" t="s">
        <v>7</v>
      </c>
      <c r="BW492" s="27" t="s">
        <v>8</v>
      </c>
      <c r="BX492" s="27" t="s">
        <v>7</v>
      </c>
      <c r="BY492" s="27" t="s">
        <v>8</v>
      </c>
      <c r="BZ492" s="27" t="s">
        <v>7</v>
      </c>
      <c r="CA492" s="27" t="s">
        <v>8</v>
      </c>
      <c r="DJ492" s="27" t="s">
        <v>7</v>
      </c>
      <c r="DK492" s="27" t="s">
        <v>8</v>
      </c>
      <c r="DL492" s="27" t="s">
        <v>7</v>
      </c>
      <c r="DM492" s="27" t="s">
        <v>8</v>
      </c>
      <c r="DN492" s="27" t="s">
        <v>7</v>
      </c>
      <c r="DO492" s="27" t="s">
        <v>8</v>
      </c>
      <c r="DP492" s="27" t="s">
        <v>7</v>
      </c>
      <c r="DQ492" s="27" t="s">
        <v>8</v>
      </c>
      <c r="DR492" s="27" t="s">
        <v>7</v>
      </c>
      <c r="DS492" s="27" t="s">
        <v>8</v>
      </c>
      <c r="FD492" s="27" t="s">
        <v>7</v>
      </c>
      <c r="FE492" s="27" t="s">
        <v>8</v>
      </c>
      <c r="FF492" s="27" t="s">
        <v>7</v>
      </c>
      <c r="FG492" s="27" t="s">
        <v>8</v>
      </c>
      <c r="FH492" s="27" t="s">
        <v>7</v>
      </c>
      <c r="FI492" s="27" t="s">
        <v>8</v>
      </c>
      <c r="FJ492" s="27" t="s">
        <v>7</v>
      </c>
      <c r="FO492" s="27" t="s">
        <v>8</v>
      </c>
      <c r="FP492" s="27" t="s">
        <v>7</v>
      </c>
      <c r="FQ492" s="27" t="s">
        <v>8</v>
      </c>
      <c r="FR492" s="27" t="s">
        <v>7</v>
      </c>
    </row>
    <row r="493" spans="1:174" x14ac:dyDescent="0.25">
      <c r="A493" s="7">
        <v>6.4330384270743668</v>
      </c>
      <c r="B493"/>
      <c r="C493"/>
      <c r="D493"/>
      <c r="E493" t="s">
        <v>8</v>
      </c>
      <c r="AT493" s="27" t="s">
        <v>7</v>
      </c>
      <c r="AU493" s="27" t="s">
        <v>8</v>
      </c>
      <c r="AV493" s="27" t="s">
        <v>7</v>
      </c>
      <c r="AW493" s="27" t="s">
        <v>8</v>
      </c>
      <c r="AX493" s="27" t="s">
        <v>7</v>
      </c>
      <c r="AY493" s="27" t="s">
        <v>8</v>
      </c>
      <c r="AZ493" s="27" t="s">
        <v>7</v>
      </c>
      <c r="BA493" s="27" t="s">
        <v>8</v>
      </c>
      <c r="BF493" s="27" t="s">
        <v>7</v>
      </c>
      <c r="BG493" s="27" t="s">
        <v>8</v>
      </c>
      <c r="BH493" s="27" t="s">
        <v>7</v>
      </c>
      <c r="BI493" s="27" t="s">
        <v>8</v>
      </c>
      <c r="BJ493" s="27" t="s">
        <v>7</v>
      </c>
      <c r="BK493" s="27" t="s">
        <v>8</v>
      </c>
      <c r="BL493" s="27" t="s">
        <v>7</v>
      </c>
      <c r="BW493" s="27" t="s">
        <v>8</v>
      </c>
      <c r="BX493" s="27" t="s">
        <v>7</v>
      </c>
      <c r="BY493" s="27" t="s">
        <v>8</v>
      </c>
      <c r="BZ493" s="27" t="s">
        <v>7</v>
      </c>
      <c r="CA493" s="27" t="s">
        <v>8</v>
      </c>
      <c r="DJ493" s="27" t="s">
        <v>7</v>
      </c>
      <c r="DK493" s="27" t="s">
        <v>8</v>
      </c>
      <c r="DL493" s="27" t="s">
        <v>7</v>
      </c>
      <c r="DN493" s="27" t="s">
        <v>7</v>
      </c>
      <c r="DO493" s="27" t="s">
        <v>8</v>
      </c>
      <c r="DP493" s="27" t="s">
        <v>7</v>
      </c>
      <c r="DQ493" s="27" t="s">
        <v>8</v>
      </c>
      <c r="DR493" s="27" t="s">
        <v>7</v>
      </c>
      <c r="FD493" s="27" t="s">
        <v>7</v>
      </c>
      <c r="FE493" s="27" t="s">
        <v>8</v>
      </c>
      <c r="FF493" s="27" t="s">
        <v>7</v>
      </c>
      <c r="FG493" s="27" t="s">
        <v>8</v>
      </c>
      <c r="FH493" s="27" t="s">
        <v>7</v>
      </c>
      <c r="FI493" s="27" t="s">
        <v>8</v>
      </c>
      <c r="FJ493" s="27" t="s">
        <v>7</v>
      </c>
      <c r="FK493" s="27" t="s">
        <v>8</v>
      </c>
      <c r="FO493" s="27" t="s">
        <v>8</v>
      </c>
      <c r="FP493" s="27" t="s">
        <v>7</v>
      </c>
      <c r="FQ493" s="27" t="s">
        <v>8</v>
      </c>
      <c r="FR493" s="27" t="s">
        <v>7</v>
      </c>
    </row>
    <row r="494" spans="1:174" x14ac:dyDescent="0.25">
      <c r="A494" s="7">
        <v>6.3069004187003594</v>
      </c>
      <c r="B494"/>
      <c r="C494"/>
      <c r="D494"/>
      <c r="E494" t="s">
        <v>8</v>
      </c>
      <c r="AT494" s="27" t="s">
        <v>7</v>
      </c>
      <c r="AU494" s="27" t="s">
        <v>8</v>
      </c>
      <c r="AV494" s="27" t="s">
        <v>7</v>
      </c>
      <c r="AW494" s="27" t="s">
        <v>8</v>
      </c>
      <c r="AX494" s="27" t="s">
        <v>7</v>
      </c>
      <c r="AY494" s="27" t="s">
        <v>8</v>
      </c>
      <c r="AZ494" s="27" t="s">
        <v>7</v>
      </c>
      <c r="BF494" s="27" t="s">
        <v>7</v>
      </c>
      <c r="BG494" s="27" t="s">
        <v>8</v>
      </c>
      <c r="BH494" s="27" t="s">
        <v>7</v>
      </c>
      <c r="BI494" s="27" t="s">
        <v>8</v>
      </c>
      <c r="BJ494" s="27" t="s">
        <v>7</v>
      </c>
      <c r="BK494" s="27" t="s">
        <v>8</v>
      </c>
      <c r="BL494" s="27" t="s">
        <v>7</v>
      </c>
      <c r="BU494" s="27" t="s">
        <v>8</v>
      </c>
      <c r="BW494" s="27" t="s">
        <v>8</v>
      </c>
      <c r="BX494" s="27" t="s">
        <v>7</v>
      </c>
      <c r="BY494" s="27" t="s">
        <v>8</v>
      </c>
      <c r="BZ494" s="27" t="s">
        <v>7</v>
      </c>
      <c r="CA494" s="27" t="s">
        <v>8</v>
      </c>
      <c r="DJ494" s="27" t="s">
        <v>7</v>
      </c>
      <c r="DN494" s="27" t="s">
        <v>7</v>
      </c>
      <c r="DO494" s="27" t="s">
        <v>8</v>
      </c>
      <c r="DP494" s="27" t="s">
        <v>7</v>
      </c>
      <c r="DQ494" s="27" t="s">
        <v>8</v>
      </c>
      <c r="FD494" s="27" t="s">
        <v>7</v>
      </c>
      <c r="FF494" s="27" t="s">
        <v>7</v>
      </c>
      <c r="FG494" s="27" t="s">
        <v>8</v>
      </c>
      <c r="FH494" s="27" t="s">
        <v>7</v>
      </c>
      <c r="FJ494" s="27" t="s">
        <v>7</v>
      </c>
      <c r="FK494" s="27" t="s">
        <v>8</v>
      </c>
      <c r="FL494" s="27" t="s">
        <v>7</v>
      </c>
      <c r="FO494" s="27" t="s">
        <v>8</v>
      </c>
      <c r="FP494" s="27" t="s">
        <v>7</v>
      </c>
      <c r="FQ494" s="27" t="s">
        <v>8</v>
      </c>
      <c r="FR494" s="27" t="s">
        <v>7</v>
      </c>
    </row>
    <row r="495" spans="1:174" x14ac:dyDescent="0.25">
      <c r="A495" s="7">
        <v>6.1832357046081956</v>
      </c>
      <c r="B495"/>
      <c r="C495"/>
      <c r="D495"/>
      <c r="E495" t="s">
        <v>8</v>
      </c>
      <c r="AT495" s="27" t="s">
        <v>7</v>
      </c>
      <c r="AU495" s="27" t="s">
        <v>8</v>
      </c>
      <c r="AV495" s="27" t="s">
        <v>7</v>
      </c>
      <c r="AW495" s="27" t="s">
        <v>8</v>
      </c>
      <c r="AX495" s="27" t="s">
        <v>7</v>
      </c>
      <c r="AY495" s="27" t="s">
        <v>8</v>
      </c>
      <c r="BF495" s="27" t="s">
        <v>7</v>
      </c>
      <c r="BG495" s="27" t="s">
        <v>8</v>
      </c>
      <c r="BH495" s="27" t="s">
        <v>7</v>
      </c>
      <c r="BI495" s="27" t="s">
        <v>8</v>
      </c>
      <c r="BJ495" s="27" t="s">
        <v>7</v>
      </c>
      <c r="BK495" s="27" t="s">
        <v>8</v>
      </c>
      <c r="BL495" s="27" t="s">
        <v>7</v>
      </c>
      <c r="BU495" s="27" t="s">
        <v>8</v>
      </c>
      <c r="BV495" s="27" t="s">
        <v>7</v>
      </c>
      <c r="BW495" s="27" t="s">
        <v>8</v>
      </c>
      <c r="BX495" s="27" t="s">
        <v>7</v>
      </c>
      <c r="BY495" s="27" t="s">
        <v>8</v>
      </c>
      <c r="BZ495" s="27" t="s">
        <v>7</v>
      </c>
      <c r="CA495" s="27" t="s">
        <v>8</v>
      </c>
      <c r="DN495" s="27" t="s">
        <v>7</v>
      </c>
      <c r="DO495" s="27" t="s">
        <v>8</v>
      </c>
      <c r="DP495" s="27" t="s">
        <v>7</v>
      </c>
      <c r="FF495" s="27" t="s">
        <v>7</v>
      </c>
      <c r="FG495" s="27" t="s">
        <v>8</v>
      </c>
      <c r="FJ495" s="27" t="s">
        <v>7</v>
      </c>
      <c r="FK495" s="27" t="s">
        <v>8</v>
      </c>
      <c r="FL495" s="27" t="s">
        <v>7</v>
      </c>
      <c r="FM495" s="27" t="s">
        <v>8</v>
      </c>
      <c r="FO495" s="27" t="s">
        <v>8</v>
      </c>
      <c r="FP495" s="27" t="s">
        <v>7</v>
      </c>
      <c r="FQ495" s="27" t="s">
        <v>8</v>
      </c>
      <c r="FR495" s="27" t="s">
        <v>7</v>
      </c>
    </row>
    <row r="496" spans="1:174" x14ac:dyDescent="0.25">
      <c r="A496" s="7">
        <v>6.0619957888315641</v>
      </c>
      <c r="B496"/>
      <c r="C496"/>
      <c r="D496"/>
      <c r="E496" t="s">
        <v>8</v>
      </c>
      <c r="AT496" s="27" t="s">
        <v>7</v>
      </c>
      <c r="AV496" s="27" t="s">
        <v>7</v>
      </c>
      <c r="AW496" s="27" t="s">
        <v>8</v>
      </c>
      <c r="AX496" s="27" t="s">
        <v>7</v>
      </c>
      <c r="AY496" s="27" t="s">
        <v>8</v>
      </c>
      <c r="BF496" s="27" t="s">
        <v>7</v>
      </c>
      <c r="BG496" s="27" t="s">
        <v>8</v>
      </c>
      <c r="BH496" s="27" t="s">
        <v>7</v>
      </c>
      <c r="BI496" s="27" t="s">
        <v>8</v>
      </c>
      <c r="BJ496" s="27" t="s">
        <v>7</v>
      </c>
      <c r="BK496" s="27" t="s">
        <v>8</v>
      </c>
      <c r="BL496" s="27" t="s">
        <v>7</v>
      </c>
      <c r="BU496" s="27" t="s">
        <v>8</v>
      </c>
      <c r="BV496" s="27" t="s">
        <v>7</v>
      </c>
      <c r="BW496" s="27" t="s">
        <v>8</v>
      </c>
      <c r="BX496" s="27" t="s">
        <v>7</v>
      </c>
      <c r="BY496" s="27" t="s">
        <v>8</v>
      </c>
      <c r="BZ496" s="27" t="s">
        <v>7</v>
      </c>
      <c r="CA496" s="27" t="s">
        <v>8</v>
      </c>
      <c r="DN496" s="27" t="s">
        <v>7</v>
      </c>
      <c r="FF496" s="27" t="s">
        <v>7</v>
      </c>
      <c r="FG496" s="27" t="s">
        <v>8</v>
      </c>
      <c r="FJ496" s="27" t="s">
        <v>7</v>
      </c>
      <c r="FK496" s="27" t="s">
        <v>8</v>
      </c>
      <c r="FL496" s="27" t="s">
        <v>7</v>
      </c>
      <c r="FM496" s="27" t="s">
        <v>8</v>
      </c>
      <c r="FN496" s="27" t="s">
        <v>7</v>
      </c>
      <c r="FO496" s="27" t="s">
        <v>8</v>
      </c>
      <c r="FP496" s="27" t="s">
        <v>7</v>
      </c>
      <c r="FQ496" s="27" t="s">
        <v>8</v>
      </c>
      <c r="FR496" s="27" t="s">
        <v>7</v>
      </c>
    </row>
    <row r="497" spans="1:180" x14ac:dyDescent="0.25">
      <c r="A497" s="7">
        <v>5.9431331263054545</v>
      </c>
      <c r="B497"/>
      <c r="C497"/>
      <c r="D497"/>
      <c r="E497" t="s">
        <v>8</v>
      </c>
      <c r="AV497" s="27" t="s">
        <v>7</v>
      </c>
      <c r="AX497" s="27" t="s">
        <v>7</v>
      </c>
      <c r="AY497" s="27" t="s">
        <v>8</v>
      </c>
      <c r="BF497" s="27" t="s">
        <v>7</v>
      </c>
      <c r="BG497" s="27" t="s">
        <v>8</v>
      </c>
      <c r="BH497" s="27" t="s">
        <v>7</v>
      </c>
      <c r="BJ497" s="27" t="s">
        <v>7</v>
      </c>
      <c r="BL497" s="27" t="s">
        <v>7</v>
      </c>
      <c r="BU497" s="27" t="s">
        <v>8</v>
      </c>
      <c r="BV497" s="27" t="s">
        <v>7</v>
      </c>
      <c r="BW497" s="27" t="s">
        <v>8</v>
      </c>
      <c r="BX497" s="27" t="s">
        <v>7</v>
      </c>
      <c r="BZ497" s="27" t="s">
        <v>7</v>
      </c>
      <c r="CA497" s="27" t="s">
        <v>8</v>
      </c>
      <c r="FF497" s="27" t="s">
        <v>7</v>
      </c>
      <c r="FG497" s="27" t="s">
        <v>8</v>
      </c>
      <c r="FJ497" s="27" t="s">
        <v>7</v>
      </c>
      <c r="FL497" s="27" t="s">
        <v>7</v>
      </c>
      <c r="FM497" s="27" t="s">
        <v>8</v>
      </c>
      <c r="FN497" s="27" t="s">
        <v>7</v>
      </c>
      <c r="FO497" s="27" t="s">
        <v>8</v>
      </c>
      <c r="FP497" s="27" t="s">
        <v>7</v>
      </c>
      <c r="FQ497" s="27" t="s">
        <v>8</v>
      </c>
      <c r="FR497" s="27" t="s">
        <v>7</v>
      </c>
    </row>
    <row r="498" spans="1:180" x14ac:dyDescent="0.25">
      <c r="A498" s="7">
        <v>5.8266011042210337</v>
      </c>
      <c r="B498"/>
      <c r="C498"/>
      <c r="D498"/>
      <c r="E498" t="s">
        <v>8</v>
      </c>
      <c r="AX498" s="27" t="s">
        <v>7</v>
      </c>
      <c r="AY498" s="27" t="s">
        <v>8</v>
      </c>
      <c r="BF498" s="27" t="s">
        <v>7</v>
      </c>
      <c r="BG498" s="27" t="s">
        <v>8</v>
      </c>
      <c r="BL498" s="27" t="s">
        <v>7</v>
      </c>
      <c r="BU498" s="27" t="s">
        <v>8</v>
      </c>
      <c r="BV498" s="27" t="s">
        <v>7</v>
      </c>
      <c r="BW498" s="27" t="s">
        <v>8</v>
      </c>
      <c r="BZ498" s="27" t="s">
        <v>7</v>
      </c>
      <c r="CA498" s="27" t="s">
        <v>8</v>
      </c>
      <c r="FF498" s="27" t="s">
        <v>7</v>
      </c>
      <c r="FL498" s="27" t="s">
        <v>7</v>
      </c>
      <c r="FM498" s="27" t="s">
        <v>8</v>
      </c>
      <c r="FN498" s="27" t="s">
        <v>7</v>
      </c>
      <c r="FO498" s="27" t="s">
        <v>8</v>
      </c>
      <c r="FP498" s="27" t="s">
        <v>7</v>
      </c>
      <c r="FQ498" s="27" t="s">
        <v>8</v>
      </c>
      <c r="FR498" s="27" t="s">
        <v>7</v>
      </c>
      <c r="FS498" s="27" t="s">
        <v>8</v>
      </c>
      <c r="FW498" s="27" t="s">
        <v>8</v>
      </c>
    </row>
    <row r="499" spans="1:180" x14ac:dyDescent="0.25">
      <c r="A499" s="7">
        <v>5.7123540237461112</v>
      </c>
      <c r="B499"/>
      <c r="C499"/>
      <c r="D499"/>
      <c r="E499" t="s">
        <v>8</v>
      </c>
      <c r="AX499" s="27" t="s">
        <v>7</v>
      </c>
      <c r="AY499" s="27" t="s">
        <v>8</v>
      </c>
      <c r="BF499" s="27" t="s">
        <v>7</v>
      </c>
      <c r="BG499" s="27" t="s">
        <v>8</v>
      </c>
      <c r="BL499" s="27" t="s">
        <v>7</v>
      </c>
      <c r="BU499" s="27" t="s">
        <v>8</v>
      </c>
      <c r="BV499" s="27" t="s">
        <v>7</v>
      </c>
      <c r="BW499" s="27" t="s">
        <v>8</v>
      </c>
      <c r="BZ499" s="27" t="s">
        <v>7</v>
      </c>
      <c r="CA499" s="27" t="s">
        <v>8</v>
      </c>
      <c r="FL499" s="27" t="s">
        <v>7</v>
      </c>
      <c r="FM499" s="27" t="s">
        <v>8</v>
      </c>
      <c r="FN499" s="27" t="s">
        <v>7</v>
      </c>
      <c r="FO499" s="27" t="s">
        <v>8</v>
      </c>
      <c r="FP499" s="27" t="s">
        <v>7</v>
      </c>
      <c r="FR499" s="27" t="s">
        <v>7</v>
      </c>
      <c r="FS499" s="27" t="s">
        <v>8</v>
      </c>
      <c r="FT499" s="27" t="s">
        <v>7</v>
      </c>
      <c r="FU499" s="27" t="s">
        <v>8</v>
      </c>
      <c r="FW499" s="27" t="s">
        <v>8</v>
      </c>
      <c r="FX499" s="27" t="s">
        <v>7</v>
      </c>
    </row>
    <row r="500" spans="1:180" x14ac:dyDescent="0.25">
      <c r="A500" s="7">
        <v>5.6003470821040304</v>
      </c>
      <c r="B500"/>
      <c r="C500"/>
      <c r="D500"/>
      <c r="E500" t="s">
        <v>8</v>
      </c>
      <c r="AX500" s="27" t="s">
        <v>7</v>
      </c>
      <c r="AY500" s="27" t="s">
        <v>8</v>
      </c>
      <c r="BF500" s="27" t="s">
        <v>7</v>
      </c>
      <c r="BG500" s="27" t="s">
        <v>8</v>
      </c>
      <c r="BL500" s="27" t="s">
        <v>7</v>
      </c>
      <c r="BU500" s="27" t="s">
        <v>8</v>
      </c>
      <c r="BV500" s="27" t="s">
        <v>7</v>
      </c>
      <c r="BW500" s="27" t="s">
        <v>8</v>
      </c>
      <c r="BZ500" s="27" t="s">
        <v>7</v>
      </c>
      <c r="CA500" s="27" t="s">
        <v>8</v>
      </c>
      <c r="FL500" s="27" t="s">
        <v>7</v>
      </c>
      <c r="FM500" s="27" t="s">
        <v>8</v>
      </c>
      <c r="FN500" s="27" t="s">
        <v>7</v>
      </c>
      <c r="FR500" s="27" t="s">
        <v>7</v>
      </c>
      <c r="FS500" s="27" t="s">
        <v>8</v>
      </c>
      <c r="FT500" s="27" t="s">
        <v>7</v>
      </c>
      <c r="FU500" s="27" t="s">
        <v>8</v>
      </c>
      <c r="FV500" s="27" t="s">
        <v>7</v>
      </c>
      <c r="FW500" s="27" t="s">
        <v>8</v>
      </c>
      <c r="FX500" s="27" t="s">
        <v>7</v>
      </c>
    </row>
    <row r="501" spans="1:180" x14ac:dyDescent="0.25">
      <c r="A501" s="7">
        <v>5.4905363550039512</v>
      </c>
      <c r="B501"/>
      <c r="C501"/>
      <c r="D501"/>
      <c r="E501" t="s">
        <v>8</v>
      </c>
      <c r="AX501" s="27" t="s">
        <v>7</v>
      </c>
      <c r="AY501" s="27" t="s">
        <v>8</v>
      </c>
      <c r="BF501" s="27" t="s">
        <v>7</v>
      </c>
      <c r="BL501" s="27" t="s">
        <v>7</v>
      </c>
      <c r="BS501" s="27" t="s">
        <v>8</v>
      </c>
      <c r="BU501" s="27" t="s">
        <v>8</v>
      </c>
      <c r="BV501" s="27" t="s">
        <v>7</v>
      </c>
      <c r="BW501" s="27" t="s">
        <v>8</v>
      </c>
      <c r="BZ501" s="27" t="s">
        <v>7</v>
      </c>
      <c r="CA501" s="27" t="s">
        <v>8</v>
      </c>
      <c r="FL501" s="27" t="s">
        <v>7</v>
      </c>
      <c r="FR501" s="27" t="s">
        <v>7</v>
      </c>
      <c r="FS501" s="27" t="s">
        <v>8</v>
      </c>
      <c r="FT501" s="27" t="s">
        <v>7</v>
      </c>
      <c r="FU501" s="27" t="s">
        <v>8</v>
      </c>
      <c r="FV501" s="27" t="s">
        <v>7</v>
      </c>
      <c r="FW501" s="27" t="s">
        <v>8</v>
      </c>
      <c r="FX501" s="27" t="s">
        <v>7</v>
      </c>
    </row>
    <row r="502" spans="1:180" x14ac:dyDescent="0.25">
      <c r="A502" s="7">
        <v>5.3828787794156385</v>
      </c>
      <c r="B502"/>
      <c r="C502"/>
      <c r="D502"/>
      <c r="E502" t="s">
        <v>8</v>
      </c>
      <c r="AX502" s="27" t="s">
        <v>7</v>
      </c>
      <c r="AY502" s="27" t="s">
        <v>8</v>
      </c>
      <c r="BL502" s="27" t="s">
        <v>7</v>
      </c>
      <c r="BM502" s="27" t="s">
        <v>8</v>
      </c>
      <c r="BS502" s="27" t="s">
        <v>8</v>
      </c>
      <c r="BT502" s="27" t="s">
        <v>7</v>
      </c>
      <c r="BU502" s="27" t="s">
        <v>8</v>
      </c>
      <c r="BV502" s="27" t="s">
        <v>7</v>
      </c>
      <c r="BW502" s="27" t="s">
        <v>8</v>
      </c>
      <c r="BZ502" s="27" t="s">
        <v>7</v>
      </c>
      <c r="CA502" s="27" t="s">
        <v>8</v>
      </c>
      <c r="FR502" s="27" t="s">
        <v>7</v>
      </c>
      <c r="FT502" s="27" t="s">
        <v>7</v>
      </c>
      <c r="FU502" s="27" t="s">
        <v>8</v>
      </c>
      <c r="FV502" s="27" t="s">
        <v>7</v>
      </c>
      <c r="FW502" s="27" t="s">
        <v>8</v>
      </c>
      <c r="FX502" s="27" t="s">
        <v>7</v>
      </c>
    </row>
    <row r="503" spans="1:180" x14ac:dyDescent="0.25">
      <c r="A503" s="7">
        <v>5.2773321366819985</v>
      </c>
      <c r="B503"/>
      <c r="C503"/>
      <c r="D503"/>
      <c r="E503" t="s">
        <v>8</v>
      </c>
      <c r="AX503" s="27" t="s">
        <v>7</v>
      </c>
      <c r="AY503" s="27" t="s">
        <v>8</v>
      </c>
      <c r="BL503" s="27" t="s">
        <v>7</v>
      </c>
      <c r="BM503" s="27" t="s">
        <v>8</v>
      </c>
      <c r="BN503" s="27" t="s">
        <v>7</v>
      </c>
      <c r="BS503" s="27" t="s">
        <v>8</v>
      </c>
      <c r="BT503" s="27" t="s">
        <v>7</v>
      </c>
      <c r="BU503" s="27" t="s">
        <v>8</v>
      </c>
      <c r="BV503" s="27" t="s">
        <v>7</v>
      </c>
      <c r="BW503" s="27" t="s">
        <v>8</v>
      </c>
      <c r="BZ503" s="27" t="s">
        <v>7</v>
      </c>
      <c r="CA503" s="27" t="s">
        <v>8</v>
      </c>
      <c r="FT503" s="27" t="s">
        <v>7</v>
      </c>
      <c r="FU503" s="27" t="s">
        <v>8</v>
      </c>
      <c r="FV503" s="27" t="s">
        <v>7</v>
      </c>
      <c r="FX503" s="27" t="s">
        <v>7</v>
      </c>
    </row>
    <row r="504" spans="1:180" x14ac:dyDescent="0.25">
      <c r="A504" s="7">
        <v>5.1738550359627435</v>
      </c>
      <c r="B504"/>
      <c r="C504"/>
      <c r="D504"/>
      <c r="E504" t="s">
        <v>8</v>
      </c>
      <c r="AX504" s="27" t="s">
        <v>7</v>
      </c>
      <c r="AY504" s="27" t="s">
        <v>8</v>
      </c>
      <c r="BL504" s="27" t="s">
        <v>7</v>
      </c>
      <c r="BM504" s="27" t="s">
        <v>8</v>
      </c>
      <c r="BN504" s="27" t="s">
        <v>7</v>
      </c>
      <c r="BS504" s="27" t="s">
        <v>8</v>
      </c>
      <c r="BT504" s="27" t="s">
        <v>7</v>
      </c>
      <c r="BU504" s="27" t="s">
        <v>8</v>
      </c>
      <c r="BV504" s="27" t="s">
        <v>7</v>
      </c>
      <c r="BW504" s="27" t="s">
        <v>8</v>
      </c>
      <c r="BZ504" s="27" t="s">
        <v>7</v>
      </c>
      <c r="CA504" s="27" t="s">
        <v>8</v>
      </c>
      <c r="FT504" s="27" t="s">
        <v>7</v>
      </c>
      <c r="FU504" s="27" t="s">
        <v>8</v>
      </c>
      <c r="FX504" s="27" t="s">
        <v>7</v>
      </c>
    </row>
    <row r="505" spans="1:180" x14ac:dyDescent="0.25">
      <c r="A505" s="7">
        <v>5.07240689800269</v>
      </c>
      <c r="B505"/>
      <c r="C505"/>
      <c r="D505"/>
      <c r="E505" t="s">
        <v>8</v>
      </c>
      <c r="AX505" s="27" t="s">
        <v>7</v>
      </c>
      <c r="AY505" s="27" t="s">
        <v>8</v>
      </c>
      <c r="BL505" s="27" t="s">
        <v>7</v>
      </c>
      <c r="BM505" s="27" t="s">
        <v>8</v>
      </c>
      <c r="BN505" s="27" t="s">
        <v>7</v>
      </c>
      <c r="BS505" s="27" t="s">
        <v>8</v>
      </c>
      <c r="BT505" s="27" t="s">
        <v>7</v>
      </c>
      <c r="BU505" s="27" t="s">
        <v>8</v>
      </c>
      <c r="BV505" s="27" t="s">
        <v>7</v>
      </c>
      <c r="BW505" s="27" t="s">
        <v>8</v>
      </c>
      <c r="BZ505" s="27" t="s">
        <v>7</v>
      </c>
      <c r="CA505" s="27" t="s">
        <v>8</v>
      </c>
      <c r="FT505" s="27" t="s">
        <v>7</v>
      </c>
      <c r="FU505" s="27" t="s">
        <v>8</v>
      </c>
      <c r="FX505" s="27" t="s">
        <v>7</v>
      </c>
    </row>
    <row r="506" spans="1:180" x14ac:dyDescent="0.25">
      <c r="A506" s="7">
        <v>4.9729479392183231</v>
      </c>
      <c r="B506"/>
      <c r="C506"/>
      <c r="D506"/>
      <c r="E506" t="s">
        <v>8</v>
      </c>
      <c r="AX506" s="27" t="s">
        <v>7</v>
      </c>
      <c r="AY506" s="27" t="s">
        <v>8</v>
      </c>
      <c r="BL506" s="27" t="s">
        <v>7</v>
      </c>
      <c r="BM506" s="27" t="s">
        <v>8</v>
      </c>
      <c r="BN506" s="27" t="s">
        <v>7</v>
      </c>
      <c r="BS506" s="27" t="s">
        <v>8</v>
      </c>
      <c r="BT506" s="27" t="s">
        <v>7</v>
      </c>
      <c r="BU506" s="27" t="s">
        <v>8</v>
      </c>
      <c r="BV506" s="27" t="s">
        <v>7</v>
      </c>
      <c r="BZ506" s="18" t="s">
        <v>7</v>
      </c>
      <c r="CA506" s="27" t="s">
        <v>8</v>
      </c>
      <c r="FT506" s="27" t="s">
        <v>7</v>
      </c>
      <c r="FU506" s="27" t="s">
        <v>8</v>
      </c>
      <c r="FX506" s="27" t="s">
        <v>7</v>
      </c>
    </row>
    <row r="507" spans="1:180" x14ac:dyDescent="0.25">
      <c r="A507" s="7">
        <v>4.8754391560963954</v>
      </c>
      <c r="B507"/>
      <c r="C507"/>
      <c r="D507"/>
      <c r="E507" t="s">
        <v>8</v>
      </c>
      <c r="AX507" s="27" t="s">
        <v>7</v>
      </c>
      <c r="AY507" s="27" t="s">
        <v>8</v>
      </c>
      <c r="BL507" s="27" t="s">
        <v>7</v>
      </c>
      <c r="BM507" s="27" t="s">
        <v>8</v>
      </c>
      <c r="BN507" s="27" t="s">
        <v>7</v>
      </c>
      <c r="BS507" s="27" t="s">
        <v>8</v>
      </c>
      <c r="BT507" s="27" t="s">
        <v>7</v>
      </c>
      <c r="BU507" s="27" t="s">
        <v>8</v>
      </c>
      <c r="BZ507" s="27" t="s">
        <v>7</v>
      </c>
      <c r="CA507" s="27" t="s">
        <v>8</v>
      </c>
      <c r="FT507" s="27" t="s">
        <v>7</v>
      </c>
      <c r="FU507" s="27" t="s">
        <v>8</v>
      </c>
      <c r="FX507" s="27" t="s">
        <v>7</v>
      </c>
    </row>
    <row r="508" spans="1:180" x14ac:dyDescent="0.25">
      <c r="A508" s="7">
        <v>4.7798423098984264</v>
      </c>
      <c r="B508"/>
      <c r="C508"/>
      <c r="D508"/>
      <c r="E508" t="s">
        <v>8</v>
      </c>
      <c r="AX508" s="27" t="s">
        <v>7</v>
      </c>
      <c r="AY508" s="27" t="s">
        <v>8</v>
      </c>
      <c r="BL508" s="27" t="s">
        <v>7</v>
      </c>
      <c r="BM508" s="27" t="s">
        <v>8</v>
      </c>
      <c r="BN508" s="27" t="s">
        <v>7</v>
      </c>
      <c r="BO508" s="27" t="s">
        <v>8</v>
      </c>
      <c r="BS508" s="27" t="s">
        <v>8</v>
      </c>
      <c r="BT508" s="27" t="s">
        <v>7</v>
      </c>
      <c r="BU508" s="27" t="s">
        <v>8</v>
      </c>
      <c r="BZ508" s="27" t="s">
        <v>7</v>
      </c>
      <c r="CA508" s="27" t="s">
        <v>8</v>
      </c>
      <c r="FT508" s="27" t="s">
        <v>7</v>
      </c>
      <c r="FU508" s="27" t="s">
        <v>8</v>
      </c>
      <c r="FX508" s="27" t="s">
        <v>7</v>
      </c>
    </row>
    <row r="509" spans="1:180" x14ac:dyDescent="0.25">
      <c r="A509" s="7">
        <v>4.6861199116651235</v>
      </c>
      <c r="B509"/>
      <c r="C509"/>
      <c r="D509"/>
      <c r="E509" t="s">
        <v>8</v>
      </c>
      <c r="AX509" s="27" t="s">
        <v>7</v>
      </c>
      <c r="AY509" s="27" t="s">
        <v>8</v>
      </c>
      <c r="BL509" s="27" t="s">
        <v>7</v>
      </c>
      <c r="BM509" s="27" t="s">
        <v>8</v>
      </c>
      <c r="BN509" s="27" t="s">
        <v>7</v>
      </c>
      <c r="BO509" s="27" t="s">
        <v>8</v>
      </c>
      <c r="BP509" s="27" t="s">
        <v>7</v>
      </c>
      <c r="BQ509" s="27" t="s">
        <v>8</v>
      </c>
      <c r="BS509" s="27" t="s">
        <v>8</v>
      </c>
      <c r="BT509" s="27" t="s">
        <v>7</v>
      </c>
      <c r="BZ509" s="27" t="s">
        <v>7</v>
      </c>
      <c r="CA509" s="27" t="s">
        <v>8</v>
      </c>
      <c r="FT509" s="27" t="s">
        <v>7</v>
      </c>
      <c r="FU509" s="27" t="s">
        <v>8</v>
      </c>
      <c r="FX509" s="27" t="s">
        <v>7</v>
      </c>
    </row>
    <row r="510" spans="1:180" x14ac:dyDescent="0.25">
      <c r="A510" s="7">
        <v>4.5942352075148269</v>
      </c>
      <c r="B510"/>
      <c r="C510"/>
      <c r="D510"/>
      <c r="E510" t="s">
        <v>8</v>
      </c>
      <c r="AX510" s="27" t="s">
        <v>7</v>
      </c>
      <c r="AY510" s="27" t="s">
        <v>8</v>
      </c>
      <c r="BL510" s="27" t="s">
        <v>7</v>
      </c>
      <c r="BM510" s="27" t="s">
        <v>8</v>
      </c>
      <c r="BN510" s="27" t="s">
        <v>7</v>
      </c>
      <c r="BO510" s="27" t="s">
        <v>8</v>
      </c>
      <c r="BP510" s="27" t="s">
        <v>7</v>
      </c>
      <c r="BQ510" s="27" t="s">
        <v>8</v>
      </c>
      <c r="BR510" s="27" t="s">
        <v>7</v>
      </c>
      <c r="BS510" s="27" t="s">
        <v>8</v>
      </c>
      <c r="BZ510" s="27" t="s">
        <v>7</v>
      </c>
      <c r="CA510" s="27" t="s">
        <v>8</v>
      </c>
      <c r="FT510" s="27" t="s">
        <v>7</v>
      </c>
      <c r="FX510" s="27" t="s">
        <v>7</v>
      </c>
    </row>
    <row r="511" spans="1:180" x14ac:dyDescent="0.25">
      <c r="A511" s="7">
        <v>4.5041521642302227</v>
      </c>
      <c r="B511"/>
      <c r="C511"/>
      <c r="D511"/>
      <c r="E511" t="s">
        <v>8</v>
      </c>
      <c r="AX511" s="27" t="s">
        <v>7</v>
      </c>
      <c r="AY511" s="27" t="s">
        <v>8</v>
      </c>
      <c r="BL511" s="27" t="s">
        <v>7</v>
      </c>
      <c r="BM511" s="27" t="s">
        <v>8</v>
      </c>
      <c r="BN511" s="27" t="s">
        <v>7</v>
      </c>
      <c r="BO511" s="27" t="s">
        <v>8</v>
      </c>
      <c r="BP511" s="27" t="s">
        <v>7</v>
      </c>
      <c r="BQ511" s="27" t="s">
        <v>8</v>
      </c>
      <c r="BR511" s="27" t="s">
        <v>7</v>
      </c>
      <c r="BS511" s="27" t="s">
        <v>8</v>
      </c>
      <c r="BZ511" s="27" t="s">
        <v>7</v>
      </c>
      <c r="CA511" s="27" t="s">
        <v>8</v>
      </c>
      <c r="FX511" s="27" t="s">
        <v>7</v>
      </c>
    </row>
    <row r="512" spans="1:180" x14ac:dyDescent="0.25">
      <c r="A512" s="7">
        <v>4.4158354551276693</v>
      </c>
      <c r="B512"/>
      <c r="C512"/>
      <c r="D512"/>
      <c r="E512" t="s">
        <v>8</v>
      </c>
      <c r="AX512" s="27" t="s">
        <v>7</v>
      </c>
      <c r="AY512" s="27" t="s">
        <v>8</v>
      </c>
      <c r="BL512" s="27" t="s">
        <v>7</v>
      </c>
      <c r="BM512" s="27" t="s">
        <v>8</v>
      </c>
      <c r="BN512" s="27" t="s">
        <v>7</v>
      </c>
      <c r="BO512" s="27" t="s">
        <v>8</v>
      </c>
      <c r="BP512" s="27" t="s">
        <v>7</v>
      </c>
      <c r="BQ512" s="27" t="s">
        <v>8</v>
      </c>
      <c r="BR512" s="27" t="s">
        <v>7</v>
      </c>
      <c r="BS512" s="27" t="s">
        <v>8</v>
      </c>
      <c r="BZ512" s="27" t="s">
        <v>7</v>
      </c>
      <c r="FX512" s="27" t="s">
        <v>7</v>
      </c>
    </row>
    <row r="513" spans="1:184" x14ac:dyDescent="0.25">
      <c r="A513" s="7">
        <v>4.3292504462035977</v>
      </c>
      <c r="B513"/>
      <c r="C513"/>
      <c r="D513"/>
      <c r="E513" t="s">
        <v>8</v>
      </c>
      <c r="AX513" s="27" t="s">
        <v>7</v>
      </c>
      <c r="AY513" s="27" t="s">
        <v>8</v>
      </c>
      <c r="BL513" s="27" t="s">
        <v>7</v>
      </c>
      <c r="BM513" s="27" t="s">
        <v>8</v>
      </c>
      <c r="BN513" s="27" t="s">
        <v>7</v>
      </c>
      <c r="BO513" s="27" t="s">
        <v>8</v>
      </c>
      <c r="BP513" s="27" t="s">
        <v>7</v>
      </c>
      <c r="BQ513" s="27" t="s">
        <v>8</v>
      </c>
      <c r="BR513" s="27" t="s">
        <v>7</v>
      </c>
      <c r="BS513" s="27" t="s">
        <v>8</v>
      </c>
      <c r="FX513" s="27" t="s">
        <v>7</v>
      </c>
    </row>
    <row r="514" spans="1:184" x14ac:dyDescent="0.25">
      <c r="A514" s="7">
        <v>4.2443631825525463</v>
      </c>
      <c r="B514"/>
      <c r="C514"/>
      <c r="D514"/>
      <c r="E514" t="s">
        <v>8</v>
      </c>
      <c r="AX514" s="27" t="s">
        <v>7</v>
      </c>
      <c r="AY514" s="27" t="s">
        <v>8</v>
      </c>
      <c r="BL514" s="27" t="s">
        <v>7</v>
      </c>
      <c r="BM514" s="27" t="s">
        <v>8</v>
      </c>
      <c r="BN514" s="27" t="s">
        <v>7</v>
      </c>
      <c r="BO514" s="27" t="s">
        <v>8</v>
      </c>
      <c r="BP514" s="27" t="s">
        <v>7</v>
      </c>
      <c r="BR514" s="27" t="s">
        <v>7</v>
      </c>
      <c r="BS514" s="27" t="s">
        <v>8</v>
      </c>
      <c r="FX514" s="27" t="s">
        <v>7</v>
      </c>
    </row>
    <row r="515" spans="1:184" x14ac:dyDescent="0.25">
      <c r="A515" s="7">
        <v>4.1611403750515157</v>
      </c>
      <c r="B515"/>
      <c r="C515"/>
      <c r="D515"/>
      <c r="E515" t="s">
        <v>8</v>
      </c>
      <c r="AX515" s="27" t="s">
        <v>7</v>
      </c>
      <c r="AY515" s="27" t="s">
        <v>8</v>
      </c>
      <c r="BL515" s="27" t="s">
        <v>7</v>
      </c>
      <c r="BM515" s="27" t="s">
        <v>8</v>
      </c>
      <c r="BN515" s="27" t="s">
        <v>7</v>
      </c>
      <c r="BO515" s="27" t="s">
        <v>8</v>
      </c>
      <c r="BR515" s="27" t="s">
        <v>7</v>
      </c>
      <c r="FX515" s="27" t="s">
        <v>7</v>
      </c>
    </row>
    <row r="516" spans="1:184" x14ac:dyDescent="0.25">
      <c r="A516" s="7">
        <v>4.0795493873054074</v>
      </c>
      <c r="B516"/>
      <c r="C516"/>
      <c r="D516"/>
      <c r="E516" t="s">
        <v>8</v>
      </c>
      <c r="AX516" s="27" t="s">
        <v>7</v>
      </c>
      <c r="BL516" s="27" t="s">
        <v>7</v>
      </c>
      <c r="BM516" s="27" t="s">
        <v>8</v>
      </c>
      <c r="BN516" s="27" t="s">
        <v>7</v>
      </c>
      <c r="BO516" s="27" t="s">
        <v>8</v>
      </c>
      <c r="FX516" s="27" t="s">
        <v>7</v>
      </c>
    </row>
    <row r="517" spans="1:184" x14ac:dyDescent="0.25">
      <c r="A517" s="7">
        <v>3.9995582228484383</v>
      </c>
      <c r="B517"/>
      <c r="C517"/>
      <c r="D517"/>
      <c r="E517" t="s">
        <v>8</v>
      </c>
      <c r="BL517" s="27" t="s">
        <v>7</v>
      </c>
      <c r="BM517" s="27" t="s">
        <v>8</v>
      </c>
      <c r="BN517" s="27" t="s">
        <v>7</v>
      </c>
      <c r="BO517" s="27" t="s">
        <v>8</v>
      </c>
      <c r="FX517" s="27" t="s">
        <v>7</v>
      </c>
      <c r="GA517" s="27" t="s">
        <v>8</v>
      </c>
    </row>
    <row r="518" spans="1:184" x14ac:dyDescent="0.25">
      <c r="A518" s="7">
        <v>3.9211355125965079</v>
      </c>
      <c r="B518"/>
      <c r="C518"/>
      <c r="D518"/>
      <c r="E518" t="s">
        <v>8</v>
      </c>
      <c r="BL518" s="27" t="s">
        <v>7</v>
      </c>
      <c r="BM518" s="27" t="s">
        <v>8</v>
      </c>
      <c r="BN518" s="27" t="s">
        <v>7</v>
      </c>
      <c r="FX518" s="27" t="s">
        <v>7</v>
      </c>
      <c r="GA518" s="27" t="s">
        <v>8</v>
      </c>
      <c r="GB518" s="27" t="s">
        <v>7</v>
      </c>
    </row>
    <row r="519" spans="1:184" x14ac:dyDescent="0.25">
      <c r="A519" s="7">
        <v>3.844250502545596</v>
      </c>
      <c r="B519"/>
      <c r="C519"/>
      <c r="D519"/>
      <c r="E519" t="s">
        <v>8</v>
      </c>
      <c r="BL519" s="27" t="s">
        <v>7</v>
      </c>
      <c r="BM519" s="27" t="s">
        <v>8</v>
      </c>
      <c r="FX519" s="27" t="s">
        <v>7</v>
      </c>
      <c r="GA519" s="27" t="s">
        <v>8</v>
      </c>
      <c r="GB519" s="27" t="s">
        <v>7</v>
      </c>
    </row>
    <row r="520" spans="1:184" x14ac:dyDescent="0.25">
      <c r="A520" s="7">
        <v>3.7688730417113687</v>
      </c>
      <c r="B520"/>
      <c r="C520"/>
      <c r="D520"/>
      <c r="E520" t="s">
        <v>8</v>
      </c>
      <c r="BL520" s="27" t="s">
        <v>7</v>
      </c>
      <c r="BM520" s="27" t="s">
        <v>8</v>
      </c>
      <c r="FX520" s="27" t="s">
        <v>7</v>
      </c>
      <c r="FY520" s="27" t="s">
        <v>8</v>
      </c>
      <c r="GA520" s="27" t="s">
        <v>8</v>
      </c>
      <c r="GB520" s="27" t="s">
        <v>7</v>
      </c>
    </row>
    <row r="521" spans="1:184" x14ac:dyDescent="0.25">
      <c r="A521" s="7">
        <v>3.6949735703052635</v>
      </c>
      <c r="B521"/>
      <c r="C521"/>
      <c r="D521"/>
      <c r="E521" t="s">
        <v>8</v>
      </c>
      <c r="BL521" s="27" t="s">
        <v>7</v>
      </c>
      <c r="BM521" s="27" t="s">
        <v>8</v>
      </c>
      <c r="FX521" s="27" t="s">
        <v>7</v>
      </c>
      <c r="FY521" s="27" t="s">
        <v>8</v>
      </c>
      <c r="FZ521" s="27" t="s">
        <v>7</v>
      </c>
      <c r="GA521" s="27" t="s">
        <v>8</v>
      </c>
      <c r="GB521" s="27" t="s">
        <v>7</v>
      </c>
    </row>
    <row r="522" spans="1:184" x14ac:dyDescent="0.25">
      <c r="A522" s="7">
        <v>3.6225231081424152</v>
      </c>
      <c r="B522"/>
      <c r="C522"/>
      <c r="D522"/>
      <c r="E522" t="s">
        <v>8</v>
      </c>
      <c r="BL522" s="27" t="s">
        <v>7</v>
      </c>
      <c r="BM522" s="27" t="s">
        <v>8</v>
      </c>
      <c r="FX522" s="27" t="s">
        <v>7</v>
      </c>
      <c r="FY522" s="27" t="s">
        <v>8</v>
      </c>
      <c r="FZ522" s="27" t="s">
        <v>7</v>
      </c>
      <c r="GA522" s="27" t="s">
        <v>8</v>
      </c>
      <c r="GB522" s="27" t="s">
        <v>7</v>
      </c>
    </row>
    <row r="523" spans="1:184" x14ac:dyDescent="0.25">
      <c r="A523" s="7">
        <v>3.5514932432768775</v>
      </c>
      <c r="B523"/>
      <c r="C523"/>
      <c r="D523"/>
      <c r="E523" t="s">
        <v>8</v>
      </c>
      <c r="BL523" s="27" t="s">
        <v>7</v>
      </c>
      <c r="BM523" s="27" t="s">
        <v>8</v>
      </c>
      <c r="FX523" s="27" t="s">
        <v>7</v>
      </c>
      <c r="FY523" s="27" t="s">
        <v>8</v>
      </c>
      <c r="FZ523" s="27" t="s">
        <v>7</v>
      </c>
      <c r="GA523" s="27" t="s">
        <v>8</v>
      </c>
      <c r="GB523" s="27" t="s">
        <v>7</v>
      </c>
    </row>
    <row r="524" spans="1:184" x14ac:dyDescent="0.25">
      <c r="A524" s="7">
        <v>3.4818561208596837</v>
      </c>
      <c r="B524"/>
      <c r="C524"/>
      <c r="D524"/>
      <c r="E524" t="s">
        <v>8</v>
      </c>
      <c r="BL524" s="27" t="s">
        <v>7</v>
      </c>
      <c r="FX524" s="27" t="s">
        <v>7</v>
      </c>
      <c r="FY524" s="27" t="s">
        <v>8</v>
      </c>
      <c r="FZ524" s="27" t="s">
        <v>7</v>
      </c>
      <c r="GA524" s="27" t="s">
        <v>8</v>
      </c>
    </row>
    <row r="525" spans="1:184" x14ac:dyDescent="0.25">
      <c r="A525" s="7">
        <v>3.4135844322153761</v>
      </c>
      <c r="B525"/>
      <c r="C525"/>
      <c r="D525"/>
      <c r="E525" t="s">
        <v>8</v>
      </c>
      <c r="FX525" s="27" t="s">
        <v>7</v>
      </c>
      <c r="FY525" s="27" t="s">
        <v>8</v>
      </c>
      <c r="FZ525" s="27" t="s">
        <v>7</v>
      </c>
      <c r="GA525" s="27" t="s">
        <v>8</v>
      </c>
    </row>
    <row r="526" spans="1:184" x14ac:dyDescent="0.25">
      <c r="A526" s="7">
        <v>3.3466514041327216</v>
      </c>
      <c r="B526"/>
      <c r="C526"/>
      <c r="D526"/>
      <c r="E526" t="s">
        <v>8</v>
      </c>
      <c r="FX526" s="27" t="s">
        <v>7</v>
      </c>
      <c r="FY526" s="27" t="s">
        <v>8</v>
      </c>
      <c r="FZ526" s="27" t="s">
        <v>7</v>
      </c>
      <c r="GA526" s="27" t="s">
        <v>8</v>
      </c>
    </row>
    <row r="527" spans="1:184" x14ac:dyDescent="0.25">
      <c r="A527" s="7">
        <v>3.2810307883654133</v>
      </c>
      <c r="B527"/>
      <c r="C527"/>
      <c r="D527"/>
      <c r="E527" t="s">
        <v>8</v>
      </c>
      <c r="FX527" s="27" t="s">
        <v>7</v>
      </c>
      <c r="FY527" s="27" t="s">
        <v>8</v>
      </c>
      <c r="FZ527" s="27" t="s">
        <v>7</v>
      </c>
      <c r="GA527" s="27" t="s">
        <v>8</v>
      </c>
    </row>
    <row r="528" spans="1:184" x14ac:dyDescent="0.25">
      <c r="A528" s="7">
        <v>3.2166968513386403</v>
      </c>
      <c r="B528"/>
      <c r="C528"/>
      <c r="D528"/>
      <c r="E528" t="s">
        <v>8</v>
      </c>
      <c r="FX528" s="27" t="s">
        <v>7</v>
      </c>
      <c r="FY528" s="27" t="s">
        <v>8</v>
      </c>
      <c r="FZ528" s="27" t="s">
        <v>7</v>
      </c>
      <c r="GA528" s="27" t="s">
        <v>8</v>
      </c>
    </row>
    <row r="529" spans="1:183" x14ac:dyDescent="0.25">
      <c r="A529" s="7">
        <v>3.1536243640574906</v>
      </c>
      <c r="B529"/>
      <c r="C529"/>
      <c r="D529"/>
      <c r="E529" t="s">
        <v>8</v>
      </c>
      <c r="FX529" s="27" t="s">
        <v>7</v>
      </c>
      <c r="FY529" s="27" t="s">
        <v>8</v>
      </c>
      <c r="FZ529" s="27" t="s">
        <v>7</v>
      </c>
      <c r="GA529" s="27" t="s">
        <v>8</v>
      </c>
    </row>
    <row r="530" spans="1:183" x14ac:dyDescent="0.25">
      <c r="A530" s="7">
        <v>3.0917885922132262</v>
      </c>
      <c r="B530"/>
      <c r="C530"/>
      <c r="D530"/>
      <c r="E530" t="s">
        <v>8</v>
      </c>
      <c r="FX530" s="27" t="s">
        <v>7</v>
      </c>
      <c r="FZ530" s="27" t="s">
        <v>7</v>
      </c>
    </row>
    <row r="531" spans="1:183" x14ac:dyDescent="0.25">
      <c r="A531" s="7">
        <v>3.0311652864835552</v>
      </c>
      <c r="B531"/>
      <c r="C531"/>
      <c r="D531"/>
      <c r="E531" t="s">
        <v>8</v>
      </c>
    </row>
    <row r="532" spans="1:183" x14ac:dyDescent="0.25">
      <c r="A532" s="7">
        <v>2.9717306730230932</v>
      </c>
      <c r="B532"/>
      <c r="C532"/>
      <c r="D532"/>
      <c r="E532" t="s">
        <v>8</v>
      </c>
    </row>
    <row r="533" spans="1:183" x14ac:dyDescent="0.25">
      <c r="A533" s="7">
        <v>2.9134614441402875</v>
      </c>
      <c r="B533"/>
      <c r="C533"/>
      <c r="D533"/>
      <c r="E533" t="s">
        <v>8</v>
      </c>
    </row>
    <row r="534" spans="1:183" x14ac:dyDescent="0.25">
      <c r="A534" s="7">
        <v>2.8563347491571447</v>
      </c>
      <c r="B534"/>
      <c r="C534"/>
      <c r="D534"/>
      <c r="E534" t="s">
        <v>8</v>
      </c>
    </row>
    <row r="535" spans="1:183" x14ac:dyDescent="0.25">
      <c r="A535" s="7">
        <v>2.8003281854481812</v>
      </c>
      <c r="B535"/>
      <c r="C535"/>
      <c r="D535"/>
      <c r="E535" t="s">
        <v>8</v>
      </c>
    </row>
    <row r="536" spans="1:183" x14ac:dyDescent="0.25">
      <c r="A536" s="7">
        <v>2.7454197896550796</v>
      </c>
      <c r="B536"/>
      <c r="C536"/>
      <c r="D536"/>
      <c r="E536" t="s">
        <v>8</v>
      </c>
    </row>
    <row r="537" spans="1:183" x14ac:dyDescent="0.25">
      <c r="A537" s="7">
        <v>2.6915880290736074</v>
      </c>
      <c r="B537"/>
      <c r="C537"/>
      <c r="D537"/>
      <c r="E537" t="s">
        <v>8</v>
      </c>
    </row>
    <row r="538" spans="1:183" x14ac:dyDescent="0.25">
      <c r="A538" s="7">
        <v>2.6388117932094191</v>
      </c>
      <c r="B538"/>
      <c r="C538"/>
      <c r="D538"/>
      <c r="E538" t="s">
        <v>8</v>
      </c>
    </row>
    <row r="539" spans="1:183" x14ac:dyDescent="0.25">
      <c r="A539" s="7">
        <v>2.5870703854994304</v>
      </c>
      <c r="B539"/>
      <c r="C539"/>
      <c r="D539"/>
      <c r="E539" t="s">
        <v>8</v>
      </c>
    </row>
    <row r="540" spans="1:183" x14ac:dyDescent="0.25">
      <c r="A540" s="7">
        <v>2.53634351519552</v>
      </c>
      <c r="B540"/>
      <c r="C540"/>
      <c r="D540"/>
      <c r="E540" t="s">
        <v>8</v>
      </c>
    </row>
    <row r="541" spans="1:183" x14ac:dyDescent="0.25">
      <c r="A541" s="7">
        <v>2.4866112894073726</v>
      </c>
      <c r="B541"/>
      <c r="C541"/>
      <c r="D541"/>
      <c r="E541" t="s">
        <v>8</v>
      </c>
    </row>
    <row r="542" spans="1:183" x14ac:dyDescent="0.25">
      <c r="A542" s="7">
        <v>2.4378542053013459</v>
      </c>
      <c r="B542"/>
      <c r="C542"/>
      <c r="D542"/>
      <c r="E542" t="s">
        <v>8</v>
      </c>
    </row>
    <row r="543" spans="1:183" x14ac:dyDescent="0.25">
      <c r="A543" s="7">
        <v>2.3900531424522997</v>
      </c>
      <c r="B543"/>
      <c r="C543"/>
      <c r="D543"/>
      <c r="E543" t="s">
        <v>8</v>
      </c>
    </row>
    <row r="544" spans="1:183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29" operator="equal">
      <formula>$U$1</formula>
    </cfRule>
    <cfRule type="cellIs" dxfId="89" priority="730" operator="equal">
      <formula>$S$1</formula>
    </cfRule>
  </conditionalFormatting>
  <conditionalFormatting sqref="D27">
    <cfRule type="cellIs" dxfId="88" priority="727" operator="equal">
      <formula>$S$1</formula>
    </cfRule>
    <cfRule type="cellIs" dxfId="87" priority="728" operator="equal">
      <formula>$U$1</formula>
    </cfRule>
  </conditionalFormatting>
  <conditionalFormatting sqref="C164">
    <cfRule type="cellIs" dxfId="86" priority="725" operator="equal">
      <formula>$U$1</formula>
    </cfRule>
    <cfRule type="cellIs" dxfId="85" priority="726" operator="equal">
      <formula>$S$1</formula>
    </cfRule>
  </conditionalFormatting>
  <conditionalFormatting sqref="D164">
    <cfRule type="cellIs" dxfId="84" priority="723" operator="equal">
      <formula>$S$1</formula>
    </cfRule>
    <cfRule type="cellIs" dxfId="83" priority="724" operator="equal">
      <formula>$U$1</formula>
    </cfRule>
  </conditionalFormatting>
  <conditionalFormatting sqref="C55">
    <cfRule type="cellIs" dxfId="82" priority="721" operator="equal">
      <formula>$U$1</formula>
    </cfRule>
    <cfRule type="cellIs" dxfId="81" priority="722" operator="equal">
      <formula>$S$1</formula>
    </cfRule>
  </conditionalFormatting>
  <conditionalFormatting sqref="D55">
    <cfRule type="cellIs" dxfId="80" priority="719" operator="equal">
      <formula>$S$1</formula>
    </cfRule>
    <cfRule type="cellIs" dxfId="79" priority="720" operator="equal">
      <formula>$U$1</formula>
    </cfRule>
  </conditionalFormatting>
  <conditionalFormatting sqref="C89">
    <cfRule type="cellIs" dxfId="78" priority="717" operator="equal">
      <formula>$U$1</formula>
    </cfRule>
    <cfRule type="cellIs" dxfId="77" priority="718" operator="equal">
      <formula>$S$1</formula>
    </cfRule>
  </conditionalFormatting>
  <conditionalFormatting sqref="D89">
    <cfRule type="cellIs" dxfId="76" priority="715" operator="equal">
      <formula>$S$1</formula>
    </cfRule>
    <cfRule type="cellIs" dxfId="75" priority="716" operator="equal">
      <formula>$U$1</formula>
    </cfRule>
  </conditionalFormatting>
  <conditionalFormatting sqref="C136">
    <cfRule type="cellIs" dxfId="74" priority="713" operator="equal">
      <formula>$U$1</formula>
    </cfRule>
    <cfRule type="cellIs" dxfId="73" priority="714" operator="equal">
      <formula>$S$1</formula>
    </cfRule>
  </conditionalFormatting>
  <conditionalFormatting sqref="D136">
    <cfRule type="cellIs" dxfId="72" priority="711" operator="equal">
      <formula>$S$1</formula>
    </cfRule>
    <cfRule type="cellIs" dxfId="71" priority="712" operator="equal">
      <formula>$U$1</formula>
    </cfRule>
  </conditionalFormatting>
  <conditionalFormatting sqref="C1">
    <cfRule type="cellIs" dxfId="70" priority="71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E212" sqref="DE21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$A$211</v>
      </c>
      <c r="D111" s="1" t="str">
        <f>ADDRESS(C121-1,D121,1,1)</f>
        <v>$DE$211</v>
      </c>
      <c r="E111"/>
    </row>
    <row r="112" spans="1:5" x14ac:dyDescent="0.25">
      <c r="A112" s="30">
        <v>515.50191262726139</v>
      </c>
      <c r="C112" s="1" t="str">
        <f>ADDRESS(C121,1,1,1)</f>
        <v>$A$212</v>
      </c>
      <c r="D112" s="1" t="str">
        <f>ADDRESS(C121,D121-1,1,1)</f>
        <v>$DD$212</v>
      </c>
      <c r="E112"/>
    </row>
    <row r="113" spans="1:5" x14ac:dyDescent="0.25">
      <c r="A113" s="30">
        <v>490.95420250215363</v>
      </c>
      <c r="C113" s="1" t="str">
        <f>ADDRESS(C121+1,1,1,1)</f>
        <v>$A$213</v>
      </c>
      <c r="D113" s="1" t="str">
        <f>ADDRESS(C121-1,D121+1,1,1)</f>
        <v>$DF$211</v>
      </c>
    </row>
    <row r="114" spans="1:5" x14ac:dyDescent="0.25">
      <c r="A114" s="30">
        <v>467.57543095443202</v>
      </c>
      <c r="C114" s="1" t="str">
        <f>ADDRESS(C121,D121,1,1)</f>
        <v>$DE$212</v>
      </c>
      <c r="D114" s="1" t="str">
        <f>ADDRESS(C121+1,D121+1,1,1)</f>
        <v>$DF$213</v>
      </c>
    </row>
    <row r="115" spans="1:5" x14ac:dyDescent="0.25">
      <c r="A115" s="30">
        <v>445.30993424231622</v>
      </c>
      <c r="C115" s="1" t="str">
        <f>ADDRESS(C121+1,D121,1,1)</f>
        <v>$DE$213</v>
      </c>
    </row>
    <row r="116" spans="1:5" x14ac:dyDescent="0.25">
      <c r="A116" s="30">
        <v>424.10469927839637</v>
      </c>
      <c r="C116" s="1">
        <f>C117-1</f>
        <v>211</v>
      </c>
    </row>
    <row r="117" spans="1:5" x14ac:dyDescent="0.25">
      <c r="A117" s="30">
        <v>403.9092374079965</v>
      </c>
      <c r="C117" s="1">
        <f>C121</f>
        <v>212</v>
      </c>
      <c r="D117" s="1">
        <f>D121</f>
        <v>109</v>
      </c>
    </row>
    <row r="118" spans="1:5" x14ac:dyDescent="0.25">
      <c r="A118" s="30">
        <v>384.6754641980919</v>
      </c>
      <c r="C118" s="1">
        <f>C117+1</f>
        <v>213</v>
      </c>
      <c r="D118" s="1">
        <f>D117+1</f>
        <v>110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212</v>
      </c>
      <c r="D121" s="19">
        <v>109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R212</v>
      </c>
      <c r="D123" s="1" t="str">
        <f>"C"&amp;D121</f>
        <v>C109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3.9201291384586554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10" x14ac:dyDescent="0.25">
      <c r="A161" s="30">
        <v>47.201372444612005</v>
      </c>
      <c r="E161"/>
    </row>
    <row r="162" spans="1:10" x14ac:dyDescent="0.25">
      <c r="A162" s="30">
        <v>44.95368804248762</v>
      </c>
      <c r="E162"/>
    </row>
    <row r="163" spans="1:10" x14ac:dyDescent="0.25">
      <c r="A163" s="30">
        <v>42.81303623094059</v>
      </c>
      <c r="E163"/>
    </row>
    <row r="164" spans="1:10" x14ac:dyDescent="0.25">
      <c r="A164" s="30">
        <v>40.774320219943419</v>
      </c>
      <c r="E164"/>
    </row>
    <row r="165" spans="1:10" x14ac:dyDescent="0.25">
      <c r="A165" s="30">
        <v>38.832685923755633</v>
      </c>
      <c r="E165"/>
    </row>
    <row r="166" spans="1:10" x14ac:dyDescent="0.25">
      <c r="A166" s="30">
        <v>36.983510403576794</v>
      </c>
      <c r="E166"/>
    </row>
    <row r="167" spans="1:10" x14ac:dyDescent="0.25">
      <c r="A167" s="30">
        <v>35.222390860549325</v>
      </c>
      <c r="E167"/>
    </row>
    <row r="168" spans="1:10" x14ac:dyDescent="0.25">
      <c r="A168" s="30">
        <v>33.545134152904119</v>
      </c>
      <c r="E168" t="s">
        <v>8</v>
      </c>
    </row>
    <row r="169" spans="1:10" x14ac:dyDescent="0.25">
      <c r="A169" s="30">
        <v>31.947746812289637</v>
      </c>
      <c r="E169" t="s">
        <v>8</v>
      </c>
      <c r="F169" s="27" t="s">
        <v>7</v>
      </c>
    </row>
    <row r="170" spans="1:10" x14ac:dyDescent="0.25">
      <c r="A170" s="30">
        <v>30.426425535513939</v>
      </c>
      <c r="E170" t="s">
        <v>8</v>
      </c>
      <c r="F170" s="27" t="s">
        <v>7</v>
      </c>
    </row>
    <row r="171" spans="1:10" x14ac:dyDescent="0.25">
      <c r="A171" s="30">
        <v>28.977548129060892</v>
      </c>
      <c r="E171" t="s">
        <v>8</v>
      </c>
      <c r="F171" s="27" t="s">
        <v>7</v>
      </c>
      <c r="G171" s="27" t="s">
        <v>8</v>
      </c>
    </row>
    <row r="172" spans="1:10" x14ac:dyDescent="0.25">
      <c r="A172" s="30">
        <v>27.597664884819896</v>
      </c>
      <c r="E172" t="s">
        <v>8</v>
      </c>
      <c r="F172" s="27" t="s">
        <v>7</v>
      </c>
      <c r="G172" s="27" t="s">
        <v>8</v>
      </c>
      <c r="H172" s="27" t="s">
        <v>7</v>
      </c>
    </row>
    <row r="173" spans="1:10" x14ac:dyDescent="0.25">
      <c r="A173" s="30">
        <v>26.283490366495137</v>
      </c>
      <c r="E173" t="s">
        <v>8</v>
      </c>
      <c r="F173" s="27" t="s">
        <v>7</v>
      </c>
      <c r="G173" s="27" t="s">
        <v>8</v>
      </c>
      <c r="H173" s="27" t="s">
        <v>7</v>
      </c>
    </row>
    <row r="174" spans="1:10" x14ac:dyDescent="0.25">
      <c r="A174" s="30">
        <v>25.031895587138223</v>
      </c>
      <c r="E174" t="s">
        <v>8</v>
      </c>
      <c r="F174" s="27" t="s">
        <v>7</v>
      </c>
      <c r="G174" s="27" t="s">
        <v>8</v>
      </c>
      <c r="H174" s="27" t="s">
        <v>7</v>
      </c>
    </row>
    <row r="175" spans="1:10" x14ac:dyDescent="0.25">
      <c r="A175" s="30">
        <v>23.839900559179259</v>
      </c>
      <c r="E175" t="s">
        <v>8</v>
      </c>
      <c r="F175" s="27" t="s">
        <v>7</v>
      </c>
      <c r="G175" s="27" t="s">
        <v>8</v>
      </c>
      <c r="H175" s="27" t="s">
        <v>7</v>
      </c>
      <c r="I175" s="27" t="s">
        <v>8</v>
      </c>
    </row>
    <row r="176" spans="1:10" x14ac:dyDescent="0.25">
      <c r="A176" s="30">
        <v>22.704667199218342</v>
      </c>
      <c r="E176" t="s">
        <v>8</v>
      </c>
      <c r="F176" s="27" t="s">
        <v>7</v>
      </c>
      <c r="G176" s="27" t="s">
        <v>8</v>
      </c>
      <c r="H176" s="27" t="s">
        <v>7</v>
      </c>
      <c r="I176" s="27" t="s">
        <v>8</v>
      </c>
      <c r="J176" s="27" t="s">
        <v>7</v>
      </c>
    </row>
    <row r="177" spans="1:95" x14ac:dyDescent="0.25">
      <c r="A177" s="30">
        <v>21.623492570684135</v>
      </c>
      <c r="E177" t="s">
        <v>8</v>
      </c>
      <c r="F177" s="27" t="s">
        <v>7</v>
      </c>
      <c r="G177" s="27" t="s">
        <v>8</v>
      </c>
      <c r="H177" s="27" t="s">
        <v>7</v>
      </c>
      <c r="I177" s="27" t="s">
        <v>8</v>
      </c>
      <c r="J177" s="27" t="s">
        <v>7</v>
      </c>
    </row>
    <row r="178" spans="1:95" x14ac:dyDescent="0.25">
      <c r="A178" s="30">
        <v>20.593802448270605</v>
      </c>
      <c r="C178" s="7"/>
      <c r="D178"/>
      <c r="E178" t="s">
        <v>8</v>
      </c>
      <c r="F178" s="27" t="s">
        <v>7</v>
      </c>
      <c r="G178" s="27" t="s">
        <v>8</v>
      </c>
      <c r="H178" s="27" t="s">
        <v>7</v>
      </c>
      <c r="I178" s="27" t="s">
        <v>8</v>
      </c>
      <c r="J178" s="27" t="s">
        <v>7</v>
      </c>
    </row>
    <row r="179" spans="1:95" x14ac:dyDescent="0.25">
      <c r="A179" s="30">
        <v>19.613145188829147</v>
      </c>
      <c r="E179" t="s">
        <v>8</v>
      </c>
      <c r="F179" s="27" t="s">
        <v>7</v>
      </c>
      <c r="H179" s="27" t="s">
        <v>7</v>
      </c>
      <c r="I179" s="27" t="s">
        <v>8</v>
      </c>
      <c r="J179" s="27" t="s">
        <v>7</v>
      </c>
      <c r="M179" s="27" t="s">
        <v>8</v>
      </c>
      <c r="Q179" s="27" t="s">
        <v>8</v>
      </c>
    </row>
    <row r="180" spans="1:95" x14ac:dyDescent="0.25">
      <c r="A180" s="30">
        <v>18.679185894122998</v>
      </c>
      <c r="E180" t="s">
        <v>8</v>
      </c>
      <c r="H180" s="27" t="s">
        <v>7</v>
      </c>
      <c r="I180" s="27" t="s">
        <v>8</v>
      </c>
      <c r="J180" s="27" t="s">
        <v>7</v>
      </c>
      <c r="K180" s="27" t="s">
        <v>8</v>
      </c>
      <c r="M180" s="27" t="s">
        <v>8</v>
      </c>
      <c r="N180" s="27" t="s">
        <v>7</v>
      </c>
      <c r="Q180" s="27" t="s">
        <v>8</v>
      </c>
      <c r="R180" s="27" t="s">
        <v>7</v>
      </c>
      <c r="Y180" s="27" t="s">
        <v>8</v>
      </c>
    </row>
    <row r="181" spans="1:95" x14ac:dyDescent="0.25">
      <c r="A181" s="30">
        <v>17.78970085154571</v>
      </c>
      <c r="C181"/>
      <c r="D181"/>
      <c r="E181" t="s">
        <v>8</v>
      </c>
      <c r="H181" s="27" t="s">
        <v>7</v>
      </c>
      <c r="I181" s="27" t="s">
        <v>8</v>
      </c>
      <c r="J181" s="27" t="s">
        <v>7</v>
      </c>
      <c r="K181" s="27" t="s">
        <v>8</v>
      </c>
      <c r="L181" s="27" t="s">
        <v>7</v>
      </c>
      <c r="M181" s="27" t="s">
        <v>8</v>
      </c>
      <c r="N181" s="27" t="s">
        <v>7</v>
      </c>
      <c r="O181" s="27" t="s">
        <v>8</v>
      </c>
      <c r="Q181" s="27" t="s">
        <v>8</v>
      </c>
      <c r="R181" s="27" t="s">
        <v>7</v>
      </c>
      <c r="W181" s="27" t="s">
        <v>8</v>
      </c>
      <c r="Y181" s="27" t="s">
        <v>8</v>
      </c>
      <c r="Z181" s="27" t="s">
        <v>7</v>
      </c>
      <c r="AA181" s="27" t="s">
        <v>8</v>
      </c>
    </row>
    <row r="182" spans="1:95" x14ac:dyDescent="0.25">
      <c r="A182" s="30">
        <v>16.942572239567344</v>
      </c>
      <c r="E182" t="s">
        <v>8</v>
      </c>
      <c r="H182" s="27" t="s">
        <v>7</v>
      </c>
      <c r="J182" s="27" t="s">
        <v>7</v>
      </c>
      <c r="K182" s="27" t="s">
        <v>8</v>
      </c>
      <c r="L182" s="27" t="s">
        <v>7</v>
      </c>
      <c r="M182" s="27" t="s">
        <v>8</v>
      </c>
      <c r="N182" s="27" t="s">
        <v>7</v>
      </c>
      <c r="O182" s="27" t="s">
        <v>8</v>
      </c>
      <c r="P182" s="27" t="s">
        <v>7</v>
      </c>
      <c r="Q182" s="27" t="s">
        <v>8</v>
      </c>
      <c r="R182" s="27" t="s">
        <v>7</v>
      </c>
      <c r="W182" s="27" t="s">
        <v>8</v>
      </c>
      <c r="X182" s="27" t="s">
        <v>7</v>
      </c>
      <c r="Y182" s="27" t="s">
        <v>8</v>
      </c>
      <c r="Z182" s="27" t="s">
        <v>7</v>
      </c>
      <c r="AA182" s="27" t="s">
        <v>8</v>
      </c>
      <c r="AB182" s="27" t="s">
        <v>7</v>
      </c>
    </row>
    <row r="183" spans="1:95" x14ac:dyDescent="0.25">
      <c r="A183" s="30">
        <v>16.135783085302233</v>
      </c>
      <c r="E183" t="s">
        <v>8</v>
      </c>
      <c r="J183" s="27" t="s">
        <v>7</v>
      </c>
      <c r="K183" s="27" t="s">
        <v>8</v>
      </c>
      <c r="L183" s="27" t="s">
        <v>7</v>
      </c>
      <c r="N183" s="27" t="s">
        <v>7</v>
      </c>
      <c r="O183" s="27" t="s">
        <v>8</v>
      </c>
      <c r="P183" s="27" t="s">
        <v>7</v>
      </c>
      <c r="Q183" s="27" t="s">
        <v>8</v>
      </c>
      <c r="R183" s="27" t="s">
        <v>7</v>
      </c>
      <c r="W183" s="27" t="s">
        <v>8</v>
      </c>
      <c r="X183" s="27" t="s">
        <v>7</v>
      </c>
      <c r="Y183" s="27" t="s">
        <v>8</v>
      </c>
      <c r="Z183" s="27" t="s">
        <v>7</v>
      </c>
      <c r="AA183" s="27" t="s">
        <v>8</v>
      </c>
      <c r="AB183" s="27" t="s">
        <v>7</v>
      </c>
    </row>
    <row r="184" spans="1:95" x14ac:dyDescent="0.25">
      <c r="A184" s="30">
        <v>15.367412462192602</v>
      </c>
      <c r="E184" t="s">
        <v>8</v>
      </c>
      <c r="J184" s="27" t="s">
        <v>7</v>
      </c>
      <c r="K184" s="27" t="s">
        <v>8</v>
      </c>
      <c r="N184" s="27" t="s">
        <v>7</v>
      </c>
      <c r="P184" s="27" t="s">
        <v>7</v>
      </c>
      <c r="Q184" s="27" t="s">
        <v>8</v>
      </c>
      <c r="R184" s="27" t="s">
        <v>7</v>
      </c>
      <c r="W184" s="27" t="s">
        <v>8</v>
      </c>
      <c r="X184" s="27" t="s">
        <v>7</v>
      </c>
      <c r="Z184" s="27" t="s">
        <v>7</v>
      </c>
      <c r="AA184" s="27" t="s">
        <v>8</v>
      </c>
      <c r="AB184" s="27" t="s">
        <v>7</v>
      </c>
    </row>
    <row r="185" spans="1:95" x14ac:dyDescent="0.25">
      <c r="A185" s="30">
        <v>14.635630916373906</v>
      </c>
      <c r="C185"/>
      <c r="E185" t="s">
        <v>8</v>
      </c>
      <c r="J185" s="27" t="s">
        <v>7</v>
      </c>
      <c r="P185" s="27" t="s">
        <v>7</v>
      </c>
      <c r="Q185" s="27" t="s">
        <v>8</v>
      </c>
      <c r="R185" s="27" t="s">
        <v>7</v>
      </c>
      <c r="W185" s="27" t="s">
        <v>8</v>
      </c>
      <c r="Z185" s="27" t="s">
        <v>7</v>
      </c>
      <c r="AB185" s="27" t="s">
        <v>7</v>
      </c>
    </row>
    <row r="186" spans="1:95" x14ac:dyDescent="0.25">
      <c r="A186" s="30">
        <v>13.938696110832291</v>
      </c>
      <c r="E186" t="s">
        <v>8</v>
      </c>
      <c r="P186" s="27" t="s">
        <v>7</v>
      </c>
      <c r="Q186" s="27" t="s">
        <v>8</v>
      </c>
      <c r="R186" s="27" t="s">
        <v>7</v>
      </c>
      <c r="S186" s="27" t="s">
        <v>8</v>
      </c>
      <c r="W186" s="27" t="s">
        <v>8</v>
      </c>
      <c r="AB186" s="27" t="s">
        <v>7</v>
      </c>
      <c r="CM186" s="27" t="s">
        <v>8</v>
      </c>
      <c r="CO186" s="27" t="s">
        <v>8</v>
      </c>
    </row>
    <row r="187" spans="1:9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P187" s="27" t="s">
        <v>7</v>
      </c>
      <c r="R187" s="27" t="s">
        <v>7</v>
      </c>
      <c r="S187" s="27" t="s">
        <v>8</v>
      </c>
      <c r="T187" s="27" t="s">
        <v>7</v>
      </c>
      <c r="W187" s="27" t="s">
        <v>8</v>
      </c>
      <c r="AB187" s="27" t="s">
        <v>7</v>
      </c>
      <c r="AC187" s="27" t="s">
        <v>8</v>
      </c>
      <c r="BU187" s="27" t="s">
        <v>8</v>
      </c>
      <c r="CM187" s="27" t="s">
        <v>8</v>
      </c>
      <c r="CN187" s="27" t="s">
        <v>7</v>
      </c>
      <c r="CO187" s="27" t="s">
        <v>8</v>
      </c>
      <c r="CP187" s="27" t="s">
        <v>7</v>
      </c>
    </row>
    <row r="188" spans="1:95" x14ac:dyDescent="0.25">
      <c r="A188" s="30">
        <v>12.64280826379346</v>
      </c>
      <c r="E188" t="s">
        <v>8</v>
      </c>
      <c r="R188" s="27" t="s">
        <v>7</v>
      </c>
      <c r="S188" s="27" t="s">
        <v>8</v>
      </c>
      <c r="T188" s="27" t="s">
        <v>7</v>
      </c>
      <c r="W188" s="27" t="s">
        <v>8</v>
      </c>
      <c r="AB188" s="27" t="s">
        <v>7</v>
      </c>
      <c r="AC188" s="27" t="s">
        <v>8</v>
      </c>
      <c r="AD188" s="27" t="s">
        <v>7</v>
      </c>
      <c r="AE188" s="27" t="s">
        <v>8</v>
      </c>
      <c r="BQ188" s="27" t="s">
        <v>8</v>
      </c>
      <c r="BU188" s="27" t="s">
        <v>8</v>
      </c>
      <c r="BV188" s="27" t="s">
        <v>7</v>
      </c>
      <c r="CM188" s="27" t="s">
        <v>8</v>
      </c>
      <c r="CN188" s="27" t="s">
        <v>7</v>
      </c>
      <c r="CO188" s="27" t="s">
        <v>8</v>
      </c>
      <c r="CP188" s="27" t="s">
        <v>7</v>
      </c>
    </row>
    <row r="189" spans="1:95" x14ac:dyDescent="0.25">
      <c r="A189" s="30">
        <v>12.04076977504139</v>
      </c>
      <c r="E189" t="s">
        <v>8</v>
      </c>
      <c r="R189" s="27" t="s">
        <v>7</v>
      </c>
      <c r="T189" s="27" t="s">
        <v>7</v>
      </c>
      <c r="U189" s="27" t="s">
        <v>8</v>
      </c>
      <c r="W189" s="27" t="s">
        <v>8</v>
      </c>
      <c r="AB189" s="27" t="s">
        <v>7</v>
      </c>
      <c r="AC189" s="27" t="s">
        <v>8</v>
      </c>
      <c r="AD189" s="27" t="s">
        <v>7</v>
      </c>
      <c r="AE189" s="27" t="s">
        <v>8</v>
      </c>
      <c r="AF189" s="27" t="s">
        <v>7</v>
      </c>
      <c r="BM189" s="27" t="s">
        <v>8</v>
      </c>
      <c r="BQ189" s="27" t="s">
        <v>8</v>
      </c>
      <c r="BR189" s="27" t="s">
        <v>7</v>
      </c>
      <c r="BU189" s="27" t="s">
        <v>8</v>
      </c>
      <c r="BV189" s="27" t="s">
        <v>7</v>
      </c>
      <c r="CM189" s="27" t="s">
        <v>8</v>
      </c>
      <c r="CN189" s="27" t="s">
        <v>7</v>
      </c>
      <c r="CO189" s="27" t="s">
        <v>8</v>
      </c>
      <c r="CP189" s="27" t="s">
        <v>7</v>
      </c>
    </row>
    <row r="190" spans="1:95" x14ac:dyDescent="0.25">
      <c r="A190" s="30">
        <v>11.467399785753704</v>
      </c>
      <c r="E190" t="s">
        <v>8</v>
      </c>
      <c r="T190" s="27" t="s">
        <v>7</v>
      </c>
      <c r="U190" s="27" t="s">
        <v>8</v>
      </c>
      <c r="V190" s="27" t="s">
        <v>7</v>
      </c>
      <c r="W190" s="27" t="s">
        <v>8</v>
      </c>
      <c r="AB190" s="27" t="s">
        <v>7</v>
      </c>
      <c r="AC190" s="27" t="s">
        <v>8</v>
      </c>
      <c r="AD190" s="27" t="s">
        <v>7</v>
      </c>
      <c r="AE190" s="27" t="s">
        <v>8</v>
      </c>
      <c r="AF190" s="27" t="s">
        <v>7</v>
      </c>
      <c r="BK190" s="27" t="s">
        <v>8</v>
      </c>
      <c r="BM190" s="27" t="s">
        <v>8</v>
      </c>
      <c r="BN190" s="27" t="s">
        <v>7</v>
      </c>
      <c r="BQ190" s="27" t="s">
        <v>8</v>
      </c>
      <c r="BR190" s="27" t="s">
        <v>7</v>
      </c>
      <c r="BS190" s="27" t="s">
        <v>8</v>
      </c>
      <c r="BU190" s="27" t="s">
        <v>8</v>
      </c>
      <c r="BV190" s="27" t="s">
        <v>7</v>
      </c>
      <c r="CM190" s="27" t="s">
        <v>8</v>
      </c>
      <c r="CN190" s="27" t="s">
        <v>7</v>
      </c>
      <c r="CO190" s="27" t="s">
        <v>8</v>
      </c>
      <c r="CP190" s="27" t="s">
        <v>7</v>
      </c>
    </row>
    <row r="191" spans="1:95" x14ac:dyDescent="0.25">
      <c r="A191" s="30">
        <v>10.921333129289241</v>
      </c>
      <c r="E191" t="s">
        <v>8</v>
      </c>
      <c r="T191" s="27" t="s">
        <v>7</v>
      </c>
      <c r="U191" s="27" t="s">
        <v>8</v>
      </c>
      <c r="V191" s="27" t="s">
        <v>7</v>
      </c>
      <c r="W191" s="27" t="s">
        <v>8</v>
      </c>
      <c r="AB191" s="27" t="s">
        <v>7</v>
      </c>
      <c r="AC191" s="27" t="s">
        <v>8</v>
      </c>
      <c r="AD191" s="27" t="s">
        <v>7</v>
      </c>
      <c r="AE191" s="27" t="s">
        <v>8</v>
      </c>
      <c r="AF191" s="27" t="s">
        <v>7</v>
      </c>
      <c r="BG191" s="27" t="s">
        <v>8</v>
      </c>
      <c r="BI191" s="27" t="s">
        <v>8</v>
      </c>
      <c r="BK191" s="27" t="s">
        <v>8</v>
      </c>
      <c r="BL191" s="27" t="s">
        <v>7</v>
      </c>
      <c r="BM191" s="27" t="s">
        <v>8</v>
      </c>
      <c r="BN191" s="27" t="s">
        <v>7</v>
      </c>
      <c r="BO191" s="27" t="s">
        <v>8</v>
      </c>
      <c r="BQ191" s="27" t="s">
        <v>8</v>
      </c>
      <c r="BR191" s="27" t="s">
        <v>7</v>
      </c>
      <c r="BS191" s="27" t="s">
        <v>8</v>
      </c>
      <c r="BT191" s="27" t="s">
        <v>7</v>
      </c>
      <c r="BU191" s="27" t="s">
        <v>8</v>
      </c>
      <c r="BV191" s="27" t="s">
        <v>7</v>
      </c>
      <c r="CM191" s="27" t="s">
        <v>8</v>
      </c>
      <c r="CN191" s="27" t="s">
        <v>7</v>
      </c>
      <c r="CO191" s="27" t="s">
        <v>8</v>
      </c>
      <c r="CP191" s="27" t="s">
        <v>7</v>
      </c>
    </row>
    <row r="192" spans="1:95" x14ac:dyDescent="0.25">
      <c r="A192" s="30">
        <v>10.401269646942135</v>
      </c>
      <c r="E192" t="s">
        <v>8</v>
      </c>
      <c r="T192" s="27" t="s">
        <v>7</v>
      </c>
      <c r="U192" s="27" t="s">
        <v>8</v>
      </c>
      <c r="V192" s="27" t="s">
        <v>7</v>
      </c>
      <c r="W192" s="27" t="s">
        <v>8</v>
      </c>
      <c r="AB192" s="27" t="s">
        <v>7</v>
      </c>
      <c r="AC192" s="27" t="s">
        <v>8</v>
      </c>
      <c r="AD192" s="27" t="s">
        <v>7</v>
      </c>
      <c r="AF192" s="27" t="s">
        <v>7</v>
      </c>
      <c r="BG192" s="27" t="s">
        <v>8</v>
      </c>
      <c r="BH192" s="27" t="s">
        <v>7</v>
      </c>
      <c r="BI192" s="27" t="s">
        <v>8</v>
      </c>
      <c r="BJ192" s="27" t="s">
        <v>7</v>
      </c>
      <c r="BK192" s="27" t="s">
        <v>8</v>
      </c>
      <c r="BL192" s="27" t="s">
        <v>7</v>
      </c>
      <c r="BM192" s="27" t="s">
        <v>8</v>
      </c>
      <c r="BN192" s="27" t="s">
        <v>7</v>
      </c>
      <c r="BO192" s="27" t="s">
        <v>8</v>
      </c>
      <c r="BP192" s="27" t="s">
        <v>7</v>
      </c>
      <c r="BQ192" s="27" t="s">
        <v>8</v>
      </c>
      <c r="BR192" s="27" t="s">
        <v>7</v>
      </c>
      <c r="BS192" s="27" t="s">
        <v>8</v>
      </c>
      <c r="BT192" s="27" t="s">
        <v>7</v>
      </c>
      <c r="BU192" s="27" t="s">
        <v>8</v>
      </c>
      <c r="BV192" s="27" t="s">
        <v>7</v>
      </c>
      <c r="CG192" s="27" t="s">
        <v>8</v>
      </c>
      <c r="CI192" s="27" t="s">
        <v>8</v>
      </c>
      <c r="CK192" s="27" t="s">
        <v>8</v>
      </c>
      <c r="CM192" s="27" t="s">
        <v>8</v>
      </c>
      <c r="CN192" s="27" t="s">
        <v>7</v>
      </c>
      <c r="CO192" s="27" t="s">
        <v>8</v>
      </c>
      <c r="CP192" s="27" t="s">
        <v>7</v>
      </c>
      <c r="CQ192" s="27" t="s">
        <v>8</v>
      </c>
    </row>
    <row r="193" spans="1:106" x14ac:dyDescent="0.25">
      <c r="A193" s="30">
        <v>9.9059710923258422</v>
      </c>
      <c r="E193" t="s">
        <v>8</v>
      </c>
      <c r="T193" s="27" t="s">
        <v>7</v>
      </c>
      <c r="U193" s="27" t="s">
        <v>8</v>
      </c>
      <c r="V193" s="27" t="s">
        <v>7</v>
      </c>
      <c r="W193" s="27" t="s">
        <v>8</v>
      </c>
      <c r="AB193" s="27" t="s">
        <v>7</v>
      </c>
      <c r="AF193" s="27" t="s">
        <v>7</v>
      </c>
      <c r="BG193" s="27" t="s">
        <v>8</v>
      </c>
      <c r="BH193" s="27" t="s">
        <v>7</v>
      </c>
      <c r="BI193" s="27" t="s">
        <v>8</v>
      </c>
      <c r="BJ193" s="27" t="s">
        <v>7</v>
      </c>
      <c r="BK193" s="27" t="s">
        <v>8</v>
      </c>
      <c r="BL193" s="27" t="s">
        <v>7</v>
      </c>
      <c r="BM193" s="27" t="s">
        <v>8</v>
      </c>
      <c r="BN193" s="27" t="s">
        <v>7</v>
      </c>
      <c r="BO193" s="27" t="s">
        <v>8</v>
      </c>
      <c r="BP193" s="27" t="s">
        <v>7</v>
      </c>
      <c r="BQ193" s="27" t="s">
        <v>8</v>
      </c>
      <c r="BR193" s="27" t="s">
        <v>7</v>
      </c>
      <c r="BS193" s="27" t="s">
        <v>8</v>
      </c>
      <c r="BT193" s="27" t="s">
        <v>7</v>
      </c>
      <c r="BV193" s="27" t="s">
        <v>7</v>
      </c>
      <c r="BW193" s="27" t="s">
        <v>8</v>
      </c>
      <c r="CE193" s="27" t="s">
        <v>8</v>
      </c>
      <c r="CG193" s="27" t="s">
        <v>8</v>
      </c>
      <c r="CH193" s="27" t="s">
        <v>7</v>
      </c>
      <c r="CI193" s="27" t="s">
        <v>8</v>
      </c>
      <c r="CJ193" s="27" t="s">
        <v>7</v>
      </c>
      <c r="CK193" s="27" t="s">
        <v>8</v>
      </c>
      <c r="CL193" s="27" t="s">
        <v>7</v>
      </c>
      <c r="CM193" s="27" t="s">
        <v>8</v>
      </c>
      <c r="CN193" s="27" t="s">
        <v>7</v>
      </c>
      <c r="CP193" s="27" t="s">
        <v>7</v>
      </c>
      <c r="CQ193" s="27" t="s">
        <v>8</v>
      </c>
      <c r="CR193" s="27" t="s">
        <v>7</v>
      </c>
    </row>
    <row r="194" spans="1:106" x14ac:dyDescent="0.25">
      <c r="A194" s="30">
        <v>9.4342581831674686</v>
      </c>
      <c r="E194" t="s">
        <v>8</v>
      </c>
      <c r="T194" s="27" t="s">
        <v>7</v>
      </c>
      <c r="U194" s="27" t="s">
        <v>8</v>
      </c>
      <c r="V194" s="27" t="s">
        <v>7</v>
      </c>
      <c r="AF194" s="27" t="s">
        <v>7</v>
      </c>
      <c r="AG194" s="27" t="s">
        <v>8</v>
      </c>
      <c r="BG194" s="27" t="s">
        <v>8</v>
      </c>
      <c r="BH194" s="27" t="s">
        <v>7</v>
      </c>
      <c r="BI194" s="27" t="s">
        <v>8</v>
      </c>
      <c r="BJ194" s="27" t="s">
        <v>7</v>
      </c>
      <c r="BK194" s="27" t="s">
        <v>8</v>
      </c>
      <c r="BL194" s="27" t="s">
        <v>7</v>
      </c>
      <c r="BN194" s="27" t="s">
        <v>7</v>
      </c>
      <c r="BP194" s="27" t="s">
        <v>7</v>
      </c>
      <c r="BQ194" s="27" t="s">
        <v>8</v>
      </c>
      <c r="BR194" s="27" t="s">
        <v>7</v>
      </c>
      <c r="BV194" s="27" t="s">
        <v>7</v>
      </c>
      <c r="BW194" s="27" t="s">
        <v>8</v>
      </c>
      <c r="BX194" s="27" t="s">
        <v>7</v>
      </c>
      <c r="CE194" s="27" t="s">
        <v>8</v>
      </c>
      <c r="CF194" s="27" t="s">
        <v>7</v>
      </c>
      <c r="CG194" s="27" t="s">
        <v>8</v>
      </c>
      <c r="CH194" s="27" t="s">
        <v>7</v>
      </c>
      <c r="CI194" s="27" t="s">
        <v>8</v>
      </c>
      <c r="CJ194" s="27" t="s">
        <v>7</v>
      </c>
      <c r="CK194" s="27" t="s">
        <v>8</v>
      </c>
      <c r="CL194" s="27" t="s">
        <v>7</v>
      </c>
      <c r="CM194" s="27" t="s">
        <v>8</v>
      </c>
      <c r="CP194" s="27" t="s">
        <v>7</v>
      </c>
      <c r="CQ194" s="27" t="s">
        <v>8</v>
      </c>
      <c r="CR194" s="27" t="s">
        <v>7</v>
      </c>
    </row>
    <row r="195" spans="1:106" x14ac:dyDescent="0.25">
      <c r="A195" s="30">
        <v>8.9850077934928265</v>
      </c>
      <c r="E195" t="s">
        <v>8</v>
      </c>
      <c r="T195" s="27" t="s">
        <v>7</v>
      </c>
      <c r="U195" s="27" t="s">
        <v>8</v>
      </c>
      <c r="AF195" s="27" t="s">
        <v>7</v>
      </c>
      <c r="AG195" s="27" t="s">
        <v>8</v>
      </c>
      <c r="AH195" s="27" t="s">
        <v>7</v>
      </c>
      <c r="AK195" s="27" t="s">
        <v>8</v>
      </c>
      <c r="BG195" s="27" t="s">
        <v>8</v>
      </c>
      <c r="BH195" s="27" t="s">
        <v>7</v>
      </c>
      <c r="BI195" s="27" t="s">
        <v>8</v>
      </c>
      <c r="BJ195" s="27" t="s">
        <v>7</v>
      </c>
      <c r="BK195" s="27" t="s">
        <v>8</v>
      </c>
      <c r="BP195" s="27" t="s">
        <v>7</v>
      </c>
      <c r="BV195" s="27" t="s">
        <v>7</v>
      </c>
      <c r="BW195" s="27" t="s">
        <v>8</v>
      </c>
      <c r="BX195" s="27" t="s">
        <v>7</v>
      </c>
      <c r="CE195" s="27" t="s">
        <v>8</v>
      </c>
      <c r="CF195" s="27" t="s">
        <v>7</v>
      </c>
      <c r="CG195" s="27" t="s">
        <v>8</v>
      </c>
      <c r="CH195" s="27" t="s">
        <v>7</v>
      </c>
      <c r="CJ195" s="27" t="s">
        <v>7</v>
      </c>
      <c r="CL195" s="27" t="s">
        <v>7</v>
      </c>
      <c r="CM195" s="27" t="s">
        <v>8</v>
      </c>
      <c r="CP195" s="27" t="s">
        <v>7</v>
      </c>
      <c r="CR195" s="27" t="s">
        <v>7</v>
      </c>
    </row>
    <row r="196" spans="1:106" x14ac:dyDescent="0.25">
      <c r="A196" s="30">
        <v>8.5571502795169767</v>
      </c>
      <c r="E196" t="s">
        <v>8</v>
      </c>
      <c r="T196" s="27" t="s">
        <v>7</v>
      </c>
      <c r="AF196" s="27" t="s">
        <v>7</v>
      </c>
      <c r="AG196" s="27" t="s">
        <v>8</v>
      </c>
      <c r="AH196" s="27" t="s">
        <v>7</v>
      </c>
      <c r="AK196" s="27" t="s">
        <v>8</v>
      </c>
      <c r="AL196" s="27" t="s">
        <v>7</v>
      </c>
      <c r="AM196" s="27" t="s">
        <v>8</v>
      </c>
      <c r="AO196" s="27" t="s">
        <v>8</v>
      </c>
      <c r="BG196" s="27" t="s">
        <v>8</v>
      </c>
      <c r="BH196" s="27" t="s">
        <v>7</v>
      </c>
      <c r="BI196" s="27" t="s">
        <v>8</v>
      </c>
      <c r="BJ196" s="27" t="s">
        <v>7</v>
      </c>
      <c r="BV196" s="27" t="s">
        <v>7</v>
      </c>
      <c r="BW196" s="27" t="s">
        <v>8</v>
      </c>
      <c r="BX196" s="27" t="s">
        <v>7</v>
      </c>
      <c r="CA196" s="27" t="s">
        <v>8</v>
      </c>
      <c r="CC196" s="27" t="s">
        <v>8</v>
      </c>
      <c r="CE196" s="27" t="s">
        <v>8</v>
      </c>
      <c r="CF196" s="27" t="s">
        <v>7</v>
      </c>
      <c r="CG196" s="27" t="s">
        <v>8</v>
      </c>
      <c r="CL196" s="27" t="s">
        <v>7</v>
      </c>
      <c r="CM196" s="27" t="s">
        <v>8</v>
      </c>
      <c r="CR196" s="27" t="s">
        <v>7</v>
      </c>
    </row>
    <row r="197" spans="1:106" x14ac:dyDescent="0.25">
      <c r="A197" s="30">
        <v>8.1496669328733109</v>
      </c>
      <c r="E197" t="s">
        <v>8</v>
      </c>
      <c r="AF197" s="27" t="s">
        <v>7</v>
      </c>
      <c r="AG197" s="27" t="s">
        <v>8</v>
      </c>
      <c r="AH197" s="27" t="s">
        <v>7</v>
      </c>
      <c r="AK197" s="27" t="s">
        <v>8</v>
      </c>
      <c r="AL197" s="27" t="s">
        <v>7</v>
      </c>
      <c r="AM197" s="27" t="s">
        <v>8</v>
      </c>
      <c r="AN197" s="27" t="s">
        <v>7</v>
      </c>
      <c r="AO197" s="27" t="s">
        <v>8</v>
      </c>
      <c r="AP197" s="27" t="s">
        <v>7</v>
      </c>
      <c r="BE197" s="27" t="s">
        <v>8</v>
      </c>
      <c r="BG197" s="27" t="s">
        <v>8</v>
      </c>
      <c r="BH197" s="27" t="s">
        <v>7</v>
      </c>
      <c r="BI197" s="27" t="s">
        <v>8</v>
      </c>
      <c r="BV197" s="27" t="s">
        <v>7</v>
      </c>
      <c r="BW197" s="27" t="s">
        <v>8</v>
      </c>
      <c r="BX197" s="27" t="s">
        <v>7</v>
      </c>
      <c r="CA197" s="27" t="s">
        <v>8</v>
      </c>
      <c r="CB197" s="27" t="s">
        <v>7</v>
      </c>
      <c r="CC197" s="27" t="s">
        <v>8</v>
      </c>
      <c r="CD197" s="27" t="s">
        <v>7</v>
      </c>
      <c r="CE197" s="27" t="s">
        <v>8</v>
      </c>
      <c r="CF197" s="27" t="s">
        <v>7</v>
      </c>
      <c r="CG197" s="27" t="s">
        <v>8</v>
      </c>
      <c r="CL197" s="27" t="s">
        <v>7</v>
      </c>
      <c r="CM197" s="27" t="s">
        <v>8</v>
      </c>
      <c r="CR197" s="27" t="s">
        <v>7</v>
      </c>
    </row>
    <row r="198" spans="1:106" x14ac:dyDescent="0.25">
      <c r="A198" s="30">
        <v>7.7615875551174378</v>
      </c>
      <c r="E198" t="s">
        <v>8</v>
      </c>
      <c r="AF198" s="27" t="s">
        <v>7</v>
      </c>
      <c r="AG198" s="27" t="s">
        <v>8</v>
      </c>
      <c r="AH198" s="27" t="s">
        <v>7</v>
      </c>
      <c r="AK198" s="27" t="s">
        <v>8</v>
      </c>
      <c r="AL198" s="27" t="s">
        <v>7</v>
      </c>
      <c r="AM198" s="27" t="s">
        <v>8</v>
      </c>
      <c r="AN198" s="27" t="s">
        <v>7</v>
      </c>
      <c r="AO198" s="27" t="s">
        <v>8</v>
      </c>
      <c r="AP198" s="27" t="s">
        <v>7</v>
      </c>
      <c r="AQ198" s="27" t="s">
        <v>8</v>
      </c>
      <c r="BE198" s="27" t="s">
        <v>8</v>
      </c>
      <c r="BF198" s="27" t="s">
        <v>7</v>
      </c>
      <c r="BG198" s="27" t="s">
        <v>8</v>
      </c>
      <c r="BH198" s="27" t="s">
        <v>7</v>
      </c>
      <c r="BV198" s="27" t="s">
        <v>7</v>
      </c>
      <c r="BX198" s="27" t="s">
        <v>7</v>
      </c>
      <c r="BY198" s="27" t="s">
        <v>8</v>
      </c>
      <c r="CA198" s="27" t="s">
        <v>8</v>
      </c>
      <c r="CB198" s="27" t="s">
        <v>7</v>
      </c>
      <c r="CC198" s="27" t="s">
        <v>8</v>
      </c>
      <c r="CD198" s="27" t="s">
        <v>7</v>
      </c>
      <c r="CE198" s="27" t="s">
        <v>8</v>
      </c>
      <c r="CF198" s="27" t="s">
        <v>7</v>
      </c>
      <c r="CG198" s="27" t="s">
        <v>8</v>
      </c>
      <c r="CL198" s="27" t="s">
        <v>7</v>
      </c>
      <c r="CM198" s="27" t="s">
        <v>8</v>
      </c>
      <c r="CR198" s="27" t="s">
        <v>7</v>
      </c>
      <c r="CU198" s="27" t="s">
        <v>8</v>
      </c>
    </row>
    <row r="199" spans="1:106" x14ac:dyDescent="0.25">
      <c r="A199" s="30">
        <v>7.3919881477308929</v>
      </c>
      <c r="E199" t="s">
        <v>8</v>
      </c>
      <c r="AF199" s="27" t="s">
        <v>7</v>
      </c>
      <c r="AG199" s="27" t="s">
        <v>8</v>
      </c>
      <c r="AH199" s="27" t="s">
        <v>7</v>
      </c>
      <c r="AK199" s="27" t="s">
        <v>8</v>
      </c>
      <c r="AL199" s="27" t="s">
        <v>7</v>
      </c>
      <c r="AM199" s="27" t="s">
        <v>8</v>
      </c>
      <c r="AN199" s="27" t="s">
        <v>7</v>
      </c>
      <c r="AP199" s="27" t="s">
        <v>7</v>
      </c>
      <c r="AQ199" s="27" t="s">
        <v>8</v>
      </c>
      <c r="AR199" s="27" t="s">
        <v>7</v>
      </c>
      <c r="BE199" s="27" t="s">
        <v>8</v>
      </c>
      <c r="BF199" s="27" t="s">
        <v>7</v>
      </c>
      <c r="BG199" s="27" t="s">
        <v>8</v>
      </c>
      <c r="BX199" s="27" t="s">
        <v>7</v>
      </c>
      <c r="BY199" s="27" t="s">
        <v>8</v>
      </c>
      <c r="BZ199" s="27" t="s">
        <v>7</v>
      </c>
      <c r="CA199" s="27" t="s">
        <v>8</v>
      </c>
      <c r="CB199" s="27" t="s">
        <v>7</v>
      </c>
      <c r="CD199" s="27" t="s">
        <v>7</v>
      </c>
      <c r="CE199" s="27" t="s">
        <v>8</v>
      </c>
      <c r="CF199" s="27" t="s">
        <v>7</v>
      </c>
      <c r="CL199" s="27" t="s">
        <v>7</v>
      </c>
      <c r="CR199" s="27" t="s">
        <v>7</v>
      </c>
      <c r="CS199" s="27" t="s">
        <v>8</v>
      </c>
      <c r="CU199" s="27" t="s">
        <v>8</v>
      </c>
      <c r="CV199" s="27" t="s">
        <v>7</v>
      </c>
      <c r="CW199" s="27" t="s">
        <v>8</v>
      </c>
      <c r="CY199" s="27" t="s">
        <v>8</v>
      </c>
    </row>
    <row r="200" spans="1:106" x14ac:dyDescent="0.25">
      <c r="A200" s="30">
        <v>7.0399887121246598</v>
      </c>
      <c r="E200" t="s">
        <v>8</v>
      </c>
      <c r="AF200" s="27" t="s">
        <v>7</v>
      </c>
      <c r="AG200" s="27" t="s">
        <v>8</v>
      </c>
      <c r="AH200" s="27" t="s">
        <v>7</v>
      </c>
      <c r="AI200" s="27" t="s">
        <v>8</v>
      </c>
      <c r="AK200" s="27" t="s">
        <v>8</v>
      </c>
      <c r="AL200" s="27" t="s">
        <v>7</v>
      </c>
      <c r="AM200" s="27" t="s">
        <v>8</v>
      </c>
      <c r="AP200" s="27" t="s">
        <v>7</v>
      </c>
      <c r="AQ200" s="27" t="s">
        <v>8</v>
      </c>
      <c r="AR200" s="27" t="s">
        <v>7</v>
      </c>
      <c r="AS200" s="27" t="s">
        <v>8</v>
      </c>
      <c r="BC200" s="27" t="s">
        <v>8</v>
      </c>
      <c r="BE200" s="27" t="s">
        <v>8</v>
      </c>
      <c r="BF200" s="27" t="s">
        <v>7</v>
      </c>
      <c r="BG200" s="27" t="s">
        <v>8</v>
      </c>
      <c r="BX200" s="27" t="s">
        <v>7</v>
      </c>
      <c r="BY200" s="27" t="s">
        <v>8</v>
      </c>
      <c r="BZ200" s="27" t="s">
        <v>7</v>
      </c>
      <c r="CA200" s="27" t="s">
        <v>8</v>
      </c>
      <c r="CD200" s="27" t="s">
        <v>7</v>
      </c>
      <c r="CR200" s="27" t="s">
        <v>7</v>
      </c>
      <c r="CS200" s="27" t="s">
        <v>8</v>
      </c>
      <c r="CT200" s="27" t="s">
        <v>7</v>
      </c>
      <c r="CU200" s="27" t="s">
        <v>8</v>
      </c>
      <c r="CV200" s="27" t="s">
        <v>7</v>
      </c>
      <c r="CW200" s="27" t="s">
        <v>8</v>
      </c>
      <c r="CX200" s="27" t="s">
        <v>7</v>
      </c>
      <c r="CY200" s="27" t="s">
        <v>8</v>
      </c>
      <c r="CZ200" s="27" t="s">
        <v>7</v>
      </c>
    </row>
    <row r="201" spans="1:106" x14ac:dyDescent="0.25">
      <c r="A201" s="30">
        <v>6.7047511544044376</v>
      </c>
      <c r="E201" t="s">
        <v>8</v>
      </c>
      <c r="AF201" s="27" t="s">
        <v>7</v>
      </c>
      <c r="AG201" s="27" t="s">
        <v>8</v>
      </c>
      <c r="AH201" s="27" t="s">
        <v>7</v>
      </c>
      <c r="AI201" s="27" t="s">
        <v>8</v>
      </c>
      <c r="AJ201" s="27" t="s">
        <v>7</v>
      </c>
      <c r="AK201" s="27" t="s">
        <v>8</v>
      </c>
      <c r="AL201" s="27" t="s">
        <v>7</v>
      </c>
      <c r="AM201" s="27" t="s">
        <v>8</v>
      </c>
      <c r="AP201" s="27" t="s">
        <v>7</v>
      </c>
      <c r="AQ201" s="27" t="s">
        <v>8</v>
      </c>
      <c r="AR201" s="27" t="s">
        <v>7</v>
      </c>
      <c r="AS201" s="27" t="s">
        <v>8</v>
      </c>
      <c r="AT201" s="27" t="s">
        <v>7</v>
      </c>
      <c r="BC201" s="27" t="s">
        <v>8</v>
      </c>
      <c r="BD201" s="27" t="s">
        <v>7</v>
      </c>
      <c r="BE201" s="27" t="s">
        <v>8</v>
      </c>
      <c r="BF201" s="27" t="s">
        <v>7</v>
      </c>
      <c r="BG201" s="27" t="s">
        <v>8</v>
      </c>
      <c r="BX201" s="27" t="s">
        <v>7</v>
      </c>
      <c r="BY201" s="27" t="s">
        <v>8</v>
      </c>
      <c r="BZ201" s="27" t="s">
        <v>7</v>
      </c>
      <c r="CA201" s="27" t="s">
        <v>8</v>
      </c>
      <c r="CR201" s="27" t="s">
        <v>7</v>
      </c>
      <c r="CS201" s="27" t="s">
        <v>8</v>
      </c>
      <c r="CT201" s="27" t="s">
        <v>7</v>
      </c>
      <c r="CU201" s="27" t="s">
        <v>8</v>
      </c>
      <c r="CV201" s="27" t="s">
        <v>7</v>
      </c>
      <c r="CW201" s="27" t="s">
        <v>8</v>
      </c>
      <c r="CX201" s="27" t="s">
        <v>7</v>
      </c>
      <c r="CY201" s="27" t="s">
        <v>8</v>
      </c>
      <c r="CZ201" s="27" t="s">
        <v>7</v>
      </c>
    </row>
    <row r="202" spans="1:106" x14ac:dyDescent="0.25">
      <c r="A202" s="30">
        <v>6.3854772899089882</v>
      </c>
      <c r="E202" t="s">
        <v>8</v>
      </c>
      <c r="AF202" s="27" t="s">
        <v>7</v>
      </c>
      <c r="AG202" s="27" t="s">
        <v>8</v>
      </c>
      <c r="AH202" s="27" t="s">
        <v>7</v>
      </c>
      <c r="AI202" s="27" t="s">
        <v>8</v>
      </c>
      <c r="AJ202" s="27" t="s">
        <v>7</v>
      </c>
      <c r="AK202" s="27" t="s">
        <v>8</v>
      </c>
      <c r="AL202" s="27" t="s">
        <v>7</v>
      </c>
      <c r="AP202" s="27" t="s">
        <v>7</v>
      </c>
      <c r="AQ202" s="27" t="s">
        <v>8</v>
      </c>
      <c r="AR202" s="27" t="s">
        <v>7</v>
      </c>
      <c r="AS202" s="27" t="s">
        <v>8</v>
      </c>
      <c r="AT202" s="27" t="s">
        <v>7</v>
      </c>
      <c r="BC202" s="27" t="s">
        <v>8</v>
      </c>
      <c r="BD202" s="27" t="s">
        <v>7</v>
      </c>
      <c r="BE202" s="27" t="s">
        <v>8</v>
      </c>
      <c r="BF202" s="27" t="s">
        <v>7</v>
      </c>
      <c r="BG202" s="27" t="s">
        <v>8</v>
      </c>
      <c r="BX202" s="27" t="s">
        <v>7</v>
      </c>
      <c r="BZ202" s="27" t="s">
        <v>7</v>
      </c>
      <c r="CA202" s="27" t="s">
        <v>8</v>
      </c>
      <c r="CR202" s="27" t="s">
        <v>7</v>
      </c>
      <c r="CT202" s="27" t="s">
        <v>7</v>
      </c>
      <c r="CU202" s="27" t="s">
        <v>8</v>
      </c>
      <c r="CV202" s="27" t="s">
        <v>7</v>
      </c>
      <c r="CW202" s="27" t="s">
        <v>8</v>
      </c>
      <c r="CX202" s="27" t="s">
        <v>7</v>
      </c>
      <c r="CY202" s="27" t="s">
        <v>8</v>
      </c>
      <c r="CZ202" s="27" t="s">
        <v>7</v>
      </c>
    </row>
    <row r="203" spans="1:106" x14ac:dyDescent="0.25">
      <c r="A203" s="30">
        <v>6.0814069427704647</v>
      </c>
      <c r="C203" s="7"/>
      <c r="D203"/>
      <c r="E203" t="s">
        <v>8</v>
      </c>
      <c r="AF203" s="27" t="s">
        <v>7</v>
      </c>
      <c r="AH203" s="27" t="s">
        <v>7</v>
      </c>
      <c r="AJ203" s="27" t="s">
        <v>7</v>
      </c>
      <c r="AK203" s="27" t="s">
        <v>8</v>
      </c>
      <c r="AP203" s="27" t="s">
        <v>7</v>
      </c>
      <c r="AQ203" s="27" t="s">
        <v>8</v>
      </c>
      <c r="AR203" s="27" t="s">
        <v>7</v>
      </c>
      <c r="AT203" s="27" t="s">
        <v>7</v>
      </c>
      <c r="BA203" s="27" t="s">
        <v>8</v>
      </c>
      <c r="BC203" s="27" t="s">
        <v>8</v>
      </c>
      <c r="BD203" s="27" t="s">
        <v>7</v>
      </c>
      <c r="BF203" s="27" t="s">
        <v>7</v>
      </c>
      <c r="BG203" s="27" t="s">
        <v>8</v>
      </c>
      <c r="BZ203" s="27" t="s">
        <v>7</v>
      </c>
      <c r="CT203" s="27" t="s">
        <v>7</v>
      </c>
      <c r="CV203" s="27" t="s">
        <v>7</v>
      </c>
      <c r="CW203" s="27" t="s">
        <v>8</v>
      </c>
      <c r="CX203" s="27" t="s">
        <v>7</v>
      </c>
      <c r="CY203" s="27" t="s">
        <v>8</v>
      </c>
      <c r="CZ203" s="27" t="s">
        <v>7</v>
      </c>
    </row>
    <row r="204" spans="1:106" x14ac:dyDescent="0.25">
      <c r="A204" s="30">
        <v>5.7918161359718709</v>
      </c>
      <c r="E204" t="s">
        <v>8</v>
      </c>
      <c r="AJ204" s="27" t="s">
        <v>7</v>
      </c>
      <c r="AK204" s="27" t="s">
        <v>8</v>
      </c>
      <c r="AP204" s="27" t="s">
        <v>7</v>
      </c>
      <c r="AQ204" s="27" t="s">
        <v>8</v>
      </c>
      <c r="AT204" s="27" t="s">
        <v>7</v>
      </c>
      <c r="BA204" s="27" t="s">
        <v>8</v>
      </c>
      <c r="BB204" s="27" t="s">
        <v>7</v>
      </c>
      <c r="BC204" s="27" t="s">
        <v>8</v>
      </c>
      <c r="BF204" s="27" t="s">
        <v>7</v>
      </c>
      <c r="BG204" s="27" t="s">
        <v>8</v>
      </c>
      <c r="CV204" s="27" t="s">
        <v>7</v>
      </c>
      <c r="CW204" s="27" t="s">
        <v>8</v>
      </c>
      <c r="CX204" s="27" t="s">
        <v>7</v>
      </c>
      <c r="CZ204" s="27" t="s">
        <v>7</v>
      </c>
      <c r="DA204" s="27" t="s">
        <v>8</v>
      </c>
    </row>
    <row r="205" spans="1:106" x14ac:dyDescent="0.25">
      <c r="A205" s="30">
        <v>5.5160153675922574</v>
      </c>
      <c r="E205" t="s">
        <v>8</v>
      </c>
      <c r="AJ205" s="27" t="s">
        <v>7</v>
      </c>
      <c r="AK205" s="27" t="s">
        <v>8</v>
      </c>
      <c r="AP205" s="27" t="s">
        <v>7</v>
      </c>
      <c r="AT205" s="27" t="s">
        <v>7</v>
      </c>
      <c r="AY205" s="27" t="s">
        <v>8</v>
      </c>
      <c r="BA205" s="27" t="s">
        <v>8</v>
      </c>
      <c r="BB205" s="27" t="s">
        <v>7</v>
      </c>
      <c r="BC205" s="27" t="s">
        <v>8</v>
      </c>
      <c r="BF205" s="27" t="s">
        <v>7</v>
      </c>
      <c r="BG205" s="27" t="s">
        <v>8</v>
      </c>
      <c r="CV205" s="27" t="s">
        <v>7</v>
      </c>
      <c r="CZ205" s="27" t="s">
        <v>7</v>
      </c>
      <c r="DA205" s="27" t="s">
        <v>8</v>
      </c>
      <c r="DB205" s="27" t="s">
        <v>7</v>
      </c>
    </row>
    <row r="206" spans="1:106" x14ac:dyDescent="0.25">
      <c r="A206" s="30">
        <v>5.2533479691354827</v>
      </c>
      <c r="C206"/>
      <c r="D206"/>
      <c r="E206" t="s">
        <v>8</v>
      </c>
      <c r="AJ206" s="27" t="s">
        <v>7</v>
      </c>
      <c r="AK206" s="27" t="s">
        <v>8</v>
      </c>
      <c r="AT206" s="27" t="s">
        <v>7</v>
      </c>
      <c r="AU206" s="27" t="s">
        <v>8</v>
      </c>
      <c r="AY206" s="27" t="s">
        <v>8</v>
      </c>
      <c r="AZ206" s="27" t="s">
        <v>7</v>
      </c>
      <c r="BA206" s="27" t="s">
        <v>8</v>
      </c>
      <c r="BB206" s="27" t="s">
        <v>7</v>
      </c>
      <c r="BC206" s="27" t="s">
        <v>8</v>
      </c>
      <c r="BF206" s="27" t="s">
        <v>7</v>
      </c>
      <c r="BG206" s="27" t="s">
        <v>8</v>
      </c>
      <c r="CZ206" s="27" t="s">
        <v>7</v>
      </c>
      <c r="DA206" s="27" t="s">
        <v>8</v>
      </c>
      <c r="DB206" s="27" t="s">
        <v>7</v>
      </c>
    </row>
    <row r="207" spans="1:106" x14ac:dyDescent="0.25">
      <c r="A207" s="30">
        <v>5.0031885420337927</v>
      </c>
      <c r="E207" t="s">
        <v>8</v>
      </c>
      <c r="AJ207" s="27" t="s">
        <v>7</v>
      </c>
      <c r="AK207" s="27" t="s">
        <v>8</v>
      </c>
      <c r="AT207" s="27" t="s">
        <v>7</v>
      </c>
      <c r="AU207" s="27" t="s">
        <v>8</v>
      </c>
      <c r="AV207" s="27" t="s">
        <v>7</v>
      </c>
      <c r="AY207" s="27" t="s">
        <v>8</v>
      </c>
      <c r="AZ207" s="27" t="s">
        <v>7</v>
      </c>
      <c r="BA207" s="27" t="s">
        <v>8</v>
      </c>
      <c r="BB207" s="27" t="s">
        <v>7</v>
      </c>
      <c r="BF207" s="18" t="s">
        <v>7</v>
      </c>
      <c r="BG207" s="27" t="s">
        <v>8</v>
      </c>
      <c r="CZ207" s="27" t="s">
        <v>7</v>
      </c>
      <c r="DA207" s="27" t="s">
        <v>8</v>
      </c>
      <c r="DB207" s="27" t="s">
        <v>7</v>
      </c>
    </row>
    <row r="208" spans="1:106" x14ac:dyDescent="0.25">
      <c r="A208" s="30">
        <v>4.7649414686036122</v>
      </c>
      <c r="E208" t="s">
        <v>8</v>
      </c>
      <c r="AJ208" s="27" t="s">
        <v>7</v>
      </c>
      <c r="AK208" s="27" t="s">
        <v>8</v>
      </c>
      <c r="AT208" s="27" t="s">
        <v>7</v>
      </c>
      <c r="AU208" s="27" t="s">
        <v>8</v>
      </c>
      <c r="AV208" s="27" t="s">
        <v>7</v>
      </c>
      <c r="AW208" s="27" t="s">
        <v>8</v>
      </c>
      <c r="AY208" s="27" t="s">
        <v>8</v>
      </c>
      <c r="AZ208" s="27" t="s">
        <v>7</v>
      </c>
      <c r="BF208" s="27" t="s">
        <v>7</v>
      </c>
      <c r="BG208" s="27" t="s">
        <v>8</v>
      </c>
      <c r="CZ208" s="27" t="s">
        <v>7</v>
      </c>
      <c r="DB208" s="27" t="s">
        <v>7</v>
      </c>
    </row>
    <row r="209" spans="1:109" x14ac:dyDescent="0.25">
      <c r="A209" s="30">
        <v>4.5380394939082018</v>
      </c>
      <c r="E209" t="s">
        <v>8</v>
      </c>
      <c r="AJ209" s="27" t="s">
        <v>7</v>
      </c>
      <c r="AK209" s="27" t="s">
        <v>8</v>
      </c>
      <c r="AT209" s="27" t="s">
        <v>7</v>
      </c>
      <c r="AU209" s="27" t="s">
        <v>8</v>
      </c>
      <c r="AV209" s="27" t="s">
        <v>7</v>
      </c>
      <c r="AW209" s="27" t="s">
        <v>8</v>
      </c>
      <c r="AX209" s="27" t="s">
        <v>7</v>
      </c>
      <c r="AY209" s="27" t="s">
        <v>8</v>
      </c>
      <c r="BF209" s="27" t="s">
        <v>7</v>
      </c>
      <c r="DB209" s="27" t="s">
        <v>7</v>
      </c>
    </row>
    <row r="210" spans="1:109" x14ac:dyDescent="0.25">
      <c r="A210" s="30">
        <v>4.3219423751506678</v>
      </c>
      <c r="C210"/>
      <c r="E210" t="s">
        <v>8</v>
      </c>
      <c r="AJ210" s="27" t="s">
        <v>7</v>
      </c>
      <c r="AK210" s="27" t="s">
        <v>8</v>
      </c>
      <c r="AT210" s="27" t="s">
        <v>7</v>
      </c>
      <c r="AU210" s="27" t="s">
        <v>8</v>
      </c>
      <c r="AV210" s="27" t="s">
        <v>7</v>
      </c>
      <c r="AW210" s="27" t="s">
        <v>8</v>
      </c>
      <c r="AX210" s="27" t="s">
        <v>7</v>
      </c>
      <c r="AY210" s="27" t="s">
        <v>8</v>
      </c>
      <c r="DB210" s="27" t="s">
        <v>7</v>
      </c>
    </row>
    <row r="211" spans="1:109" x14ac:dyDescent="0.25">
      <c r="A211" s="30">
        <v>4.1161355953815884</v>
      </c>
      <c r="E211" t="s">
        <v>8</v>
      </c>
      <c r="AJ211" s="27" t="s">
        <v>7</v>
      </c>
      <c r="AT211" s="27" t="s">
        <v>7</v>
      </c>
      <c r="AU211" s="27" t="s">
        <v>8</v>
      </c>
      <c r="AV211" s="27" t="s">
        <v>7</v>
      </c>
      <c r="AW211" s="27" t="s">
        <v>8</v>
      </c>
      <c r="AX211" s="27" t="s">
        <v>7</v>
      </c>
      <c r="DB211" s="27" t="s">
        <v>7</v>
      </c>
    </row>
    <row r="212" spans="1:109" x14ac:dyDescent="0.25">
      <c r="A212" s="30">
        <v>3.9201291384586554</v>
      </c>
      <c r="E212" t="s">
        <v>8</v>
      </c>
      <c r="AT212" s="27" t="s">
        <v>7</v>
      </c>
      <c r="AU212" s="27" t="s">
        <v>8</v>
      </c>
      <c r="AV212" s="27" t="s">
        <v>7</v>
      </c>
      <c r="DB212" s="27" t="s">
        <v>7</v>
      </c>
      <c r="DE212" s="27" t="s">
        <v>8</v>
      </c>
    </row>
    <row r="213" spans="1:109" x14ac:dyDescent="0.25">
      <c r="A213" s="30">
        <v>3.7334563223415764</v>
      </c>
      <c r="E213" t="s">
        <v>8</v>
      </c>
      <c r="AT213" s="27" t="s">
        <v>7</v>
      </c>
      <c r="AU213" s="27" t="s">
        <v>8</v>
      </c>
      <c r="DB213" s="27" t="s">
        <v>7</v>
      </c>
      <c r="DC213" s="27" t="s">
        <v>8</v>
      </c>
      <c r="DE213" s="27" t="s">
        <v>8</v>
      </c>
    </row>
    <row r="214" spans="1:109" x14ac:dyDescent="0.25">
      <c r="A214" s="30">
        <v>3.5556726879443583</v>
      </c>
      <c r="E214" t="s">
        <v>8</v>
      </c>
      <c r="AT214" s="27" t="s">
        <v>7</v>
      </c>
      <c r="DB214" s="27" t="s">
        <v>7</v>
      </c>
      <c r="DC214" s="27" t="s">
        <v>8</v>
      </c>
      <c r="DD214" s="27" t="s">
        <v>7</v>
      </c>
      <c r="DE214" s="27" t="s">
        <v>8</v>
      </c>
    </row>
    <row r="215" spans="1:109" x14ac:dyDescent="0.25">
      <c r="A215" s="30">
        <v>3.3863549408993889</v>
      </c>
      <c r="E215" t="s">
        <v>8</v>
      </c>
      <c r="DB215" s="27" t="s">
        <v>7</v>
      </c>
      <c r="DC215" s="27" t="s">
        <v>8</v>
      </c>
      <c r="DD215" s="27" t="s">
        <v>7</v>
      </c>
      <c r="DE215" s="27" t="s">
        <v>8</v>
      </c>
    </row>
    <row r="216" spans="1:109" x14ac:dyDescent="0.25">
      <c r="A216" s="30">
        <v>3.2250999437137038</v>
      </c>
      <c r="E216" t="s">
        <v>8</v>
      </c>
      <c r="DB216" s="27" t="s">
        <v>7</v>
      </c>
      <c r="DD216" s="27" t="s">
        <v>7</v>
      </c>
      <c r="DE216" s="27" t="s">
        <v>8</v>
      </c>
    </row>
    <row r="217" spans="1:109" x14ac:dyDescent="0.25">
      <c r="A217" s="30">
        <v>3.0715237559178128</v>
      </c>
      <c r="E217" t="s">
        <v>8</v>
      </c>
      <c r="DD217" s="27" t="s">
        <v>7</v>
      </c>
    </row>
    <row r="218" spans="1:109" x14ac:dyDescent="0.25">
      <c r="A218" s="30">
        <v>2.9252607199217264</v>
      </c>
      <c r="E218" t="s">
        <v>8</v>
      </c>
    </row>
    <row r="219" spans="1:109" x14ac:dyDescent="0.25">
      <c r="A219" s="30">
        <v>2.7859625904016441</v>
      </c>
      <c r="E219" t="s">
        <v>8</v>
      </c>
    </row>
    <row r="220" spans="1:109" x14ac:dyDescent="0.25">
      <c r="A220" s="30">
        <v>2.6532977051444226</v>
      </c>
      <c r="E220" t="s">
        <v>8</v>
      </c>
    </row>
    <row r="221" spans="1:109" x14ac:dyDescent="0.25">
      <c r="A221" s="30">
        <v>2.5269501953756404</v>
      </c>
      <c r="E221" t="s">
        <v>8</v>
      </c>
    </row>
    <row r="222" spans="1:109" x14ac:dyDescent="0.25">
      <c r="A222" s="30">
        <v>2.4066192336910861</v>
      </c>
      <c r="E222" t="s">
        <v>8</v>
      </c>
    </row>
    <row r="223" spans="1:109" x14ac:dyDescent="0.25">
      <c r="A223" s="30">
        <v>2.2920183178010345</v>
      </c>
      <c r="E223" t="s">
        <v>8</v>
      </c>
    </row>
    <row r="224" spans="1:109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44" operator="equal">
      <formula>$U$1</formula>
    </cfRule>
    <cfRule type="cellIs" dxfId="67" priority="745" operator="equal">
      <formula>$S$1</formula>
    </cfRule>
  </conditionalFormatting>
  <conditionalFormatting sqref="D136">
    <cfRule type="cellIs" dxfId="66" priority="742" operator="equal">
      <formula>$S$1</formula>
    </cfRule>
    <cfRule type="cellIs" dxfId="65" priority="743" operator="equal">
      <formula>$U$1</formula>
    </cfRule>
  </conditionalFormatting>
  <conditionalFormatting sqref="C162">
    <cfRule type="cellIs" dxfId="64" priority="740" operator="equal">
      <formula>$U$1</formula>
    </cfRule>
    <cfRule type="cellIs" dxfId="63" priority="741" operator="equal">
      <formula>$S$1</formula>
    </cfRule>
  </conditionalFormatting>
  <conditionalFormatting sqref="D162">
    <cfRule type="cellIs" dxfId="62" priority="738" operator="equal">
      <formula>$S$1</formula>
    </cfRule>
    <cfRule type="cellIs" dxfId="61" priority="739" operator="equal">
      <formula>$U$1</formula>
    </cfRule>
  </conditionalFormatting>
  <conditionalFormatting sqref="C187">
    <cfRule type="cellIs" dxfId="60" priority="736" operator="equal">
      <formula>$U$1</formula>
    </cfRule>
    <cfRule type="cellIs" dxfId="59" priority="737" operator="equal">
      <formula>$S$1</formula>
    </cfRule>
  </conditionalFormatting>
  <conditionalFormatting sqref="D187">
    <cfRule type="cellIs" dxfId="58" priority="734" operator="equal">
      <formula>$S$1</formula>
    </cfRule>
    <cfRule type="cellIs" dxfId="57" priority="735" operator="equal">
      <formula>$U$1</formula>
    </cfRule>
  </conditionalFormatting>
  <conditionalFormatting sqref="C212">
    <cfRule type="cellIs" dxfId="56" priority="732" operator="equal">
      <formula>$U$1</formula>
    </cfRule>
    <cfRule type="cellIs" dxfId="55" priority="733" operator="equal">
      <formula>$S$1</formula>
    </cfRule>
  </conditionalFormatting>
  <conditionalFormatting sqref="D212">
    <cfRule type="cellIs" dxfId="54" priority="730" operator="equal">
      <formula>$S$1</formula>
    </cfRule>
    <cfRule type="cellIs" dxfId="53" priority="731" operator="equal">
      <formula>$U$1</formula>
    </cfRule>
  </conditionalFormatting>
  <conditionalFormatting sqref="C237">
    <cfRule type="cellIs" dxfId="52" priority="728" operator="equal">
      <formula>$U$1</formula>
    </cfRule>
    <cfRule type="cellIs" dxfId="51" priority="729" operator="equal">
      <formula>$S$1</formula>
    </cfRule>
  </conditionalFormatting>
  <conditionalFormatting sqref="D237">
    <cfRule type="cellIs" dxfId="50" priority="726" operator="equal">
      <formula>$S$1</formula>
    </cfRule>
    <cfRule type="cellIs" dxfId="49" priority="727" operator="equal">
      <formula>$U$1</formula>
    </cfRule>
  </conditionalFormatting>
  <conditionalFormatting sqref="C106">
    <cfRule type="cellIs" dxfId="48" priority="724" operator="equal">
      <formula>$U$1</formula>
    </cfRule>
    <cfRule type="cellIs" dxfId="47" priority="725" operator="equal">
      <formula>$S$1</formula>
    </cfRule>
  </conditionalFormatting>
  <conditionalFormatting sqref="D106">
    <cfRule type="cellIs" dxfId="46" priority="722" operator="equal">
      <formula>$S$1</formula>
    </cfRule>
    <cfRule type="cellIs" dxfId="45" priority="723" operator="equal">
      <formula>$U$1</formula>
    </cfRule>
  </conditionalFormatting>
  <conditionalFormatting sqref="C81">
    <cfRule type="cellIs" dxfId="44" priority="720" operator="equal">
      <formula>$U$1</formula>
    </cfRule>
    <cfRule type="cellIs" dxfId="43" priority="721" operator="equal">
      <formula>$S$1</formula>
    </cfRule>
  </conditionalFormatting>
  <conditionalFormatting sqref="D81">
    <cfRule type="cellIs" dxfId="42" priority="718" operator="equal">
      <formula>$S$1</formula>
    </cfRule>
    <cfRule type="cellIs" dxfId="41" priority="719" operator="equal">
      <formula>$U$1</formula>
    </cfRule>
  </conditionalFormatting>
  <conditionalFormatting sqref="C56">
    <cfRule type="cellIs" dxfId="40" priority="716" operator="equal">
      <formula>$U$1</formula>
    </cfRule>
    <cfRule type="cellIs" dxfId="39" priority="717" operator="equal">
      <formula>$S$1</formula>
    </cfRule>
  </conditionalFormatting>
  <conditionalFormatting sqref="D56">
    <cfRule type="cellIs" dxfId="38" priority="714" operator="equal">
      <formula>$S$1</formula>
    </cfRule>
    <cfRule type="cellIs" dxfId="37" priority="715" operator="equal">
      <formula>$U$1</formula>
    </cfRule>
  </conditionalFormatting>
  <conditionalFormatting sqref="C31">
    <cfRule type="cellIs" dxfId="36" priority="712" operator="equal">
      <formula>$U$1</formula>
    </cfRule>
    <cfRule type="cellIs" dxfId="35" priority="713" operator="equal">
      <formula>$S$1</formula>
    </cfRule>
  </conditionalFormatting>
  <conditionalFormatting sqref="D31">
    <cfRule type="cellIs" dxfId="34" priority="710" operator="equal">
      <formula>$S$1</formula>
    </cfRule>
    <cfRule type="cellIs" dxfId="33" priority="71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P109" sqref="AP10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0" x14ac:dyDescent="0.25">
      <c r="A81" s="30">
        <v>45.259255568176073</v>
      </c>
      <c r="E81"/>
    </row>
    <row r="82" spans="1:40" x14ac:dyDescent="0.25">
      <c r="A82" s="30">
        <v>41.144777789250973</v>
      </c>
      <c r="E82"/>
    </row>
    <row r="83" spans="1:40" x14ac:dyDescent="0.25">
      <c r="A83" s="30">
        <v>37.404343444773609</v>
      </c>
      <c r="E83"/>
    </row>
    <row r="84" spans="1:40" x14ac:dyDescent="0.25">
      <c r="A84" s="30">
        <v>34.003948586157826</v>
      </c>
      <c r="E84" t="s">
        <v>8</v>
      </c>
    </row>
    <row r="85" spans="1:40" x14ac:dyDescent="0.25">
      <c r="A85" s="30">
        <v>30.912680532870748</v>
      </c>
      <c r="E85" t="s">
        <v>8</v>
      </c>
      <c r="F85" s="27" t="s">
        <v>7</v>
      </c>
    </row>
    <row r="86" spans="1:40" x14ac:dyDescent="0.25">
      <c r="A86" s="30">
        <v>28.102436848064315</v>
      </c>
      <c r="E86" t="s">
        <v>8</v>
      </c>
      <c r="F86" s="27" t="s">
        <v>7</v>
      </c>
      <c r="G86" s="27" t="s">
        <v>8</v>
      </c>
    </row>
    <row r="87" spans="1:40" x14ac:dyDescent="0.25">
      <c r="A87" s="30">
        <v>25.547669861876649</v>
      </c>
      <c r="E87" t="s">
        <v>8</v>
      </c>
      <c r="F87" s="27" t="s">
        <v>7</v>
      </c>
      <c r="G87" s="27" t="s">
        <v>8</v>
      </c>
      <c r="H87" s="27" t="s">
        <v>7</v>
      </c>
    </row>
    <row r="88" spans="1:40" x14ac:dyDescent="0.25">
      <c r="A88" s="30">
        <v>23.225154419887861</v>
      </c>
      <c r="E88" t="s">
        <v>8</v>
      </c>
      <c r="F88" s="27" t="s">
        <v>7</v>
      </c>
      <c r="G88" s="27" t="s">
        <v>8</v>
      </c>
      <c r="H88" s="27" t="s">
        <v>7</v>
      </c>
      <c r="I88" s="27" t="s">
        <v>8</v>
      </c>
    </row>
    <row r="89" spans="1:40" x14ac:dyDescent="0.25">
      <c r="A89" s="30">
        <v>21.113776745352599</v>
      </c>
      <c r="E89" t="s">
        <v>8</v>
      </c>
      <c r="F89" s="27" t="s">
        <v>7</v>
      </c>
      <c r="H89" s="27" t="s">
        <v>7</v>
      </c>
      <c r="I89" s="27" t="s">
        <v>8</v>
      </c>
      <c r="J89" s="27" t="s">
        <v>7</v>
      </c>
    </row>
    <row r="90" spans="1:40" x14ac:dyDescent="0.25">
      <c r="A90" s="30">
        <v>19.194342495775089</v>
      </c>
      <c r="E90" t="s">
        <v>8</v>
      </c>
      <c r="H90" s="27" t="s">
        <v>7</v>
      </c>
      <c r="I90" s="27" t="s">
        <v>8</v>
      </c>
      <c r="J90" s="27" t="s">
        <v>7</v>
      </c>
      <c r="K90" s="27" t="s">
        <v>8</v>
      </c>
      <c r="M90" s="27" t="s">
        <v>8</v>
      </c>
      <c r="O90" s="27" t="s">
        <v>8</v>
      </c>
    </row>
    <row r="91" spans="1:40" x14ac:dyDescent="0.25">
      <c r="A91" s="30">
        <v>17.449402268886445</v>
      </c>
      <c r="E91" t="s">
        <v>8</v>
      </c>
      <c r="H91" s="27" t="s">
        <v>7</v>
      </c>
      <c r="J91" s="27" t="s">
        <v>7</v>
      </c>
      <c r="K91" s="27" t="s">
        <v>8</v>
      </c>
      <c r="L91" s="27" t="s">
        <v>7</v>
      </c>
      <c r="M91" s="27" t="s">
        <v>8</v>
      </c>
      <c r="N91" s="27" t="s">
        <v>7</v>
      </c>
      <c r="O91" s="27" t="s">
        <v>8</v>
      </c>
      <c r="P91" s="27" t="s">
        <v>7</v>
      </c>
    </row>
    <row r="92" spans="1:40" x14ac:dyDescent="0.25">
      <c r="A92" s="30">
        <v>15.863092971714948</v>
      </c>
      <c r="C92" s="1" t="s">
        <v>15</v>
      </c>
      <c r="E92" t="s">
        <v>8</v>
      </c>
      <c r="J92" s="27" t="s">
        <v>7</v>
      </c>
      <c r="K92" s="27" t="s">
        <v>8</v>
      </c>
      <c r="L92" s="27" t="s">
        <v>7</v>
      </c>
      <c r="M92" s="27" t="s">
        <v>8</v>
      </c>
      <c r="N92" s="27" t="s">
        <v>7</v>
      </c>
      <c r="O92" s="27" t="s">
        <v>8</v>
      </c>
      <c r="P92" s="27" t="s">
        <v>7</v>
      </c>
    </row>
    <row r="93" spans="1:40" x14ac:dyDescent="0.25">
      <c r="A93" s="30">
        <v>14.420993610649951</v>
      </c>
      <c r="C93" s="7">
        <v>0.11167815779424731</v>
      </c>
      <c r="D93"/>
      <c r="E93" t="s">
        <v>8</v>
      </c>
      <c r="J93" s="27" t="s">
        <v>7</v>
      </c>
      <c r="L93" s="27" t="s">
        <v>7</v>
      </c>
      <c r="M93" s="27" t="s">
        <v>8</v>
      </c>
      <c r="N93" s="27" t="s">
        <v>7</v>
      </c>
      <c r="O93" s="27" t="s">
        <v>8</v>
      </c>
      <c r="P93" s="27" t="s">
        <v>7</v>
      </c>
      <c r="AM93" s="27" t="s">
        <v>8</v>
      </c>
    </row>
    <row r="94" spans="1:40" x14ac:dyDescent="0.25">
      <c r="A94" s="30">
        <v>13.109994191499954</v>
      </c>
      <c r="E94" t="s">
        <v>8</v>
      </c>
      <c r="L94" s="27" t="s">
        <v>7</v>
      </c>
      <c r="N94" s="27" t="s">
        <v>7</v>
      </c>
      <c r="O94" s="27" t="s">
        <v>8</v>
      </c>
      <c r="P94" s="27" t="s">
        <v>7</v>
      </c>
      <c r="Q94" s="27" t="s">
        <v>8</v>
      </c>
      <c r="AE94" s="27" t="s">
        <v>8</v>
      </c>
      <c r="AK94" s="27" t="s">
        <v>8</v>
      </c>
      <c r="AM94" s="27" t="s">
        <v>8</v>
      </c>
      <c r="AN94" s="27" t="s">
        <v>7</v>
      </c>
    </row>
    <row r="95" spans="1:40" x14ac:dyDescent="0.25">
      <c r="A95" s="30">
        <v>11.918176537727231</v>
      </c>
      <c r="C95" s="1" t="s">
        <v>11</v>
      </c>
      <c r="D95" s="1" t="s">
        <v>12</v>
      </c>
      <c r="E95" t="s">
        <v>8</v>
      </c>
      <c r="N95" s="27" t="s">
        <v>7</v>
      </c>
      <c r="O95" s="27" t="s">
        <v>8</v>
      </c>
      <c r="P95" s="27" t="s">
        <v>7</v>
      </c>
      <c r="Q95" s="27" t="s">
        <v>8</v>
      </c>
      <c r="R95" s="27" t="s">
        <v>7</v>
      </c>
      <c r="AC95" s="27" t="s">
        <v>8</v>
      </c>
      <c r="AE95" s="27" t="s">
        <v>8</v>
      </c>
      <c r="AF95" s="27" t="s">
        <v>7</v>
      </c>
      <c r="AK95" s="27" t="s">
        <v>8</v>
      </c>
      <c r="AL95" s="27" t="s">
        <v>7</v>
      </c>
      <c r="AM95" s="27" t="s">
        <v>8</v>
      </c>
      <c r="AN95" s="27" t="s">
        <v>7</v>
      </c>
    </row>
    <row r="96" spans="1:40" x14ac:dyDescent="0.25">
      <c r="A96" s="30">
        <v>10.834705943388391</v>
      </c>
      <c r="C96"/>
      <c r="D96"/>
      <c r="E96" t="s">
        <v>8</v>
      </c>
      <c r="N96" s="27" t="s">
        <v>7</v>
      </c>
      <c r="O96" s="27" t="s">
        <v>8</v>
      </c>
      <c r="P96" s="27" t="s">
        <v>7</v>
      </c>
      <c r="Q96" s="27" t="s">
        <v>8</v>
      </c>
      <c r="R96" s="27" t="s">
        <v>7</v>
      </c>
      <c r="AA96" s="27" t="s">
        <v>8</v>
      </c>
      <c r="AC96" s="27" t="s">
        <v>8</v>
      </c>
      <c r="AD96" s="27" t="s">
        <v>7</v>
      </c>
      <c r="AE96" s="27" t="s">
        <v>8</v>
      </c>
      <c r="AF96" s="27" t="s">
        <v>7</v>
      </c>
      <c r="AI96" s="27" t="s">
        <v>8</v>
      </c>
      <c r="AK96" s="27" t="s">
        <v>8</v>
      </c>
      <c r="AL96" s="27" t="s">
        <v>7</v>
      </c>
      <c r="AM96" s="27" t="s">
        <v>8</v>
      </c>
      <c r="AN96" s="27" t="s">
        <v>7</v>
      </c>
    </row>
    <row r="97" spans="1:42" x14ac:dyDescent="0.25">
      <c r="A97" s="30">
        <v>9.849732675807628</v>
      </c>
      <c r="E97" t="s">
        <v>8</v>
      </c>
      <c r="N97" s="27" t="s">
        <v>7</v>
      </c>
      <c r="O97" s="27" t="s">
        <v>8</v>
      </c>
      <c r="P97" s="27" t="s">
        <v>7</v>
      </c>
      <c r="R97" s="27" t="s">
        <v>7</v>
      </c>
      <c r="AA97" s="27" t="s">
        <v>8</v>
      </c>
      <c r="AB97" s="27" t="s">
        <v>7</v>
      </c>
      <c r="AC97" s="27" t="s">
        <v>8</v>
      </c>
      <c r="AD97" s="27" t="s">
        <v>7</v>
      </c>
      <c r="AE97" s="27" t="s">
        <v>8</v>
      </c>
      <c r="AF97" s="27" t="s">
        <v>7</v>
      </c>
      <c r="AG97" s="27" t="s">
        <v>8</v>
      </c>
      <c r="AI97" s="27" t="s">
        <v>8</v>
      </c>
      <c r="AJ97" s="27" t="s">
        <v>7</v>
      </c>
      <c r="AK97" s="27" t="s">
        <v>8</v>
      </c>
      <c r="AL97" s="27" t="s">
        <v>7</v>
      </c>
      <c r="AN97" s="27" t="s">
        <v>7</v>
      </c>
    </row>
    <row r="98" spans="1:42" x14ac:dyDescent="0.25">
      <c r="A98" s="30">
        <v>8.9543024325523888</v>
      </c>
      <c r="C98" s="1" t="s">
        <v>13</v>
      </c>
      <c r="E98" t="s">
        <v>8</v>
      </c>
      <c r="N98" s="27" t="s">
        <v>7</v>
      </c>
      <c r="R98" s="27" t="s">
        <v>7</v>
      </c>
      <c r="S98" s="27" t="s">
        <v>8</v>
      </c>
      <c r="U98" s="27" t="s">
        <v>8</v>
      </c>
      <c r="AA98" s="27" t="s">
        <v>8</v>
      </c>
      <c r="AB98" s="27" t="s">
        <v>7</v>
      </c>
      <c r="AC98" s="27" t="s">
        <v>8</v>
      </c>
      <c r="AD98" s="27" t="s">
        <v>7</v>
      </c>
      <c r="AF98" s="27" t="s">
        <v>7</v>
      </c>
      <c r="AG98" s="27" t="s">
        <v>8</v>
      </c>
      <c r="AH98" s="27" t="s">
        <v>7</v>
      </c>
      <c r="AI98" s="27" t="s">
        <v>8</v>
      </c>
      <c r="AJ98" s="27" t="s">
        <v>7</v>
      </c>
      <c r="AK98" s="27" t="s">
        <v>8</v>
      </c>
      <c r="AN98" s="27" t="s">
        <v>7</v>
      </c>
    </row>
    <row r="99" spans="1:42" x14ac:dyDescent="0.25">
      <c r="A99" s="30">
        <v>8.140274938683989</v>
      </c>
      <c r="C99" s="1">
        <f>C88</f>
        <v>0</v>
      </c>
      <c r="E99" t="s">
        <v>8</v>
      </c>
      <c r="R99" s="27" t="s">
        <v>7</v>
      </c>
      <c r="S99" s="27" t="s">
        <v>8</v>
      </c>
      <c r="T99" s="27" t="s">
        <v>7</v>
      </c>
      <c r="U99" s="27" t="s">
        <v>8</v>
      </c>
      <c r="V99" s="27" t="s">
        <v>7</v>
      </c>
      <c r="Y99" s="27" t="s">
        <v>8</v>
      </c>
      <c r="AA99" s="27" t="s">
        <v>8</v>
      </c>
      <c r="AB99" s="27" t="s">
        <v>7</v>
      </c>
      <c r="AF99" s="27" t="s">
        <v>7</v>
      </c>
      <c r="AG99" s="27" t="s">
        <v>8</v>
      </c>
      <c r="AH99" s="27" t="s">
        <v>7</v>
      </c>
      <c r="AI99" s="27" t="s">
        <v>8</v>
      </c>
      <c r="AJ99" s="27" t="s">
        <v>7</v>
      </c>
      <c r="AK99" s="27" t="s">
        <v>8</v>
      </c>
      <c r="AN99" s="27" t="s">
        <v>7</v>
      </c>
    </row>
    <row r="100" spans="1:42" x14ac:dyDescent="0.25">
      <c r="A100" s="30">
        <v>7.4002499442581717</v>
      </c>
      <c r="C100"/>
      <c r="D100"/>
      <c r="E100" t="s">
        <v>8</v>
      </c>
      <c r="R100" s="27" t="s">
        <v>7</v>
      </c>
      <c r="S100" s="27" t="s">
        <v>8</v>
      </c>
      <c r="T100" s="27" t="s">
        <v>7</v>
      </c>
      <c r="U100" s="27" t="s">
        <v>8</v>
      </c>
      <c r="V100" s="27" t="s">
        <v>7</v>
      </c>
      <c r="W100" s="27" t="s">
        <v>8</v>
      </c>
      <c r="Y100" s="27" t="s">
        <v>8</v>
      </c>
      <c r="Z100" s="27" t="s">
        <v>7</v>
      </c>
      <c r="AA100" s="27" t="s">
        <v>8</v>
      </c>
      <c r="AF100" s="27" t="s">
        <v>7</v>
      </c>
      <c r="AG100" s="27" t="s">
        <v>8</v>
      </c>
      <c r="AH100" s="27" t="s">
        <v>7</v>
      </c>
      <c r="AJ100" s="27" t="s">
        <v>7</v>
      </c>
      <c r="AN100" s="27" t="s">
        <v>7</v>
      </c>
      <c r="AO100" s="27" t="s">
        <v>8</v>
      </c>
    </row>
    <row r="101" spans="1:42" x14ac:dyDescent="0.25">
      <c r="A101" s="30">
        <v>6.72749994932561</v>
      </c>
      <c r="C101" s="1" t="s">
        <v>14</v>
      </c>
      <c r="E101" t="s">
        <v>8</v>
      </c>
      <c r="R101" s="27" t="s">
        <v>7</v>
      </c>
      <c r="S101" s="27" t="s">
        <v>8</v>
      </c>
      <c r="T101" s="27" t="s">
        <v>7</v>
      </c>
      <c r="U101" s="27" t="s">
        <v>8</v>
      </c>
      <c r="V101" s="27" t="s">
        <v>7</v>
      </c>
      <c r="W101" s="27" t="s">
        <v>8</v>
      </c>
      <c r="X101" s="27" t="s">
        <v>7</v>
      </c>
      <c r="Y101" s="27" t="s">
        <v>8</v>
      </c>
      <c r="Z101" s="27" t="s">
        <v>7</v>
      </c>
      <c r="AA101" s="27" t="s">
        <v>8</v>
      </c>
      <c r="AF101" s="27" t="s">
        <v>7</v>
      </c>
      <c r="AG101" s="27" t="s">
        <v>8</v>
      </c>
      <c r="AN101" s="27" t="s">
        <v>7</v>
      </c>
      <c r="AO101" s="27" t="s">
        <v>8</v>
      </c>
      <c r="AP101" s="27" t="s">
        <v>7</v>
      </c>
    </row>
    <row r="102" spans="1:4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R102" s="27" t="s">
        <v>7</v>
      </c>
      <c r="T102" s="27" t="s">
        <v>7</v>
      </c>
      <c r="U102" s="27" t="s">
        <v>8</v>
      </c>
      <c r="V102" s="27" t="s">
        <v>7</v>
      </c>
      <c r="W102" s="27" t="s">
        <v>8</v>
      </c>
      <c r="X102" s="27" t="s">
        <v>7</v>
      </c>
      <c r="Y102" s="27" t="s">
        <v>8</v>
      </c>
      <c r="Z102" s="27" t="s">
        <v>7</v>
      </c>
      <c r="AA102" s="27" t="s">
        <v>8</v>
      </c>
      <c r="AF102" s="27" t="s">
        <v>7</v>
      </c>
      <c r="AN102" s="27" t="s">
        <v>7</v>
      </c>
      <c r="AO102" s="27" t="s">
        <v>8</v>
      </c>
      <c r="AP102" s="27" t="s">
        <v>7</v>
      </c>
    </row>
    <row r="103" spans="1:42" x14ac:dyDescent="0.25">
      <c r="A103" s="30">
        <v>5.5599173134922388</v>
      </c>
      <c r="E103" t="s">
        <v>8</v>
      </c>
      <c r="T103" s="27" t="s">
        <v>7</v>
      </c>
      <c r="U103" s="27" t="s">
        <v>8</v>
      </c>
      <c r="V103" s="27" t="s">
        <v>7</v>
      </c>
      <c r="X103" s="27" t="s">
        <v>7</v>
      </c>
      <c r="Y103" s="27" t="s">
        <v>8</v>
      </c>
      <c r="Z103" s="27" t="s">
        <v>7</v>
      </c>
      <c r="AA103" s="27" t="s">
        <v>8</v>
      </c>
      <c r="AN103" s="27" t="s">
        <v>7</v>
      </c>
      <c r="AP103" s="27" t="s">
        <v>7</v>
      </c>
    </row>
    <row r="104" spans="1:42" x14ac:dyDescent="0.25">
      <c r="A104" s="30">
        <v>5.0544702849929442</v>
      </c>
      <c r="E104" t="s">
        <v>8</v>
      </c>
      <c r="T104" s="27" t="s">
        <v>7</v>
      </c>
      <c r="U104" s="27" t="s">
        <v>8</v>
      </c>
      <c r="X104" s="27" t="s">
        <v>7</v>
      </c>
      <c r="Y104" s="27" t="s">
        <v>8</v>
      </c>
      <c r="Z104" s="18" t="s">
        <v>7</v>
      </c>
      <c r="AA104" s="27" t="s">
        <v>8</v>
      </c>
      <c r="AP104" s="27" t="s">
        <v>7</v>
      </c>
    </row>
    <row r="105" spans="1:42" x14ac:dyDescent="0.25">
      <c r="A105" s="30">
        <v>4.594972986357222</v>
      </c>
      <c r="E105" t="s">
        <v>8</v>
      </c>
      <c r="T105" s="27" t="s">
        <v>7</v>
      </c>
      <c r="U105" s="27" t="s">
        <v>8</v>
      </c>
      <c r="X105" s="27" t="s">
        <v>7</v>
      </c>
      <c r="Y105" s="27" t="s">
        <v>8</v>
      </c>
      <c r="Z105" s="27" t="s">
        <v>7</v>
      </c>
      <c r="AP105" s="27" t="s">
        <v>7</v>
      </c>
    </row>
    <row r="106" spans="1:42" x14ac:dyDescent="0.25">
      <c r="A106" s="30">
        <v>4.1772481694156562</v>
      </c>
      <c r="E106" t="s">
        <v>8</v>
      </c>
      <c r="T106" s="27" t="s">
        <v>7</v>
      </c>
      <c r="X106" s="27" t="s">
        <v>7</v>
      </c>
      <c r="Y106" s="27" t="s">
        <v>8</v>
      </c>
      <c r="AP106" s="27" t="s">
        <v>7</v>
      </c>
    </row>
    <row r="107" spans="1:42" x14ac:dyDescent="0.25">
      <c r="A107" s="30">
        <v>3.7974983358324148</v>
      </c>
      <c r="E107" t="s">
        <v>8</v>
      </c>
      <c r="X107" s="27" t="s">
        <v>7</v>
      </c>
      <c r="Y107" s="27" t="s">
        <v>8</v>
      </c>
      <c r="AP107" s="27" t="s">
        <v>7</v>
      </c>
    </row>
    <row r="108" spans="1:42" x14ac:dyDescent="0.25">
      <c r="A108" s="30">
        <v>3.4522712143931042</v>
      </c>
      <c r="E108" t="s">
        <v>8</v>
      </c>
      <c r="X108" s="27" t="s">
        <v>7</v>
      </c>
      <c r="AP108" s="27" t="s">
        <v>7</v>
      </c>
    </row>
    <row r="109" spans="1:42" x14ac:dyDescent="0.25">
      <c r="A109" s="30">
        <v>3.1384283767210035</v>
      </c>
      <c r="E109" t="s">
        <v>8</v>
      </c>
      <c r="AP109" s="27" t="s">
        <v>7</v>
      </c>
    </row>
    <row r="110" spans="1:42" x14ac:dyDescent="0.25">
      <c r="A110" s="30">
        <v>2.8531167061100029</v>
      </c>
      <c r="E110" t="s">
        <v>8</v>
      </c>
    </row>
    <row r="111" spans="1:42" x14ac:dyDescent="0.25">
      <c r="A111" s="30">
        <v>2.5937424601000023</v>
      </c>
      <c r="C111" s="1" t="str">
        <f>ADDRESS(C121-1,1,1,1)</f>
        <v>$A$108</v>
      </c>
      <c r="D111" s="1" t="str">
        <f>ADDRESS(C121-1,D121,1,1)</f>
        <v>$AP$108</v>
      </c>
      <c r="E111" t="s">
        <v>8</v>
      </c>
    </row>
    <row r="112" spans="1:42" x14ac:dyDescent="0.25">
      <c r="A112" s="30">
        <v>2.3579476910000019</v>
      </c>
      <c r="C112" s="1" t="str">
        <f>ADDRESS(C121,1,1,1)</f>
        <v>$A$109</v>
      </c>
      <c r="D112" s="1" t="str">
        <f>ADDRESS(C121,D121-1,1,1)</f>
        <v>$AO$109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$A$110</v>
      </c>
      <c r="D113" s="1" t="str">
        <f>ADDRESS(C121-1,D121+1,1,1)</f>
        <v>$AQ$108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$AP$109</v>
      </c>
      <c r="D114" s="1" t="str">
        <f>ADDRESS(C121+1,D121+1,1,1)</f>
        <v>$AQ$110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$AP$110</v>
      </c>
      <c r="E115" s="1" t="s">
        <v>8</v>
      </c>
    </row>
    <row r="116" spans="1:5" x14ac:dyDescent="0.25">
      <c r="A116" s="30">
        <v>1.6105100000000008</v>
      </c>
      <c r="C116" s="1">
        <f>C117-1</f>
        <v>108</v>
      </c>
      <c r="E116" s="1" t="s">
        <v>8</v>
      </c>
    </row>
    <row r="117" spans="1:5" x14ac:dyDescent="0.25">
      <c r="A117" s="30">
        <v>1.4641000000000006</v>
      </c>
      <c r="C117" s="1">
        <f>C121</f>
        <v>109</v>
      </c>
      <c r="D117" s="1">
        <f>D121</f>
        <v>42</v>
      </c>
      <c r="E117" s="1" t="s">
        <v>8</v>
      </c>
    </row>
    <row r="118" spans="1:5" x14ac:dyDescent="0.25">
      <c r="A118" s="30">
        <v>1.3310000000000004</v>
      </c>
      <c r="C118" s="1">
        <f>C117+1</f>
        <v>110</v>
      </c>
      <c r="D118" s="1">
        <f>D117+1</f>
        <v>43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109</v>
      </c>
      <c r="D121" s="19">
        <v>42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R109</v>
      </c>
      <c r="D123" s="1" t="str">
        <f>"C"&amp;D121</f>
        <v>C42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3.1384283767210035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28" operator="equal">
      <formula>$U$1</formula>
    </cfRule>
    <cfRule type="cellIs" dxfId="30" priority="729" operator="equal">
      <formula>$S$1</formula>
    </cfRule>
  </conditionalFormatting>
  <conditionalFormatting sqref="D136">
    <cfRule type="cellIs" dxfId="29" priority="726" operator="equal">
      <formula>$S$1</formula>
    </cfRule>
    <cfRule type="cellIs" dxfId="28" priority="727" operator="equal">
      <formula>$U$1</formula>
    </cfRule>
  </conditionalFormatting>
  <conditionalFormatting sqref="C102">
    <cfRule type="cellIs" dxfId="27" priority="724" operator="equal">
      <formula>$U$1</formula>
    </cfRule>
    <cfRule type="cellIs" dxfId="26" priority="725" operator="equal">
      <formula>$S$1</formula>
    </cfRule>
  </conditionalFormatting>
  <conditionalFormatting sqref="D102">
    <cfRule type="cellIs" dxfId="25" priority="722" operator="equal">
      <formula>$S$1</formula>
    </cfRule>
    <cfRule type="cellIs" dxfId="24" priority="723" operator="equal">
      <formula>$U$1</formula>
    </cfRule>
  </conditionalFormatting>
  <conditionalFormatting sqref="C77">
    <cfRule type="cellIs" dxfId="23" priority="720" operator="equal">
      <formula>$U$1</formula>
    </cfRule>
    <cfRule type="cellIs" dxfId="22" priority="721" operator="equal">
      <formula>$S$1</formula>
    </cfRule>
  </conditionalFormatting>
  <conditionalFormatting sqref="D77">
    <cfRule type="cellIs" dxfId="21" priority="718" operator="equal">
      <formula>$S$1</formula>
    </cfRule>
    <cfRule type="cellIs" dxfId="20" priority="719" operator="equal">
      <formula>$U$1</formula>
    </cfRule>
  </conditionalFormatting>
  <conditionalFormatting sqref="C52">
    <cfRule type="cellIs" dxfId="19" priority="716" operator="equal">
      <formula>$U$1</formula>
    </cfRule>
    <cfRule type="cellIs" dxfId="18" priority="717" operator="equal">
      <formula>$S$1</formula>
    </cfRule>
  </conditionalFormatting>
  <conditionalFormatting sqref="D52">
    <cfRule type="cellIs" dxfId="17" priority="714" operator="equal">
      <formula>$S$1</formula>
    </cfRule>
    <cfRule type="cellIs" dxfId="16" priority="715" operator="equal">
      <formula>$U$1</formula>
    </cfRule>
  </conditionalFormatting>
  <conditionalFormatting sqref="C26">
    <cfRule type="cellIs" dxfId="15" priority="712" operator="equal">
      <formula>$U$1</formula>
    </cfRule>
    <cfRule type="cellIs" dxfId="14" priority="713" operator="equal">
      <formula>$S$1</formula>
    </cfRule>
  </conditionalFormatting>
  <conditionalFormatting sqref="D26">
    <cfRule type="cellIs" dxfId="13" priority="710" operator="equal">
      <formula>$S$1</formula>
    </cfRule>
    <cfRule type="cellIs" dxfId="12" priority="71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2022-01-28T01:15:39Z</dcterms:modified>
</cp:coreProperties>
</file>